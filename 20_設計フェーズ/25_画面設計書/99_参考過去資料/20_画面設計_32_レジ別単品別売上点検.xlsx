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D2B56782-B2D5-428E-A6C1-159EF2472D52}"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3201" sheetId="7" r:id="rId3"/>
    <sheet name="MD3201" sheetId="9" r:id="rId4"/>
    <sheet name="SC3202" sheetId="8" r:id="rId5"/>
  </sheets>
  <definedNames>
    <definedName name="_xlnm.Print_Area" localSheetId="3">'MD3201'!$A$1:$BK$61</definedName>
    <definedName name="_xlnm.Print_Area" localSheetId="2">'SC3201'!$A$1:$BK$134</definedName>
    <definedName name="_xlnm.Print_Area" localSheetId="4">'SC3202'!$A$1:$BK$81</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9" i="8" l="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AP4" i="8"/>
  <c r="Z4" i="8"/>
  <c r="H4" i="8"/>
  <c r="AT2" i="8"/>
  <c r="AP2" i="8"/>
  <c r="K2" i="8"/>
  <c r="A2" i="8"/>
  <c r="W1" i="8"/>
  <c r="B41" i="9"/>
  <c r="B42" i="9" s="1"/>
  <c r="B43" i="9" s="1"/>
  <c r="B44" i="9" s="1"/>
  <c r="B45" i="9" s="1"/>
  <c r="B46" i="9" s="1"/>
  <c r="B47" i="9" s="1"/>
  <c r="B48" i="9" s="1"/>
  <c r="B49" i="9" s="1"/>
  <c r="B50" i="9" s="1"/>
  <c r="B51" i="9" s="1"/>
  <c r="B52" i="9" s="1"/>
  <c r="B53" i="9" s="1"/>
  <c r="B54" i="9" s="1"/>
  <c r="B55" i="9" s="1"/>
  <c r="B56" i="9" s="1"/>
  <c r="AP4" i="9"/>
  <c r="Z4" i="9"/>
  <c r="H4" i="9"/>
  <c r="AP2" i="9"/>
  <c r="K2" i="9"/>
  <c r="A2" i="9"/>
  <c r="W1" i="9"/>
  <c r="B103" i="7"/>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02" i="7"/>
  <c r="B51" i="7"/>
  <c r="B52" i="7" s="1"/>
  <c r="B53" i="7" s="1"/>
  <c r="B54" i="7" s="1"/>
  <c r="B55" i="7" s="1"/>
  <c r="B56" i="7" s="1"/>
  <c r="B57" i="7" s="1"/>
  <c r="B58" i="7" s="1"/>
  <c r="B63" i="7" s="1"/>
  <c r="B64" i="7" s="1"/>
  <c r="AP4" i="7"/>
  <c r="Z4" i="7"/>
  <c r="H4" i="7"/>
  <c r="AP2" i="7"/>
  <c r="K2" i="7"/>
  <c r="A2" i="7"/>
  <c r="W1" i="7"/>
  <c r="AP4" i="3" a="1"/>
  <c r="AP4" i="3" s="1"/>
  <c r="Z4" i="3"/>
  <c r="H4" i="3"/>
  <c r="AP2" i="3"/>
  <c r="K2" i="3"/>
  <c r="A2" i="3"/>
  <c r="W1" i="3"/>
  <c r="L24" i="4"/>
  <c r="AP4" i="4" a="1"/>
  <c r="AP4" i="4" s="1"/>
  <c r="BH2" i="4"/>
  <c r="BH2" i="8" s="1"/>
  <c r="BC2" i="4"/>
  <c r="BC2" i="9" s="1"/>
  <c r="AY2" i="4"/>
  <c r="AY2" i="8" s="1"/>
  <c r="AT2" i="4"/>
  <c r="AT2" i="9" s="1"/>
  <c r="AP2" i="4"/>
  <c r="BH2" i="3" l="1"/>
  <c r="BH2" i="7"/>
  <c r="BH2" i="9"/>
  <c r="AY2" i="3"/>
  <c r="AY2" i="7"/>
  <c r="AY2" i="9"/>
  <c r="BC2" i="8"/>
  <c r="BC2" i="3"/>
  <c r="BC2" i="7"/>
  <c r="AT2" i="3"/>
  <c r="AT2" i="7"/>
</calcChain>
</file>

<file path=xl/sharedStrings.xml><?xml version="1.0" encoding="utf-8"?>
<sst xmlns="http://schemas.openxmlformats.org/spreadsheetml/2006/main" count="1265" uniqueCount="181">
  <si>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</si>
  <si>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</si>
  <si>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</si>
  <si>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</si>
  <si>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</si>
  <si>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</si>
  <si>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</si>
  <si>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</si>
  <si>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</si>
  <si>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</si>
  <si>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画面タイトル</t>
    </r>
  </si>
  <si>
    <r>
      <rPr>
        <sz val="11"/>
        <color rgb="FF000000"/>
        <rFont val="Meiryo UI"/>
        <family val="2"/>
      </rPr>
      <t>I</t>
    </r>
  </si>
  <si>
    <r>
      <rPr>
        <sz val="11"/>
        <color rgb="FF000000"/>
        <rFont val="Meiryo UI"/>
        <family val="2"/>
      </rPr>
      <t>商品コード（値）</t>
    </r>
  </si>
  <si>
    <r>
      <rPr>
        <sz val="11"/>
        <color rgb="FF000000"/>
        <rFont val="Meiryo UI"/>
        <family val="2"/>
      </rPr>
      <t>O</t>
    </r>
  </si>
  <si>
    <r>
      <rPr>
        <sz val="11"/>
        <color rgb="FF000000"/>
        <rFont val="Meiryo UI"/>
        <family val="2"/>
      </rPr>
      <t>検索</t>
    </r>
  </si>
  <si>
    <r>
      <rPr>
        <sz val="11"/>
        <color rgb="FF000000"/>
        <rFont val="Meiryo UI"/>
        <family val="2"/>
      </rPr>
      <t>PLUコード</t>
    </r>
  </si>
  <si>
    <r>
      <rPr>
        <sz val="11"/>
        <color rgb="FF000000"/>
        <rFont val="Meiryo UI"/>
        <family val="2"/>
      </rPr>
      <t>商品名称（タイトル）</t>
    </r>
  </si>
  <si>
    <r>
      <rPr>
        <sz val="11"/>
        <color rgb="FF000000"/>
        <rFont val="Meiryo UI"/>
        <family val="2"/>
      </rPr>
      <t>商品名称（値）</t>
    </r>
  </si>
  <si>
    <r>
      <rPr>
        <sz val="11"/>
        <color rgb="FF000000"/>
        <rFont val="Meiryo UI"/>
        <family val="2"/>
      </rPr>
      <t>商品名称</t>
    </r>
  </si>
  <si>
    <r>
      <rPr>
        <sz val="11"/>
        <color rgb="FF000000"/>
        <rFont val="Meiryo UI"/>
        <family val="2"/>
      </rPr>
      <t>対象店舗が選択された場合は有効になる。</t>
    </r>
  </si>
  <si>
    <r>
      <rPr>
        <sz val="11"/>
        <color rgb="FF000000"/>
        <rFont val="Meiryo UI"/>
        <family val="2"/>
      </rPr>
      <t>32_レジ別単品別売上点検</t>
    </r>
  </si>
  <si>
    <r>
      <rPr>
        <sz val="11"/>
        <color rgb="FF000000"/>
        <rFont val="Meiryo UI"/>
        <family val="2"/>
      </rPr>
      <t>営業種別（タイトル）</t>
    </r>
  </si>
  <si>
    <r>
      <rPr>
        <sz val="11"/>
        <color rgb="FF000000"/>
        <rFont val="Meiryo UI"/>
        <family val="2"/>
      </rPr>
      <t>営業種別（値）</t>
    </r>
  </si>
  <si>
    <r>
      <rPr>
        <sz val="11"/>
        <color rgb="FF000000"/>
        <rFont val="Meiryo UI"/>
        <family val="2"/>
      </rPr>
      <t>営業日（タイトル）</t>
    </r>
  </si>
  <si>
    <r>
      <rPr>
        <sz val="11"/>
        <color rgb="FF000000"/>
        <rFont val="Meiryo UI"/>
        <family val="2"/>
      </rPr>
      <t>営業日（値）</t>
    </r>
  </si>
  <si>
    <t>`</t>
  </si>
  <si>
    <r>
      <rPr>
        <sz val="11"/>
        <color rgb="FF000000"/>
        <rFont val="Meiryo UI"/>
        <family val="2"/>
      </rPr>
      <t>対象店舗が選択され、営業種別 = 日報の場合に有効になる。</t>
    </r>
  </si>
  <si>
    <r>
      <rPr>
        <sz val="11"/>
        <color rgb="FF000000"/>
        <rFont val="Meiryo UI"/>
        <family val="2"/>
      </rPr>
      <t>表示件数（タイトル）</t>
    </r>
  </si>
  <si>
    <r>
      <rPr>
        <sz val="11"/>
        <color rgb="FF000000"/>
        <rFont val="Meiryo UI"/>
        <family val="2"/>
      </rPr>
      <t>表示件数（値）</t>
    </r>
  </si>
  <si>
    <r>
      <rPr>
        <sz val="11"/>
        <color rgb="FF000000"/>
        <rFont val="Meiryo UI"/>
        <family val="2"/>
      </rPr>
      <t>&gt; 0、最大1000</t>
    </r>
  </si>
  <si>
    <r>
      <rPr>
        <sz val="11"/>
        <color rgb="FF000000"/>
        <rFont val="Meiryo UI"/>
        <family val="2"/>
      </rPr>
      <t>出力単位（タイトル）</t>
    </r>
  </si>
  <si>
    <r>
      <rPr>
        <sz val="11"/>
        <color rgb="FF000000"/>
        <rFont val="Meiryo UI"/>
        <family val="2"/>
      </rPr>
      <t>出力単位（値）</t>
    </r>
  </si>
  <si>
    <r>
      <rPr>
        <sz val="11"/>
        <color rgb="FF000000"/>
        <rFont val="Meiryo UI"/>
        <family val="2"/>
      </rPr>
      <t>階層一覧（値）</t>
    </r>
  </si>
  <si>
    <r>
      <rPr>
        <sz val="11"/>
        <color rgb="FF000000"/>
        <rFont val="Meiryo UI"/>
        <family val="2"/>
      </rPr>
      <t>レジNo（タイトル）</t>
    </r>
  </si>
  <si>
    <r>
      <rPr>
        <sz val="11"/>
        <color rgb="FF000000"/>
        <rFont val="Meiryo UI"/>
        <family val="2"/>
      </rPr>
      <t>レジNo（値）</t>
    </r>
  </si>
  <si>
    <r>
      <rPr>
        <sz val="11"/>
        <color rgb="FF000000"/>
        <rFont val="Meiryo UI"/>
        <family val="2"/>
      </rPr>
      <t>レジ番号</t>
    </r>
  </si>
  <si>
    <r>
      <rPr>
        <sz val="11"/>
        <color rgb="FF000000"/>
        <rFont val="Meiryo UI"/>
        <family val="2"/>
      </rPr>
      <t>順位（タイトル）</t>
    </r>
  </si>
  <si>
    <r>
      <rPr>
        <sz val="11"/>
        <color rgb="FF000000"/>
        <rFont val="Meiryo UI"/>
        <family val="2"/>
      </rPr>
      <t>順位（値）</t>
    </r>
  </si>
  <si>
    <r>
      <rPr>
        <sz val="11"/>
        <color rgb="FF000000"/>
        <rFont val="Meiryo UI"/>
        <family val="2"/>
      </rPr>
      <t>レジ番号（タイトル）</t>
    </r>
  </si>
  <si>
    <r>
      <rPr>
        <sz val="11"/>
        <color rgb="FF000000"/>
        <rFont val="Meiryo UI"/>
        <family val="2"/>
      </rPr>
      <t>レジ番号（値）</t>
    </r>
  </si>
  <si>
    <r>
      <rPr>
        <sz val="11"/>
        <color rgb="FF000000"/>
        <rFont val="Meiryo UI"/>
        <family val="2"/>
      </rPr>
      <t>商品コード（タイトル）</t>
    </r>
  </si>
  <si>
    <r>
      <rPr>
        <sz val="11"/>
        <color rgb="FF000000"/>
        <rFont val="Meiryo UI"/>
        <family val="2"/>
      </rPr>
      <t>PLUコード（タイトル）</t>
    </r>
  </si>
  <si>
    <r>
      <rPr>
        <sz val="11"/>
        <color rgb="FF000000"/>
        <rFont val="Meiryo UI"/>
        <family val="2"/>
      </rPr>
      <t>PLUコード（値）</t>
    </r>
  </si>
  <si>
    <r>
      <rPr>
        <sz val="11"/>
        <color rgb="FF000000"/>
        <rFont val="Meiryo UI"/>
        <family val="2"/>
      </rPr>
      <t>売上金額（値）</t>
    </r>
  </si>
  <si>
    <r>
      <rPr>
        <sz val="11"/>
        <color rgb="FF000000"/>
        <rFont val="Meiryo UI"/>
        <family val="2"/>
      </rPr>
      <t>売上金額（タイトル）</t>
    </r>
  </si>
  <si>
    <r>
      <rPr>
        <sz val="11"/>
        <color rgb="FF000000"/>
        <rFont val="Meiryo UI"/>
        <family val="2"/>
      </rPr>
      <t>売上点数（タイトル）</t>
    </r>
  </si>
  <si>
    <r>
      <rPr>
        <sz val="11"/>
        <color rgb="FF000000"/>
        <rFont val="Meiryo UI"/>
        <family val="2"/>
      </rPr>
      <t>売上点数（値）</t>
    </r>
  </si>
  <si>
    <r>
      <rPr>
        <sz val="11"/>
        <color rgb="FF000000"/>
        <rFont val="Meiryo UI"/>
        <family val="2"/>
      </rPr>
      <t>PI値（タイトル）</t>
    </r>
  </si>
  <si>
    <r>
      <rPr>
        <sz val="11"/>
        <color rgb="FF000000"/>
        <rFont val="Meiryo UI"/>
        <family val="2"/>
      </rPr>
      <t>PI値（値）</t>
    </r>
  </si>
  <si>
    <r>
      <rPr>
        <sz val="11"/>
        <color rgb="FF000000"/>
        <rFont val="Meiryo UI"/>
        <family val="2"/>
      </rPr>
      <t>値引金額（タイトル）</t>
    </r>
  </si>
  <si>
    <r>
      <rPr>
        <sz val="11"/>
        <color rgb="FF000000"/>
        <rFont val="Meiryo UI"/>
        <family val="2"/>
      </rPr>
      <t>値引金額（値）</t>
    </r>
  </si>
  <si>
    <r>
      <rPr>
        <sz val="11"/>
        <color rgb="FF000000"/>
        <rFont val="Meiryo UI"/>
        <family val="2"/>
      </rPr>
      <t>値引点数（タイトル）</t>
    </r>
  </si>
  <si>
    <r>
      <rPr>
        <sz val="11"/>
        <color rgb="FF000000"/>
        <rFont val="Meiryo UI"/>
        <family val="2"/>
      </rPr>
      <t>値引点数（値）</t>
    </r>
  </si>
  <si>
    <r>
      <rPr>
        <sz val="11"/>
        <color rgb="FF000000"/>
        <rFont val="Meiryo UI"/>
        <family val="2"/>
      </rPr>
      <t>最終売上日付（タイトル）</t>
    </r>
  </si>
  <si>
    <r>
      <rPr>
        <sz val="11"/>
        <color rgb="FF000000"/>
        <rFont val="Meiryo UI"/>
        <family val="2"/>
      </rPr>
      <t>最終売上日付（値）</t>
    </r>
  </si>
  <si>
    <r>
      <rPr>
        <sz val="11"/>
        <color rgb="FF000000"/>
        <rFont val="Meiryo UI"/>
        <family val="2"/>
      </rPr>
      <t>レジ別時間帯別売上</t>
    </r>
  </si>
  <si>
    <r>
      <rPr>
        <sz val="11"/>
        <color rgb="FF000000"/>
        <rFont val="Meiryo UI"/>
        <family val="2"/>
      </rPr>
      <t>レジ番号一覧</t>
    </r>
  </si>
  <si>
    <r>
      <rPr>
        <sz val="11"/>
        <color rgb="FF000000"/>
        <rFont val="Meiryo UI"/>
        <family val="2"/>
      </rPr>
      <t>デフォルト：有効</t>
    </r>
  </si>
  <si>
    <r>
      <rPr>
        <sz val="11"/>
        <color rgb="FF000000"/>
        <rFont val="Meiryo UI"/>
        <family val="2"/>
      </rPr>
      <t>商品検索</t>
    </r>
  </si>
  <si>
    <r>
      <rPr>
        <sz val="11"/>
        <color rgb="FF000000"/>
        <rFont val="Meiryo UI"/>
        <family val="2"/>
      </rPr>
      <t>最大半角50文字、全角25文字</t>
    </r>
  </si>
  <si>
    <r>
      <rPr>
        <sz val="11"/>
        <color rgb="FF000000"/>
        <rFont val="Meiryo UI"/>
        <family val="2"/>
      </rPr>
      <t>選択（列名）</t>
    </r>
  </si>
  <si>
    <r>
      <rPr>
        <sz val="11"/>
        <color rgb="FF000000"/>
        <rFont val="Meiryo UI"/>
        <family val="2"/>
      </rPr>
      <t>選択</t>
    </r>
  </si>
  <si>
    <r>
      <rPr>
        <sz val="11"/>
        <color rgb="FF000000"/>
        <rFont val="Meiryo UI"/>
        <family val="2"/>
      </rPr>
      <t>商品コード（列名）</t>
    </r>
  </si>
  <si>
    <r>
      <rPr>
        <sz val="11"/>
        <color rgb="FF000000"/>
        <rFont val="Meiryo UI"/>
        <family val="2"/>
      </rPr>
      <t>PLUコード（列名）</t>
    </r>
  </si>
  <si>
    <r>
      <rPr>
        <sz val="11"/>
        <color rgb="FF000000"/>
        <rFont val="Meiryo UI"/>
        <family val="2"/>
      </rPr>
      <t>商品名称（列名）</t>
    </r>
  </si>
  <si>
    <r>
      <rPr>
        <sz val="11"/>
        <color rgb="FF000000"/>
        <rFont val="Meiryo UI"/>
        <family val="2"/>
      </rPr>
      <t>単価（列名）</t>
    </r>
  </si>
  <si>
    <r>
      <rPr>
        <sz val="11"/>
        <color rgb="FF000000"/>
        <rFont val="Meiryo UI"/>
        <family val="2"/>
      </rPr>
      <t>単価（値）</t>
    </r>
  </si>
  <si>
    <r>
      <rPr>
        <sz val="11"/>
        <color rgb="FF000000"/>
        <rFont val="Meiryo UI"/>
        <family val="2"/>
      </rPr>
      <t>適用日（列名）</t>
    </r>
  </si>
  <si>
    <r>
      <rPr>
        <sz val="11"/>
        <color rgb="FF000000"/>
        <rFont val="Meiryo UI"/>
        <family val="2"/>
      </rPr>
      <t>適用日（値）</t>
    </r>
  </si>
  <si>
    <r>
      <rPr>
        <sz val="11"/>
        <color rgb="FF000000"/>
        <rFont val="Meiryo UI"/>
        <family val="2"/>
      </rPr>
      <t>前画面</t>
    </r>
  </si>
  <si>
    <r>
      <rPr>
        <sz val="11"/>
        <color rgb="FF000000"/>
        <rFont val="Meiryo UI"/>
        <family val="2"/>
      </rPr>
      <t>端末番号</t>
    </r>
  </si>
  <si>
    <r>
      <rPr>
        <sz val="11"/>
        <color rgb="FF000000"/>
        <rFont val="Meiryo UI"/>
        <family val="2"/>
      </rPr>
      <t>営業日</t>
    </r>
  </si>
  <si>
    <r>
      <rPr>
        <sz val="11"/>
        <color rgb="FF000000"/>
        <rFont val="Meiryo UI"/>
        <family val="2"/>
      </rPr>
      <t>予約日（タイトル）</t>
    </r>
  </si>
  <si>
    <r>
      <rPr>
        <sz val="11"/>
        <color rgb="FF000000"/>
        <rFont val="Meiryo UI"/>
        <family val="2"/>
      </rPr>
      <t>予約日（値）</t>
    </r>
  </si>
  <si>
    <r>
      <rPr>
        <sz val="11"/>
        <color rgb="FF000000"/>
        <rFont val="Meiryo UI"/>
        <family val="2"/>
      </rPr>
      <t>時間帯（列名）</t>
    </r>
  </si>
  <si>
    <r>
      <rPr>
        <sz val="11"/>
        <color rgb="FF000000"/>
        <rFont val="Meiryo UI"/>
        <family val="2"/>
      </rPr>
      <t>時間帯（値）</t>
    </r>
  </si>
  <si>
    <r>
      <rPr>
        <sz val="11"/>
        <color rgb="FF000000"/>
        <rFont val="Meiryo UI"/>
        <family val="2"/>
      </rPr>
      <t>売上金額（列名）</t>
    </r>
  </si>
  <si>
    <r>
      <rPr>
        <sz val="11"/>
        <color rgb="FF000000"/>
        <rFont val="Meiryo UI"/>
        <family val="2"/>
      </rPr>
      <t>売上金額 (円)</t>
    </r>
  </si>
  <si>
    <r>
      <rPr>
        <sz val="11"/>
        <color rgb="FF000000"/>
        <rFont val="Meiryo UI"/>
        <family val="2"/>
      </rPr>
      <t>件数（列名）</t>
    </r>
  </si>
  <si>
    <r>
      <rPr>
        <sz val="11"/>
        <color rgb="FF000000"/>
        <rFont val="Meiryo UI"/>
        <family val="2"/>
      </rPr>
      <t>件数（値）</t>
    </r>
  </si>
  <si>
    <r>
      <rPr>
        <sz val="11"/>
        <color rgb="FF000000"/>
        <rFont val="Meiryo UI"/>
        <family val="2"/>
      </rPr>
      <t>数量</t>
    </r>
  </si>
  <si>
    <r>
      <rPr>
        <sz val="11"/>
        <color rgb="FF000000"/>
        <rFont val="Meiryo UI"/>
        <family val="2"/>
      </rPr>
      <t>客数</t>
    </r>
  </si>
  <si>
    <r>
      <rPr>
        <sz val="11"/>
        <color rgb="FF000000"/>
        <rFont val="Meiryo UI"/>
        <family val="2"/>
      </rPr>
      <t>客数（列名）</t>
    </r>
  </si>
  <si>
    <r>
      <rPr>
        <sz val="11"/>
        <color rgb="FF000000"/>
        <rFont val="Meiryo UI"/>
        <family val="2"/>
      </rPr>
      <t>客数（値）</t>
    </r>
  </si>
  <si>
    <r>
      <rPr>
        <sz val="11"/>
        <color rgb="FF000000"/>
        <rFont val="Meiryo UI"/>
        <family val="2"/>
      </rPr>
      <t>グラフ</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</si>
  <si>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</si>
  <si>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</si>
  <si>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</si>
  <si>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</si>
  <si>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</si>
  <si>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</si>
  <si>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</si>
  <si>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</si>
  <si>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</si>
  <si>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</si>
  <si>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</si>
  <si>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画面設計書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</si>
  <si>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</si>
  <si>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</si>
  <si>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</si>
  <si>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</si>
  <si>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</si>
  <si>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■初期画面のイメージ</t>
  </si>
  <si>
    <t>■画面項目定義</t>
  </si>
  <si>
    <t>画面項目ID</t>
  </si>
  <si>
    <t>項目</t>
  </si>
  <si>
    <t>タイプ</t>
  </si>
  <si>
    <t>多言語</t>
  </si>
  <si>
    <t>出力</t>
  </si>
  <si>
    <t>インプット</t>
  </si>
  <si>
    <t>備考</t>
  </si>
  <si>
    <t>マッピングデータ</t>
  </si>
  <si>
    <t>初期値</t>
  </si>
  <si>
    <t>表示コントロール</t>
  </si>
  <si>
    <t>Control enable</t>
  </si>
  <si>
    <t>数字</t>
  </si>
  <si>
    <t>桁</t>
  </si>
  <si>
    <t>API名</t>
  </si>
  <si>
    <t>レジ別単品別売上点検</t>
  </si>
  <si>
    <r>
      <rPr>
        <sz val="11"/>
        <color rgb="FF000000"/>
        <rFont val="Meiryo UI"/>
        <family val="2"/>
      </rPr>
      <t>イベントID：SC3201-01</t>
    </r>
  </si>
  <si>
    <t>営業種別*</t>
  </si>
  <si>
    <t>ラジオボタン</t>
  </si>
  <si>
    <t>速報</t>
  </si>
  <si>
    <r>
      <rPr>
        <sz val="11"/>
        <color rgb="FF000000"/>
        <rFont val="Meiryo UI"/>
        <family val="2"/>
      </rPr>
      <t>以下の2つオプションがある。
・速報
・日報</t>
    </r>
  </si>
  <si>
    <t>ー</t>
  </si>
  <si>
    <t>Date picker</t>
  </si>
  <si>
    <t>当日</t>
  </si>
  <si>
    <t>表示件数*</t>
  </si>
  <si>
    <t>EditText</t>
  </si>
  <si>
    <t>出力単位*</t>
  </si>
  <si>
    <t>ドロップダウン</t>
  </si>
  <si>
    <t>0. 全部で</t>
  </si>
  <si>
    <r>
      <rPr>
        <sz val="11"/>
        <color rgb="FF000000"/>
        <rFont val="Meiryo UI"/>
        <family val="2"/>
      </rPr>
      <t xml:space="preserve">以下のオプションが含まれている。
0. 全部で
1. 部門
2. 品群
3. 品種
4. 分類
5. 商品
</t>
    </r>
  </si>
  <si>
    <r>
      <rPr>
        <sz val="11"/>
        <color rgb="FF000000"/>
        <rFont val="Meiryo UI"/>
        <family val="2"/>
      </rPr>
      <t>イベントID：SC3201-02
階層を選択すると、その階層一覧をロードして項目9に表示する。</t>
    </r>
  </si>
  <si>
    <t>最初のアイテム</t>
  </si>
  <si>
    <t xml:space="preserve">項目8で選択されているアイテムが以下の値の場合に表示する。
0. 全部で
1. 部門
2. 品群
3. 品種
4. 分類 </t>
  </si>
  <si>
    <r>
      <rPr>
        <sz val="11"/>
        <color rgb="FF000000"/>
        <rFont val="Meiryo UI"/>
        <family val="2"/>
      </rPr>
      <t xml:space="preserve">・対象店舗が選択され、かつ項目8で選択されているアイテムが「0. 全部で」の場合に行が無効になる。
・対象店舗が選択され、かつ項目8で選択されているアイテムが以下の値である場合に行が有効になる。
1. 部門
2. 品群
3. 品種
4. 分類 </t>
    </r>
  </si>
  <si>
    <r>
      <rPr>
        <sz val="11"/>
        <color rgb="FF000000"/>
        <rFont val="Meiryo UI"/>
        <family val="2"/>
      </rPr>
      <t>イベントID：SC3201-03</t>
    </r>
  </si>
  <si>
    <t>項目8で選択されているアイテムが「5. 商品」の場合に表示する。</t>
  </si>
  <si>
    <r>
      <rPr>
        <sz val="11"/>
        <color rgb="FF000000"/>
        <rFont val="Meiryo UI"/>
        <family val="2"/>
      </rPr>
      <t>イベントID：SC3201-04
最大数字の13桁。フォーカスアウト時に「0」を追加する。</t>
    </r>
  </si>
  <si>
    <t>ボタン</t>
  </si>
  <si>
    <r>
      <rPr>
        <sz val="11"/>
        <color rgb="FF000000"/>
        <rFont val="Meiryo UI"/>
        <family val="2"/>
      </rPr>
      <t>イベントID：SC3201-05</t>
    </r>
  </si>
  <si>
    <t>テキスト</t>
  </si>
  <si>
    <t>Type</t>
  </si>
  <si>
    <t>検索</t>
  </si>
  <si>
    <r>
      <rPr>
        <sz val="11"/>
        <color rgb="FF000000"/>
        <rFont val="Meiryo UI"/>
        <family val="2"/>
      </rPr>
      <t>イベントID：SC3201-06</t>
    </r>
  </si>
  <si>
    <t>順位</t>
  </si>
  <si>
    <t>O</t>
  </si>
  <si>
    <t>商品コード▼</t>
  </si>
  <si>
    <t>PLUコード</t>
  </si>
  <si>
    <t>名称</t>
  </si>
  <si>
    <t>売上金額▼</t>
  </si>
  <si>
    <t>売上点数▼</t>
  </si>
  <si>
    <t>PI値</t>
  </si>
  <si>
    <t>値引金額</t>
  </si>
  <si>
    <t>値引点数</t>
  </si>
  <si>
    <t>最終売上日付</t>
  </si>
  <si>
    <t>I</t>
  </si>
  <si>
    <t>一覧内で1つのアイテムが選択された場合、有効になる。</t>
  </si>
  <si>
    <r>
      <rPr>
        <sz val="11"/>
        <color rgb="FF000000"/>
        <rFont val="Meiryo UI"/>
        <family val="2"/>
      </rPr>
      <t>イベントID：SC3201-07</t>
    </r>
  </si>
  <si>
    <t>■商品検索モーダルのイメージ</t>
  </si>
  <si>
    <t>商品検索</t>
  </si>
  <si>
    <r>
      <rPr>
        <sz val="11"/>
        <color rgb="FF000000"/>
        <rFont val="Meiryo UI"/>
        <family val="2"/>
      </rPr>
      <t>イベントID：MD3201-01</t>
    </r>
  </si>
  <si>
    <t>商品名称</t>
  </si>
  <si>
    <r>
      <rPr>
        <sz val="11"/>
        <color rgb="FF000000"/>
        <rFont val="Meiryo UI"/>
        <family val="2"/>
      </rPr>
      <t>イベントID：MD3201-02</t>
    </r>
  </si>
  <si>
    <t>選択</t>
  </si>
  <si>
    <r>
      <rPr>
        <sz val="11"/>
        <color rgb="FF000000"/>
        <rFont val="Meiryo UI"/>
        <family val="2"/>
      </rPr>
      <t>イベントID：MD3201-03</t>
    </r>
  </si>
  <si>
    <t>商品コード</t>
  </si>
  <si>
    <t>単価</t>
  </si>
  <si>
    <t>適用日</t>
  </si>
  <si>
    <t>前画面</t>
  </si>
  <si>
    <t>デフォルト：有効</t>
  </si>
  <si>
    <r>
      <rPr>
        <sz val="11"/>
        <color rgb="FF000000"/>
        <rFont val="Meiryo UI"/>
        <family val="2"/>
      </rPr>
      <t>イベントID：MD3201-04</t>
    </r>
  </si>
  <si>
    <r>
      <rPr>
        <sz val="11"/>
        <color rgb="FF000000"/>
        <rFont val="Meiryo UI"/>
        <family val="2"/>
      </rPr>
      <t>イベントID：SC3202-01</t>
    </r>
  </si>
  <si>
    <t>営業日</t>
  </si>
  <si>
    <t>時間帯</t>
  </si>
  <si>
    <r>
      <rPr>
        <sz val="11"/>
        <color rgb="FF000000"/>
        <rFont val="Meiryo UI"/>
        <family val="2"/>
      </rPr>
      <t>形式：hh:mm - hh:mm
00:00～23:59の時間帯を表示する。</t>
    </r>
  </si>
  <si>
    <t>売上金額 (円)</t>
  </si>
  <si>
    <t>ビュー</t>
  </si>
  <si>
    <t>[売上金額 (円)</t>
  </si>
  <si>
    <r>
      <rPr>
        <sz val="11"/>
        <color rgb="FF000000"/>
        <rFont val="Meiryo UI"/>
        <family val="2"/>
      </rPr>
      <t>イベントID：SC3202-02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</si>
</sst>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6"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0"/>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B050"/>
      <name val="Meiryo UI"/>
      <family val="2"/>
    </font>
  </fonts>
  <fills count="9">
    <fill>
      <patternFill patternType="none"/>
    </fill>
    <fill>
      <patternFill patternType="gray125"/>
    </fill>
    <fill>
      <patternFill patternType="solid">
        <fgColor rgb="FF333399"/>
        <bgColor indexed="64"/>
      </patternFill>
    </fill>
    <fill>
      <patternFill patternType="solid">
        <fgColor theme="5" tint="0.79995117038483843"/>
        <bgColor indexed="64"/>
      </patternFill>
    </fill>
    <fill>
      <patternFill patternType="solid">
        <fgColor theme="0"/>
        <bgColor indexed="64"/>
      </patternFill>
    </fill>
    <fill>
      <patternFill patternType="solid">
        <fgColor rgb="FF99CCFF"/>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rgb="FFFFFF00"/>
        <bgColor indexed="64"/>
      </patternFill>
    </fill>
  </fills>
  <borders count="4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7" fillId="0" borderId="0">
      <alignment vertical="center"/>
    </xf>
  </cellStyleXfs>
  <cellXfs count="319">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1" xfId="6" applyFont="1" applyBorder="1" applyAlignment="1">
      <alignment vertical="center"/>
    </xf>
    <xf numFmtId="0" fontId="3" fillId="0" borderId="4" xfId="6" applyFont="1" applyBorder="1" applyAlignment="1">
      <alignment vertical="center"/>
    </xf>
    <xf numFmtId="0" fontId="4" fillId="0" borderId="0" xfId="6" applyFont="1" applyAlignment="1">
      <alignment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vertical="center"/>
    </xf>
    <xf numFmtId="0" fontId="3" fillId="0" borderId="17" xfId="6" applyFont="1" applyBorder="1" applyAlignment="1">
      <alignment vertical="center"/>
    </xf>
    <xf numFmtId="0" fontId="3" fillId="0" borderId="19" xfId="6" applyFont="1" applyBorder="1" applyAlignment="1">
      <alignment horizontal="center" vertical="center"/>
    </xf>
    <xf numFmtId="0" fontId="3" fillId="0" borderId="20" xfId="6" applyFont="1" applyBorder="1" applyAlignment="1">
      <alignment horizontal="center" vertical="center"/>
    </xf>
    <xf numFmtId="0" fontId="3" fillId="0" borderId="20" xfId="6" applyFont="1" applyBorder="1" applyAlignment="1">
      <alignment vertical="center"/>
    </xf>
    <xf numFmtId="0" fontId="4" fillId="0" borderId="17" xfId="6" applyFont="1" applyBorder="1" applyAlignment="1">
      <alignment horizontal="center" vertical="center"/>
    </xf>
    <xf numFmtId="0" fontId="4" fillId="0" borderId="20" xfId="6" applyFont="1" applyBorder="1" applyAlignment="1">
      <alignment horizontal="center" vertical="center"/>
    </xf>
    <xf numFmtId="0" fontId="4" fillId="0" borderId="21" xfId="0" applyFont="1" applyBorder="1" applyAlignment="1">
      <alignment horizontal="center" vertical="center"/>
    </xf>
    <xf numFmtId="0" fontId="4" fillId="0" borderId="24" xfId="0" applyFont="1" applyBorder="1" applyAlignment="1">
      <alignment horizontal="center" vertical="center"/>
    </xf>
    <xf numFmtId="0" fontId="3" fillId="0" borderId="32" xfId="6" applyFont="1" applyBorder="1" applyAlignment="1">
      <alignment horizontal="center" vertical="center"/>
    </xf>
    <xf numFmtId="0" fontId="3" fillId="0" borderId="33" xfId="6" applyFont="1" applyBorder="1" applyAlignment="1">
      <alignment horizontal="center" vertical="center"/>
    </xf>
    <xf numFmtId="0" fontId="3" fillId="0" borderId="34" xfId="6" applyFont="1" applyBorder="1" applyAlignment="1">
      <alignment horizontal="center" vertical="center"/>
    </xf>
    <xf numFmtId="0" fontId="4" fillId="0" borderId="32" xfId="6" applyFont="1" applyBorder="1" applyAlignment="1">
      <alignment vertical="center"/>
    </xf>
    <xf numFmtId="0" fontId="3" fillId="0" borderId="33" xfId="6" applyFont="1" applyBorder="1" applyAlignment="1">
      <alignment vertical="center"/>
    </xf>
    <xf numFmtId="0" fontId="3" fillId="0" borderId="34" xfId="6" applyFont="1" applyBorder="1" applyAlignment="1">
      <alignment vertical="center"/>
    </xf>
    <xf numFmtId="0" fontId="4" fillId="0" borderId="32" xfId="6" applyFont="1" applyBorder="1" applyAlignment="1">
      <alignment horizontal="center" vertical="center"/>
    </xf>
    <xf numFmtId="0" fontId="4" fillId="0" borderId="32" xfId="6" quotePrefix="1" applyFont="1" applyBorder="1" applyAlignment="1">
      <alignment horizontal="center" vertical="center" wrapText="1"/>
    </xf>
    <xf numFmtId="0" fontId="4" fillId="0" borderId="33" xfId="6" applyFont="1" applyBorder="1" applyAlignment="1">
      <alignment horizontal="center" vertical="center" wrapText="1"/>
    </xf>
    <xf numFmtId="0" fontId="4" fillId="0" borderId="34" xfId="6" applyFont="1" applyBorder="1" applyAlignment="1">
      <alignment horizontal="center" vertical="center" wrapText="1"/>
    </xf>
    <xf numFmtId="0" fontId="4" fillId="0" borderId="32" xfId="6" applyFont="1" applyBorder="1" applyAlignment="1">
      <alignment horizontal="left" vertical="center" wrapText="1"/>
    </xf>
    <xf numFmtId="0" fontId="3" fillId="0" borderId="33" xfId="6" applyFont="1" applyBorder="1" applyAlignment="1">
      <alignment horizontal="left" vertical="center"/>
    </xf>
    <xf numFmtId="0" fontId="3" fillId="0" borderId="34" xfId="6" applyFont="1" applyBorder="1" applyAlignment="1">
      <alignment horizontal="left" vertical="center"/>
    </xf>
    <xf numFmtId="0" fontId="3" fillId="0" borderId="32" xfId="6" applyFont="1" applyBorder="1" applyAlignment="1">
      <alignment horizontal="left" vertical="center"/>
    </xf>
    <xf numFmtId="0" fontId="3" fillId="0" borderId="32" xfId="6" quotePrefix="1" applyFont="1" applyBorder="1" applyAlignment="1">
      <alignment vertical="center" wrapText="1"/>
    </xf>
    <xf numFmtId="0" fontId="3" fillId="0" borderId="33" xfId="6" quotePrefix="1" applyFont="1" applyBorder="1" applyAlignment="1">
      <alignment vertical="center" wrapText="1"/>
    </xf>
    <xf numFmtId="0" fontId="3" fillId="0" borderId="34" xfId="6" quotePrefix="1" applyFont="1" applyBorder="1" applyAlignment="1">
      <alignment vertical="center" wrapText="1"/>
    </xf>
    <xf numFmtId="0" fontId="3" fillId="3" borderId="32" xfId="6" applyFont="1" applyFill="1" applyBorder="1" applyAlignment="1">
      <alignment horizontal="center" vertical="center"/>
    </xf>
    <xf numFmtId="0" fontId="3" fillId="3" borderId="33" xfId="6" applyFont="1" applyFill="1" applyBorder="1" applyAlignment="1">
      <alignment horizontal="center" vertical="center"/>
    </xf>
    <xf numFmtId="0" fontId="3" fillId="3" borderId="34" xfId="6" applyFont="1" applyFill="1" applyBorder="1" applyAlignment="1">
      <alignment horizontal="center" vertical="center"/>
    </xf>
    <xf numFmtId="0" fontId="3" fillId="0" borderId="32" xfId="6" quotePrefix="1" applyFont="1" applyBorder="1" applyAlignment="1">
      <alignment vertical="center"/>
    </xf>
    <xf numFmtId="0" fontId="3" fillId="0" borderId="33" xfId="6" quotePrefix="1" applyFont="1" applyBorder="1" applyAlignment="1">
      <alignment vertical="center"/>
    </xf>
    <xf numFmtId="0" fontId="3" fillId="0" borderId="34" xfId="6" quotePrefix="1" applyFont="1" applyBorder="1" applyAlignment="1">
      <alignment vertical="center"/>
    </xf>
    <xf numFmtId="0" fontId="3" fillId="0" borderId="32" xfId="6" applyFont="1" applyBorder="1" applyAlignment="1">
      <alignment vertical="center"/>
    </xf>
    <xf numFmtId="0" fontId="4" fillId="0" borderId="32" xfId="6" applyFont="1" applyBorder="1" applyAlignment="1">
      <alignment horizontal="center" vertical="center" wrapText="1"/>
    </xf>
    <xf numFmtId="0" fontId="3" fillId="0" borderId="33" xfId="6" applyFont="1" applyBorder="1" applyAlignment="1">
      <alignment horizontal="center" vertical="center" wrapText="1"/>
    </xf>
    <xf numFmtId="0" fontId="3" fillId="0" borderId="34" xfId="6" applyFont="1" applyBorder="1" applyAlignment="1">
      <alignment horizontal="center" vertical="center" wrapText="1"/>
    </xf>
    <xf numFmtId="0" fontId="3" fillId="0" borderId="33" xfId="6" applyFont="1" applyBorder="1" applyAlignment="1">
      <alignment horizontal="left" vertical="center" wrapText="1"/>
    </xf>
    <xf numFmtId="0" fontId="3" fillId="0" borderId="34" xfId="6" applyFont="1" applyBorder="1" applyAlignment="1">
      <alignment horizontal="left" vertical="center" wrapText="1"/>
    </xf>
    <xf numFmtId="0" fontId="4" fillId="0" borderId="32" xfId="6" applyFont="1" applyBorder="1" applyAlignment="1">
      <alignment horizontal="left" vertical="center"/>
    </xf>
    <xf numFmtId="0" fontId="3" fillId="0" borderId="32" xfId="6" quotePrefix="1" applyFont="1" applyBorder="1" applyAlignment="1">
      <alignment horizontal="center" vertical="center"/>
    </xf>
    <xf numFmtId="0" fontId="3" fillId="0" borderId="29" xfId="6" applyFont="1" applyBorder="1" applyAlignment="1">
      <alignment horizontal="center" vertical="center"/>
    </xf>
    <xf numFmtId="0" fontId="3" fillId="0" borderId="30" xfId="6" applyFont="1" applyBorder="1" applyAlignment="1">
      <alignment horizontal="center" vertical="center"/>
    </xf>
    <xf numFmtId="0" fontId="3" fillId="0" borderId="31" xfId="6" applyFont="1" applyBorder="1" applyAlignment="1">
      <alignment horizontal="center" vertical="center"/>
    </xf>
    <xf numFmtId="0" fontId="4" fillId="0" borderId="32" xfId="6" quotePrefix="1" applyFont="1" applyBorder="1" applyAlignment="1">
      <alignment horizontal="center" vertical="center"/>
    </xf>
    <xf numFmtId="0" fontId="4" fillId="0" borderId="33" xfId="6" applyFont="1" applyBorder="1" applyAlignment="1">
      <alignment horizontal="center" vertical="center"/>
    </xf>
    <xf numFmtId="0" fontId="4" fillId="0" borderId="34" xfId="6" applyFont="1" applyBorder="1" applyAlignment="1">
      <alignment horizontal="center" vertical="center"/>
    </xf>
    <xf numFmtId="0" fontId="5" fillId="0" borderId="32" xfId="6" applyFont="1" applyBorder="1" applyAlignment="1">
      <alignment vertical="center" wrapText="1"/>
    </xf>
    <xf numFmtId="0" fontId="3" fillId="0" borderId="29" xfId="6" quotePrefix="1" applyFont="1" applyBorder="1" applyAlignment="1">
      <alignment vertical="center"/>
    </xf>
    <xf numFmtId="0" fontId="3" fillId="0" borderId="30" xfId="6" quotePrefix="1" applyFont="1" applyBorder="1" applyAlignment="1">
      <alignment vertical="center"/>
    </xf>
    <xf numFmtId="0" fontId="3" fillId="0" borderId="31" xfId="6" quotePrefix="1" applyFont="1" applyBorder="1" applyAlignment="1">
      <alignment vertical="center"/>
    </xf>
    <xf numFmtId="0" fontId="4" fillId="0" borderId="29" xfId="6" applyFont="1" applyBorder="1" applyAlignment="1">
      <alignment vertical="center"/>
    </xf>
    <xf numFmtId="0" fontId="3" fillId="0" borderId="30" xfId="6" applyFont="1" applyBorder="1" applyAlignment="1">
      <alignment vertical="center"/>
    </xf>
    <xf numFmtId="0" fontId="3" fillId="0" borderId="31" xfId="6" applyFont="1" applyBorder="1" applyAlignment="1">
      <alignment vertical="center"/>
    </xf>
    <xf numFmtId="0" fontId="4" fillId="0" borderId="29" xfId="6" applyFont="1" applyBorder="1" applyAlignment="1">
      <alignment horizontal="center" vertical="center"/>
    </xf>
    <xf numFmtId="0" fontId="4" fillId="0" borderId="29" xfId="6" quotePrefix="1" applyFont="1" applyBorder="1" applyAlignment="1">
      <alignment horizontal="center" vertical="center" wrapText="1"/>
    </xf>
    <xf numFmtId="0" fontId="4" fillId="0" borderId="30" xfId="6" applyFont="1" applyBorder="1" applyAlignment="1">
      <alignment horizontal="center" vertical="center" wrapText="1"/>
    </xf>
    <xf numFmtId="0" fontId="4" fillId="0" borderId="31" xfId="6" applyFont="1" applyBorder="1" applyAlignment="1">
      <alignment horizontal="center" vertical="center" wrapText="1"/>
    </xf>
    <xf numFmtId="0" fontId="3" fillId="0" borderId="32" xfId="6" applyFont="1" applyBorder="1" applyAlignment="1">
      <alignment horizontal="left" vertical="top" wrapText="1"/>
    </xf>
    <xf numFmtId="0" fontId="3" fillId="0" borderId="33" xfId="6" applyFont="1" applyBorder="1" applyAlignment="1">
      <alignment horizontal="left" vertical="top"/>
    </xf>
    <xf numFmtId="0" fontId="3" fillId="0" borderId="34" xfId="6" applyFont="1" applyBorder="1" applyAlignment="1">
      <alignment horizontal="left" vertical="top"/>
    </xf>
    <xf numFmtId="0" fontId="3" fillId="0" borderId="24" xfId="6" applyFont="1" applyBorder="1" applyAlignment="1">
      <alignment horizontal="center" vertical="center"/>
    </xf>
    <xf numFmtId="0" fontId="3" fillId="0" borderId="25" xfId="6" applyFont="1" applyBorder="1" applyAlignment="1">
      <alignment horizontal="center" vertical="center"/>
    </xf>
    <xf numFmtId="0" fontId="3" fillId="0" borderId="26"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left" vertical="center"/>
    </xf>
    <xf numFmtId="0" fontId="3" fillId="0" borderId="22" xfId="6" applyFont="1" applyBorder="1" applyAlignment="1">
      <alignment horizontal="left" vertical="center"/>
    </xf>
    <xf numFmtId="0" fontId="3" fillId="0" borderId="23" xfId="6" applyFont="1" applyBorder="1" applyAlignment="1">
      <alignment horizontal="left" vertical="center"/>
    </xf>
    <xf numFmtId="0" fontId="3" fillId="0" borderId="21" xfId="6" applyFont="1" applyBorder="1" applyAlignment="1">
      <alignment horizontal="center" vertical="center"/>
    </xf>
    <xf numFmtId="0" fontId="3" fillId="0" borderId="22" xfId="6" applyFont="1" applyBorder="1" applyAlignment="1">
      <alignment horizontal="center" vertical="center"/>
    </xf>
    <xf numFmtId="0" fontId="3" fillId="0" borderId="23" xfId="6" applyFont="1" applyBorder="1" applyAlignment="1">
      <alignment horizontal="center" vertical="center"/>
    </xf>
    <xf numFmtId="0" fontId="4" fillId="0" borderId="21" xfId="6" applyFont="1" applyBorder="1" applyAlignment="1">
      <alignment horizontal="center" vertical="center"/>
    </xf>
    <xf numFmtId="0" fontId="4" fillId="5" borderId="24" xfId="6" applyFont="1" applyFill="1" applyBorder="1" applyAlignment="1">
      <alignment vertical="center" wrapText="1"/>
    </xf>
    <xf numFmtId="0" fontId="3" fillId="5" borderId="26" xfId="6" applyFont="1" applyFill="1" applyBorder="1" applyAlignment="1">
      <alignment vertical="center"/>
    </xf>
    <xf numFmtId="0" fontId="3" fillId="5" borderId="1" xfId="6" applyFont="1" applyFill="1" applyBorder="1" applyAlignment="1">
      <alignment vertical="center"/>
    </xf>
    <xf numFmtId="0" fontId="3" fillId="5" borderId="4" xfId="6" applyFont="1" applyFill="1" applyBorder="1" applyAlignment="1">
      <alignment vertical="center"/>
    </xf>
    <xf numFmtId="0" fontId="3" fillId="5" borderId="2" xfId="6" applyFont="1" applyFill="1" applyBorder="1" applyAlignment="1">
      <alignment vertical="center"/>
    </xf>
    <xf numFmtId="0" fontId="3" fillId="5" borderId="5" xfId="6" applyFont="1" applyFill="1" applyBorder="1" applyAlignment="1">
      <alignment vertical="center"/>
    </xf>
    <xf numFmtId="0" fontId="4" fillId="5" borderId="24" xfId="6" applyFont="1" applyFill="1" applyBorder="1" applyAlignment="1">
      <alignment vertical="center"/>
    </xf>
    <xf numFmtId="0" fontId="3" fillId="5" borderId="25" xfId="6" applyFont="1" applyFill="1" applyBorder="1" applyAlignment="1">
      <alignment vertical="center"/>
    </xf>
    <xf numFmtId="0" fontId="3" fillId="5" borderId="0" xfId="6" applyFont="1" applyFill="1" applyAlignment="1">
      <alignment vertical="center"/>
    </xf>
    <xf numFmtId="0" fontId="3" fillId="5" borderId="3" xfId="6" applyFont="1" applyFill="1" applyBorder="1" applyAlignment="1">
      <alignment vertical="center"/>
    </xf>
    <xf numFmtId="0" fontId="3" fillId="5" borderId="38" xfId="6" applyFont="1" applyFill="1" applyBorder="1" applyAlignment="1">
      <alignment vertical="center" shrinkToFit="1"/>
    </xf>
    <xf numFmtId="0" fontId="3" fillId="5" borderId="39" xfId="6" applyFont="1" applyFill="1" applyBorder="1" applyAlignment="1">
      <alignment vertical="center" shrinkToFit="1"/>
    </xf>
    <xf numFmtId="0" fontId="3" fillId="5" borderId="40" xfId="6" applyFont="1" applyFill="1" applyBorder="1" applyAlignment="1">
      <alignment vertical="center" shrinkToFit="1"/>
    </xf>
    <xf numFmtId="0" fontId="4" fillId="5" borderId="38" xfId="6" applyFont="1" applyFill="1" applyBorder="1" applyAlignment="1">
      <alignment vertical="center" wrapText="1"/>
    </xf>
    <xf numFmtId="0" fontId="4" fillId="5" borderId="39" xfId="6" applyFont="1" applyFill="1" applyBorder="1" applyAlignment="1">
      <alignment vertical="center" wrapText="1"/>
    </xf>
    <xf numFmtId="0" fontId="4" fillId="5" borderId="40" xfId="6" applyFont="1" applyFill="1" applyBorder="1" applyAlignment="1">
      <alignment vertical="center" wrapText="1"/>
    </xf>
    <xf numFmtId="0" fontId="4" fillId="7" borderId="21" xfId="6" applyFont="1" applyFill="1" applyBorder="1" applyAlignment="1">
      <alignment vertical="center"/>
    </xf>
    <xf numFmtId="0" fontId="3" fillId="7" borderId="22" xfId="6" applyFont="1" applyFill="1" applyBorder="1" applyAlignment="1">
      <alignment vertical="center"/>
    </xf>
    <xf numFmtId="0" fontId="3" fillId="7" borderId="41" xfId="6" applyFont="1" applyFill="1" applyBorder="1" applyAlignment="1">
      <alignment vertical="center"/>
    </xf>
    <xf numFmtId="0" fontId="4" fillId="7" borderId="42" xfId="6" applyFont="1" applyFill="1" applyBorder="1" applyAlignment="1">
      <alignment vertical="center"/>
    </xf>
    <xf numFmtId="0" fontId="3" fillId="7" borderId="23" xfId="6" applyFont="1" applyFill="1" applyBorder="1" applyAlignment="1">
      <alignment vertical="center"/>
    </xf>
    <xf numFmtId="0" fontId="3" fillId="0" borderId="27" xfId="6" applyFont="1" applyBorder="1" applyAlignment="1">
      <alignment horizontal="center" vertical="center"/>
    </xf>
    <xf numFmtId="0" fontId="3" fillId="0" borderId="16" xfId="6" applyFont="1" applyBorder="1" applyAlignment="1">
      <alignment horizontal="center" vertical="center"/>
    </xf>
    <xf numFmtId="0" fontId="3" fillId="0" borderId="27" xfId="6" applyFont="1" applyBorder="1" applyAlignment="1">
      <alignment vertical="center"/>
    </xf>
    <xf numFmtId="0" fontId="3" fillId="0" borderId="28" xfId="6" applyFont="1" applyBorder="1" applyAlignment="1">
      <alignment vertical="center"/>
    </xf>
    <xf numFmtId="0" fontId="3" fillId="0" borderId="16" xfId="6" applyFont="1" applyBorder="1" applyAlignment="1">
      <alignment vertical="center"/>
    </xf>
    <xf numFmtId="0" fontId="4" fillId="0" borderId="27" xfId="6" applyFont="1" applyBorder="1" applyAlignment="1">
      <alignment horizontal="center" vertical="center"/>
    </xf>
    <xf numFmtId="0" fontId="3" fillId="0" borderId="28" xfId="6" applyFont="1" applyBorder="1" applyAlignment="1">
      <alignment horizontal="center" vertical="center"/>
    </xf>
    <xf numFmtId="0" fontId="4" fillId="6" borderId="21" xfId="6" applyFont="1" applyFill="1" applyBorder="1" applyAlignment="1">
      <alignment vertical="center"/>
    </xf>
    <xf numFmtId="0" fontId="3" fillId="6" borderId="22" xfId="6" applyFont="1" applyFill="1" applyBorder="1" applyAlignment="1">
      <alignment vertical="center"/>
    </xf>
    <xf numFmtId="0" fontId="3" fillId="6" borderId="23" xfId="6" applyFont="1" applyFill="1" applyBorder="1" applyAlignment="1">
      <alignment vertical="center"/>
    </xf>
    <xf numFmtId="0" fontId="4" fillId="4" borderId="24" xfId="6" applyFont="1" applyFill="1" applyBorder="1" applyAlignment="1">
      <alignment vertical="center"/>
    </xf>
    <xf numFmtId="0" fontId="3" fillId="4" borderId="25" xfId="6" applyFont="1" applyFill="1" applyBorder="1" applyAlignment="1">
      <alignment vertical="center"/>
    </xf>
    <xf numFmtId="0" fontId="3" fillId="4" borderId="26" xfId="6" applyFont="1" applyFill="1" applyBorder="1" applyAlignment="1">
      <alignment vertical="center"/>
    </xf>
    <xf numFmtId="0" fontId="3" fillId="4" borderId="1" xfId="6" applyFont="1" applyFill="1" applyBorder="1" applyAlignment="1">
      <alignment vertical="center"/>
    </xf>
    <xf numFmtId="0" fontId="3" fillId="4" borderId="0" xfId="6" applyFont="1" applyFill="1" applyAlignment="1">
      <alignment vertical="center"/>
    </xf>
    <xf numFmtId="0" fontId="3" fillId="4" borderId="4" xfId="6" applyFont="1" applyFill="1" applyBorder="1" applyAlignment="1">
      <alignment vertical="center"/>
    </xf>
    <xf numFmtId="0" fontId="3" fillId="4" borderId="2" xfId="6" applyFont="1" applyFill="1" applyBorder="1" applyAlignment="1">
      <alignment vertical="center"/>
    </xf>
    <xf numFmtId="0" fontId="3" fillId="4" borderId="3" xfId="6" applyFont="1" applyFill="1" applyBorder="1" applyAlignment="1">
      <alignment vertical="center"/>
    </xf>
    <xf numFmtId="0" fontId="3" fillId="4" borderId="5" xfId="6" applyFont="1" applyFill="1" applyBorder="1" applyAlignment="1">
      <alignment vertical="center"/>
    </xf>
    <xf numFmtId="0" fontId="4" fillId="6" borderId="21" xfId="6" applyFont="1" applyFill="1" applyBorder="1"/>
    <xf numFmtId="0" fontId="4" fillId="6" borderId="22" xfId="6" applyFont="1" applyFill="1" applyBorder="1"/>
    <xf numFmtId="0" fontId="4" fillId="6" borderId="23" xfId="6" applyFont="1" applyFill="1" applyBorder="1"/>
    <xf numFmtId="0" fontId="4" fillId="6" borderId="24" xfId="6" applyFont="1" applyFill="1" applyBorder="1" applyAlignment="1">
      <alignment vertical="center"/>
    </xf>
    <xf numFmtId="0" fontId="3" fillId="6" borderId="25" xfId="6" applyFont="1" applyFill="1" applyBorder="1" applyAlignment="1">
      <alignment vertical="center"/>
    </xf>
    <xf numFmtId="0" fontId="3" fillId="6" borderId="26" xfId="6" applyFont="1" applyFill="1" applyBorder="1" applyAlignment="1">
      <alignment vertical="center"/>
    </xf>
    <xf numFmtId="0" fontId="3" fillId="6" borderId="2" xfId="6" applyFont="1" applyFill="1" applyBorder="1" applyAlignment="1">
      <alignment vertical="center"/>
    </xf>
    <xf numFmtId="0" fontId="3" fillId="6" borderId="3" xfId="6" applyFont="1" applyFill="1" applyBorder="1" applyAlignment="1">
      <alignment vertical="center"/>
    </xf>
    <xf numFmtId="0" fontId="3" fillId="6" borderId="5" xfId="6" applyFont="1" applyFill="1" applyBorder="1" applyAlignment="1">
      <alignment vertical="center"/>
    </xf>
    <xf numFmtId="0" fontId="3" fillId="7" borderId="24" xfId="6" applyFont="1" applyFill="1" applyBorder="1" applyAlignment="1">
      <alignment vertical="center" wrapText="1"/>
    </xf>
    <xf numFmtId="0" fontId="3" fillId="7" borderId="2" xfId="6" applyFont="1" applyFill="1" applyBorder="1" applyAlignment="1">
      <alignment vertical="center" wrapText="1"/>
    </xf>
    <xf numFmtId="0" fontId="4" fillId="7" borderId="38" xfId="6" applyFont="1" applyFill="1" applyBorder="1" applyAlignment="1">
      <alignment vertical="center" wrapText="1"/>
    </xf>
    <xf numFmtId="0" fontId="4" fillId="7" borderId="40" xfId="6" applyFont="1" applyFill="1" applyBorder="1" applyAlignment="1">
      <alignment vertical="center" wrapText="1"/>
    </xf>
    <xf numFmtId="0" fontId="4" fillId="7" borderId="26" xfId="6" applyFont="1" applyFill="1" applyBorder="1" applyAlignment="1">
      <alignment vertical="center" wrapText="1"/>
    </xf>
    <xf numFmtId="0" fontId="4" fillId="7" borderId="5" xfId="6" applyFont="1" applyFill="1" applyBorder="1" applyAlignment="1">
      <alignment vertical="center" wrapText="1"/>
    </xf>
    <xf numFmtId="0" fontId="4" fillId="0" borderId="27" xfId="6" applyFont="1" applyBorder="1" applyAlignment="1">
      <alignment horizontal="left" vertical="center" wrapText="1"/>
    </xf>
    <xf numFmtId="0" fontId="4" fillId="0" borderId="28" xfId="6" applyFont="1" applyBorder="1" applyAlignment="1">
      <alignment horizontal="left" vertical="center" wrapText="1"/>
    </xf>
    <xf numFmtId="0" fontId="4" fillId="0" borderId="16" xfId="6" applyFont="1" applyBorder="1" applyAlignment="1">
      <alignment horizontal="left" vertical="center" wrapText="1"/>
    </xf>
    <xf numFmtId="0" fontId="3" fillId="0" borderId="27" xfId="6" applyFont="1" applyBorder="1" applyAlignment="1">
      <alignment horizontal="left" vertical="center"/>
    </xf>
    <xf numFmtId="0" fontId="3" fillId="0" borderId="28" xfId="6" applyFont="1" applyBorder="1" applyAlignment="1">
      <alignment horizontal="left" vertical="center"/>
    </xf>
    <xf numFmtId="0" fontId="3" fillId="0" borderId="16" xfId="6" applyFont="1" applyBorder="1" applyAlignment="1">
      <alignment horizontal="left" vertical="center"/>
    </xf>
    <xf numFmtId="0" fontId="4" fillId="0" borderId="27" xfId="6" applyFont="1" applyBorder="1" applyAlignment="1">
      <alignment horizontal="center" vertical="center" wrapText="1"/>
    </xf>
    <xf numFmtId="0" fontId="4" fillId="0" borderId="28" xfId="6" applyFont="1" applyBorder="1" applyAlignment="1">
      <alignment horizontal="center" vertical="center" wrapText="1"/>
    </xf>
    <xf numFmtId="0" fontId="4" fillId="0" borderId="16" xfId="6" applyFont="1" applyBorder="1" applyAlignment="1">
      <alignment horizontal="center" vertical="center" wrapText="1"/>
    </xf>
    <xf numFmtId="0" fontId="3" fillId="4" borderId="32" xfId="6" applyFont="1" applyFill="1" applyBorder="1" applyAlignment="1">
      <alignment horizontal="center" vertical="center"/>
    </xf>
    <xf numFmtId="0" fontId="3" fillId="4" borderId="33" xfId="6" applyFont="1" applyFill="1" applyBorder="1" applyAlignment="1">
      <alignment horizontal="center" vertical="center"/>
    </xf>
    <xf numFmtId="0" fontId="3" fillId="4" borderId="34" xfId="6" applyFont="1" applyFill="1" applyBorder="1" applyAlignment="1">
      <alignment horizontal="center" vertical="center"/>
    </xf>
    <xf numFmtId="0" fontId="6" fillId="0" borderId="32" xfId="6" quotePrefix="1" applyFont="1" applyBorder="1" applyAlignment="1">
      <alignment horizontal="left" vertical="center" wrapText="1"/>
    </xf>
    <xf numFmtId="0" fontId="6" fillId="0" borderId="33" xfId="6" applyFont="1" applyBorder="1" applyAlignment="1">
      <alignment horizontal="left" vertical="center" wrapText="1"/>
    </xf>
    <xf numFmtId="0" fontId="6" fillId="0" borderId="34" xfId="6" applyFont="1" applyBorder="1" applyAlignment="1">
      <alignment horizontal="left" vertical="center" wrapText="1"/>
    </xf>
    <xf numFmtId="0" fontId="4" fillId="3" borderId="32" xfId="6" applyFont="1" applyFill="1" applyBorder="1" applyAlignment="1">
      <alignment horizontal="center" vertical="center"/>
    </xf>
    <xf numFmtId="0" fontId="6" fillId="0" borderId="32" xfId="6" quotePrefix="1" applyFont="1" applyBorder="1" applyAlignment="1">
      <alignment horizontal="center" vertical="center" wrapText="1"/>
    </xf>
    <xf numFmtId="0" fontId="6" fillId="0" borderId="33" xfId="6" applyFont="1" applyBorder="1" applyAlignment="1">
      <alignment horizontal="center" vertical="center" wrapText="1"/>
    </xf>
    <xf numFmtId="0" fontId="6" fillId="0" borderId="34" xfId="6" applyFont="1" applyBorder="1" applyAlignment="1">
      <alignment horizontal="center" vertical="center" wrapText="1"/>
    </xf>
    <xf numFmtId="0" fontId="3" fillId="0" borderId="29" xfId="6" quotePrefix="1" applyFont="1" applyBorder="1" applyAlignment="1">
      <alignment vertical="center" wrapText="1"/>
    </xf>
    <xf numFmtId="0" fontId="3" fillId="0" borderId="30" xfId="6" quotePrefix="1" applyFont="1" applyBorder="1" applyAlignment="1">
      <alignment vertical="center" wrapText="1"/>
    </xf>
    <xf numFmtId="0" fontId="3" fillId="0" borderId="31" xfId="6" quotePrefix="1" applyFont="1" applyBorder="1" applyAlignment="1">
      <alignment vertical="center" wrapText="1"/>
    </xf>
    <xf numFmtId="0" fontId="4" fillId="0" borderId="29" xfId="6" applyFont="1" applyBorder="1" applyAlignment="1">
      <alignment horizontal="left" vertical="center"/>
    </xf>
    <xf numFmtId="0" fontId="3" fillId="0" borderId="30" xfId="6" applyFont="1" applyBorder="1" applyAlignment="1">
      <alignment horizontal="left" vertical="center"/>
    </xf>
    <xf numFmtId="0" fontId="3" fillId="0" borderId="31" xfId="6" applyFont="1" applyBorder="1" applyAlignment="1">
      <alignment horizontal="left" vertical="center"/>
    </xf>
    <xf numFmtId="0" fontId="4" fillId="4" borderId="32" xfId="6" applyFont="1" applyFill="1" applyBorder="1" applyAlignment="1">
      <alignment horizontal="center" vertical="center"/>
    </xf>
    <xf numFmtId="0" fontId="4" fillId="0" borderId="33" xfId="6" applyFont="1" applyBorder="1" applyAlignment="1">
      <alignment horizontal="left" vertical="center"/>
    </xf>
    <xf numFmtId="0" fontId="4" fillId="0" borderId="34" xfId="6" applyFont="1" applyBorder="1" applyAlignment="1">
      <alignment horizontal="left" vertical="center"/>
    </xf>
    <xf numFmtId="0" fontId="4" fillId="0" borderId="29" xfId="6" applyFont="1" applyBorder="1" applyAlignment="1">
      <alignment horizontal="left" vertical="center" wrapText="1"/>
    </xf>
    <xf numFmtId="0" fontId="4" fillId="8" borderId="27" xfId="6" applyFont="1" applyFill="1" applyBorder="1" applyAlignment="1">
      <alignment horizontal="left" vertical="center" wrapText="1"/>
    </xf>
    <xf numFmtId="0" fontId="4" fillId="8" borderId="28" xfId="6" applyFont="1" applyFill="1" applyBorder="1" applyAlignment="1">
      <alignment horizontal="left" vertical="center" wrapText="1"/>
    </xf>
    <xf numFmtId="0" fontId="4" fillId="8" borderId="16" xfId="6" applyFont="1" applyFill="1" applyBorder="1" applyAlignment="1">
      <alignment horizontal="left" vertical="center" wrapText="1"/>
    </xf>
    <xf numFmtId="0" fontId="3" fillId="8" borderId="32" xfId="6" quotePrefix="1" applyFont="1" applyFill="1" applyBorder="1" applyAlignment="1">
      <alignment horizontal="center" vertical="center"/>
    </xf>
    <xf numFmtId="0" fontId="3" fillId="8" borderId="33" xfId="6" applyFont="1" applyFill="1" applyBorder="1" applyAlignment="1">
      <alignment horizontal="center" vertical="center"/>
    </xf>
    <xf numFmtId="0" fontId="3" fillId="8" borderId="34" xfId="6" applyFont="1" applyFill="1" applyBorder="1" applyAlignment="1">
      <alignment horizontal="center" vertical="center"/>
    </xf>
    <xf numFmtId="0" fontId="4" fillId="8" borderId="32" xfId="6" quotePrefix="1" applyFont="1" applyFill="1" applyBorder="1" applyAlignment="1">
      <alignment horizontal="center" vertical="center" wrapText="1"/>
    </xf>
    <xf numFmtId="0" fontId="4" fillId="8" borderId="33" xfId="6" applyFont="1" applyFill="1" applyBorder="1" applyAlignment="1">
      <alignment horizontal="center" vertical="center" wrapText="1"/>
    </xf>
    <xf numFmtId="0" fontId="4" fillId="8" borderId="34" xfId="6" applyFont="1" applyFill="1" applyBorder="1" applyAlignment="1">
      <alignment horizontal="center" vertical="center" wrapText="1"/>
    </xf>
    <xf numFmtId="0" fontId="4" fillId="0" borderId="33" xfId="6" quotePrefix="1" applyFont="1" applyBorder="1" applyAlignment="1">
      <alignment horizontal="center" vertical="center" wrapText="1"/>
    </xf>
    <xf numFmtId="0" fontId="4" fillId="0" borderId="34" xfId="6" quotePrefix="1" applyFont="1" applyBorder="1" applyAlignment="1">
      <alignment horizontal="center" vertical="center" wrapText="1"/>
    </xf>
    <xf numFmtId="0" fontId="4" fillId="3" borderId="29" xfId="6" applyFont="1" applyFill="1" applyBorder="1" applyAlignment="1">
      <alignment horizontal="center" vertical="center"/>
    </xf>
    <xf numFmtId="0" fontId="3" fillId="3" borderId="30" xfId="6" applyFont="1" applyFill="1" applyBorder="1" applyAlignment="1">
      <alignment horizontal="center" vertical="center"/>
    </xf>
    <xf numFmtId="0" fontId="3" fillId="3" borderId="31" xfId="6" applyFont="1" applyFill="1" applyBorder="1" applyAlignment="1">
      <alignment horizontal="center" vertical="center"/>
    </xf>
    <xf numFmtId="0" fontId="3" fillId="0" borderId="29" xfId="6" applyFont="1" applyBorder="1" applyAlignment="1">
      <alignment horizontal="left" vertical="center"/>
    </xf>
    <xf numFmtId="0" fontId="8" fillId="2" borderId="21"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23" xfId="0" applyFont="1" applyFill="1" applyBorder="1" applyAlignment="1">
      <alignment horizontal="center" vertical="center"/>
    </xf>
    <xf numFmtId="0" fontId="10"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2" fillId="0" borderId="0" xfId="0" applyFont="1"/>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4"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xf numFmtId="14" fontId="12" fillId="0" borderId="24" xfId="0" applyNumberFormat="1" applyFont="1" applyBorder="1" applyAlignment="1">
      <alignment horizontal="center" vertical="center"/>
    </xf>
    <xf numFmtId="14" fontId="12" fillId="0" borderId="25" xfId="0" applyNumberFormat="1" applyFont="1" applyBorder="1" applyAlignment="1">
      <alignment horizontal="center" vertical="center"/>
    </xf>
    <xf numFmtId="14" fontId="12" fillId="0" borderId="26" xfId="0" applyNumberFormat="1" applyFont="1" applyBorder="1" applyAlignment="1">
      <alignment horizontal="center" vertical="center"/>
    </xf>
    <xf numFmtId="2" fontId="12" fillId="0" borderId="24" xfId="0" applyNumberFormat="1" applyFont="1" applyBorder="1" applyAlignment="1">
      <alignment horizontal="center" vertical="center"/>
    </xf>
    <xf numFmtId="2" fontId="12" fillId="0" borderId="25" xfId="0" applyNumberFormat="1" applyFont="1" applyBorder="1" applyAlignment="1">
      <alignment horizontal="center" vertical="center"/>
    </xf>
    <xf numFmtId="2" fontId="12" fillId="0" borderId="26" xfId="0" applyNumberFormat="1"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14" fontId="12" fillId="0" borderId="2" xfId="0" applyNumberFormat="1" applyFont="1" applyBorder="1" applyAlignment="1">
      <alignment horizontal="center" vertical="center"/>
    </xf>
    <xf numFmtId="14" fontId="12" fillId="0" borderId="3" xfId="0" applyNumberFormat="1" applyFont="1" applyBorder="1" applyAlignment="1">
      <alignment horizontal="center" vertical="center"/>
    </xf>
    <xf numFmtId="14" fontId="12" fillId="0" borderId="5" xfId="0" applyNumberFormat="1" applyFont="1" applyBorder="1" applyAlignment="1">
      <alignment horizontal="center" vertical="center"/>
    </xf>
    <xf numFmtId="2" fontId="12" fillId="0" borderId="2" xfId="0" applyNumberFormat="1" applyFont="1" applyBorder="1" applyAlignment="1">
      <alignment horizontal="center" vertical="center"/>
    </xf>
    <xf numFmtId="2" fontId="12" fillId="0" borderId="3" xfId="0" applyNumberFormat="1" applyFont="1" applyBorder="1" applyAlignment="1">
      <alignment horizontal="center" vertical="center"/>
    </xf>
    <xf numFmtId="2" fontId="12" fillId="0" borderId="5" xfId="0" applyNumberFormat="1"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12" fillId="0" borderId="2" xfId="0" applyFont="1" applyBorder="1"/>
    <xf numFmtId="0" fontId="12" fillId="0" borderId="3" xfId="0" applyFont="1" applyBorder="1"/>
    <xf numFmtId="0" fontId="12" fillId="0" borderId="5" xfId="0" applyFont="1" applyBorder="1"/>
    <xf numFmtId="0" fontId="12" fillId="0" borderId="1" xfId="0" applyFont="1" applyBorder="1"/>
    <xf numFmtId="0" fontId="12" fillId="0" borderId="4" xfId="0" applyFont="1" applyBorder="1"/>
    <xf numFmtId="0" fontId="12" fillId="0" borderId="7" xfId="0" applyFont="1" applyBorder="1"/>
    <xf numFmtId="0" fontId="12" fillId="0" borderId="8" xfId="0" applyFont="1" applyBorder="1"/>
    <xf numFmtId="0" fontId="12" fillId="0" borderId="11" xfId="0" applyFont="1" applyBorder="1"/>
    <xf numFmtId="0" fontId="12" fillId="0" borderId="6" xfId="0" applyFont="1" applyBorder="1"/>
    <xf numFmtId="0" fontId="13" fillId="0" borderId="0" xfId="0" applyFont="1" applyAlignment="1">
      <alignment horizontal="center" vertical="center"/>
    </xf>
    <xf numFmtId="0" fontId="14" fillId="0" borderId="0" xfId="0" applyFont="1" applyAlignment="1">
      <alignment horizontal="center" vertical="center"/>
    </xf>
    <xf numFmtId="0" fontId="12" fillId="0" borderId="12" xfId="0" applyFont="1" applyBorder="1"/>
    <xf numFmtId="0" fontId="12" fillId="0" borderId="14" xfId="0" applyFont="1" applyBorder="1"/>
    <xf numFmtId="0" fontId="12" fillId="0" borderId="15" xfId="0" applyFont="1" applyBorder="1"/>
    <xf numFmtId="0" fontId="12" fillId="0" borderId="9" xfId="0" applyFont="1" applyBorder="1"/>
    <xf numFmtId="0" fontId="12" fillId="0" borderId="10" xfId="0" applyFont="1" applyBorder="1"/>
    <xf numFmtId="0" fontId="12" fillId="0" borderId="13" xfId="0" applyFont="1" applyBorder="1"/>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5" xfId="0" applyFont="1" applyFill="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1" fillId="0" borderId="24" xfId="0" applyFont="1" applyBorder="1" applyAlignment="1">
      <alignment horizontal="center" vertical="center"/>
    </xf>
    <xf numFmtId="0" fontId="8" fillId="2" borderId="0" xfId="0" applyFont="1" applyFill="1"/>
    <xf numFmtId="0" fontId="12" fillId="0" borderId="27" xfId="0" applyFont="1" applyBorder="1"/>
    <xf numFmtId="0" fontId="12" fillId="0" borderId="28" xfId="0" applyFont="1" applyBorder="1"/>
    <xf numFmtId="0" fontId="12" fillId="0" borderId="16" xfId="0" applyFont="1" applyBorder="1"/>
    <xf numFmtId="0" fontId="12" fillId="0" borderId="25" xfId="0" applyFont="1" applyBorder="1"/>
    <xf numFmtId="0" fontId="12" fillId="0" borderId="26" xfId="0" applyFont="1" applyBorder="1"/>
    <xf numFmtId="0" fontId="12" fillId="0" borderId="24" xfId="0" applyFont="1" applyBorder="1"/>
    <xf numFmtId="0" fontId="12" fillId="0" borderId="29" xfId="0" applyFont="1" applyBorder="1"/>
    <xf numFmtId="0" fontId="12" fillId="0" borderId="30" xfId="0" applyFont="1" applyBorder="1"/>
    <xf numFmtId="0" fontId="12" fillId="0" borderId="31" xfId="0" applyFont="1" applyBorder="1"/>
    <xf numFmtId="0" fontId="12" fillId="0" borderId="3" xfId="0" applyFont="1" applyBorder="1"/>
    <xf numFmtId="0" fontId="12" fillId="0" borderId="5" xfId="0" applyFont="1" applyBorder="1"/>
    <xf numFmtId="0" fontId="12" fillId="0" borderId="2" xfId="0" applyFont="1" applyBorder="1"/>
    <xf numFmtId="14" fontId="15" fillId="0" borderId="24" xfId="0" applyNumberFormat="1"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4" xfId="0" applyFont="1" applyBorder="1" applyAlignment="1">
      <alignment horizontal="center" vertical="center"/>
    </xf>
    <xf numFmtId="0" fontId="15" fillId="0" borderId="27" xfId="0" applyFont="1" applyBorder="1"/>
    <xf numFmtId="0" fontId="15" fillId="0" borderId="28" xfId="0" applyFont="1" applyBorder="1"/>
    <xf numFmtId="0" fontId="15" fillId="0" borderId="16" xfId="0" applyFont="1" applyBorder="1"/>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29" xfId="0" applyFont="1" applyBorder="1"/>
    <xf numFmtId="0" fontId="15" fillId="0" borderId="30" xfId="0" applyFont="1" applyBorder="1"/>
    <xf numFmtId="0" fontId="15" fillId="0" borderId="31" xfId="0" applyFont="1" applyBorder="1"/>
    <xf numFmtId="0" fontId="8" fillId="2" borderId="21" xfId="6" applyFont="1" applyFill="1" applyBorder="1" applyAlignment="1">
      <alignment horizontal="center" vertical="center"/>
    </xf>
    <xf numFmtId="0" fontId="8" fillId="2" borderId="22" xfId="6" applyFont="1" applyFill="1" applyBorder="1" applyAlignment="1">
      <alignment horizontal="center" vertical="center"/>
    </xf>
    <xf numFmtId="0" fontId="8" fillId="2" borderId="23" xfId="6" applyFont="1" applyFill="1" applyBorder="1" applyAlignment="1">
      <alignment horizontal="center" vertical="center"/>
    </xf>
    <xf numFmtId="0" fontId="11" fillId="0" borderId="24" xfId="6" applyFont="1" applyBorder="1" applyAlignment="1">
      <alignment horizontal="center" vertical="center"/>
    </xf>
    <xf numFmtId="0" fontId="11" fillId="0" borderId="25" xfId="6" applyFont="1" applyBorder="1" applyAlignment="1">
      <alignment horizontal="center" vertical="center"/>
    </xf>
    <xf numFmtId="0" fontId="11" fillId="0" borderId="26" xfId="6" applyFont="1" applyBorder="1" applyAlignment="1">
      <alignment horizontal="center" vertical="center"/>
    </xf>
    <xf numFmtId="0" fontId="11" fillId="0" borderId="1" xfId="6" applyFont="1" applyBorder="1" applyAlignment="1">
      <alignment horizontal="center" vertical="center"/>
    </xf>
    <xf numFmtId="0" fontId="11" fillId="0" borderId="0" xfId="6" applyFont="1" applyAlignment="1">
      <alignment horizontal="center" vertical="center"/>
    </xf>
    <xf numFmtId="0" fontId="11" fillId="0" borderId="4" xfId="6" applyFont="1" applyBorder="1" applyAlignment="1">
      <alignment horizontal="center" vertical="center"/>
    </xf>
    <xf numFmtId="0" fontId="11" fillId="0" borderId="2" xfId="6" applyFont="1" applyBorder="1" applyAlignment="1">
      <alignment horizontal="center" vertical="center"/>
    </xf>
    <xf numFmtId="0" fontId="11" fillId="0" borderId="3" xfId="6" applyFont="1" applyBorder="1" applyAlignment="1">
      <alignment horizontal="center" vertical="center"/>
    </xf>
    <xf numFmtId="0" fontId="11" fillId="0" borderId="5" xfId="6" applyFont="1" applyBorder="1" applyAlignment="1">
      <alignment horizontal="center" vertical="center"/>
    </xf>
    <xf numFmtId="0" fontId="12" fillId="0" borderId="0" xfId="6" applyFont="1" applyAlignment="1">
      <alignment vertical="center"/>
    </xf>
    <xf numFmtId="0" fontId="12" fillId="0" borderId="27" xfId="6" applyFont="1" applyBorder="1" applyAlignment="1">
      <alignment vertical="center" wrapText="1"/>
    </xf>
    <xf numFmtId="0" fontId="12" fillId="0" borderId="28" xfId="6" applyFont="1" applyBorder="1" applyAlignment="1">
      <alignment vertical="center" wrapText="1"/>
    </xf>
    <xf numFmtId="0" fontId="12" fillId="0" borderId="16" xfId="6" applyFont="1" applyBorder="1" applyAlignment="1">
      <alignment vertical="center" wrapText="1"/>
    </xf>
    <xf numFmtId="0" fontId="12" fillId="0" borderId="33" xfId="6" applyFont="1" applyBorder="1" applyAlignment="1">
      <alignment vertical="center"/>
    </xf>
    <xf numFmtId="0" fontId="12" fillId="0" borderId="34" xfId="6" applyFont="1" applyBorder="1" applyAlignment="1">
      <alignment vertical="center"/>
    </xf>
    <xf numFmtId="0" fontId="12" fillId="0" borderId="32" xfId="6" quotePrefix="1" applyFont="1" applyBorder="1" applyAlignment="1">
      <alignment horizontal="left" vertical="center" wrapText="1"/>
    </xf>
    <xf numFmtId="0" fontId="12" fillId="0" borderId="33" xfId="6" applyFont="1" applyBorder="1" applyAlignment="1">
      <alignment horizontal="left" vertical="center"/>
    </xf>
    <xf numFmtId="0" fontId="12" fillId="0" borderId="34" xfId="6" applyFont="1" applyBorder="1" applyAlignment="1">
      <alignment horizontal="left" vertical="center"/>
    </xf>
    <xf numFmtId="0" fontId="12" fillId="0" borderId="32" xfId="6" applyFont="1" applyBorder="1" applyAlignment="1">
      <alignment horizontal="left" vertical="center" wrapText="1"/>
    </xf>
    <xf numFmtId="0" fontId="12" fillId="0" borderId="33" xfId="6" applyFont="1" applyBorder="1" applyAlignment="1">
      <alignment horizontal="left" vertical="center" wrapText="1"/>
    </xf>
    <xf numFmtId="0" fontId="12" fillId="0" borderId="34" xfId="6" applyFont="1" applyBorder="1" applyAlignment="1">
      <alignment horizontal="left" vertical="center" wrapText="1"/>
    </xf>
    <xf numFmtId="0" fontId="12" fillId="0" borderId="32" xfId="6" applyFont="1" applyBorder="1" applyAlignment="1">
      <alignment vertical="center" wrapText="1"/>
    </xf>
    <xf numFmtId="0" fontId="12" fillId="0" borderId="33" xfId="6" applyFont="1" applyBorder="1" applyAlignment="1">
      <alignment vertical="center" wrapText="1"/>
    </xf>
    <xf numFmtId="0" fontId="12" fillId="0" borderId="34" xfId="6" applyFont="1" applyBorder="1" applyAlignment="1">
      <alignment vertical="center" wrapText="1"/>
    </xf>
    <xf numFmtId="0" fontId="12" fillId="0" borderId="35" xfId="6" quotePrefix="1" applyFont="1" applyBorder="1" applyAlignment="1">
      <alignment vertical="center" wrapText="1"/>
    </xf>
    <xf numFmtId="0" fontId="12" fillId="0" borderId="36" xfId="6" quotePrefix="1" applyFont="1" applyBorder="1" applyAlignment="1">
      <alignment vertical="center" wrapText="1"/>
    </xf>
    <xf numFmtId="0" fontId="12" fillId="0" borderId="37" xfId="6" quotePrefix="1" applyFont="1" applyBorder="1" applyAlignment="1">
      <alignment vertical="center" wrapText="1"/>
    </xf>
    <xf numFmtId="0" fontId="12" fillId="0" borderId="35" xfId="6" applyFont="1" applyBorder="1" applyAlignment="1">
      <alignment vertical="center"/>
    </xf>
    <xf numFmtId="0" fontId="12" fillId="0" borderId="36" xfId="6" applyFont="1" applyBorder="1" applyAlignment="1">
      <alignment vertical="center"/>
    </xf>
    <xf numFmtId="0" fontId="12" fillId="0" borderId="37" xfId="6" applyFont="1" applyBorder="1" applyAlignment="1">
      <alignment vertical="center"/>
    </xf>
    <xf numFmtId="0" fontId="12" fillId="0" borderId="32" xfId="6" applyFont="1" applyBorder="1" applyAlignment="1">
      <alignment vertical="center"/>
    </xf>
    <xf numFmtId="0" fontId="12" fillId="0" borderId="35" xfId="6" applyFont="1" applyBorder="1" applyAlignment="1">
      <alignment vertical="center" wrapText="1"/>
    </xf>
    <xf numFmtId="0" fontId="12" fillId="0" borderId="35" xfId="6" quotePrefix="1" applyFont="1" applyBorder="1" applyAlignment="1">
      <alignment vertical="center"/>
    </xf>
    <xf numFmtId="0" fontId="12" fillId="0" borderId="36" xfId="6" quotePrefix="1" applyFont="1" applyBorder="1" applyAlignment="1">
      <alignment vertical="center"/>
    </xf>
    <xf numFmtId="0" fontId="12" fillId="0" borderId="37" xfId="6" quotePrefix="1" applyFont="1" applyBorder="1" applyAlignment="1">
      <alignment vertical="center"/>
    </xf>
    <xf numFmtId="0" fontId="12" fillId="0" borderId="29" xfId="6" applyFont="1" applyBorder="1" applyAlignment="1">
      <alignment horizontal="left" vertical="center" wrapText="1"/>
    </xf>
    <xf numFmtId="0" fontId="12" fillId="0" borderId="30" xfId="6" applyFont="1" applyBorder="1" applyAlignment="1">
      <alignment horizontal="left" vertical="center" wrapText="1"/>
    </xf>
    <xf numFmtId="0" fontId="12" fillId="0" borderId="31" xfId="6" applyFont="1" applyBorder="1" applyAlignment="1">
      <alignment horizontal="left" vertical="center" wrapText="1"/>
    </xf>
    <xf numFmtId="0" fontId="12" fillId="0" borderId="29" xfId="6" applyFont="1" applyBorder="1" applyAlignment="1">
      <alignment vertical="center" wrapText="1"/>
    </xf>
    <xf numFmtId="0" fontId="12" fillId="0" borderId="30" xfId="6" applyFont="1" applyBorder="1" applyAlignment="1">
      <alignment vertical="center"/>
    </xf>
    <xf numFmtId="0" fontId="12" fillId="0" borderId="31" xfId="6" applyFont="1" applyBorder="1" applyAlignment="1">
      <alignment vertical="center"/>
    </xf>
    <xf numFmtId="0" fontId="12" fillId="0" borderId="29" xfId="6" applyFont="1" applyBorder="1" applyAlignment="1">
      <alignment vertical="center"/>
    </xf>
    <xf numFmtId="0" fontId="12" fillId="0" borderId="33" xfId="6" quotePrefix="1" applyFont="1" applyBorder="1" applyAlignment="1">
      <alignment horizontal="left" vertical="center" wrapText="1"/>
    </xf>
    <xf numFmtId="0" fontId="12" fillId="0" borderId="34" xfId="6" quotePrefix="1" applyFont="1" applyBorder="1" applyAlignment="1">
      <alignment horizontal="left"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xdr:row>
      <xdr:rowOff>1</xdr:rowOff>
    </xdr:from>
    <xdr:to>
      <xdr:col>59</xdr:col>
      <xdr:colOff>211078</xdr:colOff>
      <xdr:row>30</xdr:row>
      <xdr:rowOff>134470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533400" y="1638300"/>
          <a:ext cx="15411450" cy="4324350"/>
        </a:xfrm>
        <a:prstGeom prst="rect">
          <a:avLst/>
        </a:prstGeom>
      </xdr:spPr>
    </xdr:pic>
    <xdr:clientData/>
  </xdr:twoCellAnchor>
  <xdr:twoCellAnchor>
    <xdr:from>
      <xdr:col>1</xdr:col>
      <xdr:colOff>127745</xdr:colOff>
      <xdr:row>18</xdr:row>
      <xdr:rowOff>72455</xdr:rowOff>
    </xdr:from>
    <xdr:to>
      <xdr:col>2</xdr:col>
      <xdr:colOff>145284</xdr:colOff>
      <xdr:row>19</xdr:row>
      <xdr:rowOff>106073</xdr:rowOff>
    </xdr:to>
    <xdr:sp macro="" textlink="" fLocksText="0">
      <xdr:nvSpPr>
        <xdr:cNvPr id="6" name="Rectangle 5">
          <a:extLst>
            <a:ext uri="{FF2B5EF4-FFF2-40B4-BE49-F238E27FC236}">
              <a16:creationId xmlns:a16="http://schemas.microsoft.com/office/drawing/2014/main" id="{00000000-0008-0000-0200-000006000000}"/>
            </a:ext>
          </a:extLst>
        </xdr:cNvPr>
        <xdr:cNvSpPr/>
      </xdr:nvSpPr>
      <xdr:spPr>
        <a:xfrm>
          <a:off x="390525" y="36195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10</xdr:col>
      <xdr:colOff>159536</xdr:colOff>
      <xdr:row>18</xdr:row>
      <xdr:rowOff>87096</xdr:rowOff>
    </xdr:from>
    <xdr:to>
      <xdr:col>11</xdr:col>
      <xdr:colOff>180129</xdr:colOff>
      <xdr:row>19</xdr:row>
      <xdr:rowOff>118174</xdr:rowOff>
    </xdr:to>
    <xdr:sp macro="" textlink="" fLocksText="0">
      <xdr:nvSpPr>
        <xdr:cNvPr id="7" name="Rectangle 6">
          <a:extLst>
            <a:ext uri="{FF2B5EF4-FFF2-40B4-BE49-F238E27FC236}">
              <a16:creationId xmlns:a16="http://schemas.microsoft.com/office/drawing/2014/main" id="{00000000-0008-0000-0200-000007000000}"/>
            </a:ext>
          </a:extLst>
        </xdr:cNvPr>
        <xdr:cNvSpPr/>
      </xdr:nvSpPr>
      <xdr:spPr>
        <a:xfrm>
          <a:off x="2828925" y="36290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1</xdr:col>
      <xdr:colOff>107576</xdr:colOff>
      <xdr:row>19</xdr:row>
      <xdr:rowOff>164343</xdr:rowOff>
    </xdr:from>
    <xdr:to>
      <xdr:col>2</xdr:col>
      <xdr:colOff>125115</xdr:colOff>
      <xdr:row>21</xdr:row>
      <xdr:rowOff>7461</xdr:rowOff>
    </xdr:to>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371475" y="389572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6</xdr:col>
      <xdr:colOff>136713</xdr:colOff>
      <xdr:row>19</xdr:row>
      <xdr:rowOff>148653</xdr:rowOff>
    </xdr:from>
    <xdr:to>
      <xdr:col>7</xdr:col>
      <xdr:colOff>154251</xdr:colOff>
      <xdr:row>20</xdr:row>
      <xdr:rowOff>182271</xdr:rowOff>
    </xdr:to>
    <xdr:sp macro="" textlink="" fLocksText="0">
      <xdr:nvSpPr>
        <xdr:cNvPr id="9" name="Rectangle 8">
          <a:extLst>
            <a:ext uri="{FF2B5EF4-FFF2-40B4-BE49-F238E27FC236}">
              <a16:creationId xmlns:a16="http://schemas.microsoft.com/office/drawing/2014/main" id="{00000000-0008-0000-0200-000009000000}"/>
            </a:ext>
          </a:extLst>
        </xdr:cNvPr>
        <xdr:cNvSpPr/>
      </xdr:nvSpPr>
      <xdr:spPr>
        <a:xfrm>
          <a:off x="1733550" y="38862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1</xdr:col>
      <xdr:colOff>121024</xdr:colOff>
      <xdr:row>21</xdr:row>
      <xdr:rowOff>43320</xdr:rowOff>
    </xdr:from>
    <xdr:to>
      <xdr:col>2</xdr:col>
      <xdr:colOff>138563</xdr:colOff>
      <xdr:row>22</xdr:row>
      <xdr:rowOff>76938</xdr:rowOff>
    </xdr:to>
    <xdr:sp macro="" textlink="" fLocksText="0">
      <xdr:nvSpPr>
        <xdr:cNvPr id="10" name="Rectangle 9">
          <a:extLst>
            <a:ext uri="{FF2B5EF4-FFF2-40B4-BE49-F238E27FC236}">
              <a16:creationId xmlns:a16="http://schemas.microsoft.com/office/drawing/2014/main" id="{00000000-0008-0000-0200-00000A000000}"/>
            </a:ext>
          </a:extLst>
        </xdr:cNvPr>
        <xdr:cNvSpPr/>
      </xdr:nvSpPr>
      <xdr:spPr>
        <a:xfrm>
          <a:off x="390525" y="41624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6</xdr:col>
      <xdr:colOff>150161</xdr:colOff>
      <xdr:row>21</xdr:row>
      <xdr:rowOff>50044</xdr:rowOff>
    </xdr:from>
    <xdr:to>
      <xdr:col>7</xdr:col>
      <xdr:colOff>167699</xdr:colOff>
      <xdr:row>22</xdr:row>
      <xdr:rowOff>83662</xdr:rowOff>
    </xdr:to>
    <xdr:sp macro="" textlink="" fLocksText="0">
      <xdr:nvSpPr>
        <xdr:cNvPr id="11" name="Rectangle 10">
          <a:extLst>
            <a:ext uri="{FF2B5EF4-FFF2-40B4-BE49-F238E27FC236}">
              <a16:creationId xmlns:a16="http://schemas.microsoft.com/office/drawing/2014/main" id="{00000000-0008-0000-0200-00000B000000}"/>
            </a:ext>
          </a:extLst>
        </xdr:cNvPr>
        <xdr:cNvSpPr/>
      </xdr:nvSpPr>
      <xdr:spPr>
        <a:xfrm>
          <a:off x="1752600" y="416242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1</xdr:col>
      <xdr:colOff>127748</xdr:colOff>
      <xdr:row>23</xdr:row>
      <xdr:rowOff>184514</xdr:rowOff>
    </xdr:from>
    <xdr:to>
      <xdr:col>2</xdr:col>
      <xdr:colOff>145287</xdr:colOff>
      <xdr:row>25</xdr:row>
      <xdr:rowOff>27632</xdr:rowOff>
    </xdr:to>
    <xdr:sp macro="" textlink="" fLocksText="0">
      <xdr:nvSpPr>
        <xdr:cNvPr id="14" name="Rectangle 13">
          <a:extLst>
            <a:ext uri="{FF2B5EF4-FFF2-40B4-BE49-F238E27FC236}">
              <a16:creationId xmlns:a16="http://schemas.microsoft.com/office/drawing/2014/main" id="{00000000-0008-0000-0200-00000E000000}"/>
            </a:ext>
          </a:extLst>
        </xdr:cNvPr>
        <xdr:cNvSpPr/>
      </xdr:nvSpPr>
      <xdr:spPr>
        <a:xfrm>
          <a:off x="390525" y="46767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9</xdr:col>
      <xdr:colOff>112057</xdr:colOff>
      <xdr:row>23</xdr:row>
      <xdr:rowOff>180033</xdr:rowOff>
    </xdr:from>
    <xdr:to>
      <xdr:col>10</xdr:col>
      <xdr:colOff>105335</xdr:colOff>
      <xdr:row>24</xdr:row>
      <xdr:rowOff>184515</xdr:rowOff>
    </xdr:to>
    <xdr:sp macro="" textlink="" fLocksText="0">
      <xdr:nvSpPr>
        <xdr:cNvPr id="15" name="Rectangle 14">
          <a:extLst>
            <a:ext uri="{FF2B5EF4-FFF2-40B4-BE49-F238E27FC236}">
              <a16:creationId xmlns:a16="http://schemas.microsoft.com/office/drawing/2014/main" id="{00000000-0008-0000-0200-00000F000000}"/>
            </a:ext>
          </a:extLst>
        </xdr:cNvPr>
        <xdr:cNvSpPr/>
      </xdr:nvSpPr>
      <xdr:spPr>
        <a:xfrm>
          <a:off x="2514600" y="46767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a:t>
          </a:r>
        </a:p>
      </xdr:txBody>
    </xdr:sp>
    <xdr:clientData/>
  </xdr:twoCellAnchor>
  <xdr:twoCellAnchor>
    <xdr:from>
      <xdr:col>9</xdr:col>
      <xdr:colOff>96369</xdr:colOff>
      <xdr:row>25</xdr:row>
      <xdr:rowOff>41079</xdr:rowOff>
    </xdr:from>
    <xdr:to>
      <xdr:col>10</xdr:col>
      <xdr:colOff>89647</xdr:colOff>
      <xdr:row>26</xdr:row>
      <xdr:rowOff>45561</xdr:rowOff>
    </xdr:to>
    <xdr:sp macro="" textlink="" fLocksText="0">
      <xdr:nvSpPr>
        <xdr:cNvPr id="16" name="Rectangle 15">
          <a:extLst>
            <a:ext uri="{FF2B5EF4-FFF2-40B4-BE49-F238E27FC236}">
              <a16:creationId xmlns:a16="http://schemas.microsoft.com/office/drawing/2014/main" id="{00000000-0008-0000-0200-000010000000}"/>
            </a:ext>
          </a:extLst>
        </xdr:cNvPr>
        <xdr:cNvSpPr/>
      </xdr:nvSpPr>
      <xdr:spPr>
        <a:xfrm>
          <a:off x="2495550" y="49149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9.1</a:t>
          </a:r>
        </a:p>
      </xdr:txBody>
    </xdr:sp>
    <xdr:clientData/>
  </xdr:twoCellAnchor>
  <xdr:twoCellAnchor>
    <xdr:from>
      <xdr:col>24</xdr:col>
      <xdr:colOff>76589</xdr:colOff>
      <xdr:row>8</xdr:row>
      <xdr:rowOff>117278</xdr:rowOff>
    </xdr:from>
    <xdr:to>
      <xdr:col>25</xdr:col>
      <xdr:colOff>94128</xdr:colOff>
      <xdr:row>9</xdr:row>
      <xdr:rowOff>150896</xdr:rowOff>
    </xdr:to>
    <xdr:sp macro="" textlink="" fLocksText="0">
      <xdr:nvSpPr>
        <xdr:cNvPr id="17" name="Rectangle 16">
          <a:extLst>
            <a:ext uri="{FF2B5EF4-FFF2-40B4-BE49-F238E27FC236}">
              <a16:creationId xmlns:a16="http://schemas.microsoft.com/office/drawing/2014/main" id="{00000000-0008-0000-0200-000011000000}"/>
            </a:ext>
          </a:extLst>
        </xdr:cNvPr>
        <xdr:cNvSpPr/>
      </xdr:nvSpPr>
      <xdr:spPr>
        <a:xfrm>
          <a:off x="6477000" y="17526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1</xdr:col>
      <xdr:colOff>136840</xdr:colOff>
      <xdr:row>26</xdr:row>
      <xdr:rowOff>134470</xdr:rowOff>
    </xdr:from>
    <xdr:to>
      <xdr:col>2</xdr:col>
      <xdr:colOff>130118</xdr:colOff>
      <xdr:row>27</xdr:row>
      <xdr:rowOff>138952</xdr:rowOff>
    </xdr:to>
    <xdr:sp macro="" textlink="" fLocksText="0">
      <xdr:nvSpPr>
        <xdr:cNvPr id="19" name="Rectangle 18">
          <a:extLst>
            <a:ext uri="{FF2B5EF4-FFF2-40B4-BE49-F238E27FC236}">
              <a16:creationId xmlns:a16="http://schemas.microsoft.com/office/drawing/2014/main" id="{00000000-0008-0000-0200-000013000000}"/>
            </a:ext>
          </a:extLst>
        </xdr:cNvPr>
        <xdr:cNvSpPr/>
      </xdr:nvSpPr>
      <xdr:spPr>
        <a:xfrm>
          <a:off x="400050" y="52006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a:t>
          </a:r>
        </a:p>
      </xdr:txBody>
    </xdr:sp>
    <xdr:clientData/>
  </xdr:twoCellAnchor>
  <xdr:twoCellAnchor>
    <xdr:from>
      <xdr:col>7</xdr:col>
      <xdr:colOff>121153</xdr:colOff>
      <xdr:row>26</xdr:row>
      <xdr:rowOff>118782</xdr:rowOff>
    </xdr:from>
    <xdr:to>
      <xdr:col>8</xdr:col>
      <xdr:colOff>114431</xdr:colOff>
      <xdr:row>27</xdr:row>
      <xdr:rowOff>123264</xdr:rowOff>
    </xdr:to>
    <xdr:sp macro="" textlink="" fLocksText="0">
      <xdr:nvSpPr>
        <xdr:cNvPr id="20" name="Rectangle 19">
          <a:extLst>
            <a:ext uri="{FF2B5EF4-FFF2-40B4-BE49-F238E27FC236}">
              <a16:creationId xmlns:a16="http://schemas.microsoft.com/office/drawing/2014/main" id="{00000000-0008-0000-0200-000014000000}"/>
            </a:ext>
          </a:extLst>
        </xdr:cNvPr>
        <xdr:cNvSpPr/>
      </xdr:nvSpPr>
      <xdr:spPr>
        <a:xfrm>
          <a:off x="1990725" y="51816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editAs="oneCell">
    <xdr:from>
      <xdr:col>1</xdr:col>
      <xdr:colOff>0</xdr:colOff>
      <xdr:row>67</xdr:row>
      <xdr:rowOff>0</xdr:rowOff>
    </xdr:from>
    <xdr:to>
      <xdr:col>61</xdr:col>
      <xdr:colOff>19236</xdr:colOff>
      <xdr:row>90</xdr:row>
      <xdr:rowOff>100853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266700" y="20478750"/>
          <a:ext cx="16021050" cy="4524375"/>
        </a:xfrm>
        <a:prstGeom prst="rect">
          <a:avLst/>
        </a:prstGeom>
      </xdr:spPr>
    </xdr:pic>
    <xdr:clientData/>
  </xdr:twoCellAnchor>
  <xdr:twoCellAnchor>
    <xdr:from>
      <xdr:col>12</xdr:col>
      <xdr:colOff>27025</xdr:colOff>
      <xdr:row>70</xdr:row>
      <xdr:rowOff>80682</xdr:rowOff>
    </xdr:from>
    <xdr:to>
      <xdr:col>13</xdr:col>
      <xdr:colOff>20302</xdr:colOff>
      <xdr:row>71</xdr:row>
      <xdr:rowOff>85164</xdr:rowOff>
    </xdr:to>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3228975" y="211264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12</xdr:col>
      <xdr:colOff>67237</xdr:colOff>
      <xdr:row>72</xdr:row>
      <xdr:rowOff>89647</xdr:rowOff>
    </xdr:from>
    <xdr:to>
      <xdr:col>13</xdr:col>
      <xdr:colOff>60514</xdr:colOff>
      <xdr:row>73</xdr:row>
      <xdr:rowOff>94129</xdr:rowOff>
    </xdr:to>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3267075" y="215169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twoCellAnchor>
    <xdr:from>
      <xdr:col>15</xdr:col>
      <xdr:colOff>145678</xdr:colOff>
      <xdr:row>70</xdr:row>
      <xdr:rowOff>4482</xdr:rowOff>
    </xdr:from>
    <xdr:to>
      <xdr:col>16</xdr:col>
      <xdr:colOff>138956</xdr:colOff>
      <xdr:row>71</xdr:row>
      <xdr:rowOff>8964</xdr:rowOff>
    </xdr:to>
    <xdr:sp macro="" textlink="" fLocksText="0">
      <xdr:nvSpPr>
        <xdr:cNvPr id="29" name="Rectangle 28">
          <a:extLst>
            <a:ext uri="{FF2B5EF4-FFF2-40B4-BE49-F238E27FC236}">
              <a16:creationId xmlns:a16="http://schemas.microsoft.com/office/drawing/2014/main" id="{00000000-0008-0000-0200-00001D000000}"/>
            </a:ext>
          </a:extLst>
        </xdr:cNvPr>
        <xdr:cNvSpPr/>
      </xdr:nvSpPr>
      <xdr:spPr>
        <a:xfrm>
          <a:off x="4143375" y="210502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17</a:t>
          </a:r>
        </a:p>
      </xdr:txBody>
    </xdr:sp>
    <xdr:clientData/>
  </xdr:twoCellAnchor>
  <xdr:twoCellAnchor>
    <xdr:from>
      <xdr:col>15</xdr:col>
      <xdr:colOff>100855</xdr:colOff>
      <xdr:row>72</xdr:row>
      <xdr:rowOff>123265</xdr:rowOff>
    </xdr:from>
    <xdr:to>
      <xdr:col>16</xdr:col>
      <xdr:colOff>94133</xdr:colOff>
      <xdr:row>73</xdr:row>
      <xdr:rowOff>127747</xdr:rowOff>
    </xdr:to>
    <xdr:sp macro="" textlink="" fLocksText="0">
      <xdr:nvSpPr>
        <xdr:cNvPr id="33" name="Rectangle 32">
          <a:extLst>
            <a:ext uri="{FF2B5EF4-FFF2-40B4-BE49-F238E27FC236}">
              <a16:creationId xmlns:a16="http://schemas.microsoft.com/office/drawing/2014/main" id="{00000000-0008-0000-0200-000021000000}"/>
            </a:ext>
          </a:extLst>
        </xdr:cNvPr>
        <xdr:cNvSpPr/>
      </xdr:nvSpPr>
      <xdr:spPr>
        <a:xfrm>
          <a:off x="4105275" y="215550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18</a:t>
          </a:r>
        </a:p>
      </xdr:txBody>
    </xdr:sp>
    <xdr:clientData/>
  </xdr:twoCellAnchor>
  <xdr:twoCellAnchor>
    <xdr:from>
      <xdr:col>19</xdr:col>
      <xdr:colOff>179296</xdr:colOff>
      <xdr:row>70</xdr:row>
      <xdr:rowOff>4482</xdr:rowOff>
    </xdr:from>
    <xdr:to>
      <xdr:col>20</xdr:col>
      <xdr:colOff>172573</xdr:colOff>
      <xdr:row>71</xdr:row>
      <xdr:rowOff>8964</xdr:rowOff>
    </xdr:to>
    <xdr:sp macro="" textlink="" fLocksText="0">
      <xdr:nvSpPr>
        <xdr:cNvPr id="34" name="Rectangle 33">
          <a:extLst>
            <a:ext uri="{FF2B5EF4-FFF2-40B4-BE49-F238E27FC236}">
              <a16:creationId xmlns:a16="http://schemas.microsoft.com/office/drawing/2014/main" id="{00000000-0008-0000-0200-000022000000}"/>
            </a:ext>
          </a:extLst>
        </xdr:cNvPr>
        <xdr:cNvSpPr/>
      </xdr:nvSpPr>
      <xdr:spPr>
        <a:xfrm>
          <a:off x="5248275" y="210502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19</a:t>
          </a:r>
        </a:p>
      </xdr:txBody>
    </xdr:sp>
    <xdr:clientData/>
  </xdr:twoCellAnchor>
  <xdr:twoCellAnchor>
    <xdr:from>
      <xdr:col>19</xdr:col>
      <xdr:colOff>116543</xdr:colOff>
      <xdr:row>72</xdr:row>
      <xdr:rowOff>116541</xdr:rowOff>
    </xdr:from>
    <xdr:to>
      <xdr:col>20</xdr:col>
      <xdr:colOff>109820</xdr:colOff>
      <xdr:row>73</xdr:row>
      <xdr:rowOff>121023</xdr:rowOff>
    </xdr:to>
    <xdr:sp macro="" textlink="" fLocksText="0">
      <xdr:nvSpPr>
        <xdr:cNvPr id="41" name="Rectangle 40">
          <a:extLst>
            <a:ext uri="{FF2B5EF4-FFF2-40B4-BE49-F238E27FC236}">
              <a16:creationId xmlns:a16="http://schemas.microsoft.com/office/drawing/2014/main" id="{00000000-0008-0000-0200-000029000000}"/>
            </a:ext>
          </a:extLst>
        </xdr:cNvPr>
        <xdr:cNvSpPr/>
      </xdr:nvSpPr>
      <xdr:spPr>
        <a:xfrm>
          <a:off x="5181600" y="215455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20</a:t>
          </a:r>
        </a:p>
      </xdr:txBody>
    </xdr:sp>
    <xdr:clientData/>
  </xdr:twoCellAnchor>
  <xdr:twoCellAnchor>
    <xdr:from>
      <xdr:col>24</xdr:col>
      <xdr:colOff>134472</xdr:colOff>
      <xdr:row>70</xdr:row>
      <xdr:rowOff>11206</xdr:rowOff>
    </xdr:from>
    <xdr:to>
      <xdr:col>25</xdr:col>
      <xdr:colOff>127750</xdr:colOff>
      <xdr:row>71</xdr:row>
      <xdr:rowOff>15688</xdr:rowOff>
    </xdr:to>
    <xdr:sp macro="" textlink="" fLocksText="0">
      <xdr:nvSpPr>
        <xdr:cNvPr id="42" name="Rectangle 41">
          <a:extLst>
            <a:ext uri="{FF2B5EF4-FFF2-40B4-BE49-F238E27FC236}">
              <a16:creationId xmlns:a16="http://schemas.microsoft.com/office/drawing/2014/main" id="{00000000-0008-0000-0200-00002A000000}"/>
            </a:ext>
          </a:extLst>
        </xdr:cNvPr>
        <xdr:cNvSpPr/>
      </xdr:nvSpPr>
      <xdr:spPr>
        <a:xfrm>
          <a:off x="6534150" y="210597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21</a:t>
          </a:r>
        </a:p>
      </xdr:txBody>
    </xdr:sp>
    <xdr:clientData/>
  </xdr:twoCellAnchor>
  <xdr:twoCellAnchor>
    <xdr:from>
      <xdr:col>24</xdr:col>
      <xdr:colOff>145677</xdr:colOff>
      <xdr:row>72</xdr:row>
      <xdr:rowOff>116541</xdr:rowOff>
    </xdr:from>
    <xdr:to>
      <xdr:col>25</xdr:col>
      <xdr:colOff>138955</xdr:colOff>
      <xdr:row>73</xdr:row>
      <xdr:rowOff>121023</xdr:rowOff>
    </xdr:to>
    <xdr:sp macro="" textlink="" fLocksText="0">
      <xdr:nvSpPr>
        <xdr:cNvPr id="43" name="Rectangle 42">
          <a:extLst>
            <a:ext uri="{FF2B5EF4-FFF2-40B4-BE49-F238E27FC236}">
              <a16:creationId xmlns:a16="http://schemas.microsoft.com/office/drawing/2014/main" id="{00000000-0008-0000-0200-00002B000000}"/>
            </a:ext>
          </a:extLst>
        </xdr:cNvPr>
        <xdr:cNvSpPr/>
      </xdr:nvSpPr>
      <xdr:spPr>
        <a:xfrm>
          <a:off x="6543675" y="215455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22</a:t>
          </a:r>
        </a:p>
      </xdr:txBody>
    </xdr:sp>
    <xdr:clientData/>
  </xdr:twoCellAnchor>
  <xdr:twoCellAnchor>
    <xdr:from>
      <xdr:col>29</xdr:col>
      <xdr:colOff>53919</xdr:colOff>
      <xdr:row>70</xdr:row>
      <xdr:rowOff>29138</xdr:rowOff>
    </xdr:from>
    <xdr:to>
      <xdr:col>30</xdr:col>
      <xdr:colOff>47196</xdr:colOff>
      <xdr:row>71</xdr:row>
      <xdr:rowOff>33620</xdr:rowOff>
    </xdr:to>
    <xdr:sp macro="" textlink="" fLocksText="0">
      <xdr:nvSpPr>
        <xdr:cNvPr id="44" name="Rectangle 43">
          <a:extLst>
            <a:ext uri="{FF2B5EF4-FFF2-40B4-BE49-F238E27FC236}">
              <a16:creationId xmlns:a16="http://schemas.microsoft.com/office/drawing/2014/main" id="{00000000-0008-0000-0200-00002C000000}"/>
            </a:ext>
          </a:extLst>
        </xdr:cNvPr>
        <xdr:cNvSpPr/>
      </xdr:nvSpPr>
      <xdr:spPr>
        <a:xfrm>
          <a:off x="7791450" y="2107882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23</a:t>
          </a:r>
        </a:p>
      </xdr:txBody>
    </xdr:sp>
    <xdr:clientData/>
  </xdr:twoCellAnchor>
  <xdr:twoCellAnchor>
    <xdr:from>
      <xdr:col>28</xdr:col>
      <xdr:colOff>183907</xdr:colOff>
      <xdr:row>72</xdr:row>
      <xdr:rowOff>114301</xdr:rowOff>
    </xdr:from>
    <xdr:to>
      <xdr:col>29</xdr:col>
      <xdr:colOff>177185</xdr:colOff>
      <xdr:row>73</xdr:row>
      <xdr:rowOff>118783</xdr:rowOff>
    </xdr:to>
    <xdr:sp macro="" textlink="" fLocksText="0">
      <xdr:nvSpPr>
        <xdr:cNvPr id="45" name="Rectangle 44">
          <a:extLst>
            <a:ext uri="{FF2B5EF4-FFF2-40B4-BE49-F238E27FC236}">
              <a16:creationId xmlns:a16="http://schemas.microsoft.com/office/drawing/2014/main" id="{00000000-0008-0000-0200-00002D000000}"/>
            </a:ext>
          </a:extLst>
        </xdr:cNvPr>
        <xdr:cNvSpPr/>
      </xdr:nvSpPr>
      <xdr:spPr>
        <a:xfrm>
          <a:off x="7648575" y="21545550"/>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24</a:t>
          </a:r>
        </a:p>
      </xdr:txBody>
    </xdr:sp>
    <xdr:clientData/>
  </xdr:twoCellAnchor>
  <xdr:twoCellAnchor>
    <xdr:from>
      <xdr:col>34</xdr:col>
      <xdr:colOff>224249</xdr:colOff>
      <xdr:row>70</xdr:row>
      <xdr:rowOff>31379</xdr:rowOff>
    </xdr:from>
    <xdr:to>
      <xdr:col>35</xdr:col>
      <xdr:colOff>217526</xdr:colOff>
      <xdr:row>71</xdr:row>
      <xdr:rowOff>35861</xdr:rowOff>
    </xdr:to>
    <xdr:sp macro="" textlink="" fLocksText="0">
      <xdr:nvSpPr>
        <xdr:cNvPr id="46" name="Rectangle 45">
          <a:extLst>
            <a:ext uri="{FF2B5EF4-FFF2-40B4-BE49-F238E27FC236}">
              <a16:creationId xmlns:a16="http://schemas.microsoft.com/office/drawing/2014/main" id="{00000000-0008-0000-0200-00002E000000}"/>
            </a:ext>
          </a:extLst>
        </xdr:cNvPr>
        <xdr:cNvSpPr/>
      </xdr:nvSpPr>
      <xdr:spPr>
        <a:xfrm>
          <a:off x="9296400" y="2107882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25</a:t>
          </a:r>
        </a:p>
      </xdr:txBody>
    </xdr:sp>
    <xdr:clientData/>
  </xdr:twoCellAnchor>
  <xdr:twoCellAnchor>
    <xdr:from>
      <xdr:col>35</xdr:col>
      <xdr:colOff>18061</xdr:colOff>
      <xdr:row>72</xdr:row>
      <xdr:rowOff>138955</xdr:rowOff>
    </xdr:from>
    <xdr:to>
      <xdr:col>36</xdr:col>
      <xdr:colOff>11339</xdr:colOff>
      <xdr:row>73</xdr:row>
      <xdr:rowOff>143437</xdr:rowOff>
    </xdr:to>
    <xdr:sp macro="" textlink="" fLocksText="0">
      <xdr:nvSpPr>
        <xdr:cNvPr id="47" name="Rectangle 46">
          <a:extLst>
            <a:ext uri="{FF2B5EF4-FFF2-40B4-BE49-F238E27FC236}">
              <a16:creationId xmlns:a16="http://schemas.microsoft.com/office/drawing/2014/main" id="{00000000-0008-0000-0200-00002F000000}"/>
            </a:ext>
          </a:extLst>
        </xdr:cNvPr>
        <xdr:cNvSpPr/>
      </xdr:nvSpPr>
      <xdr:spPr>
        <a:xfrm>
          <a:off x="9353550" y="215741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26</a:t>
          </a:r>
        </a:p>
      </xdr:txBody>
    </xdr:sp>
    <xdr:clientData/>
  </xdr:twoCellAnchor>
  <xdr:twoCellAnchor>
    <xdr:from>
      <xdr:col>38</xdr:col>
      <xdr:colOff>181667</xdr:colOff>
      <xdr:row>70</xdr:row>
      <xdr:rowOff>11208</xdr:rowOff>
    </xdr:from>
    <xdr:to>
      <xdr:col>39</xdr:col>
      <xdr:colOff>174944</xdr:colOff>
      <xdr:row>71</xdr:row>
      <xdr:rowOff>15690</xdr:rowOff>
    </xdr:to>
    <xdr:sp macro="" textlink="" fLocksText="0">
      <xdr:nvSpPr>
        <xdr:cNvPr id="48" name="Rectangle 47">
          <a:extLst>
            <a:ext uri="{FF2B5EF4-FFF2-40B4-BE49-F238E27FC236}">
              <a16:creationId xmlns:a16="http://schemas.microsoft.com/office/drawing/2014/main" id="{00000000-0008-0000-0200-000030000000}"/>
            </a:ext>
          </a:extLst>
        </xdr:cNvPr>
        <xdr:cNvSpPr/>
      </xdr:nvSpPr>
      <xdr:spPr>
        <a:xfrm>
          <a:off x="10315575" y="210597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27</a:t>
          </a:r>
        </a:p>
      </xdr:txBody>
    </xdr:sp>
    <xdr:clientData/>
  </xdr:twoCellAnchor>
  <xdr:twoCellAnchor>
    <xdr:from>
      <xdr:col>7</xdr:col>
      <xdr:colOff>56029</xdr:colOff>
      <xdr:row>88</xdr:row>
      <xdr:rowOff>112059</xdr:rowOff>
    </xdr:from>
    <xdr:to>
      <xdr:col>8</xdr:col>
      <xdr:colOff>49307</xdr:colOff>
      <xdr:row>89</xdr:row>
      <xdr:rowOff>105335</xdr:rowOff>
    </xdr:to>
    <xdr:sp macro="" textlink="" fLocksText="0">
      <xdr:nvSpPr>
        <xdr:cNvPr id="49" name="Rectangle 48">
          <a:extLst>
            <a:ext uri="{FF2B5EF4-FFF2-40B4-BE49-F238E27FC236}">
              <a16:creationId xmlns:a16="http://schemas.microsoft.com/office/drawing/2014/main" id="{00000000-0008-0000-0200-000031000000}"/>
            </a:ext>
          </a:extLst>
        </xdr:cNvPr>
        <xdr:cNvSpPr/>
      </xdr:nvSpPr>
      <xdr:spPr>
        <a:xfrm>
          <a:off x="1924050" y="246126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twoCellAnchor>
    <xdr:from>
      <xdr:col>38</xdr:col>
      <xdr:colOff>42714</xdr:colOff>
      <xdr:row>72</xdr:row>
      <xdr:rowOff>118784</xdr:rowOff>
    </xdr:from>
    <xdr:to>
      <xdr:col>39</xdr:col>
      <xdr:colOff>35991</xdr:colOff>
      <xdr:row>73</xdr:row>
      <xdr:rowOff>123266</xdr:rowOff>
    </xdr:to>
    <xdr:sp macro="" textlink="" fLocksText="0">
      <xdr:nvSpPr>
        <xdr:cNvPr id="50" name="Rectangle 49">
          <a:extLst>
            <a:ext uri="{FF2B5EF4-FFF2-40B4-BE49-F238E27FC236}">
              <a16:creationId xmlns:a16="http://schemas.microsoft.com/office/drawing/2014/main" id="{00000000-0008-0000-0200-000032000000}"/>
            </a:ext>
          </a:extLst>
        </xdr:cNvPr>
        <xdr:cNvSpPr/>
      </xdr:nvSpPr>
      <xdr:spPr>
        <a:xfrm>
          <a:off x="10172700" y="215455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28</a:t>
          </a:r>
        </a:p>
      </xdr:txBody>
    </xdr:sp>
    <xdr:clientData/>
  </xdr:twoCellAnchor>
  <xdr:twoCellAnchor>
    <xdr:from>
      <xdr:col>41</xdr:col>
      <xdr:colOff>27026</xdr:colOff>
      <xdr:row>70</xdr:row>
      <xdr:rowOff>24655</xdr:rowOff>
    </xdr:from>
    <xdr:to>
      <xdr:col>42</xdr:col>
      <xdr:colOff>20304</xdr:colOff>
      <xdr:row>71</xdr:row>
      <xdr:rowOff>29137</xdr:rowOff>
    </xdr:to>
    <xdr:sp macro="" textlink="" fLocksText="0">
      <xdr:nvSpPr>
        <xdr:cNvPr id="51" name="Rectangle 50">
          <a:extLst>
            <a:ext uri="{FF2B5EF4-FFF2-40B4-BE49-F238E27FC236}">
              <a16:creationId xmlns:a16="http://schemas.microsoft.com/office/drawing/2014/main" id="{00000000-0008-0000-0200-000033000000}"/>
            </a:ext>
          </a:extLst>
        </xdr:cNvPr>
        <xdr:cNvSpPr/>
      </xdr:nvSpPr>
      <xdr:spPr>
        <a:xfrm>
          <a:off x="10963275" y="210788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29</a:t>
          </a:r>
        </a:p>
      </xdr:txBody>
    </xdr:sp>
    <xdr:clientData/>
  </xdr:twoCellAnchor>
  <xdr:twoCellAnchor>
    <xdr:from>
      <xdr:col>40</xdr:col>
      <xdr:colOff>157014</xdr:colOff>
      <xdr:row>72</xdr:row>
      <xdr:rowOff>121026</xdr:rowOff>
    </xdr:from>
    <xdr:to>
      <xdr:col>41</xdr:col>
      <xdr:colOff>150291</xdr:colOff>
      <xdr:row>74</xdr:row>
      <xdr:rowOff>125508</xdr:rowOff>
    </xdr:to>
    <xdr:sp macro="" textlink="" fLocksText="0">
      <xdr:nvSpPr>
        <xdr:cNvPr id="52" name="Rectangle 51">
          <a:extLst>
            <a:ext uri="{FF2B5EF4-FFF2-40B4-BE49-F238E27FC236}">
              <a16:creationId xmlns:a16="http://schemas.microsoft.com/office/drawing/2014/main" id="{00000000-0008-0000-0200-000034000000}"/>
            </a:ext>
          </a:extLst>
        </xdr:cNvPr>
        <xdr:cNvSpPr/>
      </xdr:nvSpPr>
      <xdr:spPr>
        <a:xfrm>
          <a:off x="10820400" y="21555075"/>
          <a:ext cx="266700" cy="3810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30</a:t>
          </a:r>
        </a:p>
      </xdr:txBody>
    </xdr:sp>
    <xdr:clientData/>
  </xdr:twoCellAnchor>
  <xdr:twoCellAnchor>
    <xdr:from>
      <xdr:col>44</xdr:col>
      <xdr:colOff>40473</xdr:colOff>
      <xdr:row>70</xdr:row>
      <xdr:rowOff>4485</xdr:rowOff>
    </xdr:from>
    <xdr:to>
      <xdr:col>45</xdr:col>
      <xdr:colOff>33750</xdr:colOff>
      <xdr:row>71</xdr:row>
      <xdr:rowOff>8967</xdr:rowOff>
    </xdr:to>
    <xdr:sp macro="" textlink="" fLocksText="0">
      <xdr:nvSpPr>
        <xdr:cNvPr id="53" name="Rectangle 52">
          <a:extLst>
            <a:ext uri="{FF2B5EF4-FFF2-40B4-BE49-F238E27FC236}">
              <a16:creationId xmlns:a16="http://schemas.microsoft.com/office/drawing/2014/main" id="{00000000-0008-0000-0200-000035000000}"/>
            </a:ext>
          </a:extLst>
        </xdr:cNvPr>
        <xdr:cNvSpPr/>
      </xdr:nvSpPr>
      <xdr:spPr>
        <a:xfrm>
          <a:off x="11772900" y="21050250"/>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31</a:t>
          </a:r>
        </a:p>
      </xdr:txBody>
    </xdr:sp>
    <xdr:clientData/>
  </xdr:twoCellAnchor>
  <xdr:twoCellAnchor>
    <xdr:from>
      <xdr:col>44</xdr:col>
      <xdr:colOff>58402</xdr:colOff>
      <xdr:row>72</xdr:row>
      <xdr:rowOff>89649</xdr:rowOff>
    </xdr:from>
    <xdr:to>
      <xdr:col>45</xdr:col>
      <xdr:colOff>51679</xdr:colOff>
      <xdr:row>73</xdr:row>
      <xdr:rowOff>94131</xdr:rowOff>
    </xdr:to>
    <xdr:sp macro="" textlink="" fLocksText="0">
      <xdr:nvSpPr>
        <xdr:cNvPr id="54" name="Rectangle 53">
          <a:extLst>
            <a:ext uri="{FF2B5EF4-FFF2-40B4-BE49-F238E27FC236}">
              <a16:creationId xmlns:a16="http://schemas.microsoft.com/office/drawing/2014/main" id="{00000000-0008-0000-0200-000036000000}"/>
            </a:ext>
          </a:extLst>
        </xdr:cNvPr>
        <xdr:cNvSpPr/>
      </xdr:nvSpPr>
      <xdr:spPr>
        <a:xfrm>
          <a:off x="11791950" y="215169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32</a:t>
          </a:r>
        </a:p>
      </xdr:txBody>
    </xdr:sp>
    <xdr:clientData/>
  </xdr:twoCellAnchor>
  <xdr:twoCellAnchor>
    <xdr:from>
      <xdr:col>49</xdr:col>
      <xdr:colOff>9096</xdr:colOff>
      <xdr:row>70</xdr:row>
      <xdr:rowOff>17931</xdr:rowOff>
    </xdr:from>
    <xdr:to>
      <xdr:col>50</xdr:col>
      <xdr:colOff>2374</xdr:colOff>
      <xdr:row>71</xdr:row>
      <xdr:rowOff>22413</xdr:rowOff>
    </xdr:to>
    <xdr:sp macro="" textlink="" fLocksText="0">
      <xdr:nvSpPr>
        <xdr:cNvPr id="55" name="Rectangle 54">
          <a:extLst>
            <a:ext uri="{FF2B5EF4-FFF2-40B4-BE49-F238E27FC236}">
              <a16:creationId xmlns:a16="http://schemas.microsoft.com/office/drawing/2014/main" id="{00000000-0008-0000-0200-000037000000}"/>
            </a:ext>
          </a:extLst>
        </xdr:cNvPr>
        <xdr:cNvSpPr/>
      </xdr:nvSpPr>
      <xdr:spPr>
        <a:xfrm>
          <a:off x="13077825" y="210693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33</a:t>
          </a:r>
        </a:p>
      </xdr:txBody>
    </xdr:sp>
    <xdr:clientData/>
  </xdr:twoCellAnchor>
  <xdr:twoCellAnchor>
    <xdr:from>
      <xdr:col>49</xdr:col>
      <xdr:colOff>27025</xdr:colOff>
      <xdr:row>72</xdr:row>
      <xdr:rowOff>114302</xdr:rowOff>
    </xdr:from>
    <xdr:to>
      <xdr:col>50</xdr:col>
      <xdr:colOff>20303</xdr:colOff>
      <xdr:row>73</xdr:row>
      <xdr:rowOff>118784</xdr:rowOff>
    </xdr:to>
    <xdr:sp macro="" textlink="" fLocksText="0">
      <xdr:nvSpPr>
        <xdr:cNvPr id="56" name="Rectangle 55">
          <a:extLst>
            <a:ext uri="{FF2B5EF4-FFF2-40B4-BE49-F238E27FC236}">
              <a16:creationId xmlns:a16="http://schemas.microsoft.com/office/drawing/2014/main" id="{00000000-0008-0000-0200-000038000000}"/>
            </a:ext>
          </a:extLst>
        </xdr:cNvPr>
        <xdr:cNvSpPr/>
      </xdr:nvSpPr>
      <xdr:spPr>
        <a:xfrm>
          <a:off x="13096875" y="2154555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34</a:t>
          </a:r>
        </a:p>
      </xdr:txBody>
    </xdr:sp>
    <xdr:clientData/>
  </xdr:twoCellAnchor>
  <xdr:twoCellAnchor>
    <xdr:from>
      <xdr:col>54</xdr:col>
      <xdr:colOff>56160</xdr:colOff>
      <xdr:row>70</xdr:row>
      <xdr:rowOff>20173</xdr:rowOff>
    </xdr:from>
    <xdr:to>
      <xdr:col>55</xdr:col>
      <xdr:colOff>49438</xdr:colOff>
      <xdr:row>71</xdr:row>
      <xdr:rowOff>24655</xdr:rowOff>
    </xdr:to>
    <xdr:sp macro="" textlink="" fLocksText="0">
      <xdr:nvSpPr>
        <xdr:cNvPr id="57" name="Rectangle 56">
          <a:extLst>
            <a:ext uri="{FF2B5EF4-FFF2-40B4-BE49-F238E27FC236}">
              <a16:creationId xmlns:a16="http://schemas.microsoft.com/office/drawing/2014/main" id="{00000000-0008-0000-0200-000039000000}"/>
            </a:ext>
          </a:extLst>
        </xdr:cNvPr>
        <xdr:cNvSpPr/>
      </xdr:nvSpPr>
      <xdr:spPr>
        <a:xfrm>
          <a:off x="14458950" y="210693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35</a:t>
          </a:r>
        </a:p>
      </xdr:txBody>
    </xdr:sp>
    <xdr:clientData/>
  </xdr:twoCellAnchor>
  <xdr:twoCellAnchor>
    <xdr:from>
      <xdr:col>53</xdr:col>
      <xdr:colOff>208561</xdr:colOff>
      <xdr:row>72</xdr:row>
      <xdr:rowOff>116543</xdr:rowOff>
    </xdr:from>
    <xdr:to>
      <xdr:col>54</xdr:col>
      <xdr:colOff>201838</xdr:colOff>
      <xdr:row>73</xdr:row>
      <xdr:rowOff>121025</xdr:rowOff>
    </xdr:to>
    <xdr:sp macro="" textlink="" fLocksText="0">
      <xdr:nvSpPr>
        <xdr:cNvPr id="58" name="Rectangle 57">
          <a:extLst>
            <a:ext uri="{FF2B5EF4-FFF2-40B4-BE49-F238E27FC236}">
              <a16:creationId xmlns:a16="http://schemas.microsoft.com/office/drawing/2014/main" id="{00000000-0008-0000-0200-00003A000000}"/>
            </a:ext>
          </a:extLst>
        </xdr:cNvPr>
        <xdr:cNvSpPr/>
      </xdr:nvSpPr>
      <xdr:spPr>
        <a:xfrm>
          <a:off x="14344650" y="215455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36</a:t>
          </a:r>
        </a:p>
      </xdr:txBody>
    </xdr:sp>
    <xdr:clientData/>
  </xdr:twoCellAnchor>
  <xdr:twoCellAnchor>
    <xdr:from>
      <xdr:col>52</xdr:col>
      <xdr:colOff>44824</xdr:colOff>
      <xdr:row>88</xdr:row>
      <xdr:rowOff>123264</xdr:rowOff>
    </xdr:from>
    <xdr:to>
      <xdr:col>53</xdr:col>
      <xdr:colOff>38102</xdr:colOff>
      <xdr:row>89</xdr:row>
      <xdr:rowOff>116540</xdr:rowOff>
    </xdr:to>
    <xdr:sp macro="" textlink="" fLocksText="0">
      <xdr:nvSpPr>
        <xdr:cNvPr id="59" name="Rectangle 58">
          <a:extLst>
            <a:ext uri="{FF2B5EF4-FFF2-40B4-BE49-F238E27FC236}">
              <a16:creationId xmlns:a16="http://schemas.microsoft.com/office/drawing/2014/main" id="{00000000-0008-0000-0200-00003B000000}"/>
            </a:ext>
          </a:extLst>
        </xdr:cNvPr>
        <xdr:cNvSpPr/>
      </xdr:nvSpPr>
      <xdr:spPr>
        <a:xfrm>
          <a:off x="13916025" y="246221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37</a:t>
          </a:r>
        </a:p>
      </xdr:txBody>
    </xdr:sp>
    <xdr:clientData/>
  </xdr:twoCellAnchor>
  <xdr:twoCellAnchor editAs="oneCell">
    <xdr:from>
      <xdr:col>12</xdr:col>
      <xdr:colOff>67235</xdr:colOff>
      <xdr:row>25</xdr:row>
      <xdr:rowOff>17610</xdr:rowOff>
    </xdr:from>
    <xdr:to>
      <xdr:col>21</xdr:col>
      <xdr:colOff>11206</xdr:colOff>
      <xdr:row>26</xdr:row>
      <xdr:rowOff>121665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a:stretch>
          <a:fillRect/>
        </a:stretch>
      </xdr:blipFill>
      <xdr:spPr>
        <a:xfrm>
          <a:off x="3267075" y="4895850"/>
          <a:ext cx="2343150" cy="295275"/>
        </a:xfrm>
        <a:prstGeom prst="rect">
          <a:avLst/>
        </a:prstGeom>
      </xdr:spPr>
    </xdr:pic>
    <xdr:clientData/>
  </xdr:twoCellAnchor>
  <xdr:twoCellAnchor>
    <xdr:from>
      <xdr:col>13</xdr:col>
      <xdr:colOff>136710</xdr:colOff>
      <xdr:row>25</xdr:row>
      <xdr:rowOff>47803</xdr:rowOff>
    </xdr:from>
    <xdr:to>
      <xdr:col>14</xdr:col>
      <xdr:colOff>129988</xdr:colOff>
      <xdr:row>26</xdr:row>
      <xdr:rowOff>52285</xdr:rowOff>
    </xdr:to>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3600450" y="492442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r>
            <a:rPr lang="en-US" altLang="ja-JP" sz="1100" b="0" i="0" u="none" baseline="0">
              <a:solidFill>
                <a:srgbClr val="000000"/>
              </a:solidFill>
              <a:latin typeface="Meiryo UI"/>
              <a:ea typeface="Meiryo UI"/>
            </a:rPr>
            <a:t>2</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19</xdr:col>
      <xdr:colOff>201706</xdr:colOff>
      <xdr:row>26</xdr:row>
      <xdr:rowOff>44824</xdr:rowOff>
    </xdr:from>
    <xdr:to>
      <xdr:col>20</xdr:col>
      <xdr:colOff>194983</xdr:colOff>
      <xdr:row>27</xdr:row>
      <xdr:rowOff>49306</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5267325" y="51149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r>
            <a:rPr lang="en-US" altLang="ja-JP" sz="1100" b="0" i="0" u="none" baseline="0">
              <a:solidFill>
                <a:srgbClr val="000000"/>
              </a:solidFill>
              <a:latin typeface="Meiryo UI"/>
              <a:ea typeface="Meiryo UI"/>
            </a:rPr>
            <a:t>3</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editAs="oneCell">
    <xdr:from>
      <xdr:col>21</xdr:col>
      <xdr:colOff>134471</xdr:colOff>
      <xdr:row>25</xdr:row>
      <xdr:rowOff>1</xdr:rowOff>
    </xdr:from>
    <xdr:to>
      <xdr:col>34</xdr:col>
      <xdr:colOff>201706</xdr:colOff>
      <xdr:row>26</xdr:row>
      <xdr:rowOff>169961</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4"/>
        <a:stretch>
          <a:fillRect/>
        </a:stretch>
      </xdr:blipFill>
      <xdr:spPr>
        <a:xfrm>
          <a:off x="5734050" y="4876800"/>
          <a:ext cx="3533775" cy="361950"/>
        </a:xfrm>
        <a:prstGeom prst="rect">
          <a:avLst/>
        </a:prstGeom>
      </xdr:spPr>
    </xdr:pic>
    <xdr:clientData/>
  </xdr:twoCellAnchor>
  <xdr:twoCellAnchor>
    <xdr:from>
      <xdr:col>26</xdr:col>
      <xdr:colOff>152400</xdr:colOff>
      <xdr:row>25</xdr:row>
      <xdr:rowOff>29135</xdr:rowOff>
    </xdr:from>
    <xdr:to>
      <xdr:col>27</xdr:col>
      <xdr:colOff>145678</xdr:colOff>
      <xdr:row>26</xdr:row>
      <xdr:rowOff>33617</xdr:rowOff>
    </xdr:to>
    <xdr:sp macro="" textlink="" fLocksText="0">
      <xdr:nvSpPr>
        <xdr:cNvPr id="21" name="Rectangle 20">
          <a:extLst>
            <a:ext uri="{FF2B5EF4-FFF2-40B4-BE49-F238E27FC236}">
              <a16:creationId xmlns:a16="http://schemas.microsoft.com/office/drawing/2014/main" id="{00000000-0008-0000-0200-000015000000}"/>
            </a:ext>
          </a:extLst>
        </xdr:cNvPr>
        <xdr:cNvSpPr/>
      </xdr:nvSpPr>
      <xdr:spPr>
        <a:xfrm>
          <a:off x="7086600" y="49053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r>
            <a:rPr lang="en-US" altLang="ja-JP" sz="1100" b="0" i="0" u="none" baseline="0">
              <a:solidFill>
                <a:srgbClr val="000000"/>
              </a:solidFill>
              <a:latin typeface="Meiryo UI"/>
              <a:ea typeface="Meiryo UI"/>
            </a:rPr>
            <a:t>4</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235322</xdr:colOff>
      <xdr:row>8</xdr:row>
      <xdr:rowOff>0</xdr:rowOff>
    </xdr:from>
    <xdr:to>
      <xdr:col>46</xdr:col>
      <xdr:colOff>43343</xdr:colOff>
      <xdr:row>31</xdr:row>
      <xdr:rowOff>22412</xdr:rowOff>
    </xdr:to>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4825" y="1638300"/>
          <a:ext cx="11811000" cy="4400550"/>
        </a:xfrm>
        <a:prstGeom prst="rect">
          <a:avLst/>
        </a:prstGeom>
      </xdr:spPr>
    </xdr:pic>
    <xdr:clientData/>
  </xdr:twoCellAnchor>
  <xdr:twoCellAnchor>
    <xdr:from>
      <xdr:col>5</xdr:col>
      <xdr:colOff>217392</xdr:colOff>
      <xdr:row>13</xdr:row>
      <xdr:rowOff>83661</xdr:rowOff>
    </xdr:from>
    <xdr:to>
      <xdr:col>6</xdr:col>
      <xdr:colOff>234931</xdr:colOff>
      <xdr:row>14</xdr:row>
      <xdr:rowOff>117279</xdr:rowOff>
    </xdr:to>
    <xdr:sp macro="" textlink="" fLocksText="0">
      <xdr:nvSpPr>
        <xdr:cNvPr id="3" name="Rectangle 2">
          <a:extLst>
            <a:ext uri="{FF2B5EF4-FFF2-40B4-BE49-F238E27FC236}">
              <a16:creationId xmlns:a16="http://schemas.microsoft.com/office/drawing/2014/main" id="{00000000-0008-0000-0300-000003000000}"/>
            </a:ext>
          </a:extLst>
        </xdr:cNvPr>
        <xdr:cNvSpPr/>
      </xdr:nvSpPr>
      <xdr:spPr>
        <a:xfrm>
          <a:off x="1552575" y="267652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9</xdr:col>
      <xdr:colOff>69888</xdr:colOff>
      <xdr:row>15</xdr:row>
      <xdr:rowOff>75890</xdr:rowOff>
    </xdr:from>
    <xdr:to>
      <xdr:col>10</xdr:col>
      <xdr:colOff>90482</xdr:colOff>
      <xdr:row>16</xdr:row>
      <xdr:rowOff>106968</xdr:rowOff>
    </xdr:to>
    <xdr:sp macro="" textlink="" fLocksText="0">
      <xdr:nvSpPr>
        <xdr:cNvPr id="4" name="Rectangle 3">
          <a:extLst>
            <a:ext uri="{FF2B5EF4-FFF2-40B4-BE49-F238E27FC236}">
              <a16:creationId xmlns:a16="http://schemas.microsoft.com/office/drawing/2014/main" id="{00000000-0008-0000-0300-000004000000}"/>
            </a:ext>
          </a:extLst>
        </xdr:cNvPr>
        <xdr:cNvSpPr/>
      </xdr:nvSpPr>
      <xdr:spPr>
        <a:xfrm>
          <a:off x="2466975" y="30480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27</xdr:col>
      <xdr:colOff>152401</xdr:colOff>
      <xdr:row>15</xdr:row>
      <xdr:rowOff>74696</xdr:rowOff>
    </xdr:from>
    <xdr:to>
      <xdr:col>28</xdr:col>
      <xdr:colOff>169939</xdr:colOff>
      <xdr:row>16</xdr:row>
      <xdr:rowOff>108314</xdr:rowOff>
    </xdr:to>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7353300" y="30480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2</xdr:col>
      <xdr:colOff>147919</xdr:colOff>
      <xdr:row>18</xdr:row>
      <xdr:rowOff>36594</xdr:rowOff>
    </xdr:from>
    <xdr:to>
      <xdr:col>3</xdr:col>
      <xdr:colOff>165457</xdr:colOff>
      <xdr:row>19</xdr:row>
      <xdr:rowOff>70212</xdr:rowOff>
    </xdr:to>
    <xdr:sp macro="" textlink="" fLocksText="0">
      <xdr:nvSpPr>
        <xdr:cNvPr id="6" name="Rectangle 5">
          <a:extLst>
            <a:ext uri="{FF2B5EF4-FFF2-40B4-BE49-F238E27FC236}">
              <a16:creationId xmlns:a16="http://schemas.microsoft.com/office/drawing/2014/main" id="{00000000-0008-0000-0300-000006000000}"/>
            </a:ext>
          </a:extLst>
        </xdr:cNvPr>
        <xdr:cNvSpPr/>
      </xdr:nvSpPr>
      <xdr:spPr>
        <a:xfrm>
          <a:off x="685800" y="3581400"/>
          <a:ext cx="276225"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3</xdr:col>
      <xdr:colOff>233083</xdr:colOff>
      <xdr:row>20</xdr:row>
      <xdr:rowOff>121761</xdr:rowOff>
    </xdr:from>
    <xdr:to>
      <xdr:col>5</xdr:col>
      <xdr:colOff>15298</xdr:colOff>
      <xdr:row>21</xdr:row>
      <xdr:rowOff>155379</xdr:rowOff>
    </xdr:to>
    <xdr:sp macro="" textlink="" fLocksText="0">
      <xdr:nvSpPr>
        <xdr:cNvPr id="7" name="Rectangle 6">
          <a:extLst>
            <a:ext uri="{FF2B5EF4-FFF2-40B4-BE49-F238E27FC236}">
              <a16:creationId xmlns:a16="http://schemas.microsoft.com/office/drawing/2014/main" id="{00000000-0008-0000-0300-000007000000}"/>
            </a:ext>
          </a:extLst>
        </xdr:cNvPr>
        <xdr:cNvSpPr/>
      </xdr:nvSpPr>
      <xdr:spPr>
        <a:xfrm>
          <a:off x="1028700" y="4048125"/>
          <a:ext cx="3238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7</xdr:col>
      <xdr:colOff>105337</xdr:colOff>
      <xdr:row>18</xdr:row>
      <xdr:rowOff>38838</xdr:rowOff>
    </xdr:from>
    <xdr:to>
      <xdr:col>8</xdr:col>
      <xdr:colOff>122876</xdr:colOff>
      <xdr:row>19</xdr:row>
      <xdr:rowOff>72456</xdr:rowOff>
    </xdr:to>
    <xdr:sp macro="" textlink="" fLocksText="0">
      <xdr:nvSpPr>
        <xdr:cNvPr id="8" name="Rectangle 7">
          <a:extLst>
            <a:ext uri="{FF2B5EF4-FFF2-40B4-BE49-F238E27FC236}">
              <a16:creationId xmlns:a16="http://schemas.microsoft.com/office/drawing/2014/main" id="{00000000-0008-0000-0300-000008000000}"/>
            </a:ext>
          </a:extLst>
        </xdr:cNvPr>
        <xdr:cNvSpPr/>
      </xdr:nvSpPr>
      <xdr:spPr>
        <a:xfrm>
          <a:off x="1971675" y="3581400"/>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9</xdr:col>
      <xdr:colOff>82925</xdr:colOff>
      <xdr:row>20</xdr:row>
      <xdr:rowOff>94867</xdr:rowOff>
    </xdr:from>
    <xdr:to>
      <xdr:col>10</xdr:col>
      <xdr:colOff>100464</xdr:colOff>
      <xdr:row>21</xdr:row>
      <xdr:rowOff>128485</xdr:rowOff>
    </xdr:to>
    <xdr:sp macro="" textlink="" fLocksText="0">
      <xdr:nvSpPr>
        <xdr:cNvPr id="9" name="Rectangle 8">
          <a:extLst>
            <a:ext uri="{FF2B5EF4-FFF2-40B4-BE49-F238E27FC236}">
              <a16:creationId xmlns:a16="http://schemas.microsoft.com/office/drawing/2014/main" id="{00000000-0008-0000-0300-000009000000}"/>
            </a:ext>
          </a:extLst>
        </xdr:cNvPr>
        <xdr:cNvSpPr/>
      </xdr:nvSpPr>
      <xdr:spPr>
        <a:xfrm>
          <a:off x="2486025" y="401955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15</xdr:col>
      <xdr:colOff>11204</xdr:colOff>
      <xdr:row>18</xdr:row>
      <xdr:rowOff>79180</xdr:rowOff>
    </xdr:from>
    <xdr:to>
      <xdr:col>16</xdr:col>
      <xdr:colOff>4482</xdr:colOff>
      <xdr:row>19</xdr:row>
      <xdr:rowOff>83662</xdr:rowOff>
    </xdr:to>
    <xdr:sp macro="" textlink="" fLocksText="0">
      <xdr:nvSpPr>
        <xdr:cNvPr id="10" name="Rectangle 9">
          <a:extLst>
            <a:ext uri="{FF2B5EF4-FFF2-40B4-BE49-F238E27FC236}">
              <a16:creationId xmlns:a16="http://schemas.microsoft.com/office/drawing/2014/main" id="{00000000-0008-0000-0300-00000A000000}"/>
            </a:ext>
          </a:extLst>
        </xdr:cNvPr>
        <xdr:cNvSpPr/>
      </xdr:nvSpPr>
      <xdr:spPr>
        <a:xfrm>
          <a:off x="4010025" y="36195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a:t>
          </a:r>
        </a:p>
      </xdr:txBody>
    </xdr:sp>
    <xdr:clientData/>
  </xdr:twoCellAnchor>
  <xdr:twoCellAnchor>
    <xdr:from>
      <xdr:col>7</xdr:col>
      <xdr:colOff>110206</xdr:colOff>
      <xdr:row>9</xdr:row>
      <xdr:rowOff>50043</xdr:rowOff>
    </xdr:from>
    <xdr:to>
      <xdr:col>8</xdr:col>
      <xdr:colOff>127745</xdr:colOff>
      <xdr:row>10</xdr:row>
      <xdr:rowOff>83661</xdr:rowOff>
    </xdr:to>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1981200" y="1876425"/>
          <a:ext cx="27622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23</xdr:col>
      <xdr:colOff>2370</xdr:colOff>
      <xdr:row>18</xdr:row>
      <xdr:rowOff>44823</xdr:rowOff>
    </xdr:from>
    <xdr:to>
      <xdr:col>23</xdr:col>
      <xdr:colOff>230971</xdr:colOff>
      <xdr:row>19</xdr:row>
      <xdr:rowOff>49305</xdr:rowOff>
    </xdr:to>
    <xdr:sp macro="" textlink="" fLocksText="0">
      <xdr:nvSpPr>
        <xdr:cNvPr id="13" name="Rectangle 12">
          <a:extLst>
            <a:ext uri="{FF2B5EF4-FFF2-40B4-BE49-F238E27FC236}">
              <a16:creationId xmlns:a16="http://schemas.microsoft.com/office/drawing/2014/main" id="{00000000-0008-0000-0300-00000D000000}"/>
            </a:ext>
          </a:extLst>
        </xdr:cNvPr>
        <xdr:cNvSpPr/>
      </xdr:nvSpPr>
      <xdr:spPr>
        <a:xfrm>
          <a:off x="6134100" y="3590925"/>
          <a:ext cx="2286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a:t>
          </a:r>
        </a:p>
      </xdr:txBody>
    </xdr:sp>
    <xdr:clientData/>
  </xdr:twoCellAnchor>
  <xdr:twoCellAnchor>
    <xdr:from>
      <xdr:col>24</xdr:col>
      <xdr:colOff>65124</xdr:colOff>
      <xdr:row>20</xdr:row>
      <xdr:rowOff>174811</xdr:rowOff>
    </xdr:from>
    <xdr:to>
      <xdr:col>25</xdr:col>
      <xdr:colOff>58402</xdr:colOff>
      <xdr:row>21</xdr:row>
      <xdr:rowOff>179293</xdr:rowOff>
    </xdr:to>
    <xdr:sp macro="" textlink="" fLocksText="0">
      <xdr:nvSpPr>
        <xdr:cNvPr id="14" name="Rectangle 13">
          <a:extLst>
            <a:ext uri="{FF2B5EF4-FFF2-40B4-BE49-F238E27FC236}">
              <a16:creationId xmlns:a16="http://schemas.microsoft.com/office/drawing/2014/main" id="{00000000-0008-0000-0300-00000E000000}"/>
            </a:ext>
          </a:extLst>
        </xdr:cNvPr>
        <xdr:cNvSpPr/>
      </xdr:nvSpPr>
      <xdr:spPr>
        <a:xfrm>
          <a:off x="6467475" y="40957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xdr:from>
      <xdr:col>16</xdr:col>
      <xdr:colOff>206748</xdr:colOff>
      <xdr:row>20</xdr:row>
      <xdr:rowOff>150896</xdr:rowOff>
    </xdr:from>
    <xdr:to>
      <xdr:col>17</xdr:col>
      <xdr:colOff>200025</xdr:colOff>
      <xdr:row>21</xdr:row>
      <xdr:rowOff>155378</xdr:rowOff>
    </xdr:to>
    <xdr:sp macro="" textlink="" fLocksText="0">
      <xdr:nvSpPr>
        <xdr:cNvPr id="42" name="Rectangle 41">
          <a:extLst>
            <a:ext uri="{FF2B5EF4-FFF2-40B4-BE49-F238E27FC236}">
              <a16:creationId xmlns:a16="http://schemas.microsoft.com/office/drawing/2014/main" id="{00000000-0008-0000-0300-00002A000000}"/>
            </a:ext>
          </a:extLst>
        </xdr:cNvPr>
        <xdr:cNvSpPr/>
      </xdr:nvSpPr>
      <xdr:spPr>
        <a:xfrm>
          <a:off x="4476750" y="40767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p>
      </xdr:txBody>
    </xdr:sp>
    <xdr:clientData/>
  </xdr:twoCellAnchor>
  <xdr:twoCellAnchor>
    <xdr:from>
      <xdr:col>31</xdr:col>
      <xdr:colOff>560</xdr:colOff>
      <xdr:row>18</xdr:row>
      <xdr:rowOff>67972</xdr:rowOff>
    </xdr:from>
    <xdr:to>
      <xdr:col>31</xdr:col>
      <xdr:colOff>229161</xdr:colOff>
      <xdr:row>19</xdr:row>
      <xdr:rowOff>72454</xdr:rowOff>
    </xdr:to>
    <xdr:sp macro="" textlink="" fLocksText="0">
      <xdr:nvSpPr>
        <xdr:cNvPr id="44" name="Rectangle 43">
          <a:extLst>
            <a:ext uri="{FF2B5EF4-FFF2-40B4-BE49-F238E27FC236}">
              <a16:creationId xmlns:a16="http://schemas.microsoft.com/office/drawing/2014/main" id="{00000000-0008-0000-0300-00002C000000}"/>
            </a:ext>
          </a:extLst>
        </xdr:cNvPr>
        <xdr:cNvSpPr/>
      </xdr:nvSpPr>
      <xdr:spPr>
        <a:xfrm>
          <a:off x="8267700" y="3609975"/>
          <a:ext cx="2286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a:t>
          </a:r>
        </a:p>
      </xdr:txBody>
    </xdr:sp>
    <xdr:clientData/>
  </xdr:twoCellAnchor>
  <xdr:twoCellAnchor>
    <xdr:from>
      <xdr:col>32</xdr:col>
      <xdr:colOff>7283</xdr:colOff>
      <xdr:row>20</xdr:row>
      <xdr:rowOff>164343</xdr:rowOff>
    </xdr:from>
    <xdr:to>
      <xdr:col>33</xdr:col>
      <xdr:colOff>561</xdr:colOff>
      <xdr:row>21</xdr:row>
      <xdr:rowOff>168825</xdr:rowOff>
    </xdr:to>
    <xdr:sp macro="" textlink="" fLocksText="0">
      <xdr:nvSpPr>
        <xdr:cNvPr id="49" name="Rectangle 48">
          <a:extLst>
            <a:ext uri="{FF2B5EF4-FFF2-40B4-BE49-F238E27FC236}">
              <a16:creationId xmlns:a16="http://schemas.microsoft.com/office/drawing/2014/main" id="{00000000-0008-0000-0300-000031000000}"/>
            </a:ext>
          </a:extLst>
        </xdr:cNvPr>
        <xdr:cNvSpPr/>
      </xdr:nvSpPr>
      <xdr:spPr>
        <a:xfrm>
          <a:off x="8543925" y="408622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13</a:t>
          </a:r>
        </a:p>
      </xdr:txBody>
    </xdr:sp>
    <xdr:clientData/>
  </xdr:twoCellAnchor>
  <xdr:twoCellAnchor>
    <xdr:from>
      <xdr:col>38</xdr:col>
      <xdr:colOff>70036</xdr:colOff>
      <xdr:row>18</xdr:row>
      <xdr:rowOff>70213</xdr:rowOff>
    </xdr:from>
    <xdr:to>
      <xdr:col>39</xdr:col>
      <xdr:colOff>63313</xdr:colOff>
      <xdr:row>19</xdr:row>
      <xdr:rowOff>74695</xdr:rowOff>
    </xdr:to>
    <xdr:sp macro="" textlink="" fLocksText="0">
      <xdr:nvSpPr>
        <xdr:cNvPr id="50" name="Rectangle 49">
          <a:extLst>
            <a:ext uri="{FF2B5EF4-FFF2-40B4-BE49-F238E27FC236}">
              <a16:creationId xmlns:a16="http://schemas.microsoft.com/office/drawing/2014/main" id="{00000000-0008-0000-0300-000032000000}"/>
            </a:ext>
          </a:extLst>
        </xdr:cNvPr>
        <xdr:cNvSpPr/>
      </xdr:nvSpPr>
      <xdr:spPr>
        <a:xfrm>
          <a:off x="10201275" y="3609975"/>
          <a:ext cx="266700"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twoCellAnchor>
    <xdr:from>
      <xdr:col>39</xdr:col>
      <xdr:colOff>132789</xdr:colOff>
      <xdr:row>20</xdr:row>
      <xdr:rowOff>177790</xdr:rowOff>
    </xdr:from>
    <xdr:to>
      <xdr:col>40</xdr:col>
      <xdr:colOff>126067</xdr:colOff>
      <xdr:row>21</xdr:row>
      <xdr:rowOff>182272</xdr:rowOff>
    </xdr:to>
    <xdr:sp macro="" textlink="" fLocksText="0">
      <xdr:nvSpPr>
        <xdr:cNvPr id="51" name="Rectangle 50">
          <a:extLst>
            <a:ext uri="{FF2B5EF4-FFF2-40B4-BE49-F238E27FC236}">
              <a16:creationId xmlns:a16="http://schemas.microsoft.com/office/drawing/2014/main" id="{00000000-0008-0000-0300-000033000000}"/>
            </a:ext>
          </a:extLst>
        </xdr:cNvPr>
        <xdr:cNvSpPr/>
      </xdr:nvSpPr>
      <xdr:spPr>
        <a:xfrm>
          <a:off x="10534650" y="41052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38</xdr:col>
      <xdr:colOff>83483</xdr:colOff>
      <xdr:row>9</xdr:row>
      <xdr:rowOff>16425</xdr:rowOff>
    </xdr:from>
    <xdr:to>
      <xdr:col>39</xdr:col>
      <xdr:colOff>76760</xdr:colOff>
      <xdr:row>10</xdr:row>
      <xdr:rowOff>20907</xdr:rowOff>
    </xdr:to>
    <xdr:sp macro="" textlink="" fLocksText="0">
      <xdr:nvSpPr>
        <xdr:cNvPr id="52" name="Rectangle 51">
          <a:extLst>
            <a:ext uri="{FF2B5EF4-FFF2-40B4-BE49-F238E27FC236}">
              <a16:creationId xmlns:a16="http://schemas.microsoft.com/office/drawing/2014/main" id="{00000000-0008-0000-0300-000034000000}"/>
            </a:ext>
          </a:extLst>
        </xdr:cNvPr>
        <xdr:cNvSpPr/>
      </xdr:nvSpPr>
      <xdr:spPr>
        <a:xfrm>
          <a:off x="10220325" y="184785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45</xdr:col>
      <xdr:colOff>208244</xdr:colOff>
      <xdr:row>38</xdr:row>
      <xdr:rowOff>95638</xdr:rowOff>
    </xdr:to>
    <xdr:pic>
      <xdr:nvPicPr>
        <xdr:cNvPr id="47" name="Picture 46">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1"/>
        <a:stretch>
          <a:fillRect/>
        </a:stretch>
      </xdr:blipFill>
      <xdr:spPr>
        <a:xfrm>
          <a:off x="533400" y="1638300"/>
          <a:ext cx="11677650" cy="5857875"/>
        </a:xfrm>
        <a:prstGeom prst="rect">
          <a:avLst/>
        </a:prstGeom>
      </xdr:spPr>
    </xdr:pic>
    <xdr:clientData/>
  </xdr:twoCellAnchor>
  <xdr:twoCellAnchor>
    <xdr:from>
      <xdr:col>2</xdr:col>
      <xdr:colOff>228598</xdr:colOff>
      <xdr:row>11</xdr:row>
      <xdr:rowOff>61249</xdr:rowOff>
    </xdr:from>
    <xdr:to>
      <xdr:col>4</xdr:col>
      <xdr:colOff>10813</xdr:colOff>
      <xdr:row>12</xdr:row>
      <xdr:rowOff>94867</xdr:rowOff>
    </xdr:to>
    <xdr:sp macro="" textlink="" fLocksText="0">
      <xdr:nvSpPr>
        <xdr:cNvPr id="3" name="Rectangle 2">
          <a:extLst>
            <a:ext uri="{FF2B5EF4-FFF2-40B4-BE49-F238E27FC236}">
              <a16:creationId xmlns:a16="http://schemas.microsoft.com/office/drawing/2014/main" id="{00000000-0008-0000-0400-000003000000}"/>
            </a:ext>
          </a:extLst>
        </xdr:cNvPr>
        <xdr:cNvSpPr/>
      </xdr:nvSpPr>
      <xdr:spPr>
        <a:xfrm>
          <a:off x="762000" y="2266950"/>
          <a:ext cx="314325"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1</a:t>
          </a:r>
        </a:p>
      </xdr:txBody>
    </xdr:sp>
    <xdr:clientData/>
  </xdr:twoCellAnchor>
  <xdr:twoCellAnchor>
    <xdr:from>
      <xdr:col>11</xdr:col>
      <xdr:colOff>148329</xdr:colOff>
      <xdr:row>11</xdr:row>
      <xdr:rowOff>64684</xdr:rowOff>
    </xdr:from>
    <xdr:to>
      <xdr:col>12</xdr:col>
      <xdr:colOff>168923</xdr:colOff>
      <xdr:row>12</xdr:row>
      <xdr:rowOff>95762</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3086100" y="22764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2</a:t>
          </a:r>
        </a:p>
      </xdr:txBody>
    </xdr:sp>
    <xdr:clientData/>
  </xdr:twoCellAnchor>
  <xdr:twoCellAnchor>
    <xdr:from>
      <xdr:col>14</xdr:col>
      <xdr:colOff>51549</xdr:colOff>
      <xdr:row>11</xdr:row>
      <xdr:rowOff>63490</xdr:rowOff>
    </xdr:from>
    <xdr:to>
      <xdr:col>15</xdr:col>
      <xdr:colOff>69087</xdr:colOff>
      <xdr:row>12</xdr:row>
      <xdr:rowOff>97108</xdr:rowOff>
    </xdr:to>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3781425" y="22764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3</a:t>
          </a:r>
        </a:p>
      </xdr:txBody>
    </xdr:sp>
    <xdr:clientData/>
  </xdr:twoCellAnchor>
  <xdr:twoCellAnchor>
    <xdr:from>
      <xdr:col>22</xdr:col>
      <xdr:colOff>125507</xdr:colOff>
      <xdr:row>11</xdr:row>
      <xdr:rowOff>70211</xdr:rowOff>
    </xdr:from>
    <xdr:to>
      <xdr:col>23</xdr:col>
      <xdr:colOff>143046</xdr:colOff>
      <xdr:row>12</xdr:row>
      <xdr:rowOff>103829</xdr:rowOff>
    </xdr:to>
    <xdr:sp macro="" textlink="" fLocksText="0">
      <xdr:nvSpPr>
        <xdr:cNvPr id="6" name="Rectangle 5">
          <a:extLst>
            <a:ext uri="{FF2B5EF4-FFF2-40B4-BE49-F238E27FC236}">
              <a16:creationId xmlns:a16="http://schemas.microsoft.com/office/drawing/2014/main" id="{00000000-0008-0000-0400-000006000000}"/>
            </a:ext>
          </a:extLst>
        </xdr:cNvPr>
        <xdr:cNvSpPr/>
      </xdr:nvSpPr>
      <xdr:spPr>
        <a:xfrm>
          <a:off x="5991225" y="22764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4</a:t>
          </a:r>
        </a:p>
      </xdr:txBody>
    </xdr:sp>
    <xdr:clientData/>
  </xdr:twoCellAnchor>
  <xdr:twoCellAnchor>
    <xdr:from>
      <xdr:col>25</xdr:col>
      <xdr:colOff>121025</xdr:colOff>
      <xdr:row>11</xdr:row>
      <xdr:rowOff>32114</xdr:rowOff>
    </xdr:from>
    <xdr:to>
      <xdr:col>26</xdr:col>
      <xdr:colOff>138563</xdr:colOff>
      <xdr:row>12</xdr:row>
      <xdr:rowOff>65732</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6791325" y="22383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5</a:t>
          </a:r>
        </a:p>
      </xdr:txBody>
    </xdr:sp>
    <xdr:clientData/>
  </xdr:twoCellAnchor>
  <xdr:twoCellAnchor>
    <xdr:from>
      <xdr:col>32</xdr:col>
      <xdr:colOff>194984</xdr:colOff>
      <xdr:row>11</xdr:row>
      <xdr:rowOff>72456</xdr:rowOff>
    </xdr:from>
    <xdr:to>
      <xdr:col>33</xdr:col>
      <xdr:colOff>212523</xdr:colOff>
      <xdr:row>12</xdr:row>
      <xdr:rowOff>106074</xdr:rowOff>
    </xdr:to>
    <xdr:sp macro="" textlink="" fLocksText="0">
      <xdr:nvSpPr>
        <xdr:cNvPr id="8" name="Rectangle 7">
          <a:extLst>
            <a:ext uri="{FF2B5EF4-FFF2-40B4-BE49-F238E27FC236}">
              <a16:creationId xmlns:a16="http://schemas.microsoft.com/office/drawing/2014/main" id="{00000000-0008-0000-0400-000008000000}"/>
            </a:ext>
          </a:extLst>
        </xdr:cNvPr>
        <xdr:cNvSpPr/>
      </xdr:nvSpPr>
      <xdr:spPr>
        <a:xfrm>
          <a:off x="8724900" y="2286000"/>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6</a:t>
          </a:r>
        </a:p>
      </xdr:txBody>
    </xdr:sp>
    <xdr:clientData/>
  </xdr:twoCellAnchor>
  <xdr:twoCellAnchor>
    <xdr:from>
      <xdr:col>3</xdr:col>
      <xdr:colOff>4483</xdr:colOff>
      <xdr:row>13</xdr:row>
      <xdr:rowOff>27632</xdr:rowOff>
    </xdr:from>
    <xdr:to>
      <xdr:col>4</xdr:col>
      <xdr:colOff>22022</xdr:colOff>
      <xdr:row>14</xdr:row>
      <xdr:rowOff>61250</xdr:rowOff>
    </xdr:to>
    <xdr:sp macro="" textlink="" fLocksText="0">
      <xdr:nvSpPr>
        <xdr:cNvPr id="9" name="Rectangle 8">
          <a:extLst>
            <a:ext uri="{FF2B5EF4-FFF2-40B4-BE49-F238E27FC236}">
              <a16:creationId xmlns:a16="http://schemas.microsoft.com/office/drawing/2014/main" id="{00000000-0008-0000-0400-000009000000}"/>
            </a:ext>
          </a:extLst>
        </xdr:cNvPr>
        <xdr:cNvSpPr/>
      </xdr:nvSpPr>
      <xdr:spPr>
        <a:xfrm>
          <a:off x="800100" y="2619375"/>
          <a:ext cx="285750" cy="2190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7</a:t>
          </a:r>
        </a:p>
      </xdr:txBody>
    </xdr:sp>
    <xdr:clientData/>
  </xdr:twoCellAnchor>
  <xdr:twoCellAnchor>
    <xdr:from>
      <xdr:col>10</xdr:col>
      <xdr:colOff>112058</xdr:colOff>
      <xdr:row>13</xdr:row>
      <xdr:rowOff>34357</xdr:rowOff>
    </xdr:from>
    <xdr:to>
      <xdr:col>11</xdr:col>
      <xdr:colOff>105335</xdr:colOff>
      <xdr:row>14</xdr:row>
      <xdr:rowOff>38839</xdr:rowOff>
    </xdr:to>
    <xdr:sp macro="" textlink="" fLocksText="0">
      <xdr:nvSpPr>
        <xdr:cNvPr id="10" name="Rectangle 9">
          <a:extLst>
            <a:ext uri="{FF2B5EF4-FFF2-40B4-BE49-F238E27FC236}">
              <a16:creationId xmlns:a16="http://schemas.microsoft.com/office/drawing/2014/main" id="{00000000-0008-0000-0400-00000A000000}"/>
            </a:ext>
          </a:extLst>
        </xdr:cNvPr>
        <xdr:cNvSpPr/>
      </xdr:nvSpPr>
      <xdr:spPr>
        <a:xfrm>
          <a:off x="2781300" y="26289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8</a:t>
          </a:r>
        </a:p>
      </xdr:txBody>
    </xdr:sp>
    <xdr:clientData/>
  </xdr:twoCellAnchor>
  <xdr:twoCellAnchor>
    <xdr:from>
      <xdr:col>15</xdr:col>
      <xdr:colOff>152398</xdr:colOff>
      <xdr:row>13</xdr:row>
      <xdr:rowOff>29873</xdr:rowOff>
    </xdr:from>
    <xdr:to>
      <xdr:col>16</xdr:col>
      <xdr:colOff>145676</xdr:colOff>
      <xdr:row>14</xdr:row>
      <xdr:rowOff>34355</xdr:rowOff>
    </xdr:to>
    <xdr:sp macro="" textlink="" fLocksText="0">
      <xdr:nvSpPr>
        <xdr:cNvPr id="11" name="Rectangle 10">
          <a:extLst>
            <a:ext uri="{FF2B5EF4-FFF2-40B4-BE49-F238E27FC236}">
              <a16:creationId xmlns:a16="http://schemas.microsoft.com/office/drawing/2014/main" id="{00000000-0008-0000-0400-00000B000000}"/>
            </a:ext>
          </a:extLst>
        </xdr:cNvPr>
        <xdr:cNvSpPr/>
      </xdr:nvSpPr>
      <xdr:spPr>
        <a:xfrm>
          <a:off x="4152900" y="26193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9</a:t>
          </a:r>
        </a:p>
      </xdr:txBody>
    </xdr:sp>
    <xdr:clientData/>
  </xdr:twoCellAnchor>
  <xdr:twoCellAnchor>
    <xdr:from>
      <xdr:col>13</xdr:col>
      <xdr:colOff>54177</xdr:colOff>
      <xdr:row>8</xdr:row>
      <xdr:rowOff>106072</xdr:rowOff>
    </xdr:from>
    <xdr:to>
      <xdr:col>14</xdr:col>
      <xdr:colOff>71716</xdr:colOff>
      <xdr:row>9</xdr:row>
      <xdr:rowOff>139690</xdr:rowOff>
    </xdr:to>
    <xdr:sp macro="" textlink="" fLocksText="0">
      <xdr:nvSpPr>
        <xdr:cNvPr id="12" name="Rectangle 11">
          <a:extLst>
            <a:ext uri="{FF2B5EF4-FFF2-40B4-BE49-F238E27FC236}">
              <a16:creationId xmlns:a16="http://schemas.microsoft.com/office/drawing/2014/main" id="{00000000-0008-0000-0400-00000C000000}"/>
            </a:ext>
          </a:extLst>
        </xdr:cNvPr>
        <xdr:cNvSpPr/>
      </xdr:nvSpPr>
      <xdr:spPr>
        <a:xfrm>
          <a:off x="3524250" y="1743075"/>
          <a:ext cx="285750" cy="2286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0</a:t>
          </a:r>
        </a:p>
      </xdr:txBody>
    </xdr:sp>
    <xdr:clientData/>
  </xdr:twoCellAnchor>
  <xdr:twoCellAnchor>
    <xdr:from>
      <xdr:col>20</xdr:col>
      <xdr:colOff>226487</xdr:colOff>
      <xdr:row>13</xdr:row>
      <xdr:rowOff>33617</xdr:rowOff>
    </xdr:from>
    <xdr:to>
      <xdr:col>21</xdr:col>
      <xdr:colOff>219765</xdr:colOff>
      <xdr:row>14</xdr:row>
      <xdr:rowOff>38099</xdr:rowOff>
    </xdr:to>
    <xdr:sp macro="" textlink="" fLocksText="0">
      <xdr:nvSpPr>
        <xdr:cNvPr id="13" name="Rectangle 12">
          <a:extLst>
            <a:ext uri="{FF2B5EF4-FFF2-40B4-BE49-F238E27FC236}">
              <a16:creationId xmlns:a16="http://schemas.microsoft.com/office/drawing/2014/main" id="{00000000-0008-0000-0400-00000D000000}"/>
            </a:ext>
          </a:extLst>
        </xdr:cNvPr>
        <xdr:cNvSpPr/>
      </xdr:nvSpPr>
      <xdr:spPr>
        <a:xfrm>
          <a:off x="5562600" y="26289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10</a:t>
          </a:r>
        </a:p>
      </xdr:txBody>
    </xdr:sp>
    <xdr:clientData/>
  </xdr:twoCellAnchor>
  <xdr:twoCellAnchor>
    <xdr:from>
      <xdr:col>6</xdr:col>
      <xdr:colOff>210800</xdr:colOff>
      <xdr:row>15</xdr:row>
      <xdr:rowOff>107576</xdr:rowOff>
    </xdr:from>
    <xdr:to>
      <xdr:col>7</xdr:col>
      <xdr:colOff>204077</xdr:colOff>
      <xdr:row>16</xdr:row>
      <xdr:rowOff>112058</xdr:rowOff>
    </xdr:to>
    <xdr:sp macro="" textlink="" fLocksText="0">
      <xdr:nvSpPr>
        <xdr:cNvPr id="14" name="Rectangle 13">
          <a:extLst>
            <a:ext uri="{FF2B5EF4-FFF2-40B4-BE49-F238E27FC236}">
              <a16:creationId xmlns:a16="http://schemas.microsoft.com/office/drawing/2014/main" id="{00000000-0008-0000-0400-00000E000000}"/>
            </a:ext>
          </a:extLst>
        </xdr:cNvPr>
        <xdr:cNvSpPr/>
      </xdr:nvSpPr>
      <xdr:spPr>
        <a:xfrm>
          <a:off x="1809750" y="30765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11</a:t>
          </a:r>
        </a:p>
      </xdr:txBody>
    </xdr:sp>
    <xdr:clientData/>
  </xdr:twoCellAnchor>
  <xdr:twoCellAnchor>
    <xdr:from>
      <xdr:col>26</xdr:col>
      <xdr:colOff>224117</xdr:colOff>
      <xdr:row>15</xdr:row>
      <xdr:rowOff>98613</xdr:rowOff>
    </xdr:from>
    <xdr:to>
      <xdr:col>27</xdr:col>
      <xdr:colOff>217395</xdr:colOff>
      <xdr:row>16</xdr:row>
      <xdr:rowOff>103095</xdr:rowOff>
    </xdr:to>
    <xdr:sp macro="" textlink="" fLocksText="0">
      <xdr:nvSpPr>
        <xdr:cNvPr id="48" name="Rectangle 47">
          <a:extLst>
            <a:ext uri="{FF2B5EF4-FFF2-40B4-BE49-F238E27FC236}">
              <a16:creationId xmlns:a16="http://schemas.microsoft.com/office/drawing/2014/main" id="{00000000-0008-0000-0400-000030000000}"/>
            </a:ext>
          </a:extLst>
        </xdr:cNvPr>
        <xdr:cNvSpPr/>
      </xdr:nvSpPr>
      <xdr:spPr>
        <a:xfrm>
          <a:off x="7162800" y="30670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15</a:t>
          </a:r>
        </a:p>
      </xdr:txBody>
    </xdr:sp>
    <xdr:clientData/>
  </xdr:twoCellAnchor>
  <xdr:twoCellAnchor>
    <xdr:from>
      <xdr:col>28</xdr:col>
      <xdr:colOff>51418</xdr:colOff>
      <xdr:row>17</xdr:row>
      <xdr:rowOff>141194</xdr:rowOff>
    </xdr:from>
    <xdr:to>
      <xdr:col>29</xdr:col>
      <xdr:colOff>44696</xdr:colOff>
      <xdr:row>18</xdr:row>
      <xdr:rowOff>145676</xdr:rowOff>
    </xdr:to>
    <xdr:sp macro="" textlink="" fLocksText="0">
      <xdr:nvSpPr>
        <xdr:cNvPr id="49" name="Rectangle 48">
          <a:extLst>
            <a:ext uri="{FF2B5EF4-FFF2-40B4-BE49-F238E27FC236}">
              <a16:creationId xmlns:a16="http://schemas.microsoft.com/office/drawing/2014/main" id="{00000000-0008-0000-0400-000031000000}"/>
            </a:ext>
          </a:extLst>
        </xdr:cNvPr>
        <xdr:cNvSpPr/>
      </xdr:nvSpPr>
      <xdr:spPr>
        <a:xfrm>
          <a:off x="7515225" y="34956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16</a:t>
          </a:r>
        </a:p>
      </xdr:txBody>
    </xdr:sp>
    <xdr:clientData/>
  </xdr:twoCellAnchor>
  <xdr:twoCellAnchor>
    <xdr:from>
      <xdr:col>37</xdr:col>
      <xdr:colOff>40212</xdr:colOff>
      <xdr:row>15</xdr:row>
      <xdr:rowOff>100853</xdr:rowOff>
    </xdr:from>
    <xdr:to>
      <xdr:col>38</xdr:col>
      <xdr:colOff>33490</xdr:colOff>
      <xdr:row>16</xdr:row>
      <xdr:rowOff>105335</xdr:rowOff>
    </xdr:to>
    <xdr:sp macro="" textlink="" fLocksText="0">
      <xdr:nvSpPr>
        <xdr:cNvPr id="50" name="Rectangle 49">
          <a:extLst>
            <a:ext uri="{FF2B5EF4-FFF2-40B4-BE49-F238E27FC236}">
              <a16:creationId xmlns:a16="http://schemas.microsoft.com/office/drawing/2014/main" id="{00000000-0008-0000-0400-000032000000}"/>
            </a:ext>
          </a:extLst>
        </xdr:cNvPr>
        <xdr:cNvSpPr/>
      </xdr:nvSpPr>
      <xdr:spPr>
        <a:xfrm>
          <a:off x="9906000" y="30765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17</a:t>
          </a:r>
        </a:p>
      </xdr:txBody>
    </xdr:sp>
    <xdr:clientData/>
  </xdr:twoCellAnchor>
  <xdr:twoCellAnchor>
    <xdr:from>
      <xdr:col>38</xdr:col>
      <xdr:colOff>107449</xdr:colOff>
      <xdr:row>17</xdr:row>
      <xdr:rowOff>141195</xdr:rowOff>
    </xdr:from>
    <xdr:to>
      <xdr:col>39</xdr:col>
      <xdr:colOff>100726</xdr:colOff>
      <xdr:row>18</xdr:row>
      <xdr:rowOff>145677</xdr:rowOff>
    </xdr:to>
    <xdr:sp macro="" textlink="" fLocksText="0">
      <xdr:nvSpPr>
        <xdr:cNvPr id="51" name="Rectangle 50">
          <a:extLst>
            <a:ext uri="{FF2B5EF4-FFF2-40B4-BE49-F238E27FC236}">
              <a16:creationId xmlns:a16="http://schemas.microsoft.com/office/drawing/2014/main" id="{00000000-0008-0000-0400-000033000000}"/>
            </a:ext>
          </a:extLst>
        </xdr:cNvPr>
        <xdr:cNvSpPr/>
      </xdr:nvSpPr>
      <xdr:spPr>
        <a:xfrm>
          <a:off x="10239375" y="34956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18</a:t>
          </a:r>
        </a:p>
      </xdr:txBody>
    </xdr:sp>
    <xdr:clientData/>
  </xdr:twoCellAnchor>
  <xdr:twoCellAnchor>
    <xdr:from>
      <xdr:col>33</xdr:col>
      <xdr:colOff>129860</xdr:colOff>
      <xdr:row>24</xdr:row>
      <xdr:rowOff>134471</xdr:rowOff>
    </xdr:from>
    <xdr:to>
      <xdr:col>34</xdr:col>
      <xdr:colOff>123137</xdr:colOff>
      <xdr:row>25</xdr:row>
      <xdr:rowOff>138953</xdr:rowOff>
    </xdr:to>
    <xdr:sp macro="" textlink="" fLocksText="0">
      <xdr:nvSpPr>
        <xdr:cNvPr id="52" name="Rectangle 51">
          <a:extLst>
            <a:ext uri="{FF2B5EF4-FFF2-40B4-BE49-F238E27FC236}">
              <a16:creationId xmlns:a16="http://schemas.microsoft.com/office/drawing/2014/main" id="{00000000-0008-0000-0400-000034000000}"/>
            </a:ext>
          </a:extLst>
        </xdr:cNvPr>
        <xdr:cNvSpPr/>
      </xdr:nvSpPr>
      <xdr:spPr>
        <a:xfrm>
          <a:off x="8934450" y="48196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19</a:t>
          </a:r>
        </a:p>
      </xdr:txBody>
    </xdr:sp>
    <xdr:clientData/>
  </xdr:twoCellAnchor>
  <xdr:twoCellAnchor>
    <xdr:from>
      <xdr:col>19</xdr:col>
      <xdr:colOff>235196</xdr:colOff>
      <xdr:row>36</xdr:row>
      <xdr:rowOff>168089</xdr:rowOff>
    </xdr:from>
    <xdr:to>
      <xdr:col>20</xdr:col>
      <xdr:colOff>228473</xdr:colOff>
      <xdr:row>37</xdr:row>
      <xdr:rowOff>161365</xdr:rowOff>
    </xdr:to>
    <xdr:sp macro="" textlink="" fLocksText="0">
      <xdr:nvSpPr>
        <xdr:cNvPr id="53" name="Rectangle 52">
          <a:extLst>
            <a:ext uri="{FF2B5EF4-FFF2-40B4-BE49-F238E27FC236}">
              <a16:creationId xmlns:a16="http://schemas.microsoft.com/office/drawing/2014/main" id="{00000000-0008-0000-0400-000035000000}"/>
            </a:ext>
          </a:extLst>
        </xdr:cNvPr>
        <xdr:cNvSpPr/>
      </xdr:nvSpPr>
      <xdr:spPr>
        <a:xfrm>
          <a:off x="5305425" y="717232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20</a:t>
          </a:r>
        </a:p>
      </xdr:txBody>
    </xdr:sp>
    <xdr:clientData/>
  </xdr:twoCellAnchor>
  <xdr:twoCellAnchor>
    <xdr:from>
      <xdr:col>23</xdr:col>
      <xdr:colOff>197095</xdr:colOff>
      <xdr:row>36</xdr:row>
      <xdr:rowOff>163607</xdr:rowOff>
    </xdr:from>
    <xdr:to>
      <xdr:col>24</xdr:col>
      <xdr:colOff>190372</xdr:colOff>
      <xdr:row>37</xdr:row>
      <xdr:rowOff>156883</xdr:rowOff>
    </xdr:to>
    <xdr:sp macro="" textlink="" fLocksText="0">
      <xdr:nvSpPr>
        <xdr:cNvPr id="54" name="Rectangle 53">
          <a:extLst>
            <a:ext uri="{FF2B5EF4-FFF2-40B4-BE49-F238E27FC236}">
              <a16:creationId xmlns:a16="http://schemas.microsoft.com/office/drawing/2014/main" id="{00000000-0008-0000-0400-000036000000}"/>
            </a:ext>
          </a:extLst>
        </xdr:cNvPr>
        <xdr:cNvSpPr/>
      </xdr:nvSpPr>
      <xdr:spPr>
        <a:xfrm>
          <a:off x="6334125" y="7162800"/>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21</a:t>
          </a:r>
        </a:p>
      </xdr:txBody>
    </xdr:sp>
    <xdr:clientData/>
  </xdr:twoCellAnchor>
  <xdr:twoCellAnchor>
    <xdr:from>
      <xdr:col>26</xdr:col>
      <xdr:colOff>141064</xdr:colOff>
      <xdr:row>36</xdr:row>
      <xdr:rowOff>156883</xdr:rowOff>
    </xdr:from>
    <xdr:to>
      <xdr:col>27</xdr:col>
      <xdr:colOff>134342</xdr:colOff>
      <xdr:row>37</xdr:row>
      <xdr:rowOff>150159</xdr:rowOff>
    </xdr:to>
    <xdr:sp macro="" textlink="" fLocksText="0">
      <xdr:nvSpPr>
        <xdr:cNvPr id="55" name="Rectangle 54">
          <a:extLst>
            <a:ext uri="{FF2B5EF4-FFF2-40B4-BE49-F238E27FC236}">
              <a16:creationId xmlns:a16="http://schemas.microsoft.com/office/drawing/2014/main" id="{00000000-0008-0000-0400-000037000000}"/>
            </a:ext>
          </a:extLst>
        </xdr:cNvPr>
        <xdr:cNvSpPr/>
      </xdr:nvSpPr>
      <xdr:spPr>
        <a:xfrm>
          <a:off x="7077075" y="7153275"/>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22</a:t>
          </a:r>
        </a:p>
      </xdr:txBody>
    </xdr:sp>
    <xdr:clientData/>
  </xdr:twoCellAnchor>
  <xdr:twoCellAnchor>
    <xdr:from>
      <xdr:col>40</xdr:col>
      <xdr:colOff>26895</xdr:colOff>
      <xdr:row>11</xdr:row>
      <xdr:rowOff>80685</xdr:rowOff>
    </xdr:from>
    <xdr:to>
      <xdr:col>41</xdr:col>
      <xdr:colOff>20172</xdr:colOff>
      <xdr:row>12</xdr:row>
      <xdr:rowOff>85167</xdr:rowOff>
    </xdr:to>
    <xdr:sp macro="" textlink="" fLocksText="0">
      <xdr:nvSpPr>
        <xdr:cNvPr id="56" name="Rectangle 55">
          <a:extLst>
            <a:ext uri="{FF2B5EF4-FFF2-40B4-BE49-F238E27FC236}">
              <a16:creationId xmlns:a16="http://schemas.microsoft.com/office/drawing/2014/main" id="{00000000-0008-0000-0400-000038000000}"/>
            </a:ext>
          </a:extLst>
        </xdr:cNvPr>
        <xdr:cNvSpPr/>
      </xdr:nvSpPr>
      <xdr:spPr>
        <a:xfrm>
          <a:off x="10696575" y="228600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23</a:t>
          </a:r>
        </a:p>
      </xdr:txBody>
    </xdr:sp>
    <xdr:clientData/>
  </xdr:twoCellAnchor>
  <xdr:twoCellAnchor>
    <xdr:from>
      <xdr:col>7</xdr:col>
      <xdr:colOff>183906</xdr:colOff>
      <xdr:row>18</xdr:row>
      <xdr:rowOff>103093</xdr:rowOff>
    </xdr:from>
    <xdr:to>
      <xdr:col>8</xdr:col>
      <xdr:colOff>177184</xdr:colOff>
      <xdr:row>19</xdr:row>
      <xdr:rowOff>107575</xdr:rowOff>
    </xdr:to>
    <xdr:sp macro="" textlink="" fLocksText="0">
      <xdr:nvSpPr>
        <xdr:cNvPr id="58" name="Rectangle 57">
          <a:extLst>
            <a:ext uri="{FF2B5EF4-FFF2-40B4-BE49-F238E27FC236}">
              <a16:creationId xmlns:a16="http://schemas.microsoft.com/office/drawing/2014/main" id="{00000000-0008-0000-0400-00003A000000}"/>
            </a:ext>
          </a:extLst>
        </xdr:cNvPr>
        <xdr:cNvSpPr/>
      </xdr:nvSpPr>
      <xdr:spPr>
        <a:xfrm>
          <a:off x="2047875" y="3648075"/>
          <a:ext cx="266700"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12</a:t>
          </a:r>
        </a:p>
      </xdr:txBody>
    </xdr:sp>
    <xdr:clientData/>
  </xdr:twoCellAnchor>
  <xdr:twoCellAnchor>
    <xdr:from>
      <xdr:col>15</xdr:col>
      <xdr:colOff>179294</xdr:colOff>
      <xdr:row>15</xdr:row>
      <xdr:rowOff>100852</xdr:rowOff>
    </xdr:from>
    <xdr:to>
      <xdr:col>16</xdr:col>
      <xdr:colOff>172572</xdr:colOff>
      <xdr:row>16</xdr:row>
      <xdr:rowOff>105334</xdr:rowOff>
    </xdr:to>
    <xdr:sp macro="" textlink="" fLocksText="0">
      <xdr:nvSpPr>
        <xdr:cNvPr id="59" name="Rectangle 58">
          <a:extLst>
            <a:ext uri="{FF2B5EF4-FFF2-40B4-BE49-F238E27FC236}">
              <a16:creationId xmlns:a16="http://schemas.microsoft.com/office/drawing/2014/main" id="{00000000-0008-0000-0400-00003B000000}"/>
            </a:ext>
          </a:extLst>
        </xdr:cNvPr>
        <xdr:cNvSpPr/>
      </xdr:nvSpPr>
      <xdr:spPr>
        <a:xfrm>
          <a:off x="4181475" y="3076575"/>
          <a:ext cx="257175" cy="190500"/>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13</a:t>
          </a:r>
        </a:p>
      </xdr:txBody>
    </xdr:sp>
    <xdr:clientData/>
  </xdr:twoCellAnchor>
  <xdr:twoCellAnchor>
    <xdr:from>
      <xdr:col>17</xdr:col>
      <xdr:colOff>33618</xdr:colOff>
      <xdr:row>17</xdr:row>
      <xdr:rowOff>134470</xdr:rowOff>
    </xdr:from>
    <xdr:to>
      <xdr:col>18</xdr:col>
      <xdr:colOff>26895</xdr:colOff>
      <xdr:row>18</xdr:row>
      <xdr:rowOff>138952</xdr:rowOff>
    </xdr:to>
    <xdr:sp macro="" textlink="" fLocksText="0">
      <xdr:nvSpPr>
        <xdr:cNvPr id="60" name="Rectangle 59">
          <a:extLst>
            <a:ext uri="{FF2B5EF4-FFF2-40B4-BE49-F238E27FC236}">
              <a16:creationId xmlns:a16="http://schemas.microsoft.com/office/drawing/2014/main" id="{00000000-0008-0000-0400-00003C000000}"/>
            </a:ext>
          </a:extLst>
        </xdr:cNvPr>
        <xdr:cNvSpPr/>
      </xdr:nvSpPr>
      <xdr:spPr>
        <a:xfrm>
          <a:off x="4572000" y="3486150"/>
          <a:ext cx="257175" cy="20002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bg1"/>
        </a:fontRef>
      </xdr:style>
      <xdr:txBody>
        <a:bodyPr vertOverflow="clip" horzOverflow="clip" lIns="0" tIns="0" rIns="0" bIns="0" anchor="ctr"/>
        <a:lstStyle/>
        <a:p>
          <a:pPr algn="ctr"/>
          <a:r>
            <a:rPr lang="en-US" sz="1100" b="0" i="0" u="none" baseline="0">
              <a:solidFill>
                <a:srgbClr val="000000"/>
              </a:solidFill>
              <a:latin typeface="Meiryo UI"/>
              <a:ea typeface="Meiryo UI"/>
            </a:rPr>
            <a:t>14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8" customWidth="1"/>
    <col min="61" max="16384" width="2.77734375" style="188"/>
  </cols>
  <sheetData>
    <row r="1" spans="1:63" ht="24.95" customHeight="1" x14ac:dyDescent="0.25">
      <c r="A1" s="182" t="s">
        <v>85</v>
      </c>
      <c r="B1" s="183"/>
      <c r="C1" s="183"/>
      <c r="D1" s="183"/>
      <c r="E1" s="183"/>
      <c r="F1" s="183"/>
      <c r="G1" s="183"/>
      <c r="H1" s="183"/>
      <c r="I1" s="183"/>
      <c r="J1" s="184"/>
      <c r="K1" s="182" t="s">
        <v>86</v>
      </c>
      <c r="L1" s="183"/>
      <c r="M1" s="183"/>
      <c r="N1" s="183"/>
      <c r="O1" s="183"/>
      <c r="P1" s="183"/>
      <c r="Q1" s="183"/>
      <c r="R1" s="183"/>
      <c r="S1" s="183"/>
      <c r="T1" s="183"/>
      <c r="U1" s="183"/>
      <c r="V1" s="184"/>
      <c r="W1" s="185" t="s">
        <v>87</v>
      </c>
      <c r="X1" s="186"/>
      <c r="Y1" s="186"/>
      <c r="Z1" s="186"/>
      <c r="AA1" s="186"/>
      <c r="AB1" s="186"/>
      <c r="AC1" s="186"/>
      <c r="AD1" s="186"/>
      <c r="AE1" s="186"/>
      <c r="AF1" s="186"/>
      <c r="AG1" s="186"/>
      <c r="AH1" s="186"/>
      <c r="AI1" s="186"/>
      <c r="AJ1" s="186"/>
      <c r="AK1" s="186"/>
      <c r="AL1" s="186"/>
      <c r="AM1" s="186"/>
      <c r="AN1" s="186"/>
      <c r="AO1" s="18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18" t="s">
        <v>93</v>
      </c>
      <c r="B2" s="189"/>
      <c r="C2" s="189"/>
      <c r="D2" s="189"/>
      <c r="E2" s="189"/>
      <c r="F2" s="189"/>
      <c r="G2" s="189"/>
      <c r="H2" s="189"/>
      <c r="I2" s="189"/>
      <c r="J2" s="190"/>
      <c r="K2" s="191" t="s">
        <v>1</v>
      </c>
      <c r="L2" s="189"/>
      <c r="M2" s="189"/>
      <c r="N2" s="189"/>
      <c r="O2" s="189"/>
      <c r="P2" s="189"/>
      <c r="Q2" s="189"/>
      <c r="R2" s="189"/>
      <c r="S2" s="189"/>
      <c r="T2" s="189"/>
      <c r="U2" s="189"/>
      <c r="V2" s="190"/>
      <c r="W2" s="192"/>
      <c r="X2" s="193"/>
      <c r="Y2" s="193"/>
      <c r="Z2" s="193"/>
      <c r="AA2" s="193"/>
      <c r="AB2" s="193"/>
      <c r="AC2" s="193"/>
      <c r="AD2" s="193"/>
      <c r="AE2" s="193"/>
      <c r="AF2" s="193"/>
      <c r="AG2" s="193"/>
      <c r="AH2" s="193"/>
      <c r="AI2" s="193"/>
      <c r="AJ2" s="193"/>
      <c r="AK2" s="193"/>
      <c r="AL2" s="193"/>
      <c r="AM2" s="193"/>
      <c r="AN2" s="193"/>
      <c r="AO2" s="194"/>
      <c r="AP2" s="191" t="str">
        <f>改訂履歴!$H$11</f>
        <v>DuNT</v>
      </c>
      <c r="AQ2" s="189"/>
      <c r="AR2" s="189"/>
      <c r="AS2" s="190"/>
      <c r="AT2" s="195">
        <f>改訂履歴!$B$11</f>
        <v>45635</v>
      </c>
      <c r="AU2" s="196"/>
      <c r="AV2" s="196"/>
      <c r="AW2" s="196"/>
      <c r="AX2" s="197"/>
      <c r="AY2" s="191" t="str">
        <f>LOOKUP(2,1/(改訂履歴!H11:H30000&lt;&gt;""),改訂履歴!H11:H30000)</f>
        <v>DuNT</v>
      </c>
      <c r="AZ2" s="189"/>
      <c r="BA2" s="189"/>
      <c r="BB2" s="190"/>
      <c r="BC2" s="195">
        <f>LOOKUP(2,1/(改訂履歴!B11:B30000&lt;&gt;""),改訂履歴!B11:B30000)</f>
        <v>45635</v>
      </c>
      <c r="BD2" s="196"/>
      <c r="BE2" s="196"/>
      <c r="BF2" s="196"/>
      <c r="BG2" s="197"/>
      <c r="BH2" s="198">
        <f>LOOKUP(2,1/(改訂履歴!O11:O30000&lt;&gt;""),改訂履歴!O11:O30000)</f>
        <v>0.1</v>
      </c>
      <c r="BI2" s="199"/>
      <c r="BJ2" s="199"/>
      <c r="BK2" s="200"/>
    </row>
    <row r="3" spans="1:63" ht="15" customHeight="1" x14ac:dyDescent="0.25">
      <c r="A3" s="201"/>
      <c r="B3" s="202"/>
      <c r="C3" s="202"/>
      <c r="D3" s="202"/>
      <c r="E3" s="202"/>
      <c r="F3" s="202"/>
      <c r="G3" s="202"/>
      <c r="H3" s="202"/>
      <c r="I3" s="202"/>
      <c r="J3" s="203"/>
      <c r="K3" s="201"/>
      <c r="L3" s="202"/>
      <c r="M3" s="202"/>
      <c r="N3" s="202"/>
      <c r="O3" s="202"/>
      <c r="P3" s="202"/>
      <c r="Q3" s="202"/>
      <c r="R3" s="202"/>
      <c r="S3" s="202"/>
      <c r="T3" s="202"/>
      <c r="U3" s="202"/>
      <c r="V3" s="203"/>
      <c r="W3" s="204"/>
      <c r="X3" s="205"/>
      <c r="Y3" s="205"/>
      <c r="Z3" s="205"/>
      <c r="AA3" s="205"/>
      <c r="AB3" s="205"/>
      <c r="AC3" s="205"/>
      <c r="AD3" s="205"/>
      <c r="AE3" s="205"/>
      <c r="AF3" s="205"/>
      <c r="AG3" s="205"/>
      <c r="AH3" s="205"/>
      <c r="AI3" s="205"/>
      <c r="AJ3" s="205"/>
      <c r="AK3" s="205"/>
      <c r="AL3" s="205"/>
      <c r="AM3" s="205"/>
      <c r="AN3" s="205"/>
      <c r="AO3" s="206"/>
      <c r="AP3" s="201"/>
      <c r="AQ3" s="202"/>
      <c r="AR3" s="202"/>
      <c r="AS3" s="203"/>
      <c r="AT3" s="207"/>
      <c r="AU3" s="208"/>
      <c r="AV3" s="208"/>
      <c r="AW3" s="208"/>
      <c r="AX3" s="209"/>
      <c r="AY3" s="201"/>
      <c r="AZ3" s="202"/>
      <c r="BA3" s="202"/>
      <c r="BB3" s="203"/>
      <c r="BC3" s="207"/>
      <c r="BD3" s="208"/>
      <c r="BE3" s="208"/>
      <c r="BF3" s="208"/>
      <c r="BG3" s="209"/>
      <c r="BH3" s="210"/>
      <c r="BI3" s="211"/>
      <c r="BJ3" s="211"/>
      <c r="BK3" s="212"/>
    </row>
    <row r="4" spans="1:63" ht="24.95" customHeight="1" x14ac:dyDescent="0.25">
      <c r="A4" s="182" t="s">
        <v>94</v>
      </c>
      <c r="B4" s="183"/>
      <c r="C4" s="183"/>
      <c r="D4" s="183"/>
      <c r="E4" s="183"/>
      <c r="F4" s="183"/>
      <c r="G4" s="184"/>
      <c r="H4" s="213" t="s">
        <v>20</v>
      </c>
      <c r="I4" s="214"/>
      <c r="J4" s="214"/>
      <c r="K4" s="214"/>
      <c r="L4" s="214"/>
      <c r="M4" s="214"/>
      <c r="N4" s="214"/>
      <c r="O4" s="214"/>
      <c r="P4" s="214"/>
      <c r="Q4" s="214"/>
      <c r="R4" s="214"/>
      <c r="S4" s="214"/>
      <c r="T4" s="215"/>
      <c r="U4" s="182" t="s">
        <v>95</v>
      </c>
      <c r="V4" s="183"/>
      <c r="W4" s="183"/>
      <c r="X4" s="183"/>
      <c r="Y4" s="184"/>
      <c r="Z4" s="17" t="s">
        <v>96</v>
      </c>
      <c r="AA4" s="216"/>
      <c r="AB4" s="216"/>
      <c r="AC4" s="216"/>
      <c r="AD4" s="216"/>
      <c r="AE4" s="216"/>
      <c r="AF4" s="216"/>
      <c r="AG4" s="216"/>
      <c r="AH4" s="216"/>
      <c r="AI4" s="216"/>
      <c r="AJ4" s="216"/>
      <c r="AK4" s="216"/>
      <c r="AL4" s="216"/>
      <c r="AM4" s="216"/>
      <c r="AN4" s="216"/>
      <c r="AO4" s="217"/>
      <c r="AP4" s="218" t="str">
        <f t="array" aca="1" ref="AP4" ca="1">RIGHT(CELL("filename",$A$1),LEN(CELL("filename",$A$1))-FIND("]",CELL("filename",$A$1)))</f>
        <v>表紙</v>
      </c>
      <c r="AQ4" s="216"/>
      <c r="AR4" s="216"/>
      <c r="AS4" s="216"/>
      <c r="AT4" s="216"/>
      <c r="AU4" s="216"/>
      <c r="AV4" s="216"/>
      <c r="AW4" s="216"/>
      <c r="AX4" s="216"/>
      <c r="AY4" s="216"/>
      <c r="AZ4" s="216"/>
      <c r="BA4" s="216"/>
      <c r="BB4" s="216"/>
      <c r="BC4" s="216"/>
      <c r="BD4" s="216"/>
      <c r="BE4" s="216"/>
      <c r="BF4" s="216"/>
      <c r="BG4" s="216"/>
      <c r="BH4" s="216"/>
      <c r="BI4" s="216"/>
      <c r="BJ4" s="216"/>
      <c r="BK4" s="217"/>
    </row>
    <row r="5" spans="1:63" ht="5.0999999999999996" customHeight="1" x14ac:dyDescent="0.25">
      <c r="A5" s="219"/>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1"/>
    </row>
    <row r="6" spans="1:63" ht="15" customHeight="1" x14ac:dyDescent="0.25">
      <c r="A6" s="222"/>
      <c r="BK6" s="223"/>
    </row>
    <row r="7" spans="1:63" ht="15" customHeight="1" x14ac:dyDescent="0.25">
      <c r="A7" s="222"/>
      <c r="BK7" s="223"/>
    </row>
    <row r="8" spans="1:63" ht="15" customHeight="1" x14ac:dyDescent="0.25">
      <c r="A8" s="222"/>
      <c r="BK8" s="223"/>
    </row>
    <row r="9" spans="1:63" ht="15" customHeight="1" x14ac:dyDescent="0.25">
      <c r="A9" s="222"/>
      <c r="BK9" s="223"/>
    </row>
    <row r="10" spans="1:63" ht="15" customHeight="1" x14ac:dyDescent="0.25">
      <c r="A10" s="222"/>
      <c r="BK10" s="223"/>
    </row>
    <row r="11" spans="1:63" ht="15" customHeight="1" x14ac:dyDescent="0.25">
      <c r="A11" s="222"/>
      <c r="BK11" s="223"/>
    </row>
    <row r="12" spans="1:63" ht="15" customHeight="1" x14ac:dyDescent="0.25">
      <c r="A12" s="222"/>
      <c r="BK12" s="223"/>
    </row>
    <row r="13" spans="1:63" ht="15" customHeight="1" x14ac:dyDescent="0.25">
      <c r="A13" s="222"/>
      <c r="BK13" s="223"/>
    </row>
    <row r="14" spans="1:63" ht="15" customHeight="1" thickBot="1" x14ac:dyDescent="0.3">
      <c r="A14" s="222"/>
      <c r="BK14" s="223"/>
    </row>
    <row r="15" spans="1:63" ht="15" customHeight="1" thickTop="1" x14ac:dyDescent="0.25">
      <c r="A15" s="222"/>
      <c r="K15" s="224"/>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6"/>
      <c r="BK15" s="223"/>
    </row>
    <row r="16" spans="1:63" ht="15" customHeight="1" x14ac:dyDescent="0.25">
      <c r="A16" s="222"/>
      <c r="K16" s="227"/>
      <c r="L16" s="228" t="s">
        <v>97</v>
      </c>
      <c r="M16" s="229"/>
      <c r="N16" s="229"/>
      <c r="O16" s="229"/>
      <c r="P16" s="229"/>
      <c r="Q16" s="229"/>
      <c r="R16" s="229"/>
      <c r="S16" s="229"/>
      <c r="T16" s="229"/>
      <c r="U16" s="229"/>
      <c r="V16" s="229"/>
      <c r="W16" s="229"/>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30"/>
      <c r="BK16" s="223"/>
    </row>
    <row r="17" spans="1:63" ht="15" customHeight="1" x14ac:dyDescent="0.25">
      <c r="A17" s="222"/>
      <c r="K17" s="227"/>
      <c r="L17" s="229"/>
      <c r="M17" s="229"/>
      <c r="N17" s="229"/>
      <c r="O17" s="229"/>
      <c r="P17" s="229"/>
      <c r="Q17" s="229"/>
      <c r="R17" s="229"/>
      <c r="S17" s="229"/>
      <c r="T17" s="229"/>
      <c r="U17" s="229"/>
      <c r="V17" s="229"/>
      <c r="W17" s="229"/>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30"/>
      <c r="BK17" s="223"/>
    </row>
    <row r="18" spans="1:63" ht="15" customHeight="1" x14ac:dyDescent="0.25">
      <c r="A18" s="222"/>
      <c r="K18" s="227"/>
      <c r="L18" s="229"/>
      <c r="M18" s="229"/>
      <c r="N18" s="229"/>
      <c r="O18" s="229"/>
      <c r="P18" s="229"/>
      <c r="Q18" s="229"/>
      <c r="R18" s="229"/>
      <c r="S18" s="229"/>
      <c r="T18" s="229"/>
      <c r="U18" s="229"/>
      <c r="V18" s="229"/>
      <c r="W18" s="229"/>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29"/>
      <c r="BA18" s="230"/>
      <c r="BK18" s="223"/>
    </row>
    <row r="19" spans="1:63" ht="15" customHeight="1" x14ac:dyDescent="0.25">
      <c r="A19" s="222"/>
      <c r="K19" s="227"/>
      <c r="L19" s="229"/>
      <c r="M19" s="229"/>
      <c r="N19" s="229"/>
      <c r="O19" s="229"/>
      <c r="P19" s="229"/>
      <c r="Q19" s="229"/>
      <c r="R19" s="229"/>
      <c r="S19" s="229"/>
      <c r="T19" s="229"/>
      <c r="U19" s="229"/>
      <c r="V19" s="229"/>
      <c r="W19" s="229"/>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29"/>
      <c r="AT19" s="229"/>
      <c r="AU19" s="229"/>
      <c r="AV19" s="229"/>
      <c r="AW19" s="229"/>
      <c r="AX19" s="229"/>
      <c r="AY19" s="229"/>
      <c r="AZ19" s="229"/>
      <c r="BA19" s="230"/>
      <c r="BK19" s="223"/>
    </row>
    <row r="20" spans="1:63" ht="15" customHeight="1" x14ac:dyDescent="0.25">
      <c r="A20" s="222"/>
      <c r="K20" s="227"/>
      <c r="L20" s="229"/>
      <c r="M20" s="229"/>
      <c r="N20" s="229"/>
      <c r="O20" s="229"/>
      <c r="P20" s="229"/>
      <c r="Q20" s="229"/>
      <c r="R20" s="229"/>
      <c r="S20" s="229"/>
      <c r="T20" s="229"/>
      <c r="U20" s="229"/>
      <c r="V20" s="229"/>
      <c r="W20" s="229"/>
      <c r="X20" s="229"/>
      <c r="Y20" s="229"/>
      <c r="Z20" s="229"/>
      <c r="AA20" s="229"/>
      <c r="AB20" s="229"/>
      <c r="AC20" s="229"/>
      <c r="AD20" s="229"/>
      <c r="AE20" s="229"/>
      <c r="AF20" s="229"/>
      <c r="AG20" s="229"/>
      <c r="AH20" s="229"/>
      <c r="AI20" s="229"/>
      <c r="AJ20" s="229"/>
      <c r="AK20" s="229"/>
      <c r="AL20" s="229"/>
      <c r="AM20" s="229"/>
      <c r="AN20" s="229"/>
      <c r="AO20" s="229"/>
      <c r="AP20" s="229"/>
      <c r="AQ20" s="229"/>
      <c r="AR20" s="229"/>
      <c r="AS20" s="229"/>
      <c r="AT20" s="229"/>
      <c r="AU20" s="229"/>
      <c r="AV20" s="229"/>
      <c r="AW20" s="229"/>
      <c r="AX20" s="229"/>
      <c r="AY20" s="229"/>
      <c r="AZ20" s="229"/>
      <c r="BA20" s="230"/>
      <c r="BK20" s="223"/>
    </row>
    <row r="21" spans="1:63" ht="15" customHeight="1" x14ac:dyDescent="0.25">
      <c r="A21" s="222"/>
      <c r="K21" s="227"/>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30"/>
      <c r="BK21" s="223"/>
    </row>
    <row r="22" spans="1:63" ht="15" customHeight="1" thickBot="1" x14ac:dyDescent="0.3">
      <c r="A22" s="222"/>
      <c r="K22" s="227"/>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AY22" s="231"/>
      <c r="AZ22" s="231"/>
      <c r="BA22" s="230"/>
      <c r="BK22" s="223"/>
    </row>
    <row r="23" spans="1:63" ht="15" customHeight="1" x14ac:dyDescent="0.25">
      <c r="A23" s="222"/>
      <c r="K23" s="227"/>
      <c r="L23" s="232"/>
      <c r="M23" s="232"/>
      <c r="N23" s="232"/>
      <c r="O23" s="232"/>
      <c r="P23" s="232"/>
      <c r="Q23" s="232"/>
      <c r="R23" s="232"/>
      <c r="S23" s="232"/>
      <c r="T23" s="232"/>
      <c r="U23" s="232"/>
      <c r="V23" s="232"/>
      <c r="W23" s="232"/>
      <c r="X23" s="232"/>
      <c r="Y23" s="232"/>
      <c r="Z23" s="232"/>
      <c r="AA23" s="232"/>
      <c r="AB23" s="232"/>
      <c r="AC23" s="232"/>
      <c r="AD23" s="232"/>
      <c r="AE23" s="232"/>
      <c r="AF23" s="232"/>
      <c r="AG23" s="232"/>
      <c r="AH23" s="232"/>
      <c r="AI23" s="232"/>
      <c r="AJ23" s="232"/>
      <c r="AK23" s="232"/>
      <c r="AL23" s="232"/>
      <c r="AM23" s="232"/>
      <c r="AN23" s="232"/>
      <c r="AO23" s="232"/>
      <c r="AP23" s="232"/>
      <c r="AQ23" s="232"/>
      <c r="AR23" s="232"/>
      <c r="AS23" s="232"/>
      <c r="AT23" s="232"/>
      <c r="AU23" s="232"/>
      <c r="AV23" s="232"/>
      <c r="AW23" s="232"/>
      <c r="AX23" s="232"/>
      <c r="AY23" s="232"/>
      <c r="AZ23" s="232"/>
      <c r="BA23" s="230"/>
      <c r="BK23" s="223"/>
    </row>
    <row r="24" spans="1:63" ht="15" customHeight="1" x14ac:dyDescent="0.25">
      <c r="A24" s="222"/>
      <c r="K24" s="227"/>
      <c r="L24" s="229" t="str">
        <f>K2&amp;"/"&amp;H4&amp;"/"&amp;Z4</f>
        <v>POSサーバ/32_レジ別単品別売上点検/画面設計書</v>
      </c>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30"/>
      <c r="BK24" s="223"/>
    </row>
    <row r="25" spans="1:63" ht="15" customHeight="1" x14ac:dyDescent="0.25">
      <c r="A25" s="222"/>
      <c r="K25" s="227"/>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30"/>
      <c r="BK25" s="223"/>
    </row>
    <row r="26" spans="1:63" ht="15" customHeight="1" x14ac:dyDescent="0.25">
      <c r="A26" s="222"/>
      <c r="K26" s="227"/>
      <c r="L26" s="229"/>
      <c r="M26" s="229"/>
      <c r="N26" s="229"/>
      <c r="O26" s="229"/>
      <c r="P26" s="229"/>
      <c r="Q26" s="229"/>
      <c r="R26" s="229"/>
      <c r="S26" s="229"/>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30"/>
      <c r="BK26" s="223"/>
    </row>
    <row r="27" spans="1:63" ht="15" customHeight="1" x14ac:dyDescent="0.25">
      <c r="A27" s="222"/>
      <c r="K27" s="227"/>
      <c r="L27" s="229"/>
      <c r="M27" s="229"/>
      <c r="N27" s="229"/>
      <c r="O27" s="229"/>
      <c r="P27" s="229"/>
      <c r="Q27" s="229"/>
      <c r="R27" s="229"/>
      <c r="S27" s="229"/>
      <c r="T27" s="229"/>
      <c r="U27" s="229"/>
      <c r="V27" s="229"/>
      <c r="W27" s="229"/>
      <c r="X27" s="229"/>
      <c r="Y27" s="229"/>
      <c r="Z27" s="229"/>
      <c r="AA27" s="229"/>
      <c r="AB27" s="229"/>
      <c r="AC27" s="229"/>
      <c r="AD27" s="229"/>
      <c r="AE27" s="229"/>
      <c r="AF27" s="229"/>
      <c r="AG27" s="229"/>
      <c r="AH27" s="229"/>
      <c r="AI27" s="229"/>
      <c r="AJ27" s="229"/>
      <c r="AK27" s="229"/>
      <c r="AL27" s="229"/>
      <c r="AM27" s="229"/>
      <c r="AN27" s="229"/>
      <c r="AO27" s="229"/>
      <c r="AP27" s="229"/>
      <c r="AQ27" s="229"/>
      <c r="AR27" s="229"/>
      <c r="AS27" s="229"/>
      <c r="AT27" s="229"/>
      <c r="AU27" s="229"/>
      <c r="AV27" s="229"/>
      <c r="AW27" s="229"/>
      <c r="AX27" s="229"/>
      <c r="AY27" s="229"/>
      <c r="AZ27" s="229"/>
      <c r="BA27" s="230"/>
      <c r="BK27" s="223"/>
    </row>
    <row r="28" spans="1:63" ht="15" customHeight="1" x14ac:dyDescent="0.25">
      <c r="A28" s="222"/>
      <c r="K28" s="227"/>
      <c r="L28" s="229"/>
      <c r="M28" s="229"/>
      <c r="N28" s="229"/>
      <c r="O28" s="229"/>
      <c r="P28" s="229"/>
      <c r="Q28" s="229"/>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30"/>
      <c r="BK28" s="223"/>
    </row>
    <row r="29" spans="1:63" ht="15" customHeight="1" x14ac:dyDescent="0.25">
      <c r="A29" s="222"/>
      <c r="K29" s="227"/>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30"/>
      <c r="BK29" s="223"/>
    </row>
    <row r="30" spans="1:63" ht="15" customHeight="1" x14ac:dyDescent="0.25">
      <c r="A30" s="222"/>
      <c r="K30" s="227"/>
      <c r="L30" s="229"/>
      <c r="M30" s="229"/>
      <c r="N30" s="229"/>
      <c r="O30" s="229"/>
      <c r="P30" s="229"/>
      <c r="Q30" s="229"/>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30"/>
      <c r="BK30" s="223"/>
    </row>
    <row r="31" spans="1:63" ht="15" customHeight="1" x14ac:dyDescent="0.25">
      <c r="A31" s="222"/>
      <c r="K31" s="227"/>
      <c r="L31" s="229"/>
      <c r="M31" s="229"/>
      <c r="N31" s="229"/>
      <c r="O31" s="229"/>
      <c r="P31" s="229"/>
      <c r="Q31" s="229"/>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30"/>
      <c r="BK31" s="223"/>
    </row>
    <row r="32" spans="1:63" ht="15" customHeight="1" x14ac:dyDescent="0.25">
      <c r="A32" s="222"/>
      <c r="K32" s="227"/>
      <c r="L32" s="229"/>
      <c r="M32" s="229"/>
      <c r="N32" s="229"/>
      <c r="O32" s="229"/>
      <c r="P32" s="229"/>
      <c r="Q32" s="229"/>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30"/>
      <c r="BK32" s="223"/>
    </row>
    <row r="33" spans="1:63" ht="15" customHeight="1" x14ac:dyDescent="0.25">
      <c r="A33" s="222"/>
      <c r="K33" s="227"/>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30"/>
      <c r="BK33" s="223"/>
    </row>
    <row r="34" spans="1:63" ht="15" customHeight="1" x14ac:dyDescent="0.25">
      <c r="A34" s="222"/>
      <c r="K34" s="227"/>
      <c r="L34" s="229"/>
      <c r="M34" s="229"/>
      <c r="N34" s="229"/>
      <c r="O34" s="229"/>
      <c r="P34" s="229"/>
      <c r="Q34" s="229"/>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30"/>
      <c r="BK34" s="223"/>
    </row>
    <row r="35" spans="1:63" ht="15" customHeight="1" x14ac:dyDescent="0.25">
      <c r="A35" s="222"/>
      <c r="K35" s="227"/>
      <c r="L35" s="229"/>
      <c r="M35" s="229"/>
      <c r="N35" s="229"/>
      <c r="O35" s="229"/>
      <c r="P35" s="229"/>
      <c r="Q35" s="229"/>
      <c r="R35" s="229"/>
      <c r="S35" s="229"/>
      <c r="T35" s="229"/>
      <c r="U35" s="229"/>
      <c r="V35" s="229"/>
      <c r="W35" s="229"/>
      <c r="X35" s="229"/>
      <c r="Y35" s="229"/>
      <c r="Z35" s="229"/>
      <c r="AA35" s="229"/>
      <c r="AB35" s="229"/>
      <c r="AC35" s="229"/>
      <c r="AD35" s="229"/>
      <c r="AE35" s="229"/>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30"/>
      <c r="BK35" s="223"/>
    </row>
    <row r="36" spans="1:63" ht="15" customHeight="1" x14ac:dyDescent="0.25">
      <c r="A36" s="222"/>
      <c r="K36" s="227"/>
      <c r="L36" s="229"/>
      <c r="M36" s="229"/>
      <c r="N36" s="229"/>
      <c r="O36" s="229"/>
      <c r="P36" s="229"/>
      <c r="Q36" s="229"/>
      <c r="R36" s="229"/>
      <c r="S36" s="229"/>
      <c r="T36" s="229"/>
      <c r="U36" s="229"/>
      <c r="V36" s="229"/>
      <c r="W36" s="229"/>
      <c r="X36" s="229"/>
      <c r="Y36" s="229"/>
      <c r="Z36" s="229"/>
      <c r="AA36" s="229"/>
      <c r="AB36" s="229"/>
      <c r="AC36" s="229"/>
      <c r="AD36" s="229"/>
      <c r="AE36" s="229"/>
      <c r="AF36" s="229"/>
      <c r="AG36" s="229"/>
      <c r="AH36" s="229"/>
      <c r="AI36" s="229"/>
      <c r="AJ36" s="229"/>
      <c r="AK36" s="229"/>
      <c r="AL36" s="229"/>
      <c r="AM36" s="229"/>
      <c r="AN36" s="229"/>
      <c r="AO36" s="229"/>
      <c r="AP36" s="229"/>
      <c r="AQ36" s="229"/>
      <c r="AR36" s="229"/>
      <c r="AS36" s="229"/>
      <c r="AT36" s="229"/>
      <c r="AU36" s="229"/>
      <c r="AV36" s="229"/>
      <c r="AW36" s="229"/>
      <c r="AX36" s="229"/>
      <c r="AY36" s="229"/>
      <c r="AZ36" s="229"/>
      <c r="BA36" s="230"/>
      <c r="BK36" s="223"/>
    </row>
    <row r="37" spans="1:63" ht="15" customHeight="1" thickBot="1" x14ac:dyDescent="0.3">
      <c r="A37" s="222"/>
      <c r="K37" s="233"/>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5"/>
      <c r="BK37" s="223"/>
    </row>
    <row r="38" spans="1:63" ht="15" customHeight="1" thickTop="1" x14ac:dyDescent="0.25">
      <c r="A38" s="222"/>
      <c r="BK38" s="223"/>
    </row>
    <row r="39" spans="1:63" ht="15" customHeight="1" x14ac:dyDescent="0.25">
      <c r="A39" s="222"/>
      <c r="BK39" s="223"/>
    </row>
    <row r="40" spans="1:63" ht="15" customHeight="1" x14ac:dyDescent="0.25">
      <c r="A40" s="222"/>
      <c r="BK40" s="223"/>
    </row>
    <row r="41" spans="1:63" ht="15" customHeight="1" x14ac:dyDescent="0.25">
      <c r="A41" s="222"/>
      <c r="BK41" s="223"/>
    </row>
    <row r="42" spans="1:63" ht="15" customHeight="1" x14ac:dyDescent="0.25">
      <c r="A42" s="222"/>
      <c r="BK42" s="223"/>
    </row>
    <row r="43" spans="1:63" ht="15" customHeight="1" x14ac:dyDescent="0.25">
      <c r="A43" s="222"/>
      <c r="BK43" s="223"/>
    </row>
    <row r="44" spans="1:63" ht="15" customHeight="1" x14ac:dyDescent="0.25">
      <c r="A44" s="222"/>
      <c r="Q44" s="236" t="s">
        <v>98</v>
      </c>
      <c r="R44" s="237"/>
      <c r="S44" s="237"/>
      <c r="T44" s="237"/>
      <c r="U44" s="237"/>
      <c r="V44" s="237"/>
      <c r="W44" s="237"/>
      <c r="X44" s="237"/>
      <c r="Y44" s="237"/>
      <c r="Z44" s="238"/>
      <c r="AA44" s="236" t="s">
        <v>99</v>
      </c>
      <c r="AB44" s="237"/>
      <c r="AC44" s="237"/>
      <c r="AD44" s="237"/>
      <c r="AE44" s="237"/>
      <c r="AF44" s="237"/>
      <c r="AG44" s="237"/>
      <c r="AH44" s="237"/>
      <c r="AI44" s="237"/>
      <c r="AJ44" s="237"/>
      <c r="AK44" s="237"/>
      <c r="AL44" s="237"/>
      <c r="AM44" s="237"/>
      <c r="AN44" s="237"/>
      <c r="AO44" s="237"/>
      <c r="AP44" s="238"/>
      <c r="AQ44" s="236" t="s">
        <v>92</v>
      </c>
      <c r="AR44" s="237"/>
      <c r="AS44" s="237"/>
      <c r="AT44" s="237"/>
      <c r="AU44" s="238"/>
      <c r="BK44" s="223"/>
    </row>
    <row r="45" spans="1:63" ht="15" customHeight="1" x14ac:dyDescent="0.25">
      <c r="A45" s="222"/>
      <c r="Q45" s="239"/>
      <c r="R45" s="240"/>
      <c r="S45" s="240"/>
      <c r="T45" s="240"/>
      <c r="U45" s="240"/>
      <c r="V45" s="240"/>
      <c r="W45" s="240"/>
      <c r="X45" s="240"/>
      <c r="Y45" s="240"/>
      <c r="Z45" s="241"/>
      <c r="AA45" s="239"/>
      <c r="AB45" s="240"/>
      <c r="AC45" s="240"/>
      <c r="AD45" s="240"/>
      <c r="AE45" s="240"/>
      <c r="AF45" s="240"/>
      <c r="AG45" s="240"/>
      <c r="AH45" s="240"/>
      <c r="AI45" s="240"/>
      <c r="AJ45" s="240"/>
      <c r="AK45" s="240"/>
      <c r="AL45" s="240"/>
      <c r="AM45" s="240"/>
      <c r="AN45" s="240"/>
      <c r="AO45" s="240"/>
      <c r="AP45" s="241"/>
      <c r="AQ45" s="239"/>
      <c r="AR45" s="240"/>
      <c r="AS45" s="240"/>
      <c r="AT45" s="240"/>
      <c r="AU45" s="241"/>
      <c r="BK45" s="223"/>
    </row>
    <row r="46" spans="1:63" ht="15" customHeight="1" x14ac:dyDescent="0.25">
      <c r="A46" s="222"/>
      <c r="Q46" s="191"/>
      <c r="R46" s="189"/>
      <c r="S46" s="189"/>
      <c r="T46" s="189"/>
      <c r="U46" s="189"/>
      <c r="V46" s="189"/>
      <c r="W46" s="189"/>
      <c r="X46" s="189"/>
      <c r="Y46" s="189"/>
      <c r="Z46" s="190"/>
      <c r="AA46" s="191"/>
      <c r="AB46" s="189"/>
      <c r="AC46" s="189"/>
      <c r="AD46" s="189"/>
      <c r="AE46" s="189"/>
      <c r="AF46" s="189"/>
      <c r="AG46" s="189"/>
      <c r="AH46" s="189"/>
      <c r="AI46" s="189"/>
      <c r="AJ46" s="189"/>
      <c r="AK46" s="189"/>
      <c r="AL46" s="189"/>
      <c r="AM46" s="189"/>
      <c r="AN46" s="189"/>
      <c r="AO46" s="189"/>
      <c r="AP46" s="190"/>
      <c r="AQ46" s="191"/>
      <c r="AR46" s="189"/>
      <c r="AS46" s="189"/>
      <c r="AT46" s="189"/>
      <c r="AU46" s="190"/>
      <c r="BK46" s="223"/>
    </row>
    <row r="47" spans="1:63" ht="15" customHeight="1" x14ac:dyDescent="0.25">
      <c r="A47" s="222"/>
      <c r="Q47" s="242"/>
      <c r="R47" s="243"/>
      <c r="S47" s="243"/>
      <c r="T47" s="243"/>
      <c r="U47" s="243"/>
      <c r="V47" s="243"/>
      <c r="W47" s="243"/>
      <c r="X47" s="243"/>
      <c r="Y47" s="243"/>
      <c r="Z47" s="244"/>
      <c r="AA47" s="242"/>
      <c r="AB47" s="243"/>
      <c r="AC47" s="243"/>
      <c r="AD47" s="243"/>
      <c r="AE47" s="243"/>
      <c r="AF47" s="243"/>
      <c r="AG47" s="243"/>
      <c r="AH47" s="243"/>
      <c r="AI47" s="243"/>
      <c r="AJ47" s="243"/>
      <c r="AK47" s="243"/>
      <c r="AL47" s="243"/>
      <c r="AM47" s="243"/>
      <c r="AN47" s="243"/>
      <c r="AO47" s="243"/>
      <c r="AP47" s="244"/>
      <c r="AQ47" s="242"/>
      <c r="AR47" s="243"/>
      <c r="AS47" s="243"/>
      <c r="AT47" s="243"/>
      <c r="AU47" s="244"/>
      <c r="BK47" s="223"/>
    </row>
    <row r="48" spans="1:63" ht="15" customHeight="1" x14ac:dyDescent="0.25">
      <c r="A48" s="222"/>
      <c r="Q48" s="242"/>
      <c r="R48" s="243"/>
      <c r="S48" s="243"/>
      <c r="T48" s="243"/>
      <c r="U48" s="243"/>
      <c r="V48" s="243"/>
      <c r="W48" s="243"/>
      <c r="X48" s="243"/>
      <c r="Y48" s="243"/>
      <c r="Z48" s="244"/>
      <c r="AA48" s="242"/>
      <c r="AB48" s="243"/>
      <c r="AC48" s="243"/>
      <c r="AD48" s="243"/>
      <c r="AE48" s="243"/>
      <c r="AF48" s="243"/>
      <c r="AG48" s="243"/>
      <c r="AH48" s="243"/>
      <c r="AI48" s="243"/>
      <c r="AJ48" s="243"/>
      <c r="AK48" s="243"/>
      <c r="AL48" s="243"/>
      <c r="AM48" s="243"/>
      <c r="AN48" s="243"/>
      <c r="AO48" s="243"/>
      <c r="AP48" s="244"/>
      <c r="AQ48" s="242"/>
      <c r="AR48" s="243"/>
      <c r="AS48" s="243"/>
      <c r="AT48" s="243"/>
      <c r="AU48" s="244"/>
      <c r="BK48" s="223"/>
    </row>
    <row r="49" spans="1:63" ht="15" customHeight="1" x14ac:dyDescent="0.25">
      <c r="A49" s="222"/>
      <c r="Q49" s="201"/>
      <c r="R49" s="202"/>
      <c r="S49" s="202"/>
      <c r="T49" s="202"/>
      <c r="U49" s="202"/>
      <c r="V49" s="202"/>
      <c r="W49" s="202"/>
      <c r="X49" s="202"/>
      <c r="Y49" s="202"/>
      <c r="Z49" s="203"/>
      <c r="AA49" s="201"/>
      <c r="AB49" s="202"/>
      <c r="AC49" s="202"/>
      <c r="AD49" s="202"/>
      <c r="AE49" s="202"/>
      <c r="AF49" s="202"/>
      <c r="AG49" s="202"/>
      <c r="AH49" s="202"/>
      <c r="AI49" s="202"/>
      <c r="AJ49" s="202"/>
      <c r="AK49" s="202"/>
      <c r="AL49" s="202"/>
      <c r="AM49" s="202"/>
      <c r="AN49" s="202"/>
      <c r="AO49" s="202"/>
      <c r="AP49" s="203"/>
      <c r="AQ49" s="201"/>
      <c r="AR49" s="202"/>
      <c r="AS49" s="202"/>
      <c r="AT49" s="202"/>
      <c r="AU49" s="203"/>
      <c r="BK49" s="223"/>
    </row>
    <row r="50" spans="1:63" ht="15" customHeight="1" x14ac:dyDescent="0.25">
      <c r="A50" s="222"/>
      <c r="BK50" s="223"/>
    </row>
    <row r="51" spans="1:63" ht="15" customHeight="1" x14ac:dyDescent="0.25">
      <c r="A51" s="222"/>
      <c r="BK51" s="223"/>
    </row>
    <row r="52" spans="1:63" ht="15" customHeight="1" x14ac:dyDescent="0.25">
      <c r="A52" s="222"/>
      <c r="BK52" s="223"/>
    </row>
    <row r="53" spans="1:63" ht="15" customHeight="1" x14ac:dyDescent="0.25">
      <c r="A53" s="222"/>
      <c r="BK53" s="223"/>
    </row>
    <row r="54" spans="1:63" ht="15" customHeight="1" x14ac:dyDescent="0.25">
      <c r="A54" s="222"/>
      <c r="BK54" s="223"/>
    </row>
    <row r="55" spans="1:63" ht="15" customHeight="1" x14ac:dyDescent="0.25">
      <c r="A55" s="219"/>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8" customWidth="1"/>
    <col min="61" max="16384" width="2.77734375" style="188"/>
  </cols>
  <sheetData>
    <row r="1" spans="1:63" ht="24.95" customHeight="1" x14ac:dyDescent="0.25">
      <c r="A1" s="182" t="s">
        <v>85</v>
      </c>
      <c r="B1" s="183"/>
      <c r="C1" s="183"/>
      <c r="D1" s="183"/>
      <c r="E1" s="183"/>
      <c r="F1" s="183"/>
      <c r="G1" s="183"/>
      <c r="H1" s="183"/>
      <c r="I1" s="183"/>
      <c r="J1" s="184"/>
      <c r="K1" s="182" t="s">
        <v>86</v>
      </c>
      <c r="L1" s="183"/>
      <c r="M1" s="183"/>
      <c r="N1" s="183"/>
      <c r="O1" s="183"/>
      <c r="P1" s="183"/>
      <c r="Q1" s="183"/>
      <c r="R1" s="183"/>
      <c r="S1" s="183"/>
      <c r="T1" s="183"/>
      <c r="U1" s="183"/>
      <c r="V1" s="184"/>
      <c r="W1" s="245" t="str">
        <f>IF(表紙!W1="","",表紙!W1)</f>
        <v>詳細設計書</v>
      </c>
      <c r="X1" s="186"/>
      <c r="Y1" s="186"/>
      <c r="Z1" s="186"/>
      <c r="AA1" s="186"/>
      <c r="AB1" s="186"/>
      <c r="AC1" s="186"/>
      <c r="AD1" s="186"/>
      <c r="AE1" s="186"/>
      <c r="AF1" s="186"/>
      <c r="AG1" s="186"/>
      <c r="AH1" s="186"/>
      <c r="AI1" s="186"/>
      <c r="AJ1" s="186"/>
      <c r="AK1" s="186"/>
      <c r="AL1" s="186"/>
      <c r="AM1" s="186"/>
      <c r="AN1" s="186"/>
      <c r="AO1" s="18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191" t="str">
        <f>IF(表紙!A2="","",表紙!A2)</f>
        <v>POSサーバー</v>
      </c>
      <c r="B2" s="189"/>
      <c r="C2" s="189"/>
      <c r="D2" s="189"/>
      <c r="E2" s="189"/>
      <c r="F2" s="189"/>
      <c r="G2" s="189"/>
      <c r="H2" s="189"/>
      <c r="I2" s="189"/>
      <c r="J2" s="190"/>
      <c r="K2" s="191" t="str">
        <f>IF(表紙!K2="","",表紙!K2)</f>
        <v>POSサーバ</v>
      </c>
      <c r="L2" s="189"/>
      <c r="M2" s="189"/>
      <c r="N2" s="189"/>
      <c r="O2" s="189"/>
      <c r="P2" s="189"/>
      <c r="Q2" s="189"/>
      <c r="R2" s="189"/>
      <c r="S2" s="189"/>
      <c r="T2" s="189"/>
      <c r="U2" s="189"/>
      <c r="V2" s="190"/>
      <c r="W2" s="192"/>
      <c r="X2" s="193"/>
      <c r="Y2" s="193"/>
      <c r="Z2" s="193"/>
      <c r="AA2" s="193"/>
      <c r="AB2" s="193"/>
      <c r="AC2" s="193"/>
      <c r="AD2" s="193"/>
      <c r="AE2" s="193"/>
      <c r="AF2" s="193"/>
      <c r="AG2" s="193"/>
      <c r="AH2" s="193"/>
      <c r="AI2" s="193"/>
      <c r="AJ2" s="193"/>
      <c r="AK2" s="193"/>
      <c r="AL2" s="193"/>
      <c r="AM2" s="193"/>
      <c r="AN2" s="193"/>
      <c r="AO2" s="194"/>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201"/>
      <c r="B3" s="202"/>
      <c r="C3" s="202"/>
      <c r="D3" s="202"/>
      <c r="E3" s="202"/>
      <c r="F3" s="202"/>
      <c r="G3" s="202"/>
      <c r="H3" s="202"/>
      <c r="I3" s="202"/>
      <c r="J3" s="203"/>
      <c r="K3" s="201"/>
      <c r="L3" s="202"/>
      <c r="M3" s="202"/>
      <c r="N3" s="202"/>
      <c r="O3" s="202"/>
      <c r="P3" s="202"/>
      <c r="Q3" s="202"/>
      <c r="R3" s="202"/>
      <c r="S3" s="202"/>
      <c r="T3" s="202"/>
      <c r="U3" s="202"/>
      <c r="V3" s="203"/>
      <c r="W3" s="204"/>
      <c r="X3" s="205"/>
      <c r="Y3" s="205"/>
      <c r="Z3" s="205"/>
      <c r="AA3" s="205"/>
      <c r="AB3" s="205"/>
      <c r="AC3" s="205"/>
      <c r="AD3" s="205"/>
      <c r="AE3" s="205"/>
      <c r="AF3" s="205"/>
      <c r="AG3" s="205"/>
      <c r="AH3" s="205"/>
      <c r="AI3" s="205"/>
      <c r="AJ3" s="205"/>
      <c r="AK3" s="205"/>
      <c r="AL3" s="205"/>
      <c r="AM3" s="205"/>
      <c r="AN3" s="205"/>
      <c r="AO3" s="206"/>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182" t="s">
        <v>94</v>
      </c>
      <c r="B4" s="183"/>
      <c r="C4" s="183"/>
      <c r="D4" s="183"/>
      <c r="E4" s="183"/>
      <c r="F4" s="183"/>
      <c r="G4" s="184"/>
      <c r="H4" s="218" t="str">
        <f>IF(表紙!H4="","",表紙!H4)</f>
        <v>32_レジ別単品別売上点検</v>
      </c>
      <c r="I4" s="216"/>
      <c r="J4" s="216"/>
      <c r="K4" s="216"/>
      <c r="L4" s="216"/>
      <c r="M4" s="216"/>
      <c r="N4" s="216"/>
      <c r="O4" s="216"/>
      <c r="P4" s="216"/>
      <c r="Q4" s="216"/>
      <c r="R4" s="216"/>
      <c r="S4" s="216"/>
      <c r="T4" s="217"/>
      <c r="U4" s="182" t="s">
        <v>95</v>
      </c>
      <c r="V4" s="183"/>
      <c r="W4" s="183"/>
      <c r="X4" s="183"/>
      <c r="Y4" s="184"/>
      <c r="Z4" s="218" t="str">
        <f>IF(表紙!Z4="","",表紙!Z4)</f>
        <v>画面設計書</v>
      </c>
      <c r="AA4" s="216"/>
      <c r="AB4" s="216"/>
      <c r="AC4" s="216"/>
      <c r="AD4" s="216"/>
      <c r="AE4" s="216"/>
      <c r="AF4" s="216"/>
      <c r="AG4" s="216"/>
      <c r="AH4" s="216"/>
      <c r="AI4" s="216"/>
      <c r="AJ4" s="216"/>
      <c r="AK4" s="216"/>
      <c r="AL4" s="216"/>
      <c r="AM4" s="216"/>
      <c r="AN4" s="216"/>
      <c r="AO4" s="217"/>
      <c r="AP4" s="218" t="str">
        <f t="array" aca="1" ref="AP4" ca="1">RIGHT(CELL("filename",$A$1),LEN(CELL("filename",$A$1))-FIND("]",CELL("filename",$A$1)))</f>
        <v>改訂履歴</v>
      </c>
      <c r="AQ4" s="216"/>
      <c r="AR4" s="216"/>
      <c r="AS4" s="216"/>
      <c r="AT4" s="216"/>
      <c r="AU4" s="216"/>
      <c r="AV4" s="216"/>
      <c r="AW4" s="216"/>
      <c r="AX4" s="216"/>
      <c r="AY4" s="216"/>
      <c r="AZ4" s="216"/>
      <c r="BA4" s="216"/>
      <c r="BB4" s="216"/>
      <c r="BC4" s="216"/>
      <c r="BD4" s="216"/>
      <c r="BE4" s="216"/>
      <c r="BF4" s="216"/>
      <c r="BG4" s="216"/>
      <c r="BH4" s="216"/>
      <c r="BI4" s="216"/>
      <c r="BJ4" s="216"/>
      <c r="BK4" s="217"/>
    </row>
    <row r="5" spans="1:63" ht="5.0999999999999996" customHeight="1" x14ac:dyDescent="0.25">
      <c r="A5" s="219"/>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1"/>
    </row>
    <row r="6" spans="1:63" ht="15" customHeight="1" x14ac:dyDescent="0.25">
      <c r="A6" s="222"/>
      <c r="BK6" s="223"/>
    </row>
    <row r="7" spans="1:63" ht="15" customHeight="1" x14ac:dyDescent="0.25">
      <c r="A7" s="222"/>
      <c r="BK7" s="223"/>
    </row>
    <row r="8" spans="1:63" ht="15" customHeight="1" x14ac:dyDescent="0.25">
      <c r="A8" s="222"/>
      <c r="B8" s="188" t="s">
        <v>0</v>
      </c>
      <c r="BK8" s="223"/>
    </row>
    <row r="9" spans="1:63" ht="15" customHeight="1" x14ac:dyDescent="0.25">
      <c r="A9" s="222"/>
      <c r="BK9" s="223"/>
    </row>
    <row r="10" spans="1:63" ht="15" customHeight="1" x14ac:dyDescent="0.25">
      <c r="A10" s="222"/>
      <c r="B10" s="246" t="s">
        <v>91</v>
      </c>
      <c r="C10" s="246"/>
      <c r="D10" s="246"/>
      <c r="E10" s="246"/>
      <c r="F10" s="246"/>
      <c r="G10" s="246"/>
      <c r="H10" s="246" t="s">
        <v>90</v>
      </c>
      <c r="I10" s="246"/>
      <c r="J10" s="246"/>
      <c r="K10" s="246"/>
      <c r="L10" s="246"/>
      <c r="M10" s="246"/>
      <c r="N10" s="246"/>
      <c r="O10" s="246" t="s">
        <v>92</v>
      </c>
      <c r="P10" s="246"/>
      <c r="Q10" s="246"/>
      <c r="R10" s="246"/>
      <c r="S10" s="246" t="s">
        <v>100</v>
      </c>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246"/>
      <c r="AX10" s="246" t="s">
        <v>98</v>
      </c>
      <c r="AY10" s="246"/>
      <c r="AZ10" s="246"/>
      <c r="BA10" s="246"/>
      <c r="BB10" s="246"/>
      <c r="BC10" s="246"/>
      <c r="BD10" s="246" t="s">
        <v>99</v>
      </c>
      <c r="BE10" s="246"/>
      <c r="BF10" s="246"/>
      <c r="BG10" s="246"/>
      <c r="BH10" s="246"/>
      <c r="BI10" s="246"/>
      <c r="BJ10" s="246"/>
      <c r="BK10" s="223"/>
    </row>
    <row r="11" spans="1:63" ht="15" customHeight="1" x14ac:dyDescent="0.25">
      <c r="A11" s="222"/>
      <c r="B11" s="195">
        <v>45635</v>
      </c>
      <c r="C11" s="189"/>
      <c r="D11" s="189"/>
      <c r="E11" s="189"/>
      <c r="F11" s="189"/>
      <c r="G11" s="190"/>
      <c r="H11" s="18" t="s">
        <v>101</v>
      </c>
      <c r="I11" s="189"/>
      <c r="J11" s="189"/>
      <c r="K11" s="189"/>
      <c r="L11" s="189"/>
      <c r="M11" s="189"/>
      <c r="N11" s="190"/>
      <c r="O11" s="191">
        <v>0.1</v>
      </c>
      <c r="P11" s="189"/>
      <c r="Q11" s="189"/>
      <c r="R11" s="189"/>
      <c r="S11" s="247" t="s">
        <v>2</v>
      </c>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9"/>
      <c r="AX11" s="250"/>
      <c r="AY11" s="250"/>
      <c r="AZ11" s="250"/>
      <c r="BA11" s="250"/>
      <c r="BB11" s="250"/>
      <c r="BC11" s="251"/>
      <c r="BD11" s="252"/>
      <c r="BE11" s="250"/>
      <c r="BF11" s="250"/>
      <c r="BG11" s="250"/>
      <c r="BH11" s="250"/>
      <c r="BI11" s="250"/>
      <c r="BJ11" s="251"/>
      <c r="BK11" s="223"/>
    </row>
    <row r="12" spans="1:63" ht="15" customHeight="1" x14ac:dyDescent="0.25">
      <c r="A12" s="222"/>
      <c r="B12" s="201"/>
      <c r="C12" s="202"/>
      <c r="D12" s="202"/>
      <c r="E12" s="202"/>
      <c r="F12" s="202"/>
      <c r="G12" s="203"/>
      <c r="H12" s="201"/>
      <c r="I12" s="202"/>
      <c r="J12" s="202"/>
      <c r="K12" s="202"/>
      <c r="L12" s="202"/>
      <c r="M12" s="202"/>
      <c r="N12" s="203"/>
      <c r="O12" s="201"/>
      <c r="P12" s="202"/>
      <c r="Q12" s="202"/>
      <c r="R12" s="202"/>
      <c r="S12" s="253"/>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5"/>
      <c r="AX12" s="256"/>
      <c r="AY12" s="256"/>
      <c r="AZ12" s="256"/>
      <c r="BA12" s="256"/>
      <c r="BB12" s="256"/>
      <c r="BC12" s="257"/>
      <c r="BD12" s="258"/>
      <c r="BE12" s="256"/>
      <c r="BF12" s="256"/>
      <c r="BG12" s="256"/>
      <c r="BH12" s="256"/>
      <c r="BI12" s="256"/>
      <c r="BJ12" s="257"/>
      <c r="BK12" s="223"/>
    </row>
    <row r="13" spans="1:63" ht="15" customHeight="1" x14ac:dyDescent="0.25">
      <c r="A13" s="222"/>
      <c r="B13" s="259"/>
      <c r="C13" s="260"/>
      <c r="D13" s="260"/>
      <c r="E13" s="260"/>
      <c r="F13" s="260"/>
      <c r="G13" s="261"/>
      <c r="H13" s="262"/>
      <c r="I13" s="260"/>
      <c r="J13" s="260"/>
      <c r="K13" s="260"/>
      <c r="L13" s="260"/>
      <c r="M13" s="260"/>
      <c r="N13" s="261"/>
      <c r="O13" s="262"/>
      <c r="P13" s="260"/>
      <c r="Q13" s="260"/>
      <c r="R13" s="260"/>
      <c r="S13" s="263"/>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5"/>
      <c r="AX13" s="250"/>
      <c r="AY13" s="250"/>
      <c r="AZ13" s="250"/>
      <c r="BA13" s="250"/>
      <c r="BB13" s="250"/>
      <c r="BC13" s="251"/>
      <c r="BD13" s="252"/>
      <c r="BE13" s="250"/>
      <c r="BF13" s="250"/>
      <c r="BG13" s="250"/>
      <c r="BH13" s="250"/>
      <c r="BI13" s="250"/>
      <c r="BJ13" s="251"/>
      <c r="BK13" s="223"/>
    </row>
    <row r="14" spans="1:63" ht="15" customHeight="1" x14ac:dyDescent="0.25">
      <c r="A14" s="222"/>
      <c r="B14" s="266"/>
      <c r="C14" s="267"/>
      <c r="D14" s="267"/>
      <c r="E14" s="267"/>
      <c r="F14" s="267"/>
      <c r="G14" s="268"/>
      <c r="H14" s="266"/>
      <c r="I14" s="267"/>
      <c r="J14" s="267"/>
      <c r="K14" s="267"/>
      <c r="L14" s="267"/>
      <c r="M14" s="267"/>
      <c r="N14" s="268"/>
      <c r="O14" s="266"/>
      <c r="P14" s="267"/>
      <c r="Q14" s="267"/>
      <c r="R14" s="267"/>
      <c r="S14" s="269"/>
      <c r="T14" s="270"/>
      <c r="U14" s="270"/>
      <c r="V14" s="270"/>
      <c r="W14" s="270"/>
      <c r="X14" s="270"/>
      <c r="Y14" s="270"/>
      <c r="Z14" s="270"/>
      <c r="AA14" s="270"/>
      <c r="AB14" s="270"/>
      <c r="AC14" s="270"/>
      <c r="AD14" s="270"/>
      <c r="AE14" s="270"/>
      <c r="AF14" s="270"/>
      <c r="AG14" s="270"/>
      <c r="AH14" s="270"/>
      <c r="AI14" s="270"/>
      <c r="AJ14" s="270"/>
      <c r="AK14" s="270"/>
      <c r="AL14" s="270"/>
      <c r="AM14" s="270"/>
      <c r="AN14" s="270"/>
      <c r="AO14" s="270"/>
      <c r="AP14" s="270"/>
      <c r="AQ14" s="270"/>
      <c r="AR14" s="270"/>
      <c r="AS14" s="270"/>
      <c r="AT14" s="270"/>
      <c r="AU14" s="270"/>
      <c r="AV14" s="270"/>
      <c r="AW14" s="271"/>
      <c r="AX14" s="256"/>
      <c r="AY14" s="256"/>
      <c r="AZ14" s="256"/>
      <c r="BA14" s="256"/>
      <c r="BB14" s="256"/>
      <c r="BC14" s="257"/>
      <c r="BD14" s="258"/>
      <c r="BE14" s="256"/>
      <c r="BF14" s="256"/>
      <c r="BG14" s="256"/>
      <c r="BH14" s="256"/>
      <c r="BI14" s="256"/>
      <c r="BJ14" s="257"/>
      <c r="BK14" s="223"/>
    </row>
    <row r="15" spans="1:63" ht="15" customHeight="1" x14ac:dyDescent="0.25">
      <c r="A15" s="222"/>
      <c r="B15" s="191"/>
      <c r="C15" s="189"/>
      <c r="D15" s="189"/>
      <c r="E15" s="189"/>
      <c r="F15" s="189"/>
      <c r="G15" s="190"/>
      <c r="H15" s="191"/>
      <c r="I15" s="189"/>
      <c r="J15" s="189"/>
      <c r="K15" s="189"/>
      <c r="L15" s="189"/>
      <c r="M15" s="189"/>
      <c r="N15" s="190"/>
      <c r="O15" s="191"/>
      <c r="P15" s="189"/>
      <c r="Q15" s="189"/>
      <c r="R15" s="189"/>
      <c r="S15" s="247"/>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9"/>
      <c r="AX15" s="250"/>
      <c r="AY15" s="250"/>
      <c r="AZ15" s="250"/>
      <c r="BA15" s="250"/>
      <c r="BB15" s="250"/>
      <c r="BC15" s="251"/>
      <c r="BD15" s="252"/>
      <c r="BE15" s="250"/>
      <c r="BF15" s="250"/>
      <c r="BG15" s="250"/>
      <c r="BH15" s="250"/>
      <c r="BI15" s="250"/>
      <c r="BJ15" s="251"/>
      <c r="BK15" s="223"/>
    </row>
    <row r="16" spans="1:63" ht="15" customHeight="1" x14ac:dyDescent="0.25">
      <c r="A16" s="222"/>
      <c r="B16" s="201"/>
      <c r="C16" s="202"/>
      <c r="D16" s="202"/>
      <c r="E16" s="202"/>
      <c r="F16" s="202"/>
      <c r="G16" s="203"/>
      <c r="H16" s="201"/>
      <c r="I16" s="202"/>
      <c r="J16" s="202"/>
      <c r="K16" s="202"/>
      <c r="L16" s="202"/>
      <c r="M16" s="202"/>
      <c r="N16" s="203"/>
      <c r="O16" s="201"/>
      <c r="P16" s="202"/>
      <c r="Q16" s="202"/>
      <c r="R16" s="202"/>
      <c r="S16" s="253"/>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5"/>
      <c r="AX16" s="256"/>
      <c r="AY16" s="256"/>
      <c r="AZ16" s="256"/>
      <c r="BA16" s="256"/>
      <c r="BB16" s="256"/>
      <c r="BC16" s="257"/>
      <c r="BD16" s="258"/>
      <c r="BE16" s="256"/>
      <c r="BF16" s="256"/>
      <c r="BG16" s="256"/>
      <c r="BH16" s="256"/>
      <c r="BI16" s="256"/>
      <c r="BJ16" s="257"/>
      <c r="BK16" s="223"/>
    </row>
    <row r="17" spans="1:63" ht="15" customHeight="1" x14ac:dyDescent="0.25">
      <c r="A17" s="222"/>
      <c r="B17" s="191"/>
      <c r="C17" s="189"/>
      <c r="D17" s="189"/>
      <c r="E17" s="189"/>
      <c r="F17" s="189"/>
      <c r="G17" s="190"/>
      <c r="H17" s="191"/>
      <c r="I17" s="189"/>
      <c r="J17" s="189"/>
      <c r="K17" s="189"/>
      <c r="L17" s="189"/>
      <c r="M17" s="189"/>
      <c r="N17" s="190"/>
      <c r="O17" s="191"/>
      <c r="P17" s="189"/>
      <c r="Q17" s="189"/>
      <c r="R17" s="189"/>
      <c r="S17" s="247"/>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9"/>
      <c r="AX17" s="250"/>
      <c r="AY17" s="250"/>
      <c r="AZ17" s="250"/>
      <c r="BA17" s="250"/>
      <c r="BB17" s="250"/>
      <c r="BC17" s="251"/>
      <c r="BD17" s="252"/>
      <c r="BE17" s="250"/>
      <c r="BF17" s="250"/>
      <c r="BG17" s="250"/>
      <c r="BH17" s="250"/>
      <c r="BI17" s="250"/>
      <c r="BJ17" s="251"/>
      <c r="BK17" s="223"/>
    </row>
    <row r="18" spans="1:63" ht="15" customHeight="1" x14ac:dyDescent="0.25">
      <c r="A18" s="222"/>
      <c r="B18" s="201"/>
      <c r="C18" s="202"/>
      <c r="D18" s="202"/>
      <c r="E18" s="202"/>
      <c r="F18" s="202"/>
      <c r="G18" s="203"/>
      <c r="H18" s="201"/>
      <c r="I18" s="202"/>
      <c r="J18" s="202"/>
      <c r="K18" s="202"/>
      <c r="L18" s="202"/>
      <c r="M18" s="202"/>
      <c r="N18" s="203"/>
      <c r="O18" s="201"/>
      <c r="P18" s="202"/>
      <c r="Q18" s="202"/>
      <c r="R18" s="202"/>
      <c r="S18" s="253"/>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5"/>
      <c r="AX18" s="256"/>
      <c r="AY18" s="256"/>
      <c r="AZ18" s="256"/>
      <c r="BA18" s="256"/>
      <c r="BB18" s="256"/>
      <c r="BC18" s="257"/>
      <c r="BD18" s="258"/>
      <c r="BE18" s="256"/>
      <c r="BF18" s="256"/>
      <c r="BG18" s="256"/>
      <c r="BH18" s="256"/>
      <c r="BI18" s="256"/>
      <c r="BJ18" s="257"/>
      <c r="BK18" s="223"/>
    </row>
    <row r="19" spans="1:63" ht="15" customHeight="1" x14ac:dyDescent="0.25">
      <c r="A19" s="222"/>
      <c r="B19" s="191"/>
      <c r="C19" s="189"/>
      <c r="D19" s="189"/>
      <c r="E19" s="189"/>
      <c r="F19" s="189"/>
      <c r="G19" s="190"/>
      <c r="H19" s="191"/>
      <c r="I19" s="189"/>
      <c r="J19" s="189"/>
      <c r="K19" s="189"/>
      <c r="L19" s="189"/>
      <c r="M19" s="189"/>
      <c r="N19" s="190"/>
      <c r="O19" s="191"/>
      <c r="P19" s="189"/>
      <c r="Q19" s="189"/>
      <c r="R19" s="189"/>
      <c r="S19" s="247"/>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9"/>
      <c r="AX19" s="250"/>
      <c r="AY19" s="250"/>
      <c r="AZ19" s="250"/>
      <c r="BA19" s="250"/>
      <c r="BB19" s="250"/>
      <c r="BC19" s="251"/>
      <c r="BD19" s="252"/>
      <c r="BE19" s="250"/>
      <c r="BF19" s="250"/>
      <c r="BG19" s="250"/>
      <c r="BH19" s="250"/>
      <c r="BI19" s="250"/>
      <c r="BJ19" s="251"/>
      <c r="BK19" s="223"/>
    </row>
    <row r="20" spans="1:63" ht="15" customHeight="1" x14ac:dyDescent="0.25">
      <c r="A20" s="222"/>
      <c r="B20" s="201"/>
      <c r="C20" s="202"/>
      <c r="D20" s="202"/>
      <c r="E20" s="202"/>
      <c r="F20" s="202"/>
      <c r="G20" s="203"/>
      <c r="H20" s="201"/>
      <c r="I20" s="202"/>
      <c r="J20" s="202"/>
      <c r="K20" s="202"/>
      <c r="L20" s="202"/>
      <c r="M20" s="202"/>
      <c r="N20" s="203"/>
      <c r="O20" s="201"/>
      <c r="P20" s="202"/>
      <c r="Q20" s="202"/>
      <c r="R20" s="202"/>
      <c r="S20" s="253"/>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5"/>
      <c r="AX20" s="256"/>
      <c r="AY20" s="256"/>
      <c r="AZ20" s="256"/>
      <c r="BA20" s="256"/>
      <c r="BB20" s="256"/>
      <c r="BC20" s="257"/>
      <c r="BD20" s="258"/>
      <c r="BE20" s="256"/>
      <c r="BF20" s="256"/>
      <c r="BG20" s="256"/>
      <c r="BH20" s="256"/>
      <c r="BI20" s="256"/>
      <c r="BJ20" s="257"/>
      <c r="BK20" s="223"/>
    </row>
    <row r="21" spans="1:63" ht="15" customHeight="1" x14ac:dyDescent="0.25">
      <c r="A21" s="222"/>
      <c r="B21" s="191"/>
      <c r="C21" s="189"/>
      <c r="D21" s="189"/>
      <c r="E21" s="189"/>
      <c r="F21" s="189"/>
      <c r="G21" s="190"/>
      <c r="H21" s="191"/>
      <c r="I21" s="189"/>
      <c r="J21" s="189"/>
      <c r="K21" s="189"/>
      <c r="L21" s="189"/>
      <c r="M21" s="189"/>
      <c r="N21" s="190"/>
      <c r="O21" s="191"/>
      <c r="P21" s="189"/>
      <c r="Q21" s="189"/>
      <c r="R21" s="189"/>
      <c r="S21" s="247"/>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9"/>
      <c r="AX21" s="250"/>
      <c r="AY21" s="250"/>
      <c r="AZ21" s="250"/>
      <c r="BA21" s="250"/>
      <c r="BB21" s="250"/>
      <c r="BC21" s="251"/>
      <c r="BD21" s="252"/>
      <c r="BE21" s="250"/>
      <c r="BF21" s="250"/>
      <c r="BG21" s="250"/>
      <c r="BH21" s="250"/>
      <c r="BI21" s="250"/>
      <c r="BJ21" s="251"/>
      <c r="BK21" s="223"/>
    </row>
    <row r="22" spans="1:63" ht="15" customHeight="1" x14ac:dyDescent="0.25">
      <c r="A22" s="222"/>
      <c r="B22" s="201"/>
      <c r="C22" s="202"/>
      <c r="D22" s="202"/>
      <c r="E22" s="202"/>
      <c r="F22" s="202"/>
      <c r="G22" s="203"/>
      <c r="H22" s="201"/>
      <c r="I22" s="202"/>
      <c r="J22" s="202"/>
      <c r="K22" s="202"/>
      <c r="L22" s="202"/>
      <c r="M22" s="202"/>
      <c r="N22" s="203"/>
      <c r="O22" s="201"/>
      <c r="P22" s="202"/>
      <c r="Q22" s="202"/>
      <c r="R22" s="202"/>
      <c r="S22" s="253"/>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5"/>
      <c r="AX22" s="256"/>
      <c r="AY22" s="256"/>
      <c r="AZ22" s="256"/>
      <c r="BA22" s="256"/>
      <c r="BB22" s="256"/>
      <c r="BC22" s="257"/>
      <c r="BD22" s="258"/>
      <c r="BE22" s="256"/>
      <c r="BF22" s="256"/>
      <c r="BG22" s="256"/>
      <c r="BH22" s="256"/>
      <c r="BI22" s="256"/>
      <c r="BJ22" s="257"/>
      <c r="BK22" s="223"/>
    </row>
    <row r="23" spans="1:63" ht="15" customHeight="1" x14ac:dyDescent="0.25">
      <c r="A23" s="222"/>
      <c r="B23" s="191"/>
      <c r="C23" s="189"/>
      <c r="D23" s="189"/>
      <c r="E23" s="189"/>
      <c r="F23" s="189"/>
      <c r="G23" s="190"/>
      <c r="H23" s="191"/>
      <c r="I23" s="189"/>
      <c r="J23" s="189"/>
      <c r="K23" s="189"/>
      <c r="L23" s="189"/>
      <c r="M23" s="189"/>
      <c r="N23" s="190"/>
      <c r="O23" s="191"/>
      <c r="P23" s="189"/>
      <c r="Q23" s="189"/>
      <c r="R23" s="189"/>
      <c r="S23" s="247"/>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9"/>
      <c r="AX23" s="250"/>
      <c r="AY23" s="250"/>
      <c r="AZ23" s="250"/>
      <c r="BA23" s="250"/>
      <c r="BB23" s="250"/>
      <c r="BC23" s="251"/>
      <c r="BD23" s="252"/>
      <c r="BE23" s="250"/>
      <c r="BF23" s="250"/>
      <c r="BG23" s="250"/>
      <c r="BH23" s="250"/>
      <c r="BI23" s="250"/>
      <c r="BJ23" s="251"/>
      <c r="BK23" s="223"/>
    </row>
    <row r="24" spans="1:63" ht="15" customHeight="1" x14ac:dyDescent="0.25">
      <c r="A24" s="222"/>
      <c r="B24" s="201"/>
      <c r="C24" s="202"/>
      <c r="D24" s="202"/>
      <c r="E24" s="202"/>
      <c r="F24" s="202"/>
      <c r="G24" s="203"/>
      <c r="H24" s="201"/>
      <c r="I24" s="202"/>
      <c r="J24" s="202"/>
      <c r="K24" s="202"/>
      <c r="L24" s="202"/>
      <c r="M24" s="202"/>
      <c r="N24" s="203"/>
      <c r="O24" s="201"/>
      <c r="P24" s="202"/>
      <c r="Q24" s="202"/>
      <c r="R24" s="202"/>
      <c r="S24" s="253"/>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5"/>
      <c r="AX24" s="256"/>
      <c r="AY24" s="256"/>
      <c r="AZ24" s="256"/>
      <c r="BA24" s="256"/>
      <c r="BB24" s="256"/>
      <c r="BC24" s="257"/>
      <c r="BD24" s="258"/>
      <c r="BE24" s="256"/>
      <c r="BF24" s="256"/>
      <c r="BG24" s="256"/>
      <c r="BH24" s="256"/>
      <c r="BI24" s="256"/>
      <c r="BJ24" s="257"/>
      <c r="BK24" s="223"/>
    </row>
    <row r="25" spans="1:63" ht="15" customHeight="1" x14ac:dyDescent="0.25">
      <c r="A25" s="222"/>
      <c r="B25" s="191"/>
      <c r="C25" s="189"/>
      <c r="D25" s="189"/>
      <c r="E25" s="189"/>
      <c r="F25" s="189"/>
      <c r="G25" s="190"/>
      <c r="H25" s="191"/>
      <c r="I25" s="189"/>
      <c r="J25" s="189"/>
      <c r="K25" s="189"/>
      <c r="L25" s="189"/>
      <c r="M25" s="189"/>
      <c r="N25" s="190"/>
      <c r="O25" s="191"/>
      <c r="P25" s="189"/>
      <c r="Q25" s="189"/>
      <c r="R25" s="189"/>
      <c r="S25" s="247"/>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9"/>
      <c r="AX25" s="250"/>
      <c r="AY25" s="250"/>
      <c r="AZ25" s="250"/>
      <c r="BA25" s="250"/>
      <c r="BB25" s="250"/>
      <c r="BC25" s="251"/>
      <c r="BD25" s="252"/>
      <c r="BE25" s="250"/>
      <c r="BF25" s="250"/>
      <c r="BG25" s="250"/>
      <c r="BH25" s="250"/>
      <c r="BI25" s="250"/>
      <c r="BJ25" s="251"/>
      <c r="BK25" s="223"/>
    </row>
    <row r="26" spans="1:63" ht="15" customHeight="1" x14ac:dyDescent="0.25">
      <c r="A26" s="222"/>
      <c r="B26" s="201"/>
      <c r="C26" s="202"/>
      <c r="D26" s="202"/>
      <c r="E26" s="202"/>
      <c r="F26" s="202"/>
      <c r="G26" s="203"/>
      <c r="H26" s="201"/>
      <c r="I26" s="202"/>
      <c r="J26" s="202"/>
      <c r="K26" s="202"/>
      <c r="L26" s="202"/>
      <c r="M26" s="202"/>
      <c r="N26" s="203"/>
      <c r="O26" s="201"/>
      <c r="P26" s="202"/>
      <c r="Q26" s="202"/>
      <c r="R26" s="202"/>
      <c r="S26" s="253"/>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5"/>
      <c r="AX26" s="256"/>
      <c r="AY26" s="256"/>
      <c r="AZ26" s="256"/>
      <c r="BA26" s="256"/>
      <c r="BB26" s="256"/>
      <c r="BC26" s="257"/>
      <c r="BD26" s="258"/>
      <c r="BE26" s="256"/>
      <c r="BF26" s="256"/>
      <c r="BG26" s="256"/>
      <c r="BH26" s="256"/>
      <c r="BI26" s="256"/>
      <c r="BJ26" s="257"/>
      <c r="BK26" s="223"/>
    </row>
    <row r="27" spans="1:63" ht="15" customHeight="1" x14ac:dyDescent="0.25">
      <c r="A27" s="222"/>
      <c r="B27" s="191"/>
      <c r="C27" s="189"/>
      <c r="D27" s="189"/>
      <c r="E27" s="189"/>
      <c r="F27" s="189"/>
      <c r="G27" s="190"/>
      <c r="H27" s="191"/>
      <c r="I27" s="189"/>
      <c r="J27" s="189"/>
      <c r="K27" s="189"/>
      <c r="L27" s="189"/>
      <c r="M27" s="189"/>
      <c r="N27" s="190"/>
      <c r="O27" s="191"/>
      <c r="P27" s="189"/>
      <c r="Q27" s="189"/>
      <c r="R27" s="189"/>
      <c r="S27" s="247"/>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9"/>
      <c r="AX27" s="250"/>
      <c r="AY27" s="250"/>
      <c r="AZ27" s="250"/>
      <c r="BA27" s="250"/>
      <c r="BB27" s="250"/>
      <c r="BC27" s="251"/>
      <c r="BD27" s="252"/>
      <c r="BE27" s="250"/>
      <c r="BF27" s="250"/>
      <c r="BG27" s="250"/>
      <c r="BH27" s="250"/>
      <c r="BI27" s="250"/>
      <c r="BJ27" s="251"/>
      <c r="BK27" s="223"/>
    </row>
    <row r="28" spans="1:63" ht="15" customHeight="1" x14ac:dyDescent="0.25">
      <c r="A28" s="222"/>
      <c r="B28" s="201"/>
      <c r="C28" s="202"/>
      <c r="D28" s="202"/>
      <c r="E28" s="202"/>
      <c r="F28" s="202"/>
      <c r="G28" s="203"/>
      <c r="H28" s="201"/>
      <c r="I28" s="202"/>
      <c r="J28" s="202"/>
      <c r="K28" s="202"/>
      <c r="L28" s="202"/>
      <c r="M28" s="202"/>
      <c r="N28" s="203"/>
      <c r="O28" s="201"/>
      <c r="P28" s="202"/>
      <c r="Q28" s="202"/>
      <c r="R28" s="202"/>
      <c r="S28" s="253"/>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5"/>
      <c r="AX28" s="256"/>
      <c r="AY28" s="256"/>
      <c r="AZ28" s="256"/>
      <c r="BA28" s="256"/>
      <c r="BB28" s="256"/>
      <c r="BC28" s="257"/>
      <c r="BD28" s="258"/>
      <c r="BE28" s="256"/>
      <c r="BF28" s="256"/>
      <c r="BG28" s="256"/>
      <c r="BH28" s="256"/>
      <c r="BI28" s="256"/>
      <c r="BJ28" s="257"/>
      <c r="BK28" s="223"/>
    </row>
    <row r="29" spans="1:63" ht="15" customHeight="1" x14ac:dyDescent="0.25">
      <c r="A29" s="222"/>
      <c r="B29" s="191"/>
      <c r="C29" s="189"/>
      <c r="D29" s="189"/>
      <c r="E29" s="189"/>
      <c r="F29" s="189"/>
      <c r="G29" s="190"/>
      <c r="H29" s="191"/>
      <c r="I29" s="189"/>
      <c r="J29" s="189"/>
      <c r="K29" s="189"/>
      <c r="L29" s="189"/>
      <c r="M29" s="189"/>
      <c r="N29" s="190"/>
      <c r="O29" s="191"/>
      <c r="P29" s="189"/>
      <c r="Q29" s="189"/>
      <c r="R29" s="189"/>
      <c r="S29" s="247"/>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9"/>
      <c r="AX29" s="250"/>
      <c r="AY29" s="250"/>
      <c r="AZ29" s="250"/>
      <c r="BA29" s="250"/>
      <c r="BB29" s="250"/>
      <c r="BC29" s="251"/>
      <c r="BD29" s="252"/>
      <c r="BE29" s="250"/>
      <c r="BF29" s="250"/>
      <c r="BG29" s="250"/>
      <c r="BH29" s="250"/>
      <c r="BI29" s="250"/>
      <c r="BJ29" s="251"/>
      <c r="BK29" s="223"/>
    </row>
    <row r="30" spans="1:63" ht="15" customHeight="1" x14ac:dyDescent="0.25">
      <c r="A30" s="222"/>
      <c r="B30" s="201"/>
      <c r="C30" s="202"/>
      <c r="D30" s="202"/>
      <c r="E30" s="202"/>
      <c r="F30" s="202"/>
      <c r="G30" s="203"/>
      <c r="H30" s="201"/>
      <c r="I30" s="202"/>
      <c r="J30" s="202"/>
      <c r="K30" s="202"/>
      <c r="L30" s="202"/>
      <c r="M30" s="202"/>
      <c r="N30" s="203"/>
      <c r="O30" s="201"/>
      <c r="P30" s="202"/>
      <c r="Q30" s="202"/>
      <c r="R30" s="202"/>
      <c r="S30" s="253"/>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5"/>
      <c r="AX30" s="256"/>
      <c r="AY30" s="256"/>
      <c r="AZ30" s="256"/>
      <c r="BA30" s="256"/>
      <c r="BB30" s="256"/>
      <c r="BC30" s="257"/>
      <c r="BD30" s="258"/>
      <c r="BE30" s="256"/>
      <c r="BF30" s="256"/>
      <c r="BG30" s="256"/>
      <c r="BH30" s="256"/>
      <c r="BI30" s="256"/>
      <c r="BJ30" s="257"/>
      <c r="BK30" s="223"/>
    </row>
    <row r="31" spans="1:63" ht="15" customHeight="1" x14ac:dyDescent="0.25">
      <c r="A31" s="222"/>
      <c r="B31" s="191"/>
      <c r="C31" s="189"/>
      <c r="D31" s="189"/>
      <c r="E31" s="189"/>
      <c r="F31" s="189"/>
      <c r="G31" s="190"/>
      <c r="H31" s="191"/>
      <c r="I31" s="189"/>
      <c r="J31" s="189"/>
      <c r="K31" s="189"/>
      <c r="L31" s="189"/>
      <c r="M31" s="189"/>
      <c r="N31" s="190"/>
      <c r="O31" s="191"/>
      <c r="P31" s="189"/>
      <c r="Q31" s="189"/>
      <c r="R31" s="189"/>
      <c r="S31" s="247"/>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9"/>
      <c r="AX31" s="250"/>
      <c r="AY31" s="250"/>
      <c r="AZ31" s="250"/>
      <c r="BA31" s="250"/>
      <c r="BB31" s="250"/>
      <c r="BC31" s="251"/>
      <c r="BD31" s="252"/>
      <c r="BE31" s="250"/>
      <c r="BF31" s="250"/>
      <c r="BG31" s="250"/>
      <c r="BH31" s="250"/>
      <c r="BI31" s="250"/>
      <c r="BJ31" s="251"/>
      <c r="BK31" s="223"/>
    </row>
    <row r="32" spans="1:63" ht="15" customHeight="1" x14ac:dyDescent="0.25">
      <c r="A32" s="222"/>
      <c r="B32" s="201"/>
      <c r="C32" s="202"/>
      <c r="D32" s="202"/>
      <c r="E32" s="202"/>
      <c r="F32" s="202"/>
      <c r="G32" s="203"/>
      <c r="H32" s="201"/>
      <c r="I32" s="202"/>
      <c r="J32" s="202"/>
      <c r="K32" s="202"/>
      <c r="L32" s="202"/>
      <c r="M32" s="202"/>
      <c r="N32" s="203"/>
      <c r="O32" s="201"/>
      <c r="P32" s="202"/>
      <c r="Q32" s="202"/>
      <c r="R32" s="202"/>
      <c r="S32" s="253"/>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5"/>
      <c r="AX32" s="256"/>
      <c r="AY32" s="256"/>
      <c r="AZ32" s="256"/>
      <c r="BA32" s="256"/>
      <c r="BB32" s="256"/>
      <c r="BC32" s="257"/>
      <c r="BD32" s="258"/>
      <c r="BE32" s="256"/>
      <c r="BF32" s="256"/>
      <c r="BG32" s="256"/>
      <c r="BH32" s="256"/>
      <c r="BI32" s="256"/>
      <c r="BJ32" s="257"/>
      <c r="BK32" s="223"/>
    </row>
    <row r="33" spans="1:63" ht="15" customHeight="1" x14ac:dyDescent="0.25">
      <c r="A33" s="222"/>
      <c r="B33" s="191"/>
      <c r="C33" s="189"/>
      <c r="D33" s="189"/>
      <c r="E33" s="189"/>
      <c r="F33" s="189"/>
      <c r="G33" s="190"/>
      <c r="H33" s="191"/>
      <c r="I33" s="189"/>
      <c r="J33" s="189"/>
      <c r="K33" s="189"/>
      <c r="L33" s="189"/>
      <c r="M33" s="189"/>
      <c r="N33" s="190"/>
      <c r="O33" s="191"/>
      <c r="P33" s="189"/>
      <c r="Q33" s="189"/>
      <c r="R33" s="189"/>
      <c r="S33" s="247"/>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9"/>
      <c r="AX33" s="250"/>
      <c r="AY33" s="250"/>
      <c r="AZ33" s="250"/>
      <c r="BA33" s="250"/>
      <c r="BB33" s="250"/>
      <c r="BC33" s="251"/>
      <c r="BD33" s="252"/>
      <c r="BE33" s="250"/>
      <c r="BF33" s="250"/>
      <c r="BG33" s="250"/>
      <c r="BH33" s="250"/>
      <c r="BI33" s="250"/>
      <c r="BJ33" s="251"/>
      <c r="BK33" s="223"/>
    </row>
    <row r="34" spans="1:63" ht="15" customHeight="1" x14ac:dyDescent="0.25">
      <c r="A34" s="222"/>
      <c r="B34" s="201"/>
      <c r="C34" s="202"/>
      <c r="D34" s="202"/>
      <c r="E34" s="202"/>
      <c r="F34" s="202"/>
      <c r="G34" s="203"/>
      <c r="H34" s="201"/>
      <c r="I34" s="202"/>
      <c r="J34" s="202"/>
      <c r="K34" s="202"/>
      <c r="L34" s="202"/>
      <c r="M34" s="202"/>
      <c r="N34" s="203"/>
      <c r="O34" s="201"/>
      <c r="P34" s="202"/>
      <c r="Q34" s="202"/>
      <c r="R34" s="202"/>
      <c r="S34" s="253"/>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5"/>
      <c r="AX34" s="256"/>
      <c r="AY34" s="256"/>
      <c r="AZ34" s="256"/>
      <c r="BA34" s="256"/>
      <c r="BB34" s="256"/>
      <c r="BC34" s="257"/>
      <c r="BD34" s="258"/>
      <c r="BE34" s="256"/>
      <c r="BF34" s="256"/>
      <c r="BG34" s="256"/>
      <c r="BH34" s="256"/>
      <c r="BI34" s="256"/>
      <c r="BJ34" s="257"/>
      <c r="BK34" s="223"/>
    </row>
    <row r="35" spans="1:63" ht="15" customHeight="1" x14ac:dyDescent="0.25">
      <c r="A35" s="222"/>
      <c r="B35" s="191"/>
      <c r="C35" s="189"/>
      <c r="D35" s="189"/>
      <c r="E35" s="189"/>
      <c r="F35" s="189"/>
      <c r="G35" s="190"/>
      <c r="H35" s="191"/>
      <c r="I35" s="189"/>
      <c r="J35" s="189"/>
      <c r="K35" s="189"/>
      <c r="L35" s="189"/>
      <c r="M35" s="189"/>
      <c r="N35" s="190"/>
      <c r="O35" s="191"/>
      <c r="P35" s="189"/>
      <c r="Q35" s="189"/>
      <c r="R35" s="189"/>
      <c r="S35" s="247"/>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9"/>
      <c r="AX35" s="250"/>
      <c r="AY35" s="250"/>
      <c r="AZ35" s="250"/>
      <c r="BA35" s="250"/>
      <c r="BB35" s="250"/>
      <c r="BC35" s="251"/>
      <c r="BD35" s="252"/>
      <c r="BE35" s="250"/>
      <c r="BF35" s="250"/>
      <c r="BG35" s="250"/>
      <c r="BH35" s="250"/>
      <c r="BI35" s="250"/>
      <c r="BJ35" s="251"/>
      <c r="BK35" s="223"/>
    </row>
    <row r="36" spans="1:63" ht="15" customHeight="1" x14ac:dyDescent="0.25">
      <c r="A36" s="222"/>
      <c r="B36" s="201"/>
      <c r="C36" s="202"/>
      <c r="D36" s="202"/>
      <c r="E36" s="202"/>
      <c r="F36" s="202"/>
      <c r="G36" s="203"/>
      <c r="H36" s="201"/>
      <c r="I36" s="202"/>
      <c r="J36" s="202"/>
      <c r="K36" s="202"/>
      <c r="L36" s="202"/>
      <c r="M36" s="202"/>
      <c r="N36" s="203"/>
      <c r="O36" s="201"/>
      <c r="P36" s="202"/>
      <c r="Q36" s="202"/>
      <c r="R36" s="202"/>
      <c r="S36" s="253"/>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5"/>
      <c r="AX36" s="256"/>
      <c r="AY36" s="256"/>
      <c r="AZ36" s="256"/>
      <c r="BA36" s="256"/>
      <c r="BB36" s="256"/>
      <c r="BC36" s="257"/>
      <c r="BD36" s="258"/>
      <c r="BE36" s="256"/>
      <c r="BF36" s="256"/>
      <c r="BG36" s="256"/>
      <c r="BH36" s="256"/>
      <c r="BI36" s="256"/>
      <c r="BJ36" s="257"/>
      <c r="BK36" s="223"/>
    </row>
    <row r="37" spans="1:63" ht="15" customHeight="1" x14ac:dyDescent="0.25">
      <c r="A37" s="222"/>
      <c r="B37" s="191"/>
      <c r="C37" s="189"/>
      <c r="D37" s="189"/>
      <c r="E37" s="189"/>
      <c r="F37" s="189"/>
      <c r="G37" s="190"/>
      <c r="H37" s="191"/>
      <c r="I37" s="189"/>
      <c r="J37" s="189"/>
      <c r="K37" s="189"/>
      <c r="L37" s="189"/>
      <c r="M37" s="189"/>
      <c r="N37" s="190"/>
      <c r="O37" s="191"/>
      <c r="P37" s="189"/>
      <c r="Q37" s="189"/>
      <c r="R37" s="189"/>
      <c r="S37" s="247"/>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9"/>
      <c r="AX37" s="250"/>
      <c r="AY37" s="250"/>
      <c r="AZ37" s="250"/>
      <c r="BA37" s="250"/>
      <c r="BB37" s="250"/>
      <c r="BC37" s="251"/>
      <c r="BD37" s="252"/>
      <c r="BE37" s="250"/>
      <c r="BF37" s="250"/>
      <c r="BG37" s="250"/>
      <c r="BH37" s="250"/>
      <c r="BI37" s="250"/>
      <c r="BJ37" s="251"/>
      <c r="BK37" s="223"/>
    </row>
    <row r="38" spans="1:63" ht="15" customHeight="1" x14ac:dyDescent="0.25">
      <c r="A38" s="222"/>
      <c r="B38" s="201"/>
      <c r="C38" s="202"/>
      <c r="D38" s="202"/>
      <c r="E38" s="202"/>
      <c r="F38" s="202"/>
      <c r="G38" s="203"/>
      <c r="H38" s="201"/>
      <c r="I38" s="202"/>
      <c r="J38" s="202"/>
      <c r="K38" s="202"/>
      <c r="L38" s="202"/>
      <c r="M38" s="202"/>
      <c r="N38" s="203"/>
      <c r="O38" s="201"/>
      <c r="P38" s="202"/>
      <c r="Q38" s="202"/>
      <c r="R38" s="202"/>
      <c r="S38" s="253"/>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5"/>
      <c r="AX38" s="256"/>
      <c r="AY38" s="256"/>
      <c r="AZ38" s="256"/>
      <c r="BA38" s="256"/>
      <c r="BB38" s="256"/>
      <c r="BC38" s="257"/>
      <c r="BD38" s="258"/>
      <c r="BE38" s="256"/>
      <c r="BF38" s="256"/>
      <c r="BG38" s="256"/>
      <c r="BH38" s="256"/>
      <c r="BI38" s="256"/>
      <c r="BJ38" s="257"/>
      <c r="BK38" s="223"/>
    </row>
    <row r="39" spans="1:63" ht="15" customHeight="1" x14ac:dyDescent="0.25">
      <c r="A39" s="222"/>
      <c r="B39" s="191"/>
      <c r="C39" s="189"/>
      <c r="D39" s="189"/>
      <c r="E39" s="189"/>
      <c r="F39" s="189"/>
      <c r="G39" s="190"/>
      <c r="H39" s="191"/>
      <c r="I39" s="189"/>
      <c r="J39" s="189"/>
      <c r="K39" s="189"/>
      <c r="L39" s="189"/>
      <c r="M39" s="189"/>
      <c r="N39" s="190"/>
      <c r="O39" s="191"/>
      <c r="P39" s="189"/>
      <c r="Q39" s="189"/>
      <c r="R39" s="189"/>
      <c r="S39" s="247"/>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9"/>
      <c r="AX39" s="250"/>
      <c r="AY39" s="250"/>
      <c r="AZ39" s="250"/>
      <c r="BA39" s="250"/>
      <c r="BB39" s="250"/>
      <c r="BC39" s="251"/>
      <c r="BD39" s="252"/>
      <c r="BE39" s="250"/>
      <c r="BF39" s="250"/>
      <c r="BG39" s="250"/>
      <c r="BH39" s="250"/>
      <c r="BI39" s="250"/>
      <c r="BJ39" s="251"/>
      <c r="BK39" s="223"/>
    </row>
    <row r="40" spans="1:63" ht="15" customHeight="1" x14ac:dyDescent="0.25">
      <c r="A40" s="222"/>
      <c r="B40" s="201"/>
      <c r="C40" s="202"/>
      <c r="D40" s="202"/>
      <c r="E40" s="202"/>
      <c r="F40" s="202"/>
      <c r="G40" s="203"/>
      <c r="H40" s="201"/>
      <c r="I40" s="202"/>
      <c r="J40" s="202"/>
      <c r="K40" s="202"/>
      <c r="L40" s="202"/>
      <c r="M40" s="202"/>
      <c r="N40" s="203"/>
      <c r="O40" s="201"/>
      <c r="P40" s="202"/>
      <c r="Q40" s="202"/>
      <c r="R40" s="202"/>
      <c r="S40" s="253"/>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5"/>
      <c r="AX40" s="256"/>
      <c r="AY40" s="256"/>
      <c r="AZ40" s="256"/>
      <c r="BA40" s="256"/>
      <c r="BB40" s="256"/>
      <c r="BC40" s="257"/>
      <c r="BD40" s="258"/>
      <c r="BE40" s="256"/>
      <c r="BF40" s="256"/>
      <c r="BG40" s="256"/>
      <c r="BH40" s="256"/>
      <c r="BI40" s="256"/>
      <c r="BJ40" s="257"/>
      <c r="BK40" s="223"/>
    </row>
    <row r="41" spans="1:63" ht="15" customHeight="1" x14ac:dyDescent="0.25">
      <c r="A41" s="222"/>
      <c r="B41" s="191"/>
      <c r="C41" s="189"/>
      <c r="D41" s="189"/>
      <c r="E41" s="189"/>
      <c r="F41" s="189"/>
      <c r="G41" s="190"/>
      <c r="H41" s="191"/>
      <c r="I41" s="189"/>
      <c r="J41" s="189"/>
      <c r="K41" s="189"/>
      <c r="L41" s="189"/>
      <c r="M41" s="189"/>
      <c r="N41" s="190"/>
      <c r="O41" s="191"/>
      <c r="P41" s="189"/>
      <c r="Q41" s="189"/>
      <c r="R41" s="189"/>
      <c r="S41" s="247"/>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9"/>
      <c r="AX41" s="250"/>
      <c r="AY41" s="250"/>
      <c r="AZ41" s="250"/>
      <c r="BA41" s="250"/>
      <c r="BB41" s="250"/>
      <c r="BC41" s="251"/>
      <c r="BD41" s="252"/>
      <c r="BE41" s="250"/>
      <c r="BF41" s="250"/>
      <c r="BG41" s="250"/>
      <c r="BH41" s="250"/>
      <c r="BI41" s="250"/>
      <c r="BJ41" s="251"/>
      <c r="BK41" s="223"/>
    </row>
    <row r="42" spans="1:63" ht="15" customHeight="1" x14ac:dyDescent="0.25">
      <c r="A42" s="222"/>
      <c r="B42" s="201"/>
      <c r="C42" s="202"/>
      <c r="D42" s="202"/>
      <c r="E42" s="202"/>
      <c r="F42" s="202"/>
      <c r="G42" s="203"/>
      <c r="H42" s="201"/>
      <c r="I42" s="202"/>
      <c r="J42" s="202"/>
      <c r="K42" s="202"/>
      <c r="L42" s="202"/>
      <c r="M42" s="202"/>
      <c r="N42" s="203"/>
      <c r="O42" s="201"/>
      <c r="P42" s="202"/>
      <c r="Q42" s="202"/>
      <c r="R42" s="202"/>
      <c r="S42" s="253"/>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5"/>
      <c r="AX42" s="256"/>
      <c r="AY42" s="256"/>
      <c r="AZ42" s="256"/>
      <c r="BA42" s="256"/>
      <c r="BB42" s="256"/>
      <c r="BC42" s="257"/>
      <c r="BD42" s="258"/>
      <c r="BE42" s="256"/>
      <c r="BF42" s="256"/>
      <c r="BG42" s="256"/>
      <c r="BH42" s="256"/>
      <c r="BI42" s="256"/>
      <c r="BJ42" s="257"/>
      <c r="BK42" s="223"/>
    </row>
    <row r="43" spans="1:63" ht="15" customHeight="1" x14ac:dyDescent="0.25">
      <c r="A43" s="222"/>
      <c r="B43" s="191"/>
      <c r="C43" s="189"/>
      <c r="D43" s="189"/>
      <c r="E43" s="189"/>
      <c r="F43" s="189"/>
      <c r="G43" s="190"/>
      <c r="H43" s="191"/>
      <c r="I43" s="189"/>
      <c r="J43" s="189"/>
      <c r="K43" s="189"/>
      <c r="L43" s="189"/>
      <c r="M43" s="189"/>
      <c r="N43" s="190"/>
      <c r="O43" s="191"/>
      <c r="P43" s="189"/>
      <c r="Q43" s="189"/>
      <c r="R43" s="189"/>
      <c r="S43" s="247"/>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9"/>
      <c r="AX43" s="250"/>
      <c r="AY43" s="250"/>
      <c r="AZ43" s="250"/>
      <c r="BA43" s="250"/>
      <c r="BB43" s="250"/>
      <c r="BC43" s="251"/>
      <c r="BD43" s="252"/>
      <c r="BE43" s="250"/>
      <c r="BF43" s="250"/>
      <c r="BG43" s="250"/>
      <c r="BH43" s="250"/>
      <c r="BI43" s="250"/>
      <c r="BJ43" s="251"/>
      <c r="BK43" s="223"/>
    </row>
    <row r="44" spans="1:63" ht="15" customHeight="1" x14ac:dyDescent="0.25">
      <c r="A44" s="222"/>
      <c r="B44" s="201"/>
      <c r="C44" s="202"/>
      <c r="D44" s="202"/>
      <c r="E44" s="202"/>
      <c r="F44" s="202"/>
      <c r="G44" s="203"/>
      <c r="H44" s="201"/>
      <c r="I44" s="202"/>
      <c r="J44" s="202"/>
      <c r="K44" s="202"/>
      <c r="L44" s="202"/>
      <c r="M44" s="202"/>
      <c r="N44" s="203"/>
      <c r="O44" s="201"/>
      <c r="P44" s="202"/>
      <c r="Q44" s="202"/>
      <c r="R44" s="202"/>
      <c r="S44" s="253"/>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5"/>
      <c r="AX44" s="256"/>
      <c r="AY44" s="256"/>
      <c r="AZ44" s="256"/>
      <c r="BA44" s="256"/>
      <c r="BB44" s="256"/>
      <c r="BC44" s="257"/>
      <c r="BD44" s="258"/>
      <c r="BE44" s="256"/>
      <c r="BF44" s="256"/>
      <c r="BG44" s="256"/>
      <c r="BH44" s="256"/>
      <c r="BI44" s="256"/>
      <c r="BJ44" s="257"/>
      <c r="BK44" s="223"/>
    </row>
    <row r="45" spans="1:63" ht="15" customHeight="1" x14ac:dyDescent="0.25">
      <c r="A45" s="222"/>
      <c r="B45" s="191"/>
      <c r="C45" s="189"/>
      <c r="D45" s="189"/>
      <c r="E45" s="189"/>
      <c r="F45" s="189"/>
      <c r="G45" s="190"/>
      <c r="H45" s="191"/>
      <c r="I45" s="189"/>
      <c r="J45" s="189"/>
      <c r="K45" s="189"/>
      <c r="L45" s="189"/>
      <c r="M45" s="189"/>
      <c r="N45" s="190"/>
      <c r="O45" s="191"/>
      <c r="P45" s="189"/>
      <c r="Q45" s="189"/>
      <c r="R45" s="189"/>
      <c r="S45" s="247"/>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9"/>
      <c r="AX45" s="250"/>
      <c r="AY45" s="250"/>
      <c r="AZ45" s="250"/>
      <c r="BA45" s="250"/>
      <c r="BB45" s="250"/>
      <c r="BC45" s="251"/>
      <c r="BD45" s="252"/>
      <c r="BE45" s="250"/>
      <c r="BF45" s="250"/>
      <c r="BG45" s="250"/>
      <c r="BH45" s="250"/>
      <c r="BI45" s="250"/>
      <c r="BJ45" s="251"/>
      <c r="BK45" s="223"/>
    </row>
    <row r="46" spans="1:63" ht="15" customHeight="1" x14ac:dyDescent="0.25">
      <c r="A46" s="222"/>
      <c r="B46" s="201"/>
      <c r="C46" s="202"/>
      <c r="D46" s="202"/>
      <c r="E46" s="202"/>
      <c r="F46" s="202"/>
      <c r="G46" s="203"/>
      <c r="H46" s="201"/>
      <c r="I46" s="202"/>
      <c r="J46" s="202"/>
      <c r="K46" s="202"/>
      <c r="L46" s="202"/>
      <c r="M46" s="202"/>
      <c r="N46" s="203"/>
      <c r="O46" s="201"/>
      <c r="P46" s="202"/>
      <c r="Q46" s="202"/>
      <c r="R46" s="202"/>
      <c r="S46" s="253"/>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5"/>
      <c r="AX46" s="256"/>
      <c r="AY46" s="256"/>
      <c r="AZ46" s="256"/>
      <c r="BA46" s="256"/>
      <c r="BB46" s="256"/>
      <c r="BC46" s="257"/>
      <c r="BD46" s="258"/>
      <c r="BE46" s="256"/>
      <c r="BF46" s="256"/>
      <c r="BG46" s="256"/>
      <c r="BH46" s="256"/>
      <c r="BI46" s="256"/>
      <c r="BJ46" s="257"/>
      <c r="BK46" s="223"/>
    </row>
    <row r="47" spans="1:63" ht="15" customHeight="1" x14ac:dyDescent="0.25">
      <c r="A47" s="222"/>
      <c r="B47" s="191"/>
      <c r="C47" s="189"/>
      <c r="D47" s="189"/>
      <c r="E47" s="189"/>
      <c r="F47" s="189"/>
      <c r="G47" s="190"/>
      <c r="H47" s="191"/>
      <c r="I47" s="189"/>
      <c r="J47" s="189"/>
      <c r="K47" s="189"/>
      <c r="L47" s="189"/>
      <c r="M47" s="189"/>
      <c r="N47" s="190"/>
      <c r="O47" s="191"/>
      <c r="P47" s="189"/>
      <c r="Q47" s="189"/>
      <c r="R47" s="189"/>
      <c r="S47" s="247"/>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9"/>
      <c r="AX47" s="250"/>
      <c r="AY47" s="250"/>
      <c r="AZ47" s="250"/>
      <c r="BA47" s="250"/>
      <c r="BB47" s="250"/>
      <c r="BC47" s="251"/>
      <c r="BD47" s="252"/>
      <c r="BE47" s="250"/>
      <c r="BF47" s="250"/>
      <c r="BG47" s="250"/>
      <c r="BH47" s="250"/>
      <c r="BI47" s="250"/>
      <c r="BJ47" s="251"/>
      <c r="BK47" s="223"/>
    </row>
    <row r="48" spans="1:63" ht="15" customHeight="1" x14ac:dyDescent="0.25">
      <c r="A48" s="222"/>
      <c r="B48" s="201"/>
      <c r="C48" s="202"/>
      <c r="D48" s="202"/>
      <c r="E48" s="202"/>
      <c r="F48" s="202"/>
      <c r="G48" s="203"/>
      <c r="H48" s="201"/>
      <c r="I48" s="202"/>
      <c r="J48" s="202"/>
      <c r="K48" s="202"/>
      <c r="L48" s="202"/>
      <c r="M48" s="202"/>
      <c r="N48" s="203"/>
      <c r="O48" s="201"/>
      <c r="P48" s="202"/>
      <c r="Q48" s="202"/>
      <c r="R48" s="202"/>
      <c r="S48" s="253"/>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5"/>
      <c r="AX48" s="256"/>
      <c r="AY48" s="256"/>
      <c r="AZ48" s="256"/>
      <c r="BA48" s="256"/>
      <c r="BB48" s="256"/>
      <c r="BC48" s="257"/>
      <c r="BD48" s="258"/>
      <c r="BE48" s="256"/>
      <c r="BF48" s="256"/>
      <c r="BG48" s="256"/>
      <c r="BH48" s="256"/>
      <c r="BI48" s="256"/>
      <c r="BJ48" s="257"/>
      <c r="BK48" s="223"/>
    </row>
    <row r="49" spans="1:63" ht="15" customHeight="1" x14ac:dyDescent="0.25">
      <c r="A49" s="222"/>
      <c r="B49" s="191"/>
      <c r="C49" s="189"/>
      <c r="D49" s="189"/>
      <c r="E49" s="189"/>
      <c r="F49" s="189"/>
      <c r="G49" s="190"/>
      <c r="H49" s="191"/>
      <c r="I49" s="189"/>
      <c r="J49" s="189"/>
      <c r="K49" s="189"/>
      <c r="L49" s="189"/>
      <c r="M49" s="189"/>
      <c r="N49" s="190"/>
      <c r="O49" s="191"/>
      <c r="P49" s="189"/>
      <c r="Q49" s="189"/>
      <c r="R49" s="189"/>
      <c r="S49" s="247"/>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9"/>
      <c r="AX49" s="250"/>
      <c r="AY49" s="250"/>
      <c r="AZ49" s="250"/>
      <c r="BA49" s="250"/>
      <c r="BB49" s="250"/>
      <c r="BC49" s="251"/>
      <c r="BD49" s="252"/>
      <c r="BE49" s="250"/>
      <c r="BF49" s="250"/>
      <c r="BG49" s="250"/>
      <c r="BH49" s="250"/>
      <c r="BI49" s="250"/>
      <c r="BJ49" s="251"/>
      <c r="BK49" s="223"/>
    </row>
    <row r="50" spans="1:63" ht="15" customHeight="1" x14ac:dyDescent="0.25">
      <c r="A50" s="222"/>
      <c r="B50" s="201"/>
      <c r="C50" s="202"/>
      <c r="D50" s="202"/>
      <c r="E50" s="202"/>
      <c r="F50" s="202"/>
      <c r="G50" s="203"/>
      <c r="H50" s="201"/>
      <c r="I50" s="202"/>
      <c r="J50" s="202"/>
      <c r="K50" s="202"/>
      <c r="L50" s="202"/>
      <c r="M50" s="202"/>
      <c r="N50" s="203"/>
      <c r="O50" s="201"/>
      <c r="P50" s="202"/>
      <c r="Q50" s="202"/>
      <c r="R50" s="202"/>
      <c r="S50" s="253"/>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5"/>
      <c r="AX50" s="256"/>
      <c r="AY50" s="256"/>
      <c r="AZ50" s="256"/>
      <c r="BA50" s="256"/>
      <c r="BB50" s="256"/>
      <c r="BC50" s="257"/>
      <c r="BD50" s="258"/>
      <c r="BE50" s="256"/>
      <c r="BF50" s="256"/>
      <c r="BG50" s="256"/>
      <c r="BH50" s="256"/>
      <c r="BI50" s="256"/>
      <c r="BJ50" s="257"/>
      <c r="BK50" s="223"/>
    </row>
    <row r="51" spans="1:63" ht="15" customHeight="1" x14ac:dyDescent="0.25">
      <c r="A51" s="222"/>
      <c r="B51" s="191"/>
      <c r="C51" s="189"/>
      <c r="D51" s="189"/>
      <c r="E51" s="189"/>
      <c r="F51" s="189"/>
      <c r="G51" s="190"/>
      <c r="H51" s="191"/>
      <c r="I51" s="189"/>
      <c r="J51" s="189"/>
      <c r="K51" s="189"/>
      <c r="L51" s="189"/>
      <c r="M51" s="189"/>
      <c r="N51" s="190"/>
      <c r="O51" s="191"/>
      <c r="P51" s="189"/>
      <c r="Q51" s="189"/>
      <c r="R51" s="189"/>
      <c r="S51" s="247"/>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9"/>
      <c r="AX51" s="250"/>
      <c r="AY51" s="250"/>
      <c r="AZ51" s="250"/>
      <c r="BA51" s="250"/>
      <c r="BB51" s="250"/>
      <c r="BC51" s="251"/>
      <c r="BD51" s="252"/>
      <c r="BE51" s="250"/>
      <c r="BF51" s="250"/>
      <c r="BG51" s="250"/>
      <c r="BH51" s="250"/>
      <c r="BI51" s="250"/>
      <c r="BJ51" s="251"/>
      <c r="BK51" s="223"/>
    </row>
    <row r="52" spans="1:63" ht="15" customHeight="1" x14ac:dyDescent="0.25">
      <c r="A52" s="222"/>
      <c r="B52" s="201"/>
      <c r="C52" s="202"/>
      <c r="D52" s="202"/>
      <c r="E52" s="202"/>
      <c r="F52" s="202"/>
      <c r="G52" s="203"/>
      <c r="H52" s="201"/>
      <c r="I52" s="202"/>
      <c r="J52" s="202"/>
      <c r="K52" s="202"/>
      <c r="L52" s="202"/>
      <c r="M52" s="202"/>
      <c r="N52" s="203"/>
      <c r="O52" s="201"/>
      <c r="P52" s="202"/>
      <c r="Q52" s="202"/>
      <c r="R52" s="202"/>
      <c r="S52" s="253"/>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5"/>
      <c r="AX52" s="256"/>
      <c r="AY52" s="256"/>
      <c r="AZ52" s="256"/>
      <c r="BA52" s="256"/>
      <c r="BB52" s="256"/>
      <c r="BC52" s="257"/>
      <c r="BD52" s="258"/>
      <c r="BE52" s="256"/>
      <c r="BF52" s="256"/>
      <c r="BG52" s="256"/>
      <c r="BH52" s="256"/>
      <c r="BI52" s="256"/>
      <c r="BJ52" s="257"/>
      <c r="BK52" s="223"/>
    </row>
    <row r="53" spans="1:63" ht="15" customHeight="1" x14ac:dyDescent="0.25">
      <c r="A53" s="222"/>
      <c r="B53" s="191"/>
      <c r="C53" s="189"/>
      <c r="D53" s="189"/>
      <c r="E53" s="189"/>
      <c r="F53" s="189"/>
      <c r="G53" s="190"/>
      <c r="H53" s="191"/>
      <c r="I53" s="189"/>
      <c r="J53" s="189"/>
      <c r="K53" s="189"/>
      <c r="L53" s="189"/>
      <c r="M53" s="189"/>
      <c r="N53" s="190"/>
      <c r="O53" s="191"/>
      <c r="P53" s="189"/>
      <c r="Q53" s="189"/>
      <c r="R53" s="189"/>
      <c r="S53" s="247"/>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9"/>
      <c r="AX53" s="250"/>
      <c r="AY53" s="250"/>
      <c r="AZ53" s="250"/>
      <c r="BA53" s="250"/>
      <c r="BB53" s="250"/>
      <c r="BC53" s="251"/>
      <c r="BD53" s="252"/>
      <c r="BE53" s="250"/>
      <c r="BF53" s="250"/>
      <c r="BG53" s="250"/>
      <c r="BH53" s="250"/>
      <c r="BI53" s="250"/>
      <c r="BJ53" s="251"/>
      <c r="BK53" s="223"/>
    </row>
    <row r="54" spans="1:63" ht="15" customHeight="1" x14ac:dyDescent="0.25">
      <c r="A54" s="222"/>
      <c r="B54" s="201"/>
      <c r="C54" s="202"/>
      <c r="D54" s="202"/>
      <c r="E54" s="202"/>
      <c r="F54" s="202"/>
      <c r="G54" s="203"/>
      <c r="H54" s="201"/>
      <c r="I54" s="202"/>
      <c r="J54" s="202"/>
      <c r="K54" s="202"/>
      <c r="L54" s="202"/>
      <c r="M54" s="202"/>
      <c r="N54" s="203"/>
      <c r="O54" s="201"/>
      <c r="P54" s="202"/>
      <c r="Q54" s="202"/>
      <c r="R54" s="202"/>
      <c r="S54" s="253"/>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5"/>
      <c r="AX54" s="256"/>
      <c r="AY54" s="256"/>
      <c r="AZ54" s="256"/>
      <c r="BA54" s="256"/>
      <c r="BB54" s="256"/>
      <c r="BC54" s="257"/>
      <c r="BD54" s="258"/>
      <c r="BE54" s="256"/>
      <c r="BF54" s="256"/>
      <c r="BG54" s="256"/>
      <c r="BH54" s="256"/>
      <c r="BI54" s="256"/>
      <c r="BJ54" s="257"/>
      <c r="BK54" s="223"/>
    </row>
    <row r="55" spans="1:63" ht="15" customHeight="1" x14ac:dyDescent="0.25">
      <c r="A55" s="219"/>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124"/>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
  </cols>
  <sheetData>
    <row r="1" spans="1:63" ht="24.95" customHeight="1" x14ac:dyDescent="0.25">
      <c r="A1" s="272" t="s">
        <v>85</v>
      </c>
      <c r="B1" s="273"/>
      <c r="C1" s="273"/>
      <c r="D1" s="273"/>
      <c r="E1" s="273"/>
      <c r="F1" s="273"/>
      <c r="G1" s="273"/>
      <c r="H1" s="273"/>
      <c r="I1" s="273"/>
      <c r="J1" s="274"/>
      <c r="K1" s="272" t="s">
        <v>86</v>
      </c>
      <c r="L1" s="273"/>
      <c r="M1" s="273"/>
      <c r="N1" s="273"/>
      <c r="O1" s="273"/>
      <c r="P1" s="273"/>
      <c r="Q1" s="273"/>
      <c r="R1" s="273"/>
      <c r="S1" s="273"/>
      <c r="T1" s="273"/>
      <c r="U1" s="273"/>
      <c r="V1" s="274"/>
      <c r="W1" s="275" t="str">
        <f>IF(表紙!W1="","",表紙!W1)</f>
        <v>詳細設計書</v>
      </c>
      <c r="X1" s="276"/>
      <c r="Y1" s="276"/>
      <c r="Z1" s="276"/>
      <c r="AA1" s="276"/>
      <c r="AB1" s="276"/>
      <c r="AC1" s="276"/>
      <c r="AD1" s="276"/>
      <c r="AE1" s="276"/>
      <c r="AF1" s="276"/>
      <c r="AG1" s="276"/>
      <c r="AH1" s="276"/>
      <c r="AI1" s="276"/>
      <c r="AJ1" s="276"/>
      <c r="AK1" s="276"/>
      <c r="AL1" s="276"/>
      <c r="AM1" s="276"/>
      <c r="AN1" s="276"/>
      <c r="AO1" s="27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278"/>
      <c r="X2" s="279"/>
      <c r="Y2" s="279"/>
      <c r="Z2" s="279"/>
      <c r="AA2" s="279"/>
      <c r="AB2" s="279"/>
      <c r="AC2" s="279"/>
      <c r="AD2" s="279"/>
      <c r="AE2" s="279"/>
      <c r="AF2" s="279"/>
      <c r="AG2" s="279"/>
      <c r="AH2" s="279"/>
      <c r="AI2" s="279"/>
      <c r="AJ2" s="279"/>
      <c r="AK2" s="279"/>
      <c r="AL2" s="279"/>
      <c r="AM2" s="279"/>
      <c r="AN2" s="279"/>
      <c r="AO2" s="280"/>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281"/>
      <c r="X3" s="282"/>
      <c r="Y3" s="282"/>
      <c r="Z3" s="282"/>
      <c r="AA3" s="282"/>
      <c r="AB3" s="282"/>
      <c r="AC3" s="282"/>
      <c r="AD3" s="282"/>
      <c r="AE3" s="282"/>
      <c r="AF3" s="282"/>
      <c r="AG3" s="282"/>
      <c r="AH3" s="282"/>
      <c r="AI3" s="282"/>
      <c r="AJ3" s="282"/>
      <c r="AK3" s="282"/>
      <c r="AL3" s="282"/>
      <c r="AM3" s="282"/>
      <c r="AN3" s="282"/>
      <c r="AO3" s="283"/>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272" t="s">
        <v>94</v>
      </c>
      <c r="B4" s="273"/>
      <c r="C4" s="273"/>
      <c r="D4" s="273"/>
      <c r="E4" s="273"/>
      <c r="F4" s="273"/>
      <c r="G4" s="274"/>
      <c r="H4" s="76" t="str">
        <f>IF(表紙!H4="","",表紙!H4)</f>
        <v>32_レジ別単品別売上点検</v>
      </c>
      <c r="I4" s="77"/>
      <c r="J4" s="77"/>
      <c r="K4" s="77"/>
      <c r="L4" s="77"/>
      <c r="M4" s="77"/>
      <c r="N4" s="77"/>
      <c r="O4" s="77"/>
      <c r="P4" s="77"/>
      <c r="Q4" s="77"/>
      <c r="R4" s="77"/>
      <c r="S4" s="77"/>
      <c r="T4" s="78"/>
      <c r="U4" s="272" t="s">
        <v>95</v>
      </c>
      <c r="V4" s="273"/>
      <c r="W4" s="273"/>
      <c r="X4" s="273"/>
      <c r="Y4" s="274"/>
      <c r="Z4" s="79" t="str">
        <f>IF(表紙!Z4="","",表紙!Z4)</f>
        <v>画面設計書</v>
      </c>
      <c r="AA4" s="80"/>
      <c r="AB4" s="80"/>
      <c r="AC4" s="80"/>
      <c r="AD4" s="80"/>
      <c r="AE4" s="80"/>
      <c r="AF4" s="80"/>
      <c r="AG4" s="80"/>
      <c r="AH4" s="80"/>
      <c r="AI4" s="80"/>
      <c r="AJ4" s="80"/>
      <c r="AK4" s="80"/>
      <c r="AL4" s="80"/>
      <c r="AM4" s="80"/>
      <c r="AN4" s="80"/>
      <c r="AO4" s="81"/>
      <c r="AP4" s="82" t="str">
        <f ca="1">MID(CELL("filename",A1),FIND("]",CELL("filename",A1))+1,255)</f>
        <v>SC3201</v>
      </c>
      <c r="AQ4" s="80"/>
      <c r="AR4" s="80"/>
      <c r="AS4" s="80"/>
      <c r="AT4" s="80"/>
      <c r="AU4" s="80"/>
      <c r="AV4" s="80"/>
      <c r="AW4" s="80"/>
      <c r="AX4" s="80"/>
      <c r="AY4" s="80"/>
      <c r="AZ4" s="80"/>
      <c r="BA4" s="80"/>
      <c r="BB4" s="80"/>
      <c r="BC4" s="80"/>
      <c r="BD4" s="80"/>
      <c r="BE4" s="80"/>
      <c r="BF4" s="80"/>
      <c r="BG4" s="80"/>
      <c r="BH4" s="80"/>
      <c r="BI4" s="80"/>
      <c r="BJ4" s="80"/>
      <c r="BK4" s="8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5"/>
      <c r="BK6" s="6"/>
    </row>
    <row r="7" spans="1:63" ht="15" customHeight="1" x14ac:dyDescent="0.25">
      <c r="A7" s="5"/>
      <c r="B7" s="7" t="s">
        <v>102</v>
      </c>
      <c r="C7" s="284"/>
      <c r="D7" s="284"/>
      <c r="E7" s="284"/>
      <c r="F7" s="284"/>
      <c r="G7" s="284"/>
      <c r="H7" s="284"/>
      <c r="I7" s="284"/>
      <c r="J7" s="284"/>
      <c r="AE7" s="7"/>
      <c r="BK7" s="6"/>
    </row>
    <row r="8" spans="1:63" ht="15" customHeight="1" x14ac:dyDescent="0.25">
      <c r="A8" s="5"/>
      <c r="BK8" s="6"/>
    </row>
    <row r="9" spans="1:63" ht="15" customHeight="1" x14ac:dyDescent="0.25">
      <c r="A9" s="5"/>
      <c r="BK9" s="6"/>
    </row>
    <row r="10" spans="1:63" ht="15" customHeight="1" x14ac:dyDescent="0.25">
      <c r="A10" s="5"/>
      <c r="BK10" s="6"/>
    </row>
    <row r="11" spans="1:63" ht="15" customHeight="1" x14ac:dyDescent="0.25">
      <c r="A11" s="5"/>
      <c r="BK11" s="6"/>
    </row>
    <row r="12" spans="1:63" ht="15" customHeight="1" x14ac:dyDescent="0.25">
      <c r="A12" s="5"/>
      <c r="BK12" s="6"/>
    </row>
    <row r="13" spans="1:63" ht="15" customHeight="1" x14ac:dyDescent="0.25">
      <c r="A13" s="5"/>
      <c r="BK13" s="6"/>
    </row>
    <row r="14" spans="1:63" ht="15" customHeight="1" x14ac:dyDescent="0.25">
      <c r="A14" s="5"/>
      <c r="BK14" s="6"/>
    </row>
    <row r="15" spans="1:63" ht="15" customHeight="1" x14ac:dyDescent="0.25">
      <c r="A15" s="5"/>
      <c r="BK15" s="6"/>
    </row>
    <row r="16" spans="1:63" ht="15" customHeight="1" x14ac:dyDescent="0.25">
      <c r="A16" s="5"/>
      <c r="BK16" s="6"/>
    </row>
    <row r="17" spans="1:63" ht="15" customHeight="1" x14ac:dyDescent="0.25">
      <c r="A17" s="5"/>
      <c r="BK17" s="6"/>
    </row>
    <row r="18" spans="1:63" ht="15" customHeight="1" x14ac:dyDescent="0.25">
      <c r="A18" s="5"/>
      <c r="BK18" s="6"/>
    </row>
    <row r="19" spans="1:63" ht="15" customHeight="1" x14ac:dyDescent="0.25">
      <c r="A19" s="5"/>
      <c r="BK19" s="6"/>
    </row>
    <row r="20" spans="1:63" ht="15" customHeight="1" x14ac:dyDescent="0.25">
      <c r="A20" s="5"/>
      <c r="BK20" s="6"/>
    </row>
    <row r="21" spans="1:63" ht="15" customHeight="1" x14ac:dyDescent="0.25">
      <c r="A21" s="5"/>
      <c r="BK21" s="6"/>
    </row>
    <row r="22" spans="1:63" ht="15" customHeight="1" x14ac:dyDescent="0.25">
      <c r="A22" s="5"/>
      <c r="BK22" s="6"/>
    </row>
    <row r="23" spans="1:63" ht="15" customHeight="1" x14ac:dyDescent="0.25">
      <c r="A23" s="5"/>
      <c r="BK23" s="6"/>
    </row>
    <row r="24" spans="1:63" ht="15" customHeight="1" x14ac:dyDescent="0.25">
      <c r="A24" s="5"/>
      <c r="BK24" s="6"/>
    </row>
    <row r="25" spans="1:63" ht="15" customHeight="1" x14ac:dyDescent="0.25">
      <c r="A25" s="5"/>
      <c r="BK25" s="6"/>
    </row>
    <row r="26" spans="1:63" ht="15" customHeight="1" x14ac:dyDescent="0.25">
      <c r="A26" s="5"/>
      <c r="BK26" s="6"/>
    </row>
    <row r="27" spans="1:63" ht="15" customHeight="1" x14ac:dyDescent="0.25">
      <c r="A27" s="5"/>
      <c r="BK27" s="6"/>
    </row>
    <row r="28" spans="1:63" ht="15" customHeight="1" x14ac:dyDescent="0.25">
      <c r="A28" s="5"/>
      <c r="BK28" s="6"/>
    </row>
    <row r="29" spans="1:63" ht="15" customHeight="1" x14ac:dyDescent="0.25">
      <c r="A29" s="5"/>
      <c r="BK29" s="6"/>
    </row>
    <row r="30" spans="1:63" ht="15" customHeight="1" x14ac:dyDescent="0.25">
      <c r="A30" s="5"/>
      <c r="BK30" s="6"/>
    </row>
    <row r="31" spans="1:63" ht="15" customHeight="1" x14ac:dyDescent="0.25">
      <c r="A31" s="5"/>
      <c r="BK31" s="6"/>
    </row>
    <row r="32" spans="1:63" ht="15" customHeight="1" x14ac:dyDescent="0.25">
      <c r="A32" s="5"/>
      <c r="BK32" s="6"/>
    </row>
    <row r="33" spans="1:63" ht="15" customHeight="1" x14ac:dyDescent="0.25">
      <c r="A33" s="5"/>
      <c r="BK33" s="6"/>
    </row>
    <row r="34" spans="1:63" ht="15" customHeight="1" x14ac:dyDescent="0.25">
      <c r="A34" s="5"/>
      <c r="BK34" s="6"/>
    </row>
    <row r="35" spans="1:63" ht="15" customHeight="1" x14ac:dyDescent="0.25">
      <c r="A35" s="5"/>
      <c r="BK35" s="6"/>
    </row>
    <row r="36" spans="1:63" ht="15" customHeight="1" x14ac:dyDescent="0.25">
      <c r="A36" s="5"/>
      <c r="BK36" s="6"/>
    </row>
    <row r="37" spans="1:63" ht="15" customHeight="1" x14ac:dyDescent="0.25">
      <c r="A37" s="5"/>
      <c r="BK37" s="6"/>
    </row>
    <row r="38" spans="1:63" ht="15" customHeight="1" x14ac:dyDescent="0.25">
      <c r="A38" s="5"/>
      <c r="BK38" s="6"/>
    </row>
    <row r="39" spans="1:63" ht="15" customHeight="1" x14ac:dyDescent="0.25">
      <c r="A39" s="5"/>
      <c r="BK39" s="6"/>
    </row>
    <row r="40" spans="1:63" ht="15" customHeight="1" x14ac:dyDescent="0.25">
      <c r="A40" s="5"/>
      <c r="BK40" s="6"/>
    </row>
    <row r="41" spans="1:63" ht="15" customHeight="1" x14ac:dyDescent="0.25">
      <c r="A41" s="5"/>
      <c r="BK41" s="6"/>
    </row>
    <row r="42" spans="1:63" ht="15" customHeight="1" x14ac:dyDescent="0.25">
      <c r="A42" s="5"/>
      <c r="BK42" s="6"/>
    </row>
    <row r="43" spans="1:63" x14ac:dyDescent="0.25">
      <c r="A43" s="5"/>
      <c r="BK43" s="6"/>
    </row>
    <row r="44" spans="1:63" x14ac:dyDescent="0.25">
      <c r="A44" s="5"/>
      <c r="BK44" s="6"/>
    </row>
    <row r="45" spans="1:63" ht="15" customHeight="1" x14ac:dyDescent="0.25">
      <c r="A45" s="5"/>
      <c r="B45" s="7" t="s">
        <v>103</v>
      </c>
      <c r="BK45" s="6"/>
    </row>
    <row r="46" spans="1:63" x14ac:dyDescent="0.25">
      <c r="A46" s="5"/>
      <c r="BK46" s="6"/>
    </row>
    <row r="47" spans="1:63" ht="15.75" customHeight="1" x14ac:dyDescent="0.25">
      <c r="A47" s="5"/>
      <c r="B47" s="83" t="s">
        <v>104</v>
      </c>
      <c r="C47" s="84"/>
      <c r="D47" s="89" t="s">
        <v>105</v>
      </c>
      <c r="E47" s="90"/>
      <c r="F47" s="90"/>
      <c r="G47" s="90"/>
      <c r="H47" s="90"/>
      <c r="I47" s="90"/>
      <c r="J47" s="84"/>
      <c r="K47" s="89" t="s">
        <v>106</v>
      </c>
      <c r="L47" s="90"/>
      <c r="M47" s="84"/>
      <c r="N47" s="93" t="s">
        <v>3</v>
      </c>
      <c r="O47" s="96" t="s">
        <v>107</v>
      </c>
      <c r="P47" s="111" t="s">
        <v>108</v>
      </c>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3"/>
      <c r="AR47" s="99" t="s">
        <v>109</v>
      </c>
      <c r="AS47" s="100"/>
      <c r="AT47" s="100"/>
      <c r="AU47" s="100"/>
      <c r="AV47" s="100"/>
      <c r="AW47" s="100"/>
      <c r="AX47" s="100"/>
      <c r="AY47" s="100"/>
      <c r="AZ47" s="100"/>
      <c r="BA47" s="100"/>
      <c r="BB47" s="103"/>
      <c r="BC47" s="114" t="s">
        <v>110</v>
      </c>
      <c r="BD47" s="115"/>
      <c r="BE47" s="115"/>
      <c r="BF47" s="115"/>
      <c r="BG47" s="115"/>
      <c r="BH47" s="115"/>
      <c r="BI47" s="115"/>
      <c r="BJ47" s="116"/>
      <c r="BK47" s="6"/>
    </row>
    <row r="48" spans="1:63" ht="15.75" customHeight="1" x14ac:dyDescent="0.25">
      <c r="A48" s="5"/>
      <c r="B48" s="85"/>
      <c r="C48" s="86"/>
      <c r="D48" s="85"/>
      <c r="E48" s="91"/>
      <c r="F48" s="91"/>
      <c r="G48" s="91"/>
      <c r="H48" s="91"/>
      <c r="I48" s="91"/>
      <c r="J48" s="86"/>
      <c r="K48" s="85"/>
      <c r="L48" s="91"/>
      <c r="M48" s="86"/>
      <c r="N48" s="94"/>
      <c r="O48" s="97"/>
      <c r="P48" s="123" t="s">
        <v>111</v>
      </c>
      <c r="Q48" s="124"/>
      <c r="R48" s="124"/>
      <c r="S48" s="124"/>
      <c r="T48" s="124"/>
      <c r="U48" s="124"/>
      <c r="V48" s="124"/>
      <c r="W48" s="125"/>
      <c r="X48" s="126" t="s">
        <v>112</v>
      </c>
      <c r="Y48" s="127"/>
      <c r="Z48" s="128"/>
      <c r="AA48" s="126" t="s">
        <v>113</v>
      </c>
      <c r="AB48" s="127"/>
      <c r="AC48" s="127"/>
      <c r="AD48" s="127"/>
      <c r="AE48" s="127"/>
      <c r="AF48" s="127"/>
      <c r="AG48" s="127"/>
      <c r="AH48" s="128"/>
      <c r="AI48" s="126" t="s">
        <v>114</v>
      </c>
      <c r="AJ48" s="127"/>
      <c r="AK48" s="127"/>
      <c r="AL48" s="127"/>
      <c r="AM48" s="127"/>
      <c r="AN48" s="127"/>
      <c r="AO48" s="127"/>
      <c r="AP48" s="127"/>
      <c r="AQ48" s="128"/>
      <c r="AR48" s="132" t="s">
        <v>4</v>
      </c>
      <c r="AS48" s="134" t="s">
        <v>115</v>
      </c>
      <c r="AT48" s="136" t="s">
        <v>116</v>
      </c>
      <c r="AU48" s="99" t="s">
        <v>111</v>
      </c>
      <c r="AV48" s="100"/>
      <c r="AW48" s="100"/>
      <c r="AX48" s="100"/>
      <c r="AY48" s="100"/>
      <c r="AZ48" s="100"/>
      <c r="BA48" s="100"/>
      <c r="BB48" s="103"/>
      <c r="BC48" s="117"/>
      <c r="BD48" s="118"/>
      <c r="BE48" s="118"/>
      <c r="BF48" s="118"/>
      <c r="BG48" s="118"/>
      <c r="BH48" s="118"/>
      <c r="BI48" s="118"/>
      <c r="BJ48" s="119"/>
      <c r="BK48" s="6"/>
    </row>
    <row r="49" spans="1:63" x14ac:dyDescent="0.25">
      <c r="A49" s="5"/>
      <c r="B49" s="87"/>
      <c r="C49" s="88"/>
      <c r="D49" s="87"/>
      <c r="E49" s="92"/>
      <c r="F49" s="92"/>
      <c r="G49" s="92"/>
      <c r="H49" s="92"/>
      <c r="I49" s="92"/>
      <c r="J49" s="88"/>
      <c r="K49" s="87"/>
      <c r="L49" s="92"/>
      <c r="M49" s="88"/>
      <c r="N49" s="95"/>
      <c r="O49" s="98"/>
      <c r="P49" s="111" t="s">
        <v>117</v>
      </c>
      <c r="Q49" s="112"/>
      <c r="R49" s="112"/>
      <c r="S49" s="113"/>
      <c r="T49" s="111" t="s">
        <v>105</v>
      </c>
      <c r="U49" s="112"/>
      <c r="V49" s="112"/>
      <c r="W49" s="113"/>
      <c r="X49" s="129"/>
      <c r="Y49" s="130"/>
      <c r="Z49" s="131"/>
      <c r="AA49" s="129"/>
      <c r="AB49" s="130"/>
      <c r="AC49" s="130"/>
      <c r="AD49" s="130"/>
      <c r="AE49" s="130"/>
      <c r="AF49" s="130"/>
      <c r="AG49" s="130"/>
      <c r="AH49" s="131"/>
      <c r="AI49" s="129"/>
      <c r="AJ49" s="130"/>
      <c r="AK49" s="130"/>
      <c r="AL49" s="130"/>
      <c r="AM49" s="130"/>
      <c r="AN49" s="130"/>
      <c r="AO49" s="130"/>
      <c r="AP49" s="130"/>
      <c r="AQ49" s="131"/>
      <c r="AR49" s="133"/>
      <c r="AS49" s="135"/>
      <c r="AT49" s="137"/>
      <c r="AU49" s="99" t="s">
        <v>117</v>
      </c>
      <c r="AV49" s="100"/>
      <c r="AW49" s="100"/>
      <c r="AX49" s="101"/>
      <c r="AY49" s="102" t="s">
        <v>105</v>
      </c>
      <c r="AZ49" s="100"/>
      <c r="BA49" s="100"/>
      <c r="BB49" s="103"/>
      <c r="BC49" s="120"/>
      <c r="BD49" s="121"/>
      <c r="BE49" s="121"/>
      <c r="BF49" s="121"/>
      <c r="BG49" s="121"/>
      <c r="BH49" s="121"/>
      <c r="BI49" s="121"/>
      <c r="BJ49" s="122"/>
      <c r="BK49" s="6"/>
    </row>
    <row r="50" spans="1:63" ht="31.5" customHeight="1" x14ac:dyDescent="0.25">
      <c r="A50" s="5"/>
      <c r="B50" s="104">
        <v>0</v>
      </c>
      <c r="C50" s="105"/>
      <c r="D50" s="106" t="s">
        <v>10</v>
      </c>
      <c r="E50" s="107"/>
      <c r="F50" s="107"/>
      <c r="G50" s="107"/>
      <c r="H50" s="107"/>
      <c r="I50" s="107"/>
      <c r="J50" s="108"/>
      <c r="K50" s="42" t="s">
        <v>5</v>
      </c>
      <c r="L50" s="23"/>
      <c r="M50" s="24"/>
      <c r="N50" s="8" t="s">
        <v>6</v>
      </c>
      <c r="O50" s="9" t="s">
        <v>7</v>
      </c>
      <c r="P50" s="109" t="s">
        <v>6</v>
      </c>
      <c r="Q50" s="110"/>
      <c r="R50" s="110"/>
      <c r="S50" s="105"/>
      <c r="T50" s="109" t="s">
        <v>6</v>
      </c>
      <c r="U50" s="110"/>
      <c r="V50" s="110"/>
      <c r="W50" s="105"/>
      <c r="X50" s="138" t="s">
        <v>118</v>
      </c>
      <c r="Y50" s="139"/>
      <c r="Z50" s="140"/>
      <c r="AA50" s="104" t="s">
        <v>8</v>
      </c>
      <c r="AB50" s="110"/>
      <c r="AC50" s="110"/>
      <c r="AD50" s="110"/>
      <c r="AE50" s="110"/>
      <c r="AF50" s="110"/>
      <c r="AG50" s="110"/>
      <c r="AH50" s="105"/>
      <c r="AI50" s="141" t="s">
        <v>6</v>
      </c>
      <c r="AJ50" s="142"/>
      <c r="AK50" s="142"/>
      <c r="AL50" s="142"/>
      <c r="AM50" s="142"/>
      <c r="AN50" s="142"/>
      <c r="AO50" s="142"/>
      <c r="AP50" s="142"/>
      <c r="AQ50" s="143"/>
      <c r="AR50" s="10" t="s">
        <v>6</v>
      </c>
      <c r="AS50" s="10" t="s">
        <v>8</v>
      </c>
      <c r="AT50" s="10" t="s">
        <v>8</v>
      </c>
      <c r="AU50" s="104" t="s">
        <v>9</v>
      </c>
      <c r="AV50" s="110"/>
      <c r="AW50" s="110"/>
      <c r="AX50" s="105"/>
      <c r="AY50" s="104" t="s">
        <v>8</v>
      </c>
      <c r="AZ50" s="110"/>
      <c r="BA50" s="110"/>
      <c r="BB50" s="105"/>
      <c r="BC50" s="285" t="s">
        <v>119</v>
      </c>
      <c r="BD50" s="286"/>
      <c r="BE50" s="286"/>
      <c r="BF50" s="286"/>
      <c r="BG50" s="286"/>
      <c r="BH50" s="286"/>
      <c r="BI50" s="286"/>
      <c r="BJ50" s="287"/>
      <c r="BK50" s="6"/>
    </row>
    <row r="51" spans="1:63" x14ac:dyDescent="0.25">
      <c r="A51" s="5"/>
      <c r="B51" s="19">
        <f>B50+1</f>
        <v>1</v>
      </c>
      <c r="C51" s="21"/>
      <c r="D51" s="39" t="s">
        <v>21</v>
      </c>
      <c r="E51" s="40"/>
      <c r="F51" s="40"/>
      <c r="G51" s="40"/>
      <c r="H51" s="40"/>
      <c r="I51" s="40"/>
      <c r="J51" s="41"/>
      <c r="K51" s="42" t="s">
        <v>5</v>
      </c>
      <c r="L51" s="23"/>
      <c r="M51" s="24"/>
      <c r="N51" s="15" t="s">
        <v>6</v>
      </c>
      <c r="O51" s="9" t="s">
        <v>7</v>
      </c>
      <c r="P51" s="19" t="s">
        <v>9</v>
      </c>
      <c r="Q51" s="20"/>
      <c r="R51" s="20"/>
      <c r="S51" s="21"/>
      <c r="T51" s="19" t="s">
        <v>9</v>
      </c>
      <c r="U51" s="20"/>
      <c r="V51" s="20"/>
      <c r="W51" s="21"/>
      <c r="X51" s="53" t="s">
        <v>120</v>
      </c>
      <c r="Y51" s="54"/>
      <c r="Z51" s="55"/>
      <c r="AA51" s="19" t="s">
        <v>8</v>
      </c>
      <c r="AB51" s="20"/>
      <c r="AC51" s="20"/>
      <c r="AD51" s="20"/>
      <c r="AE51" s="20"/>
      <c r="AF51" s="20"/>
      <c r="AG51" s="20"/>
      <c r="AH51" s="21"/>
      <c r="AI51" s="32" t="s">
        <v>8</v>
      </c>
      <c r="AJ51" s="30"/>
      <c r="AK51" s="30"/>
      <c r="AL51" s="30"/>
      <c r="AM51" s="30"/>
      <c r="AN51" s="30"/>
      <c r="AO51" s="30"/>
      <c r="AP51" s="30"/>
      <c r="AQ51" s="31"/>
      <c r="AR51" s="11" t="s">
        <v>6</v>
      </c>
      <c r="AS51" s="11" t="s">
        <v>8</v>
      </c>
      <c r="AT51" s="11" t="s">
        <v>8</v>
      </c>
      <c r="AU51" s="19" t="s">
        <v>9</v>
      </c>
      <c r="AV51" s="20"/>
      <c r="AW51" s="20"/>
      <c r="AX51" s="21"/>
      <c r="AY51" s="19" t="s">
        <v>8</v>
      </c>
      <c r="AZ51" s="20"/>
      <c r="BA51" s="20"/>
      <c r="BB51" s="21"/>
      <c r="BC51" s="56"/>
      <c r="BD51" s="288"/>
      <c r="BE51" s="288"/>
      <c r="BF51" s="288"/>
      <c r="BG51" s="288"/>
      <c r="BH51" s="288"/>
      <c r="BI51" s="288"/>
      <c r="BJ51" s="289"/>
      <c r="BK51" s="6"/>
    </row>
    <row r="52" spans="1:63" ht="50.25" customHeight="1" x14ac:dyDescent="0.25">
      <c r="A52" s="5"/>
      <c r="B52" s="19">
        <f t="shared" ref="B52:B64" si="0">B51+1</f>
        <v>2</v>
      </c>
      <c r="C52" s="21"/>
      <c r="D52" s="33" t="s">
        <v>22</v>
      </c>
      <c r="E52" s="34"/>
      <c r="F52" s="34"/>
      <c r="G52" s="34"/>
      <c r="H52" s="34"/>
      <c r="I52" s="34"/>
      <c r="J52" s="35"/>
      <c r="K52" s="22" t="s">
        <v>121</v>
      </c>
      <c r="L52" s="23"/>
      <c r="M52" s="24"/>
      <c r="N52" s="9" t="s">
        <v>11</v>
      </c>
      <c r="O52" s="9" t="s">
        <v>7</v>
      </c>
      <c r="P52" s="19" t="s">
        <v>6</v>
      </c>
      <c r="Q52" s="20"/>
      <c r="R52" s="20"/>
      <c r="S52" s="21"/>
      <c r="T52" s="19" t="s">
        <v>6</v>
      </c>
      <c r="U52" s="20"/>
      <c r="V52" s="20"/>
      <c r="W52" s="21"/>
      <c r="X52" s="26" t="s">
        <v>122</v>
      </c>
      <c r="Y52" s="27"/>
      <c r="Z52" s="28"/>
      <c r="AA52" s="290" t="s">
        <v>123</v>
      </c>
      <c r="AB52" s="291"/>
      <c r="AC52" s="291"/>
      <c r="AD52" s="291"/>
      <c r="AE52" s="291"/>
      <c r="AF52" s="291"/>
      <c r="AG52" s="291"/>
      <c r="AH52" s="292"/>
      <c r="AI52" s="293" t="s">
        <v>19</v>
      </c>
      <c r="AJ52" s="294"/>
      <c r="AK52" s="294"/>
      <c r="AL52" s="294"/>
      <c r="AM52" s="294"/>
      <c r="AN52" s="294"/>
      <c r="AO52" s="294"/>
      <c r="AP52" s="294"/>
      <c r="AQ52" s="295"/>
      <c r="AR52" s="9" t="s">
        <v>7</v>
      </c>
      <c r="AS52" s="11" t="s">
        <v>8</v>
      </c>
      <c r="AT52" s="11" t="s">
        <v>8</v>
      </c>
      <c r="AU52" s="36" t="s">
        <v>9</v>
      </c>
      <c r="AV52" s="37"/>
      <c r="AW52" s="37"/>
      <c r="AX52" s="38"/>
      <c r="AY52" s="36" t="s">
        <v>8</v>
      </c>
      <c r="AZ52" s="37"/>
      <c r="BA52" s="37"/>
      <c r="BB52" s="38"/>
      <c r="BC52" s="296"/>
      <c r="BD52" s="297"/>
      <c r="BE52" s="297"/>
      <c r="BF52" s="297"/>
      <c r="BG52" s="297"/>
      <c r="BH52" s="297"/>
      <c r="BI52" s="297"/>
      <c r="BJ52" s="298"/>
      <c r="BK52" s="6"/>
    </row>
    <row r="53" spans="1:63" ht="32.25" customHeight="1" x14ac:dyDescent="0.25">
      <c r="A53" s="5"/>
      <c r="B53" s="19">
        <f t="shared" si="0"/>
        <v>3</v>
      </c>
      <c r="C53" s="21"/>
      <c r="D53" s="299" t="s">
        <v>23</v>
      </c>
      <c r="E53" s="300"/>
      <c r="F53" s="300"/>
      <c r="G53" s="300"/>
      <c r="H53" s="300"/>
      <c r="I53" s="300"/>
      <c r="J53" s="301"/>
      <c r="K53" s="42" t="s">
        <v>5</v>
      </c>
      <c r="L53" s="23"/>
      <c r="M53" s="24"/>
      <c r="N53" s="12" t="s">
        <v>6</v>
      </c>
      <c r="O53" s="9" t="s">
        <v>7</v>
      </c>
      <c r="P53" s="19" t="s">
        <v>9</v>
      </c>
      <c r="Q53" s="20"/>
      <c r="R53" s="20"/>
      <c r="S53" s="21"/>
      <c r="T53" s="19" t="s">
        <v>9</v>
      </c>
      <c r="U53" s="20"/>
      <c r="V53" s="20"/>
      <c r="W53" s="21"/>
      <c r="X53" s="49" t="s">
        <v>71</v>
      </c>
      <c r="Y53" s="20"/>
      <c r="Z53" s="21"/>
      <c r="AA53" s="25" t="s">
        <v>124</v>
      </c>
      <c r="AB53" s="20"/>
      <c r="AC53" s="20"/>
      <c r="AD53" s="20"/>
      <c r="AE53" s="20"/>
      <c r="AF53" s="20"/>
      <c r="AG53" s="20"/>
      <c r="AH53" s="21"/>
      <c r="AI53" s="32" t="s">
        <v>8</v>
      </c>
      <c r="AJ53" s="30"/>
      <c r="AK53" s="30"/>
      <c r="AL53" s="30"/>
      <c r="AM53" s="30"/>
      <c r="AN53" s="30"/>
      <c r="AO53" s="30"/>
      <c r="AP53" s="30"/>
      <c r="AQ53" s="31"/>
      <c r="AR53" s="11" t="s">
        <v>6</v>
      </c>
      <c r="AS53" s="11" t="s">
        <v>8</v>
      </c>
      <c r="AT53" s="11" t="s">
        <v>8</v>
      </c>
      <c r="AU53" s="19" t="s">
        <v>9</v>
      </c>
      <c r="AV53" s="20"/>
      <c r="AW53" s="20"/>
      <c r="AX53" s="21"/>
      <c r="AY53" s="19" t="s">
        <v>8</v>
      </c>
      <c r="AZ53" s="20"/>
      <c r="BA53" s="20"/>
      <c r="BB53" s="21"/>
      <c r="BC53" s="302"/>
      <c r="BD53" s="303"/>
      <c r="BE53" s="303"/>
      <c r="BF53" s="303"/>
      <c r="BG53" s="303"/>
      <c r="BH53" s="303"/>
      <c r="BI53" s="303"/>
      <c r="BJ53" s="304"/>
      <c r="BK53" s="6"/>
    </row>
    <row r="54" spans="1:63" ht="62.25" customHeight="1" x14ac:dyDescent="0.25">
      <c r="A54" s="5"/>
      <c r="B54" s="19">
        <f t="shared" si="0"/>
        <v>4</v>
      </c>
      <c r="C54" s="21"/>
      <c r="D54" s="33" t="s">
        <v>24</v>
      </c>
      <c r="E54" s="34"/>
      <c r="F54" s="34"/>
      <c r="G54" s="34"/>
      <c r="H54" s="34"/>
      <c r="I54" s="34"/>
      <c r="J54" s="35"/>
      <c r="K54" s="22" t="s">
        <v>125</v>
      </c>
      <c r="L54" s="23"/>
      <c r="M54" s="24"/>
      <c r="N54" s="12" t="s">
        <v>11</v>
      </c>
      <c r="O54" s="9" t="s">
        <v>6</v>
      </c>
      <c r="P54" s="19" t="s">
        <v>9</v>
      </c>
      <c r="Q54" s="20"/>
      <c r="R54" s="20"/>
      <c r="S54" s="21"/>
      <c r="T54" s="19" t="s">
        <v>9</v>
      </c>
      <c r="U54" s="20"/>
      <c r="V54" s="20"/>
      <c r="W54" s="21"/>
      <c r="X54" s="26" t="s">
        <v>126</v>
      </c>
      <c r="Y54" s="27"/>
      <c r="Z54" s="28"/>
      <c r="AA54" s="25" t="s">
        <v>124</v>
      </c>
      <c r="AB54" s="20"/>
      <c r="AC54" s="20"/>
      <c r="AD54" s="20"/>
      <c r="AE54" s="20"/>
      <c r="AF54" s="20"/>
      <c r="AG54" s="20"/>
      <c r="AH54" s="21"/>
      <c r="AI54" s="293" t="s">
        <v>26</v>
      </c>
      <c r="AJ54" s="294"/>
      <c r="AK54" s="294"/>
      <c r="AL54" s="294"/>
      <c r="AM54" s="294"/>
      <c r="AN54" s="294"/>
      <c r="AO54" s="294"/>
      <c r="AP54" s="294"/>
      <c r="AQ54" s="295"/>
      <c r="AR54" s="9" t="s">
        <v>7</v>
      </c>
      <c r="AS54" s="9" t="s">
        <v>6</v>
      </c>
      <c r="AT54" s="11" t="s">
        <v>8</v>
      </c>
      <c r="AU54" s="19" t="s">
        <v>9</v>
      </c>
      <c r="AV54" s="20"/>
      <c r="AW54" s="20"/>
      <c r="AX54" s="21"/>
      <c r="AY54" s="19" t="s">
        <v>8</v>
      </c>
      <c r="AZ54" s="20"/>
      <c r="BA54" s="20"/>
      <c r="BB54" s="21"/>
      <c r="BC54" s="296"/>
      <c r="BD54" s="288"/>
      <c r="BE54" s="288"/>
      <c r="BF54" s="288"/>
      <c r="BG54" s="288"/>
      <c r="BH54" s="288"/>
      <c r="BI54" s="288"/>
      <c r="BJ54" s="289"/>
      <c r="BK54" s="6"/>
    </row>
    <row r="55" spans="1:63" ht="63" customHeight="1" x14ac:dyDescent="0.25">
      <c r="A55" s="5"/>
      <c r="B55" s="19">
        <f t="shared" si="0"/>
        <v>5</v>
      </c>
      <c r="C55" s="21"/>
      <c r="D55" s="39" t="s">
        <v>27</v>
      </c>
      <c r="E55" s="40"/>
      <c r="F55" s="40"/>
      <c r="G55" s="40"/>
      <c r="H55" s="40"/>
      <c r="I55" s="40"/>
      <c r="J55" s="41"/>
      <c r="K55" s="42" t="s">
        <v>5</v>
      </c>
      <c r="L55" s="23"/>
      <c r="M55" s="24"/>
      <c r="N55" s="9" t="s">
        <v>8</v>
      </c>
      <c r="O55" s="9" t="s">
        <v>7</v>
      </c>
      <c r="P55" s="25"/>
      <c r="Q55" s="20"/>
      <c r="R55" s="20"/>
      <c r="S55" s="21"/>
      <c r="T55" s="43"/>
      <c r="U55" s="44"/>
      <c r="V55" s="44"/>
      <c r="W55" s="45"/>
      <c r="X55" s="26" t="s">
        <v>127</v>
      </c>
      <c r="Y55" s="27"/>
      <c r="Z55" s="28"/>
      <c r="AA55" s="29"/>
      <c r="AB55" s="46"/>
      <c r="AC55" s="46"/>
      <c r="AD55" s="46"/>
      <c r="AE55" s="46"/>
      <c r="AF55" s="46"/>
      <c r="AG55" s="46"/>
      <c r="AH55" s="47"/>
      <c r="AI55" s="48" t="s">
        <v>25</v>
      </c>
      <c r="AJ55" s="30"/>
      <c r="AK55" s="30"/>
      <c r="AL55" s="30"/>
      <c r="AM55" s="30"/>
      <c r="AN55" s="30"/>
      <c r="AO55" s="30"/>
      <c r="AP55" s="30"/>
      <c r="AQ55" s="31"/>
      <c r="AR55" s="11" t="s">
        <v>6</v>
      </c>
      <c r="AS55" s="9" t="s">
        <v>6</v>
      </c>
      <c r="AT55" s="11" t="s">
        <v>8</v>
      </c>
      <c r="AU55" s="19" t="s">
        <v>9</v>
      </c>
      <c r="AV55" s="20"/>
      <c r="AW55" s="20"/>
      <c r="AX55" s="21"/>
      <c r="AY55" s="19" t="s">
        <v>8</v>
      </c>
      <c r="AZ55" s="20"/>
      <c r="BA55" s="20"/>
      <c r="BB55" s="21"/>
      <c r="BC55" s="305"/>
      <c r="BD55" s="288"/>
      <c r="BE55" s="288"/>
      <c r="BF55" s="288"/>
      <c r="BG55" s="288"/>
      <c r="BH55" s="288"/>
      <c r="BI55" s="288"/>
      <c r="BJ55" s="289"/>
      <c r="BK55" s="6"/>
    </row>
    <row r="56" spans="1:63" x14ac:dyDescent="0.25">
      <c r="A56" s="5"/>
      <c r="B56" s="19">
        <f t="shared" si="0"/>
        <v>6</v>
      </c>
      <c r="C56" s="21"/>
      <c r="D56" s="33" t="s">
        <v>28</v>
      </c>
      <c r="E56" s="34"/>
      <c r="F56" s="34"/>
      <c r="G56" s="34"/>
      <c r="H56" s="34"/>
      <c r="I56" s="34"/>
      <c r="J56" s="35"/>
      <c r="K56" s="22" t="s">
        <v>128</v>
      </c>
      <c r="L56" s="23"/>
      <c r="M56" s="24"/>
      <c r="N56" s="9" t="s">
        <v>11</v>
      </c>
      <c r="O56" s="9" t="s">
        <v>6</v>
      </c>
      <c r="P56" s="25" t="s">
        <v>6</v>
      </c>
      <c r="Q56" s="20"/>
      <c r="R56" s="20"/>
      <c r="S56" s="21"/>
      <c r="T56" s="25" t="s">
        <v>6</v>
      </c>
      <c r="U56" s="20"/>
      <c r="V56" s="20"/>
      <c r="W56" s="21"/>
      <c r="X56" s="26" t="s">
        <v>6</v>
      </c>
      <c r="Y56" s="27"/>
      <c r="Z56" s="28"/>
      <c r="AA56" s="19" t="s">
        <v>8</v>
      </c>
      <c r="AB56" s="20"/>
      <c r="AC56" s="20"/>
      <c r="AD56" s="20"/>
      <c r="AE56" s="20"/>
      <c r="AF56" s="20"/>
      <c r="AG56" s="20"/>
      <c r="AH56" s="21"/>
      <c r="AI56" s="293" t="s">
        <v>19</v>
      </c>
      <c r="AJ56" s="294"/>
      <c r="AK56" s="294"/>
      <c r="AL56" s="294"/>
      <c r="AM56" s="294"/>
      <c r="AN56" s="294"/>
      <c r="AO56" s="294"/>
      <c r="AP56" s="294"/>
      <c r="AQ56" s="295"/>
      <c r="AR56" s="11" t="s">
        <v>7</v>
      </c>
      <c r="AS56" s="9" t="s">
        <v>7</v>
      </c>
      <c r="AT56" s="11" t="s">
        <v>8</v>
      </c>
      <c r="AU56" s="36" t="s">
        <v>9</v>
      </c>
      <c r="AV56" s="37"/>
      <c r="AW56" s="37"/>
      <c r="AX56" s="38"/>
      <c r="AY56" s="36" t="s">
        <v>8</v>
      </c>
      <c r="AZ56" s="37"/>
      <c r="BA56" s="37"/>
      <c r="BB56" s="38"/>
      <c r="BC56" s="296" t="s">
        <v>29</v>
      </c>
      <c r="BD56" s="288"/>
      <c r="BE56" s="288"/>
      <c r="BF56" s="288"/>
      <c r="BG56" s="288"/>
      <c r="BH56" s="288"/>
      <c r="BI56" s="288"/>
      <c r="BJ56" s="289"/>
      <c r="BK56" s="6"/>
    </row>
    <row r="57" spans="1:63" x14ac:dyDescent="0.25">
      <c r="A57" s="5"/>
      <c r="B57" s="19">
        <f t="shared" si="0"/>
        <v>7</v>
      </c>
      <c r="C57" s="21"/>
      <c r="D57" s="39" t="s">
        <v>30</v>
      </c>
      <c r="E57" s="40"/>
      <c r="F57" s="40"/>
      <c r="G57" s="40"/>
      <c r="H57" s="40"/>
      <c r="I57" s="40"/>
      <c r="J57" s="41"/>
      <c r="K57" s="42" t="s">
        <v>5</v>
      </c>
      <c r="L57" s="23"/>
      <c r="M57" s="24"/>
      <c r="N57" s="9" t="s">
        <v>6</v>
      </c>
      <c r="O57" s="9" t="s">
        <v>7</v>
      </c>
      <c r="P57" s="25" t="s">
        <v>6</v>
      </c>
      <c r="Q57" s="20"/>
      <c r="R57" s="20"/>
      <c r="S57" s="21"/>
      <c r="T57" s="25" t="s">
        <v>6</v>
      </c>
      <c r="U57" s="20"/>
      <c r="V57" s="20"/>
      <c r="W57" s="21"/>
      <c r="X57" s="26" t="s">
        <v>129</v>
      </c>
      <c r="Y57" s="27"/>
      <c r="Z57" s="28"/>
      <c r="AA57" s="19" t="s">
        <v>8</v>
      </c>
      <c r="AB57" s="20"/>
      <c r="AC57" s="20"/>
      <c r="AD57" s="20"/>
      <c r="AE57" s="20"/>
      <c r="AF57" s="20"/>
      <c r="AG57" s="20"/>
      <c r="AH57" s="21"/>
      <c r="AI57" s="48" t="s">
        <v>124</v>
      </c>
      <c r="AJ57" s="30"/>
      <c r="AK57" s="30"/>
      <c r="AL57" s="30"/>
      <c r="AM57" s="30"/>
      <c r="AN57" s="30"/>
      <c r="AO57" s="30"/>
      <c r="AP57" s="30"/>
      <c r="AQ57" s="31"/>
      <c r="AR57" s="11" t="s">
        <v>6</v>
      </c>
      <c r="AS57" s="11" t="s">
        <v>6</v>
      </c>
      <c r="AT57" s="11" t="s">
        <v>8</v>
      </c>
      <c r="AU57" s="19" t="s">
        <v>9</v>
      </c>
      <c r="AV57" s="20"/>
      <c r="AW57" s="20"/>
      <c r="AX57" s="21"/>
      <c r="AY57" s="19" t="s">
        <v>8</v>
      </c>
      <c r="AZ57" s="20"/>
      <c r="BA57" s="20"/>
      <c r="BB57" s="21"/>
      <c r="BC57" s="56"/>
      <c r="BD57" s="288"/>
      <c r="BE57" s="288"/>
      <c r="BF57" s="288"/>
      <c r="BG57" s="288"/>
      <c r="BH57" s="288"/>
      <c r="BI57" s="288"/>
      <c r="BJ57" s="289"/>
      <c r="BK57" s="6"/>
    </row>
    <row r="58" spans="1:63" ht="117" customHeight="1" x14ac:dyDescent="0.25">
      <c r="A58" s="5"/>
      <c r="B58" s="19">
        <f t="shared" si="0"/>
        <v>8</v>
      </c>
      <c r="C58" s="21"/>
      <c r="D58" s="33" t="s">
        <v>31</v>
      </c>
      <c r="E58" s="34"/>
      <c r="F58" s="34"/>
      <c r="G58" s="34"/>
      <c r="H58" s="34"/>
      <c r="I58" s="34"/>
      <c r="J58" s="35"/>
      <c r="K58" s="22" t="s">
        <v>130</v>
      </c>
      <c r="L58" s="23"/>
      <c r="M58" s="24"/>
      <c r="N58" s="9" t="s">
        <v>11</v>
      </c>
      <c r="O58" s="9" t="s">
        <v>6</v>
      </c>
      <c r="P58" s="25" t="s">
        <v>6</v>
      </c>
      <c r="Q58" s="20"/>
      <c r="R58" s="20"/>
      <c r="S58" s="21"/>
      <c r="T58" s="25" t="s">
        <v>6</v>
      </c>
      <c r="U58" s="20"/>
      <c r="V58" s="20"/>
      <c r="W58" s="21"/>
      <c r="X58" s="26" t="s">
        <v>131</v>
      </c>
      <c r="Y58" s="27"/>
      <c r="Z58" s="28"/>
      <c r="AA58" s="67" t="s">
        <v>132</v>
      </c>
      <c r="AB58" s="68"/>
      <c r="AC58" s="68"/>
      <c r="AD58" s="68"/>
      <c r="AE58" s="68"/>
      <c r="AF58" s="68"/>
      <c r="AG58" s="68"/>
      <c r="AH58" s="69"/>
      <c r="AI58" s="293" t="s">
        <v>19</v>
      </c>
      <c r="AJ58" s="294"/>
      <c r="AK58" s="294"/>
      <c r="AL58" s="294"/>
      <c r="AM58" s="294"/>
      <c r="AN58" s="294"/>
      <c r="AO58" s="294"/>
      <c r="AP58" s="294"/>
      <c r="AQ58" s="295"/>
      <c r="AR58" s="11" t="s">
        <v>6</v>
      </c>
      <c r="AS58" s="11" t="s">
        <v>6</v>
      </c>
      <c r="AT58" s="11" t="s">
        <v>8</v>
      </c>
      <c r="AU58" s="19" t="s">
        <v>9</v>
      </c>
      <c r="AV58" s="20"/>
      <c r="AW58" s="20"/>
      <c r="AX58" s="21"/>
      <c r="AY58" s="19" t="s">
        <v>8</v>
      </c>
      <c r="AZ58" s="20"/>
      <c r="BA58" s="20"/>
      <c r="BB58" s="21"/>
      <c r="BC58" s="306" t="s">
        <v>133</v>
      </c>
      <c r="BD58" s="303"/>
      <c r="BE58" s="303"/>
      <c r="BF58" s="303"/>
      <c r="BG58" s="303"/>
      <c r="BH58" s="303"/>
      <c r="BI58" s="303"/>
      <c r="BJ58" s="304"/>
      <c r="BK58" s="6"/>
    </row>
    <row r="59" spans="1:63" ht="159.75" customHeight="1" x14ac:dyDescent="0.25">
      <c r="A59" s="5"/>
      <c r="B59" s="19">
        <v>9.1</v>
      </c>
      <c r="C59" s="21"/>
      <c r="D59" s="307" t="s">
        <v>32</v>
      </c>
      <c r="E59" s="308"/>
      <c r="F59" s="308"/>
      <c r="G59" s="308"/>
      <c r="H59" s="308"/>
      <c r="I59" s="308"/>
      <c r="J59" s="309"/>
      <c r="K59" s="22" t="s">
        <v>130</v>
      </c>
      <c r="L59" s="23"/>
      <c r="M59" s="24"/>
      <c r="N59" s="12" t="s">
        <v>3</v>
      </c>
      <c r="O59" s="9" t="s">
        <v>6</v>
      </c>
      <c r="P59" s="25" t="s">
        <v>6</v>
      </c>
      <c r="Q59" s="20"/>
      <c r="R59" s="20"/>
      <c r="S59" s="21"/>
      <c r="T59" s="25" t="s">
        <v>6</v>
      </c>
      <c r="U59" s="20"/>
      <c r="V59" s="20"/>
      <c r="W59" s="21"/>
      <c r="X59" s="26" t="s">
        <v>134</v>
      </c>
      <c r="Y59" s="27"/>
      <c r="Z59" s="28"/>
      <c r="AA59" s="29" t="s">
        <v>135</v>
      </c>
      <c r="AB59" s="30"/>
      <c r="AC59" s="30"/>
      <c r="AD59" s="30"/>
      <c r="AE59" s="30"/>
      <c r="AF59" s="30"/>
      <c r="AG59" s="30"/>
      <c r="AH59" s="31"/>
      <c r="AI59" s="290" t="s">
        <v>136</v>
      </c>
      <c r="AJ59" s="294"/>
      <c r="AK59" s="294"/>
      <c r="AL59" s="294"/>
      <c r="AM59" s="294"/>
      <c r="AN59" s="294"/>
      <c r="AO59" s="294"/>
      <c r="AP59" s="294"/>
      <c r="AQ59" s="295"/>
      <c r="AR59" s="11" t="s">
        <v>6</v>
      </c>
      <c r="AS59" s="11" t="s">
        <v>6</v>
      </c>
      <c r="AT59" s="11" t="s">
        <v>8</v>
      </c>
      <c r="AU59" s="19" t="s">
        <v>9</v>
      </c>
      <c r="AV59" s="20"/>
      <c r="AW59" s="20"/>
      <c r="AX59" s="21"/>
      <c r="AY59" s="19" t="s">
        <v>8</v>
      </c>
      <c r="AZ59" s="20"/>
      <c r="BA59" s="20"/>
      <c r="BB59" s="21"/>
      <c r="BC59" s="306" t="s">
        <v>137</v>
      </c>
      <c r="BD59" s="303"/>
      <c r="BE59" s="303"/>
      <c r="BF59" s="303"/>
      <c r="BG59" s="303"/>
      <c r="BH59" s="303"/>
      <c r="BI59" s="303"/>
      <c r="BJ59" s="304"/>
      <c r="BK59" s="6"/>
    </row>
    <row r="60" spans="1:63" ht="47.25" customHeight="1" x14ac:dyDescent="0.25">
      <c r="A60" s="5"/>
      <c r="B60" s="19">
        <v>9.1999999999999993</v>
      </c>
      <c r="C60" s="21"/>
      <c r="D60" s="307" t="s">
        <v>15</v>
      </c>
      <c r="E60" s="308"/>
      <c r="F60" s="308"/>
      <c r="G60" s="308"/>
      <c r="H60" s="308"/>
      <c r="I60" s="308"/>
      <c r="J60" s="309"/>
      <c r="K60" s="22" t="s">
        <v>128</v>
      </c>
      <c r="L60" s="23"/>
      <c r="M60" s="24"/>
      <c r="N60" s="12" t="s">
        <v>3</v>
      </c>
      <c r="O60" s="9" t="s">
        <v>6</v>
      </c>
      <c r="P60" s="25" t="s">
        <v>6</v>
      </c>
      <c r="Q60" s="20"/>
      <c r="R60" s="20"/>
      <c r="S60" s="21"/>
      <c r="T60" s="25" t="s">
        <v>6</v>
      </c>
      <c r="U60" s="20"/>
      <c r="V60" s="20"/>
      <c r="W60" s="21"/>
      <c r="X60" s="26" t="s">
        <v>6</v>
      </c>
      <c r="Y60" s="27"/>
      <c r="Z60" s="28"/>
      <c r="AA60" s="29" t="s">
        <v>138</v>
      </c>
      <c r="AB60" s="30"/>
      <c r="AC60" s="30"/>
      <c r="AD60" s="30"/>
      <c r="AE60" s="30"/>
      <c r="AF60" s="30"/>
      <c r="AG60" s="30"/>
      <c r="AH60" s="31"/>
      <c r="AI60" s="290" t="s">
        <v>19</v>
      </c>
      <c r="AJ60" s="294"/>
      <c r="AK60" s="294"/>
      <c r="AL60" s="294"/>
      <c r="AM60" s="294"/>
      <c r="AN60" s="294"/>
      <c r="AO60" s="294"/>
      <c r="AP60" s="294"/>
      <c r="AQ60" s="295"/>
      <c r="AR60" s="11" t="s">
        <v>7</v>
      </c>
      <c r="AS60" s="11" t="s">
        <v>7</v>
      </c>
      <c r="AT60" s="11" t="s">
        <v>8</v>
      </c>
      <c r="AU60" s="19" t="s">
        <v>9</v>
      </c>
      <c r="AV60" s="20"/>
      <c r="AW60" s="20"/>
      <c r="AX60" s="21"/>
      <c r="AY60" s="19" t="s">
        <v>8</v>
      </c>
      <c r="AZ60" s="20"/>
      <c r="BA60" s="20"/>
      <c r="BB60" s="21"/>
      <c r="BC60" s="306" t="s">
        <v>139</v>
      </c>
      <c r="BD60" s="303"/>
      <c r="BE60" s="303"/>
      <c r="BF60" s="303"/>
      <c r="BG60" s="303"/>
      <c r="BH60" s="303"/>
      <c r="BI60" s="303"/>
      <c r="BJ60" s="304"/>
      <c r="BK60" s="6"/>
    </row>
    <row r="61" spans="1:63" ht="51.75" customHeight="1" x14ac:dyDescent="0.25">
      <c r="A61" s="5"/>
      <c r="B61" s="19">
        <v>9.3000000000000007</v>
      </c>
      <c r="C61" s="21"/>
      <c r="D61" s="307" t="s">
        <v>58</v>
      </c>
      <c r="E61" s="308"/>
      <c r="F61" s="308"/>
      <c r="G61" s="308"/>
      <c r="H61" s="308"/>
      <c r="I61" s="308"/>
      <c r="J61" s="309"/>
      <c r="K61" s="22" t="s">
        <v>140</v>
      </c>
      <c r="L61" s="23"/>
      <c r="M61" s="24"/>
      <c r="N61" s="12" t="s">
        <v>11</v>
      </c>
      <c r="O61" s="9" t="s">
        <v>6</v>
      </c>
      <c r="P61" s="25" t="s">
        <v>6</v>
      </c>
      <c r="Q61" s="20"/>
      <c r="R61" s="20"/>
      <c r="S61" s="21"/>
      <c r="T61" s="25" t="s">
        <v>6</v>
      </c>
      <c r="U61" s="20"/>
      <c r="V61" s="20"/>
      <c r="W61" s="21"/>
      <c r="X61" s="26" t="s">
        <v>6</v>
      </c>
      <c r="Y61" s="27"/>
      <c r="Z61" s="28"/>
      <c r="AA61" s="29" t="s">
        <v>138</v>
      </c>
      <c r="AB61" s="30"/>
      <c r="AC61" s="30"/>
      <c r="AD61" s="30"/>
      <c r="AE61" s="30"/>
      <c r="AF61" s="30"/>
      <c r="AG61" s="30"/>
      <c r="AH61" s="31"/>
      <c r="AI61" s="290" t="s">
        <v>19</v>
      </c>
      <c r="AJ61" s="294"/>
      <c r="AK61" s="294"/>
      <c r="AL61" s="294"/>
      <c r="AM61" s="294"/>
      <c r="AN61" s="294"/>
      <c r="AO61" s="294"/>
      <c r="AP61" s="294"/>
      <c r="AQ61" s="295"/>
      <c r="AR61" s="11" t="s">
        <v>6</v>
      </c>
      <c r="AS61" s="11" t="s">
        <v>6</v>
      </c>
      <c r="AT61" s="11" t="s">
        <v>8</v>
      </c>
      <c r="AU61" s="25" t="s">
        <v>6</v>
      </c>
      <c r="AV61" s="20"/>
      <c r="AW61" s="20"/>
      <c r="AX61" s="21"/>
      <c r="AY61" s="19" t="s">
        <v>8</v>
      </c>
      <c r="AZ61" s="20"/>
      <c r="BA61" s="20"/>
      <c r="BB61" s="21"/>
      <c r="BC61" s="306" t="s">
        <v>141</v>
      </c>
      <c r="BD61" s="303"/>
      <c r="BE61" s="303"/>
      <c r="BF61" s="303"/>
      <c r="BG61" s="303"/>
      <c r="BH61" s="303"/>
      <c r="BI61" s="303"/>
      <c r="BJ61" s="304"/>
      <c r="BK61" s="6"/>
    </row>
    <row r="62" spans="1:63" ht="50.25" customHeight="1" x14ac:dyDescent="0.25">
      <c r="A62" s="5"/>
      <c r="B62" s="19">
        <v>9.4</v>
      </c>
      <c r="C62" s="21"/>
      <c r="D62" s="307" t="s">
        <v>18</v>
      </c>
      <c r="E62" s="308"/>
      <c r="F62" s="308"/>
      <c r="G62" s="308"/>
      <c r="H62" s="308"/>
      <c r="I62" s="308"/>
      <c r="J62" s="309"/>
      <c r="K62" s="22" t="s">
        <v>142</v>
      </c>
      <c r="L62" s="23"/>
      <c r="M62" s="24"/>
      <c r="N62" s="12" t="s">
        <v>13</v>
      </c>
      <c r="O62" s="9" t="s">
        <v>6</v>
      </c>
      <c r="P62" s="25" t="s">
        <v>6</v>
      </c>
      <c r="Q62" s="20"/>
      <c r="R62" s="20"/>
      <c r="S62" s="21"/>
      <c r="T62" s="25" t="s">
        <v>6</v>
      </c>
      <c r="U62" s="20"/>
      <c r="V62" s="20"/>
      <c r="W62" s="21"/>
      <c r="X62" s="26" t="s">
        <v>6</v>
      </c>
      <c r="Y62" s="27"/>
      <c r="Z62" s="28"/>
      <c r="AA62" s="29" t="s">
        <v>138</v>
      </c>
      <c r="AB62" s="30"/>
      <c r="AC62" s="30"/>
      <c r="AD62" s="30"/>
      <c r="AE62" s="30"/>
      <c r="AF62" s="30"/>
      <c r="AG62" s="30"/>
      <c r="AH62" s="31"/>
      <c r="AI62" s="32" t="s">
        <v>8</v>
      </c>
      <c r="AJ62" s="30"/>
      <c r="AK62" s="30"/>
      <c r="AL62" s="30"/>
      <c r="AM62" s="30"/>
      <c r="AN62" s="30"/>
      <c r="AO62" s="30"/>
      <c r="AP62" s="30"/>
      <c r="AQ62" s="31"/>
      <c r="AR62" s="11" t="s">
        <v>6</v>
      </c>
      <c r="AS62" s="11" t="s">
        <v>6</v>
      </c>
      <c r="AT62" s="11" t="s">
        <v>8</v>
      </c>
      <c r="AU62" s="19" t="s">
        <v>9</v>
      </c>
      <c r="AV62" s="20"/>
      <c r="AW62" s="20"/>
      <c r="AX62" s="21"/>
      <c r="AY62" s="19" t="s">
        <v>8</v>
      </c>
      <c r="AZ62" s="20"/>
      <c r="BA62" s="20"/>
      <c r="BB62" s="21"/>
      <c r="BC62" s="306"/>
      <c r="BD62" s="303"/>
      <c r="BE62" s="303"/>
      <c r="BF62" s="303"/>
      <c r="BG62" s="303"/>
      <c r="BH62" s="303"/>
      <c r="BI62" s="303"/>
      <c r="BJ62" s="304"/>
      <c r="BK62" s="6"/>
    </row>
    <row r="63" spans="1:63" ht="32.25" customHeight="1" x14ac:dyDescent="0.25">
      <c r="A63" s="5"/>
      <c r="B63" s="19">
        <f>B58+2</f>
        <v>10</v>
      </c>
      <c r="C63" s="21"/>
      <c r="D63" s="33" t="s">
        <v>33</v>
      </c>
      <c r="E63" s="34"/>
      <c r="F63" s="34"/>
      <c r="G63" s="34"/>
      <c r="H63" s="34"/>
      <c r="I63" s="34"/>
      <c r="J63" s="35"/>
      <c r="K63" s="22" t="s">
        <v>142</v>
      </c>
      <c r="L63" s="23"/>
      <c r="M63" s="24"/>
      <c r="N63" s="12" t="s">
        <v>6</v>
      </c>
      <c r="O63" s="9" t="s">
        <v>7</v>
      </c>
      <c r="P63" s="25" t="s">
        <v>6</v>
      </c>
      <c r="Q63" s="20"/>
      <c r="R63" s="20"/>
      <c r="S63" s="21"/>
      <c r="T63" s="25" t="s">
        <v>6</v>
      </c>
      <c r="U63" s="20"/>
      <c r="V63" s="20"/>
      <c r="W63" s="21"/>
      <c r="X63" s="26" t="s">
        <v>6</v>
      </c>
      <c r="Y63" s="27"/>
      <c r="Z63" s="28"/>
      <c r="AA63" s="19" t="s">
        <v>8</v>
      </c>
      <c r="AB63" s="20"/>
      <c r="AC63" s="20"/>
      <c r="AD63" s="20"/>
      <c r="AE63" s="20"/>
      <c r="AF63" s="20"/>
      <c r="AG63" s="20"/>
      <c r="AH63" s="21"/>
      <c r="AI63" s="32" t="s">
        <v>8</v>
      </c>
      <c r="AJ63" s="30"/>
      <c r="AK63" s="30"/>
      <c r="AL63" s="30"/>
      <c r="AM63" s="30"/>
      <c r="AN63" s="30"/>
      <c r="AO63" s="30"/>
      <c r="AP63" s="30"/>
      <c r="AQ63" s="31"/>
      <c r="AR63" s="11" t="s">
        <v>6</v>
      </c>
      <c r="AS63" s="11" t="s">
        <v>6</v>
      </c>
      <c r="AT63" s="11" t="s">
        <v>8</v>
      </c>
      <c r="AU63" s="19" t="s">
        <v>9</v>
      </c>
      <c r="AV63" s="20"/>
      <c r="AW63" s="20"/>
      <c r="AX63" s="21"/>
      <c r="AY63" s="19" t="s">
        <v>8</v>
      </c>
      <c r="AZ63" s="20"/>
      <c r="BA63" s="20"/>
      <c r="BB63" s="21"/>
      <c r="BC63" s="305"/>
      <c r="BD63" s="288"/>
      <c r="BE63" s="288"/>
      <c r="BF63" s="288"/>
      <c r="BG63" s="288"/>
      <c r="BH63" s="288"/>
      <c r="BI63" s="288"/>
      <c r="BJ63" s="289"/>
      <c r="BK63" s="6"/>
    </row>
    <row r="64" spans="1:63" ht="73.5" customHeight="1" x14ac:dyDescent="0.25">
      <c r="A64" s="5"/>
      <c r="B64" s="50">
        <f t="shared" si="0"/>
        <v>11</v>
      </c>
      <c r="C64" s="52"/>
      <c r="D64" s="57" t="s">
        <v>34</v>
      </c>
      <c r="E64" s="58"/>
      <c r="F64" s="58"/>
      <c r="G64" s="58"/>
      <c r="H64" s="58"/>
      <c r="I64" s="58"/>
      <c r="J64" s="59"/>
      <c r="K64" s="60" t="s">
        <v>130</v>
      </c>
      <c r="L64" s="61"/>
      <c r="M64" s="62"/>
      <c r="N64" s="13" t="s">
        <v>3</v>
      </c>
      <c r="O64" s="13" t="s">
        <v>6</v>
      </c>
      <c r="P64" s="63" t="s">
        <v>6</v>
      </c>
      <c r="Q64" s="51"/>
      <c r="R64" s="51"/>
      <c r="S64" s="52"/>
      <c r="T64" s="63" t="s">
        <v>6</v>
      </c>
      <c r="U64" s="51"/>
      <c r="V64" s="51"/>
      <c r="W64" s="52"/>
      <c r="X64" s="64" t="s">
        <v>6</v>
      </c>
      <c r="Y64" s="65"/>
      <c r="Z64" s="66"/>
      <c r="AA64" s="50" t="s">
        <v>8</v>
      </c>
      <c r="AB64" s="51"/>
      <c r="AC64" s="51"/>
      <c r="AD64" s="51"/>
      <c r="AE64" s="51"/>
      <c r="AF64" s="51"/>
      <c r="AG64" s="51"/>
      <c r="AH64" s="52"/>
      <c r="AI64" s="310" t="s">
        <v>19</v>
      </c>
      <c r="AJ64" s="311"/>
      <c r="AK64" s="311"/>
      <c r="AL64" s="311"/>
      <c r="AM64" s="311"/>
      <c r="AN64" s="311"/>
      <c r="AO64" s="311"/>
      <c r="AP64" s="311"/>
      <c r="AQ64" s="312"/>
      <c r="AR64" s="14" t="s">
        <v>6</v>
      </c>
      <c r="AS64" s="14" t="s">
        <v>7</v>
      </c>
      <c r="AT64" s="14" t="s">
        <v>8</v>
      </c>
      <c r="AU64" s="50" t="s">
        <v>9</v>
      </c>
      <c r="AV64" s="51"/>
      <c r="AW64" s="51"/>
      <c r="AX64" s="52"/>
      <c r="AY64" s="50" t="s">
        <v>8</v>
      </c>
      <c r="AZ64" s="51"/>
      <c r="BA64" s="51"/>
      <c r="BB64" s="52"/>
      <c r="BC64" s="313" t="s">
        <v>56</v>
      </c>
      <c r="BD64" s="314"/>
      <c r="BE64" s="314"/>
      <c r="BF64" s="314"/>
      <c r="BG64" s="314"/>
      <c r="BH64" s="314"/>
      <c r="BI64" s="314"/>
      <c r="BJ64" s="315"/>
      <c r="BK64" s="6"/>
    </row>
    <row r="65" spans="1:63" x14ac:dyDescent="0.25">
      <c r="A65" s="5"/>
      <c r="BK65" s="6"/>
    </row>
    <row r="66" spans="1:63" ht="15" customHeight="1" x14ac:dyDescent="0.25">
      <c r="A66" s="5"/>
      <c r="BK66" s="6"/>
    </row>
    <row r="67" spans="1:63" ht="15" customHeight="1" x14ac:dyDescent="0.25">
      <c r="A67" s="5"/>
      <c r="BK67" s="6"/>
    </row>
    <row r="68" spans="1:63" ht="15" customHeight="1" x14ac:dyDescent="0.25">
      <c r="A68" s="5"/>
      <c r="BK68" s="6"/>
    </row>
    <row r="69" spans="1:63" ht="15" customHeight="1" x14ac:dyDescent="0.25">
      <c r="A69" s="5"/>
      <c r="BK69" s="6"/>
    </row>
    <row r="70" spans="1:63" ht="15" customHeight="1" x14ac:dyDescent="0.25">
      <c r="A70" s="5"/>
      <c r="BK70" s="6"/>
    </row>
    <row r="71" spans="1:63" ht="15" customHeight="1" x14ac:dyDescent="0.25">
      <c r="A71" s="5"/>
      <c r="BK71" s="6"/>
    </row>
    <row r="72" spans="1:63" ht="15" customHeight="1" x14ac:dyDescent="0.25">
      <c r="A72" s="5"/>
      <c r="BK72" s="6"/>
    </row>
    <row r="73" spans="1:63" ht="15" customHeight="1" x14ac:dyDescent="0.25">
      <c r="A73" s="5"/>
      <c r="BK73" s="6"/>
    </row>
    <row r="74" spans="1:63" ht="15" customHeight="1" x14ac:dyDescent="0.25">
      <c r="A74" s="5"/>
      <c r="BK74" s="6"/>
    </row>
    <row r="75" spans="1:63" ht="15" customHeight="1" x14ac:dyDescent="0.25">
      <c r="A75" s="5"/>
      <c r="BK75" s="6"/>
    </row>
    <row r="76" spans="1:63" ht="15" customHeight="1" x14ac:dyDescent="0.25">
      <c r="A76" s="5"/>
      <c r="BK76" s="6"/>
    </row>
    <row r="77" spans="1:63" ht="15" customHeight="1" x14ac:dyDescent="0.25">
      <c r="A77" s="5"/>
      <c r="BK77" s="6"/>
    </row>
    <row r="78" spans="1:63" ht="15" customHeight="1" x14ac:dyDescent="0.25">
      <c r="A78" s="5"/>
      <c r="BK78" s="6"/>
    </row>
    <row r="79" spans="1:63" ht="15" customHeight="1" x14ac:dyDescent="0.25">
      <c r="A79" s="5"/>
      <c r="BK79" s="6"/>
    </row>
    <row r="80" spans="1:63" ht="15" customHeight="1" x14ac:dyDescent="0.25">
      <c r="A80" s="5"/>
      <c r="BK80" s="6"/>
    </row>
    <row r="81" spans="1:63" ht="15" customHeight="1" x14ac:dyDescent="0.25">
      <c r="A81" s="5"/>
      <c r="BK81" s="6"/>
    </row>
    <row r="82" spans="1:63" ht="15" customHeight="1" x14ac:dyDescent="0.25">
      <c r="A82" s="5"/>
      <c r="BK82" s="6"/>
    </row>
    <row r="83" spans="1:63" ht="14.25" customHeight="1" x14ac:dyDescent="0.25">
      <c r="A83" s="5"/>
      <c r="BK83" s="6"/>
    </row>
    <row r="84" spans="1:63" ht="15" customHeight="1" x14ac:dyDescent="0.25">
      <c r="A84" s="5"/>
      <c r="BK84" s="6"/>
    </row>
    <row r="85" spans="1:63" ht="15" customHeight="1" x14ac:dyDescent="0.25">
      <c r="A85" s="5"/>
      <c r="BK85" s="6"/>
    </row>
    <row r="86" spans="1:63" x14ac:dyDescent="0.25">
      <c r="A86" s="5"/>
      <c r="BK86" s="6"/>
    </row>
    <row r="87" spans="1:63" x14ac:dyDescent="0.25">
      <c r="A87" s="5"/>
      <c r="BK87" s="6"/>
    </row>
    <row r="88" spans="1:63" x14ac:dyDescent="0.25">
      <c r="A88" s="5"/>
      <c r="BK88" s="6"/>
    </row>
    <row r="89" spans="1:63" x14ac:dyDescent="0.25">
      <c r="A89" s="5"/>
      <c r="BK89" s="6"/>
    </row>
    <row r="90" spans="1:63" x14ac:dyDescent="0.25">
      <c r="A90" s="5"/>
      <c r="BK90" s="6"/>
    </row>
    <row r="91" spans="1:63" x14ac:dyDescent="0.25">
      <c r="A91" s="5"/>
      <c r="BK91" s="6"/>
    </row>
    <row r="92" spans="1:63" x14ac:dyDescent="0.25">
      <c r="A92" s="5"/>
      <c r="BK92" s="6"/>
    </row>
    <row r="93" spans="1:63" x14ac:dyDescent="0.25">
      <c r="A93" s="5"/>
      <c r="BK93" s="6"/>
    </row>
    <row r="94" spans="1:63" x14ac:dyDescent="0.25">
      <c r="A94" s="5"/>
      <c r="BK94" s="6"/>
    </row>
    <row r="95" spans="1:63" x14ac:dyDescent="0.25">
      <c r="A95" s="5"/>
      <c r="BK95" s="6"/>
    </row>
    <row r="96" spans="1:63" ht="15" customHeight="1" x14ac:dyDescent="0.25">
      <c r="A96" s="5"/>
      <c r="B96" s="7" t="s">
        <v>103</v>
      </c>
      <c r="BK96" s="6"/>
    </row>
    <row r="97" spans="1:63" x14ac:dyDescent="0.25">
      <c r="A97" s="5"/>
      <c r="BK97" s="6"/>
    </row>
    <row r="98" spans="1:63" ht="15.75" customHeight="1" x14ac:dyDescent="0.25">
      <c r="A98" s="5"/>
      <c r="B98" s="83" t="s">
        <v>104</v>
      </c>
      <c r="C98" s="84"/>
      <c r="D98" s="89" t="s">
        <v>105</v>
      </c>
      <c r="E98" s="90"/>
      <c r="F98" s="90"/>
      <c r="G98" s="90"/>
      <c r="H98" s="90"/>
      <c r="I98" s="90"/>
      <c r="J98" s="84"/>
      <c r="K98" s="89" t="s">
        <v>143</v>
      </c>
      <c r="L98" s="90"/>
      <c r="M98" s="84"/>
      <c r="N98" s="93" t="s">
        <v>3</v>
      </c>
      <c r="O98" s="96" t="s">
        <v>107</v>
      </c>
      <c r="P98" s="111" t="s">
        <v>108</v>
      </c>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3"/>
      <c r="AR98" s="99" t="s">
        <v>109</v>
      </c>
      <c r="AS98" s="100"/>
      <c r="AT98" s="100"/>
      <c r="AU98" s="100"/>
      <c r="AV98" s="100"/>
      <c r="AW98" s="100"/>
      <c r="AX98" s="100"/>
      <c r="AY98" s="100"/>
      <c r="AZ98" s="100"/>
      <c r="BA98" s="100"/>
      <c r="BB98" s="103"/>
      <c r="BC98" s="114" t="s">
        <v>110</v>
      </c>
      <c r="BD98" s="115"/>
      <c r="BE98" s="115"/>
      <c r="BF98" s="115"/>
      <c r="BG98" s="115"/>
      <c r="BH98" s="115"/>
      <c r="BI98" s="115"/>
      <c r="BJ98" s="116"/>
      <c r="BK98" s="6"/>
    </row>
    <row r="99" spans="1:63" ht="15.75" customHeight="1" x14ac:dyDescent="0.25">
      <c r="A99" s="5"/>
      <c r="B99" s="85"/>
      <c r="C99" s="86"/>
      <c r="D99" s="85"/>
      <c r="E99" s="91"/>
      <c r="F99" s="91"/>
      <c r="G99" s="91"/>
      <c r="H99" s="91"/>
      <c r="I99" s="91"/>
      <c r="J99" s="86"/>
      <c r="K99" s="85"/>
      <c r="L99" s="91"/>
      <c r="M99" s="86"/>
      <c r="N99" s="94"/>
      <c r="O99" s="97"/>
      <c r="P99" s="123" t="s">
        <v>111</v>
      </c>
      <c r="Q99" s="124"/>
      <c r="R99" s="124"/>
      <c r="S99" s="124"/>
      <c r="T99" s="124"/>
      <c r="U99" s="124"/>
      <c r="V99" s="124"/>
      <c r="W99" s="125"/>
      <c r="X99" s="126" t="s">
        <v>112</v>
      </c>
      <c r="Y99" s="127"/>
      <c r="Z99" s="128"/>
      <c r="AA99" s="126" t="s">
        <v>113</v>
      </c>
      <c r="AB99" s="127"/>
      <c r="AC99" s="127"/>
      <c r="AD99" s="127"/>
      <c r="AE99" s="127"/>
      <c r="AF99" s="127"/>
      <c r="AG99" s="127"/>
      <c r="AH99" s="128"/>
      <c r="AI99" s="126" t="s">
        <v>114</v>
      </c>
      <c r="AJ99" s="127"/>
      <c r="AK99" s="127"/>
      <c r="AL99" s="127"/>
      <c r="AM99" s="127"/>
      <c r="AN99" s="127"/>
      <c r="AO99" s="127"/>
      <c r="AP99" s="127"/>
      <c r="AQ99" s="128"/>
      <c r="AR99" s="132" t="s">
        <v>4</v>
      </c>
      <c r="AS99" s="134" t="s">
        <v>115</v>
      </c>
      <c r="AT99" s="136" t="s">
        <v>116</v>
      </c>
      <c r="AU99" s="99" t="s">
        <v>111</v>
      </c>
      <c r="AV99" s="100"/>
      <c r="AW99" s="100"/>
      <c r="AX99" s="100"/>
      <c r="AY99" s="100"/>
      <c r="AZ99" s="100"/>
      <c r="BA99" s="100"/>
      <c r="BB99" s="103"/>
      <c r="BC99" s="117"/>
      <c r="BD99" s="118"/>
      <c r="BE99" s="118"/>
      <c r="BF99" s="118"/>
      <c r="BG99" s="118"/>
      <c r="BH99" s="118"/>
      <c r="BI99" s="118"/>
      <c r="BJ99" s="119"/>
      <c r="BK99" s="6"/>
    </row>
    <row r="100" spans="1:63" x14ac:dyDescent="0.25">
      <c r="A100" s="5"/>
      <c r="B100" s="87"/>
      <c r="C100" s="88"/>
      <c r="D100" s="87"/>
      <c r="E100" s="92"/>
      <c r="F100" s="92"/>
      <c r="G100" s="92"/>
      <c r="H100" s="92"/>
      <c r="I100" s="92"/>
      <c r="J100" s="88"/>
      <c r="K100" s="87"/>
      <c r="L100" s="92"/>
      <c r="M100" s="88"/>
      <c r="N100" s="95"/>
      <c r="O100" s="98"/>
      <c r="P100" s="111" t="s">
        <v>117</v>
      </c>
      <c r="Q100" s="112"/>
      <c r="R100" s="112"/>
      <c r="S100" s="113"/>
      <c r="T100" s="111" t="s">
        <v>105</v>
      </c>
      <c r="U100" s="112"/>
      <c r="V100" s="112"/>
      <c r="W100" s="113"/>
      <c r="X100" s="129"/>
      <c r="Y100" s="130"/>
      <c r="Z100" s="131"/>
      <c r="AA100" s="129"/>
      <c r="AB100" s="130"/>
      <c r="AC100" s="130"/>
      <c r="AD100" s="130"/>
      <c r="AE100" s="130"/>
      <c r="AF100" s="130"/>
      <c r="AG100" s="130"/>
      <c r="AH100" s="131"/>
      <c r="AI100" s="129"/>
      <c r="AJ100" s="130"/>
      <c r="AK100" s="130"/>
      <c r="AL100" s="130"/>
      <c r="AM100" s="130"/>
      <c r="AN100" s="130"/>
      <c r="AO100" s="130"/>
      <c r="AP100" s="130"/>
      <c r="AQ100" s="131"/>
      <c r="AR100" s="133"/>
      <c r="AS100" s="135"/>
      <c r="AT100" s="137"/>
      <c r="AU100" s="99" t="s">
        <v>117</v>
      </c>
      <c r="AV100" s="100"/>
      <c r="AW100" s="100"/>
      <c r="AX100" s="101"/>
      <c r="AY100" s="102" t="s">
        <v>105</v>
      </c>
      <c r="AZ100" s="100"/>
      <c r="BA100" s="100"/>
      <c r="BB100" s="103"/>
      <c r="BC100" s="120"/>
      <c r="BD100" s="121"/>
      <c r="BE100" s="121"/>
      <c r="BF100" s="121"/>
      <c r="BG100" s="121"/>
      <c r="BH100" s="121"/>
      <c r="BI100" s="121"/>
      <c r="BJ100" s="122"/>
      <c r="BK100" s="6"/>
    </row>
    <row r="101" spans="1:63" x14ac:dyDescent="0.25">
      <c r="A101" s="5"/>
      <c r="B101" s="104">
        <v>14</v>
      </c>
      <c r="C101" s="105"/>
      <c r="D101" s="106" t="s">
        <v>14</v>
      </c>
      <c r="E101" s="107"/>
      <c r="F101" s="107"/>
      <c r="G101" s="107"/>
      <c r="H101" s="107"/>
      <c r="I101" s="107"/>
      <c r="J101" s="108"/>
      <c r="K101" s="22" t="s">
        <v>140</v>
      </c>
      <c r="L101" s="23"/>
      <c r="M101" s="24"/>
      <c r="N101" s="8" t="s">
        <v>11</v>
      </c>
      <c r="O101" s="9" t="s">
        <v>7</v>
      </c>
      <c r="P101" s="109" t="s">
        <v>6</v>
      </c>
      <c r="Q101" s="110"/>
      <c r="R101" s="110"/>
      <c r="S101" s="105"/>
      <c r="T101" s="109" t="s">
        <v>6</v>
      </c>
      <c r="U101" s="110"/>
      <c r="V101" s="110"/>
      <c r="W101" s="105"/>
      <c r="X101" s="144" t="s">
        <v>144</v>
      </c>
      <c r="Y101" s="145"/>
      <c r="Z101" s="146"/>
      <c r="AA101" s="104" t="s">
        <v>8</v>
      </c>
      <c r="AB101" s="110"/>
      <c r="AC101" s="110"/>
      <c r="AD101" s="110"/>
      <c r="AE101" s="110"/>
      <c r="AF101" s="110"/>
      <c r="AG101" s="110"/>
      <c r="AH101" s="105"/>
      <c r="AI101" s="141" t="s">
        <v>19</v>
      </c>
      <c r="AJ101" s="142"/>
      <c r="AK101" s="142"/>
      <c r="AL101" s="142"/>
      <c r="AM101" s="142"/>
      <c r="AN101" s="142"/>
      <c r="AO101" s="142"/>
      <c r="AP101" s="142"/>
      <c r="AQ101" s="143"/>
      <c r="AR101" s="10" t="s">
        <v>6</v>
      </c>
      <c r="AS101" s="10" t="s">
        <v>8</v>
      </c>
      <c r="AT101" s="10" t="s">
        <v>8</v>
      </c>
      <c r="AU101" s="104" t="s">
        <v>9</v>
      </c>
      <c r="AV101" s="110"/>
      <c r="AW101" s="110"/>
      <c r="AX101" s="105"/>
      <c r="AY101" s="104" t="s">
        <v>8</v>
      </c>
      <c r="AZ101" s="110"/>
      <c r="BA101" s="110"/>
      <c r="BB101" s="105"/>
      <c r="BC101" s="285" t="s">
        <v>145</v>
      </c>
      <c r="BD101" s="286"/>
      <c r="BE101" s="286"/>
      <c r="BF101" s="286"/>
      <c r="BG101" s="286"/>
      <c r="BH101" s="286"/>
      <c r="BI101" s="286"/>
      <c r="BJ101" s="287"/>
      <c r="BK101" s="6"/>
    </row>
    <row r="102" spans="1:63" x14ac:dyDescent="0.25">
      <c r="A102" s="5"/>
      <c r="B102" s="19">
        <f>B101+1</f>
        <v>15</v>
      </c>
      <c r="C102" s="21"/>
      <c r="D102" s="39" t="s">
        <v>36</v>
      </c>
      <c r="E102" s="40"/>
      <c r="F102" s="40"/>
      <c r="G102" s="40"/>
      <c r="H102" s="40"/>
      <c r="I102" s="40"/>
      <c r="J102" s="41"/>
      <c r="K102" s="42" t="s">
        <v>5</v>
      </c>
      <c r="L102" s="23"/>
      <c r="M102" s="24"/>
      <c r="N102" s="15" t="s">
        <v>6</v>
      </c>
      <c r="O102" s="9" t="s">
        <v>7</v>
      </c>
      <c r="P102" s="19" t="s">
        <v>9</v>
      </c>
      <c r="Q102" s="20"/>
      <c r="R102" s="20"/>
      <c r="S102" s="21"/>
      <c r="T102" s="19" t="s">
        <v>9</v>
      </c>
      <c r="U102" s="20"/>
      <c r="V102" s="20"/>
      <c r="W102" s="21"/>
      <c r="X102" s="53" t="s">
        <v>146</v>
      </c>
      <c r="Y102" s="54"/>
      <c r="Z102" s="55"/>
      <c r="AA102" s="19" t="s">
        <v>8</v>
      </c>
      <c r="AB102" s="20"/>
      <c r="AC102" s="20"/>
      <c r="AD102" s="20"/>
      <c r="AE102" s="20"/>
      <c r="AF102" s="20"/>
      <c r="AG102" s="20"/>
      <c r="AH102" s="21"/>
      <c r="AI102" s="32" t="s">
        <v>8</v>
      </c>
      <c r="AJ102" s="30"/>
      <c r="AK102" s="30"/>
      <c r="AL102" s="30"/>
      <c r="AM102" s="30"/>
      <c r="AN102" s="30"/>
      <c r="AO102" s="30"/>
      <c r="AP102" s="30"/>
      <c r="AQ102" s="31"/>
      <c r="AR102" s="11" t="s">
        <v>6</v>
      </c>
      <c r="AS102" s="11" t="s">
        <v>8</v>
      </c>
      <c r="AT102" s="11" t="s">
        <v>8</v>
      </c>
      <c r="AU102" s="19" t="s">
        <v>9</v>
      </c>
      <c r="AV102" s="20"/>
      <c r="AW102" s="20"/>
      <c r="AX102" s="21"/>
      <c r="AY102" s="19" t="s">
        <v>8</v>
      </c>
      <c r="AZ102" s="20"/>
      <c r="BA102" s="20"/>
      <c r="BB102" s="21"/>
      <c r="BC102" s="56"/>
      <c r="BD102" s="288"/>
      <c r="BE102" s="288"/>
      <c r="BF102" s="288"/>
      <c r="BG102" s="288"/>
      <c r="BH102" s="288"/>
      <c r="BI102" s="288"/>
      <c r="BJ102" s="289"/>
      <c r="BK102" s="6"/>
    </row>
    <row r="103" spans="1:63" x14ac:dyDescent="0.25">
      <c r="A103" s="5"/>
      <c r="B103" s="19">
        <f t="shared" ref="B103:B124" si="1">B102+1</f>
        <v>16</v>
      </c>
      <c r="C103" s="21"/>
      <c r="D103" s="33" t="s">
        <v>37</v>
      </c>
      <c r="E103" s="34"/>
      <c r="F103" s="34"/>
      <c r="G103" s="34"/>
      <c r="H103" s="34"/>
      <c r="I103" s="34"/>
      <c r="J103" s="35"/>
      <c r="K103" s="22" t="s">
        <v>142</v>
      </c>
      <c r="L103" s="23"/>
      <c r="M103" s="24"/>
      <c r="N103" s="15" t="s">
        <v>147</v>
      </c>
      <c r="O103" s="9" t="s">
        <v>6</v>
      </c>
      <c r="P103" s="36" t="s">
        <v>6</v>
      </c>
      <c r="Q103" s="37"/>
      <c r="R103" s="37"/>
      <c r="S103" s="38"/>
      <c r="T103" s="36" t="s">
        <v>6</v>
      </c>
      <c r="U103" s="37"/>
      <c r="V103" s="37"/>
      <c r="W103" s="38"/>
      <c r="X103" s="49" t="s">
        <v>6</v>
      </c>
      <c r="Y103" s="20"/>
      <c r="Z103" s="21"/>
      <c r="AA103" s="19" t="s">
        <v>8</v>
      </c>
      <c r="AB103" s="20"/>
      <c r="AC103" s="20"/>
      <c r="AD103" s="20"/>
      <c r="AE103" s="20"/>
      <c r="AF103" s="20"/>
      <c r="AG103" s="20"/>
      <c r="AH103" s="21"/>
      <c r="AI103" s="32" t="s">
        <v>8</v>
      </c>
      <c r="AJ103" s="30"/>
      <c r="AK103" s="30"/>
      <c r="AL103" s="30"/>
      <c r="AM103" s="30"/>
      <c r="AN103" s="30"/>
      <c r="AO103" s="30"/>
      <c r="AP103" s="30"/>
      <c r="AQ103" s="31"/>
      <c r="AR103" s="9" t="s">
        <v>6</v>
      </c>
      <c r="AS103" s="11" t="s">
        <v>8</v>
      </c>
      <c r="AT103" s="11" t="s">
        <v>8</v>
      </c>
      <c r="AU103" s="147" t="s">
        <v>9</v>
      </c>
      <c r="AV103" s="148"/>
      <c r="AW103" s="148"/>
      <c r="AX103" s="149"/>
      <c r="AY103" s="147" t="s">
        <v>8</v>
      </c>
      <c r="AZ103" s="148"/>
      <c r="BA103" s="148"/>
      <c r="BB103" s="149"/>
      <c r="BC103" s="296"/>
      <c r="BD103" s="297"/>
      <c r="BE103" s="297"/>
      <c r="BF103" s="297"/>
      <c r="BG103" s="297"/>
      <c r="BH103" s="297"/>
      <c r="BI103" s="297"/>
      <c r="BJ103" s="298"/>
      <c r="BK103" s="6"/>
    </row>
    <row r="104" spans="1:63" x14ac:dyDescent="0.25">
      <c r="A104" s="5"/>
      <c r="B104" s="19">
        <f t="shared" si="1"/>
        <v>17</v>
      </c>
      <c r="C104" s="21"/>
      <c r="D104" s="299" t="s">
        <v>38</v>
      </c>
      <c r="E104" s="300"/>
      <c r="F104" s="300"/>
      <c r="G104" s="300"/>
      <c r="H104" s="300"/>
      <c r="I104" s="300"/>
      <c r="J104" s="301"/>
      <c r="K104" s="42" t="s">
        <v>5</v>
      </c>
      <c r="L104" s="23"/>
      <c r="M104" s="24"/>
      <c r="N104" s="15" t="s">
        <v>6</v>
      </c>
      <c r="O104" s="9" t="s">
        <v>7</v>
      </c>
      <c r="P104" s="19" t="s">
        <v>9</v>
      </c>
      <c r="Q104" s="20"/>
      <c r="R104" s="20"/>
      <c r="S104" s="21"/>
      <c r="T104" s="19" t="s">
        <v>9</v>
      </c>
      <c r="U104" s="20"/>
      <c r="V104" s="20"/>
      <c r="W104" s="21"/>
      <c r="X104" s="49" t="s">
        <v>35</v>
      </c>
      <c r="Y104" s="20"/>
      <c r="Z104" s="21"/>
      <c r="AA104" s="19" t="s">
        <v>8</v>
      </c>
      <c r="AB104" s="20"/>
      <c r="AC104" s="20"/>
      <c r="AD104" s="20"/>
      <c r="AE104" s="20"/>
      <c r="AF104" s="20"/>
      <c r="AG104" s="20"/>
      <c r="AH104" s="21"/>
      <c r="AI104" s="32" t="s">
        <v>8</v>
      </c>
      <c r="AJ104" s="30"/>
      <c r="AK104" s="30"/>
      <c r="AL104" s="30"/>
      <c r="AM104" s="30"/>
      <c r="AN104" s="30"/>
      <c r="AO104" s="30"/>
      <c r="AP104" s="30"/>
      <c r="AQ104" s="31"/>
      <c r="AR104" s="11" t="s">
        <v>6</v>
      </c>
      <c r="AS104" s="11" t="s">
        <v>8</v>
      </c>
      <c r="AT104" s="11" t="s">
        <v>8</v>
      </c>
      <c r="AU104" s="147" t="s">
        <v>9</v>
      </c>
      <c r="AV104" s="148"/>
      <c r="AW104" s="148"/>
      <c r="AX104" s="149"/>
      <c r="AY104" s="147" t="s">
        <v>8</v>
      </c>
      <c r="AZ104" s="148"/>
      <c r="BA104" s="148"/>
      <c r="BB104" s="149"/>
      <c r="BC104" s="302"/>
      <c r="BD104" s="303"/>
      <c r="BE104" s="303"/>
      <c r="BF104" s="303"/>
      <c r="BG104" s="303"/>
      <c r="BH104" s="303"/>
      <c r="BI104" s="303"/>
      <c r="BJ104" s="304"/>
      <c r="BK104" s="6"/>
    </row>
    <row r="105" spans="1:63" x14ac:dyDescent="0.25">
      <c r="A105" s="5"/>
      <c r="B105" s="19">
        <f t="shared" si="1"/>
        <v>18</v>
      </c>
      <c r="C105" s="21"/>
      <c r="D105" s="33" t="s">
        <v>39</v>
      </c>
      <c r="E105" s="34"/>
      <c r="F105" s="34"/>
      <c r="G105" s="34"/>
      <c r="H105" s="34"/>
      <c r="I105" s="34"/>
      <c r="J105" s="35"/>
      <c r="K105" s="22" t="s">
        <v>142</v>
      </c>
      <c r="L105" s="23"/>
      <c r="M105" s="24"/>
      <c r="N105" s="15" t="s">
        <v>147</v>
      </c>
      <c r="O105" s="9" t="s">
        <v>6</v>
      </c>
      <c r="P105" s="36" t="s">
        <v>9</v>
      </c>
      <c r="Q105" s="37"/>
      <c r="R105" s="37"/>
      <c r="S105" s="38"/>
      <c r="T105" s="36" t="s">
        <v>9</v>
      </c>
      <c r="U105" s="37"/>
      <c r="V105" s="37"/>
      <c r="W105" s="38"/>
      <c r="X105" s="49" t="s">
        <v>6</v>
      </c>
      <c r="Y105" s="20"/>
      <c r="Z105" s="21"/>
      <c r="AA105" s="19" t="s">
        <v>8</v>
      </c>
      <c r="AB105" s="20"/>
      <c r="AC105" s="20"/>
      <c r="AD105" s="20"/>
      <c r="AE105" s="20"/>
      <c r="AF105" s="20"/>
      <c r="AG105" s="20"/>
      <c r="AH105" s="21"/>
      <c r="AI105" s="32" t="s">
        <v>8</v>
      </c>
      <c r="AJ105" s="30"/>
      <c r="AK105" s="30"/>
      <c r="AL105" s="30"/>
      <c r="AM105" s="30"/>
      <c r="AN105" s="30"/>
      <c r="AO105" s="30"/>
      <c r="AP105" s="30"/>
      <c r="AQ105" s="31"/>
      <c r="AR105" s="9" t="s">
        <v>6</v>
      </c>
      <c r="AS105" s="9" t="s">
        <v>6</v>
      </c>
      <c r="AT105" s="11" t="s">
        <v>8</v>
      </c>
      <c r="AU105" s="147" t="s">
        <v>9</v>
      </c>
      <c r="AV105" s="148"/>
      <c r="AW105" s="148"/>
      <c r="AX105" s="149"/>
      <c r="AY105" s="147" t="s">
        <v>8</v>
      </c>
      <c r="AZ105" s="148"/>
      <c r="BA105" s="148"/>
      <c r="BB105" s="149"/>
      <c r="BC105" s="296"/>
      <c r="BD105" s="288"/>
      <c r="BE105" s="288"/>
      <c r="BF105" s="288"/>
      <c r="BG105" s="288"/>
      <c r="BH105" s="288"/>
      <c r="BI105" s="288"/>
      <c r="BJ105" s="289"/>
      <c r="BK105" s="6"/>
    </row>
    <row r="106" spans="1:63" x14ac:dyDescent="0.25">
      <c r="A106" s="5"/>
      <c r="B106" s="19">
        <f t="shared" si="1"/>
        <v>19</v>
      </c>
      <c r="C106" s="21"/>
      <c r="D106" s="39" t="s">
        <v>40</v>
      </c>
      <c r="E106" s="40"/>
      <c r="F106" s="40"/>
      <c r="G106" s="40"/>
      <c r="H106" s="40"/>
      <c r="I106" s="40"/>
      <c r="J106" s="41"/>
      <c r="K106" s="42" t="s">
        <v>5</v>
      </c>
      <c r="L106" s="23"/>
      <c r="M106" s="24"/>
      <c r="N106" s="15" t="s">
        <v>6</v>
      </c>
      <c r="O106" s="9" t="s">
        <v>7</v>
      </c>
      <c r="P106" s="25"/>
      <c r="Q106" s="20"/>
      <c r="R106" s="20"/>
      <c r="S106" s="21"/>
      <c r="T106" s="43"/>
      <c r="U106" s="44"/>
      <c r="V106" s="44"/>
      <c r="W106" s="45"/>
      <c r="X106" s="150" t="s">
        <v>148</v>
      </c>
      <c r="Y106" s="151"/>
      <c r="Z106" s="152"/>
      <c r="AA106" s="19" t="s">
        <v>8</v>
      </c>
      <c r="AB106" s="20"/>
      <c r="AC106" s="20"/>
      <c r="AD106" s="20"/>
      <c r="AE106" s="20"/>
      <c r="AF106" s="20"/>
      <c r="AG106" s="20"/>
      <c r="AH106" s="21"/>
      <c r="AI106" s="32" t="s">
        <v>8</v>
      </c>
      <c r="AJ106" s="30"/>
      <c r="AK106" s="30"/>
      <c r="AL106" s="30"/>
      <c r="AM106" s="30"/>
      <c r="AN106" s="30"/>
      <c r="AO106" s="30"/>
      <c r="AP106" s="30"/>
      <c r="AQ106" s="31"/>
      <c r="AR106" s="11" t="s">
        <v>6</v>
      </c>
      <c r="AS106" s="9" t="s">
        <v>6</v>
      </c>
      <c r="AT106" s="11" t="s">
        <v>8</v>
      </c>
      <c r="AU106" s="147" t="s">
        <v>9</v>
      </c>
      <c r="AV106" s="148"/>
      <c r="AW106" s="148"/>
      <c r="AX106" s="149"/>
      <c r="AY106" s="147" t="s">
        <v>8</v>
      </c>
      <c r="AZ106" s="148"/>
      <c r="BA106" s="148"/>
      <c r="BB106" s="149"/>
      <c r="BC106" s="305"/>
      <c r="BD106" s="288"/>
      <c r="BE106" s="288"/>
      <c r="BF106" s="288"/>
      <c r="BG106" s="288"/>
      <c r="BH106" s="288"/>
      <c r="BI106" s="288"/>
      <c r="BJ106" s="289"/>
      <c r="BK106" s="6"/>
    </row>
    <row r="107" spans="1:63" ht="15.75" customHeight="1" x14ac:dyDescent="0.25">
      <c r="A107" s="5"/>
      <c r="B107" s="19">
        <f t="shared" si="1"/>
        <v>20</v>
      </c>
      <c r="C107" s="21"/>
      <c r="D107" s="33" t="s">
        <v>12</v>
      </c>
      <c r="E107" s="34"/>
      <c r="F107" s="34"/>
      <c r="G107" s="34"/>
      <c r="H107" s="34"/>
      <c r="I107" s="34"/>
      <c r="J107" s="35"/>
      <c r="K107" s="22" t="s">
        <v>142</v>
      </c>
      <c r="L107" s="23"/>
      <c r="M107" s="24"/>
      <c r="N107" s="15" t="s">
        <v>147</v>
      </c>
      <c r="O107" s="9" t="s">
        <v>6</v>
      </c>
      <c r="P107" s="153" t="s">
        <v>6</v>
      </c>
      <c r="Q107" s="37"/>
      <c r="R107" s="37"/>
      <c r="S107" s="38"/>
      <c r="T107" s="153" t="s">
        <v>6</v>
      </c>
      <c r="U107" s="37"/>
      <c r="V107" s="37"/>
      <c r="W107" s="38"/>
      <c r="X107" s="26" t="s">
        <v>6</v>
      </c>
      <c r="Y107" s="27"/>
      <c r="Z107" s="28"/>
      <c r="AA107" s="19" t="s">
        <v>8</v>
      </c>
      <c r="AB107" s="20"/>
      <c r="AC107" s="20"/>
      <c r="AD107" s="20"/>
      <c r="AE107" s="20"/>
      <c r="AF107" s="20"/>
      <c r="AG107" s="20"/>
      <c r="AH107" s="21"/>
      <c r="AI107" s="32" t="s">
        <v>8</v>
      </c>
      <c r="AJ107" s="30"/>
      <c r="AK107" s="30"/>
      <c r="AL107" s="30"/>
      <c r="AM107" s="30"/>
      <c r="AN107" s="30"/>
      <c r="AO107" s="30"/>
      <c r="AP107" s="30"/>
      <c r="AQ107" s="31"/>
      <c r="AR107" s="11" t="s">
        <v>6</v>
      </c>
      <c r="AS107" s="9" t="s">
        <v>6</v>
      </c>
      <c r="AT107" s="11" t="s">
        <v>8</v>
      </c>
      <c r="AU107" s="147" t="s">
        <v>9</v>
      </c>
      <c r="AV107" s="148"/>
      <c r="AW107" s="148"/>
      <c r="AX107" s="149"/>
      <c r="AY107" s="147" t="s">
        <v>8</v>
      </c>
      <c r="AZ107" s="148"/>
      <c r="BA107" s="148"/>
      <c r="BB107" s="149"/>
      <c r="BC107" s="296"/>
      <c r="BD107" s="288"/>
      <c r="BE107" s="288"/>
      <c r="BF107" s="288"/>
      <c r="BG107" s="288"/>
      <c r="BH107" s="288"/>
      <c r="BI107" s="288"/>
      <c r="BJ107" s="289"/>
      <c r="BK107" s="6"/>
    </row>
    <row r="108" spans="1:63" x14ac:dyDescent="0.25">
      <c r="A108" s="5"/>
      <c r="B108" s="19">
        <f t="shared" si="1"/>
        <v>21</v>
      </c>
      <c r="C108" s="21"/>
      <c r="D108" s="39" t="s">
        <v>41</v>
      </c>
      <c r="E108" s="40"/>
      <c r="F108" s="40"/>
      <c r="G108" s="40"/>
      <c r="H108" s="40"/>
      <c r="I108" s="40"/>
      <c r="J108" s="41"/>
      <c r="K108" s="42" t="s">
        <v>5</v>
      </c>
      <c r="L108" s="23"/>
      <c r="M108" s="24"/>
      <c r="N108" s="15" t="s">
        <v>6</v>
      </c>
      <c r="O108" s="9" t="s">
        <v>7</v>
      </c>
      <c r="P108" s="25" t="s">
        <v>6</v>
      </c>
      <c r="Q108" s="20"/>
      <c r="R108" s="20"/>
      <c r="S108" s="21"/>
      <c r="T108" s="25" t="s">
        <v>6</v>
      </c>
      <c r="U108" s="20"/>
      <c r="V108" s="20"/>
      <c r="W108" s="21"/>
      <c r="X108" s="26" t="s">
        <v>149</v>
      </c>
      <c r="Y108" s="27"/>
      <c r="Z108" s="28"/>
      <c r="AA108" s="19" t="s">
        <v>8</v>
      </c>
      <c r="AB108" s="20"/>
      <c r="AC108" s="20"/>
      <c r="AD108" s="20"/>
      <c r="AE108" s="20"/>
      <c r="AF108" s="20"/>
      <c r="AG108" s="20"/>
      <c r="AH108" s="21"/>
      <c r="AI108" s="32" t="s">
        <v>8</v>
      </c>
      <c r="AJ108" s="30"/>
      <c r="AK108" s="30"/>
      <c r="AL108" s="30"/>
      <c r="AM108" s="30"/>
      <c r="AN108" s="30"/>
      <c r="AO108" s="30"/>
      <c r="AP108" s="30"/>
      <c r="AQ108" s="31"/>
      <c r="AR108" s="11" t="s">
        <v>6</v>
      </c>
      <c r="AS108" s="9" t="s">
        <v>6</v>
      </c>
      <c r="AT108" s="11" t="s">
        <v>8</v>
      </c>
      <c r="AU108" s="19" t="s">
        <v>9</v>
      </c>
      <c r="AV108" s="20"/>
      <c r="AW108" s="20"/>
      <c r="AX108" s="21"/>
      <c r="AY108" s="19" t="s">
        <v>8</v>
      </c>
      <c r="AZ108" s="20"/>
      <c r="BA108" s="20"/>
      <c r="BB108" s="21"/>
      <c r="BC108" s="56"/>
      <c r="BD108" s="288"/>
      <c r="BE108" s="288"/>
      <c r="BF108" s="288"/>
      <c r="BG108" s="288"/>
      <c r="BH108" s="288"/>
      <c r="BI108" s="288"/>
      <c r="BJ108" s="289"/>
      <c r="BK108" s="6"/>
    </row>
    <row r="109" spans="1:63" ht="15.75" customHeight="1" x14ac:dyDescent="0.25">
      <c r="A109" s="5"/>
      <c r="B109" s="19">
        <f t="shared" si="1"/>
        <v>22</v>
      </c>
      <c r="C109" s="21"/>
      <c r="D109" s="33" t="s">
        <v>42</v>
      </c>
      <c r="E109" s="34"/>
      <c r="F109" s="34"/>
      <c r="G109" s="34"/>
      <c r="H109" s="34"/>
      <c r="I109" s="34"/>
      <c r="J109" s="35"/>
      <c r="K109" s="22" t="s">
        <v>142</v>
      </c>
      <c r="L109" s="23"/>
      <c r="M109" s="24"/>
      <c r="N109" s="15" t="s">
        <v>147</v>
      </c>
      <c r="O109" s="9" t="s">
        <v>6</v>
      </c>
      <c r="P109" s="153" t="s">
        <v>6</v>
      </c>
      <c r="Q109" s="37"/>
      <c r="R109" s="37"/>
      <c r="S109" s="38"/>
      <c r="T109" s="153" t="s">
        <v>6</v>
      </c>
      <c r="U109" s="37"/>
      <c r="V109" s="37"/>
      <c r="W109" s="38"/>
      <c r="X109" s="26" t="s">
        <v>6</v>
      </c>
      <c r="Y109" s="27"/>
      <c r="Z109" s="28"/>
      <c r="AA109" s="19" t="s">
        <v>8</v>
      </c>
      <c r="AB109" s="20"/>
      <c r="AC109" s="20"/>
      <c r="AD109" s="20"/>
      <c r="AE109" s="20"/>
      <c r="AF109" s="20"/>
      <c r="AG109" s="20"/>
      <c r="AH109" s="21"/>
      <c r="AI109" s="32" t="s">
        <v>8</v>
      </c>
      <c r="AJ109" s="30"/>
      <c r="AK109" s="30"/>
      <c r="AL109" s="30"/>
      <c r="AM109" s="30"/>
      <c r="AN109" s="30"/>
      <c r="AO109" s="30"/>
      <c r="AP109" s="30"/>
      <c r="AQ109" s="31"/>
      <c r="AR109" s="11" t="s">
        <v>6</v>
      </c>
      <c r="AS109" s="11" t="s">
        <v>6</v>
      </c>
      <c r="AT109" s="11" t="s">
        <v>8</v>
      </c>
      <c r="AU109" s="19" t="s">
        <v>9</v>
      </c>
      <c r="AV109" s="20"/>
      <c r="AW109" s="20"/>
      <c r="AX109" s="21"/>
      <c r="AY109" s="19" t="s">
        <v>8</v>
      </c>
      <c r="AZ109" s="20"/>
      <c r="BA109" s="20"/>
      <c r="BB109" s="21"/>
      <c r="BC109" s="306"/>
      <c r="BD109" s="303"/>
      <c r="BE109" s="303"/>
      <c r="BF109" s="303"/>
      <c r="BG109" s="303"/>
      <c r="BH109" s="303"/>
      <c r="BI109" s="303"/>
      <c r="BJ109" s="304"/>
      <c r="BK109" s="6"/>
    </row>
    <row r="110" spans="1:63" x14ac:dyDescent="0.25">
      <c r="A110" s="5"/>
      <c r="B110" s="19">
        <f t="shared" si="1"/>
        <v>23</v>
      </c>
      <c r="C110" s="21"/>
      <c r="D110" s="307" t="s">
        <v>17</v>
      </c>
      <c r="E110" s="308"/>
      <c r="F110" s="308"/>
      <c r="G110" s="308"/>
      <c r="H110" s="308"/>
      <c r="I110" s="308"/>
      <c r="J110" s="309"/>
      <c r="K110" s="22" t="s">
        <v>142</v>
      </c>
      <c r="L110" s="23"/>
      <c r="M110" s="24"/>
      <c r="N110" s="15" t="s">
        <v>6</v>
      </c>
      <c r="O110" s="9" t="s">
        <v>7</v>
      </c>
      <c r="P110" s="25" t="s">
        <v>6</v>
      </c>
      <c r="Q110" s="20"/>
      <c r="R110" s="20"/>
      <c r="S110" s="21"/>
      <c r="T110" s="25" t="s">
        <v>6</v>
      </c>
      <c r="U110" s="20"/>
      <c r="V110" s="20"/>
      <c r="W110" s="21"/>
      <c r="X110" s="26" t="s">
        <v>150</v>
      </c>
      <c r="Y110" s="27"/>
      <c r="Z110" s="28"/>
      <c r="AA110" s="19" t="s">
        <v>8</v>
      </c>
      <c r="AB110" s="20"/>
      <c r="AC110" s="20"/>
      <c r="AD110" s="20"/>
      <c r="AE110" s="20"/>
      <c r="AF110" s="20"/>
      <c r="AG110" s="20"/>
      <c r="AH110" s="21"/>
      <c r="AI110" s="32" t="s">
        <v>8</v>
      </c>
      <c r="AJ110" s="30"/>
      <c r="AK110" s="30"/>
      <c r="AL110" s="30"/>
      <c r="AM110" s="30"/>
      <c r="AN110" s="30"/>
      <c r="AO110" s="30"/>
      <c r="AP110" s="30"/>
      <c r="AQ110" s="31"/>
      <c r="AR110" s="11" t="s">
        <v>6</v>
      </c>
      <c r="AS110" s="11" t="s">
        <v>6</v>
      </c>
      <c r="AT110" s="11" t="s">
        <v>8</v>
      </c>
      <c r="AU110" s="19" t="s">
        <v>9</v>
      </c>
      <c r="AV110" s="20"/>
      <c r="AW110" s="20"/>
      <c r="AX110" s="21"/>
      <c r="AY110" s="19" t="s">
        <v>8</v>
      </c>
      <c r="AZ110" s="20"/>
      <c r="BA110" s="20"/>
      <c r="BB110" s="21"/>
      <c r="BC110" s="306"/>
      <c r="BD110" s="303"/>
      <c r="BE110" s="303"/>
      <c r="BF110" s="303"/>
      <c r="BG110" s="303"/>
      <c r="BH110" s="303"/>
      <c r="BI110" s="303"/>
      <c r="BJ110" s="304"/>
      <c r="BK110" s="6"/>
    </row>
    <row r="111" spans="1:63" x14ac:dyDescent="0.25">
      <c r="A111" s="5"/>
      <c r="B111" s="19">
        <f t="shared" si="1"/>
        <v>24</v>
      </c>
      <c r="C111" s="21"/>
      <c r="D111" s="33" t="s">
        <v>16</v>
      </c>
      <c r="E111" s="34"/>
      <c r="F111" s="34"/>
      <c r="G111" s="34"/>
      <c r="H111" s="34"/>
      <c r="I111" s="34"/>
      <c r="J111" s="35"/>
      <c r="K111" s="22" t="s">
        <v>142</v>
      </c>
      <c r="L111" s="23"/>
      <c r="M111" s="24"/>
      <c r="N111" s="15" t="s">
        <v>147</v>
      </c>
      <c r="O111" s="9" t="s">
        <v>6</v>
      </c>
      <c r="P111" s="153" t="s">
        <v>6</v>
      </c>
      <c r="Q111" s="37"/>
      <c r="R111" s="37"/>
      <c r="S111" s="38"/>
      <c r="T111" s="153" t="s">
        <v>6</v>
      </c>
      <c r="U111" s="37"/>
      <c r="V111" s="37"/>
      <c r="W111" s="38"/>
      <c r="X111" s="26" t="s">
        <v>6</v>
      </c>
      <c r="Y111" s="27"/>
      <c r="Z111" s="28"/>
      <c r="AA111" s="19" t="s">
        <v>8</v>
      </c>
      <c r="AB111" s="20"/>
      <c r="AC111" s="20"/>
      <c r="AD111" s="20"/>
      <c r="AE111" s="20"/>
      <c r="AF111" s="20"/>
      <c r="AG111" s="20"/>
      <c r="AH111" s="21"/>
      <c r="AI111" s="32" t="s">
        <v>8</v>
      </c>
      <c r="AJ111" s="30"/>
      <c r="AK111" s="30"/>
      <c r="AL111" s="30"/>
      <c r="AM111" s="30"/>
      <c r="AN111" s="30"/>
      <c r="AO111" s="30"/>
      <c r="AP111" s="30"/>
      <c r="AQ111" s="31"/>
      <c r="AR111" s="11" t="s">
        <v>6</v>
      </c>
      <c r="AS111" s="11" t="s">
        <v>6</v>
      </c>
      <c r="AT111" s="11" t="s">
        <v>8</v>
      </c>
      <c r="AU111" s="19" t="s">
        <v>9</v>
      </c>
      <c r="AV111" s="20"/>
      <c r="AW111" s="20"/>
      <c r="AX111" s="21"/>
      <c r="AY111" s="19" t="s">
        <v>8</v>
      </c>
      <c r="AZ111" s="20"/>
      <c r="BA111" s="20"/>
      <c r="BB111" s="21"/>
      <c r="BC111" s="305"/>
      <c r="BD111" s="288"/>
      <c r="BE111" s="288"/>
      <c r="BF111" s="288"/>
      <c r="BG111" s="288"/>
      <c r="BH111" s="288"/>
      <c r="BI111" s="288"/>
      <c r="BJ111" s="289"/>
      <c r="BK111" s="6"/>
    </row>
    <row r="112" spans="1:63" x14ac:dyDescent="0.25">
      <c r="A112" s="5"/>
      <c r="B112" s="19">
        <f t="shared" si="1"/>
        <v>25</v>
      </c>
      <c r="C112" s="21"/>
      <c r="D112" s="33" t="s">
        <v>44</v>
      </c>
      <c r="E112" s="34"/>
      <c r="F112" s="34"/>
      <c r="G112" s="34"/>
      <c r="H112" s="34"/>
      <c r="I112" s="34"/>
      <c r="J112" s="35"/>
      <c r="K112" s="22" t="s">
        <v>142</v>
      </c>
      <c r="L112" s="23"/>
      <c r="M112" s="24"/>
      <c r="N112" s="15" t="s">
        <v>6</v>
      </c>
      <c r="O112" s="9" t="s">
        <v>7</v>
      </c>
      <c r="P112" s="25" t="s">
        <v>6</v>
      </c>
      <c r="Q112" s="20"/>
      <c r="R112" s="20"/>
      <c r="S112" s="21"/>
      <c r="T112" s="25" t="s">
        <v>6</v>
      </c>
      <c r="U112" s="20"/>
      <c r="V112" s="20"/>
      <c r="W112" s="21"/>
      <c r="X112" s="154" t="s">
        <v>151</v>
      </c>
      <c r="Y112" s="155"/>
      <c r="Z112" s="156"/>
      <c r="AA112" s="19" t="s">
        <v>8</v>
      </c>
      <c r="AB112" s="20"/>
      <c r="AC112" s="20"/>
      <c r="AD112" s="20"/>
      <c r="AE112" s="20"/>
      <c r="AF112" s="20"/>
      <c r="AG112" s="20"/>
      <c r="AH112" s="21"/>
      <c r="AI112" s="32" t="s">
        <v>8</v>
      </c>
      <c r="AJ112" s="30"/>
      <c r="AK112" s="30"/>
      <c r="AL112" s="30"/>
      <c r="AM112" s="30"/>
      <c r="AN112" s="30"/>
      <c r="AO112" s="30"/>
      <c r="AP112" s="30"/>
      <c r="AQ112" s="31"/>
      <c r="AR112" s="11" t="s">
        <v>6</v>
      </c>
      <c r="AS112" s="11" t="s">
        <v>6</v>
      </c>
      <c r="AT112" s="11" t="s">
        <v>8</v>
      </c>
      <c r="AU112" s="19" t="s">
        <v>9</v>
      </c>
      <c r="AV112" s="20"/>
      <c r="AW112" s="20"/>
      <c r="AX112" s="21"/>
      <c r="AY112" s="19" t="s">
        <v>8</v>
      </c>
      <c r="AZ112" s="20"/>
      <c r="BA112" s="20"/>
      <c r="BB112" s="21"/>
      <c r="BC112" s="305"/>
      <c r="BD112" s="288"/>
      <c r="BE112" s="288"/>
      <c r="BF112" s="288"/>
      <c r="BG112" s="288"/>
      <c r="BH112" s="288"/>
      <c r="BI112" s="288"/>
      <c r="BJ112" s="289"/>
      <c r="BK112" s="6"/>
    </row>
    <row r="113" spans="1:63" x14ac:dyDescent="0.25">
      <c r="A113" s="5"/>
      <c r="B113" s="19">
        <f t="shared" si="1"/>
        <v>26</v>
      </c>
      <c r="C113" s="21"/>
      <c r="D113" s="33" t="s">
        <v>43</v>
      </c>
      <c r="E113" s="34"/>
      <c r="F113" s="34"/>
      <c r="G113" s="34"/>
      <c r="H113" s="34"/>
      <c r="I113" s="34"/>
      <c r="J113" s="35"/>
      <c r="K113" s="22" t="s">
        <v>142</v>
      </c>
      <c r="L113" s="23"/>
      <c r="M113" s="24"/>
      <c r="N113" s="15" t="s">
        <v>147</v>
      </c>
      <c r="O113" s="9" t="s">
        <v>6</v>
      </c>
      <c r="P113" s="153" t="s">
        <v>6</v>
      </c>
      <c r="Q113" s="37"/>
      <c r="R113" s="37"/>
      <c r="S113" s="38"/>
      <c r="T113" s="153" t="s">
        <v>6</v>
      </c>
      <c r="U113" s="37"/>
      <c r="V113" s="37"/>
      <c r="W113" s="38"/>
      <c r="X113" s="26" t="s">
        <v>6</v>
      </c>
      <c r="Y113" s="27"/>
      <c r="Z113" s="28"/>
      <c r="AA113" s="19" t="s">
        <v>8</v>
      </c>
      <c r="AB113" s="20"/>
      <c r="AC113" s="20"/>
      <c r="AD113" s="20"/>
      <c r="AE113" s="20"/>
      <c r="AF113" s="20"/>
      <c r="AG113" s="20"/>
      <c r="AH113" s="21"/>
      <c r="AI113" s="32" t="s">
        <v>8</v>
      </c>
      <c r="AJ113" s="30"/>
      <c r="AK113" s="30"/>
      <c r="AL113" s="30"/>
      <c r="AM113" s="30"/>
      <c r="AN113" s="30"/>
      <c r="AO113" s="30"/>
      <c r="AP113" s="30"/>
      <c r="AQ113" s="31"/>
      <c r="AR113" s="11" t="s">
        <v>6</v>
      </c>
      <c r="AS113" s="11" t="s">
        <v>6</v>
      </c>
      <c r="AT113" s="11" t="s">
        <v>8</v>
      </c>
      <c r="AU113" s="19" t="s">
        <v>9</v>
      </c>
      <c r="AV113" s="20"/>
      <c r="AW113" s="20"/>
      <c r="AX113" s="21"/>
      <c r="AY113" s="19" t="s">
        <v>8</v>
      </c>
      <c r="AZ113" s="20"/>
      <c r="BA113" s="20"/>
      <c r="BB113" s="21"/>
      <c r="BC113" s="305"/>
      <c r="BD113" s="288"/>
      <c r="BE113" s="288"/>
      <c r="BF113" s="288"/>
      <c r="BG113" s="288"/>
      <c r="BH113" s="288"/>
      <c r="BI113" s="288"/>
      <c r="BJ113" s="289"/>
      <c r="BK113" s="6"/>
    </row>
    <row r="114" spans="1:63" x14ac:dyDescent="0.25">
      <c r="A114" s="5"/>
      <c r="B114" s="19">
        <f t="shared" si="1"/>
        <v>27</v>
      </c>
      <c r="C114" s="21"/>
      <c r="D114" s="33" t="s">
        <v>45</v>
      </c>
      <c r="E114" s="34"/>
      <c r="F114" s="34"/>
      <c r="G114" s="34"/>
      <c r="H114" s="34"/>
      <c r="I114" s="34"/>
      <c r="J114" s="35"/>
      <c r="K114" s="22" t="s">
        <v>142</v>
      </c>
      <c r="L114" s="23"/>
      <c r="M114" s="24"/>
      <c r="N114" s="15" t="s">
        <v>6</v>
      </c>
      <c r="O114" s="9" t="s">
        <v>7</v>
      </c>
      <c r="P114" s="25" t="s">
        <v>6</v>
      </c>
      <c r="Q114" s="20"/>
      <c r="R114" s="20"/>
      <c r="S114" s="21"/>
      <c r="T114" s="25" t="s">
        <v>6</v>
      </c>
      <c r="U114" s="20"/>
      <c r="V114" s="20"/>
      <c r="W114" s="21"/>
      <c r="X114" s="154" t="s">
        <v>152</v>
      </c>
      <c r="Y114" s="155"/>
      <c r="Z114" s="156"/>
      <c r="AA114" s="19" t="s">
        <v>8</v>
      </c>
      <c r="AB114" s="20"/>
      <c r="AC114" s="20"/>
      <c r="AD114" s="20"/>
      <c r="AE114" s="20"/>
      <c r="AF114" s="20"/>
      <c r="AG114" s="20"/>
      <c r="AH114" s="21"/>
      <c r="AI114" s="32" t="s">
        <v>8</v>
      </c>
      <c r="AJ114" s="30"/>
      <c r="AK114" s="30"/>
      <c r="AL114" s="30"/>
      <c r="AM114" s="30"/>
      <c r="AN114" s="30"/>
      <c r="AO114" s="30"/>
      <c r="AP114" s="30"/>
      <c r="AQ114" s="31"/>
      <c r="AR114" s="11" t="s">
        <v>6</v>
      </c>
      <c r="AS114" s="11" t="s">
        <v>6</v>
      </c>
      <c r="AT114" s="11" t="s">
        <v>8</v>
      </c>
      <c r="AU114" s="19" t="s">
        <v>9</v>
      </c>
      <c r="AV114" s="20"/>
      <c r="AW114" s="20"/>
      <c r="AX114" s="21"/>
      <c r="AY114" s="19" t="s">
        <v>8</v>
      </c>
      <c r="AZ114" s="20"/>
      <c r="BA114" s="20"/>
      <c r="BB114" s="21"/>
      <c r="BC114" s="305"/>
      <c r="BD114" s="288"/>
      <c r="BE114" s="288"/>
      <c r="BF114" s="288"/>
      <c r="BG114" s="288"/>
      <c r="BH114" s="288"/>
      <c r="BI114" s="288"/>
      <c r="BJ114" s="289"/>
      <c r="BK114" s="6"/>
    </row>
    <row r="115" spans="1:63" x14ac:dyDescent="0.25">
      <c r="A115" s="5"/>
      <c r="B115" s="19">
        <f t="shared" si="1"/>
        <v>28</v>
      </c>
      <c r="C115" s="21"/>
      <c r="D115" s="33" t="s">
        <v>46</v>
      </c>
      <c r="E115" s="34"/>
      <c r="F115" s="34"/>
      <c r="G115" s="34"/>
      <c r="H115" s="34"/>
      <c r="I115" s="34"/>
      <c r="J115" s="35"/>
      <c r="K115" s="22" t="s">
        <v>142</v>
      </c>
      <c r="L115" s="23"/>
      <c r="M115" s="24"/>
      <c r="N115" s="15" t="s">
        <v>147</v>
      </c>
      <c r="O115" s="9" t="s">
        <v>6</v>
      </c>
      <c r="P115" s="153" t="s">
        <v>6</v>
      </c>
      <c r="Q115" s="37"/>
      <c r="R115" s="37"/>
      <c r="S115" s="38"/>
      <c r="T115" s="153" t="s">
        <v>6</v>
      </c>
      <c r="U115" s="37"/>
      <c r="V115" s="37"/>
      <c r="W115" s="38"/>
      <c r="X115" s="26" t="s">
        <v>6</v>
      </c>
      <c r="Y115" s="27"/>
      <c r="Z115" s="28"/>
      <c r="AA115" s="19" t="s">
        <v>8</v>
      </c>
      <c r="AB115" s="20"/>
      <c r="AC115" s="20"/>
      <c r="AD115" s="20"/>
      <c r="AE115" s="20"/>
      <c r="AF115" s="20"/>
      <c r="AG115" s="20"/>
      <c r="AH115" s="21"/>
      <c r="AI115" s="32" t="s">
        <v>8</v>
      </c>
      <c r="AJ115" s="30"/>
      <c r="AK115" s="30"/>
      <c r="AL115" s="30"/>
      <c r="AM115" s="30"/>
      <c r="AN115" s="30"/>
      <c r="AO115" s="30"/>
      <c r="AP115" s="30"/>
      <c r="AQ115" s="31"/>
      <c r="AR115" s="11" t="s">
        <v>6</v>
      </c>
      <c r="AS115" s="11" t="s">
        <v>6</v>
      </c>
      <c r="AT115" s="11" t="s">
        <v>8</v>
      </c>
      <c r="AU115" s="19" t="s">
        <v>9</v>
      </c>
      <c r="AV115" s="20"/>
      <c r="AW115" s="20"/>
      <c r="AX115" s="21"/>
      <c r="AY115" s="19" t="s">
        <v>8</v>
      </c>
      <c r="AZ115" s="20"/>
      <c r="BA115" s="20"/>
      <c r="BB115" s="21"/>
      <c r="BC115" s="305"/>
      <c r="BD115" s="288"/>
      <c r="BE115" s="288"/>
      <c r="BF115" s="288"/>
      <c r="BG115" s="288"/>
      <c r="BH115" s="288"/>
      <c r="BI115" s="288"/>
      <c r="BJ115" s="289"/>
      <c r="BK115" s="6"/>
    </row>
    <row r="116" spans="1:63" x14ac:dyDescent="0.25">
      <c r="A116" s="5"/>
      <c r="B116" s="19">
        <f t="shared" si="1"/>
        <v>29</v>
      </c>
      <c r="C116" s="21"/>
      <c r="D116" s="33" t="s">
        <v>47</v>
      </c>
      <c r="E116" s="34"/>
      <c r="F116" s="34"/>
      <c r="G116" s="34"/>
      <c r="H116" s="34"/>
      <c r="I116" s="34"/>
      <c r="J116" s="35"/>
      <c r="K116" s="22" t="s">
        <v>142</v>
      </c>
      <c r="L116" s="23"/>
      <c r="M116" s="24"/>
      <c r="N116" s="15" t="s">
        <v>6</v>
      </c>
      <c r="O116" s="9" t="s">
        <v>7</v>
      </c>
      <c r="P116" s="25" t="s">
        <v>6</v>
      </c>
      <c r="Q116" s="20"/>
      <c r="R116" s="20"/>
      <c r="S116" s="21"/>
      <c r="T116" s="25" t="s">
        <v>6</v>
      </c>
      <c r="U116" s="20"/>
      <c r="V116" s="20"/>
      <c r="W116" s="21"/>
      <c r="X116" s="26" t="s">
        <v>153</v>
      </c>
      <c r="Y116" s="27"/>
      <c r="Z116" s="28"/>
      <c r="AA116" s="19" t="s">
        <v>8</v>
      </c>
      <c r="AB116" s="20"/>
      <c r="AC116" s="20"/>
      <c r="AD116" s="20"/>
      <c r="AE116" s="20"/>
      <c r="AF116" s="20"/>
      <c r="AG116" s="20"/>
      <c r="AH116" s="21"/>
      <c r="AI116" s="32" t="s">
        <v>8</v>
      </c>
      <c r="AJ116" s="30"/>
      <c r="AK116" s="30"/>
      <c r="AL116" s="30"/>
      <c r="AM116" s="30"/>
      <c r="AN116" s="30"/>
      <c r="AO116" s="30"/>
      <c r="AP116" s="30"/>
      <c r="AQ116" s="31"/>
      <c r="AR116" s="11" t="s">
        <v>6</v>
      </c>
      <c r="AS116" s="11" t="s">
        <v>6</v>
      </c>
      <c r="AT116" s="11" t="s">
        <v>8</v>
      </c>
      <c r="AU116" s="19" t="s">
        <v>9</v>
      </c>
      <c r="AV116" s="20"/>
      <c r="AW116" s="20"/>
      <c r="AX116" s="21"/>
      <c r="AY116" s="19" t="s">
        <v>8</v>
      </c>
      <c r="AZ116" s="20"/>
      <c r="BA116" s="20"/>
      <c r="BB116" s="21"/>
      <c r="BC116" s="305"/>
      <c r="BD116" s="288"/>
      <c r="BE116" s="288"/>
      <c r="BF116" s="288"/>
      <c r="BG116" s="288"/>
      <c r="BH116" s="288"/>
      <c r="BI116" s="288"/>
      <c r="BJ116" s="289"/>
      <c r="BK116" s="6"/>
    </row>
    <row r="117" spans="1:63" x14ac:dyDescent="0.25">
      <c r="A117" s="5"/>
      <c r="B117" s="19">
        <f t="shared" si="1"/>
        <v>30</v>
      </c>
      <c r="C117" s="21"/>
      <c r="D117" s="33" t="s">
        <v>48</v>
      </c>
      <c r="E117" s="34"/>
      <c r="F117" s="34"/>
      <c r="G117" s="34"/>
      <c r="H117" s="34"/>
      <c r="I117" s="34"/>
      <c r="J117" s="35"/>
      <c r="K117" s="22" t="s">
        <v>142</v>
      </c>
      <c r="L117" s="23"/>
      <c r="M117" s="24"/>
      <c r="N117" s="15" t="s">
        <v>147</v>
      </c>
      <c r="O117" s="9" t="s">
        <v>6</v>
      </c>
      <c r="P117" s="153" t="s">
        <v>6</v>
      </c>
      <c r="Q117" s="37"/>
      <c r="R117" s="37"/>
      <c r="S117" s="38"/>
      <c r="T117" s="153" t="s">
        <v>6</v>
      </c>
      <c r="U117" s="37"/>
      <c r="V117" s="37"/>
      <c r="W117" s="38"/>
      <c r="X117" s="26" t="s">
        <v>6</v>
      </c>
      <c r="Y117" s="27"/>
      <c r="Z117" s="28"/>
      <c r="AA117" s="19" t="s">
        <v>8</v>
      </c>
      <c r="AB117" s="20"/>
      <c r="AC117" s="20"/>
      <c r="AD117" s="20"/>
      <c r="AE117" s="20"/>
      <c r="AF117" s="20"/>
      <c r="AG117" s="20"/>
      <c r="AH117" s="21"/>
      <c r="AI117" s="32" t="s">
        <v>8</v>
      </c>
      <c r="AJ117" s="30"/>
      <c r="AK117" s="30"/>
      <c r="AL117" s="30"/>
      <c r="AM117" s="30"/>
      <c r="AN117" s="30"/>
      <c r="AO117" s="30"/>
      <c r="AP117" s="30"/>
      <c r="AQ117" s="31"/>
      <c r="AR117" s="11" t="s">
        <v>6</v>
      </c>
      <c r="AS117" s="11" t="s">
        <v>6</v>
      </c>
      <c r="AT117" s="11" t="s">
        <v>8</v>
      </c>
      <c r="AU117" s="19" t="s">
        <v>9</v>
      </c>
      <c r="AV117" s="20"/>
      <c r="AW117" s="20"/>
      <c r="AX117" s="21"/>
      <c r="AY117" s="19" t="s">
        <v>8</v>
      </c>
      <c r="AZ117" s="20"/>
      <c r="BA117" s="20"/>
      <c r="BB117" s="21"/>
      <c r="BC117" s="305"/>
      <c r="BD117" s="288"/>
      <c r="BE117" s="288"/>
      <c r="BF117" s="288"/>
      <c r="BG117" s="288"/>
      <c r="BH117" s="288"/>
      <c r="BI117" s="288"/>
      <c r="BJ117" s="289"/>
      <c r="BK117" s="6"/>
    </row>
    <row r="118" spans="1:63" x14ac:dyDescent="0.25">
      <c r="A118" s="5"/>
      <c r="B118" s="19">
        <f t="shared" si="1"/>
        <v>31</v>
      </c>
      <c r="C118" s="21"/>
      <c r="D118" s="33" t="s">
        <v>49</v>
      </c>
      <c r="E118" s="34"/>
      <c r="F118" s="34"/>
      <c r="G118" s="34"/>
      <c r="H118" s="34"/>
      <c r="I118" s="34"/>
      <c r="J118" s="35"/>
      <c r="K118" s="22" t="s">
        <v>142</v>
      </c>
      <c r="L118" s="23"/>
      <c r="M118" s="24"/>
      <c r="N118" s="15" t="s">
        <v>6</v>
      </c>
      <c r="O118" s="9" t="s">
        <v>7</v>
      </c>
      <c r="P118" s="25" t="s">
        <v>6</v>
      </c>
      <c r="Q118" s="20"/>
      <c r="R118" s="20"/>
      <c r="S118" s="21"/>
      <c r="T118" s="25" t="s">
        <v>6</v>
      </c>
      <c r="U118" s="20"/>
      <c r="V118" s="20"/>
      <c r="W118" s="21"/>
      <c r="X118" s="26" t="s">
        <v>154</v>
      </c>
      <c r="Y118" s="27"/>
      <c r="Z118" s="28"/>
      <c r="AA118" s="19" t="s">
        <v>8</v>
      </c>
      <c r="AB118" s="20"/>
      <c r="AC118" s="20"/>
      <c r="AD118" s="20"/>
      <c r="AE118" s="20"/>
      <c r="AF118" s="20"/>
      <c r="AG118" s="20"/>
      <c r="AH118" s="21"/>
      <c r="AI118" s="32" t="s">
        <v>8</v>
      </c>
      <c r="AJ118" s="30"/>
      <c r="AK118" s="30"/>
      <c r="AL118" s="30"/>
      <c r="AM118" s="30"/>
      <c r="AN118" s="30"/>
      <c r="AO118" s="30"/>
      <c r="AP118" s="30"/>
      <c r="AQ118" s="31"/>
      <c r="AR118" s="11" t="s">
        <v>6</v>
      </c>
      <c r="AS118" s="11" t="s">
        <v>6</v>
      </c>
      <c r="AT118" s="11" t="s">
        <v>8</v>
      </c>
      <c r="AU118" s="19" t="s">
        <v>9</v>
      </c>
      <c r="AV118" s="20"/>
      <c r="AW118" s="20"/>
      <c r="AX118" s="21"/>
      <c r="AY118" s="19" t="s">
        <v>8</v>
      </c>
      <c r="AZ118" s="20"/>
      <c r="BA118" s="20"/>
      <c r="BB118" s="21"/>
      <c r="BC118" s="305"/>
      <c r="BD118" s="288"/>
      <c r="BE118" s="288"/>
      <c r="BF118" s="288"/>
      <c r="BG118" s="288"/>
      <c r="BH118" s="288"/>
      <c r="BI118" s="288"/>
      <c r="BJ118" s="289"/>
      <c r="BK118" s="6"/>
    </row>
    <row r="119" spans="1:63" x14ac:dyDescent="0.25">
      <c r="A119" s="5"/>
      <c r="B119" s="19">
        <f t="shared" si="1"/>
        <v>32</v>
      </c>
      <c r="C119" s="21"/>
      <c r="D119" s="33" t="s">
        <v>50</v>
      </c>
      <c r="E119" s="34"/>
      <c r="F119" s="34"/>
      <c r="G119" s="34"/>
      <c r="H119" s="34"/>
      <c r="I119" s="34"/>
      <c r="J119" s="35"/>
      <c r="K119" s="22" t="s">
        <v>142</v>
      </c>
      <c r="L119" s="23"/>
      <c r="M119" s="24"/>
      <c r="N119" s="15" t="s">
        <v>147</v>
      </c>
      <c r="O119" s="9" t="s">
        <v>6</v>
      </c>
      <c r="P119" s="153" t="s">
        <v>6</v>
      </c>
      <c r="Q119" s="37"/>
      <c r="R119" s="37"/>
      <c r="S119" s="38"/>
      <c r="T119" s="153" t="s">
        <v>6</v>
      </c>
      <c r="U119" s="37"/>
      <c r="V119" s="37"/>
      <c r="W119" s="38"/>
      <c r="X119" s="26" t="s">
        <v>6</v>
      </c>
      <c r="Y119" s="27"/>
      <c r="Z119" s="28"/>
      <c r="AA119" s="19" t="s">
        <v>8</v>
      </c>
      <c r="AB119" s="20"/>
      <c r="AC119" s="20"/>
      <c r="AD119" s="20"/>
      <c r="AE119" s="20"/>
      <c r="AF119" s="20"/>
      <c r="AG119" s="20"/>
      <c r="AH119" s="21"/>
      <c r="AI119" s="32" t="s">
        <v>8</v>
      </c>
      <c r="AJ119" s="30"/>
      <c r="AK119" s="30"/>
      <c r="AL119" s="30"/>
      <c r="AM119" s="30"/>
      <c r="AN119" s="30"/>
      <c r="AO119" s="30"/>
      <c r="AP119" s="30"/>
      <c r="AQ119" s="31"/>
      <c r="AR119" s="11" t="s">
        <v>6</v>
      </c>
      <c r="AS119" s="11" t="s">
        <v>6</v>
      </c>
      <c r="AT119" s="11" t="s">
        <v>8</v>
      </c>
      <c r="AU119" s="19" t="s">
        <v>9</v>
      </c>
      <c r="AV119" s="20"/>
      <c r="AW119" s="20"/>
      <c r="AX119" s="21"/>
      <c r="AY119" s="19" t="s">
        <v>8</v>
      </c>
      <c r="AZ119" s="20"/>
      <c r="BA119" s="20"/>
      <c r="BB119" s="21"/>
      <c r="BC119" s="305"/>
      <c r="BD119" s="288"/>
      <c r="BE119" s="288"/>
      <c r="BF119" s="288"/>
      <c r="BG119" s="288"/>
      <c r="BH119" s="288"/>
      <c r="BI119" s="288"/>
      <c r="BJ119" s="289"/>
      <c r="BK119" s="6"/>
    </row>
    <row r="120" spans="1:63" x14ac:dyDescent="0.25">
      <c r="A120" s="5"/>
      <c r="B120" s="19">
        <f t="shared" si="1"/>
        <v>33</v>
      </c>
      <c r="C120" s="21"/>
      <c r="D120" s="33" t="s">
        <v>51</v>
      </c>
      <c r="E120" s="34"/>
      <c r="F120" s="34"/>
      <c r="G120" s="34"/>
      <c r="H120" s="34"/>
      <c r="I120" s="34"/>
      <c r="J120" s="35"/>
      <c r="K120" s="22" t="s">
        <v>142</v>
      </c>
      <c r="L120" s="23"/>
      <c r="M120" s="24"/>
      <c r="N120" s="15" t="s">
        <v>6</v>
      </c>
      <c r="O120" s="9" t="s">
        <v>7</v>
      </c>
      <c r="P120" s="25" t="s">
        <v>6</v>
      </c>
      <c r="Q120" s="20"/>
      <c r="R120" s="20"/>
      <c r="S120" s="21"/>
      <c r="T120" s="25" t="s">
        <v>6</v>
      </c>
      <c r="U120" s="20"/>
      <c r="V120" s="20"/>
      <c r="W120" s="21"/>
      <c r="X120" s="26" t="s">
        <v>155</v>
      </c>
      <c r="Y120" s="27"/>
      <c r="Z120" s="28"/>
      <c r="AA120" s="19" t="s">
        <v>8</v>
      </c>
      <c r="AB120" s="20"/>
      <c r="AC120" s="20"/>
      <c r="AD120" s="20"/>
      <c r="AE120" s="20"/>
      <c r="AF120" s="20"/>
      <c r="AG120" s="20"/>
      <c r="AH120" s="21"/>
      <c r="AI120" s="32" t="s">
        <v>8</v>
      </c>
      <c r="AJ120" s="30"/>
      <c r="AK120" s="30"/>
      <c r="AL120" s="30"/>
      <c r="AM120" s="30"/>
      <c r="AN120" s="30"/>
      <c r="AO120" s="30"/>
      <c r="AP120" s="30"/>
      <c r="AQ120" s="31"/>
      <c r="AR120" s="11" t="s">
        <v>6</v>
      </c>
      <c r="AS120" s="11" t="s">
        <v>6</v>
      </c>
      <c r="AT120" s="11" t="s">
        <v>8</v>
      </c>
      <c r="AU120" s="19" t="s">
        <v>9</v>
      </c>
      <c r="AV120" s="20"/>
      <c r="AW120" s="20"/>
      <c r="AX120" s="21"/>
      <c r="AY120" s="19" t="s">
        <v>8</v>
      </c>
      <c r="AZ120" s="20"/>
      <c r="BA120" s="20"/>
      <c r="BB120" s="21"/>
      <c r="BC120" s="305"/>
      <c r="BD120" s="288"/>
      <c r="BE120" s="288"/>
      <c r="BF120" s="288"/>
      <c r="BG120" s="288"/>
      <c r="BH120" s="288"/>
      <c r="BI120" s="288"/>
      <c r="BJ120" s="289"/>
      <c r="BK120" s="6"/>
    </row>
    <row r="121" spans="1:63" x14ac:dyDescent="0.25">
      <c r="A121" s="5"/>
      <c r="B121" s="19">
        <f t="shared" si="1"/>
        <v>34</v>
      </c>
      <c r="C121" s="21"/>
      <c r="D121" s="33" t="s">
        <v>52</v>
      </c>
      <c r="E121" s="34"/>
      <c r="F121" s="34"/>
      <c r="G121" s="34"/>
      <c r="H121" s="34"/>
      <c r="I121" s="34"/>
      <c r="J121" s="35"/>
      <c r="K121" s="22" t="s">
        <v>142</v>
      </c>
      <c r="L121" s="23"/>
      <c r="M121" s="24"/>
      <c r="N121" s="15" t="s">
        <v>147</v>
      </c>
      <c r="O121" s="9" t="s">
        <v>6</v>
      </c>
      <c r="P121" s="153" t="s">
        <v>6</v>
      </c>
      <c r="Q121" s="37"/>
      <c r="R121" s="37"/>
      <c r="S121" s="38"/>
      <c r="T121" s="153" t="s">
        <v>6</v>
      </c>
      <c r="U121" s="37"/>
      <c r="V121" s="37"/>
      <c r="W121" s="38"/>
      <c r="X121" s="26" t="s">
        <v>6</v>
      </c>
      <c r="Y121" s="27"/>
      <c r="Z121" s="28"/>
      <c r="AA121" s="19" t="s">
        <v>8</v>
      </c>
      <c r="AB121" s="20"/>
      <c r="AC121" s="20"/>
      <c r="AD121" s="20"/>
      <c r="AE121" s="20"/>
      <c r="AF121" s="20"/>
      <c r="AG121" s="20"/>
      <c r="AH121" s="21"/>
      <c r="AI121" s="32" t="s">
        <v>8</v>
      </c>
      <c r="AJ121" s="30"/>
      <c r="AK121" s="30"/>
      <c r="AL121" s="30"/>
      <c r="AM121" s="30"/>
      <c r="AN121" s="30"/>
      <c r="AO121" s="30"/>
      <c r="AP121" s="30"/>
      <c r="AQ121" s="31"/>
      <c r="AR121" s="11" t="s">
        <v>6</v>
      </c>
      <c r="AS121" s="11" t="s">
        <v>6</v>
      </c>
      <c r="AT121" s="11" t="s">
        <v>8</v>
      </c>
      <c r="AU121" s="19" t="s">
        <v>9</v>
      </c>
      <c r="AV121" s="20"/>
      <c r="AW121" s="20"/>
      <c r="AX121" s="21"/>
      <c r="AY121" s="19" t="s">
        <v>8</v>
      </c>
      <c r="AZ121" s="20"/>
      <c r="BA121" s="20"/>
      <c r="BB121" s="21"/>
      <c r="BC121" s="305"/>
      <c r="BD121" s="288"/>
      <c r="BE121" s="288"/>
      <c r="BF121" s="288"/>
      <c r="BG121" s="288"/>
      <c r="BH121" s="288"/>
      <c r="BI121" s="288"/>
      <c r="BJ121" s="289"/>
      <c r="BK121" s="6"/>
    </row>
    <row r="122" spans="1:63" x14ac:dyDescent="0.25">
      <c r="A122" s="5"/>
      <c r="B122" s="19">
        <f t="shared" si="1"/>
        <v>35</v>
      </c>
      <c r="C122" s="21"/>
      <c r="D122" s="33" t="s">
        <v>53</v>
      </c>
      <c r="E122" s="34"/>
      <c r="F122" s="34"/>
      <c r="G122" s="34"/>
      <c r="H122" s="34"/>
      <c r="I122" s="34"/>
      <c r="J122" s="35"/>
      <c r="K122" s="22" t="s">
        <v>142</v>
      </c>
      <c r="L122" s="23"/>
      <c r="M122" s="24"/>
      <c r="N122" s="15" t="s">
        <v>6</v>
      </c>
      <c r="O122" s="9" t="s">
        <v>7</v>
      </c>
      <c r="P122" s="25" t="s">
        <v>6</v>
      </c>
      <c r="Q122" s="20"/>
      <c r="R122" s="20"/>
      <c r="S122" s="21"/>
      <c r="T122" s="25" t="s">
        <v>6</v>
      </c>
      <c r="U122" s="20"/>
      <c r="V122" s="20"/>
      <c r="W122" s="21"/>
      <c r="X122" s="26" t="s">
        <v>156</v>
      </c>
      <c r="Y122" s="27"/>
      <c r="Z122" s="28"/>
      <c r="AA122" s="19" t="s">
        <v>8</v>
      </c>
      <c r="AB122" s="20"/>
      <c r="AC122" s="20"/>
      <c r="AD122" s="20"/>
      <c r="AE122" s="20"/>
      <c r="AF122" s="20"/>
      <c r="AG122" s="20"/>
      <c r="AH122" s="21"/>
      <c r="AI122" s="32" t="s">
        <v>8</v>
      </c>
      <c r="AJ122" s="30"/>
      <c r="AK122" s="30"/>
      <c r="AL122" s="30"/>
      <c r="AM122" s="30"/>
      <c r="AN122" s="30"/>
      <c r="AO122" s="30"/>
      <c r="AP122" s="30"/>
      <c r="AQ122" s="31"/>
      <c r="AR122" s="11" t="s">
        <v>6</v>
      </c>
      <c r="AS122" s="11" t="s">
        <v>6</v>
      </c>
      <c r="AT122" s="11" t="s">
        <v>8</v>
      </c>
      <c r="AU122" s="19" t="s">
        <v>9</v>
      </c>
      <c r="AV122" s="20"/>
      <c r="AW122" s="20"/>
      <c r="AX122" s="21"/>
      <c r="AY122" s="19" t="s">
        <v>8</v>
      </c>
      <c r="AZ122" s="20"/>
      <c r="BA122" s="20"/>
      <c r="BB122" s="21"/>
      <c r="BC122" s="305"/>
      <c r="BD122" s="288"/>
      <c r="BE122" s="288"/>
      <c r="BF122" s="288"/>
      <c r="BG122" s="288"/>
      <c r="BH122" s="288"/>
      <c r="BI122" s="288"/>
      <c r="BJ122" s="289"/>
      <c r="BK122" s="6"/>
    </row>
    <row r="123" spans="1:63" x14ac:dyDescent="0.25">
      <c r="A123" s="5"/>
      <c r="B123" s="19">
        <f t="shared" si="1"/>
        <v>36</v>
      </c>
      <c r="C123" s="21"/>
      <c r="D123" s="33" t="s">
        <v>54</v>
      </c>
      <c r="E123" s="34"/>
      <c r="F123" s="34"/>
      <c r="G123" s="34"/>
      <c r="H123" s="34"/>
      <c r="I123" s="34"/>
      <c r="J123" s="35"/>
      <c r="K123" s="22" t="s">
        <v>142</v>
      </c>
      <c r="L123" s="23"/>
      <c r="M123" s="24"/>
      <c r="N123" s="15" t="s">
        <v>147</v>
      </c>
      <c r="O123" s="9" t="s">
        <v>6</v>
      </c>
      <c r="P123" s="153" t="s">
        <v>6</v>
      </c>
      <c r="Q123" s="37"/>
      <c r="R123" s="37"/>
      <c r="S123" s="38"/>
      <c r="T123" s="153" t="s">
        <v>6</v>
      </c>
      <c r="U123" s="37"/>
      <c r="V123" s="37"/>
      <c r="W123" s="38"/>
      <c r="X123" s="26" t="s">
        <v>6</v>
      </c>
      <c r="Y123" s="27"/>
      <c r="Z123" s="28"/>
      <c r="AA123" s="19" t="s">
        <v>8</v>
      </c>
      <c r="AB123" s="20"/>
      <c r="AC123" s="20"/>
      <c r="AD123" s="20"/>
      <c r="AE123" s="20"/>
      <c r="AF123" s="20"/>
      <c r="AG123" s="20"/>
      <c r="AH123" s="21"/>
      <c r="AI123" s="32" t="s">
        <v>8</v>
      </c>
      <c r="AJ123" s="30"/>
      <c r="AK123" s="30"/>
      <c r="AL123" s="30"/>
      <c r="AM123" s="30"/>
      <c r="AN123" s="30"/>
      <c r="AO123" s="30"/>
      <c r="AP123" s="30"/>
      <c r="AQ123" s="31"/>
      <c r="AR123" s="11" t="s">
        <v>6</v>
      </c>
      <c r="AS123" s="11" t="s">
        <v>6</v>
      </c>
      <c r="AT123" s="11" t="s">
        <v>8</v>
      </c>
      <c r="AU123" s="19" t="s">
        <v>9</v>
      </c>
      <c r="AV123" s="20"/>
      <c r="AW123" s="20"/>
      <c r="AX123" s="21"/>
      <c r="AY123" s="19" t="s">
        <v>8</v>
      </c>
      <c r="AZ123" s="20"/>
      <c r="BA123" s="20"/>
      <c r="BB123" s="21"/>
      <c r="BC123" s="305"/>
      <c r="BD123" s="288"/>
      <c r="BE123" s="288"/>
      <c r="BF123" s="288"/>
      <c r="BG123" s="288"/>
      <c r="BH123" s="288"/>
      <c r="BI123" s="288"/>
      <c r="BJ123" s="289"/>
      <c r="BK123" s="6"/>
    </row>
    <row r="124" spans="1:63" x14ac:dyDescent="0.25">
      <c r="A124" s="5"/>
      <c r="B124" s="50">
        <f t="shared" si="1"/>
        <v>37</v>
      </c>
      <c r="C124" s="52"/>
      <c r="D124" s="157" t="s">
        <v>55</v>
      </c>
      <c r="E124" s="158"/>
      <c r="F124" s="158"/>
      <c r="G124" s="158"/>
      <c r="H124" s="158"/>
      <c r="I124" s="158"/>
      <c r="J124" s="159"/>
      <c r="K124" s="60" t="s">
        <v>140</v>
      </c>
      <c r="L124" s="61"/>
      <c r="M124" s="62"/>
      <c r="N124" s="16" t="s">
        <v>157</v>
      </c>
      <c r="O124" s="13" t="s">
        <v>7</v>
      </c>
      <c r="P124" s="63" t="s">
        <v>6</v>
      </c>
      <c r="Q124" s="51"/>
      <c r="R124" s="51"/>
      <c r="S124" s="52"/>
      <c r="T124" s="63" t="s">
        <v>6</v>
      </c>
      <c r="U124" s="51"/>
      <c r="V124" s="51"/>
      <c r="W124" s="52"/>
      <c r="X124" s="64" t="s">
        <v>156</v>
      </c>
      <c r="Y124" s="65"/>
      <c r="Z124" s="66"/>
      <c r="AA124" s="50" t="s">
        <v>8</v>
      </c>
      <c r="AB124" s="51"/>
      <c r="AC124" s="51"/>
      <c r="AD124" s="51"/>
      <c r="AE124" s="51"/>
      <c r="AF124" s="51"/>
      <c r="AG124" s="51"/>
      <c r="AH124" s="52"/>
      <c r="AI124" s="160" t="s">
        <v>158</v>
      </c>
      <c r="AJ124" s="161"/>
      <c r="AK124" s="161"/>
      <c r="AL124" s="161"/>
      <c r="AM124" s="161"/>
      <c r="AN124" s="161"/>
      <c r="AO124" s="161"/>
      <c r="AP124" s="161"/>
      <c r="AQ124" s="162"/>
      <c r="AR124" s="14" t="s">
        <v>6</v>
      </c>
      <c r="AS124" s="14" t="s">
        <v>6</v>
      </c>
      <c r="AT124" s="14" t="s">
        <v>8</v>
      </c>
      <c r="AU124" s="50" t="s">
        <v>9</v>
      </c>
      <c r="AV124" s="51"/>
      <c r="AW124" s="51"/>
      <c r="AX124" s="52"/>
      <c r="AY124" s="50" t="s">
        <v>8</v>
      </c>
      <c r="AZ124" s="51"/>
      <c r="BA124" s="51"/>
      <c r="BB124" s="52"/>
      <c r="BC124" s="316" t="s">
        <v>159</v>
      </c>
      <c r="BD124" s="314"/>
      <c r="BE124" s="314"/>
      <c r="BF124" s="314"/>
      <c r="BG124" s="314"/>
      <c r="BH124" s="314"/>
      <c r="BI124" s="314"/>
      <c r="BJ124" s="315"/>
      <c r="BK124" s="6"/>
    </row>
  </sheetData>
  <mergeCells count="489">
    <mergeCell ref="AY123:BB123"/>
    <mergeCell ref="BC123:BJ123"/>
    <mergeCell ref="B124:C124"/>
    <mergeCell ref="D124:J124"/>
    <mergeCell ref="K124:M124"/>
    <mergeCell ref="P124:S124"/>
    <mergeCell ref="T124:W124"/>
    <mergeCell ref="X124:Z124"/>
    <mergeCell ref="AA124:AH124"/>
    <mergeCell ref="AI124:AQ124"/>
    <mergeCell ref="AU124:AX124"/>
    <mergeCell ref="AY124:BB124"/>
    <mergeCell ref="BC124:BJ124"/>
    <mergeCell ref="B123:C123"/>
    <mergeCell ref="D123:J123"/>
    <mergeCell ref="K123:M123"/>
    <mergeCell ref="P123:S123"/>
    <mergeCell ref="T123:W123"/>
    <mergeCell ref="X123:Z123"/>
    <mergeCell ref="AA123:AH123"/>
    <mergeCell ref="AI123:AQ123"/>
    <mergeCell ref="AU123:AX123"/>
    <mergeCell ref="AY121:BB121"/>
    <mergeCell ref="BC121:BJ121"/>
    <mergeCell ref="B122:C122"/>
    <mergeCell ref="D122:J122"/>
    <mergeCell ref="K122:M122"/>
    <mergeCell ref="P122:S122"/>
    <mergeCell ref="T122:W122"/>
    <mergeCell ref="X122:Z122"/>
    <mergeCell ref="AA122:AH122"/>
    <mergeCell ref="AI122:AQ122"/>
    <mergeCell ref="AU122:AX122"/>
    <mergeCell ref="AY122:BB122"/>
    <mergeCell ref="BC122:BJ122"/>
    <mergeCell ref="B121:C121"/>
    <mergeCell ref="D121:J121"/>
    <mergeCell ref="K121:M121"/>
    <mergeCell ref="P121:S121"/>
    <mergeCell ref="T121:W121"/>
    <mergeCell ref="X121:Z121"/>
    <mergeCell ref="AA121:AH121"/>
    <mergeCell ref="AI121:AQ121"/>
    <mergeCell ref="AU121:AX121"/>
    <mergeCell ref="AY119:BB119"/>
    <mergeCell ref="BC119:BJ119"/>
    <mergeCell ref="B120:C120"/>
    <mergeCell ref="D120:J120"/>
    <mergeCell ref="K120:M120"/>
    <mergeCell ref="P120:S120"/>
    <mergeCell ref="T120:W120"/>
    <mergeCell ref="X120:Z120"/>
    <mergeCell ref="AA120:AH120"/>
    <mergeCell ref="AI120:AQ120"/>
    <mergeCell ref="AU120:AX120"/>
    <mergeCell ref="AY120:BB120"/>
    <mergeCell ref="BC120:BJ120"/>
    <mergeCell ref="B119:C119"/>
    <mergeCell ref="D119:J119"/>
    <mergeCell ref="K119:M119"/>
    <mergeCell ref="P119:S119"/>
    <mergeCell ref="T119:W119"/>
    <mergeCell ref="X119:Z119"/>
    <mergeCell ref="AA119:AH119"/>
    <mergeCell ref="AI119:AQ119"/>
    <mergeCell ref="AU119:AX119"/>
    <mergeCell ref="AY117:BB117"/>
    <mergeCell ref="BC117:BJ117"/>
    <mergeCell ref="B118:C118"/>
    <mergeCell ref="D118:J118"/>
    <mergeCell ref="K118:M118"/>
    <mergeCell ref="P118:S118"/>
    <mergeCell ref="T118:W118"/>
    <mergeCell ref="X118:Z118"/>
    <mergeCell ref="AA118:AH118"/>
    <mergeCell ref="AI118:AQ118"/>
    <mergeCell ref="AU118:AX118"/>
    <mergeCell ref="AY118:BB118"/>
    <mergeCell ref="BC118:BJ118"/>
    <mergeCell ref="B117:C117"/>
    <mergeCell ref="D117:J117"/>
    <mergeCell ref="K117:M117"/>
    <mergeCell ref="P117:S117"/>
    <mergeCell ref="T117:W117"/>
    <mergeCell ref="X117:Z117"/>
    <mergeCell ref="AA117:AH117"/>
    <mergeCell ref="AI117:AQ117"/>
    <mergeCell ref="AU117:AX117"/>
    <mergeCell ref="AY115:BB115"/>
    <mergeCell ref="BC115:BJ115"/>
    <mergeCell ref="B116:C116"/>
    <mergeCell ref="D116:J116"/>
    <mergeCell ref="K116:M116"/>
    <mergeCell ref="P116:S116"/>
    <mergeCell ref="T116:W116"/>
    <mergeCell ref="X116:Z116"/>
    <mergeCell ref="AA116:AH116"/>
    <mergeCell ref="AI116:AQ116"/>
    <mergeCell ref="AU116:AX116"/>
    <mergeCell ref="AY116:BB116"/>
    <mergeCell ref="BC116:BJ116"/>
    <mergeCell ref="B115:C115"/>
    <mergeCell ref="D115:J115"/>
    <mergeCell ref="K115:M115"/>
    <mergeCell ref="P115:S115"/>
    <mergeCell ref="T115:W115"/>
    <mergeCell ref="X115:Z115"/>
    <mergeCell ref="AA115:AH115"/>
    <mergeCell ref="AI115:AQ115"/>
    <mergeCell ref="AU115:AX115"/>
    <mergeCell ref="AY113:BB113"/>
    <mergeCell ref="BC113:BJ113"/>
    <mergeCell ref="B114:C114"/>
    <mergeCell ref="D114:J114"/>
    <mergeCell ref="K114:M114"/>
    <mergeCell ref="P114:S114"/>
    <mergeCell ref="T114:W114"/>
    <mergeCell ref="X114:Z114"/>
    <mergeCell ref="AA114:AH114"/>
    <mergeCell ref="AI114:AQ114"/>
    <mergeCell ref="AU114:AX114"/>
    <mergeCell ref="AY114:BB114"/>
    <mergeCell ref="BC114:BJ114"/>
    <mergeCell ref="B113:C113"/>
    <mergeCell ref="D113:J113"/>
    <mergeCell ref="K113:M113"/>
    <mergeCell ref="P113:S113"/>
    <mergeCell ref="T113:W113"/>
    <mergeCell ref="X113:Z113"/>
    <mergeCell ref="AA113:AH113"/>
    <mergeCell ref="AI113:AQ113"/>
    <mergeCell ref="AU113:AX113"/>
    <mergeCell ref="AY111:BB111"/>
    <mergeCell ref="BC111:BJ111"/>
    <mergeCell ref="B112:C112"/>
    <mergeCell ref="D112:J112"/>
    <mergeCell ref="K112:M112"/>
    <mergeCell ref="P112:S112"/>
    <mergeCell ref="T112:W112"/>
    <mergeCell ref="X112:Z112"/>
    <mergeCell ref="AA112:AH112"/>
    <mergeCell ref="AI112:AQ112"/>
    <mergeCell ref="AU112:AX112"/>
    <mergeCell ref="AY112:BB112"/>
    <mergeCell ref="BC112:BJ112"/>
    <mergeCell ref="B111:C111"/>
    <mergeCell ref="D111:J111"/>
    <mergeCell ref="K111:M111"/>
    <mergeCell ref="P111:S111"/>
    <mergeCell ref="T111:W111"/>
    <mergeCell ref="X111:Z111"/>
    <mergeCell ref="AA111:AH111"/>
    <mergeCell ref="AI111:AQ111"/>
    <mergeCell ref="AU111:AX111"/>
    <mergeCell ref="AY109:BB109"/>
    <mergeCell ref="BC109:BJ109"/>
    <mergeCell ref="B110:C110"/>
    <mergeCell ref="D110:J110"/>
    <mergeCell ref="K110:M110"/>
    <mergeCell ref="P110:S110"/>
    <mergeCell ref="T110:W110"/>
    <mergeCell ref="X110:Z110"/>
    <mergeCell ref="AA110:AH110"/>
    <mergeCell ref="AI110:AQ110"/>
    <mergeCell ref="AU110:AX110"/>
    <mergeCell ref="AY110:BB110"/>
    <mergeCell ref="BC110:BJ110"/>
    <mergeCell ref="B109:C109"/>
    <mergeCell ref="D109:J109"/>
    <mergeCell ref="K109:M109"/>
    <mergeCell ref="P109:S109"/>
    <mergeCell ref="T109:W109"/>
    <mergeCell ref="X109:Z109"/>
    <mergeCell ref="AA109:AH109"/>
    <mergeCell ref="AI109:AQ109"/>
    <mergeCell ref="AU109:AX109"/>
    <mergeCell ref="AY107:BB107"/>
    <mergeCell ref="BC107:BJ107"/>
    <mergeCell ref="B108:C108"/>
    <mergeCell ref="D108:J108"/>
    <mergeCell ref="K108:M108"/>
    <mergeCell ref="P108:S108"/>
    <mergeCell ref="T108:W108"/>
    <mergeCell ref="X108:Z108"/>
    <mergeCell ref="AA108:AH108"/>
    <mergeCell ref="AI108:AQ108"/>
    <mergeCell ref="AU108:AX108"/>
    <mergeCell ref="AY108:BB108"/>
    <mergeCell ref="BC108:BJ108"/>
    <mergeCell ref="B107:C107"/>
    <mergeCell ref="D107:J107"/>
    <mergeCell ref="K107:M107"/>
    <mergeCell ref="P107:S107"/>
    <mergeCell ref="T107:W107"/>
    <mergeCell ref="X107:Z107"/>
    <mergeCell ref="AA107:AH107"/>
    <mergeCell ref="AI107:AQ107"/>
    <mergeCell ref="AU107:AX107"/>
    <mergeCell ref="AY105:BB105"/>
    <mergeCell ref="BC105:BJ105"/>
    <mergeCell ref="B106:C106"/>
    <mergeCell ref="D106:J106"/>
    <mergeCell ref="K106:M106"/>
    <mergeCell ref="P106:S106"/>
    <mergeCell ref="T106:W106"/>
    <mergeCell ref="X106:Z106"/>
    <mergeCell ref="AA106:AH106"/>
    <mergeCell ref="AI106:AQ106"/>
    <mergeCell ref="AU106:AX106"/>
    <mergeCell ref="AY106:BB106"/>
    <mergeCell ref="BC106:BJ106"/>
    <mergeCell ref="B105:C105"/>
    <mergeCell ref="D105:J105"/>
    <mergeCell ref="K105:M105"/>
    <mergeCell ref="P105:S105"/>
    <mergeCell ref="T105:W105"/>
    <mergeCell ref="X105:Z105"/>
    <mergeCell ref="AA105:AH105"/>
    <mergeCell ref="AI105:AQ105"/>
    <mergeCell ref="AU105:AX105"/>
    <mergeCell ref="AY103:BB103"/>
    <mergeCell ref="BC103:BJ103"/>
    <mergeCell ref="B104:C104"/>
    <mergeCell ref="D104:J104"/>
    <mergeCell ref="K104:M104"/>
    <mergeCell ref="P104:S104"/>
    <mergeCell ref="T104:W104"/>
    <mergeCell ref="X104:Z104"/>
    <mergeCell ref="AA104:AH104"/>
    <mergeCell ref="AI104:AQ104"/>
    <mergeCell ref="AU104:AX104"/>
    <mergeCell ref="AY104:BB104"/>
    <mergeCell ref="BC104:BJ104"/>
    <mergeCell ref="B103:C103"/>
    <mergeCell ref="D103:J103"/>
    <mergeCell ref="K103:M103"/>
    <mergeCell ref="P103:S103"/>
    <mergeCell ref="T103:W103"/>
    <mergeCell ref="X103:Z103"/>
    <mergeCell ref="AA103:AH103"/>
    <mergeCell ref="AI103:AQ103"/>
    <mergeCell ref="AU103:AX103"/>
    <mergeCell ref="AY101:BB101"/>
    <mergeCell ref="BC101:BJ101"/>
    <mergeCell ref="B102:C102"/>
    <mergeCell ref="D102:J102"/>
    <mergeCell ref="K102:M102"/>
    <mergeCell ref="P102:S102"/>
    <mergeCell ref="T102:W102"/>
    <mergeCell ref="X102:Z102"/>
    <mergeCell ref="AA102:AH102"/>
    <mergeCell ref="AI102:AQ102"/>
    <mergeCell ref="AU102:AX102"/>
    <mergeCell ref="AY102:BB102"/>
    <mergeCell ref="BC102:BJ102"/>
    <mergeCell ref="B101:C101"/>
    <mergeCell ref="D101:J101"/>
    <mergeCell ref="K101:M101"/>
    <mergeCell ref="P101:S101"/>
    <mergeCell ref="T101:W101"/>
    <mergeCell ref="X101:Z101"/>
    <mergeCell ref="AA101:AH101"/>
    <mergeCell ref="AI101:AQ101"/>
    <mergeCell ref="AU101:AX101"/>
    <mergeCell ref="B98:C100"/>
    <mergeCell ref="D98:J100"/>
    <mergeCell ref="K98:M100"/>
    <mergeCell ref="N98:N100"/>
    <mergeCell ref="O98:O100"/>
    <mergeCell ref="P98:AQ98"/>
    <mergeCell ref="AR98:BB98"/>
    <mergeCell ref="BC98:BJ100"/>
    <mergeCell ref="P99:W99"/>
    <mergeCell ref="X99:Z100"/>
    <mergeCell ref="AA99:AH100"/>
    <mergeCell ref="AI99:AQ100"/>
    <mergeCell ref="AR99:AR100"/>
    <mergeCell ref="AS99:AS100"/>
    <mergeCell ref="AT99:AT100"/>
    <mergeCell ref="AU99:BB99"/>
    <mergeCell ref="P100:S100"/>
    <mergeCell ref="T100:W100"/>
    <mergeCell ref="AU100:AX100"/>
    <mergeCell ref="AY100:BB100"/>
    <mergeCell ref="B50:C50"/>
    <mergeCell ref="D50:J50"/>
    <mergeCell ref="K50:M50"/>
    <mergeCell ref="P50:S50"/>
    <mergeCell ref="T50:W50"/>
    <mergeCell ref="P47:AQ47"/>
    <mergeCell ref="AR47:BB47"/>
    <mergeCell ref="BC47:BJ49"/>
    <mergeCell ref="P48:W48"/>
    <mergeCell ref="X48:Z49"/>
    <mergeCell ref="AA48:AH49"/>
    <mergeCell ref="AI48:AQ49"/>
    <mergeCell ref="AR48:AR49"/>
    <mergeCell ref="AS48:AS49"/>
    <mergeCell ref="AT48:AT49"/>
    <mergeCell ref="X50:Z50"/>
    <mergeCell ref="AA50:AH50"/>
    <mergeCell ref="AI50:AQ50"/>
    <mergeCell ref="AU50:AX50"/>
    <mergeCell ref="AY50:BB50"/>
    <mergeCell ref="BC50:BJ50"/>
    <mergeCell ref="AU48:BB48"/>
    <mergeCell ref="P49:S49"/>
    <mergeCell ref="T49:W49"/>
    <mergeCell ref="A4:G4"/>
    <mergeCell ref="H4:T4"/>
    <mergeCell ref="U4:Y4"/>
    <mergeCell ref="Z4:AO4"/>
    <mergeCell ref="AP4:BK4"/>
    <mergeCell ref="B47:C49"/>
    <mergeCell ref="D47:J49"/>
    <mergeCell ref="K47:M49"/>
    <mergeCell ref="N47:N49"/>
    <mergeCell ref="O47:O49"/>
    <mergeCell ref="AU49:AX49"/>
    <mergeCell ref="AY49:BB4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57:C57"/>
    <mergeCell ref="D57:J57"/>
    <mergeCell ref="K57:M57"/>
    <mergeCell ref="P57:S57"/>
    <mergeCell ref="T57:W57"/>
    <mergeCell ref="X57:Z57"/>
    <mergeCell ref="AA57:AH57"/>
    <mergeCell ref="AI57:AQ57"/>
    <mergeCell ref="AU57:AX57"/>
    <mergeCell ref="AY57:BB57"/>
    <mergeCell ref="BC57:BJ57"/>
    <mergeCell ref="AY58:BB58"/>
    <mergeCell ref="BC58:BJ58"/>
    <mergeCell ref="AY59:BB59"/>
    <mergeCell ref="BC59:BJ59"/>
    <mergeCell ref="B58:C58"/>
    <mergeCell ref="D58:J58"/>
    <mergeCell ref="K58:M58"/>
    <mergeCell ref="P58:S58"/>
    <mergeCell ref="T58:W58"/>
    <mergeCell ref="X58:Z58"/>
    <mergeCell ref="AA58:AH58"/>
    <mergeCell ref="AI58:AQ58"/>
    <mergeCell ref="AU58:AX58"/>
    <mergeCell ref="B59:C59"/>
    <mergeCell ref="D59:J59"/>
    <mergeCell ref="K59:M59"/>
    <mergeCell ref="P59:S59"/>
    <mergeCell ref="T59:W59"/>
    <mergeCell ref="X59:Z59"/>
    <mergeCell ref="AA59:AH59"/>
    <mergeCell ref="AI59:AQ59"/>
    <mergeCell ref="AU59:AX59"/>
    <mergeCell ref="AY63:BB63"/>
    <mergeCell ref="BC63:BJ63"/>
    <mergeCell ref="B63:C63"/>
    <mergeCell ref="D63:J63"/>
    <mergeCell ref="K63:M63"/>
    <mergeCell ref="P63:S63"/>
    <mergeCell ref="T63:W63"/>
    <mergeCell ref="X63:Z63"/>
    <mergeCell ref="AA63:AH63"/>
    <mergeCell ref="AI63:AQ63"/>
    <mergeCell ref="AU63:AX63"/>
    <mergeCell ref="B64:C64"/>
    <mergeCell ref="D64:J64"/>
    <mergeCell ref="K64:M64"/>
    <mergeCell ref="P64:S64"/>
    <mergeCell ref="T64:W64"/>
    <mergeCell ref="X64:Z64"/>
    <mergeCell ref="AA64:AH64"/>
    <mergeCell ref="AI64:AQ64"/>
    <mergeCell ref="AU64:AX64"/>
    <mergeCell ref="AY64:BB64"/>
    <mergeCell ref="BC64:BJ64"/>
    <mergeCell ref="B51:C51"/>
    <mergeCell ref="D51:J51"/>
    <mergeCell ref="K51:M51"/>
    <mergeCell ref="P51:S51"/>
    <mergeCell ref="T51:W51"/>
    <mergeCell ref="X51:Z51"/>
    <mergeCell ref="AA51:AH51"/>
    <mergeCell ref="AI51:AQ51"/>
    <mergeCell ref="AU51:AX51"/>
    <mergeCell ref="AY51:BB51"/>
    <mergeCell ref="BC51:BJ51"/>
    <mergeCell ref="B52:C52"/>
    <mergeCell ref="D52:J52"/>
    <mergeCell ref="K52:M52"/>
    <mergeCell ref="P52:S52"/>
    <mergeCell ref="T52:W52"/>
    <mergeCell ref="X52:Z52"/>
    <mergeCell ref="AA52:AH52"/>
    <mergeCell ref="AI52:AQ52"/>
    <mergeCell ref="AU52:AX52"/>
    <mergeCell ref="AY52:BB52"/>
    <mergeCell ref="BC52:BJ52"/>
    <mergeCell ref="AY53:BB53"/>
    <mergeCell ref="BC53:BJ53"/>
    <mergeCell ref="B54:C54"/>
    <mergeCell ref="D54:J54"/>
    <mergeCell ref="K54:M54"/>
    <mergeCell ref="P54:S54"/>
    <mergeCell ref="T54:W54"/>
    <mergeCell ref="X54:Z54"/>
    <mergeCell ref="AA54:AH54"/>
    <mergeCell ref="AI54:AQ54"/>
    <mergeCell ref="AU54:AX54"/>
    <mergeCell ref="AY54:BB54"/>
    <mergeCell ref="B53:C53"/>
    <mergeCell ref="D53:J53"/>
    <mergeCell ref="K53:M53"/>
    <mergeCell ref="P53:S53"/>
    <mergeCell ref="T53:W53"/>
    <mergeCell ref="X53:Z53"/>
    <mergeCell ref="AA53:AH53"/>
    <mergeCell ref="AI53:AQ53"/>
    <mergeCell ref="AU53:AX53"/>
    <mergeCell ref="AY55:BB55"/>
    <mergeCell ref="BC54:BJ54"/>
    <mergeCell ref="B56:C56"/>
    <mergeCell ref="D56:J56"/>
    <mergeCell ref="K56:M56"/>
    <mergeCell ref="P56:S56"/>
    <mergeCell ref="T56:W56"/>
    <mergeCell ref="X56:Z56"/>
    <mergeCell ref="AA56:AH56"/>
    <mergeCell ref="AI56:AQ56"/>
    <mergeCell ref="AU56:AX56"/>
    <mergeCell ref="AY56:BB56"/>
    <mergeCell ref="BC56:BJ56"/>
    <mergeCell ref="BC55:BJ55"/>
    <mergeCell ref="B55:C55"/>
    <mergeCell ref="D55:J55"/>
    <mergeCell ref="K55:M55"/>
    <mergeCell ref="P55:S55"/>
    <mergeCell ref="T55:W55"/>
    <mergeCell ref="X55:Z55"/>
    <mergeCell ref="AA55:AH55"/>
    <mergeCell ref="AI55:AQ55"/>
    <mergeCell ref="AU55:AX55"/>
    <mergeCell ref="AY61:BB61"/>
    <mergeCell ref="BC61:BJ61"/>
    <mergeCell ref="B60:C60"/>
    <mergeCell ref="D60:J60"/>
    <mergeCell ref="K60:M60"/>
    <mergeCell ref="P60:S60"/>
    <mergeCell ref="T60:W60"/>
    <mergeCell ref="X60:Z60"/>
    <mergeCell ref="AA60:AH60"/>
    <mergeCell ref="AI60:AQ60"/>
    <mergeCell ref="AU60:AX60"/>
    <mergeCell ref="AY60:BB60"/>
    <mergeCell ref="BC60:BJ60"/>
    <mergeCell ref="B61:C61"/>
    <mergeCell ref="D61:J61"/>
    <mergeCell ref="K61:M61"/>
    <mergeCell ref="P61:S61"/>
    <mergeCell ref="T61:W61"/>
    <mergeCell ref="X61:Z61"/>
    <mergeCell ref="AA61:AH61"/>
    <mergeCell ref="AI61:AQ61"/>
    <mergeCell ref="AU61:AX61"/>
    <mergeCell ref="AY62:BB62"/>
    <mergeCell ref="BC62:BJ62"/>
    <mergeCell ref="B62:C62"/>
    <mergeCell ref="D62:J62"/>
    <mergeCell ref="K62:M62"/>
    <mergeCell ref="P62:S62"/>
    <mergeCell ref="T62:W62"/>
    <mergeCell ref="X62:Z62"/>
    <mergeCell ref="AA62:AH62"/>
    <mergeCell ref="AI62:AQ62"/>
    <mergeCell ref="AU62:AX62"/>
  </mergeCells>
  <dataValidations count="2">
    <dataValidation type="list" allowBlank="1" showInputMessage="1" showErrorMessage="1" sqref="AR52 AR54 AR56 AS105:AS124 AR103 AR105 AR109:AR124 O101:O124 O50:O64 AS54:AS64 AR58:AR64" xr:uid="{00000000-0002-0000-0200-000000000000}">
      <formula1>"－,●"</formula1>
    </dataValidation>
    <dataValidation type="list" allowBlank="1" showInputMessage="1" showErrorMessage="1" sqref="N101:N124 N50:N64" xr:uid="{00000000-0002-0000-0200-000001000000}">
      <formula1>"ー,I,O,I/O"</formula1>
    </dataValidation>
  </dataValidations>
  <pageMargins left="0.7" right="0.7" top="0.75" bottom="0.75" header="0.3" footer="0.3"/>
  <pageSetup scale="2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AEDB8-EB97-4849-8FBB-A58CC735D313}">
  <sheetPr>
    <pageSetUpPr fitToPage="1"/>
  </sheetPr>
  <dimension ref="A1:BK59"/>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
  </cols>
  <sheetData>
    <row r="1" spans="1:63" ht="24.95" customHeight="1" x14ac:dyDescent="0.25">
      <c r="A1" s="272" t="s">
        <v>85</v>
      </c>
      <c r="B1" s="273"/>
      <c r="C1" s="273"/>
      <c r="D1" s="273"/>
      <c r="E1" s="273"/>
      <c r="F1" s="273"/>
      <c r="G1" s="273"/>
      <c r="H1" s="273"/>
      <c r="I1" s="273"/>
      <c r="J1" s="274"/>
      <c r="K1" s="272" t="s">
        <v>86</v>
      </c>
      <c r="L1" s="273"/>
      <c r="M1" s="273"/>
      <c r="N1" s="273"/>
      <c r="O1" s="273"/>
      <c r="P1" s="273"/>
      <c r="Q1" s="273"/>
      <c r="R1" s="273"/>
      <c r="S1" s="273"/>
      <c r="T1" s="273"/>
      <c r="U1" s="273"/>
      <c r="V1" s="274"/>
      <c r="W1" s="275" t="str">
        <f>IF(表紙!W1="","",表紙!W1)</f>
        <v>詳細設計書</v>
      </c>
      <c r="X1" s="276"/>
      <c r="Y1" s="276"/>
      <c r="Z1" s="276"/>
      <c r="AA1" s="276"/>
      <c r="AB1" s="276"/>
      <c r="AC1" s="276"/>
      <c r="AD1" s="276"/>
      <c r="AE1" s="276"/>
      <c r="AF1" s="276"/>
      <c r="AG1" s="276"/>
      <c r="AH1" s="276"/>
      <c r="AI1" s="276"/>
      <c r="AJ1" s="276"/>
      <c r="AK1" s="276"/>
      <c r="AL1" s="276"/>
      <c r="AM1" s="276"/>
      <c r="AN1" s="276"/>
      <c r="AO1" s="27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278"/>
      <c r="X2" s="279"/>
      <c r="Y2" s="279"/>
      <c r="Z2" s="279"/>
      <c r="AA2" s="279"/>
      <c r="AB2" s="279"/>
      <c r="AC2" s="279"/>
      <c r="AD2" s="279"/>
      <c r="AE2" s="279"/>
      <c r="AF2" s="279"/>
      <c r="AG2" s="279"/>
      <c r="AH2" s="279"/>
      <c r="AI2" s="279"/>
      <c r="AJ2" s="279"/>
      <c r="AK2" s="279"/>
      <c r="AL2" s="279"/>
      <c r="AM2" s="279"/>
      <c r="AN2" s="279"/>
      <c r="AO2" s="280"/>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281"/>
      <c r="X3" s="282"/>
      <c r="Y3" s="282"/>
      <c r="Z3" s="282"/>
      <c r="AA3" s="282"/>
      <c r="AB3" s="282"/>
      <c r="AC3" s="282"/>
      <c r="AD3" s="282"/>
      <c r="AE3" s="282"/>
      <c r="AF3" s="282"/>
      <c r="AG3" s="282"/>
      <c r="AH3" s="282"/>
      <c r="AI3" s="282"/>
      <c r="AJ3" s="282"/>
      <c r="AK3" s="282"/>
      <c r="AL3" s="282"/>
      <c r="AM3" s="282"/>
      <c r="AN3" s="282"/>
      <c r="AO3" s="283"/>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272" t="s">
        <v>94</v>
      </c>
      <c r="B4" s="273"/>
      <c r="C4" s="273"/>
      <c r="D4" s="273"/>
      <c r="E4" s="273"/>
      <c r="F4" s="273"/>
      <c r="G4" s="274"/>
      <c r="H4" s="76" t="str">
        <f>IF(表紙!H4="","",表紙!H4)</f>
        <v>32_レジ別単品別売上点検</v>
      </c>
      <c r="I4" s="77"/>
      <c r="J4" s="77"/>
      <c r="K4" s="77"/>
      <c r="L4" s="77"/>
      <c r="M4" s="77"/>
      <c r="N4" s="77"/>
      <c r="O4" s="77"/>
      <c r="P4" s="77"/>
      <c r="Q4" s="77"/>
      <c r="R4" s="77"/>
      <c r="S4" s="77"/>
      <c r="T4" s="78"/>
      <c r="U4" s="272" t="s">
        <v>95</v>
      </c>
      <c r="V4" s="273"/>
      <c r="W4" s="273"/>
      <c r="X4" s="273"/>
      <c r="Y4" s="274"/>
      <c r="Z4" s="79" t="str">
        <f>IF(表紙!Z4="","",表紙!Z4)</f>
        <v>画面設計書</v>
      </c>
      <c r="AA4" s="80"/>
      <c r="AB4" s="80"/>
      <c r="AC4" s="80"/>
      <c r="AD4" s="80"/>
      <c r="AE4" s="80"/>
      <c r="AF4" s="80"/>
      <c r="AG4" s="80"/>
      <c r="AH4" s="80"/>
      <c r="AI4" s="80"/>
      <c r="AJ4" s="80"/>
      <c r="AK4" s="80"/>
      <c r="AL4" s="80"/>
      <c r="AM4" s="80"/>
      <c r="AN4" s="80"/>
      <c r="AO4" s="81"/>
      <c r="AP4" s="82" t="str">
        <f ca="1">MID(CELL("filename",A1),FIND("]",CELL("filename",A1))+1,255)</f>
        <v>MD3201</v>
      </c>
      <c r="AQ4" s="80"/>
      <c r="AR4" s="80"/>
      <c r="AS4" s="80"/>
      <c r="AT4" s="80"/>
      <c r="AU4" s="80"/>
      <c r="AV4" s="80"/>
      <c r="AW4" s="80"/>
      <c r="AX4" s="80"/>
      <c r="AY4" s="80"/>
      <c r="AZ4" s="80"/>
      <c r="BA4" s="80"/>
      <c r="BB4" s="80"/>
      <c r="BC4" s="80"/>
      <c r="BD4" s="80"/>
      <c r="BE4" s="80"/>
      <c r="BF4" s="80"/>
      <c r="BG4" s="80"/>
      <c r="BH4" s="80"/>
      <c r="BI4" s="80"/>
      <c r="BJ4" s="80"/>
      <c r="BK4" s="8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5"/>
      <c r="BK6" s="6"/>
    </row>
    <row r="7" spans="1:63" ht="15" customHeight="1" x14ac:dyDescent="0.25">
      <c r="A7" s="5"/>
      <c r="B7" s="7" t="s">
        <v>160</v>
      </c>
      <c r="C7" s="284"/>
      <c r="D7" s="284"/>
      <c r="E7" s="284"/>
      <c r="F7" s="284"/>
      <c r="G7" s="284"/>
      <c r="H7" s="284"/>
      <c r="I7" s="284"/>
      <c r="J7" s="284"/>
      <c r="AE7" s="7"/>
      <c r="BK7" s="6"/>
    </row>
    <row r="8" spans="1:63" ht="15" customHeight="1" x14ac:dyDescent="0.25">
      <c r="A8" s="5"/>
      <c r="BK8" s="6"/>
    </row>
    <row r="9" spans="1:63" ht="15" customHeight="1" x14ac:dyDescent="0.25">
      <c r="A9" s="5"/>
      <c r="BK9" s="6"/>
    </row>
    <row r="10" spans="1:63" ht="15" customHeight="1" x14ac:dyDescent="0.25">
      <c r="A10" s="5"/>
      <c r="BK10" s="6"/>
    </row>
    <row r="11" spans="1:63" ht="15" customHeight="1" x14ac:dyDescent="0.25">
      <c r="A11" s="5"/>
      <c r="BK11" s="6"/>
    </row>
    <row r="12" spans="1:63" ht="15" customHeight="1" x14ac:dyDescent="0.25">
      <c r="A12" s="5"/>
      <c r="BK12" s="6"/>
    </row>
    <row r="13" spans="1:63" ht="15" customHeight="1" x14ac:dyDescent="0.25">
      <c r="A13" s="5"/>
      <c r="BK13" s="6"/>
    </row>
    <row r="14" spans="1:63" ht="15" customHeight="1" x14ac:dyDescent="0.25">
      <c r="A14" s="5"/>
      <c r="BK14" s="6"/>
    </row>
    <row r="15" spans="1:63" ht="15" customHeight="1" x14ac:dyDescent="0.25">
      <c r="A15" s="5"/>
      <c r="BK15" s="6"/>
    </row>
    <row r="16" spans="1:63" ht="15" customHeight="1" x14ac:dyDescent="0.25">
      <c r="A16" s="5"/>
      <c r="BK16" s="6"/>
    </row>
    <row r="17" spans="1:63" ht="15" customHeight="1" x14ac:dyDescent="0.25">
      <c r="A17" s="5"/>
      <c r="BK17" s="6"/>
    </row>
    <row r="18" spans="1:63" ht="15" customHeight="1" x14ac:dyDescent="0.25">
      <c r="A18" s="5"/>
      <c r="BK18" s="6"/>
    </row>
    <row r="19" spans="1:63" ht="15" customHeight="1" x14ac:dyDescent="0.25">
      <c r="A19" s="5"/>
      <c r="BK19" s="6"/>
    </row>
    <row r="20" spans="1:63" ht="15" customHeight="1" x14ac:dyDescent="0.25">
      <c r="A20" s="5"/>
      <c r="BK20" s="6"/>
    </row>
    <row r="21" spans="1:63" ht="15" customHeight="1" x14ac:dyDescent="0.25">
      <c r="A21" s="5"/>
      <c r="BK21" s="6"/>
    </row>
    <row r="22" spans="1:63" ht="15" customHeight="1" x14ac:dyDescent="0.25">
      <c r="A22" s="5"/>
      <c r="BK22" s="6"/>
    </row>
    <row r="23" spans="1:63" ht="15" customHeight="1" x14ac:dyDescent="0.25">
      <c r="A23" s="5"/>
      <c r="BK23" s="6"/>
    </row>
    <row r="24" spans="1:63" ht="15" customHeight="1" x14ac:dyDescent="0.25">
      <c r="A24" s="5"/>
      <c r="BK24" s="6"/>
    </row>
    <row r="25" spans="1:63" ht="15" customHeight="1" x14ac:dyDescent="0.25">
      <c r="A25" s="5"/>
      <c r="BK25" s="6"/>
    </row>
    <row r="26" spans="1:63" ht="15" customHeight="1" x14ac:dyDescent="0.25">
      <c r="A26" s="5"/>
      <c r="BK26" s="6"/>
    </row>
    <row r="27" spans="1:63" ht="15" customHeight="1" x14ac:dyDescent="0.25">
      <c r="A27" s="5"/>
      <c r="BK27" s="6"/>
    </row>
    <row r="28" spans="1:63" ht="15" customHeight="1" x14ac:dyDescent="0.25">
      <c r="A28" s="5"/>
      <c r="BK28" s="6"/>
    </row>
    <row r="29" spans="1:63" ht="15" customHeight="1" x14ac:dyDescent="0.25">
      <c r="A29" s="5"/>
      <c r="BK29" s="6"/>
    </row>
    <row r="30" spans="1:63" ht="15" customHeight="1" x14ac:dyDescent="0.25">
      <c r="A30" s="5"/>
      <c r="BK30" s="6"/>
    </row>
    <row r="31" spans="1:63" ht="15" customHeight="1" x14ac:dyDescent="0.25">
      <c r="A31" s="5"/>
      <c r="BK31" s="6"/>
    </row>
    <row r="32" spans="1:63" ht="15" customHeight="1" x14ac:dyDescent="0.25">
      <c r="A32" s="5"/>
      <c r="BK32" s="6"/>
    </row>
    <row r="33" spans="1:63" ht="15" customHeight="1" x14ac:dyDescent="0.25">
      <c r="A33" s="5"/>
      <c r="BK33" s="6"/>
    </row>
    <row r="34" spans="1:63" x14ac:dyDescent="0.25">
      <c r="A34" s="5"/>
      <c r="BK34" s="6"/>
    </row>
    <row r="35" spans="1:63" ht="15" customHeight="1" x14ac:dyDescent="0.25">
      <c r="A35" s="5"/>
      <c r="B35" s="7" t="s">
        <v>103</v>
      </c>
      <c r="BK35" s="6"/>
    </row>
    <row r="36" spans="1:63" x14ac:dyDescent="0.25">
      <c r="A36" s="5"/>
      <c r="BK36" s="6"/>
    </row>
    <row r="37" spans="1:63" ht="15.75" customHeight="1" x14ac:dyDescent="0.25">
      <c r="A37" s="5"/>
      <c r="B37" s="83" t="s">
        <v>104</v>
      </c>
      <c r="C37" s="84"/>
      <c r="D37" s="89" t="s">
        <v>105</v>
      </c>
      <c r="E37" s="90"/>
      <c r="F37" s="90"/>
      <c r="G37" s="90"/>
      <c r="H37" s="90"/>
      <c r="I37" s="90"/>
      <c r="J37" s="84"/>
      <c r="K37" s="89" t="s">
        <v>106</v>
      </c>
      <c r="L37" s="90"/>
      <c r="M37" s="84"/>
      <c r="N37" s="93" t="s">
        <v>3</v>
      </c>
      <c r="O37" s="96" t="s">
        <v>107</v>
      </c>
      <c r="P37" s="111" t="s">
        <v>108</v>
      </c>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3"/>
      <c r="AR37" s="99" t="s">
        <v>109</v>
      </c>
      <c r="AS37" s="100"/>
      <c r="AT37" s="100"/>
      <c r="AU37" s="100"/>
      <c r="AV37" s="100"/>
      <c r="AW37" s="100"/>
      <c r="AX37" s="100"/>
      <c r="AY37" s="100"/>
      <c r="AZ37" s="100"/>
      <c r="BA37" s="100"/>
      <c r="BB37" s="103"/>
      <c r="BC37" s="114" t="s">
        <v>110</v>
      </c>
      <c r="BD37" s="115"/>
      <c r="BE37" s="115"/>
      <c r="BF37" s="115"/>
      <c r="BG37" s="115"/>
      <c r="BH37" s="115"/>
      <c r="BI37" s="115"/>
      <c r="BJ37" s="116"/>
      <c r="BK37" s="6"/>
    </row>
    <row r="38" spans="1:63" ht="15.75" customHeight="1" x14ac:dyDescent="0.25">
      <c r="A38" s="5"/>
      <c r="B38" s="85"/>
      <c r="C38" s="86"/>
      <c r="D38" s="85"/>
      <c r="E38" s="91"/>
      <c r="F38" s="91"/>
      <c r="G38" s="91"/>
      <c r="H38" s="91"/>
      <c r="I38" s="91"/>
      <c r="J38" s="86"/>
      <c r="K38" s="85"/>
      <c r="L38" s="91"/>
      <c r="M38" s="86"/>
      <c r="N38" s="94"/>
      <c r="O38" s="97"/>
      <c r="P38" s="123" t="s">
        <v>111</v>
      </c>
      <c r="Q38" s="124"/>
      <c r="R38" s="124"/>
      <c r="S38" s="124"/>
      <c r="T38" s="124"/>
      <c r="U38" s="124"/>
      <c r="V38" s="124"/>
      <c r="W38" s="125"/>
      <c r="X38" s="126" t="s">
        <v>112</v>
      </c>
      <c r="Y38" s="127"/>
      <c r="Z38" s="128"/>
      <c r="AA38" s="126" t="s">
        <v>113</v>
      </c>
      <c r="AB38" s="127"/>
      <c r="AC38" s="127"/>
      <c r="AD38" s="127"/>
      <c r="AE38" s="127"/>
      <c r="AF38" s="127"/>
      <c r="AG38" s="127"/>
      <c r="AH38" s="128"/>
      <c r="AI38" s="126" t="s">
        <v>114</v>
      </c>
      <c r="AJ38" s="127"/>
      <c r="AK38" s="127"/>
      <c r="AL38" s="127"/>
      <c r="AM38" s="127"/>
      <c r="AN38" s="127"/>
      <c r="AO38" s="127"/>
      <c r="AP38" s="127"/>
      <c r="AQ38" s="128"/>
      <c r="AR38" s="132" t="s">
        <v>4</v>
      </c>
      <c r="AS38" s="134" t="s">
        <v>115</v>
      </c>
      <c r="AT38" s="136" t="s">
        <v>116</v>
      </c>
      <c r="AU38" s="99" t="s">
        <v>111</v>
      </c>
      <c r="AV38" s="100"/>
      <c r="AW38" s="100"/>
      <c r="AX38" s="100"/>
      <c r="AY38" s="100"/>
      <c r="AZ38" s="100"/>
      <c r="BA38" s="100"/>
      <c r="BB38" s="103"/>
      <c r="BC38" s="117"/>
      <c r="BD38" s="118"/>
      <c r="BE38" s="118"/>
      <c r="BF38" s="118"/>
      <c r="BG38" s="118"/>
      <c r="BH38" s="118"/>
      <c r="BI38" s="118"/>
      <c r="BJ38" s="119"/>
      <c r="BK38" s="6"/>
    </row>
    <row r="39" spans="1:63" x14ac:dyDescent="0.25">
      <c r="A39" s="5"/>
      <c r="B39" s="87"/>
      <c r="C39" s="88"/>
      <c r="D39" s="87"/>
      <c r="E39" s="92"/>
      <c r="F39" s="92"/>
      <c r="G39" s="92"/>
      <c r="H39" s="92"/>
      <c r="I39" s="92"/>
      <c r="J39" s="88"/>
      <c r="K39" s="87"/>
      <c r="L39" s="92"/>
      <c r="M39" s="88"/>
      <c r="N39" s="95"/>
      <c r="O39" s="98"/>
      <c r="P39" s="111" t="s">
        <v>117</v>
      </c>
      <c r="Q39" s="112"/>
      <c r="R39" s="112"/>
      <c r="S39" s="113"/>
      <c r="T39" s="111" t="s">
        <v>105</v>
      </c>
      <c r="U39" s="112"/>
      <c r="V39" s="112"/>
      <c r="W39" s="113"/>
      <c r="X39" s="129"/>
      <c r="Y39" s="130"/>
      <c r="Z39" s="131"/>
      <c r="AA39" s="129"/>
      <c r="AB39" s="130"/>
      <c r="AC39" s="130"/>
      <c r="AD39" s="130"/>
      <c r="AE39" s="130"/>
      <c r="AF39" s="130"/>
      <c r="AG39" s="130"/>
      <c r="AH39" s="131"/>
      <c r="AI39" s="129"/>
      <c r="AJ39" s="130"/>
      <c r="AK39" s="130"/>
      <c r="AL39" s="130"/>
      <c r="AM39" s="130"/>
      <c r="AN39" s="130"/>
      <c r="AO39" s="130"/>
      <c r="AP39" s="130"/>
      <c r="AQ39" s="131"/>
      <c r="AR39" s="133"/>
      <c r="AS39" s="135"/>
      <c r="AT39" s="137"/>
      <c r="AU39" s="99" t="s">
        <v>117</v>
      </c>
      <c r="AV39" s="100"/>
      <c r="AW39" s="100"/>
      <c r="AX39" s="101"/>
      <c r="AY39" s="102" t="s">
        <v>105</v>
      </c>
      <c r="AZ39" s="100"/>
      <c r="BA39" s="100"/>
      <c r="BB39" s="103"/>
      <c r="BC39" s="120"/>
      <c r="BD39" s="121"/>
      <c r="BE39" s="121"/>
      <c r="BF39" s="121"/>
      <c r="BG39" s="121"/>
      <c r="BH39" s="121"/>
      <c r="BI39" s="121"/>
      <c r="BJ39" s="122"/>
      <c r="BK39" s="6"/>
    </row>
    <row r="40" spans="1:63" x14ac:dyDescent="0.25">
      <c r="A40" s="5"/>
      <c r="B40" s="104">
        <v>0</v>
      </c>
      <c r="C40" s="105"/>
      <c r="D40" s="106" t="s">
        <v>10</v>
      </c>
      <c r="E40" s="107"/>
      <c r="F40" s="107"/>
      <c r="G40" s="107"/>
      <c r="H40" s="107"/>
      <c r="I40" s="107"/>
      <c r="J40" s="108"/>
      <c r="K40" s="42" t="s">
        <v>5</v>
      </c>
      <c r="L40" s="23"/>
      <c r="M40" s="24"/>
      <c r="N40" s="8" t="s">
        <v>6</v>
      </c>
      <c r="O40" s="9" t="s">
        <v>7</v>
      </c>
      <c r="P40" s="109" t="s">
        <v>6</v>
      </c>
      <c r="Q40" s="110"/>
      <c r="R40" s="110"/>
      <c r="S40" s="105"/>
      <c r="T40" s="109" t="s">
        <v>6</v>
      </c>
      <c r="U40" s="110"/>
      <c r="V40" s="110"/>
      <c r="W40" s="105"/>
      <c r="X40" s="144" t="s">
        <v>161</v>
      </c>
      <c r="Y40" s="145"/>
      <c r="Z40" s="146"/>
      <c r="AA40" s="104" t="s">
        <v>8</v>
      </c>
      <c r="AB40" s="110"/>
      <c r="AC40" s="110"/>
      <c r="AD40" s="110"/>
      <c r="AE40" s="110"/>
      <c r="AF40" s="110"/>
      <c r="AG40" s="110"/>
      <c r="AH40" s="105"/>
      <c r="AI40" s="141" t="s">
        <v>6</v>
      </c>
      <c r="AJ40" s="142"/>
      <c r="AK40" s="142"/>
      <c r="AL40" s="142"/>
      <c r="AM40" s="142"/>
      <c r="AN40" s="142"/>
      <c r="AO40" s="142"/>
      <c r="AP40" s="142"/>
      <c r="AQ40" s="143"/>
      <c r="AR40" s="10" t="s">
        <v>6</v>
      </c>
      <c r="AS40" s="10" t="s">
        <v>8</v>
      </c>
      <c r="AT40" s="10" t="s">
        <v>8</v>
      </c>
      <c r="AU40" s="104" t="s">
        <v>9</v>
      </c>
      <c r="AV40" s="110"/>
      <c r="AW40" s="110"/>
      <c r="AX40" s="105"/>
      <c r="AY40" s="104" t="s">
        <v>8</v>
      </c>
      <c r="AZ40" s="110"/>
      <c r="BA40" s="110"/>
      <c r="BB40" s="105"/>
      <c r="BC40" s="285" t="s">
        <v>162</v>
      </c>
      <c r="BD40" s="286"/>
      <c r="BE40" s="286"/>
      <c r="BF40" s="286"/>
      <c r="BG40" s="286"/>
      <c r="BH40" s="286"/>
      <c r="BI40" s="286"/>
      <c r="BJ40" s="287"/>
      <c r="BK40" s="6"/>
    </row>
    <row r="41" spans="1:63" x14ac:dyDescent="0.25">
      <c r="A41" s="5"/>
      <c r="B41" s="19">
        <f>B40+1</f>
        <v>1</v>
      </c>
      <c r="C41" s="21"/>
      <c r="D41" s="39" t="s">
        <v>16</v>
      </c>
      <c r="E41" s="40"/>
      <c r="F41" s="40"/>
      <c r="G41" s="40"/>
      <c r="H41" s="40"/>
      <c r="I41" s="40"/>
      <c r="J41" s="41"/>
      <c r="K41" s="42" t="s">
        <v>5</v>
      </c>
      <c r="L41" s="23"/>
      <c r="M41" s="24"/>
      <c r="N41" s="15" t="s">
        <v>6</v>
      </c>
      <c r="O41" s="9" t="s">
        <v>7</v>
      </c>
      <c r="P41" s="19" t="s">
        <v>9</v>
      </c>
      <c r="Q41" s="20"/>
      <c r="R41" s="20"/>
      <c r="S41" s="21"/>
      <c r="T41" s="19" t="s">
        <v>9</v>
      </c>
      <c r="U41" s="20"/>
      <c r="V41" s="20"/>
      <c r="W41" s="21"/>
      <c r="X41" s="53" t="s">
        <v>163</v>
      </c>
      <c r="Y41" s="54"/>
      <c r="Z41" s="55"/>
      <c r="AA41" s="19" t="s">
        <v>8</v>
      </c>
      <c r="AB41" s="20"/>
      <c r="AC41" s="20"/>
      <c r="AD41" s="20"/>
      <c r="AE41" s="20"/>
      <c r="AF41" s="20"/>
      <c r="AG41" s="20"/>
      <c r="AH41" s="21"/>
      <c r="AI41" s="32" t="s">
        <v>8</v>
      </c>
      <c r="AJ41" s="30"/>
      <c r="AK41" s="30"/>
      <c r="AL41" s="30"/>
      <c r="AM41" s="30"/>
      <c r="AN41" s="30"/>
      <c r="AO41" s="30"/>
      <c r="AP41" s="30"/>
      <c r="AQ41" s="31"/>
      <c r="AR41" s="11" t="s">
        <v>6</v>
      </c>
      <c r="AS41" s="11" t="s">
        <v>8</v>
      </c>
      <c r="AT41" s="11" t="s">
        <v>8</v>
      </c>
      <c r="AU41" s="19" t="s">
        <v>9</v>
      </c>
      <c r="AV41" s="20"/>
      <c r="AW41" s="20"/>
      <c r="AX41" s="21"/>
      <c r="AY41" s="19" t="s">
        <v>8</v>
      </c>
      <c r="AZ41" s="20"/>
      <c r="BA41" s="20"/>
      <c r="BB41" s="21"/>
      <c r="BC41" s="56"/>
      <c r="BD41" s="288"/>
      <c r="BE41" s="288"/>
      <c r="BF41" s="288"/>
      <c r="BG41" s="288"/>
      <c r="BH41" s="288"/>
      <c r="BI41" s="288"/>
      <c r="BJ41" s="289"/>
      <c r="BK41" s="6"/>
    </row>
    <row r="42" spans="1:63" x14ac:dyDescent="0.25">
      <c r="A42" s="5"/>
      <c r="B42" s="19">
        <f t="shared" ref="B42:B56" si="0">B41+1</f>
        <v>2</v>
      </c>
      <c r="C42" s="21"/>
      <c r="D42" s="33" t="s">
        <v>17</v>
      </c>
      <c r="E42" s="34"/>
      <c r="F42" s="34"/>
      <c r="G42" s="34"/>
      <c r="H42" s="34"/>
      <c r="I42" s="34"/>
      <c r="J42" s="35"/>
      <c r="K42" s="22" t="s">
        <v>128</v>
      </c>
      <c r="L42" s="23"/>
      <c r="M42" s="24"/>
      <c r="N42" s="9" t="s">
        <v>11</v>
      </c>
      <c r="O42" s="9" t="s">
        <v>6</v>
      </c>
      <c r="P42" s="19" t="s">
        <v>6</v>
      </c>
      <c r="Q42" s="20"/>
      <c r="R42" s="20"/>
      <c r="S42" s="21"/>
      <c r="T42" s="19" t="s">
        <v>6</v>
      </c>
      <c r="U42" s="20"/>
      <c r="V42" s="20"/>
      <c r="W42" s="21"/>
      <c r="X42" s="26"/>
      <c r="Y42" s="27"/>
      <c r="Z42" s="28"/>
      <c r="AA42" s="163" t="s">
        <v>124</v>
      </c>
      <c r="AB42" s="148"/>
      <c r="AC42" s="148"/>
      <c r="AD42" s="148"/>
      <c r="AE42" s="148"/>
      <c r="AF42" s="148"/>
      <c r="AG42" s="148"/>
      <c r="AH42" s="149"/>
      <c r="AI42" s="293" t="s">
        <v>57</v>
      </c>
      <c r="AJ42" s="294"/>
      <c r="AK42" s="294"/>
      <c r="AL42" s="294"/>
      <c r="AM42" s="294"/>
      <c r="AN42" s="294"/>
      <c r="AO42" s="294"/>
      <c r="AP42" s="294"/>
      <c r="AQ42" s="295"/>
      <c r="AR42" s="9" t="s">
        <v>6</v>
      </c>
      <c r="AS42" s="11" t="s">
        <v>8</v>
      </c>
      <c r="AT42" s="11" t="s">
        <v>8</v>
      </c>
      <c r="AU42" s="19" t="s">
        <v>9</v>
      </c>
      <c r="AV42" s="20"/>
      <c r="AW42" s="20"/>
      <c r="AX42" s="21"/>
      <c r="AY42" s="19" t="s">
        <v>8</v>
      </c>
      <c r="AZ42" s="20"/>
      <c r="BA42" s="20"/>
      <c r="BB42" s="21"/>
      <c r="BC42" s="296" t="s">
        <v>59</v>
      </c>
      <c r="BD42" s="297"/>
      <c r="BE42" s="297"/>
      <c r="BF42" s="297"/>
      <c r="BG42" s="297"/>
      <c r="BH42" s="297"/>
      <c r="BI42" s="297"/>
      <c r="BJ42" s="298"/>
      <c r="BK42" s="6"/>
    </row>
    <row r="43" spans="1:63" x14ac:dyDescent="0.25">
      <c r="A43" s="5"/>
      <c r="B43" s="19">
        <f t="shared" si="0"/>
        <v>3</v>
      </c>
      <c r="C43" s="21"/>
      <c r="D43" s="299" t="s">
        <v>14</v>
      </c>
      <c r="E43" s="300"/>
      <c r="F43" s="300"/>
      <c r="G43" s="300"/>
      <c r="H43" s="300"/>
      <c r="I43" s="300"/>
      <c r="J43" s="301"/>
      <c r="K43" s="22" t="s">
        <v>140</v>
      </c>
      <c r="L43" s="23"/>
      <c r="M43" s="24"/>
      <c r="N43" s="12" t="s">
        <v>6</v>
      </c>
      <c r="O43" s="9" t="s">
        <v>7</v>
      </c>
      <c r="P43" s="19" t="s">
        <v>9</v>
      </c>
      <c r="Q43" s="20"/>
      <c r="R43" s="20"/>
      <c r="S43" s="21"/>
      <c r="T43" s="19" t="s">
        <v>9</v>
      </c>
      <c r="U43" s="20"/>
      <c r="V43" s="20"/>
      <c r="W43" s="21"/>
      <c r="X43" s="49" t="s">
        <v>14</v>
      </c>
      <c r="Y43" s="20"/>
      <c r="Z43" s="21"/>
      <c r="AA43" s="19" t="s">
        <v>8</v>
      </c>
      <c r="AB43" s="20"/>
      <c r="AC43" s="20"/>
      <c r="AD43" s="20"/>
      <c r="AE43" s="20"/>
      <c r="AF43" s="20"/>
      <c r="AG43" s="20"/>
      <c r="AH43" s="21"/>
      <c r="AI43" s="32" t="s">
        <v>8</v>
      </c>
      <c r="AJ43" s="30"/>
      <c r="AK43" s="30"/>
      <c r="AL43" s="30"/>
      <c r="AM43" s="30"/>
      <c r="AN43" s="30"/>
      <c r="AO43" s="30"/>
      <c r="AP43" s="30"/>
      <c r="AQ43" s="31"/>
      <c r="AR43" s="11" t="s">
        <v>6</v>
      </c>
      <c r="AS43" s="11" t="s">
        <v>8</v>
      </c>
      <c r="AT43" s="11" t="s">
        <v>8</v>
      </c>
      <c r="AU43" s="19" t="s">
        <v>9</v>
      </c>
      <c r="AV43" s="20"/>
      <c r="AW43" s="20"/>
      <c r="AX43" s="21"/>
      <c r="AY43" s="19" t="s">
        <v>8</v>
      </c>
      <c r="AZ43" s="20"/>
      <c r="BA43" s="20"/>
      <c r="BB43" s="21"/>
      <c r="BC43" s="302" t="s">
        <v>164</v>
      </c>
      <c r="BD43" s="303"/>
      <c r="BE43" s="303"/>
      <c r="BF43" s="303"/>
      <c r="BG43" s="303"/>
      <c r="BH43" s="303"/>
      <c r="BI43" s="303"/>
      <c r="BJ43" s="304"/>
      <c r="BK43" s="6"/>
    </row>
    <row r="44" spans="1:63" x14ac:dyDescent="0.25">
      <c r="A44" s="5"/>
      <c r="B44" s="19">
        <f t="shared" si="0"/>
        <v>4</v>
      </c>
      <c r="C44" s="21"/>
      <c r="D44" s="33" t="s">
        <v>60</v>
      </c>
      <c r="E44" s="34"/>
      <c r="F44" s="34"/>
      <c r="G44" s="34"/>
      <c r="H44" s="34"/>
      <c r="I44" s="34"/>
      <c r="J44" s="35"/>
      <c r="K44" s="22" t="s">
        <v>142</v>
      </c>
      <c r="L44" s="23"/>
      <c r="M44" s="24"/>
      <c r="N44" s="12" t="s">
        <v>11</v>
      </c>
      <c r="O44" s="9" t="s">
        <v>6</v>
      </c>
      <c r="P44" s="19" t="s">
        <v>9</v>
      </c>
      <c r="Q44" s="20"/>
      <c r="R44" s="20"/>
      <c r="S44" s="21"/>
      <c r="T44" s="19" t="s">
        <v>9</v>
      </c>
      <c r="U44" s="20"/>
      <c r="V44" s="20"/>
      <c r="W44" s="21"/>
      <c r="X44" s="26"/>
      <c r="Y44" s="27"/>
      <c r="Z44" s="28"/>
      <c r="AA44" s="163" t="s">
        <v>124</v>
      </c>
      <c r="AB44" s="148"/>
      <c r="AC44" s="148"/>
      <c r="AD44" s="148"/>
      <c r="AE44" s="148"/>
      <c r="AF44" s="148"/>
      <c r="AG44" s="148"/>
      <c r="AH44" s="149"/>
      <c r="AI44" s="293" t="s">
        <v>57</v>
      </c>
      <c r="AJ44" s="294"/>
      <c r="AK44" s="294"/>
      <c r="AL44" s="294"/>
      <c r="AM44" s="294"/>
      <c r="AN44" s="294"/>
      <c r="AO44" s="294"/>
      <c r="AP44" s="294"/>
      <c r="AQ44" s="295"/>
      <c r="AR44" s="9" t="s">
        <v>6</v>
      </c>
      <c r="AS44" s="9" t="s">
        <v>6</v>
      </c>
      <c r="AT44" s="11" t="s">
        <v>8</v>
      </c>
      <c r="AU44" s="19" t="s">
        <v>9</v>
      </c>
      <c r="AV44" s="20"/>
      <c r="AW44" s="20"/>
      <c r="AX44" s="21"/>
      <c r="AY44" s="19" t="s">
        <v>8</v>
      </c>
      <c r="AZ44" s="20"/>
      <c r="BA44" s="20"/>
      <c r="BB44" s="21"/>
      <c r="BC44" s="296"/>
      <c r="BD44" s="288"/>
      <c r="BE44" s="288"/>
      <c r="BF44" s="288"/>
      <c r="BG44" s="288"/>
      <c r="BH44" s="288"/>
      <c r="BI44" s="288"/>
      <c r="BJ44" s="289"/>
      <c r="BK44" s="6"/>
    </row>
    <row r="45" spans="1:63" x14ac:dyDescent="0.25">
      <c r="A45" s="5"/>
      <c r="B45" s="19">
        <f t="shared" si="0"/>
        <v>5</v>
      </c>
      <c r="C45" s="21"/>
      <c r="D45" s="39" t="s">
        <v>61</v>
      </c>
      <c r="E45" s="40"/>
      <c r="F45" s="40"/>
      <c r="G45" s="40"/>
      <c r="H45" s="40"/>
      <c r="I45" s="40"/>
      <c r="J45" s="41"/>
      <c r="K45" s="22" t="s">
        <v>140</v>
      </c>
      <c r="L45" s="23"/>
      <c r="M45" s="24"/>
      <c r="N45" s="9" t="s">
        <v>8</v>
      </c>
      <c r="O45" s="9" t="s">
        <v>7</v>
      </c>
      <c r="P45" s="25"/>
      <c r="Q45" s="20"/>
      <c r="R45" s="20"/>
      <c r="S45" s="21"/>
      <c r="T45" s="43"/>
      <c r="U45" s="44"/>
      <c r="V45" s="44"/>
      <c r="W45" s="45"/>
      <c r="X45" s="26" t="s">
        <v>165</v>
      </c>
      <c r="Y45" s="27"/>
      <c r="Z45" s="28"/>
      <c r="AA45" s="163" t="s">
        <v>124</v>
      </c>
      <c r="AB45" s="148"/>
      <c r="AC45" s="148"/>
      <c r="AD45" s="148"/>
      <c r="AE45" s="148"/>
      <c r="AF45" s="148"/>
      <c r="AG45" s="148"/>
      <c r="AH45" s="149"/>
      <c r="AI45" s="48" t="s">
        <v>124</v>
      </c>
      <c r="AJ45" s="164"/>
      <c r="AK45" s="164"/>
      <c r="AL45" s="164"/>
      <c r="AM45" s="164"/>
      <c r="AN45" s="164"/>
      <c r="AO45" s="164"/>
      <c r="AP45" s="164"/>
      <c r="AQ45" s="165"/>
      <c r="AR45" s="11" t="s">
        <v>6</v>
      </c>
      <c r="AS45" s="9" t="s">
        <v>6</v>
      </c>
      <c r="AT45" s="11" t="s">
        <v>8</v>
      </c>
      <c r="AU45" s="19" t="s">
        <v>9</v>
      </c>
      <c r="AV45" s="20"/>
      <c r="AW45" s="20"/>
      <c r="AX45" s="21"/>
      <c r="AY45" s="19" t="s">
        <v>8</v>
      </c>
      <c r="AZ45" s="20"/>
      <c r="BA45" s="20"/>
      <c r="BB45" s="21"/>
      <c r="BC45" s="305" t="s">
        <v>166</v>
      </c>
      <c r="BD45" s="288"/>
      <c r="BE45" s="288"/>
      <c r="BF45" s="288"/>
      <c r="BG45" s="288"/>
      <c r="BH45" s="288"/>
      <c r="BI45" s="288"/>
      <c r="BJ45" s="289"/>
      <c r="BK45" s="6"/>
    </row>
    <row r="46" spans="1:63" x14ac:dyDescent="0.25">
      <c r="A46" s="5"/>
      <c r="B46" s="19">
        <f t="shared" si="0"/>
        <v>6</v>
      </c>
      <c r="C46" s="21"/>
      <c r="D46" s="33" t="s">
        <v>62</v>
      </c>
      <c r="E46" s="34"/>
      <c r="F46" s="34"/>
      <c r="G46" s="34"/>
      <c r="H46" s="34"/>
      <c r="I46" s="34"/>
      <c r="J46" s="35"/>
      <c r="K46" s="22" t="s">
        <v>142</v>
      </c>
      <c r="L46" s="23"/>
      <c r="M46" s="24"/>
      <c r="N46" s="9" t="s">
        <v>8</v>
      </c>
      <c r="O46" s="9" t="s">
        <v>7</v>
      </c>
      <c r="P46" s="25" t="s">
        <v>6</v>
      </c>
      <c r="Q46" s="20"/>
      <c r="R46" s="20"/>
      <c r="S46" s="21"/>
      <c r="T46" s="25" t="s">
        <v>6</v>
      </c>
      <c r="U46" s="20"/>
      <c r="V46" s="20"/>
      <c r="W46" s="21"/>
      <c r="X46" s="26" t="s">
        <v>167</v>
      </c>
      <c r="Y46" s="27"/>
      <c r="Z46" s="28"/>
      <c r="AA46" s="19" t="s">
        <v>8</v>
      </c>
      <c r="AB46" s="20"/>
      <c r="AC46" s="20"/>
      <c r="AD46" s="20"/>
      <c r="AE46" s="20"/>
      <c r="AF46" s="20"/>
      <c r="AG46" s="20"/>
      <c r="AH46" s="21"/>
      <c r="AI46" s="293" t="s">
        <v>8</v>
      </c>
      <c r="AJ46" s="294"/>
      <c r="AK46" s="294"/>
      <c r="AL46" s="294"/>
      <c r="AM46" s="294"/>
      <c r="AN46" s="294"/>
      <c r="AO46" s="294"/>
      <c r="AP46" s="294"/>
      <c r="AQ46" s="295"/>
      <c r="AR46" s="11" t="s">
        <v>6</v>
      </c>
      <c r="AS46" s="9" t="s">
        <v>6</v>
      </c>
      <c r="AT46" s="11" t="s">
        <v>8</v>
      </c>
      <c r="AU46" s="19" t="s">
        <v>9</v>
      </c>
      <c r="AV46" s="20"/>
      <c r="AW46" s="20"/>
      <c r="AX46" s="21"/>
      <c r="AY46" s="19" t="s">
        <v>8</v>
      </c>
      <c r="AZ46" s="20"/>
      <c r="BA46" s="20"/>
      <c r="BB46" s="21"/>
      <c r="BC46" s="296"/>
      <c r="BD46" s="288"/>
      <c r="BE46" s="288"/>
      <c r="BF46" s="288"/>
      <c r="BG46" s="288"/>
      <c r="BH46" s="288"/>
      <c r="BI46" s="288"/>
      <c r="BJ46" s="289"/>
      <c r="BK46" s="6"/>
    </row>
    <row r="47" spans="1:63" x14ac:dyDescent="0.25">
      <c r="A47" s="5"/>
      <c r="B47" s="19">
        <f t="shared" si="0"/>
        <v>7</v>
      </c>
      <c r="C47" s="21"/>
      <c r="D47" s="39" t="s">
        <v>12</v>
      </c>
      <c r="E47" s="40"/>
      <c r="F47" s="40"/>
      <c r="G47" s="40"/>
      <c r="H47" s="40"/>
      <c r="I47" s="40"/>
      <c r="J47" s="41"/>
      <c r="K47" s="42" t="s">
        <v>5</v>
      </c>
      <c r="L47" s="23"/>
      <c r="M47" s="24"/>
      <c r="N47" s="9" t="s">
        <v>13</v>
      </c>
      <c r="O47" s="9" t="s">
        <v>6</v>
      </c>
      <c r="P47" s="25" t="s">
        <v>6</v>
      </c>
      <c r="Q47" s="20"/>
      <c r="R47" s="20"/>
      <c r="S47" s="21"/>
      <c r="T47" s="25" t="s">
        <v>6</v>
      </c>
      <c r="U47" s="20"/>
      <c r="V47" s="20"/>
      <c r="W47" s="21"/>
      <c r="X47" s="26" t="s">
        <v>6</v>
      </c>
      <c r="Y47" s="27"/>
      <c r="Z47" s="28"/>
      <c r="AA47" s="25" t="s">
        <v>124</v>
      </c>
      <c r="AB47" s="20"/>
      <c r="AC47" s="20"/>
      <c r="AD47" s="20"/>
      <c r="AE47" s="20"/>
      <c r="AF47" s="20"/>
      <c r="AG47" s="20"/>
      <c r="AH47" s="21"/>
      <c r="AI47" s="48" t="s">
        <v>124</v>
      </c>
      <c r="AJ47" s="164"/>
      <c r="AK47" s="164"/>
      <c r="AL47" s="164"/>
      <c r="AM47" s="164"/>
      <c r="AN47" s="164"/>
      <c r="AO47" s="164"/>
      <c r="AP47" s="164"/>
      <c r="AQ47" s="165"/>
      <c r="AR47" s="11" t="s">
        <v>6</v>
      </c>
      <c r="AS47" s="11" t="s">
        <v>6</v>
      </c>
      <c r="AT47" s="11" t="s">
        <v>8</v>
      </c>
      <c r="AU47" s="19" t="s">
        <v>9</v>
      </c>
      <c r="AV47" s="20"/>
      <c r="AW47" s="20"/>
      <c r="AX47" s="21"/>
      <c r="AY47" s="19" t="s">
        <v>8</v>
      </c>
      <c r="AZ47" s="20"/>
      <c r="BA47" s="20"/>
      <c r="BB47" s="21"/>
      <c r="BC47" s="56"/>
      <c r="BD47" s="288"/>
      <c r="BE47" s="288"/>
      <c r="BF47" s="288"/>
      <c r="BG47" s="288"/>
      <c r="BH47" s="288"/>
      <c r="BI47" s="288"/>
      <c r="BJ47" s="289"/>
      <c r="BK47" s="6"/>
    </row>
    <row r="48" spans="1:63" ht="15.75" customHeight="1" x14ac:dyDescent="0.25">
      <c r="A48" s="5"/>
      <c r="B48" s="19">
        <f t="shared" si="0"/>
        <v>8</v>
      </c>
      <c r="C48" s="21"/>
      <c r="D48" s="33" t="s">
        <v>63</v>
      </c>
      <c r="E48" s="34"/>
      <c r="F48" s="34"/>
      <c r="G48" s="34"/>
      <c r="H48" s="34"/>
      <c r="I48" s="34"/>
      <c r="J48" s="35"/>
      <c r="K48" s="42" t="s">
        <v>5</v>
      </c>
      <c r="L48" s="23"/>
      <c r="M48" s="24"/>
      <c r="N48" s="9" t="s">
        <v>8</v>
      </c>
      <c r="O48" s="9" t="s">
        <v>7</v>
      </c>
      <c r="P48" s="25" t="s">
        <v>6</v>
      </c>
      <c r="Q48" s="20"/>
      <c r="R48" s="20"/>
      <c r="S48" s="21"/>
      <c r="T48" s="25" t="s">
        <v>6</v>
      </c>
      <c r="U48" s="20"/>
      <c r="V48" s="20"/>
      <c r="W48" s="21"/>
      <c r="X48" s="26" t="s">
        <v>149</v>
      </c>
      <c r="Y48" s="27"/>
      <c r="Z48" s="28"/>
      <c r="AA48" s="163" t="s">
        <v>124</v>
      </c>
      <c r="AB48" s="148"/>
      <c r="AC48" s="148"/>
      <c r="AD48" s="148"/>
      <c r="AE48" s="148"/>
      <c r="AF48" s="148"/>
      <c r="AG48" s="148"/>
      <c r="AH48" s="149"/>
      <c r="AI48" s="293" t="s">
        <v>8</v>
      </c>
      <c r="AJ48" s="294"/>
      <c r="AK48" s="294"/>
      <c r="AL48" s="294"/>
      <c r="AM48" s="294"/>
      <c r="AN48" s="294"/>
      <c r="AO48" s="294"/>
      <c r="AP48" s="294"/>
      <c r="AQ48" s="295"/>
      <c r="AR48" s="11" t="s">
        <v>6</v>
      </c>
      <c r="AS48" s="11" t="s">
        <v>6</v>
      </c>
      <c r="AT48" s="11" t="s">
        <v>8</v>
      </c>
      <c r="AU48" s="19" t="s">
        <v>9</v>
      </c>
      <c r="AV48" s="20"/>
      <c r="AW48" s="20"/>
      <c r="AX48" s="21"/>
      <c r="AY48" s="19" t="s">
        <v>8</v>
      </c>
      <c r="AZ48" s="20"/>
      <c r="BA48" s="20"/>
      <c r="BB48" s="21"/>
      <c r="BC48" s="306"/>
      <c r="BD48" s="303"/>
      <c r="BE48" s="303"/>
      <c r="BF48" s="303"/>
      <c r="BG48" s="303"/>
      <c r="BH48" s="303"/>
      <c r="BI48" s="303"/>
      <c r="BJ48" s="304"/>
      <c r="BK48" s="6"/>
    </row>
    <row r="49" spans="1:63" x14ac:dyDescent="0.25">
      <c r="A49" s="5"/>
      <c r="B49" s="19">
        <f t="shared" si="0"/>
        <v>9</v>
      </c>
      <c r="C49" s="21"/>
      <c r="D49" s="39" t="s">
        <v>42</v>
      </c>
      <c r="E49" s="40"/>
      <c r="F49" s="40"/>
      <c r="G49" s="40"/>
      <c r="H49" s="40"/>
      <c r="I49" s="40"/>
      <c r="J49" s="41"/>
      <c r="K49" s="42" t="s">
        <v>5</v>
      </c>
      <c r="L49" s="23"/>
      <c r="M49" s="24"/>
      <c r="N49" s="12" t="s">
        <v>13</v>
      </c>
      <c r="O49" s="9" t="s">
        <v>6</v>
      </c>
      <c r="P49" s="25" t="s">
        <v>6</v>
      </c>
      <c r="Q49" s="20"/>
      <c r="R49" s="20"/>
      <c r="S49" s="21"/>
      <c r="T49" s="25" t="s">
        <v>6</v>
      </c>
      <c r="U49" s="20"/>
      <c r="V49" s="20"/>
      <c r="W49" s="21"/>
      <c r="X49" s="26" t="s">
        <v>6</v>
      </c>
      <c r="Y49" s="27"/>
      <c r="Z49" s="28"/>
      <c r="AA49" s="163" t="s">
        <v>124</v>
      </c>
      <c r="AB49" s="148"/>
      <c r="AC49" s="148"/>
      <c r="AD49" s="148"/>
      <c r="AE49" s="148"/>
      <c r="AF49" s="148"/>
      <c r="AG49" s="148"/>
      <c r="AH49" s="149"/>
      <c r="AI49" s="290" t="s">
        <v>8</v>
      </c>
      <c r="AJ49" s="317"/>
      <c r="AK49" s="317"/>
      <c r="AL49" s="317"/>
      <c r="AM49" s="317"/>
      <c r="AN49" s="317"/>
      <c r="AO49" s="317"/>
      <c r="AP49" s="317"/>
      <c r="AQ49" s="318"/>
      <c r="AR49" s="11" t="s">
        <v>6</v>
      </c>
      <c r="AS49" s="11" t="s">
        <v>6</v>
      </c>
      <c r="AT49" s="11" t="s">
        <v>8</v>
      </c>
      <c r="AU49" s="19" t="s">
        <v>9</v>
      </c>
      <c r="AV49" s="20"/>
      <c r="AW49" s="20"/>
      <c r="AX49" s="21"/>
      <c r="AY49" s="19" t="s">
        <v>8</v>
      </c>
      <c r="AZ49" s="20"/>
      <c r="BA49" s="20"/>
      <c r="BB49" s="21"/>
      <c r="BC49" s="306"/>
      <c r="BD49" s="303"/>
      <c r="BE49" s="303"/>
      <c r="BF49" s="303"/>
      <c r="BG49" s="303"/>
      <c r="BH49" s="303"/>
      <c r="BI49" s="303"/>
      <c r="BJ49" s="304"/>
      <c r="BK49" s="6"/>
    </row>
    <row r="50" spans="1:63" ht="15.75" customHeight="1" x14ac:dyDescent="0.25">
      <c r="A50" s="5"/>
      <c r="B50" s="19">
        <f t="shared" si="0"/>
        <v>10</v>
      </c>
      <c r="C50" s="21"/>
      <c r="D50" s="307" t="s">
        <v>64</v>
      </c>
      <c r="E50" s="308"/>
      <c r="F50" s="308"/>
      <c r="G50" s="308"/>
      <c r="H50" s="308"/>
      <c r="I50" s="308"/>
      <c r="J50" s="309"/>
      <c r="K50" s="42" t="s">
        <v>5</v>
      </c>
      <c r="L50" s="23"/>
      <c r="M50" s="24"/>
      <c r="N50" s="9" t="s">
        <v>8</v>
      </c>
      <c r="O50" s="9" t="s">
        <v>7</v>
      </c>
      <c r="P50" s="25"/>
      <c r="Q50" s="20"/>
      <c r="R50" s="20"/>
      <c r="S50" s="21"/>
      <c r="T50" s="25"/>
      <c r="U50" s="20"/>
      <c r="V50" s="20"/>
      <c r="W50" s="21"/>
      <c r="X50" s="26" t="s">
        <v>163</v>
      </c>
      <c r="Y50" s="27"/>
      <c r="Z50" s="28"/>
      <c r="AA50" s="163" t="s">
        <v>124</v>
      </c>
      <c r="AB50" s="148"/>
      <c r="AC50" s="148"/>
      <c r="AD50" s="148"/>
      <c r="AE50" s="148"/>
      <c r="AF50" s="148"/>
      <c r="AG50" s="148"/>
      <c r="AH50" s="149"/>
      <c r="AI50" s="290" t="s">
        <v>8</v>
      </c>
      <c r="AJ50" s="317"/>
      <c r="AK50" s="317"/>
      <c r="AL50" s="317"/>
      <c r="AM50" s="317"/>
      <c r="AN50" s="317"/>
      <c r="AO50" s="317"/>
      <c r="AP50" s="317"/>
      <c r="AQ50" s="318"/>
      <c r="AR50" s="11" t="s">
        <v>6</v>
      </c>
      <c r="AS50" s="11" t="s">
        <v>6</v>
      </c>
      <c r="AT50" s="11" t="s">
        <v>8</v>
      </c>
      <c r="AU50" s="19" t="s">
        <v>9</v>
      </c>
      <c r="AV50" s="20"/>
      <c r="AW50" s="20"/>
      <c r="AX50" s="21"/>
      <c r="AY50" s="19" t="s">
        <v>8</v>
      </c>
      <c r="AZ50" s="20"/>
      <c r="BA50" s="20"/>
      <c r="BB50" s="21"/>
      <c r="BC50" s="306"/>
      <c r="BD50" s="303"/>
      <c r="BE50" s="303"/>
      <c r="BF50" s="303"/>
      <c r="BG50" s="303"/>
      <c r="BH50" s="303"/>
      <c r="BI50" s="303"/>
      <c r="BJ50" s="304"/>
      <c r="BK50" s="6"/>
    </row>
    <row r="51" spans="1:63" ht="15.75" customHeight="1" x14ac:dyDescent="0.25">
      <c r="A51" s="5"/>
      <c r="B51" s="19">
        <f t="shared" si="0"/>
        <v>11</v>
      </c>
      <c r="C51" s="21"/>
      <c r="D51" s="307" t="s">
        <v>17</v>
      </c>
      <c r="E51" s="308"/>
      <c r="F51" s="308"/>
      <c r="G51" s="308"/>
      <c r="H51" s="308"/>
      <c r="I51" s="308"/>
      <c r="J51" s="309"/>
      <c r="K51" s="42" t="s">
        <v>5</v>
      </c>
      <c r="L51" s="23"/>
      <c r="M51" s="24"/>
      <c r="N51" s="12" t="s">
        <v>13</v>
      </c>
      <c r="O51" s="9" t="s">
        <v>6</v>
      </c>
      <c r="P51" s="25" t="s">
        <v>6</v>
      </c>
      <c r="Q51" s="20"/>
      <c r="R51" s="20"/>
      <c r="S51" s="21"/>
      <c r="T51" s="25" t="s">
        <v>6</v>
      </c>
      <c r="U51" s="20"/>
      <c r="V51" s="20"/>
      <c r="W51" s="21"/>
      <c r="X51" s="26" t="s">
        <v>6</v>
      </c>
      <c r="Y51" s="27"/>
      <c r="Z51" s="28"/>
      <c r="AA51" s="163" t="s">
        <v>124</v>
      </c>
      <c r="AB51" s="148"/>
      <c r="AC51" s="148"/>
      <c r="AD51" s="148"/>
      <c r="AE51" s="148"/>
      <c r="AF51" s="148"/>
      <c r="AG51" s="148"/>
      <c r="AH51" s="149"/>
      <c r="AI51" s="290" t="s">
        <v>8</v>
      </c>
      <c r="AJ51" s="317"/>
      <c r="AK51" s="317"/>
      <c r="AL51" s="317"/>
      <c r="AM51" s="317"/>
      <c r="AN51" s="317"/>
      <c r="AO51" s="317"/>
      <c r="AP51" s="317"/>
      <c r="AQ51" s="318"/>
      <c r="AR51" s="11" t="s">
        <v>6</v>
      </c>
      <c r="AS51" s="11" t="s">
        <v>6</v>
      </c>
      <c r="AT51" s="11" t="s">
        <v>8</v>
      </c>
      <c r="AU51" s="19" t="s">
        <v>9</v>
      </c>
      <c r="AV51" s="20"/>
      <c r="AW51" s="20"/>
      <c r="AX51" s="21"/>
      <c r="AY51" s="19" t="s">
        <v>8</v>
      </c>
      <c r="AZ51" s="20"/>
      <c r="BA51" s="20"/>
      <c r="BB51" s="21"/>
      <c r="BC51" s="306"/>
      <c r="BD51" s="303"/>
      <c r="BE51" s="303"/>
      <c r="BF51" s="303"/>
      <c r="BG51" s="303"/>
      <c r="BH51" s="303"/>
      <c r="BI51" s="303"/>
      <c r="BJ51" s="304"/>
      <c r="BK51" s="6"/>
    </row>
    <row r="52" spans="1:63" ht="15.75" customHeight="1" x14ac:dyDescent="0.25">
      <c r="A52" s="5"/>
      <c r="B52" s="19">
        <f t="shared" si="0"/>
        <v>12</v>
      </c>
      <c r="C52" s="21"/>
      <c r="D52" s="307" t="s">
        <v>65</v>
      </c>
      <c r="E52" s="308"/>
      <c r="F52" s="308"/>
      <c r="G52" s="308"/>
      <c r="H52" s="308"/>
      <c r="I52" s="308"/>
      <c r="J52" s="309"/>
      <c r="K52" s="22" t="s">
        <v>142</v>
      </c>
      <c r="L52" s="23"/>
      <c r="M52" s="24"/>
      <c r="N52" s="12" t="s">
        <v>13</v>
      </c>
      <c r="O52" s="9" t="s">
        <v>7</v>
      </c>
      <c r="P52" s="25" t="s">
        <v>6</v>
      </c>
      <c r="Q52" s="20"/>
      <c r="R52" s="20"/>
      <c r="S52" s="21"/>
      <c r="T52" s="25" t="s">
        <v>6</v>
      </c>
      <c r="U52" s="20"/>
      <c r="V52" s="20"/>
      <c r="W52" s="21"/>
      <c r="X52" s="26" t="s">
        <v>168</v>
      </c>
      <c r="Y52" s="27"/>
      <c r="Z52" s="28"/>
      <c r="AA52" s="163" t="s">
        <v>124</v>
      </c>
      <c r="AB52" s="148"/>
      <c r="AC52" s="148"/>
      <c r="AD52" s="148"/>
      <c r="AE52" s="148"/>
      <c r="AF52" s="148"/>
      <c r="AG52" s="148"/>
      <c r="AH52" s="149"/>
      <c r="AI52" s="290" t="s">
        <v>8</v>
      </c>
      <c r="AJ52" s="317"/>
      <c r="AK52" s="317"/>
      <c r="AL52" s="317"/>
      <c r="AM52" s="317"/>
      <c r="AN52" s="317"/>
      <c r="AO52" s="317"/>
      <c r="AP52" s="317"/>
      <c r="AQ52" s="318"/>
      <c r="AR52" s="11" t="s">
        <v>6</v>
      </c>
      <c r="AS52" s="11" t="s">
        <v>6</v>
      </c>
      <c r="AT52" s="11" t="s">
        <v>8</v>
      </c>
      <c r="AU52" s="19" t="s">
        <v>9</v>
      </c>
      <c r="AV52" s="20"/>
      <c r="AW52" s="20"/>
      <c r="AX52" s="21"/>
      <c r="AY52" s="19" t="s">
        <v>8</v>
      </c>
      <c r="AZ52" s="20"/>
      <c r="BA52" s="20"/>
      <c r="BB52" s="21"/>
      <c r="BC52" s="306"/>
      <c r="BD52" s="303"/>
      <c r="BE52" s="303"/>
      <c r="BF52" s="303"/>
      <c r="BG52" s="303"/>
      <c r="BH52" s="303"/>
      <c r="BI52" s="303"/>
      <c r="BJ52" s="304"/>
      <c r="BK52" s="6"/>
    </row>
    <row r="53" spans="1:63" x14ac:dyDescent="0.25">
      <c r="A53" s="5"/>
      <c r="B53" s="19">
        <f t="shared" si="0"/>
        <v>13</v>
      </c>
      <c r="C53" s="21"/>
      <c r="D53" s="33" t="s">
        <v>66</v>
      </c>
      <c r="E53" s="34"/>
      <c r="F53" s="34"/>
      <c r="G53" s="34"/>
      <c r="H53" s="34"/>
      <c r="I53" s="34"/>
      <c r="J53" s="35"/>
      <c r="K53" s="22" t="s">
        <v>142</v>
      </c>
      <c r="L53" s="23"/>
      <c r="M53" s="24"/>
      <c r="N53" s="12" t="s">
        <v>6</v>
      </c>
      <c r="O53" s="9" t="s">
        <v>6</v>
      </c>
      <c r="P53" s="25" t="s">
        <v>6</v>
      </c>
      <c r="Q53" s="20"/>
      <c r="R53" s="20"/>
      <c r="S53" s="21"/>
      <c r="T53" s="25" t="s">
        <v>6</v>
      </c>
      <c r="U53" s="20"/>
      <c r="V53" s="20"/>
      <c r="W53" s="21"/>
      <c r="X53" s="26" t="s">
        <v>6</v>
      </c>
      <c r="Y53" s="27"/>
      <c r="Z53" s="28"/>
      <c r="AA53" s="19" t="s">
        <v>8</v>
      </c>
      <c r="AB53" s="20"/>
      <c r="AC53" s="20"/>
      <c r="AD53" s="20"/>
      <c r="AE53" s="20"/>
      <c r="AF53" s="20"/>
      <c r="AG53" s="20"/>
      <c r="AH53" s="21"/>
      <c r="AI53" s="32" t="s">
        <v>8</v>
      </c>
      <c r="AJ53" s="30"/>
      <c r="AK53" s="30"/>
      <c r="AL53" s="30"/>
      <c r="AM53" s="30"/>
      <c r="AN53" s="30"/>
      <c r="AO53" s="30"/>
      <c r="AP53" s="30"/>
      <c r="AQ53" s="31"/>
      <c r="AR53" s="11" t="s">
        <v>6</v>
      </c>
      <c r="AS53" s="11" t="s">
        <v>6</v>
      </c>
      <c r="AT53" s="11" t="s">
        <v>8</v>
      </c>
      <c r="AU53" s="19" t="s">
        <v>9</v>
      </c>
      <c r="AV53" s="20"/>
      <c r="AW53" s="20"/>
      <c r="AX53" s="21"/>
      <c r="AY53" s="19" t="s">
        <v>8</v>
      </c>
      <c r="AZ53" s="20"/>
      <c r="BA53" s="20"/>
      <c r="BB53" s="21"/>
      <c r="BC53" s="305"/>
      <c r="BD53" s="288"/>
      <c r="BE53" s="288"/>
      <c r="BF53" s="288"/>
      <c r="BG53" s="288"/>
      <c r="BH53" s="288"/>
      <c r="BI53" s="288"/>
      <c r="BJ53" s="289"/>
      <c r="BK53" s="6"/>
    </row>
    <row r="54" spans="1:63" x14ac:dyDescent="0.25">
      <c r="A54" s="5"/>
      <c r="B54" s="19">
        <f t="shared" si="0"/>
        <v>14</v>
      </c>
      <c r="C54" s="21"/>
      <c r="D54" s="33" t="s">
        <v>67</v>
      </c>
      <c r="E54" s="34"/>
      <c r="F54" s="34"/>
      <c r="G54" s="34"/>
      <c r="H54" s="34"/>
      <c r="I54" s="34"/>
      <c r="J54" s="35"/>
      <c r="K54" s="22" t="s">
        <v>142</v>
      </c>
      <c r="L54" s="23"/>
      <c r="M54" s="24"/>
      <c r="N54" s="12" t="s">
        <v>6</v>
      </c>
      <c r="O54" s="9" t="s">
        <v>7</v>
      </c>
      <c r="P54" s="25" t="s">
        <v>6</v>
      </c>
      <c r="Q54" s="20"/>
      <c r="R54" s="20"/>
      <c r="S54" s="21"/>
      <c r="T54" s="25" t="s">
        <v>6</v>
      </c>
      <c r="U54" s="20"/>
      <c r="V54" s="20"/>
      <c r="W54" s="21"/>
      <c r="X54" s="26" t="s">
        <v>6</v>
      </c>
      <c r="Y54" s="27"/>
      <c r="Z54" s="28"/>
      <c r="AA54" s="19" t="s">
        <v>8</v>
      </c>
      <c r="AB54" s="20"/>
      <c r="AC54" s="20"/>
      <c r="AD54" s="20"/>
      <c r="AE54" s="20"/>
      <c r="AF54" s="20"/>
      <c r="AG54" s="20"/>
      <c r="AH54" s="21"/>
      <c r="AI54" s="32" t="s">
        <v>8</v>
      </c>
      <c r="AJ54" s="30"/>
      <c r="AK54" s="30"/>
      <c r="AL54" s="30"/>
      <c r="AM54" s="30"/>
      <c r="AN54" s="30"/>
      <c r="AO54" s="30"/>
      <c r="AP54" s="30"/>
      <c r="AQ54" s="31"/>
      <c r="AR54" s="11" t="s">
        <v>6</v>
      </c>
      <c r="AS54" s="11" t="s">
        <v>6</v>
      </c>
      <c r="AT54" s="11" t="s">
        <v>8</v>
      </c>
      <c r="AU54" s="19" t="s">
        <v>9</v>
      </c>
      <c r="AV54" s="20"/>
      <c r="AW54" s="20"/>
      <c r="AX54" s="21"/>
      <c r="AY54" s="19" t="s">
        <v>8</v>
      </c>
      <c r="AZ54" s="20"/>
      <c r="BA54" s="20"/>
      <c r="BB54" s="21"/>
      <c r="BC54" s="305"/>
      <c r="BD54" s="288"/>
      <c r="BE54" s="288"/>
      <c r="BF54" s="288"/>
      <c r="BG54" s="288"/>
      <c r="BH54" s="288"/>
      <c r="BI54" s="288"/>
      <c r="BJ54" s="289"/>
      <c r="BK54" s="6"/>
    </row>
    <row r="55" spans="1:63" x14ac:dyDescent="0.25">
      <c r="A55" s="5"/>
      <c r="B55" s="19">
        <f t="shared" si="0"/>
        <v>15</v>
      </c>
      <c r="C55" s="21"/>
      <c r="D55" s="33" t="s">
        <v>68</v>
      </c>
      <c r="E55" s="34"/>
      <c r="F55" s="34"/>
      <c r="G55" s="34"/>
      <c r="H55" s="34"/>
      <c r="I55" s="34"/>
      <c r="J55" s="35"/>
      <c r="K55" s="22" t="s">
        <v>142</v>
      </c>
      <c r="L55" s="23"/>
      <c r="M55" s="24"/>
      <c r="N55" s="12" t="s">
        <v>3</v>
      </c>
      <c r="O55" s="9" t="s">
        <v>6</v>
      </c>
      <c r="P55" s="25" t="s">
        <v>6</v>
      </c>
      <c r="Q55" s="20"/>
      <c r="R55" s="20"/>
      <c r="S55" s="21"/>
      <c r="T55" s="25" t="s">
        <v>6</v>
      </c>
      <c r="U55" s="20"/>
      <c r="V55" s="20"/>
      <c r="W55" s="21"/>
      <c r="X55" s="26" t="s">
        <v>169</v>
      </c>
      <c r="Y55" s="27"/>
      <c r="Z55" s="28"/>
      <c r="AA55" s="19" t="s">
        <v>8</v>
      </c>
      <c r="AB55" s="20"/>
      <c r="AC55" s="20"/>
      <c r="AD55" s="20"/>
      <c r="AE55" s="20"/>
      <c r="AF55" s="20"/>
      <c r="AG55" s="20"/>
      <c r="AH55" s="21"/>
      <c r="AI55" s="32" t="s">
        <v>8</v>
      </c>
      <c r="AJ55" s="30"/>
      <c r="AK55" s="30"/>
      <c r="AL55" s="30"/>
      <c r="AM55" s="30"/>
      <c r="AN55" s="30"/>
      <c r="AO55" s="30"/>
      <c r="AP55" s="30"/>
      <c r="AQ55" s="31"/>
      <c r="AR55" s="11" t="s">
        <v>6</v>
      </c>
      <c r="AS55" s="11" t="s">
        <v>6</v>
      </c>
      <c r="AT55" s="11" t="s">
        <v>8</v>
      </c>
      <c r="AU55" s="19" t="s">
        <v>9</v>
      </c>
      <c r="AV55" s="20"/>
      <c r="AW55" s="20"/>
      <c r="AX55" s="21"/>
      <c r="AY55" s="19" t="s">
        <v>8</v>
      </c>
      <c r="AZ55" s="20"/>
      <c r="BA55" s="20"/>
      <c r="BB55" s="21"/>
      <c r="BC55" s="305"/>
      <c r="BD55" s="288"/>
      <c r="BE55" s="288"/>
      <c r="BF55" s="288"/>
      <c r="BG55" s="288"/>
      <c r="BH55" s="288"/>
      <c r="BI55" s="288"/>
      <c r="BJ55" s="289"/>
      <c r="BK55" s="6"/>
    </row>
    <row r="56" spans="1:63" x14ac:dyDescent="0.25">
      <c r="A56" s="5"/>
      <c r="B56" s="50">
        <f t="shared" si="0"/>
        <v>16</v>
      </c>
      <c r="C56" s="52"/>
      <c r="D56" s="57" t="s">
        <v>69</v>
      </c>
      <c r="E56" s="58"/>
      <c r="F56" s="58"/>
      <c r="G56" s="58"/>
      <c r="H56" s="58"/>
      <c r="I56" s="58"/>
      <c r="J56" s="59"/>
      <c r="K56" s="60" t="s">
        <v>140</v>
      </c>
      <c r="L56" s="61"/>
      <c r="M56" s="62"/>
      <c r="N56" s="13" t="s">
        <v>11</v>
      </c>
      <c r="O56" s="13" t="s">
        <v>6</v>
      </c>
      <c r="P56" s="63" t="s">
        <v>6</v>
      </c>
      <c r="Q56" s="51"/>
      <c r="R56" s="51"/>
      <c r="S56" s="52"/>
      <c r="T56" s="63" t="s">
        <v>6</v>
      </c>
      <c r="U56" s="51"/>
      <c r="V56" s="51"/>
      <c r="W56" s="52"/>
      <c r="X56" s="64" t="s">
        <v>170</v>
      </c>
      <c r="Y56" s="65"/>
      <c r="Z56" s="66"/>
      <c r="AA56" s="50" t="s">
        <v>8</v>
      </c>
      <c r="AB56" s="51"/>
      <c r="AC56" s="51"/>
      <c r="AD56" s="51"/>
      <c r="AE56" s="51"/>
      <c r="AF56" s="51"/>
      <c r="AG56" s="51"/>
      <c r="AH56" s="52"/>
      <c r="AI56" s="166" t="s">
        <v>171</v>
      </c>
      <c r="AJ56" s="311"/>
      <c r="AK56" s="311"/>
      <c r="AL56" s="311"/>
      <c r="AM56" s="311"/>
      <c r="AN56" s="311"/>
      <c r="AO56" s="311"/>
      <c r="AP56" s="311"/>
      <c r="AQ56" s="312"/>
      <c r="AR56" s="14" t="s">
        <v>6</v>
      </c>
      <c r="AS56" s="14" t="s">
        <v>6</v>
      </c>
      <c r="AT56" s="14" t="s">
        <v>8</v>
      </c>
      <c r="AU56" s="50" t="s">
        <v>9</v>
      </c>
      <c r="AV56" s="51"/>
      <c r="AW56" s="51"/>
      <c r="AX56" s="52"/>
      <c r="AY56" s="50" t="s">
        <v>8</v>
      </c>
      <c r="AZ56" s="51"/>
      <c r="BA56" s="51"/>
      <c r="BB56" s="52"/>
      <c r="BC56" s="313" t="s">
        <v>172</v>
      </c>
      <c r="BD56" s="314"/>
      <c r="BE56" s="314"/>
      <c r="BF56" s="314"/>
      <c r="BG56" s="314"/>
      <c r="BH56" s="314"/>
      <c r="BI56" s="314"/>
      <c r="BJ56" s="315"/>
      <c r="BK56" s="6"/>
    </row>
    <row r="57" spans="1:63" x14ac:dyDescent="0.25">
      <c r="A57" s="5"/>
      <c r="BK57" s="6"/>
    </row>
    <row r="58" spans="1:63" ht="15" customHeight="1" x14ac:dyDescent="0.25">
      <c r="A58" s="5"/>
      <c r="BK58" s="6"/>
    </row>
    <row r="59" spans="1:63" ht="15" customHeight="1" x14ac:dyDescent="0.25">
      <c r="A59" s="5"/>
      <c r="BK59" s="6"/>
    </row>
  </sheetData>
  <mergeCells count="227">
    <mergeCell ref="X56:Z56"/>
    <mergeCell ref="AA56:AH56"/>
    <mergeCell ref="AI56:AQ56"/>
    <mergeCell ref="AU56:AX56"/>
    <mergeCell ref="AY56:BB56"/>
    <mergeCell ref="BC56:BJ56"/>
    <mergeCell ref="AA53:AH53"/>
    <mergeCell ref="AI53:AQ53"/>
    <mergeCell ref="AU53:AX53"/>
    <mergeCell ref="AY53:BB53"/>
    <mergeCell ref="BC53:BJ53"/>
    <mergeCell ref="X53:Z53"/>
    <mergeCell ref="X55:Z55"/>
    <mergeCell ref="AA55:AH55"/>
    <mergeCell ref="AI55:AQ55"/>
    <mergeCell ref="AU55:AX55"/>
    <mergeCell ref="AY55:BB55"/>
    <mergeCell ref="BC55:BJ55"/>
    <mergeCell ref="AA54:AH54"/>
    <mergeCell ref="AI54:AQ54"/>
    <mergeCell ref="AU54:AX54"/>
    <mergeCell ref="AY54:BB54"/>
    <mergeCell ref="BC54:BJ54"/>
    <mergeCell ref="X54:Z54"/>
    <mergeCell ref="B56:C56"/>
    <mergeCell ref="D56:J56"/>
    <mergeCell ref="K56:M56"/>
    <mergeCell ref="P56:S56"/>
    <mergeCell ref="T56:W56"/>
    <mergeCell ref="B53:C53"/>
    <mergeCell ref="D53:J53"/>
    <mergeCell ref="K53:M53"/>
    <mergeCell ref="P53:S53"/>
    <mergeCell ref="T53:W53"/>
    <mergeCell ref="B55:C55"/>
    <mergeCell ref="D55:J55"/>
    <mergeCell ref="K55:M55"/>
    <mergeCell ref="P55:S55"/>
    <mergeCell ref="T55:W55"/>
    <mergeCell ref="B54:C54"/>
    <mergeCell ref="D54:J54"/>
    <mergeCell ref="K54:M54"/>
    <mergeCell ref="P54:S54"/>
    <mergeCell ref="T54:W54"/>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X48:Z48"/>
    <mergeCell ref="AA48:AH48"/>
    <mergeCell ref="AI48:AQ48"/>
    <mergeCell ref="AU48:AX48"/>
    <mergeCell ref="AY48:BB48"/>
    <mergeCell ref="BC48:BJ48"/>
    <mergeCell ref="AA47:AH47"/>
    <mergeCell ref="AI47:AQ47"/>
    <mergeCell ref="AU47:AX47"/>
    <mergeCell ref="AY47:BB47"/>
    <mergeCell ref="BC47:BJ47"/>
    <mergeCell ref="X47:Z47"/>
    <mergeCell ref="B48:C48"/>
    <mergeCell ref="D48:J48"/>
    <mergeCell ref="K48:M48"/>
    <mergeCell ref="P48:S48"/>
    <mergeCell ref="T48:W48"/>
    <mergeCell ref="B47:C47"/>
    <mergeCell ref="D47:J47"/>
    <mergeCell ref="K47:M47"/>
    <mergeCell ref="P47:S47"/>
    <mergeCell ref="T47:W47"/>
    <mergeCell ref="X46:Z46"/>
    <mergeCell ref="AA46:AH46"/>
    <mergeCell ref="AI46:AQ46"/>
    <mergeCell ref="AU46:AX46"/>
    <mergeCell ref="AY46:BB46"/>
    <mergeCell ref="BC46:BJ46"/>
    <mergeCell ref="AA45:AH45"/>
    <mergeCell ref="AI45:AQ45"/>
    <mergeCell ref="AU45:AX45"/>
    <mergeCell ref="AY45:BB45"/>
    <mergeCell ref="BC45:BJ45"/>
    <mergeCell ref="X45:Z45"/>
    <mergeCell ref="B46:C46"/>
    <mergeCell ref="D46:J46"/>
    <mergeCell ref="K46:M46"/>
    <mergeCell ref="P46:S46"/>
    <mergeCell ref="T46:W46"/>
    <mergeCell ref="B45:C45"/>
    <mergeCell ref="D45:J45"/>
    <mergeCell ref="K45:M45"/>
    <mergeCell ref="P45:S45"/>
    <mergeCell ref="T45:W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allowBlank="1" showInputMessage="1" showErrorMessage="1" sqref="AR42 AR44 AR46 O40:O56 AS44:AS56 AR48:AR56" xr:uid="{00000000-0002-0000-0300-000000000000}">
      <formula1>"－,●"</formula1>
    </dataValidation>
    <dataValidation type="list" allowBlank="1" showInputMessage="1" showErrorMessage="1" sqref="N40:N56" xr:uid="{00000000-0002-0000-0300-000001000000}">
      <formula1>"ー,I,O,I/O"</formula1>
    </dataValidation>
  </dataValidation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0B5A-4233-4518-893D-F07F67033A7A}">
  <sheetPr>
    <pageSetUpPr fitToPage="1"/>
  </sheetPr>
  <dimension ref="A1:BK71"/>
  <sheetViews>
    <sheetView view="pageBreakPreview" zoomScale="85" zoomScaleNormal="100" zoomScaleSheetLayoutView="85" zoomScalePageLayoutView="55" workbookViewId="0">
      <selection sqref="A1:J1"/>
    </sheetView>
  </sheetViews>
  <sheetFormatPr defaultColWidth="2.77734375" defaultRowHeight="15.75" x14ac:dyDescent="0.25"/>
  <cols>
    <col min="1" max="16384" width="2.77734375" style="1"/>
  </cols>
  <sheetData>
    <row r="1" spans="1:63" ht="24.95" customHeight="1" x14ac:dyDescent="0.25">
      <c r="A1" s="272" t="s">
        <v>85</v>
      </c>
      <c r="B1" s="273"/>
      <c r="C1" s="273"/>
      <c r="D1" s="273"/>
      <c r="E1" s="273"/>
      <c r="F1" s="273"/>
      <c r="G1" s="273"/>
      <c r="H1" s="273"/>
      <c r="I1" s="273"/>
      <c r="J1" s="274"/>
      <c r="K1" s="272" t="s">
        <v>86</v>
      </c>
      <c r="L1" s="273"/>
      <c r="M1" s="273"/>
      <c r="N1" s="273"/>
      <c r="O1" s="273"/>
      <c r="P1" s="273"/>
      <c r="Q1" s="273"/>
      <c r="R1" s="273"/>
      <c r="S1" s="273"/>
      <c r="T1" s="273"/>
      <c r="U1" s="273"/>
      <c r="V1" s="274"/>
      <c r="W1" s="275" t="str">
        <f>IF(表紙!W1="","",表紙!W1)</f>
        <v>詳細設計書</v>
      </c>
      <c r="X1" s="276"/>
      <c r="Y1" s="276"/>
      <c r="Z1" s="276"/>
      <c r="AA1" s="276"/>
      <c r="AB1" s="276"/>
      <c r="AC1" s="276"/>
      <c r="AD1" s="276"/>
      <c r="AE1" s="276"/>
      <c r="AF1" s="276"/>
      <c r="AG1" s="276"/>
      <c r="AH1" s="276"/>
      <c r="AI1" s="276"/>
      <c r="AJ1" s="276"/>
      <c r="AK1" s="276"/>
      <c r="AL1" s="276"/>
      <c r="AM1" s="276"/>
      <c r="AN1" s="276"/>
      <c r="AO1" s="277"/>
      <c r="AP1" s="182" t="s">
        <v>88</v>
      </c>
      <c r="AQ1" s="183"/>
      <c r="AR1" s="183"/>
      <c r="AS1" s="184"/>
      <c r="AT1" s="182" t="s">
        <v>89</v>
      </c>
      <c r="AU1" s="183"/>
      <c r="AV1" s="183"/>
      <c r="AW1" s="183"/>
      <c r="AX1" s="184"/>
      <c r="AY1" s="182" t="s">
        <v>90</v>
      </c>
      <c r="AZ1" s="183"/>
      <c r="BA1" s="183"/>
      <c r="BB1" s="184"/>
      <c r="BC1" s="182" t="s">
        <v>91</v>
      </c>
      <c r="BD1" s="183"/>
      <c r="BE1" s="183"/>
      <c r="BF1" s="183"/>
      <c r="BG1" s="184"/>
      <c r="BH1" s="182" t="s">
        <v>92</v>
      </c>
      <c r="BI1" s="183"/>
      <c r="BJ1" s="183"/>
      <c r="BK1" s="184"/>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278"/>
      <c r="X2" s="279"/>
      <c r="Y2" s="279"/>
      <c r="Z2" s="279"/>
      <c r="AA2" s="279"/>
      <c r="AB2" s="279"/>
      <c r="AC2" s="279"/>
      <c r="AD2" s="279"/>
      <c r="AE2" s="279"/>
      <c r="AF2" s="279"/>
      <c r="AG2" s="279"/>
      <c r="AH2" s="279"/>
      <c r="AI2" s="279"/>
      <c r="AJ2" s="279"/>
      <c r="AK2" s="279"/>
      <c r="AL2" s="279"/>
      <c r="AM2" s="279"/>
      <c r="AN2" s="279"/>
      <c r="AO2" s="280"/>
      <c r="AP2" s="191" t="str">
        <f>IF(表紙!AP2="","",表紙!AP2)</f>
        <v>DuNT</v>
      </c>
      <c r="AQ2" s="189"/>
      <c r="AR2" s="189"/>
      <c r="AS2" s="190"/>
      <c r="AT2" s="195">
        <f>IF(表紙!AT2="","",表紙!AT2)</f>
        <v>45635</v>
      </c>
      <c r="AU2" s="196"/>
      <c r="AV2" s="196"/>
      <c r="AW2" s="196"/>
      <c r="AX2" s="197"/>
      <c r="AY2" s="191" t="str">
        <f>IF(表紙!AY2="","",表紙!AY2)</f>
        <v>DuNT</v>
      </c>
      <c r="AZ2" s="189"/>
      <c r="BA2" s="189"/>
      <c r="BB2" s="190"/>
      <c r="BC2" s="195">
        <f>IF(表紙!BC2="","",表紙!BC2)</f>
        <v>45635</v>
      </c>
      <c r="BD2" s="196"/>
      <c r="BE2" s="196"/>
      <c r="BF2" s="196"/>
      <c r="BG2" s="197"/>
      <c r="BH2" s="191">
        <f>IF(表紙!BH2="","",表紙!BH2)</f>
        <v>0.1</v>
      </c>
      <c r="BI2" s="189"/>
      <c r="BJ2" s="189"/>
      <c r="BK2" s="190"/>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281"/>
      <c r="X3" s="282"/>
      <c r="Y3" s="282"/>
      <c r="Z3" s="282"/>
      <c r="AA3" s="282"/>
      <c r="AB3" s="282"/>
      <c r="AC3" s="282"/>
      <c r="AD3" s="282"/>
      <c r="AE3" s="282"/>
      <c r="AF3" s="282"/>
      <c r="AG3" s="282"/>
      <c r="AH3" s="282"/>
      <c r="AI3" s="282"/>
      <c r="AJ3" s="282"/>
      <c r="AK3" s="282"/>
      <c r="AL3" s="282"/>
      <c r="AM3" s="282"/>
      <c r="AN3" s="282"/>
      <c r="AO3" s="283"/>
      <c r="AP3" s="201"/>
      <c r="AQ3" s="202"/>
      <c r="AR3" s="202"/>
      <c r="AS3" s="203"/>
      <c r="AT3" s="207"/>
      <c r="AU3" s="208"/>
      <c r="AV3" s="208"/>
      <c r="AW3" s="208"/>
      <c r="AX3" s="209"/>
      <c r="AY3" s="201"/>
      <c r="AZ3" s="202"/>
      <c r="BA3" s="202"/>
      <c r="BB3" s="203"/>
      <c r="BC3" s="207"/>
      <c r="BD3" s="208"/>
      <c r="BE3" s="208"/>
      <c r="BF3" s="208"/>
      <c r="BG3" s="209"/>
      <c r="BH3" s="201"/>
      <c r="BI3" s="202"/>
      <c r="BJ3" s="202"/>
      <c r="BK3" s="203"/>
    </row>
    <row r="4" spans="1:63" ht="24.95" customHeight="1" x14ac:dyDescent="0.25">
      <c r="A4" s="272" t="s">
        <v>94</v>
      </c>
      <c r="B4" s="273"/>
      <c r="C4" s="273"/>
      <c r="D4" s="273"/>
      <c r="E4" s="273"/>
      <c r="F4" s="273"/>
      <c r="G4" s="274"/>
      <c r="H4" s="76" t="str">
        <f>IF(表紙!H4="","",表紙!H4)</f>
        <v>32_レジ別単品別売上点検</v>
      </c>
      <c r="I4" s="77"/>
      <c r="J4" s="77"/>
      <c r="K4" s="77"/>
      <c r="L4" s="77"/>
      <c r="M4" s="77"/>
      <c r="N4" s="77"/>
      <c r="O4" s="77"/>
      <c r="P4" s="77"/>
      <c r="Q4" s="77"/>
      <c r="R4" s="77"/>
      <c r="S4" s="77"/>
      <c r="T4" s="78"/>
      <c r="U4" s="272" t="s">
        <v>95</v>
      </c>
      <c r="V4" s="273"/>
      <c r="W4" s="273"/>
      <c r="X4" s="273"/>
      <c r="Y4" s="274"/>
      <c r="Z4" s="79" t="str">
        <f>IF(表紙!Z4="","",表紙!Z4)</f>
        <v>画面設計書</v>
      </c>
      <c r="AA4" s="80"/>
      <c r="AB4" s="80"/>
      <c r="AC4" s="80"/>
      <c r="AD4" s="80"/>
      <c r="AE4" s="80"/>
      <c r="AF4" s="80"/>
      <c r="AG4" s="80"/>
      <c r="AH4" s="80"/>
      <c r="AI4" s="80"/>
      <c r="AJ4" s="80"/>
      <c r="AK4" s="80"/>
      <c r="AL4" s="80"/>
      <c r="AM4" s="80"/>
      <c r="AN4" s="80"/>
      <c r="AO4" s="81"/>
      <c r="AP4" s="82" t="str">
        <f ca="1">MID(CELL("filename",A1),FIND("]",CELL("filename",A1))+1,255)</f>
        <v>SC3202</v>
      </c>
      <c r="AQ4" s="80"/>
      <c r="AR4" s="80"/>
      <c r="AS4" s="80"/>
      <c r="AT4" s="80"/>
      <c r="AU4" s="80"/>
      <c r="AV4" s="80"/>
      <c r="AW4" s="80"/>
      <c r="AX4" s="80"/>
      <c r="AY4" s="80"/>
      <c r="AZ4" s="80"/>
      <c r="BA4" s="80"/>
      <c r="BB4" s="80"/>
      <c r="BC4" s="80"/>
      <c r="BD4" s="80"/>
      <c r="BE4" s="80"/>
      <c r="BF4" s="80"/>
      <c r="BG4" s="80"/>
      <c r="BH4" s="80"/>
      <c r="BI4" s="80"/>
      <c r="BJ4" s="80"/>
      <c r="BK4" s="8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5"/>
      <c r="BK6" s="6"/>
    </row>
    <row r="7" spans="1:63" ht="15" customHeight="1" x14ac:dyDescent="0.25">
      <c r="A7" s="5"/>
      <c r="B7" s="7" t="s">
        <v>102</v>
      </c>
      <c r="C7" s="284"/>
      <c r="D7" s="284"/>
      <c r="E7" s="284"/>
      <c r="F7" s="284"/>
      <c r="G7" s="284"/>
      <c r="H7" s="284"/>
      <c r="I7" s="284"/>
      <c r="J7" s="284"/>
      <c r="AE7" s="7"/>
      <c r="BK7" s="6"/>
    </row>
    <row r="8" spans="1:63" ht="15" customHeight="1" x14ac:dyDescent="0.25">
      <c r="A8" s="5"/>
      <c r="BK8" s="6"/>
    </row>
    <row r="9" spans="1:63" ht="15" customHeight="1" x14ac:dyDescent="0.25">
      <c r="A9" s="5"/>
      <c r="BK9" s="6"/>
    </row>
    <row r="10" spans="1:63" ht="15" customHeight="1" x14ac:dyDescent="0.25">
      <c r="A10" s="5"/>
      <c r="BK10" s="6"/>
    </row>
    <row r="11" spans="1:63" ht="15" customHeight="1" x14ac:dyDescent="0.25">
      <c r="A11" s="5"/>
      <c r="BK11" s="6"/>
    </row>
    <row r="12" spans="1:63" ht="15" customHeight="1" x14ac:dyDescent="0.25">
      <c r="A12" s="5"/>
      <c r="BK12" s="6"/>
    </row>
    <row r="13" spans="1:63" ht="15" customHeight="1" x14ac:dyDescent="0.25">
      <c r="A13" s="5"/>
      <c r="BK13" s="6"/>
    </row>
    <row r="14" spans="1:63" ht="15" customHeight="1" x14ac:dyDescent="0.25">
      <c r="A14" s="5"/>
      <c r="BK14" s="6"/>
    </row>
    <row r="15" spans="1:63" ht="15" customHeight="1" x14ac:dyDescent="0.25">
      <c r="A15" s="5"/>
      <c r="BK15" s="6"/>
    </row>
    <row r="16" spans="1:63" ht="15" customHeight="1" x14ac:dyDescent="0.25">
      <c r="A16" s="5"/>
      <c r="BK16" s="6"/>
    </row>
    <row r="17" spans="1:63" ht="15" customHeight="1" x14ac:dyDescent="0.25">
      <c r="A17" s="5"/>
      <c r="BK17" s="6"/>
    </row>
    <row r="18" spans="1:63" ht="15" customHeight="1" x14ac:dyDescent="0.25">
      <c r="A18" s="5"/>
      <c r="BK18" s="6"/>
    </row>
    <row r="19" spans="1:63" ht="15" customHeight="1" x14ac:dyDescent="0.25">
      <c r="A19" s="5"/>
      <c r="BK19" s="6"/>
    </row>
    <row r="20" spans="1:63" ht="15" customHeight="1" x14ac:dyDescent="0.25">
      <c r="A20" s="5"/>
      <c r="BK20" s="6"/>
    </row>
    <row r="21" spans="1:63" ht="15" customHeight="1" x14ac:dyDescent="0.25">
      <c r="A21" s="5"/>
      <c r="BK21" s="6"/>
    </row>
    <row r="22" spans="1:63" ht="15" customHeight="1" x14ac:dyDescent="0.25">
      <c r="A22" s="5"/>
      <c r="BK22" s="6"/>
    </row>
    <row r="23" spans="1:63" ht="15" customHeight="1" x14ac:dyDescent="0.25">
      <c r="A23" s="5"/>
      <c r="BK23" s="6"/>
    </row>
    <row r="24" spans="1:63" ht="15" customHeight="1" x14ac:dyDescent="0.25">
      <c r="A24" s="5"/>
      <c r="BK24" s="6"/>
    </row>
    <row r="25" spans="1:63" ht="15" customHeight="1" x14ac:dyDescent="0.25">
      <c r="A25" s="5"/>
      <c r="BK25" s="6"/>
    </row>
    <row r="26" spans="1:63" ht="15" customHeight="1" x14ac:dyDescent="0.25">
      <c r="A26" s="5"/>
      <c r="BK26" s="6"/>
    </row>
    <row r="27" spans="1:63" ht="15" customHeight="1" x14ac:dyDescent="0.25">
      <c r="A27" s="5"/>
      <c r="BK27" s="6"/>
    </row>
    <row r="28" spans="1:63" ht="15" customHeight="1" x14ac:dyDescent="0.25">
      <c r="A28" s="5"/>
      <c r="BK28" s="6"/>
    </row>
    <row r="29" spans="1:63" ht="15" customHeight="1" x14ac:dyDescent="0.25">
      <c r="A29" s="5"/>
      <c r="BK29" s="6"/>
    </row>
    <row r="30" spans="1:63" ht="15" customHeight="1" x14ac:dyDescent="0.25">
      <c r="A30" s="5"/>
      <c r="BK30" s="6"/>
    </row>
    <row r="31" spans="1:63" ht="15" customHeight="1" x14ac:dyDescent="0.25">
      <c r="A31" s="5"/>
      <c r="BK31" s="6"/>
    </row>
    <row r="32" spans="1:63" ht="15" customHeight="1" x14ac:dyDescent="0.25">
      <c r="A32" s="5"/>
      <c r="BK32" s="6"/>
    </row>
    <row r="33" spans="1:63" ht="15" customHeight="1" x14ac:dyDescent="0.25">
      <c r="A33" s="5"/>
      <c r="BK33" s="6"/>
    </row>
    <row r="34" spans="1:63" x14ac:dyDescent="0.25">
      <c r="A34" s="5"/>
      <c r="BK34" s="6"/>
    </row>
    <row r="35" spans="1:63" x14ac:dyDescent="0.25">
      <c r="A35" s="5"/>
      <c r="BK35" s="6"/>
    </row>
    <row r="36" spans="1:63" x14ac:dyDescent="0.25">
      <c r="A36" s="5"/>
      <c r="BK36" s="6"/>
    </row>
    <row r="37" spans="1:63" x14ac:dyDescent="0.25">
      <c r="A37" s="5"/>
      <c r="BK37" s="6"/>
    </row>
    <row r="38" spans="1:63" x14ac:dyDescent="0.25">
      <c r="A38" s="5"/>
      <c r="BK38" s="6"/>
    </row>
    <row r="39" spans="1:63" x14ac:dyDescent="0.25">
      <c r="A39" s="5"/>
      <c r="BK39" s="6"/>
    </row>
    <row r="40" spans="1:63" x14ac:dyDescent="0.25">
      <c r="A40" s="5"/>
      <c r="BK40" s="6"/>
    </row>
    <row r="41" spans="1:63" x14ac:dyDescent="0.25">
      <c r="A41" s="5"/>
      <c r="BK41" s="6"/>
    </row>
    <row r="42" spans="1:63" x14ac:dyDescent="0.25">
      <c r="A42" s="5"/>
      <c r="BK42" s="6"/>
    </row>
    <row r="43" spans="1:63" ht="15" customHeight="1" x14ac:dyDescent="0.25">
      <c r="A43" s="5"/>
      <c r="B43" s="7" t="s">
        <v>103</v>
      </c>
      <c r="BK43" s="6"/>
    </row>
    <row r="44" spans="1:63" x14ac:dyDescent="0.25">
      <c r="A44" s="5"/>
      <c r="BK44" s="6"/>
    </row>
    <row r="45" spans="1:63" ht="15.75" customHeight="1" x14ac:dyDescent="0.25">
      <c r="A45" s="5"/>
      <c r="B45" s="83" t="s">
        <v>104</v>
      </c>
      <c r="C45" s="84"/>
      <c r="D45" s="89" t="s">
        <v>105</v>
      </c>
      <c r="E45" s="90"/>
      <c r="F45" s="90"/>
      <c r="G45" s="90"/>
      <c r="H45" s="90"/>
      <c r="I45" s="90"/>
      <c r="J45" s="84"/>
      <c r="K45" s="89" t="s">
        <v>106</v>
      </c>
      <c r="L45" s="90"/>
      <c r="M45" s="84"/>
      <c r="N45" s="93" t="s">
        <v>3</v>
      </c>
      <c r="O45" s="96" t="s">
        <v>107</v>
      </c>
      <c r="P45" s="111" t="s">
        <v>108</v>
      </c>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3"/>
      <c r="AR45" s="99" t="s">
        <v>109</v>
      </c>
      <c r="AS45" s="100"/>
      <c r="AT45" s="100"/>
      <c r="AU45" s="100"/>
      <c r="AV45" s="100"/>
      <c r="AW45" s="100"/>
      <c r="AX45" s="100"/>
      <c r="AY45" s="100"/>
      <c r="AZ45" s="100"/>
      <c r="BA45" s="100"/>
      <c r="BB45" s="103"/>
      <c r="BC45" s="114" t="s">
        <v>110</v>
      </c>
      <c r="BD45" s="115"/>
      <c r="BE45" s="115"/>
      <c r="BF45" s="115"/>
      <c r="BG45" s="115"/>
      <c r="BH45" s="115"/>
      <c r="BI45" s="115"/>
      <c r="BJ45" s="116"/>
      <c r="BK45" s="6"/>
    </row>
    <row r="46" spans="1:63" ht="15.75" customHeight="1" x14ac:dyDescent="0.25">
      <c r="A46" s="5"/>
      <c r="B46" s="85"/>
      <c r="C46" s="86"/>
      <c r="D46" s="85"/>
      <c r="E46" s="91"/>
      <c r="F46" s="91"/>
      <c r="G46" s="91"/>
      <c r="H46" s="91"/>
      <c r="I46" s="91"/>
      <c r="J46" s="86"/>
      <c r="K46" s="85"/>
      <c r="L46" s="91"/>
      <c r="M46" s="86"/>
      <c r="N46" s="94"/>
      <c r="O46" s="97"/>
      <c r="P46" s="123" t="s">
        <v>111</v>
      </c>
      <c r="Q46" s="124"/>
      <c r="R46" s="124"/>
      <c r="S46" s="124"/>
      <c r="T46" s="124"/>
      <c r="U46" s="124"/>
      <c r="V46" s="124"/>
      <c r="W46" s="125"/>
      <c r="X46" s="126" t="s">
        <v>112</v>
      </c>
      <c r="Y46" s="127"/>
      <c r="Z46" s="128"/>
      <c r="AA46" s="126" t="s">
        <v>113</v>
      </c>
      <c r="AB46" s="127"/>
      <c r="AC46" s="127"/>
      <c r="AD46" s="127"/>
      <c r="AE46" s="127"/>
      <c r="AF46" s="127"/>
      <c r="AG46" s="127"/>
      <c r="AH46" s="128"/>
      <c r="AI46" s="126" t="s">
        <v>114</v>
      </c>
      <c r="AJ46" s="127"/>
      <c r="AK46" s="127"/>
      <c r="AL46" s="127"/>
      <c r="AM46" s="127"/>
      <c r="AN46" s="127"/>
      <c r="AO46" s="127"/>
      <c r="AP46" s="127"/>
      <c r="AQ46" s="128"/>
      <c r="AR46" s="132" t="s">
        <v>4</v>
      </c>
      <c r="AS46" s="134" t="s">
        <v>115</v>
      </c>
      <c r="AT46" s="136" t="s">
        <v>116</v>
      </c>
      <c r="AU46" s="99" t="s">
        <v>111</v>
      </c>
      <c r="AV46" s="100"/>
      <c r="AW46" s="100"/>
      <c r="AX46" s="100"/>
      <c r="AY46" s="100"/>
      <c r="AZ46" s="100"/>
      <c r="BA46" s="100"/>
      <c r="BB46" s="103"/>
      <c r="BC46" s="117"/>
      <c r="BD46" s="118"/>
      <c r="BE46" s="118"/>
      <c r="BF46" s="118"/>
      <c r="BG46" s="118"/>
      <c r="BH46" s="118"/>
      <c r="BI46" s="118"/>
      <c r="BJ46" s="119"/>
      <c r="BK46" s="6"/>
    </row>
    <row r="47" spans="1:63" x14ac:dyDescent="0.25">
      <c r="A47" s="5"/>
      <c r="B47" s="87"/>
      <c r="C47" s="88"/>
      <c r="D47" s="87"/>
      <c r="E47" s="92"/>
      <c r="F47" s="92"/>
      <c r="G47" s="92"/>
      <c r="H47" s="92"/>
      <c r="I47" s="92"/>
      <c r="J47" s="88"/>
      <c r="K47" s="87"/>
      <c r="L47" s="92"/>
      <c r="M47" s="88"/>
      <c r="N47" s="95"/>
      <c r="O47" s="98"/>
      <c r="P47" s="111" t="s">
        <v>117</v>
      </c>
      <c r="Q47" s="112"/>
      <c r="R47" s="112"/>
      <c r="S47" s="113"/>
      <c r="T47" s="111" t="s">
        <v>105</v>
      </c>
      <c r="U47" s="112"/>
      <c r="V47" s="112"/>
      <c r="W47" s="113"/>
      <c r="X47" s="129"/>
      <c r="Y47" s="130"/>
      <c r="Z47" s="131"/>
      <c r="AA47" s="129"/>
      <c r="AB47" s="130"/>
      <c r="AC47" s="130"/>
      <c r="AD47" s="130"/>
      <c r="AE47" s="130"/>
      <c r="AF47" s="130"/>
      <c r="AG47" s="130"/>
      <c r="AH47" s="131"/>
      <c r="AI47" s="129"/>
      <c r="AJ47" s="130"/>
      <c r="AK47" s="130"/>
      <c r="AL47" s="130"/>
      <c r="AM47" s="130"/>
      <c r="AN47" s="130"/>
      <c r="AO47" s="130"/>
      <c r="AP47" s="130"/>
      <c r="AQ47" s="131"/>
      <c r="AR47" s="133"/>
      <c r="AS47" s="135"/>
      <c r="AT47" s="137"/>
      <c r="AU47" s="99" t="s">
        <v>117</v>
      </c>
      <c r="AV47" s="100"/>
      <c r="AW47" s="100"/>
      <c r="AX47" s="101"/>
      <c r="AY47" s="102" t="s">
        <v>105</v>
      </c>
      <c r="AZ47" s="100"/>
      <c r="BA47" s="100"/>
      <c r="BB47" s="103"/>
      <c r="BC47" s="120"/>
      <c r="BD47" s="121"/>
      <c r="BE47" s="121"/>
      <c r="BF47" s="121"/>
      <c r="BG47" s="121"/>
      <c r="BH47" s="121"/>
      <c r="BI47" s="121"/>
      <c r="BJ47" s="122"/>
      <c r="BK47" s="6"/>
    </row>
    <row r="48" spans="1:63" x14ac:dyDescent="0.25">
      <c r="A48" s="5"/>
      <c r="B48" s="104">
        <v>0</v>
      </c>
      <c r="C48" s="105"/>
      <c r="D48" s="106" t="s">
        <v>10</v>
      </c>
      <c r="E48" s="107"/>
      <c r="F48" s="107"/>
      <c r="G48" s="107"/>
      <c r="H48" s="107"/>
      <c r="I48" s="107"/>
      <c r="J48" s="108"/>
      <c r="K48" s="42" t="s">
        <v>5</v>
      </c>
      <c r="L48" s="23"/>
      <c r="M48" s="24"/>
      <c r="N48" s="8" t="s">
        <v>6</v>
      </c>
      <c r="O48" s="9" t="s">
        <v>7</v>
      </c>
      <c r="P48" s="109" t="s">
        <v>6</v>
      </c>
      <c r="Q48" s="110"/>
      <c r="R48" s="110"/>
      <c r="S48" s="105"/>
      <c r="T48" s="109" t="s">
        <v>6</v>
      </c>
      <c r="U48" s="110"/>
      <c r="V48" s="110"/>
      <c r="W48" s="105"/>
      <c r="X48" s="167" t="s">
        <v>118</v>
      </c>
      <c r="Y48" s="168"/>
      <c r="Z48" s="169"/>
      <c r="AA48" s="104" t="s">
        <v>8</v>
      </c>
      <c r="AB48" s="110"/>
      <c r="AC48" s="110"/>
      <c r="AD48" s="110"/>
      <c r="AE48" s="110"/>
      <c r="AF48" s="110"/>
      <c r="AG48" s="110"/>
      <c r="AH48" s="105"/>
      <c r="AI48" s="141" t="s">
        <v>6</v>
      </c>
      <c r="AJ48" s="142"/>
      <c r="AK48" s="142"/>
      <c r="AL48" s="142"/>
      <c r="AM48" s="142"/>
      <c r="AN48" s="142"/>
      <c r="AO48" s="142"/>
      <c r="AP48" s="142"/>
      <c r="AQ48" s="143"/>
      <c r="AR48" s="10" t="s">
        <v>6</v>
      </c>
      <c r="AS48" s="10" t="s">
        <v>8</v>
      </c>
      <c r="AT48" s="10" t="s">
        <v>8</v>
      </c>
      <c r="AU48" s="104" t="s">
        <v>9</v>
      </c>
      <c r="AV48" s="110"/>
      <c r="AW48" s="110"/>
      <c r="AX48" s="105"/>
      <c r="AY48" s="104" t="s">
        <v>8</v>
      </c>
      <c r="AZ48" s="110"/>
      <c r="BA48" s="110"/>
      <c r="BB48" s="105"/>
      <c r="BC48" s="285" t="s">
        <v>173</v>
      </c>
      <c r="BD48" s="286"/>
      <c r="BE48" s="286"/>
      <c r="BF48" s="286"/>
      <c r="BG48" s="286"/>
      <c r="BH48" s="286"/>
      <c r="BI48" s="286"/>
      <c r="BJ48" s="287"/>
      <c r="BK48" s="6"/>
    </row>
    <row r="49" spans="1:63" x14ac:dyDescent="0.25">
      <c r="A49" s="5"/>
      <c r="B49" s="19">
        <f>B48+1</f>
        <v>1</v>
      </c>
      <c r="C49" s="21"/>
      <c r="D49" s="39" t="s">
        <v>40</v>
      </c>
      <c r="E49" s="40"/>
      <c r="F49" s="40"/>
      <c r="G49" s="40"/>
      <c r="H49" s="40"/>
      <c r="I49" s="40"/>
      <c r="J49" s="41"/>
      <c r="K49" s="42" t="s">
        <v>5</v>
      </c>
      <c r="L49" s="23"/>
      <c r="M49" s="24"/>
      <c r="N49" s="15" t="s">
        <v>6</v>
      </c>
      <c r="O49" s="9" t="s">
        <v>7</v>
      </c>
      <c r="P49" s="25"/>
      <c r="Q49" s="20"/>
      <c r="R49" s="20"/>
      <c r="S49" s="21"/>
      <c r="T49" s="43"/>
      <c r="U49" s="44"/>
      <c r="V49" s="44"/>
      <c r="W49" s="45"/>
      <c r="X49" s="150" t="s">
        <v>167</v>
      </c>
      <c r="Y49" s="151"/>
      <c r="Z49" s="152"/>
      <c r="AA49" s="19" t="s">
        <v>8</v>
      </c>
      <c r="AB49" s="20"/>
      <c r="AC49" s="20"/>
      <c r="AD49" s="20"/>
      <c r="AE49" s="20"/>
      <c r="AF49" s="20"/>
      <c r="AG49" s="20"/>
      <c r="AH49" s="21"/>
      <c r="AI49" s="32" t="s">
        <v>8</v>
      </c>
      <c r="AJ49" s="30"/>
      <c r="AK49" s="30"/>
      <c r="AL49" s="30"/>
      <c r="AM49" s="30"/>
      <c r="AN49" s="30"/>
      <c r="AO49" s="30"/>
      <c r="AP49" s="30"/>
      <c r="AQ49" s="31"/>
      <c r="AR49" s="11" t="s">
        <v>6</v>
      </c>
      <c r="AS49" s="11" t="s">
        <v>8</v>
      </c>
      <c r="AT49" s="11" t="s">
        <v>8</v>
      </c>
      <c r="AU49" s="19" t="s">
        <v>9</v>
      </c>
      <c r="AV49" s="20"/>
      <c r="AW49" s="20"/>
      <c r="AX49" s="21"/>
      <c r="AY49" s="19" t="s">
        <v>8</v>
      </c>
      <c r="AZ49" s="20"/>
      <c r="BA49" s="20"/>
      <c r="BB49" s="21"/>
      <c r="BC49" s="56"/>
      <c r="BD49" s="288"/>
      <c r="BE49" s="288"/>
      <c r="BF49" s="288"/>
      <c r="BG49" s="288"/>
      <c r="BH49" s="288"/>
      <c r="BI49" s="288"/>
      <c r="BJ49" s="289"/>
      <c r="BK49" s="6"/>
    </row>
    <row r="50" spans="1:63" ht="15.75" customHeight="1" x14ac:dyDescent="0.25">
      <c r="A50" s="5"/>
      <c r="B50" s="19">
        <f t="shared" ref="B50:B71" si="0">B49+1</f>
        <v>2</v>
      </c>
      <c r="C50" s="21"/>
      <c r="D50" s="33" t="s">
        <v>12</v>
      </c>
      <c r="E50" s="34"/>
      <c r="F50" s="34"/>
      <c r="G50" s="34"/>
      <c r="H50" s="34"/>
      <c r="I50" s="34"/>
      <c r="J50" s="35"/>
      <c r="K50" s="22" t="s">
        <v>142</v>
      </c>
      <c r="L50" s="23"/>
      <c r="M50" s="24"/>
      <c r="N50" s="15" t="s">
        <v>147</v>
      </c>
      <c r="O50" s="9" t="s">
        <v>6</v>
      </c>
      <c r="P50" s="153" t="s">
        <v>6</v>
      </c>
      <c r="Q50" s="37"/>
      <c r="R50" s="37"/>
      <c r="S50" s="38"/>
      <c r="T50" s="153" t="s">
        <v>6</v>
      </c>
      <c r="U50" s="37"/>
      <c r="V50" s="37"/>
      <c r="W50" s="38"/>
      <c r="X50" s="26" t="s">
        <v>6</v>
      </c>
      <c r="Y50" s="27"/>
      <c r="Z50" s="28"/>
      <c r="AA50" s="19" t="s">
        <v>8</v>
      </c>
      <c r="AB50" s="20"/>
      <c r="AC50" s="20"/>
      <c r="AD50" s="20"/>
      <c r="AE50" s="20"/>
      <c r="AF50" s="20"/>
      <c r="AG50" s="20"/>
      <c r="AH50" s="21"/>
      <c r="AI50" s="32" t="s">
        <v>8</v>
      </c>
      <c r="AJ50" s="30"/>
      <c r="AK50" s="30"/>
      <c r="AL50" s="30"/>
      <c r="AM50" s="30"/>
      <c r="AN50" s="30"/>
      <c r="AO50" s="30"/>
      <c r="AP50" s="30"/>
      <c r="AQ50" s="31"/>
      <c r="AR50" s="9" t="s">
        <v>7</v>
      </c>
      <c r="AS50" s="11" t="s">
        <v>8</v>
      </c>
      <c r="AT50" s="11" t="s">
        <v>8</v>
      </c>
      <c r="AU50" s="36" t="s">
        <v>9</v>
      </c>
      <c r="AV50" s="37"/>
      <c r="AW50" s="37"/>
      <c r="AX50" s="38"/>
      <c r="AY50" s="36" t="s">
        <v>8</v>
      </c>
      <c r="AZ50" s="37"/>
      <c r="BA50" s="37"/>
      <c r="BB50" s="38"/>
      <c r="BC50" s="296"/>
      <c r="BD50" s="297"/>
      <c r="BE50" s="297"/>
      <c r="BF50" s="297"/>
      <c r="BG50" s="297"/>
      <c r="BH50" s="297"/>
      <c r="BI50" s="297"/>
      <c r="BJ50" s="298"/>
      <c r="BK50" s="6"/>
    </row>
    <row r="51" spans="1:63" ht="15.75" customHeight="1" x14ac:dyDescent="0.25">
      <c r="A51" s="5"/>
      <c r="B51" s="19">
        <f t="shared" si="0"/>
        <v>3</v>
      </c>
      <c r="C51" s="21"/>
      <c r="D51" s="39" t="s">
        <v>41</v>
      </c>
      <c r="E51" s="40"/>
      <c r="F51" s="40"/>
      <c r="G51" s="40"/>
      <c r="H51" s="40"/>
      <c r="I51" s="40"/>
      <c r="J51" s="41"/>
      <c r="K51" s="42" t="s">
        <v>5</v>
      </c>
      <c r="L51" s="23"/>
      <c r="M51" s="24"/>
      <c r="N51" s="15" t="s">
        <v>6</v>
      </c>
      <c r="O51" s="9" t="s">
        <v>7</v>
      </c>
      <c r="P51" s="25" t="s">
        <v>6</v>
      </c>
      <c r="Q51" s="20"/>
      <c r="R51" s="20"/>
      <c r="S51" s="21"/>
      <c r="T51" s="25" t="s">
        <v>6</v>
      </c>
      <c r="U51" s="20"/>
      <c r="V51" s="20"/>
      <c r="W51" s="21"/>
      <c r="X51" s="26" t="s">
        <v>149</v>
      </c>
      <c r="Y51" s="27"/>
      <c r="Z51" s="28"/>
      <c r="AA51" s="19" t="s">
        <v>8</v>
      </c>
      <c r="AB51" s="20"/>
      <c r="AC51" s="20"/>
      <c r="AD51" s="20"/>
      <c r="AE51" s="20"/>
      <c r="AF51" s="20"/>
      <c r="AG51" s="20"/>
      <c r="AH51" s="21"/>
      <c r="AI51" s="32" t="s">
        <v>8</v>
      </c>
      <c r="AJ51" s="30"/>
      <c r="AK51" s="30"/>
      <c r="AL51" s="30"/>
      <c r="AM51" s="30"/>
      <c r="AN51" s="30"/>
      <c r="AO51" s="30"/>
      <c r="AP51" s="30"/>
      <c r="AQ51" s="31"/>
      <c r="AR51" s="11" t="s">
        <v>6</v>
      </c>
      <c r="AS51" s="11" t="s">
        <v>8</v>
      </c>
      <c r="AT51" s="11" t="s">
        <v>8</v>
      </c>
      <c r="AU51" s="19" t="s">
        <v>9</v>
      </c>
      <c r="AV51" s="20"/>
      <c r="AW51" s="20"/>
      <c r="AX51" s="21"/>
      <c r="AY51" s="19" t="s">
        <v>8</v>
      </c>
      <c r="AZ51" s="20"/>
      <c r="BA51" s="20"/>
      <c r="BB51" s="21"/>
      <c r="BC51" s="302"/>
      <c r="BD51" s="303"/>
      <c r="BE51" s="303"/>
      <c r="BF51" s="303"/>
      <c r="BG51" s="303"/>
      <c r="BH51" s="303"/>
      <c r="BI51" s="303"/>
      <c r="BJ51" s="304"/>
      <c r="BK51" s="6"/>
    </row>
    <row r="52" spans="1:63" ht="15.75" customHeight="1" x14ac:dyDescent="0.25">
      <c r="A52" s="5"/>
      <c r="B52" s="19">
        <f t="shared" si="0"/>
        <v>4</v>
      </c>
      <c r="C52" s="21"/>
      <c r="D52" s="33" t="s">
        <v>42</v>
      </c>
      <c r="E52" s="34"/>
      <c r="F52" s="34"/>
      <c r="G52" s="34"/>
      <c r="H52" s="34"/>
      <c r="I52" s="34"/>
      <c r="J52" s="35"/>
      <c r="K52" s="22" t="s">
        <v>142</v>
      </c>
      <c r="L52" s="23"/>
      <c r="M52" s="24"/>
      <c r="N52" s="15" t="s">
        <v>147</v>
      </c>
      <c r="O52" s="9" t="s">
        <v>6</v>
      </c>
      <c r="P52" s="153" t="s">
        <v>6</v>
      </c>
      <c r="Q52" s="37"/>
      <c r="R52" s="37"/>
      <c r="S52" s="38"/>
      <c r="T52" s="153" t="s">
        <v>6</v>
      </c>
      <c r="U52" s="37"/>
      <c r="V52" s="37"/>
      <c r="W52" s="38"/>
      <c r="X52" s="26" t="s">
        <v>6</v>
      </c>
      <c r="Y52" s="27"/>
      <c r="Z52" s="28"/>
      <c r="AA52" s="19" t="s">
        <v>8</v>
      </c>
      <c r="AB52" s="20"/>
      <c r="AC52" s="20"/>
      <c r="AD52" s="20"/>
      <c r="AE52" s="20"/>
      <c r="AF52" s="20"/>
      <c r="AG52" s="20"/>
      <c r="AH52" s="21"/>
      <c r="AI52" s="32" t="s">
        <v>8</v>
      </c>
      <c r="AJ52" s="30"/>
      <c r="AK52" s="30"/>
      <c r="AL52" s="30"/>
      <c r="AM52" s="30"/>
      <c r="AN52" s="30"/>
      <c r="AO52" s="30"/>
      <c r="AP52" s="30"/>
      <c r="AQ52" s="31"/>
      <c r="AR52" s="9" t="s">
        <v>7</v>
      </c>
      <c r="AS52" s="9" t="s">
        <v>6</v>
      </c>
      <c r="AT52" s="11" t="s">
        <v>8</v>
      </c>
      <c r="AU52" s="19" t="s">
        <v>9</v>
      </c>
      <c r="AV52" s="20"/>
      <c r="AW52" s="20"/>
      <c r="AX52" s="21"/>
      <c r="AY52" s="19" t="s">
        <v>8</v>
      </c>
      <c r="AZ52" s="20"/>
      <c r="BA52" s="20"/>
      <c r="BB52" s="21"/>
      <c r="BC52" s="296"/>
      <c r="BD52" s="288"/>
      <c r="BE52" s="288"/>
      <c r="BF52" s="288"/>
      <c r="BG52" s="288"/>
      <c r="BH52" s="288"/>
      <c r="BI52" s="288"/>
      <c r="BJ52" s="289"/>
      <c r="BK52" s="6"/>
    </row>
    <row r="53" spans="1:63" ht="15.75" customHeight="1" x14ac:dyDescent="0.25">
      <c r="A53" s="5"/>
      <c r="B53" s="19">
        <f t="shared" si="0"/>
        <v>5</v>
      </c>
      <c r="C53" s="21"/>
      <c r="D53" s="307" t="s">
        <v>17</v>
      </c>
      <c r="E53" s="308"/>
      <c r="F53" s="308"/>
      <c r="G53" s="308"/>
      <c r="H53" s="308"/>
      <c r="I53" s="308"/>
      <c r="J53" s="309"/>
      <c r="K53" s="22" t="s">
        <v>142</v>
      </c>
      <c r="L53" s="23"/>
      <c r="M53" s="24"/>
      <c r="N53" s="15" t="s">
        <v>6</v>
      </c>
      <c r="O53" s="9" t="s">
        <v>7</v>
      </c>
      <c r="P53" s="25" t="s">
        <v>6</v>
      </c>
      <c r="Q53" s="20"/>
      <c r="R53" s="20"/>
      <c r="S53" s="21"/>
      <c r="T53" s="25" t="s">
        <v>6</v>
      </c>
      <c r="U53" s="20"/>
      <c r="V53" s="20"/>
      <c r="W53" s="21"/>
      <c r="X53" s="26" t="s">
        <v>163</v>
      </c>
      <c r="Y53" s="27"/>
      <c r="Z53" s="28"/>
      <c r="AA53" s="19" t="s">
        <v>8</v>
      </c>
      <c r="AB53" s="20"/>
      <c r="AC53" s="20"/>
      <c r="AD53" s="20"/>
      <c r="AE53" s="20"/>
      <c r="AF53" s="20"/>
      <c r="AG53" s="20"/>
      <c r="AH53" s="21"/>
      <c r="AI53" s="32" t="s">
        <v>8</v>
      </c>
      <c r="AJ53" s="30"/>
      <c r="AK53" s="30"/>
      <c r="AL53" s="30"/>
      <c r="AM53" s="30"/>
      <c r="AN53" s="30"/>
      <c r="AO53" s="30"/>
      <c r="AP53" s="30"/>
      <c r="AQ53" s="31"/>
      <c r="AR53" s="11" t="s">
        <v>6</v>
      </c>
      <c r="AS53" s="9" t="s">
        <v>6</v>
      </c>
      <c r="AT53" s="11" t="s">
        <v>8</v>
      </c>
      <c r="AU53" s="19" t="s">
        <v>9</v>
      </c>
      <c r="AV53" s="20"/>
      <c r="AW53" s="20"/>
      <c r="AX53" s="21"/>
      <c r="AY53" s="19" t="s">
        <v>8</v>
      </c>
      <c r="AZ53" s="20"/>
      <c r="BA53" s="20"/>
      <c r="BB53" s="21"/>
      <c r="BC53" s="305"/>
      <c r="BD53" s="288"/>
      <c r="BE53" s="288"/>
      <c r="BF53" s="288"/>
      <c r="BG53" s="288"/>
      <c r="BH53" s="288"/>
      <c r="BI53" s="288"/>
      <c r="BJ53" s="289"/>
      <c r="BK53" s="6"/>
    </row>
    <row r="54" spans="1:63" ht="15.75" customHeight="1" x14ac:dyDescent="0.25">
      <c r="A54" s="5"/>
      <c r="B54" s="19">
        <f t="shared" si="0"/>
        <v>6</v>
      </c>
      <c r="C54" s="21"/>
      <c r="D54" s="33" t="s">
        <v>16</v>
      </c>
      <c r="E54" s="34"/>
      <c r="F54" s="34"/>
      <c r="G54" s="34"/>
      <c r="H54" s="34"/>
      <c r="I54" s="34"/>
      <c r="J54" s="35"/>
      <c r="K54" s="22" t="s">
        <v>142</v>
      </c>
      <c r="L54" s="23"/>
      <c r="M54" s="24"/>
      <c r="N54" s="15" t="s">
        <v>147</v>
      </c>
      <c r="O54" s="9" t="s">
        <v>6</v>
      </c>
      <c r="P54" s="153" t="s">
        <v>6</v>
      </c>
      <c r="Q54" s="37"/>
      <c r="R54" s="37"/>
      <c r="S54" s="38"/>
      <c r="T54" s="153" t="s">
        <v>6</v>
      </c>
      <c r="U54" s="37"/>
      <c r="V54" s="37"/>
      <c r="W54" s="38"/>
      <c r="X54" s="26" t="s">
        <v>6</v>
      </c>
      <c r="Y54" s="27"/>
      <c r="Z54" s="28"/>
      <c r="AA54" s="19" t="s">
        <v>8</v>
      </c>
      <c r="AB54" s="20"/>
      <c r="AC54" s="20"/>
      <c r="AD54" s="20"/>
      <c r="AE54" s="20"/>
      <c r="AF54" s="20"/>
      <c r="AG54" s="20"/>
      <c r="AH54" s="21"/>
      <c r="AI54" s="32" t="s">
        <v>8</v>
      </c>
      <c r="AJ54" s="30"/>
      <c r="AK54" s="30"/>
      <c r="AL54" s="30"/>
      <c r="AM54" s="30"/>
      <c r="AN54" s="30"/>
      <c r="AO54" s="30"/>
      <c r="AP54" s="30"/>
      <c r="AQ54" s="31"/>
      <c r="AR54" s="11" t="s">
        <v>7</v>
      </c>
      <c r="AS54" s="9" t="s">
        <v>7</v>
      </c>
      <c r="AT54" s="11" t="s">
        <v>8</v>
      </c>
      <c r="AU54" s="36" t="s">
        <v>9</v>
      </c>
      <c r="AV54" s="37"/>
      <c r="AW54" s="37"/>
      <c r="AX54" s="38"/>
      <c r="AY54" s="36" t="s">
        <v>8</v>
      </c>
      <c r="AZ54" s="37"/>
      <c r="BA54" s="37"/>
      <c r="BB54" s="38"/>
      <c r="BC54" s="296"/>
      <c r="BD54" s="288"/>
      <c r="BE54" s="288"/>
      <c r="BF54" s="288"/>
      <c r="BG54" s="288"/>
      <c r="BH54" s="288"/>
      <c r="BI54" s="288"/>
      <c r="BJ54" s="289"/>
      <c r="BK54" s="6"/>
    </row>
    <row r="55" spans="1:63" x14ac:dyDescent="0.25">
      <c r="A55" s="5"/>
      <c r="B55" s="19">
        <f t="shared" si="0"/>
        <v>7</v>
      </c>
      <c r="C55" s="21"/>
      <c r="D55" s="299" t="s">
        <v>38</v>
      </c>
      <c r="E55" s="300"/>
      <c r="F55" s="300"/>
      <c r="G55" s="300"/>
      <c r="H55" s="300"/>
      <c r="I55" s="300"/>
      <c r="J55" s="301"/>
      <c r="K55" s="42" t="s">
        <v>5</v>
      </c>
      <c r="L55" s="23"/>
      <c r="M55" s="24"/>
      <c r="N55" s="15" t="s">
        <v>6</v>
      </c>
      <c r="O55" s="9" t="s">
        <v>7</v>
      </c>
      <c r="P55" s="19" t="s">
        <v>9</v>
      </c>
      <c r="Q55" s="20"/>
      <c r="R55" s="20"/>
      <c r="S55" s="21"/>
      <c r="T55" s="19" t="s">
        <v>9</v>
      </c>
      <c r="U55" s="20"/>
      <c r="V55" s="20"/>
      <c r="W55" s="21"/>
      <c r="X55" s="170" t="s">
        <v>70</v>
      </c>
      <c r="Y55" s="171"/>
      <c r="Z55" s="172"/>
      <c r="AA55" s="19" t="s">
        <v>8</v>
      </c>
      <c r="AB55" s="20"/>
      <c r="AC55" s="20"/>
      <c r="AD55" s="20"/>
      <c r="AE55" s="20"/>
      <c r="AF55" s="20"/>
      <c r="AG55" s="20"/>
      <c r="AH55" s="21"/>
      <c r="AI55" s="32" t="s">
        <v>8</v>
      </c>
      <c r="AJ55" s="30"/>
      <c r="AK55" s="30"/>
      <c r="AL55" s="30"/>
      <c r="AM55" s="30"/>
      <c r="AN55" s="30"/>
      <c r="AO55" s="30"/>
      <c r="AP55" s="30"/>
      <c r="AQ55" s="31"/>
      <c r="AR55" s="11" t="s">
        <v>6</v>
      </c>
      <c r="AS55" s="11" t="s">
        <v>6</v>
      </c>
      <c r="AT55" s="11" t="s">
        <v>8</v>
      </c>
      <c r="AU55" s="19" t="s">
        <v>9</v>
      </c>
      <c r="AV55" s="20"/>
      <c r="AW55" s="20"/>
      <c r="AX55" s="21"/>
      <c r="AY55" s="19" t="s">
        <v>8</v>
      </c>
      <c r="AZ55" s="20"/>
      <c r="BA55" s="20"/>
      <c r="BB55" s="21"/>
      <c r="BC55" s="56"/>
      <c r="BD55" s="288"/>
      <c r="BE55" s="288"/>
      <c r="BF55" s="288"/>
      <c r="BG55" s="288"/>
      <c r="BH55" s="288"/>
      <c r="BI55" s="288"/>
      <c r="BJ55" s="289"/>
      <c r="BK55" s="6"/>
    </row>
    <row r="56" spans="1:63" ht="15.75" customHeight="1" x14ac:dyDescent="0.25">
      <c r="A56" s="5"/>
      <c r="B56" s="19">
        <f t="shared" si="0"/>
        <v>8</v>
      </c>
      <c r="C56" s="21"/>
      <c r="D56" s="33" t="s">
        <v>39</v>
      </c>
      <c r="E56" s="34"/>
      <c r="F56" s="34"/>
      <c r="G56" s="34"/>
      <c r="H56" s="34"/>
      <c r="I56" s="34"/>
      <c r="J56" s="35"/>
      <c r="K56" s="22" t="s">
        <v>142</v>
      </c>
      <c r="L56" s="23"/>
      <c r="M56" s="24"/>
      <c r="N56" s="15" t="s">
        <v>147</v>
      </c>
      <c r="O56" s="9" t="s">
        <v>6</v>
      </c>
      <c r="P56" s="36" t="s">
        <v>9</v>
      </c>
      <c r="Q56" s="37"/>
      <c r="R56" s="37"/>
      <c r="S56" s="38"/>
      <c r="T56" s="36" t="s">
        <v>9</v>
      </c>
      <c r="U56" s="37"/>
      <c r="V56" s="37"/>
      <c r="W56" s="38"/>
      <c r="X56" s="49" t="s">
        <v>6</v>
      </c>
      <c r="Y56" s="20"/>
      <c r="Z56" s="21"/>
      <c r="AA56" s="19" t="s">
        <v>8</v>
      </c>
      <c r="AB56" s="20"/>
      <c r="AC56" s="20"/>
      <c r="AD56" s="20"/>
      <c r="AE56" s="20"/>
      <c r="AF56" s="20"/>
      <c r="AG56" s="20"/>
      <c r="AH56" s="21"/>
      <c r="AI56" s="32" t="s">
        <v>8</v>
      </c>
      <c r="AJ56" s="30"/>
      <c r="AK56" s="30"/>
      <c r="AL56" s="30"/>
      <c r="AM56" s="30"/>
      <c r="AN56" s="30"/>
      <c r="AO56" s="30"/>
      <c r="AP56" s="30"/>
      <c r="AQ56" s="31"/>
      <c r="AR56" s="11" t="s">
        <v>6</v>
      </c>
      <c r="AS56" s="11" t="s">
        <v>6</v>
      </c>
      <c r="AT56" s="11" t="s">
        <v>8</v>
      </c>
      <c r="AU56" s="19" t="s">
        <v>9</v>
      </c>
      <c r="AV56" s="20"/>
      <c r="AW56" s="20"/>
      <c r="AX56" s="21"/>
      <c r="AY56" s="19" t="s">
        <v>8</v>
      </c>
      <c r="AZ56" s="20"/>
      <c r="BA56" s="20"/>
      <c r="BB56" s="21"/>
      <c r="BC56" s="306"/>
      <c r="BD56" s="303"/>
      <c r="BE56" s="303"/>
      <c r="BF56" s="303"/>
      <c r="BG56" s="303"/>
      <c r="BH56" s="303"/>
      <c r="BI56" s="303"/>
      <c r="BJ56" s="304"/>
      <c r="BK56" s="6"/>
    </row>
    <row r="57" spans="1:63" x14ac:dyDescent="0.25">
      <c r="A57" s="5"/>
      <c r="B57" s="19">
        <f t="shared" si="0"/>
        <v>9</v>
      </c>
      <c r="C57" s="21"/>
      <c r="D57" s="33" t="s">
        <v>72</v>
      </c>
      <c r="E57" s="34"/>
      <c r="F57" s="34"/>
      <c r="G57" s="34"/>
      <c r="H57" s="34"/>
      <c r="I57" s="34"/>
      <c r="J57" s="35"/>
      <c r="K57" s="22" t="s">
        <v>142</v>
      </c>
      <c r="L57" s="23"/>
      <c r="M57" s="24"/>
      <c r="N57" s="15" t="s">
        <v>6</v>
      </c>
      <c r="O57" s="9" t="s">
        <v>7</v>
      </c>
      <c r="P57" s="25" t="s">
        <v>6</v>
      </c>
      <c r="Q57" s="20"/>
      <c r="R57" s="20"/>
      <c r="S57" s="21"/>
      <c r="T57" s="25" t="s">
        <v>6</v>
      </c>
      <c r="U57" s="20"/>
      <c r="V57" s="20"/>
      <c r="W57" s="21"/>
      <c r="X57" s="173" t="s">
        <v>174</v>
      </c>
      <c r="Y57" s="174"/>
      <c r="Z57" s="175"/>
      <c r="AA57" s="19" t="s">
        <v>8</v>
      </c>
      <c r="AB57" s="20"/>
      <c r="AC57" s="20"/>
      <c r="AD57" s="20"/>
      <c r="AE57" s="20"/>
      <c r="AF57" s="20"/>
      <c r="AG57" s="20"/>
      <c r="AH57" s="21"/>
      <c r="AI57" s="32" t="s">
        <v>8</v>
      </c>
      <c r="AJ57" s="30"/>
      <c r="AK57" s="30"/>
      <c r="AL57" s="30"/>
      <c r="AM57" s="30"/>
      <c r="AN57" s="30"/>
      <c r="AO57" s="30"/>
      <c r="AP57" s="30"/>
      <c r="AQ57" s="31"/>
      <c r="AR57" s="11" t="s">
        <v>6</v>
      </c>
      <c r="AS57" s="11" t="s">
        <v>6</v>
      </c>
      <c r="AT57" s="11" t="s">
        <v>8</v>
      </c>
      <c r="AU57" s="19" t="s">
        <v>9</v>
      </c>
      <c r="AV57" s="20"/>
      <c r="AW57" s="20"/>
      <c r="AX57" s="21"/>
      <c r="AY57" s="19" t="s">
        <v>8</v>
      </c>
      <c r="AZ57" s="20"/>
      <c r="BA57" s="20"/>
      <c r="BB57" s="21"/>
      <c r="BC57" s="306"/>
      <c r="BD57" s="303"/>
      <c r="BE57" s="303"/>
      <c r="BF57" s="303"/>
      <c r="BG57" s="303"/>
      <c r="BH57" s="303"/>
      <c r="BI57" s="303"/>
      <c r="BJ57" s="304"/>
      <c r="BK57" s="6"/>
    </row>
    <row r="58" spans="1:63" x14ac:dyDescent="0.25">
      <c r="A58" s="5"/>
      <c r="B58" s="19">
        <f t="shared" si="0"/>
        <v>10</v>
      </c>
      <c r="C58" s="21"/>
      <c r="D58" s="33" t="s">
        <v>73</v>
      </c>
      <c r="E58" s="34"/>
      <c r="F58" s="34"/>
      <c r="G58" s="34"/>
      <c r="H58" s="34"/>
      <c r="I58" s="34"/>
      <c r="J58" s="35"/>
      <c r="K58" s="22" t="s">
        <v>142</v>
      </c>
      <c r="L58" s="23"/>
      <c r="M58" s="24"/>
      <c r="N58" s="15" t="s">
        <v>147</v>
      </c>
      <c r="O58" s="9" t="s">
        <v>6</v>
      </c>
      <c r="P58" s="153" t="s">
        <v>6</v>
      </c>
      <c r="Q58" s="37"/>
      <c r="R58" s="37"/>
      <c r="S58" s="38"/>
      <c r="T58" s="153" t="s">
        <v>6</v>
      </c>
      <c r="U58" s="37"/>
      <c r="V58" s="37"/>
      <c r="W58" s="38"/>
      <c r="X58" s="26" t="s">
        <v>6</v>
      </c>
      <c r="Y58" s="27"/>
      <c r="Z58" s="28"/>
      <c r="AA58" s="19" t="s">
        <v>8</v>
      </c>
      <c r="AB58" s="20"/>
      <c r="AC58" s="20"/>
      <c r="AD58" s="20"/>
      <c r="AE58" s="20"/>
      <c r="AF58" s="20"/>
      <c r="AG58" s="20"/>
      <c r="AH58" s="21"/>
      <c r="AI58" s="32" t="s">
        <v>8</v>
      </c>
      <c r="AJ58" s="30"/>
      <c r="AK58" s="30"/>
      <c r="AL58" s="30"/>
      <c r="AM58" s="30"/>
      <c r="AN58" s="30"/>
      <c r="AO58" s="30"/>
      <c r="AP58" s="30"/>
      <c r="AQ58" s="31"/>
      <c r="AR58" s="11"/>
      <c r="AS58" s="11"/>
      <c r="AT58" s="11"/>
      <c r="AU58" s="19"/>
      <c r="AV58" s="20"/>
      <c r="AW58" s="20"/>
      <c r="AX58" s="21"/>
      <c r="AY58" s="19"/>
      <c r="AZ58" s="20"/>
      <c r="BA58" s="20"/>
      <c r="BB58" s="21"/>
      <c r="BC58" s="306"/>
      <c r="BD58" s="303"/>
      <c r="BE58" s="303"/>
      <c r="BF58" s="303"/>
      <c r="BG58" s="303"/>
      <c r="BH58" s="303"/>
      <c r="BI58" s="303"/>
      <c r="BJ58" s="304"/>
      <c r="BK58" s="6"/>
    </row>
    <row r="59" spans="1:63" x14ac:dyDescent="0.25">
      <c r="A59" s="5"/>
      <c r="B59" s="19">
        <f t="shared" si="0"/>
        <v>11</v>
      </c>
      <c r="C59" s="21"/>
      <c r="D59" s="307" t="s">
        <v>74</v>
      </c>
      <c r="E59" s="308"/>
      <c r="F59" s="308"/>
      <c r="G59" s="308"/>
      <c r="H59" s="308"/>
      <c r="I59" s="308"/>
      <c r="J59" s="309"/>
      <c r="K59" s="22" t="s">
        <v>142</v>
      </c>
      <c r="L59" s="23"/>
      <c r="M59" s="24"/>
      <c r="N59" s="12" t="s">
        <v>8</v>
      </c>
      <c r="O59" s="9" t="s">
        <v>6</v>
      </c>
      <c r="P59" s="25" t="s">
        <v>6</v>
      </c>
      <c r="Q59" s="20"/>
      <c r="R59" s="20"/>
      <c r="S59" s="21"/>
      <c r="T59" s="25" t="s">
        <v>6</v>
      </c>
      <c r="U59" s="20"/>
      <c r="V59" s="20"/>
      <c r="W59" s="21"/>
      <c r="X59" s="26" t="s">
        <v>175</v>
      </c>
      <c r="Y59" s="27"/>
      <c r="Z59" s="28"/>
      <c r="AA59" s="19" t="s">
        <v>8</v>
      </c>
      <c r="AB59" s="20"/>
      <c r="AC59" s="20"/>
      <c r="AD59" s="20"/>
      <c r="AE59" s="20"/>
      <c r="AF59" s="20"/>
      <c r="AG59" s="20"/>
      <c r="AH59" s="21"/>
      <c r="AI59" s="32" t="s">
        <v>8</v>
      </c>
      <c r="AJ59" s="30"/>
      <c r="AK59" s="30"/>
      <c r="AL59" s="30"/>
      <c r="AM59" s="30"/>
      <c r="AN59" s="30"/>
      <c r="AO59" s="30"/>
      <c r="AP59" s="30"/>
      <c r="AQ59" s="31"/>
      <c r="AR59" s="11" t="s">
        <v>6</v>
      </c>
      <c r="AS59" s="11" t="s">
        <v>6</v>
      </c>
      <c r="AT59" s="11" t="s">
        <v>8</v>
      </c>
      <c r="AU59" s="19" t="s">
        <v>9</v>
      </c>
      <c r="AV59" s="20"/>
      <c r="AW59" s="20"/>
      <c r="AX59" s="21"/>
      <c r="AY59" s="19" t="s">
        <v>8</v>
      </c>
      <c r="AZ59" s="20"/>
      <c r="BA59" s="20"/>
      <c r="BB59" s="21"/>
      <c r="BC59" s="306"/>
      <c r="BD59" s="303"/>
      <c r="BE59" s="303"/>
      <c r="BF59" s="303"/>
      <c r="BG59" s="303"/>
      <c r="BH59" s="303"/>
      <c r="BI59" s="303"/>
      <c r="BJ59" s="304"/>
      <c r="BK59" s="6"/>
    </row>
    <row r="60" spans="1:63" ht="47.25" customHeight="1" x14ac:dyDescent="0.25">
      <c r="A60" s="5"/>
      <c r="B60" s="19">
        <f t="shared" si="0"/>
        <v>12</v>
      </c>
      <c r="C60" s="21"/>
      <c r="D60" s="307" t="s">
        <v>75</v>
      </c>
      <c r="E60" s="308"/>
      <c r="F60" s="308"/>
      <c r="G60" s="308"/>
      <c r="H60" s="308"/>
      <c r="I60" s="308"/>
      <c r="J60" s="309"/>
      <c r="K60" s="22" t="s">
        <v>142</v>
      </c>
      <c r="L60" s="23"/>
      <c r="M60" s="24"/>
      <c r="N60" s="12" t="s">
        <v>13</v>
      </c>
      <c r="O60" s="9" t="s">
        <v>6</v>
      </c>
      <c r="P60" s="25" t="s">
        <v>6</v>
      </c>
      <c r="Q60" s="20"/>
      <c r="R60" s="20"/>
      <c r="S60" s="21"/>
      <c r="T60" s="25" t="s">
        <v>6</v>
      </c>
      <c r="U60" s="20"/>
      <c r="V60" s="20"/>
      <c r="W60" s="21"/>
      <c r="X60" s="26" t="s">
        <v>6</v>
      </c>
      <c r="Y60" s="27"/>
      <c r="Z60" s="28"/>
      <c r="AA60" s="19" t="s">
        <v>8</v>
      </c>
      <c r="AB60" s="20"/>
      <c r="AC60" s="20"/>
      <c r="AD60" s="20"/>
      <c r="AE60" s="20"/>
      <c r="AF60" s="20"/>
      <c r="AG60" s="20"/>
      <c r="AH60" s="21"/>
      <c r="AI60" s="32" t="s">
        <v>8</v>
      </c>
      <c r="AJ60" s="30"/>
      <c r="AK60" s="30"/>
      <c r="AL60" s="30"/>
      <c r="AM60" s="30"/>
      <c r="AN60" s="30"/>
      <c r="AO60" s="30"/>
      <c r="AP60" s="30"/>
      <c r="AQ60" s="31"/>
      <c r="AR60" s="11" t="s">
        <v>6</v>
      </c>
      <c r="AS60" s="11" t="s">
        <v>6</v>
      </c>
      <c r="AT60" s="11" t="s">
        <v>8</v>
      </c>
      <c r="AU60" s="19" t="s">
        <v>9</v>
      </c>
      <c r="AV60" s="20"/>
      <c r="AW60" s="20"/>
      <c r="AX60" s="21"/>
      <c r="AY60" s="19" t="s">
        <v>8</v>
      </c>
      <c r="AZ60" s="20"/>
      <c r="BA60" s="20"/>
      <c r="BB60" s="21"/>
      <c r="BC60" s="306" t="s">
        <v>176</v>
      </c>
      <c r="BD60" s="303"/>
      <c r="BE60" s="303"/>
      <c r="BF60" s="303"/>
      <c r="BG60" s="303"/>
      <c r="BH60" s="303"/>
      <c r="BI60" s="303"/>
      <c r="BJ60" s="304"/>
      <c r="BK60" s="6"/>
    </row>
    <row r="61" spans="1:63" x14ac:dyDescent="0.25">
      <c r="A61" s="5"/>
      <c r="B61" s="19">
        <f t="shared" si="0"/>
        <v>13</v>
      </c>
      <c r="C61" s="21"/>
      <c r="D61" s="33" t="s">
        <v>76</v>
      </c>
      <c r="E61" s="34"/>
      <c r="F61" s="34"/>
      <c r="G61" s="34"/>
      <c r="H61" s="34"/>
      <c r="I61" s="34"/>
      <c r="J61" s="35"/>
      <c r="K61" s="22" t="s">
        <v>142</v>
      </c>
      <c r="L61" s="23"/>
      <c r="M61" s="24"/>
      <c r="N61" s="12" t="s">
        <v>6</v>
      </c>
      <c r="O61" s="9" t="s">
        <v>7</v>
      </c>
      <c r="P61" s="25" t="s">
        <v>6</v>
      </c>
      <c r="Q61" s="20"/>
      <c r="R61" s="20"/>
      <c r="S61" s="21"/>
      <c r="T61" s="25" t="s">
        <v>6</v>
      </c>
      <c r="U61" s="20"/>
      <c r="V61" s="20"/>
      <c r="W61" s="21"/>
      <c r="X61" s="26" t="s">
        <v>177</v>
      </c>
      <c r="Y61" s="27"/>
      <c r="Z61" s="28"/>
      <c r="AA61" s="19" t="s">
        <v>8</v>
      </c>
      <c r="AB61" s="20"/>
      <c r="AC61" s="20"/>
      <c r="AD61" s="20"/>
      <c r="AE61" s="20"/>
      <c r="AF61" s="20"/>
      <c r="AG61" s="20"/>
      <c r="AH61" s="21"/>
      <c r="AI61" s="32" t="s">
        <v>8</v>
      </c>
      <c r="AJ61" s="30"/>
      <c r="AK61" s="30"/>
      <c r="AL61" s="30"/>
      <c r="AM61" s="30"/>
      <c r="AN61" s="30"/>
      <c r="AO61" s="30"/>
      <c r="AP61" s="30"/>
      <c r="AQ61" s="31"/>
      <c r="AR61" s="11" t="s">
        <v>6</v>
      </c>
      <c r="AS61" s="11" t="s">
        <v>6</v>
      </c>
      <c r="AT61" s="11" t="s">
        <v>8</v>
      </c>
      <c r="AU61" s="19" t="s">
        <v>9</v>
      </c>
      <c r="AV61" s="20"/>
      <c r="AW61" s="20"/>
      <c r="AX61" s="21"/>
      <c r="AY61" s="19" t="s">
        <v>8</v>
      </c>
      <c r="AZ61" s="20"/>
      <c r="BA61" s="20"/>
      <c r="BB61" s="21"/>
      <c r="BC61" s="305"/>
      <c r="BD61" s="288"/>
      <c r="BE61" s="288"/>
      <c r="BF61" s="288"/>
      <c r="BG61" s="288"/>
      <c r="BH61" s="288"/>
      <c r="BI61" s="288"/>
      <c r="BJ61" s="289"/>
      <c r="BK61" s="6"/>
    </row>
    <row r="62" spans="1:63" x14ac:dyDescent="0.25">
      <c r="A62" s="5"/>
      <c r="B62" s="19">
        <f t="shared" si="0"/>
        <v>14</v>
      </c>
      <c r="C62" s="21"/>
      <c r="D62" s="39" t="s">
        <v>43</v>
      </c>
      <c r="E62" s="40"/>
      <c r="F62" s="40"/>
      <c r="G62" s="40"/>
      <c r="H62" s="40"/>
      <c r="I62" s="40"/>
      <c r="J62" s="41"/>
      <c r="K62" s="42" t="s">
        <v>5</v>
      </c>
      <c r="L62" s="23"/>
      <c r="M62" s="24"/>
      <c r="N62" s="15" t="s">
        <v>147</v>
      </c>
      <c r="O62" s="9" t="s">
        <v>6</v>
      </c>
      <c r="P62" s="19" t="s">
        <v>9</v>
      </c>
      <c r="Q62" s="20"/>
      <c r="R62" s="20"/>
      <c r="S62" s="21"/>
      <c r="T62" s="19" t="s">
        <v>9</v>
      </c>
      <c r="U62" s="20"/>
      <c r="V62" s="20"/>
      <c r="W62" s="21"/>
      <c r="X62" s="53"/>
      <c r="Y62" s="54"/>
      <c r="Z62" s="55"/>
      <c r="AA62" s="19" t="s">
        <v>8</v>
      </c>
      <c r="AB62" s="20"/>
      <c r="AC62" s="20"/>
      <c r="AD62" s="20"/>
      <c r="AE62" s="20"/>
      <c r="AF62" s="20"/>
      <c r="AG62" s="20"/>
      <c r="AH62" s="21"/>
      <c r="AI62" s="32" t="s">
        <v>8</v>
      </c>
      <c r="AJ62" s="30"/>
      <c r="AK62" s="30"/>
      <c r="AL62" s="30"/>
      <c r="AM62" s="30"/>
      <c r="AN62" s="30"/>
      <c r="AO62" s="30"/>
      <c r="AP62" s="30"/>
      <c r="AQ62" s="31"/>
      <c r="AR62" s="11" t="s">
        <v>6</v>
      </c>
      <c r="AS62" s="11" t="s">
        <v>8</v>
      </c>
      <c r="AT62" s="11" t="s">
        <v>8</v>
      </c>
      <c r="AU62" s="19" t="s">
        <v>9</v>
      </c>
      <c r="AV62" s="20"/>
      <c r="AW62" s="20"/>
      <c r="AX62" s="21"/>
      <c r="AY62" s="19" t="s">
        <v>8</v>
      </c>
      <c r="AZ62" s="20"/>
      <c r="BA62" s="20"/>
      <c r="BB62" s="21"/>
      <c r="BC62" s="56"/>
      <c r="BD62" s="288"/>
      <c r="BE62" s="288"/>
      <c r="BF62" s="288"/>
      <c r="BG62" s="288"/>
      <c r="BH62" s="288"/>
      <c r="BI62" s="288"/>
      <c r="BJ62" s="289"/>
      <c r="BK62" s="6"/>
    </row>
    <row r="63" spans="1:63" x14ac:dyDescent="0.25">
      <c r="A63" s="5"/>
      <c r="B63" s="19">
        <f t="shared" si="0"/>
        <v>15</v>
      </c>
      <c r="C63" s="21"/>
      <c r="D63" s="33" t="s">
        <v>78</v>
      </c>
      <c r="E63" s="34"/>
      <c r="F63" s="34"/>
      <c r="G63" s="34"/>
      <c r="H63" s="34"/>
      <c r="I63" s="34"/>
      <c r="J63" s="35"/>
      <c r="K63" s="22" t="s">
        <v>142</v>
      </c>
      <c r="L63" s="23"/>
      <c r="M63" s="24"/>
      <c r="N63" s="15" t="s">
        <v>124</v>
      </c>
      <c r="O63" s="9" t="s">
        <v>7</v>
      </c>
      <c r="P63" s="36" t="s">
        <v>6</v>
      </c>
      <c r="Q63" s="37"/>
      <c r="R63" s="37"/>
      <c r="S63" s="38"/>
      <c r="T63" s="36" t="s">
        <v>6</v>
      </c>
      <c r="U63" s="37"/>
      <c r="V63" s="37"/>
      <c r="W63" s="38"/>
      <c r="X63" s="49" t="s">
        <v>80</v>
      </c>
      <c r="Y63" s="20"/>
      <c r="Z63" s="21"/>
      <c r="AA63" s="19" t="s">
        <v>8</v>
      </c>
      <c r="AB63" s="20"/>
      <c r="AC63" s="20"/>
      <c r="AD63" s="20"/>
      <c r="AE63" s="20"/>
      <c r="AF63" s="20"/>
      <c r="AG63" s="20"/>
      <c r="AH63" s="21"/>
      <c r="AI63" s="32" t="s">
        <v>8</v>
      </c>
      <c r="AJ63" s="30"/>
      <c r="AK63" s="30"/>
      <c r="AL63" s="30"/>
      <c r="AM63" s="30"/>
      <c r="AN63" s="30"/>
      <c r="AO63" s="30"/>
      <c r="AP63" s="30"/>
      <c r="AQ63" s="31"/>
      <c r="AR63" s="9" t="s">
        <v>6</v>
      </c>
      <c r="AS63" s="11" t="s">
        <v>8</v>
      </c>
      <c r="AT63" s="11" t="s">
        <v>8</v>
      </c>
      <c r="AU63" s="147" t="s">
        <v>9</v>
      </c>
      <c r="AV63" s="148"/>
      <c r="AW63" s="148"/>
      <c r="AX63" s="149"/>
      <c r="AY63" s="147" t="s">
        <v>8</v>
      </c>
      <c r="AZ63" s="148"/>
      <c r="BA63" s="148"/>
      <c r="BB63" s="149"/>
      <c r="BC63" s="296"/>
      <c r="BD63" s="297"/>
      <c r="BE63" s="297"/>
      <c r="BF63" s="297"/>
      <c r="BG63" s="297"/>
      <c r="BH63" s="297"/>
      <c r="BI63" s="297"/>
      <c r="BJ63" s="298"/>
      <c r="BK63" s="6"/>
    </row>
    <row r="64" spans="1:63" x14ac:dyDescent="0.25">
      <c r="A64" s="5"/>
      <c r="B64" s="19">
        <f t="shared" si="0"/>
        <v>16</v>
      </c>
      <c r="C64" s="21"/>
      <c r="D64" s="299" t="s">
        <v>79</v>
      </c>
      <c r="E64" s="300"/>
      <c r="F64" s="300"/>
      <c r="G64" s="300"/>
      <c r="H64" s="300"/>
      <c r="I64" s="300"/>
      <c r="J64" s="301"/>
      <c r="K64" s="42" t="s">
        <v>5</v>
      </c>
      <c r="L64" s="23"/>
      <c r="M64" s="24"/>
      <c r="N64" s="15" t="s">
        <v>147</v>
      </c>
      <c r="O64" s="9" t="s">
        <v>7</v>
      </c>
      <c r="P64" s="19" t="s">
        <v>9</v>
      </c>
      <c r="Q64" s="20"/>
      <c r="R64" s="20"/>
      <c r="S64" s="21"/>
      <c r="T64" s="19" t="s">
        <v>9</v>
      </c>
      <c r="U64" s="20"/>
      <c r="V64" s="20"/>
      <c r="W64" s="21"/>
      <c r="X64" s="49"/>
      <c r="Y64" s="20"/>
      <c r="Z64" s="21"/>
      <c r="AA64" s="19" t="s">
        <v>8</v>
      </c>
      <c r="AB64" s="20"/>
      <c r="AC64" s="20"/>
      <c r="AD64" s="20"/>
      <c r="AE64" s="20"/>
      <c r="AF64" s="20"/>
      <c r="AG64" s="20"/>
      <c r="AH64" s="21"/>
      <c r="AI64" s="32" t="s">
        <v>8</v>
      </c>
      <c r="AJ64" s="30"/>
      <c r="AK64" s="30"/>
      <c r="AL64" s="30"/>
      <c r="AM64" s="30"/>
      <c r="AN64" s="30"/>
      <c r="AO64" s="30"/>
      <c r="AP64" s="30"/>
      <c r="AQ64" s="31"/>
      <c r="AR64" s="11" t="s">
        <v>6</v>
      </c>
      <c r="AS64" s="11" t="s">
        <v>8</v>
      </c>
      <c r="AT64" s="11" t="s">
        <v>8</v>
      </c>
      <c r="AU64" s="147" t="s">
        <v>9</v>
      </c>
      <c r="AV64" s="148"/>
      <c r="AW64" s="148"/>
      <c r="AX64" s="149"/>
      <c r="AY64" s="147" t="s">
        <v>8</v>
      </c>
      <c r="AZ64" s="148"/>
      <c r="BA64" s="148"/>
      <c r="BB64" s="149"/>
      <c r="BC64" s="302"/>
      <c r="BD64" s="303"/>
      <c r="BE64" s="303"/>
      <c r="BF64" s="303"/>
      <c r="BG64" s="303"/>
      <c r="BH64" s="303"/>
      <c r="BI64" s="303"/>
      <c r="BJ64" s="304"/>
      <c r="BK64" s="6"/>
    </row>
    <row r="65" spans="1:63" x14ac:dyDescent="0.25">
      <c r="A65" s="5"/>
      <c r="B65" s="19">
        <f t="shared" si="0"/>
        <v>17</v>
      </c>
      <c r="C65" s="21"/>
      <c r="D65" s="33" t="s">
        <v>82</v>
      </c>
      <c r="E65" s="34"/>
      <c r="F65" s="34"/>
      <c r="G65" s="34"/>
      <c r="H65" s="34"/>
      <c r="I65" s="34"/>
      <c r="J65" s="35"/>
      <c r="K65" s="22" t="s">
        <v>142</v>
      </c>
      <c r="L65" s="23"/>
      <c r="M65" s="24"/>
      <c r="N65" s="15" t="s">
        <v>147</v>
      </c>
      <c r="O65" s="9" t="s">
        <v>6</v>
      </c>
      <c r="P65" s="36" t="s">
        <v>9</v>
      </c>
      <c r="Q65" s="37"/>
      <c r="R65" s="37"/>
      <c r="S65" s="38"/>
      <c r="T65" s="36" t="s">
        <v>9</v>
      </c>
      <c r="U65" s="37"/>
      <c r="V65" s="37"/>
      <c r="W65" s="38"/>
      <c r="X65" s="49" t="s">
        <v>81</v>
      </c>
      <c r="Y65" s="20"/>
      <c r="Z65" s="21"/>
      <c r="AA65" s="19" t="s">
        <v>8</v>
      </c>
      <c r="AB65" s="20"/>
      <c r="AC65" s="20"/>
      <c r="AD65" s="20"/>
      <c r="AE65" s="20"/>
      <c r="AF65" s="20"/>
      <c r="AG65" s="20"/>
      <c r="AH65" s="21"/>
      <c r="AI65" s="32" t="s">
        <v>8</v>
      </c>
      <c r="AJ65" s="30"/>
      <c r="AK65" s="30"/>
      <c r="AL65" s="30"/>
      <c r="AM65" s="30"/>
      <c r="AN65" s="30"/>
      <c r="AO65" s="30"/>
      <c r="AP65" s="30"/>
      <c r="AQ65" s="31"/>
      <c r="AR65" s="9" t="s">
        <v>6</v>
      </c>
      <c r="AS65" s="9" t="s">
        <v>6</v>
      </c>
      <c r="AT65" s="11" t="s">
        <v>8</v>
      </c>
      <c r="AU65" s="147" t="s">
        <v>9</v>
      </c>
      <c r="AV65" s="148"/>
      <c r="AW65" s="148"/>
      <c r="AX65" s="149"/>
      <c r="AY65" s="147" t="s">
        <v>8</v>
      </c>
      <c r="AZ65" s="148"/>
      <c r="BA65" s="148"/>
      <c r="BB65" s="149"/>
      <c r="BC65" s="296"/>
      <c r="BD65" s="288"/>
      <c r="BE65" s="288"/>
      <c r="BF65" s="288"/>
      <c r="BG65" s="288"/>
      <c r="BH65" s="288"/>
      <c r="BI65" s="288"/>
      <c r="BJ65" s="289"/>
      <c r="BK65" s="6"/>
    </row>
    <row r="66" spans="1:63" x14ac:dyDescent="0.25">
      <c r="A66" s="5"/>
      <c r="B66" s="19">
        <f t="shared" si="0"/>
        <v>18</v>
      </c>
      <c r="C66" s="21"/>
      <c r="D66" s="39" t="s">
        <v>83</v>
      </c>
      <c r="E66" s="40"/>
      <c r="F66" s="40"/>
      <c r="G66" s="40"/>
      <c r="H66" s="40"/>
      <c r="I66" s="40"/>
      <c r="J66" s="41"/>
      <c r="K66" s="42" t="s">
        <v>5</v>
      </c>
      <c r="L66" s="23"/>
      <c r="M66" s="24"/>
      <c r="N66" s="15" t="s">
        <v>6</v>
      </c>
      <c r="O66" s="9" t="s">
        <v>7</v>
      </c>
      <c r="P66" s="25"/>
      <c r="Q66" s="20"/>
      <c r="R66" s="20"/>
      <c r="S66" s="21"/>
      <c r="T66" s="43"/>
      <c r="U66" s="44"/>
      <c r="V66" s="44"/>
      <c r="W66" s="45"/>
      <c r="X66" s="150" t="s">
        <v>148</v>
      </c>
      <c r="Y66" s="151"/>
      <c r="Z66" s="152"/>
      <c r="AA66" s="19" t="s">
        <v>8</v>
      </c>
      <c r="AB66" s="20"/>
      <c r="AC66" s="20"/>
      <c r="AD66" s="20"/>
      <c r="AE66" s="20"/>
      <c r="AF66" s="20"/>
      <c r="AG66" s="20"/>
      <c r="AH66" s="21"/>
      <c r="AI66" s="32" t="s">
        <v>8</v>
      </c>
      <c r="AJ66" s="30"/>
      <c r="AK66" s="30"/>
      <c r="AL66" s="30"/>
      <c r="AM66" s="30"/>
      <c r="AN66" s="30"/>
      <c r="AO66" s="30"/>
      <c r="AP66" s="30"/>
      <c r="AQ66" s="31"/>
      <c r="AR66" s="11" t="s">
        <v>6</v>
      </c>
      <c r="AS66" s="9" t="s">
        <v>6</v>
      </c>
      <c r="AT66" s="11" t="s">
        <v>8</v>
      </c>
      <c r="AU66" s="147" t="s">
        <v>9</v>
      </c>
      <c r="AV66" s="148"/>
      <c r="AW66" s="148"/>
      <c r="AX66" s="149"/>
      <c r="AY66" s="147" t="s">
        <v>8</v>
      </c>
      <c r="AZ66" s="148"/>
      <c r="BA66" s="148"/>
      <c r="BB66" s="149"/>
      <c r="BC66" s="305"/>
      <c r="BD66" s="288"/>
      <c r="BE66" s="288"/>
      <c r="BF66" s="288"/>
      <c r="BG66" s="288"/>
      <c r="BH66" s="288"/>
      <c r="BI66" s="288"/>
      <c r="BJ66" s="289"/>
      <c r="BK66" s="6"/>
    </row>
    <row r="67" spans="1:63" ht="15.75" customHeight="1" x14ac:dyDescent="0.25">
      <c r="A67" s="5"/>
      <c r="B67" s="19">
        <f t="shared" si="0"/>
        <v>19</v>
      </c>
      <c r="C67" s="21"/>
      <c r="D67" s="33" t="s">
        <v>84</v>
      </c>
      <c r="E67" s="34"/>
      <c r="F67" s="34"/>
      <c r="G67" s="34"/>
      <c r="H67" s="34"/>
      <c r="I67" s="34"/>
      <c r="J67" s="35"/>
      <c r="K67" s="22" t="s">
        <v>178</v>
      </c>
      <c r="L67" s="23"/>
      <c r="M67" s="24"/>
      <c r="N67" s="15" t="s">
        <v>147</v>
      </c>
      <c r="O67" s="9" t="s">
        <v>6</v>
      </c>
      <c r="P67" s="153" t="s">
        <v>6</v>
      </c>
      <c r="Q67" s="37"/>
      <c r="R67" s="37"/>
      <c r="S67" s="38"/>
      <c r="T67" s="153" t="s">
        <v>6</v>
      </c>
      <c r="U67" s="37"/>
      <c r="V67" s="37"/>
      <c r="W67" s="38"/>
      <c r="X67" s="26" t="s">
        <v>6</v>
      </c>
      <c r="Y67" s="27"/>
      <c r="Z67" s="28"/>
      <c r="AA67" s="19" t="s">
        <v>8</v>
      </c>
      <c r="AB67" s="20"/>
      <c r="AC67" s="20"/>
      <c r="AD67" s="20"/>
      <c r="AE67" s="20"/>
      <c r="AF67" s="20"/>
      <c r="AG67" s="20"/>
      <c r="AH67" s="21"/>
      <c r="AI67" s="32" t="s">
        <v>8</v>
      </c>
      <c r="AJ67" s="30"/>
      <c r="AK67" s="30"/>
      <c r="AL67" s="30"/>
      <c r="AM67" s="30"/>
      <c r="AN67" s="30"/>
      <c r="AO67" s="30"/>
      <c r="AP67" s="30"/>
      <c r="AQ67" s="31"/>
      <c r="AR67" s="11" t="s">
        <v>6</v>
      </c>
      <c r="AS67" s="9" t="s">
        <v>6</v>
      </c>
      <c r="AT67" s="11" t="s">
        <v>8</v>
      </c>
      <c r="AU67" s="147" t="s">
        <v>9</v>
      </c>
      <c r="AV67" s="148"/>
      <c r="AW67" s="148"/>
      <c r="AX67" s="149"/>
      <c r="AY67" s="147" t="s">
        <v>8</v>
      </c>
      <c r="AZ67" s="148"/>
      <c r="BA67" s="148"/>
      <c r="BB67" s="149"/>
      <c r="BC67" s="296"/>
      <c r="BD67" s="288"/>
      <c r="BE67" s="288"/>
      <c r="BF67" s="288"/>
      <c r="BG67" s="288"/>
      <c r="BH67" s="288"/>
      <c r="BI67" s="288"/>
      <c r="BJ67" s="289"/>
      <c r="BK67" s="6"/>
    </row>
    <row r="68" spans="1:63" ht="15.75" customHeight="1" x14ac:dyDescent="0.25">
      <c r="A68" s="5"/>
      <c r="B68" s="19">
        <f t="shared" si="0"/>
        <v>20</v>
      </c>
      <c r="C68" s="21"/>
      <c r="D68" s="39" t="s">
        <v>77</v>
      </c>
      <c r="E68" s="40"/>
      <c r="F68" s="40"/>
      <c r="G68" s="40"/>
      <c r="H68" s="40"/>
      <c r="I68" s="40"/>
      <c r="J68" s="41"/>
      <c r="K68" s="22" t="s">
        <v>178</v>
      </c>
      <c r="L68" s="23"/>
      <c r="M68" s="24"/>
      <c r="N68" s="15" t="s">
        <v>6</v>
      </c>
      <c r="O68" s="9" t="s">
        <v>7</v>
      </c>
      <c r="P68" s="25" t="s">
        <v>6</v>
      </c>
      <c r="Q68" s="20"/>
      <c r="R68" s="20"/>
      <c r="S68" s="21"/>
      <c r="T68" s="25" t="s">
        <v>6</v>
      </c>
      <c r="U68" s="20"/>
      <c r="V68" s="20"/>
      <c r="W68" s="21"/>
      <c r="X68" s="26" t="s">
        <v>179</v>
      </c>
      <c r="Y68" s="176"/>
      <c r="Z68" s="177"/>
      <c r="AA68" s="19" t="s">
        <v>8</v>
      </c>
      <c r="AB68" s="20"/>
      <c r="AC68" s="20"/>
      <c r="AD68" s="20"/>
      <c r="AE68" s="20"/>
      <c r="AF68" s="20"/>
      <c r="AG68" s="20"/>
      <c r="AH68" s="21"/>
      <c r="AI68" s="32" t="s">
        <v>8</v>
      </c>
      <c r="AJ68" s="30"/>
      <c r="AK68" s="30"/>
      <c r="AL68" s="30"/>
      <c r="AM68" s="30"/>
      <c r="AN68" s="30"/>
      <c r="AO68" s="30"/>
      <c r="AP68" s="30"/>
      <c r="AQ68" s="31"/>
      <c r="AR68" s="11" t="s">
        <v>6</v>
      </c>
      <c r="AS68" s="9" t="s">
        <v>6</v>
      </c>
      <c r="AT68" s="11" t="s">
        <v>8</v>
      </c>
      <c r="AU68" s="19" t="s">
        <v>9</v>
      </c>
      <c r="AV68" s="20"/>
      <c r="AW68" s="20"/>
      <c r="AX68" s="21"/>
      <c r="AY68" s="19" t="s">
        <v>8</v>
      </c>
      <c r="AZ68" s="20"/>
      <c r="BA68" s="20"/>
      <c r="BB68" s="21"/>
      <c r="BC68" s="56"/>
      <c r="BD68" s="288"/>
      <c r="BE68" s="288"/>
      <c r="BF68" s="288"/>
      <c r="BG68" s="288"/>
      <c r="BH68" s="288"/>
      <c r="BI68" s="288"/>
      <c r="BJ68" s="289"/>
      <c r="BK68" s="6"/>
    </row>
    <row r="69" spans="1:63" ht="15.75" customHeight="1" x14ac:dyDescent="0.25">
      <c r="A69" s="5"/>
      <c r="B69" s="19">
        <f t="shared" si="0"/>
        <v>21</v>
      </c>
      <c r="C69" s="21"/>
      <c r="D69" s="33" t="s">
        <v>80</v>
      </c>
      <c r="E69" s="34"/>
      <c r="F69" s="34"/>
      <c r="G69" s="34"/>
      <c r="H69" s="34"/>
      <c r="I69" s="34"/>
      <c r="J69" s="35"/>
      <c r="K69" s="22" t="s">
        <v>178</v>
      </c>
      <c r="L69" s="23"/>
      <c r="M69" s="24"/>
      <c r="N69" s="15" t="s">
        <v>147</v>
      </c>
      <c r="O69" s="9" t="s">
        <v>6</v>
      </c>
      <c r="P69" s="153" t="s">
        <v>6</v>
      </c>
      <c r="Q69" s="37"/>
      <c r="R69" s="37"/>
      <c r="S69" s="38"/>
      <c r="T69" s="153" t="s">
        <v>6</v>
      </c>
      <c r="U69" s="37"/>
      <c r="V69" s="37"/>
      <c r="W69" s="38"/>
      <c r="X69" s="49" t="s">
        <v>80</v>
      </c>
      <c r="Y69" s="20"/>
      <c r="Z69" s="21"/>
      <c r="AA69" s="19" t="s">
        <v>8</v>
      </c>
      <c r="AB69" s="20"/>
      <c r="AC69" s="20"/>
      <c r="AD69" s="20"/>
      <c r="AE69" s="20"/>
      <c r="AF69" s="20"/>
      <c r="AG69" s="20"/>
      <c r="AH69" s="21"/>
      <c r="AI69" s="32" t="s">
        <v>8</v>
      </c>
      <c r="AJ69" s="30"/>
      <c r="AK69" s="30"/>
      <c r="AL69" s="30"/>
      <c r="AM69" s="30"/>
      <c r="AN69" s="30"/>
      <c r="AO69" s="30"/>
      <c r="AP69" s="30"/>
      <c r="AQ69" s="31"/>
      <c r="AR69" s="11" t="s">
        <v>6</v>
      </c>
      <c r="AS69" s="11" t="s">
        <v>6</v>
      </c>
      <c r="AT69" s="11" t="s">
        <v>8</v>
      </c>
      <c r="AU69" s="19" t="s">
        <v>9</v>
      </c>
      <c r="AV69" s="20"/>
      <c r="AW69" s="20"/>
      <c r="AX69" s="21"/>
      <c r="AY69" s="19" t="s">
        <v>8</v>
      </c>
      <c r="AZ69" s="20"/>
      <c r="BA69" s="20"/>
      <c r="BB69" s="21"/>
      <c r="BC69" s="306"/>
      <c r="BD69" s="303"/>
      <c r="BE69" s="303"/>
      <c r="BF69" s="303"/>
      <c r="BG69" s="303"/>
      <c r="BH69" s="303"/>
      <c r="BI69" s="303"/>
      <c r="BJ69" s="304"/>
      <c r="BK69" s="6"/>
    </row>
    <row r="70" spans="1:63" ht="15.75" customHeight="1" x14ac:dyDescent="0.25">
      <c r="A70" s="5"/>
      <c r="B70" s="19">
        <f t="shared" si="0"/>
        <v>22</v>
      </c>
      <c r="C70" s="21"/>
      <c r="D70" s="307" t="s">
        <v>81</v>
      </c>
      <c r="E70" s="308"/>
      <c r="F70" s="308"/>
      <c r="G70" s="308"/>
      <c r="H70" s="308"/>
      <c r="I70" s="308"/>
      <c r="J70" s="309"/>
      <c r="K70" s="22" t="s">
        <v>178</v>
      </c>
      <c r="L70" s="23"/>
      <c r="M70" s="24"/>
      <c r="N70" s="15" t="s">
        <v>6</v>
      </c>
      <c r="O70" s="9" t="s">
        <v>7</v>
      </c>
      <c r="P70" s="25" t="s">
        <v>6</v>
      </c>
      <c r="Q70" s="20"/>
      <c r="R70" s="20"/>
      <c r="S70" s="21"/>
      <c r="T70" s="25" t="s">
        <v>6</v>
      </c>
      <c r="U70" s="20"/>
      <c r="V70" s="20"/>
      <c r="W70" s="21"/>
      <c r="X70" s="49" t="s">
        <v>81</v>
      </c>
      <c r="Y70" s="20"/>
      <c r="Z70" s="21"/>
      <c r="AA70" s="19" t="s">
        <v>8</v>
      </c>
      <c r="AB70" s="20"/>
      <c r="AC70" s="20"/>
      <c r="AD70" s="20"/>
      <c r="AE70" s="20"/>
      <c r="AF70" s="20"/>
      <c r="AG70" s="20"/>
      <c r="AH70" s="21"/>
      <c r="AI70" s="32" t="s">
        <v>8</v>
      </c>
      <c r="AJ70" s="30"/>
      <c r="AK70" s="30"/>
      <c r="AL70" s="30"/>
      <c r="AM70" s="30"/>
      <c r="AN70" s="30"/>
      <c r="AO70" s="30"/>
      <c r="AP70" s="30"/>
      <c r="AQ70" s="31"/>
      <c r="AR70" s="11" t="s">
        <v>6</v>
      </c>
      <c r="AS70" s="11" t="s">
        <v>6</v>
      </c>
      <c r="AT70" s="11" t="s">
        <v>8</v>
      </c>
      <c r="AU70" s="19" t="s">
        <v>9</v>
      </c>
      <c r="AV70" s="20"/>
      <c r="AW70" s="20"/>
      <c r="AX70" s="21"/>
      <c r="AY70" s="19" t="s">
        <v>8</v>
      </c>
      <c r="AZ70" s="20"/>
      <c r="BA70" s="20"/>
      <c r="BB70" s="21"/>
      <c r="BC70" s="306"/>
      <c r="BD70" s="303"/>
      <c r="BE70" s="303"/>
      <c r="BF70" s="303"/>
      <c r="BG70" s="303"/>
      <c r="BH70" s="303"/>
      <c r="BI70" s="303"/>
      <c r="BJ70" s="304"/>
      <c r="BK70" s="6"/>
    </row>
    <row r="71" spans="1:63" x14ac:dyDescent="0.25">
      <c r="A71" s="5"/>
      <c r="B71" s="50">
        <f t="shared" si="0"/>
        <v>23</v>
      </c>
      <c r="C71" s="52"/>
      <c r="D71" s="157" t="s">
        <v>14</v>
      </c>
      <c r="E71" s="158"/>
      <c r="F71" s="158"/>
      <c r="G71" s="158"/>
      <c r="H71" s="158"/>
      <c r="I71" s="158"/>
      <c r="J71" s="159"/>
      <c r="K71" s="60" t="s">
        <v>140</v>
      </c>
      <c r="L71" s="61"/>
      <c r="M71" s="62"/>
      <c r="N71" s="16" t="s">
        <v>157</v>
      </c>
      <c r="O71" s="13" t="s">
        <v>7</v>
      </c>
      <c r="P71" s="178" t="s">
        <v>6</v>
      </c>
      <c r="Q71" s="179"/>
      <c r="R71" s="179"/>
      <c r="S71" s="180"/>
      <c r="T71" s="178" t="s">
        <v>6</v>
      </c>
      <c r="U71" s="179"/>
      <c r="V71" s="179"/>
      <c r="W71" s="180"/>
      <c r="X71" s="64" t="s">
        <v>144</v>
      </c>
      <c r="Y71" s="65"/>
      <c r="Z71" s="66"/>
      <c r="AA71" s="50" t="s">
        <v>8</v>
      </c>
      <c r="AB71" s="51"/>
      <c r="AC71" s="51"/>
      <c r="AD71" s="51"/>
      <c r="AE71" s="51"/>
      <c r="AF71" s="51"/>
      <c r="AG71" s="51"/>
      <c r="AH71" s="52"/>
      <c r="AI71" s="181" t="s">
        <v>8</v>
      </c>
      <c r="AJ71" s="161"/>
      <c r="AK71" s="161"/>
      <c r="AL71" s="161"/>
      <c r="AM71" s="161"/>
      <c r="AN71" s="161"/>
      <c r="AO71" s="161"/>
      <c r="AP71" s="161"/>
      <c r="AQ71" s="162"/>
      <c r="AR71" s="14" t="s">
        <v>6</v>
      </c>
      <c r="AS71" s="14" t="s">
        <v>6</v>
      </c>
      <c r="AT71" s="14" t="s">
        <v>8</v>
      </c>
      <c r="AU71" s="50" t="s">
        <v>9</v>
      </c>
      <c r="AV71" s="51"/>
      <c r="AW71" s="51"/>
      <c r="AX71" s="52"/>
      <c r="AY71" s="50" t="s">
        <v>8</v>
      </c>
      <c r="AZ71" s="51"/>
      <c r="BA71" s="51"/>
      <c r="BB71" s="52"/>
      <c r="BC71" s="316" t="s">
        <v>180</v>
      </c>
      <c r="BD71" s="314"/>
      <c r="BE71" s="314"/>
      <c r="BF71" s="314"/>
      <c r="BG71" s="314"/>
      <c r="BH71" s="314"/>
      <c r="BI71" s="314"/>
      <c r="BJ71" s="315"/>
      <c r="BK71" s="6"/>
    </row>
  </sheetData>
  <mergeCells count="304">
    <mergeCell ref="T59:W59"/>
    <mergeCell ref="X60:Z60"/>
    <mergeCell ref="AA60:AH60"/>
    <mergeCell ref="AI60:AQ60"/>
    <mergeCell ref="AU60:AX60"/>
    <mergeCell ref="AY60:BB60"/>
    <mergeCell ref="BC60:BJ60"/>
    <mergeCell ref="AA58:AH58"/>
    <mergeCell ref="AI58:AQ58"/>
    <mergeCell ref="AU58:AX58"/>
    <mergeCell ref="AY58:BB58"/>
    <mergeCell ref="BC58:BJ58"/>
    <mergeCell ref="X58:Z58"/>
    <mergeCell ref="X59:Z59"/>
    <mergeCell ref="AA59:AH59"/>
    <mergeCell ref="AI59:AQ59"/>
    <mergeCell ref="AU59:AX59"/>
    <mergeCell ref="AY59:BB59"/>
    <mergeCell ref="BC59:BJ59"/>
    <mergeCell ref="X71:Z71"/>
    <mergeCell ref="AA71:AH71"/>
    <mergeCell ref="AI71:AQ71"/>
    <mergeCell ref="AU71:AX71"/>
    <mergeCell ref="AY71:BB71"/>
    <mergeCell ref="BC71:BJ71"/>
    <mergeCell ref="AA70:AH70"/>
    <mergeCell ref="AI70:AQ70"/>
    <mergeCell ref="AU70:AX70"/>
    <mergeCell ref="AY70:BB70"/>
    <mergeCell ref="BC70:BJ70"/>
    <mergeCell ref="X70:Z70"/>
    <mergeCell ref="B71:C71"/>
    <mergeCell ref="D71:J71"/>
    <mergeCell ref="K71:M71"/>
    <mergeCell ref="P71:S71"/>
    <mergeCell ref="T71:W71"/>
    <mergeCell ref="B70:C70"/>
    <mergeCell ref="D70:J70"/>
    <mergeCell ref="K70:M70"/>
    <mergeCell ref="P70:S70"/>
    <mergeCell ref="T70:W70"/>
    <mergeCell ref="X69:Z69"/>
    <mergeCell ref="AA69:AH69"/>
    <mergeCell ref="AI69:AQ69"/>
    <mergeCell ref="AU69:AX69"/>
    <mergeCell ref="AY69:BB69"/>
    <mergeCell ref="BC69:BJ69"/>
    <mergeCell ref="AA68:AH68"/>
    <mergeCell ref="AI68:AQ68"/>
    <mergeCell ref="AU68:AX68"/>
    <mergeCell ref="AY68:BB68"/>
    <mergeCell ref="BC68:BJ68"/>
    <mergeCell ref="X68:Z68"/>
    <mergeCell ref="B69:C69"/>
    <mergeCell ref="D69:J69"/>
    <mergeCell ref="K69:M69"/>
    <mergeCell ref="P69:S69"/>
    <mergeCell ref="T69:W69"/>
    <mergeCell ref="B68:C68"/>
    <mergeCell ref="D68:J68"/>
    <mergeCell ref="K68:M68"/>
    <mergeCell ref="P68:S68"/>
    <mergeCell ref="T68:W68"/>
    <mergeCell ref="X67:Z67"/>
    <mergeCell ref="AA67:AH67"/>
    <mergeCell ref="AI67:AQ67"/>
    <mergeCell ref="AU67:AX67"/>
    <mergeCell ref="AY67:BB67"/>
    <mergeCell ref="BC67:BJ67"/>
    <mergeCell ref="AA66:AH66"/>
    <mergeCell ref="AI66:AQ66"/>
    <mergeCell ref="AU66:AX66"/>
    <mergeCell ref="AY66:BB66"/>
    <mergeCell ref="BC66:BJ66"/>
    <mergeCell ref="X66:Z66"/>
    <mergeCell ref="B67:C67"/>
    <mergeCell ref="D67:J67"/>
    <mergeCell ref="K67:M67"/>
    <mergeCell ref="P67:S67"/>
    <mergeCell ref="T67:W67"/>
    <mergeCell ref="B66:C66"/>
    <mergeCell ref="D66:J66"/>
    <mergeCell ref="K66:M66"/>
    <mergeCell ref="P66:S66"/>
    <mergeCell ref="T66:W66"/>
    <mergeCell ref="X65:Z65"/>
    <mergeCell ref="AA65:AH65"/>
    <mergeCell ref="AI65:AQ65"/>
    <mergeCell ref="AU65:AX65"/>
    <mergeCell ref="AY65:BB65"/>
    <mergeCell ref="BC65:BJ65"/>
    <mergeCell ref="AA64:AH64"/>
    <mergeCell ref="AI64:AQ64"/>
    <mergeCell ref="AU64:AX64"/>
    <mergeCell ref="AY64:BB64"/>
    <mergeCell ref="BC64:BJ64"/>
    <mergeCell ref="X64:Z64"/>
    <mergeCell ref="B65:C65"/>
    <mergeCell ref="D65:J65"/>
    <mergeCell ref="K65:M65"/>
    <mergeCell ref="P65:S65"/>
    <mergeCell ref="T65:W65"/>
    <mergeCell ref="B64:C64"/>
    <mergeCell ref="D64:J64"/>
    <mergeCell ref="K64:M64"/>
    <mergeCell ref="P64:S64"/>
    <mergeCell ref="T64:W64"/>
    <mergeCell ref="X63:Z63"/>
    <mergeCell ref="AA63:AH63"/>
    <mergeCell ref="AI63:AQ63"/>
    <mergeCell ref="AU63:AX63"/>
    <mergeCell ref="AY63:BB63"/>
    <mergeCell ref="BC63:BJ63"/>
    <mergeCell ref="AA62:AH62"/>
    <mergeCell ref="AI62:AQ62"/>
    <mergeCell ref="AU62:AX62"/>
    <mergeCell ref="AY62:BB62"/>
    <mergeCell ref="BC62:BJ62"/>
    <mergeCell ref="X62:Z62"/>
    <mergeCell ref="B63:C63"/>
    <mergeCell ref="D63:J63"/>
    <mergeCell ref="K63:M63"/>
    <mergeCell ref="P63:S63"/>
    <mergeCell ref="T63:W63"/>
    <mergeCell ref="B62:C62"/>
    <mergeCell ref="D62:J62"/>
    <mergeCell ref="K62:M62"/>
    <mergeCell ref="P62:S62"/>
    <mergeCell ref="T62:W62"/>
    <mergeCell ref="X61:Z61"/>
    <mergeCell ref="AA61:AH61"/>
    <mergeCell ref="AI61:AQ61"/>
    <mergeCell ref="AU61:AX61"/>
    <mergeCell ref="AY61:BB61"/>
    <mergeCell ref="BC61:BJ61"/>
    <mergeCell ref="AA57:AH57"/>
    <mergeCell ref="AI57:AQ57"/>
    <mergeCell ref="AU57:AX57"/>
    <mergeCell ref="AY57:BB57"/>
    <mergeCell ref="BC57:BJ57"/>
    <mergeCell ref="X57:Z57"/>
    <mergeCell ref="B61:C61"/>
    <mergeCell ref="D61:J61"/>
    <mergeCell ref="K61:M61"/>
    <mergeCell ref="P61:S61"/>
    <mergeCell ref="T61:W61"/>
    <mergeCell ref="B57:C57"/>
    <mergeCell ref="D57:J57"/>
    <mergeCell ref="K57:M57"/>
    <mergeCell ref="P57:S57"/>
    <mergeCell ref="T57:W57"/>
    <mergeCell ref="B60:C60"/>
    <mergeCell ref="D60:J60"/>
    <mergeCell ref="K60:M60"/>
    <mergeCell ref="P60:S60"/>
    <mergeCell ref="T60:W60"/>
    <mergeCell ref="B58:C58"/>
    <mergeCell ref="D58:J58"/>
    <mergeCell ref="K58:M58"/>
    <mergeCell ref="P58:S58"/>
    <mergeCell ref="T58:W58"/>
    <mergeCell ref="B59:C59"/>
    <mergeCell ref="D59:J59"/>
    <mergeCell ref="K59:M59"/>
    <mergeCell ref="P59:S59"/>
    <mergeCell ref="X56:Z56"/>
    <mergeCell ref="AA56:AH56"/>
    <mergeCell ref="AI56:AQ56"/>
    <mergeCell ref="AU56:AX56"/>
    <mergeCell ref="AY56:BB56"/>
    <mergeCell ref="BC56:BJ56"/>
    <mergeCell ref="AA55:AH55"/>
    <mergeCell ref="AI55:AQ55"/>
    <mergeCell ref="AU55:AX55"/>
    <mergeCell ref="AY55:BB55"/>
    <mergeCell ref="BC55:BJ55"/>
    <mergeCell ref="X55:Z55"/>
    <mergeCell ref="B56:C56"/>
    <mergeCell ref="D56:J56"/>
    <mergeCell ref="K56:M56"/>
    <mergeCell ref="P56:S56"/>
    <mergeCell ref="T56:W56"/>
    <mergeCell ref="B55:C55"/>
    <mergeCell ref="D55:J55"/>
    <mergeCell ref="K55:M55"/>
    <mergeCell ref="P55:S55"/>
    <mergeCell ref="T55:W55"/>
    <mergeCell ref="X54:Z54"/>
    <mergeCell ref="AA54:AH54"/>
    <mergeCell ref="AI54:AQ54"/>
    <mergeCell ref="AU54:AX54"/>
    <mergeCell ref="AY54:BB54"/>
    <mergeCell ref="BC54:BJ54"/>
    <mergeCell ref="AA53:AH53"/>
    <mergeCell ref="AI53:AQ53"/>
    <mergeCell ref="AU53:AX53"/>
    <mergeCell ref="AY53:BB53"/>
    <mergeCell ref="BC53:BJ53"/>
    <mergeCell ref="X53:Z53"/>
    <mergeCell ref="B54:C54"/>
    <mergeCell ref="D54:J54"/>
    <mergeCell ref="K54:M54"/>
    <mergeCell ref="P54:S54"/>
    <mergeCell ref="T54:W54"/>
    <mergeCell ref="B53:C53"/>
    <mergeCell ref="D53:J53"/>
    <mergeCell ref="K53:M53"/>
    <mergeCell ref="P53:S53"/>
    <mergeCell ref="T53:W53"/>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B48:C48"/>
    <mergeCell ref="D48:J48"/>
    <mergeCell ref="K48:M48"/>
    <mergeCell ref="P48:S48"/>
    <mergeCell ref="T48:W48"/>
    <mergeCell ref="P45:AQ45"/>
    <mergeCell ref="AR45:BB45"/>
    <mergeCell ref="BC45:BJ47"/>
    <mergeCell ref="P46:W46"/>
    <mergeCell ref="X46:Z47"/>
    <mergeCell ref="AA46:AH47"/>
    <mergeCell ref="AI46:AQ47"/>
    <mergeCell ref="AR46:AR47"/>
    <mergeCell ref="AS46:AS47"/>
    <mergeCell ref="AT46:AT47"/>
    <mergeCell ref="X48:Z48"/>
    <mergeCell ref="AA48:AH48"/>
    <mergeCell ref="AI48:AQ48"/>
    <mergeCell ref="AU48:AX48"/>
    <mergeCell ref="AY48:BB48"/>
    <mergeCell ref="BC48:BJ48"/>
    <mergeCell ref="AU46:BB46"/>
    <mergeCell ref="P47:S47"/>
    <mergeCell ref="T47:W47"/>
    <mergeCell ref="A4:G4"/>
    <mergeCell ref="H4:T4"/>
    <mergeCell ref="U4:Y4"/>
    <mergeCell ref="Z4:AO4"/>
    <mergeCell ref="AP4:BK4"/>
    <mergeCell ref="B45:C47"/>
    <mergeCell ref="D45:J47"/>
    <mergeCell ref="K45:M47"/>
    <mergeCell ref="N45:N47"/>
    <mergeCell ref="O45:O47"/>
    <mergeCell ref="AU47:AX47"/>
    <mergeCell ref="AY47:BB4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allowBlank="1" showInputMessage="1" showErrorMessage="1" sqref="N48:N71" xr:uid="{00000000-0002-0000-0400-000000000000}">
      <formula1>"ー,I,O,I/O"</formula1>
    </dataValidation>
    <dataValidation type="list" allowBlank="1" showInputMessage="1" showErrorMessage="1" sqref="AR50 AR52 AR54 AS65:AS71 AR63 AR65 AR69:AR71 AR56:AR61 AS52:AS61 O48:O71" xr:uid="{00000000-0002-0000-0400-000001000000}">
      <formula1>"－,●"</formula1>
    </dataValidation>
  </dataValidations>
  <pageMargins left="0.7" right="0.7" top="0.75" bottom="0.75" header="0.3" footer="0.3"/>
  <pageSetup scale="4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E1187B-2219-446C-87D6-51EA05BD1F66}"/>
</file>

<file path=customXml/itemProps2.xml><?xml version="1.0" encoding="utf-8"?>
<ds:datastoreItem xmlns:ds="http://schemas.openxmlformats.org/officeDocument/2006/customXml" ds:itemID="{AA004E54-3DFB-4B20-B6DD-7AE6818DA945}"/>
</file>

<file path=customXml/itemProps3.xml><?xml version="1.0" encoding="utf-8"?>
<ds:datastoreItem xmlns:ds="http://schemas.openxmlformats.org/officeDocument/2006/customXml" ds:itemID="{65D8B5FB-F398-4237-97CC-AE896AFFF6BC}"/>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表紙</vt:lpstr>
      <vt:lpstr>改訂履歴</vt:lpstr>
      <vt:lpstr>SC3201</vt:lpstr>
      <vt:lpstr>MD3201</vt:lpstr>
      <vt:lpstr>SC3202</vt:lpstr>
      <vt:lpstr>'MD3201'!Print_Area</vt:lpstr>
      <vt:lpstr>'SC3201'!Print_Area</vt:lpstr>
      <vt:lpstr>'SC3202'!Print_Area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2025-01-02T04:38:34Z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