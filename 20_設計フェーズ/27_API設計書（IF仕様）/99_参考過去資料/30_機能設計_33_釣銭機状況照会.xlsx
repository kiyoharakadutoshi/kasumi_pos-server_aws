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Pos system\30_機能設計\"/>
    </mc:Choice>
  </mc:AlternateContent>
  <xr:revisionPtr revIDLastSave="0" documentId="13_ncr:1_{7CADFA75-650B-4EEC-8A72-5A289A6B64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3301" sheetId="11" r:id="rId3"/>
    <sheet name="テンプレート" sheetId="7" r:id="rId4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hidden="1">{"'フローチャート'!$A$1:$AO$191"}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hidden="1">{"'機能一覧 Master'!$A$1:$I$56"}</definedName>
    <definedName name="b" hidden="1">{"'機能一覧 Master'!$A$1:$I$56"}</definedName>
    <definedName name="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2">'SC3301'!$A$1:$BK$80</definedName>
    <definedName name="_xlnm.Print_Area" localSheetId="3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  <definedName name="q" hidden="1">{"'フローチャート'!$A$1:$AO$191"}</definedName>
    <definedName name="qq" hidden="1">{"'機能一覧 Master'!$A$1:$I$56"}</definedName>
    <definedName name="qqqqq" hidden="1">{"'機能一覧 Master'!$A$1:$I$56"}</definedName>
    <definedName name="ssss" hidden="1">#REF!</definedName>
    <definedName name="zz" hidden="1">{"'フローチャート'!$A$1:$AO$191"}</definedName>
    <definedName name="あああああ" hidden="1">{"'フローチャート'!$A$1:$AO$191"}</definedName>
    <definedName name="スケジュール" hidden="1">{"'表紙'!$A$1:$W$39"}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AP2" i="7"/>
  <c r="K2" i="7"/>
  <c r="A2" i="7"/>
  <c r="W1" i="7"/>
  <c r="AP4" i="11"/>
  <c r="Z4" i="11"/>
  <c r="H4" i="11"/>
  <c r="AT2" i="11"/>
  <c r="AP2" i="11"/>
  <c r="K2" i="11"/>
  <c r="A2" i="11"/>
  <c r="W1" i="11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11" s="1"/>
  <c r="AT2" i="4"/>
  <c r="AP2" i="4"/>
  <c r="AY2" i="3" l="1"/>
  <c r="BC2" i="11"/>
  <c r="BH2" i="7"/>
  <c r="BC2" i="3"/>
  <c r="BH2" i="11"/>
  <c r="AY2" i="7"/>
</calcChain>
</file>

<file path=xl/sharedStrings.xml><?xml version="1.0" encoding="utf-8"?>
<sst xmlns="http://schemas.openxmlformats.org/spreadsheetml/2006/main" count="134" uniqueCount="77">
  <si>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</si>
  <si>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</si>
  <si>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</si>
  <si>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</si>
  <si>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</si>
  <si>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</si>
  <si>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</si>
  <si>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</si>
  <si>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</si>
  <si>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</si>
  <si>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</si>
  <si>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</si>
  <si>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</si>
  <si>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</si>
  <si>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</si>
  <si>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</si>
  <si>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画面に入力された値</t>
    </r>
  </si>
  <si>
    <r>
      <rPr>
        <sz val="11"/>
        <color rgb="FF000000"/>
        <rFont val="Meiryo UI"/>
        <family val="2"/>
      </rPr>
      <t>20_画面設計_33_釣銭機状況照会.xlsxのSC3301シートをご参照ください。</t>
    </r>
  </si>
  <si>
    <r>
      <rPr>
        <sz val="11"/>
        <color rgb="FF000000"/>
        <rFont val="Meiryo UI"/>
        <family val="2"/>
      </rPr>
      <t>20_画面設計_33_釣銭機状況照会.xlsx</t>
    </r>
  </si>
  <si>
    <r>
      <rPr>
        <sz val="11"/>
        <color rgb="FF000000"/>
        <rFont val="Meiryo UI"/>
        <family val="2"/>
      </rPr>
      <t>SC3301-01</t>
    </r>
  </si>
  <si>
    <r>
      <rPr>
        <sz val="11"/>
        <color rgb="FF000000"/>
        <rFont val="Meiryo UI"/>
        <family val="2"/>
      </rPr>
      <t>SC3301-02</t>
    </r>
  </si>
  <si>
    <r>
      <rPr>
        <sz val="11"/>
        <color rgb="FF000000"/>
        <rFont val="Meiryo UI"/>
        <family val="2"/>
      </rPr>
      <t>「F12：検索」ボタンをタッチする。</t>
    </r>
  </si>
  <si>
    <r>
      <rPr>
        <b/>
        <sz val="11"/>
        <color rgb="FF000000"/>
        <rFont val="Meiryo UI"/>
        <family val="2"/>
      </rPr>
      <t>1.1 「API3301」API呼出</t>
    </r>
  </si>
  <si>
    <r>
      <rPr>
        <sz val="11"/>
        <color rgb="FF000000"/>
        <rFont val="Meiryo UI"/>
        <family val="2"/>
      </rPr>
      <t>▪成功した場合：</t>
    </r>
  </si>
  <si>
    <r>
      <rPr>
        <sz val="11"/>
        <color rgb="FF000000"/>
        <rFont val="Meiryo UI"/>
        <family val="2"/>
      </rPr>
      <t>・成功でレコードを検索できた場合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</si>
  <si>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</si>
  <si>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・返されたデータが空のリストの場合</t>
    </r>
  </si>
  <si>
    <r>
      <rPr>
        <sz val="11"/>
        <color rgb="FF000000"/>
        <rFont val="Meiryo UI"/>
        <family val="2"/>
      </rPr>
      <t>検索結果エリアにはヘッダーのみを含む空のリストを表示する。</t>
    </r>
  </si>
  <si>
    <r>
      <rPr>
        <sz val="11"/>
        <color rgb="FF000000"/>
        <rFont val="Meiryo UI"/>
        <family val="2"/>
      </rPr>
      <t>SC3301-03</t>
    </r>
  </si>
  <si>
    <r>
      <rPr>
        <sz val="11"/>
        <color rgb="FF000000"/>
        <rFont val="Meiryo UI"/>
        <family val="2"/>
      </rPr>
      <t>補充リストを出力する。</t>
    </r>
  </si>
  <si>
    <r>
      <rPr>
        <sz val="11"/>
        <color rgb="FF000000"/>
        <rFont val="Meiryo UI"/>
        <family val="2"/>
      </rPr>
      <t>・エラーが発生した場合、サーバーから返されたエラーメッセージを含むエラーモーダルを表示する。</t>
    </r>
  </si>
  <si>
    <r>
      <rPr>
        <sz val="11"/>
        <color rgb="FF000000"/>
        <rFont val="Meiryo UI"/>
        <family val="2"/>
      </rPr>
      <t>40_API設計_3301_釣銭機状況照会.xlsxをご参照ください。</t>
    </r>
  </si>
  <si>
    <r>
      <rPr>
        <b/>
        <sz val="11"/>
        <color rgb="FF000000"/>
        <rFont val="Meiryo UI"/>
        <family val="2"/>
      </rPr>
      <t>1.2 返却結果処理</t>
    </r>
  </si>
  <si>
    <r>
      <rPr>
        <sz val="11"/>
        <color rgb="FF000000"/>
        <rFont val="Meiryo UI"/>
        <family val="2"/>
      </rPr>
      <t>lang</t>
    </r>
  </si>
  <si>
    <r>
      <rPr>
        <sz val="11"/>
        <color rgb="FF000000"/>
        <rFont val="Meiryo UI"/>
        <family val="2"/>
      </rPr>
      <t>現在のシステムの言語（「ja」、「en」、「vi」など）</t>
    </r>
  </si>
  <si>
    <r>
      <rPr>
        <b/>
        <sz val="11"/>
        <color rgb="FF000000"/>
        <rFont val="Meiryo UI"/>
        <family val="2"/>
      </rPr>
      <t>1.1 「API3302」API呼出</t>
    </r>
  </si>
  <si>
    <r>
      <rPr>
        <sz val="11"/>
        <color rgb="FF000000"/>
        <rFont val="Meiryo UI"/>
        <family val="2"/>
      </rPr>
      <t>サーバーから返されたファイルのダウンロード処理を実行する。</t>
    </r>
  </si>
  <si>
    <r>
      <rPr>
        <sz val="11"/>
        <color rgb="FF000000"/>
        <rFont val="Meiryo UI"/>
        <family val="2"/>
      </rPr>
      <t>40_API設計_3302_補充リスト出力.xlsxをご参照ください。</t>
    </r>
  </si>
  <si>
    <r>
      <rPr>
        <sz val="11"/>
        <color rgb="FF000000"/>
        <rFont val="Meiryo UI"/>
        <family val="2"/>
      </rPr>
      <t>20_画面設計_33_釣銭機状況照会.xlsxのPR3301シート</t>
    </r>
  </si>
  <si>
    <r>
      <rPr>
        <sz val="11"/>
        <color rgb="FF000000"/>
        <rFont val="Meiryo UI"/>
        <family val="2"/>
      </rPr>
      <t>帳票形式は以下のファイルをご参照ください。</t>
    </r>
  </si>
  <si>
    <r>
      <rPr>
        <sz val="11"/>
        <color rgb="FF000000"/>
        <rFont val="Meiryo UI"/>
        <family val="2"/>
      </rPr>
      <t>選択された対象店舗</t>
    </r>
  </si>
  <si>
    <r>
      <rPr>
        <sz val="11"/>
        <color rgb="FF000000"/>
        <rFont val="Meiryo UI"/>
        <family val="2"/>
      </rPr>
      <t>SC3301</t>
    </r>
  </si>
  <si>
    <r>
      <rPr>
        <sz val="11"/>
        <color rgb="FF000000"/>
        <rFont val="Meiryo UI"/>
        <family val="2"/>
      </rPr>
      <t>33_釣銭機状況照会</t>
    </r>
  </si>
  <si>
    <r>
      <rPr>
        <sz val="11"/>
        <color rgb="FF000000"/>
        <rFont val="Meiryo UI"/>
        <family val="2"/>
      </rPr>
      <t>釣銭機状況照会画面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</si>
  <si>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</si>
  <si>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</si>
  <si>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</si>
  <si>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</si>
  <si>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</si>
  <si>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</si>
  <si>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</si>
  <si>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</si>
  <si>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</si>
  <si>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</si>
  <si>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</si>
  <si>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</si>
  <si>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</si>
  <si>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</si>
  <si>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</si>
  <si>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</si>
  <si>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</si>
  <si>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</si>
  <si>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</si>
  <si>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</si>
  <si>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</si>
  <si>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</si>
  <si>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sz val="11"/>
        <color rgb="FF000000"/>
        <rFont val="Meiryo UI"/>
        <family val="2"/>
      </rPr>
      <t>20_画面設計_33_釣銭機状況照会.xlsx
40_API設計_3301_釣銭機状況照会.xlsx</t>
    </r>
  </si>
  <si>
    <r>
      <rPr>
        <b/>
        <sz val="11"/>
        <color rgb="FF000000"/>
        <rFont val="Meiryo UI"/>
        <family val="2"/>
      </rPr>
      <t>1. 釣銭機状況検索機能を実行する。</t>
    </r>
  </si>
  <si>
    <r>
      <rPr>
        <sz val="11"/>
        <color rgb="FF000000"/>
        <rFont val="Meiryo UI"/>
        <family val="2"/>
      </rPr>
      <t>20_画面設計_33_釣銭機状況照会.xlsx
40_API設計_3302_補充リスト出力.xlsx</t>
    </r>
  </si>
  <si>
    <r>
      <rPr>
        <sz val="11"/>
        <color rgb="FF000000"/>
        <rFont val="Meiryo UI"/>
        <family val="2"/>
      </rPr>
      <t>画面にレコードのリストを表示する。</t>
    </r>
  </si>
  <si>
    <r>
      <rPr>
        <sz val="11"/>
        <color rgb="FF000000"/>
        <rFont val="Meiryo UI"/>
        <family val="2"/>
      </rPr>
      <t>20_画面設計_33_釣銭機状況照会.xlsxをご参照ください。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</si>
  <si>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</si>
  <si>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</si>
  <si>
    <t>DuNT</t>
  </si>
  <si>
    <t>検索時の種別の説明を追加</t>
  </si>
  <si>
    <t>SC3301</t>
  </si>
  <si>
    <t>1: 補充発生レジのみ
0: 全レジ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</si>
</sst>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/>
  </cellStyleXfs>
  <cellXfs count="22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8" fillId="2" borderId="0" xfId="0" quotePrefix="1" applyFont="1" applyFill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2" borderId="3" xfId="0" quotePrefix="1" applyFont="1" applyFill="1" applyBorder="1" applyAlignment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2" borderId="21" xfId="0" applyFont="1" applyFill="1" applyBorder="1" applyAlignment="1">
      <alignment horizontal="center" vertical="top" wrapText="1" shrinkToFit="1"/>
    </xf>
    <xf numFmtId="0" fontId="15" fillId="2" borderId="0" xfId="0" applyFont="1" applyFill="1" applyAlignment="1">
      <alignment horizontal="center" vertical="top" wrapText="1" shrinkToFit="1"/>
    </xf>
    <xf numFmtId="0" fontId="15" fillId="2" borderId="0" xfId="0" applyFont="1" applyFill="1" applyAlignment="1">
      <alignment horizontal="left" vertical="top" wrapText="1" shrinkToFit="1"/>
    </xf>
    <xf numFmtId="0" fontId="15" fillId="2" borderId="0" xfId="0" applyFont="1" applyFill="1" applyAlignment="1">
      <alignment horizontal="center" vertical="top"/>
    </xf>
    <xf numFmtId="0" fontId="15" fillId="2" borderId="0" xfId="0" applyFont="1" applyFill="1" applyAlignment="1">
      <alignment horizontal="left" vertical="top"/>
    </xf>
    <xf numFmtId="0" fontId="15" fillId="2" borderId="0" xfId="0" quotePrefix="1" applyFont="1" applyFill="1" applyAlignment="1">
      <alignment vertical="top" wrapText="1" shrinkToFit="1"/>
    </xf>
    <xf numFmtId="0" fontId="15" fillId="2" borderId="0" xfId="0" applyFont="1" applyFill="1" applyAlignment="1">
      <alignment vertical="top" wrapText="1" shrinkToFit="1"/>
    </xf>
    <xf numFmtId="0" fontId="15" fillId="2" borderId="4" xfId="0" applyFont="1" applyFill="1" applyBorder="1" applyAlignment="1">
      <alignment horizontal="left" vertical="top" wrapText="1" shrinkToFit="1"/>
    </xf>
    <xf numFmtId="0" fontId="15" fillId="2" borderId="16" xfId="0" applyFont="1" applyFill="1" applyBorder="1" applyAlignment="1">
      <alignment vertical="center"/>
    </xf>
    <xf numFmtId="0" fontId="15" fillId="2" borderId="16" xfId="0" applyFont="1" applyFill="1" applyBorder="1" applyAlignment="1">
      <alignment horizontal="left" vertical="top" wrapText="1" shrinkToFit="1"/>
    </xf>
    <xf numFmtId="0" fontId="15" fillId="2" borderId="20" xfId="0" applyFont="1" applyFill="1" applyBorder="1" applyAlignment="1">
      <alignment horizontal="left" vertical="top" wrapText="1" shrinkToFit="1"/>
    </xf>
    <xf numFmtId="49" fontId="15" fillId="2" borderId="17" xfId="8" applyNumberFormat="1" applyFont="1" applyFill="1" applyBorder="1" applyAlignment="1">
      <alignment vertical="top" wrapText="1"/>
    </xf>
    <xf numFmtId="49" fontId="15" fillId="2" borderId="18" xfId="8" applyNumberFormat="1" applyFont="1" applyFill="1" applyBorder="1" applyAlignment="1">
      <alignment vertical="top" wrapText="1"/>
    </xf>
    <xf numFmtId="49" fontId="15" fillId="2" borderId="19" xfId="8" applyNumberFormat="1" applyFont="1" applyFill="1" applyBorder="1" applyAlignment="1">
      <alignment vertical="top" wrapText="1"/>
    </xf>
    <xf numFmtId="0" fontId="15" fillId="2" borderId="0" xfId="0" applyFont="1" applyFill="1" applyAlignment="1">
      <alignment vertical="center"/>
    </xf>
    <xf numFmtId="0" fontId="15" fillId="2" borderId="18" xfId="0" applyFont="1" applyFill="1" applyBorder="1" applyAlignment="1">
      <alignment vertical="center"/>
    </xf>
    <xf numFmtId="49" fontId="15" fillId="2" borderId="1" xfId="8" applyNumberFormat="1" applyFont="1" applyFill="1" applyBorder="1" applyAlignment="1">
      <alignment vertical="top" wrapText="1"/>
    </xf>
    <xf numFmtId="49" fontId="15" fillId="2" borderId="0" xfId="8" applyNumberFormat="1" applyFont="1" applyFill="1" applyAlignment="1">
      <alignment vertical="top" wrapText="1"/>
    </xf>
    <xf numFmtId="49" fontId="15" fillId="2" borderId="4" xfId="8" applyNumberFormat="1" applyFont="1" applyFill="1" applyBorder="1" applyAlignment="1">
      <alignment vertical="top" wrapText="1"/>
    </xf>
    <xf numFmtId="0" fontId="15" fillId="2" borderId="1" xfId="0" applyFont="1" applyFill="1" applyBorder="1" applyAlignment="1">
      <alignment vertical="center"/>
    </xf>
    <xf numFmtId="0" fontId="15" fillId="2" borderId="0" xfId="0" quotePrefix="1" applyFont="1" applyFill="1" applyAlignment="1">
      <alignment vertical="center"/>
    </xf>
    <xf numFmtId="49" fontId="15" fillId="2" borderId="2" xfId="8" applyNumberFormat="1" applyFont="1" applyFill="1" applyBorder="1" applyAlignment="1">
      <alignment vertical="top" wrapText="1"/>
    </xf>
    <xf numFmtId="49" fontId="15" fillId="2" borderId="3" xfId="8" applyNumberFormat="1" applyFont="1" applyFill="1" applyBorder="1" applyAlignment="1">
      <alignment vertical="top" wrapText="1"/>
    </xf>
    <xf numFmtId="49" fontId="15" fillId="2" borderId="5" xfId="8" applyNumberFormat="1" applyFont="1" applyFill="1" applyBorder="1" applyAlignment="1">
      <alignment vertical="top" wrapText="1"/>
    </xf>
    <xf numFmtId="0" fontId="15" fillId="2" borderId="2" xfId="0" applyFont="1" applyFill="1" applyBorder="1" applyAlignment="1">
      <alignment vertical="center"/>
    </xf>
    <xf numFmtId="49" fontId="15" fillId="2" borderId="3" xfId="8" applyNumberFormat="1" applyFont="1" applyFill="1" applyBorder="1" applyAlignment="1">
      <alignment horizontal="left" vertical="center"/>
    </xf>
    <xf numFmtId="0" fontId="15" fillId="2" borderId="3" xfId="0" applyFont="1" applyFill="1" applyBorder="1" applyAlignment="1">
      <alignment vertical="center"/>
    </xf>
    <xf numFmtId="49" fontId="15" fillId="2" borderId="21" xfId="8" applyNumberFormat="1" applyFont="1" applyFill="1" applyBorder="1">
      <alignment vertical="center"/>
    </xf>
    <xf numFmtId="49" fontId="15" fillId="2" borderId="16" xfId="8" applyNumberFormat="1" applyFont="1" applyFill="1" applyBorder="1">
      <alignment vertical="center"/>
    </xf>
    <xf numFmtId="0" fontId="15" fillId="2" borderId="3" xfId="0" quotePrefix="1" applyFont="1" applyFill="1" applyBorder="1" applyAlignment="1">
      <alignment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/>
    </xf>
    <xf numFmtId="2" fontId="15" fillId="0" borderId="19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17" xfId="0" applyNumberFormat="1" applyFont="1" applyBorder="1" applyAlignment="1">
      <alignment horizontal="center" vertical="center"/>
    </xf>
    <xf numFmtId="14" fontId="15" fillId="0" borderId="18" xfId="0" applyNumberFormat="1" applyFont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22" xfId="0" applyFont="1" applyBorder="1"/>
    <xf numFmtId="0" fontId="15" fillId="0" borderId="23" xfId="0" applyFont="1" applyBorder="1"/>
    <xf numFmtId="0" fontId="15" fillId="0" borderId="24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7" xfId="0" applyFont="1" applyBorder="1"/>
    <xf numFmtId="0" fontId="15" fillId="0" borderId="2" xfId="0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1" fillId="4" borderId="0" xfId="0" applyFont="1" applyFill="1"/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1" fillId="4" borderId="21" xfId="6" applyFont="1" applyFill="1" applyBorder="1" applyAlignment="1">
      <alignment horizontal="center" vertical="center"/>
    </xf>
    <xf numFmtId="0" fontId="11" fillId="4" borderId="16" xfId="6" applyFont="1" applyFill="1" applyBorder="1" applyAlignment="1">
      <alignment horizontal="center" vertical="center"/>
    </xf>
    <xf numFmtId="0" fontId="11" fillId="4" borderId="20" xfId="6" applyFont="1" applyFill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8" xfId="6" applyFont="1" applyBorder="1" applyAlignment="1">
      <alignment horizontal="center" vertical="center"/>
    </xf>
    <xf numFmtId="0" fontId="14" fillId="0" borderId="19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2" fillId="4" borderId="21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15" fillId="0" borderId="16" xfId="0" applyFont="1" applyBorder="1" applyAlignment="1">
      <alignment horizontal="left" vertical="top"/>
    </xf>
    <xf numFmtId="0" fontId="15" fillId="0" borderId="20" xfId="0" applyFont="1" applyBorder="1" applyAlignment="1">
      <alignment horizontal="left" vertical="top"/>
    </xf>
    <xf numFmtId="0" fontId="15" fillId="5" borderId="21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49" fontId="15" fillId="2" borderId="17" xfId="8" applyNumberFormat="1" applyFont="1" applyFill="1" applyBorder="1" applyAlignment="1">
      <alignment horizontal="center" vertical="top" wrapText="1"/>
    </xf>
    <xf numFmtId="49" fontId="15" fillId="2" borderId="18" xfId="8" applyNumberFormat="1" applyFont="1" applyFill="1" applyBorder="1" applyAlignment="1">
      <alignment horizontal="center" vertical="top" wrapText="1"/>
    </xf>
    <xf numFmtId="49" fontId="15" fillId="2" borderId="19" xfId="8" applyNumberFormat="1" applyFont="1" applyFill="1" applyBorder="1" applyAlignment="1">
      <alignment horizontal="center" vertical="top" wrapText="1"/>
    </xf>
    <xf numFmtId="49" fontId="15" fillId="2" borderId="1" xfId="8" applyNumberFormat="1" applyFont="1" applyFill="1" applyBorder="1" applyAlignment="1">
      <alignment horizontal="center" vertical="top" wrapText="1"/>
    </xf>
    <xf numFmtId="49" fontId="15" fillId="2" borderId="0" xfId="8" applyNumberFormat="1" applyFont="1" applyFill="1" applyAlignment="1">
      <alignment horizontal="center" vertical="top" wrapText="1"/>
    </xf>
    <xf numFmtId="49" fontId="15" fillId="2" borderId="4" xfId="8" applyNumberFormat="1" applyFont="1" applyFill="1" applyBorder="1" applyAlignment="1">
      <alignment horizontal="center" vertical="top" wrapText="1"/>
    </xf>
    <xf numFmtId="49" fontId="15" fillId="2" borderId="2" xfId="8" applyNumberFormat="1" applyFont="1" applyFill="1" applyBorder="1" applyAlignment="1">
      <alignment horizontal="center" vertical="top" wrapText="1"/>
    </xf>
    <xf numFmtId="49" fontId="15" fillId="2" borderId="3" xfId="8" applyNumberFormat="1" applyFont="1" applyFill="1" applyBorder="1" applyAlignment="1">
      <alignment horizontal="center" vertical="top" wrapText="1"/>
    </xf>
    <xf numFmtId="49" fontId="15" fillId="2" borderId="5" xfId="8" applyNumberFormat="1" applyFont="1" applyFill="1" applyBorder="1" applyAlignment="1">
      <alignment horizontal="center" vertical="top" wrapText="1"/>
    </xf>
    <xf numFmtId="0" fontId="3" fillId="2" borderId="17" xfId="6" applyFont="1" applyFill="1" applyBorder="1" applyAlignment="1">
      <alignment horizontal="center" vertical="top" wrapText="1"/>
    </xf>
    <xf numFmtId="0" fontId="3" fillId="2" borderId="18" xfId="6" applyFont="1" applyFill="1" applyBorder="1" applyAlignment="1">
      <alignment horizontal="center" vertical="top" wrapText="1"/>
    </xf>
    <xf numFmtId="0" fontId="3" fillId="2" borderId="1" xfId="6" applyFont="1" applyFill="1" applyBorder="1" applyAlignment="1">
      <alignment horizontal="center" vertical="top" wrapText="1"/>
    </xf>
    <xf numFmtId="0" fontId="3" fillId="2" borderId="0" xfId="6" applyFont="1" applyFill="1" applyAlignment="1">
      <alignment horizontal="center" vertical="top" wrapText="1"/>
    </xf>
    <xf numFmtId="0" fontId="3" fillId="2" borderId="2" xfId="6" applyFont="1" applyFill="1" applyBorder="1" applyAlignment="1">
      <alignment horizontal="center" vertical="top" wrapText="1"/>
    </xf>
    <xf numFmtId="0" fontId="3" fillId="2" borderId="3" xfId="6" applyFont="1" applyFill="1" applyBorder="1" applyAlignment="1">
      <alignment horizontal="center" vertical="top" wrapText="1"/>
    </xf>
    <xf numFmtId="49" fontId="15" fillId="2" borderId="21" xfId="8" quotePrefix="1" applyNumberFormat="1" applyFont="1" applyFill="1" applyBorder="1" applyAlignment="1">
      <alignment horizontal="left" vertical="top" wrapText="1"/>
    </xf>
    <xf numFmtId="49" fontId="15" fillId="2" borderId="16" xfId="8" quotePrefix="1" applyNumberFormat="1" applyFont="1" applyFill="1" applyBorder="1" applyAlignment="1">
      <alignment horizontal="left" vertical="top" wrapText="1"/>
    </xf>
    <xf numFmtId="49" fontId="15" fillId="2" borderId="20" xfId="8" quotePrefix="1" applyNumberFormat="1" applyFont="1" applyFill="1" applyBorder="1" applyAlignment="1">
      <alignment horizontal="left" vertical="top" wrapText="1"/>
    </xf>
    <xf numFmtId="0" fontId="3" fillId="2" borderId="17" xfId="6" applyFont="1" applyFill="1" applyBorder="1" applyAlignment="1">
      <alignment horizontal="center" vertical="center" wrapText="1"/>
    </xf>
    <xf numFmtId="0" fontId="3" fillId="2" borderId="18" xfId="6" applyFont="1" applyFill="1" applyBorder="1" applyAlignment="1">
      <alignment horizontal="center" vertical="center" wrapText="1"/>
    </xf>
    <xf numFmtId="0" fontId="3" fillId="2" borderId="19" xfId="6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3" fillId="2" borderId="0" xfId="6" applyFont="1" applyFill="1" applyAlignment="1">
      <alignment horizontal="center" vertical="center" wrapText="1"/>
    </xf>
    <xf numFmtId="0" fontId="3" fillId="2" borderId="4" xfId="6" applyFont="1" applyFill="1" applyBorder="1" applyAlignment="1">
      <alignment horizontal="center" vertical="center" wrapText="1"/>
    </xf>
    <xf numFmtId="0" fontId="3" fillId="2" borderId="2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  <xf numFmtId="0" fontId="3" fillId="2" borderId="5" xfId="6" applyFont="1" applyFill="1" applyBorder="1" applyAlignment="1">
      <alignment horizontal="center" vertical="center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14" fontId="18" fillId="0" borderId="17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49" fontId="19" fillId="2" borderId="21" xfId="8" quotePrefix="1" applyNumberFormat="1" applyFont="1" applyFill="1" applyBorder="1" applyAlignment="1">
      <alignment horizontal="left" vertical="top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3" xfId="9" xr:uid="{00000000-0005-0000-0000-000009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画面に入った場合</a:t>
          </a: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14</xdr:row>
      <xdr:rowOff>33618</xdr:rowOff>
    </xdr:from>
    <xdr:to>
      <xdr:col>55</xdr:col>
      <xdr:colOff>100855</xdr:colOff>
      <xdr:row>17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648266" y="2812677"/>
          <a:ext cx="3395383" cy="537882"/>
          <a:chOff x="8261433" y="514467"/>
          <a:chExt cx="1861243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466635" y="514467"/>
            <a:ext cx="165604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SC3301_釣銭機状況照会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261433" y="903267"/>
            <a:ext cx="20520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27</xdr:row>
      <xdr:rowOff>4764</xdr:rowOff>
    </xdr:from>
    <xdr:to>
      <xdr:col>10</xdr:col>
      <xdr:colOff>0</xdr:colOff>
      <xdr:row>31</xdr:row>
      <xdr:rowOff>0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61925" y="5267325"/>
          <a:ext cx="2505075" cy="752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「F12：検索」ボタンをタッチした場合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29</xdr:row>
      <xdr:rowOff>131250</xdr:rowOff>
    </xdr:from>
    <xdr:to>
      <xdr:col>13</xdr:col>
      <xdr:colOff>89648</xdr:colOff>
      <xdr:row>29</xdr:row>
      <xdr:rowOff>131250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10" idx="3"/>
        </xdr:cNvCxnSpPr>
      </xdr:nvCxnSpPr>
      <xdr:spPr>
        <a:xfrm>
          <a:off x="2667000" y="5772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55</xdr:row>
      <xdr:rowOff>4764</xdr:rowOff>
    </xdr:from>
    <xdr:to>
      <xdr:col>10</xdr:col>
      <xdr:colOff>0</xdr:colOff>
      <xdr:row>60</xdr:row>
      <xdr:rowOff>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1925" y="10601325"/>
          <a:ext cx="2505075" cy="9429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「補充リスト」ボタンをタッチした場合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58</xdr:row>
      <xdr:rowOff>2382</xdr:rowOff>
    </xdr:from>
    <xdr:to>
      <xdr:col>13</xdr:col>
      <xdr:colOff>0</xdr:colOff>
      <xdr:row>58</xdr:row>
      <xdr:rowOff>2382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>
          <a:stCxn id="7" idx="3"/>
        </xdr:cNvCxnSpPr>
      </xdr:nvCxnSpPr>
      <xdr:spPr>
        <a:xfrm>
          <a:off x="2667000" y="11163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235321</xdr:colOff>
      <xdr:row>42</xdr:row>
      <xdr:rowOff>44824</xdr:rowOff>
    </xdr:from>
    <xdr:to>
      <xdr:col>53</xdr:col>
      <xdr:colOff>235322</xdr:colOff>
      <xdr:row>44</xdr:row>
      <xdr:rowOff>33618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>
          <a:grpSpLocks/>
        </xdr:cNvGrpSpPr>
      </xdr:nvGrpSpPr>
      <xdr:grpSpPr>
        <a:xfrm>
          <a:off x="10354233" y="8415618"/>
          <a:ext cx="2353236" cy="369794"/>
          <a:chOff x="8761306" y="-475292"/>
          <a:chExt cx="2336468" cy="777600"/>
        </a:xfrm>
      </xdr:grpSpPr>
      <xdr:sp macro="" textlink="" fLocksText="0">
        <xdr:nvSpPr>
          <xdr:cNvPr id="95" name="Rectangle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/>
        </xdr:nvSpPr>
        <xdr:spPr>
          <a:xfrm>
            <a:off x="9441802" y="-475292"/>
            <a:ext cx="1655972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6" name="直線矢印コネクタ 4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CxnSpPr>
            <a:endCxn id="95" idx="1"/>
          </xdr:cNvCxnSpPr>
        </xdr:nvCxnSpPr>
        <xdr:spPr>
          <a:xfrm>
            <a:off x="8761306" y="-86492"/>
            <a:ext cx="680496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235322</xdr:colOff>
      <xdr:row>36</xdr:row>
      <xdr:rowOff>156883</xdr:rowOff>
    </xdr:from>
    <xdr:to>
      <xdr:col>55</xdr:col>
      <xdr:colOff>89647</xdr:colOff>
      <xdr:row>41</xdr:row>
      <xdr:rowOff>100853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GrpSpPr>
          <a:grpSpLocks/>
        </xdr:cNvGrpSpPr>
      </xdr:nvGrpSpPr>
      <xdr:grpSpPr>
        <a:xfrm>
          <a:off x="10354234" y="7384677"/>
          <a:ext cx="2678207" cy="896470"/>
          <a:chOff x="7883810" y="514467"/>
          <a:chExt cx="2238866" cy="777600"/>
        </a:xfrm>
      </xdr:grpSpPr>
      <xdr:sp macro="" textlink="" fLocksText="0">
        <xdr:nvSpPr>
          <xdr:cNvPr id="99" name="Rectangle 98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SpPr/>
        </xdr:nvSpPr>
        <xdr:spPr>
          <a:xfrm>
            <a:off x="8466475" y="514467"/>
            <a:ext cx="165620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SC3301_釣銭機状況照会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0" name="直線矢印コネクタ 4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CxnSpPr>
            <a:endCxn id="99" idx="1"/>
          </xdr:cNvCxnSpPr>
        </xdr:nvCxnSpPr>
        <xdr:spPr>
          <a:xfrm>
            <a:off x="7883810" y="903267"/>
            <a:ext cx="5826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67</xdr:row>
      <xdr:rowOff>0</xdr:rowOff>
    </xdr:from>
    <xdr:to>
      <xdr:col>54</xdr:col>
      <xdr:colOff>0</xdr:colOff>
      <xdr:row>69</xdr:row>
      <xdr:rowOff>179294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GrpSpPr>
          <a:grpSpLocks/>
        </xdr:cNvGrpSpPr>
      </xdr:nvGrpSpPr>
      <xdr:grpSpPr>
        <a:xfrm>
          <a:off x="10354235" y="13133294"/>
          <a:ext cx="2353236" cy="560294"/>
          <a:chOff x="8761306" y="-475292"/>
          <a:chExt cx="2336468" cy="777600"/>
        </a:xfrm>
      </xdr:grpSpPr>
      <xdr:sp macro="" textlink="" fLocksText="0">
        <xdr:nvSpPr>
          <xdr:cNvPr id="106" name="Rectangle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/>
        </xdr:nvSpPr>
        <xdr:spPr>
          <a:xfrm>
            <a:off x="9441802" y="-475292"/>
            <a:ext cx="1655972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7" name="直線矢印コネクタ 4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CxnSpPr>
            <a:endCxn id="106" idx="1"/>
          </xdr:cNvCxnSpPr>
        </xdr:nvCxnSpPr>
        <xdr:spPr>
          <a:xfrm>
            <a:off x="8761306" y="-86492"/>
            <a:ext cx="680496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62</xdr:row>
      <xdr:rowOff>0</xdr:rowOff>
    </xdr:from>
    <xdr:to>
      <xdr:col>55</xdr:col>
      <xdr:colOff>89648</xdr:colOff>
      <xdr:row>66</xdr:row>
      <xdr:rowOff>134470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GrpSpPr>
          <a:grpSpLocks/>
        </xdr:cNvGrpSpPr>
      </xdr:nvGrpSpPr>
      <xdr:grpSpPr>
        <a:xfrm>
          <a:off x="10354235" y="12180794"/>
          <a:ext cx="2678207" cy="896470"/>
          <a:chOff x="7883810" y="514467"/>
          <a:chExt cx="2238866" cy="777600"/>
        </a:xfrm>
      </xdr:grpSpPr>
      <xdr:sp macro="" textlink="" fLocksText="0">
        <xdr:nvSpPr>
          <xdr:cNvPr id="109" name="Rectangle 108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SpPr/>
        </xdr:nvSpPr>
        <xdr:spPr>
          <a:xfrm>
            <a:off x="8466475" y="514467"/>
            <a:ext cx="165620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SC3301_釣銭機状況照会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0" name="直線矢印コネクタ 4">
            <a:extLst>
              <a:ext uri="{FF2B5EF4-FFF2-40B4-BE49-F238E27FC236}">
                <a16:creationId xmlns:a16="http://schemas.microsoft.com/office/drawing/2014/main" id="{00000000-0008-0000-0200-00006E000000}"/>
              </a:ext>
            </a:extLst>
          </xdr:cNvPr>
          <xdr:cNvCxnSpPr>
            <a:endCxn id="109" idx="1"/>
          </xdr:cNvCxnSpPr>
        </xdr:nvCxnSpPr>
        <xdr:spPr>
          <a:xfrm>
            <a:off x="7883810" y="903267"/>
            <a:ext cx="5826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78" t="s">
        <v>44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45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88" t="s">
        <v>46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87" t="s">
        <v>52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改訂履歴!$H$11</f>
        <v>SonMNT</v>
      </c>
      <c r="AQ2" s="82"/>
      <c r="AR2" s="82"/>
      <c r="AS2" s="83"/>
      <c r="AT2" s="109">
        <f>改訂履歴!$B$11</f>
        <v>45516</v>
      </c>
      <c r="AU2" s="110"/>
      <c r="AV2" s="110"/>
      <c r="AW2" s="110"/>
      <c r="AX2" s="111"/>
      <c r="AY2" s="81" t="str">
        <f>LOOKUP(2,1/(改訂履歴!H11:H30000&lt;&gt;""),改訂履歴!H11:H30000)</f>
        <v>DuNT</v>
      </c>
      <c r="AZ2" s="82"/>
      <c r="BA2" s="82"/>
      <c r="BB2" s="83"/>
      <c r="BC2" s="109">
        <f>LOOKUP(2,1/(改訂履歴!B11:B30000&lt;&gt;""),改訂履歴!B11:B30000)</f>
        <v>45615</v>
      </c>
      <c r="BD2" s="110"/>
      <c r="BE2" s="110"/>
      <c r="BF2" s="110"/>
      <c r="BG2" s="111"/>
      <c r="BH2" s="103">
        <f>LOOKUP(2,1/(改訂履歴!O11:O30000&lt;&gt;""),改訂履歴!O11:O30000)</f>
        <v>0.11</v>
      </c>
      <c r="BI2" s="104"/>
      <c r="BJ2" s="104"/>
      <c r="BK2" s="105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106"/>
      <c r="BI3" s="107"/>
      <c r="BJ3" s="107"/>
      <c r="BK3" s="108"/>
    </row>
    <row r="4" spans="1:63" ht="24.95" customHeight="1" x14ac:dyDescent="0.25">
      <c r="A4" s="78" t="s">
        <v>53</v>
      </c>
      <c r="B4" s="79"/>
      <c r="C4" s="79"/>
      <c r="D4" s="79"/>
      <c r="E4" s="79"/>
      <c r="F4" s="79"/>
      <c r="G4" s="80"/>
      <c r="H4" s="99" t="s">
        <v>42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54</v>
      </c>
      <c r="V4" s="79"/>
      <c r="W4" s="79"/>
      <c r="X4" s="79"/>
      <c r="Y4" s="80"/>
      <c r="Z4" s="102" t="s">
        <v>55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表紙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K10" s="34"/>
    </row>
    <row r="11" spans="1:63" ht="15" customHeight="1" x14ac:dyDescent="0.25">
      <c r="A11" s="33"/>
      <c r="BK11" s="34"/>
    </row>
    <row r="12" spans="1:63" ht="15" customHeight="1" x14ac:dyDescent="0.25">
      <c r="A12" s="33"/>
      <c r="BK12" s="34"/>
    </row>
    <row r="13" spans="1:63" ht="15" customHeight="1" x14ac:dyDescent="0.25">
      <c r="A13" s="33"/>
      <c r="BK13" s="34"/>
    </row>
    <row r="14" spans="1:63" ht="15" customHeight="1" thickBot="1" x14ac:dyDescent="0.3">
      <c r="A14" s="33"/>
      <c r="BK14" s="34"/>
    </row>
    <row r="15" spans="1:63" ht="15" customHeight="1" thickTop="1" x14ac:dyDescent="0.25">
      <c r="A15" s="33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7"/>
      <c r="BK15" s="34"/>
    </row>
    <row r="16" spans="1:63" ht="15" customHeight="1" x14ac:dyDescent="0.25">
      <c r="A16" s="33"/>
      <c r="K16" s="38"/>
      <c r="L16" s="97" t="s">
        <v>56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39"/>
      <c r="BK16" s="34"/>
    </row>
    <row r="17" spans="1:63" ht="15" customHeight="1" x14ac:dyDescent="0.25">
      <c r="A17" s="33"/>
      <c r="K17" s="3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39"/>
      <c r="BK17" s="34"/>
    </row>
    <row r="18" spans="1:63" ht="15" customHeight="1" x14ac:dyDescent="0.25">
      <c r="A18" s="33"/>
      <c r="K18" s="3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39"/>
      <c r="BK18" s="34"/>
    </row>
    <row r="19" spans="1:63" ht="15" customHeight="1" x14ac:dyDescent="0.25">
      <c r="A19" s="33"/>
      <c r="K19" s="3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39"/>
      <c r="BK19" s="34"/>
    </row>
    <row r="20" spans="1:63" ht="15" customHeight="1" x14ac:dyDescent="0.25">
      <c r="A20" s="33"/>
      <c r="K20" s="3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39"/>
      <c r="BK20" s="34"/>
    </row>
    <row r="21" spans="1:63" ht="15" customHeight="1" x14ac:dyDescent="0.25">
      <c r="A21" s="33"/>
      <c r="K21" s="3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39"/>
      <c r="BK21" s="34"/>
    </row>
    <row r="22" spans="1:63" ht="15" customHeight="1" thickBot="1" x14ac:dyDescent="0.3">
      <c r="A22" s="33"/>
      <c r="K22" s="38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39"/>
      <c r="BK22" s="34"/>
    </row>
    <row r="23" spans="1:63" ht="15" customHeight="1" x14ac:dyDescent="0.25">
      <c r="A23" s="33"/>
      <c r="K23" s="3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39"/>
      <c r="BK23" s="34"/>
    </row>
    <row r="24" spans="1:63" ht="15" customHeight="1" x14ac:dyDescent="0.25">
      <c r="A24" s="33"/>
      <c r="K24" s="38"/>
      <c r="L24" s="98" t="str">
        <f>K2&amp;"/"&amp;H4&amp;"/"&amp;Z4</f>
        <v>POSサーバー/33_釣銭機状況照会/機能設計書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39"/>
      <c r="BK24" s="34"/>
    </row>
    <row r="25" spans="1:63" ht="15" customHeight="1" x14ac:dyDescent="0.25">
      <c r="A25" s="33"/>
      <c r="K25" s="3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39"/>
      <c r="BK25" s="34"/>
    </row>
    <row r="26" spans="1:63" ht="15" customHeight="1" x14ac:dyDescent="0.25">
      <c r="A26" s="33"/>
      <c r="K26" s="3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39"/>
      <c r="BK26" s="34"/>
    </row>
    <row r="27" spans="1:63" ht="15" customHeight="1" x14ac:dyDescent="0.25">
      <c r="A27" s="33"/>
      <c r="K27" s="3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39"/>
      <c r="BK27" s="34"/>
    </row>
    <row r="28" spans="1:63" ht="15" customHeight="1" x14ac:dyDescent="0.25">
      <c r="A28" s="33"/>
      <c r="K28" s="3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39"/>
      <c r="BK28" s="34"/>
    </row>
    <row r="29" spans="1:63" ht="15" customHeight="1" x14ac:dyDescent="0.25">
      <c r="A29" s="33"/>
      <c r="K29" s="3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39"/>
      <c r="BK29" s="34"/>
    </row>
    <row r="30" spans="1:63" ht="15" customHeight="1" x14ac:dyDescent="0.25">
      <c r="A30" s="33"/>
      <c r="K30" s="3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39"/>
      <c r="BK30" s="34"/>
    </row>
    <row r="31" spans="1:63" ht="15" customHeight="1" x14ac:dyDescent="0.25">
      <c r="A31" s="33"/>
      <c r="K31" s="3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39"/>
      <c r="BK31" s="34"/>
    </row>
    <row r="32" spans="1:63" ht="15" customHeight="1" x14ac:dyDescent="0.25">
      <c r="A32" s="33"/>
      <c r="K32" s="3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39"/>
      <c r="BK32" s="34"/>
    </row>
    <row r="33" spans="1:63" ht="15" customHeight="1" x14ac:dyDescent="0.25">
      <c r="A33" s="33"/>
      <c r="K33" s="3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39"/>
      <c r="BK33" s="34"/>
    </row>
    <row r="34" spans="1:63" ht="15" customHeight="1" x14ac:dyDescent="0.25">
      <c r="A34" s="33"/>
      <c r="K34" s="3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39"/>
      <c r="BK34" s="34"/>
    </row>
    <row r="35" spans="1:63" ht="15" customHeight="1" x14ac:dyDescent="0.25">
      <c r="A35" s="33"/>
      <c r="K35" s="3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39"/>
      <c r="BK35" s="34"/>
    </row>
    <row r="36" spans="1:63" ht="15" customHeight="1" x14ac:dyDescent="0.25">
      <c r="A36" s="33"/>
      <c r="K36" s="3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39"/>
      <c r="BK36" s="34"/>
    </row>
    <row r="37" spans="1:63" ht="15" customHeight="1" thickBot="1" x14ac:dyDescent="0.3">
      <c r="A37" s="33"/>
      <c r="K37" s="42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4"/>
      <c r="BK37" s="34"/>
    </row>
    <row r="38" spans="1:63" ht="15" customHeight="1" thickTop="1" x14ac:dyDescent="0.25">
      <c r="A38" s="33"/>
      <c r="BK38" s="34"/>
    </row>
    <row r="39" spans="1:63" ht="15" customHeight="1" x14ac:dyDescent="0.25">
      <c r="A39" s="33"/>
      <c r="BK39" s="34"/>
    </row>
    <row r="40" spans="1:63" ht="15" customHeight="1" x14ac:dyDescent="0.25">
      <c r="A40" s="33"/>
      <c r="BK40" s="34"/>
    </row>
    <row r="41" spans="1:63" ht="15" customHeight="1" x14ac:dyDescent="0.25">
      <c r="A41" s="33"/>
      <c r="BK41" s="34"/>
    </row>
    <row r="42" spans="1:63" ht="15" customHeight="1" x14ac:dyDescent="0.25">
      <c r="A42" s="33"/>
      <c r="BK42" s="34"/>
    </row>
    <row r="43" spans="1:63" ht="15" customHeight="1" x14ac:dyDescent="0.25">
      <c r="A43" s="33"/>
      <c r="BK43" s="34"/>
    </row>
    <row r="44" spans="1:63" ht="15" customHeight="1" x14ac:dyDescent="0.25">
      <c r="A44" s="33"/>
      <c r="Q44" s="118" t="s">
        <v>57</v>
      </c>
      <c r="R44" s="119"/>
      <c r="S44" s="119"/>
      <c r="T44" s="119"/>
      <c r="U44" s="119"/>
      <c r="V44" s="119"/>
      <c r="W44" s="119"/>
      <c r="X44" s="119"/>
      <c r="Y44" s="119"/>
      <c r="Z44" s="120"/>
      <c r="AA44" s="118" t="s">
        <v>58</v>
      </c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20"/>
      <c r="AQ44" s="118" t="s">
        <v>51</v>
      </c>
      <c r="AR44" s="119"/>
      <c r="AS44" s="119"/>
      <c r="AT44" s="119"/>
      <c r="AU44" s="120"/>
      <c r="BK44" s="34"/>
    </row>
    <row r="45" spans="1:63" ht="15" customHeight="1" x14ac:dyDescent="0.25">
      <c r="A45" s="33"/>
      <c r="Q45" s="121"/>
      <c r="R45" s="122"/>
      <c r="S45" s="122"/>
      <c r="T45" s="122"/>
      <c r="U45" s="122"/>
      <c r="V45" s="122"/>
      <c r="W45" s="122"/>
      <c r="X45" s="122"/>
      <c r="Y45" s="122"/>
      <c r="Z45" s="123"/>
      <c r="AA45" s="121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3"/>
      <c r="AQ45" s="121"/>
      <c r="AR45" s="122"/>
      <c r="AS45" s="122"/>
      <c r="AT45" s="122"/>
      <c r="AU45" s="123"/>
      <c r="BK45" s="34"/>
    </row>
    <row r="46" spans="1:63" ht="15" customHeight="1" x14ac:dyDescent="0.25">
      <c r="A46" s="33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34"/>
    </row>
    <row r="47" spans="1:63" ht="15" customHeight="1" x14ac:dyDescent="0.25">
      <c r="A47" s="33"/>
      <c r="Q47" s="115"/>
      <c r="R47" s="116"/>
      <c r="S47" s="116"/>
      <c r="T47" s="116"/>
      <c r="U47" s="116"/>
      <c r="V47" s="116"/>
      <c r="W47" s="116"/>
      <c r="X47" s="116"/>
      <c r="Y47" s="116"/>
      <c r="Z47" s="117"/>
      <c r="AA47" s="115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7"/>
      <c r="AQ47" s="115"/>
      <c r="AR47" s="116"/>
      <c r="AS47" s="116"/>
      <c r="AT47" s="116"/>
      <c r="AU47" s="117"/>
      <c r="BK47" s="34"/>
    </row>
    <row r="48" spans="1:63" ht="15" customHeight="1" x14ac:dyDescent="0.25">
      <c r="A48" s="33"/>
      <c r="Q48" s="115"/>
      <c r="R48" s="116"/>
      <c r="S48" s="116"/>
      <c r="T48" s="116"/>
      <c r="U48" s="116"/>
      <c r="V48" s="116"/>
      <c r="W48" s="116"/>
      <c r="X48" s="116"/>
      <c r="Y48" s="116"/>
      <c r="Z48" s="117"/>
      <c r="AA48" s="115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7"/>
      <c r="AQ48" s="115"/>
      <c r="AR48" s="116"/>
      <c r="AS48" s="116"/>
      <c r="AT48" s="116"/>
      <c r="AU48" s="117"/>
      <c r="BK48" s="34"/>
    </row>
    <row r="49" spans="1:63" ht="15" customHeight="1" x14ac:dyDescent="0.25">
      <c r="A49" s="33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34"/>
    </row>
    <row r="50" spans="1:63" ht="15" customHeight="1" x14ac:dyDescent="0.25">
      <c r="A50" s="33"/>
      <c r="BK50" s="34"/>
    </row>
    <row r="51" spans="1:63" ht="15" customHeight="1" x14ac:dyDescent="0.25">
      <c r="A51" s="33"/>
      <c r="BK51" s="34"/>
    </row>
    <row r="52" spans="1:63" ht="15" customHeight="1" x14ac:dyDescent="0.25">
      <c r="A52" s="33"/>
      <c r="BK52" s="34"/>
    </row>
    <row r="53" spans="1:63" ht="15" customHeight="1" x14ac:dyDescent="0.25">
      <c r="A53" s="33"/>
      <c r="BK53" s="34"/>
    </row>
    <row r="54" spans="1:63" ht="15" customHeight="1" x14ac:dyDescent="0.25">
      <c r="A54" s="33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78" t="s">
        <v>44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45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124" t="str">
        <f>IF(表紙!W1="","",表紙!W1)</f>
        <v>詳細設計書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IF(表紙!AP2="","",表紙!AP2)</f>
        <v>SonMNT</v>
      </c>
      <c r="AQ2" s="82"/>
      <c r="AR2" s="82"/>
      <c r="AS2" s="83"/>
      <c r="AT2" s="109">
        <f>IF(表紙!AT2="","",表紙!AT2)</f>
        <v>45516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45615</v>
      </c>
      <c r="BD2" s="110"/>
      <c r="BE2" s="110"/>
      <c r="BF2" s="110"/>
      <c r="BG2" s="111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78" t="s">
        <v>59</v>
      </c>
      <c r="B4" s="79"/>
      <c r="C4" s="79"/>
      <c r="D4" s="79"/>
      <c r="E4" s="79"/>
      <c r="F4" s="79"/>
      <c r="G4" s="80"/>
      <c r="H4" s="99" t="str">
        <f>IF(表紙!H4="","",表紙!H4)</f>
        <v>33_釣銭機状況照会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54</v>
      </c>
      <c r="V4" s="79"/>
      <c r="W4" s="79"/>
      <c r="X4" s="79"/>
      <c r="Y4" s="80"/>
      <c r="Z4" s="99" t="str">
        <f>IF(表紙!Z4="","",表紙!Z4)</f>
        <v>機能設計書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改訂履歴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8" s="29" t="s">
        <v>0</v>
      </c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10" s="137" t="s">
        <v>50</v>
      </c>
      <c r="C10" s="137"/>
      <c r="D10" s="137"/>
      <c r="E10" s="137"/>
      <c r="F10" s="137"/>
      <c r="G10" s="137"/>
      <c r="H10" s="137" t="s">
        <v>49</v>
      </c>
      <c r="I10" s="137"/>
      <c r="J10" s="137"/>
      <c r="K10" s="137"/>
      <c r="L10" s="137"/>
      <c r="M10" s="137"/>
      <c r="N10" s="137"/>
      <c r="O10" s="137" t="s">
        <v>51</v>
      </c>
      <c r="P10" s="137"/>
      <c r="Q10" s="137"/>
      <c r="R10" s="137"/>
      <c r="S10" s="137" t="s">
        <v>60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57</v>
      </c>
      <c r="AY10" s="137"/>
      <c r="AZ10" s="137"/>
      <c r="BA10" s="137"/>
      <c r="BB10" s="137"/>
      <c r="BC10" s="137"/>
      <c r="BD10" s="137" t="s">
        <v>58</v>
      </c>
      <c r="BE10" s="137"/>
      <c r="BF10" s="137"/>
      <c r="BG10" s="137"/>
      <c r="BH10" s="137"/>
      <c r="BI10" s="137"/>
      <c r="BJ10" s="137"/>
      <c r="BK10" s="34"/>
    </row>
    <row r="11" spans="1:63" ht="15" customHeight="1" x14ac:dyDescent="0.25">
      <c r="A11" s="33"/>
      <c r="B11" s="109">
        <v>45516</v>
      </c>
      <c r="C11" s="82"/>
      <c r="D11" s="82"/>
      <c r="E11" s="82"/>
      <c r="F11" s="82"/>
      <c r="G11" s="83"/>
      <c r="H11" s="87" t="s">
        <v>61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5" t="s">
        <v>2</v>
      </c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7"/>
      <c r="AX11" s="128"/>
      <c r="AY11" s="128"/>
      <c r="AZ11" s="128"/>
      <c r="BA11" s="128"/>
      <c r="BB11" s="128"/>
      <c r="BC11" s="129"/>
      <c r="BD11" s="132"/>
      <c r="BE11" s="128"/>
      <c r="BF11" s="128"/>
      <c r="BG11" s="128"/>
      <c r="BH11" s="128"/>
      <c r="BI11" s="128"/>
      <c r="BJ11" s="129"/>
      <c r="BK11" s="34"/>
    </row>
    <row r="12" spans="1:63" ht="15" customHeight="1" x14ac:dyDescent="0.25">
      <c r="A12" s="33"/>
      <c r="B12" s="84"/>
      <c r="C12" s="85"/>
      <c r="D12" s="85"/>
      <c r="E12" s="85"/>
      <c r="F12" s="85"/>
      <c r="G12" s="86"/>
      <c r="H12" s="84"/>
      <c r="I12" s="85"/>
      <c r="J12" s="85"/>
      <c r="K12" s="85"/>
      <c r="L12" s="85"/>
      <c r="M12" s="85"/>
      <c r="N12" s="86"/>
      <c r="O12" s="84"/>
      <c r="P12" s="85"/>
      <c r="Q12" s="85"/>
      <c r="R12" s="85"/>
      <c r="S12" s="134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6"/>
      <c r="AX12" s="130"/>
      <c r="AY12" s="130"/>
      <c r="AZ12" s="130"/>
      <c r="BA12" s="130"/>
      <c r="BB12" s="130"/>
      <c r="BC12" s="131"/>
      <c r="BD12" s="133"/>
      <c r="BE12" s="130"/>
      <c r="BF12" s="130"/>
      <c r="BG12" s="130"/>
      <c r="BH12" s="130"/>
      <c r="BI12" s="130"/>
      <c r="BJ12" s="131"/>
      <c r="BK12" s="34"/>
    </row>
    <row r="13" spans="1:63" ht="15" customHeight="1" x14ac:dyDescent="0.25">
      <c r="A13" s="33"/>
      <c r="B13" s="210">
        <v>45615</v>
      </c>
      <c r="C13" s="211"/>
      <c r="D13" s="211"/>
      <c r="E13" s="211"/>
      <c r="F13" s="211"/>
      <c r="G13" s="212"/>
      <c r="H13" s="213" t="s">
        <v>73</v>
      </c>
      <c r="I13" s="211"/>
      <c r="J13" s="211"/>
      <c r="K13" s="211"/>
      <c r="L13" s="211"/>
      <c r="M13" s="211"/>
      <c r="N13" s="212"/>
      <c r="O13" s="213">
        <v>0.11</v>
      </c>
      <c r="P13" s="211"/>
      <c r="Q13" s="211"/>
      <c r="R13" s="211"/>
      <c r="S13" s="214" t="s">
        <v>75</v>
      </c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6"/>
      <c r="AX13" s="128"/>
      <c r="AY13" s="128"/>
      <c r="AZ13" s="128"/>
      <c r="BA13" s="128"/>
      <c r="BB13" s="128"/>
      <c r="BC13" s="129"/>
      <c r="BD13" s="132"/>
      <c r="BE13" s="128"/>
      <c r="BF13" s="128"/>
      <c r="BG13" s="128"/>
      <c r="BH13" s="128"/>
      <c r="BI13" s="128"/>
      <c r="BJ13" s="129"/>
      <c r="BK13" s="34"/>
    </row>
    <row r="14" spans="1:63" ht="15" customHeight="1" x14ac:dyDescent="0.25">
      <c r="A14" s="33"/>
      <c r="B14" s="217"/>
      <c r="C14" s="218"/>
      <c r="D14" s="218"/>
      <c r="E14" s="218"/>
      <c r="F14" s="218"/>
      <c r="G14" s="219"/>
      <c r="H14" s="217"/>
      <c r="I14" s="218"/>
      <c r="J14" s="218"/>
      <c r="K14" s="218"/>
      <c r="L14" s="218"/>
      <c r="M14" s="218"/>
      <c r="N14" s="219"/>
      <c r="O14" s="217"/>
      <c r="P14" s="218"/>
      <c r="Q14" s="218"/>
      <c r="R14" s="218"/>
      <c r="S14" s="220" t="s">
        <v>74</v>
      </c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2"/>
      <c r="AX14" s="130"/>
      <c r="AY14" s="130"/>
      <c r="AZ14" s="130"/>
      <c r="BA14" s="130"/>
      <c r="BB14" s="130"/>
      <c r="BC14" s="131"/>
      <c r="BD14" s="133"/>
      <c r="BE14" s="130"/>
      <c r="BF14" s="130"/>
      <c r="BG14" s="130"/>
      <c r="BH14" s="130"/>
      <c r="BI14" s="130"/>
      <c r="BJ14" s="131"/>
      <c r="BK14" s="34"/>
    </row>
    <row r="15" spans="1:63" ht="15" customHeight="1" x14ac:dyDescent="0.25">
      <c r="A15" s="33"/>
      <c r="B15" s="81"/>
      <c r="C15" s="82"/>
      <c r="D15" s="82"/>
      <c r="E15" s="82"/>
      <c r="F15" s="82"/>
      <c r="G15" s="83"/>
      <c r="H15" s="81"/>
      <c r="I15" s="82"/>
      <c r="J15" s="82"/>
      <c r="K15" s="82"/>
      <c r="L15" s="82"/>
      <c r="M15" s="82"/>
      <c r="N15" s="83"/>
      <c r="O15" s="81"/>
      <c r="P15" s="82"/>
      <c r="Q15" s="82"/>
      <c r="R15" s="82"/>
      <c r="S15" s="125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7"/>
      <c r="AX15" s="128"/>
      <c r="AY15" s="128"/>
      <c r="AZ15" s="128"/>
      <c r="BA15" s="128"/>
      <c r="BB15" s="128"/>
      <c r="BC15" s="129"/>
      <c r="BD15" s="132"/>
      <c r="BE15" s="128"/>
      <c r="BF15" s="128"/>
      <c r="BG15" s="128"/>
      <c r="BH15" s="128"/>
      <c r="BI15" s="128"/>
      <c r="BJ15" s="129"/>
      <c r="BK15" s="34"/>
    </row>
    <row r="16" spans="1:63" ht="15" customHeight="1" x14ac:dyDescent="0.25">
      <c r="A16" s="33"/>
      <c r="B16" s="84"/>
      <c r="C16" s="85"/>
      <c r="D16" s="85"/>
      <c r="E16" s="85"/>
      <c r="F16" s="85"/>
      <c r="G16" s="86"/>
      <c r="H16" s="84"/>
      <c r="I16" s="85"/>
      <c r="J16" s="85"/>
      <c r="K16" s="85"/>
      <c r="L16" s="85"/>
      <c r="M16" s="85"/>
      <c r="N16" s="86"/>
      <c r="O16" s="84"/>
      <c r="P16" s="85"/>
      <c r="Q16" s="85"/>
      <c r="R16" s="85"/>
      <c r="S16" s="134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6"/>
      <c r="AX16" s="130"/>
      <c r="AY16" s="130"/>
      <c r="AZ16" s="130"/>
      <c r="BA16" s="130"/>
      <c r="BB16" s="130"/>
      <c r="BC16" s="131"/>
      <c r="BD16" s="133"/>
      <c r="BE16" s="130"/>
      <c r="BF16" s="130"/>
      <c r="BG16" s="130"/>
      <c r="BH16" s="130"/>
      <c r="BI16" s="130"/>
      <c r="BJ16" s="131"/>
      <c r="BK16" s="34"/>
    </row>
    <row r="17" spans="1:63" ht="15" customHeight="1" x14ac:dyDescent="0.25">
      <c r="A17" s="33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5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7"/>
      <c r="AX17" s="128"/>
      <c r="AY17" s="128"/>
      <c r="AZ17" s="128"/>
      <c r="BA17" s="128"/>
      <c r="BB17" s="128"/>
      <c r="BC17" s="129"/>
      <c r="BD17" s="132"/>
      <c r="BE17" s="128"/>
      <c r="BF17" s="128"/>
      <c r="BG17" s="128"/>
      <c r="BH17" s="128"/>
      <c r="BI17" s="128"/>
      <c r="BJ17" s="129"/>
      <c r="BK17" s="34"/>
    </row>
    <row r="18" spans="1:63" ht="15" customHeight="1" x14ac:dyDescent="0.25">
      <c r="A18" s="33"/>
      <c r="B18" s="84"/>
      <c r="C18" s="85"/>
      <c r="D18" s="85"/>
      <c r="E18" s="85"/>
      <c r="F18" s="85"/>
      <c r="G18" s="86"/>
      <c r="H18" s="84"/>
      <c r="I18" s="85"/>
      <c r="J18" s="85"/>
      <c r="K18" s="85"/>
      <c r="L18" s="85"/>
      <c r="M18" s="85"/>
      <c r="N18" s="86"/>
      <c r="O18" s="84"/>
      <c r="P18" s="85"/>
      <c r="Q18" s="85"/>
      <c r="R18" s="85"/>
      <c r="S18" s="134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6"/>
      <c r="AX18" s="130"/>
      <c r="AY18" s="130"/>
      <c r="AZ18" s="130"/>
      <c r="BA18" s="130"/>
      <c r="BB18" s="130"/>
      <c r="BC18" s="131"/>
      <c r="BD18" s="133"/>
      <c r="BE18" s="130"/>
      <c r="BF18" s="130"/>
      <c r="BG18" s="130"/>
      <c r="BH18" s="130"/>
      <c r="BI18" s="130"/>
      <c r="BJ18" s="131"/>
      <c r="BK18" s="34"/>
    </row>
    <row r="19" spans="1:63" ht="15" customHeight="1" x14ac:dyDescent="0.25">
      <c r="A19" s="33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5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7"/>
      <c r="AX19" s="128"/>
      <c r="AY19" s="128"/>
      <c r="AZ19" s="128"/>
      <c r="BA19" s="128"/>
      <c r="BB19" s="128"/>
      <c r="BC19" s="129"/>
      <c r="BD19" s="132"/>
      <c r="BE19" s="128"/>
      <c r="BF19" s="128"/>
      <c r="BG19" s="128"/>
      <c r="BH19" s="128"/>
      <c r="BI19" s="128"/>
      <c r="BJ19" s="129"/>
      <c r="BK19" s="34"/>
    </row>
    <row r="20" spans="1:63" ht="15" customHeight="1" x14ac:dyDescent="0.25">
      <c r="A20" s="33"/>
      <c r="B20" s="84"/>
      <c r="C20" s="85"/>
      <c r="D20" s="85"/>
      <c r="E20" s="85"/>
      <c r="F20" s="85"/>
      <c r="G20" s="86"/>
      <c r="H20" s="84"/>
      <c r="I20" s="85"/>
      <c r="J20" s="85"/>
      <c r="K20" s="85"/>
      <c r="L20" s="85"/>
      <c r="M20" s="85"/>
      <c r="N20" s="86"/>
      <c r="O20" s="84"/>
      <c r="P20" s="85"/>
      <c r="Q20" s="85"/>
      <c r="R20" s="85"/>
      <c r="S20" s="134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6"/>
      <c r="AX20" s="130"/>
      <c r="AY20" s="130"/>
      <c r="AZ20" s="130"/>
      <c r="BA20" s="130"/>
      <c r="BB20" s="130"/>
      <c r="BC20" s="131"/>
      <c r="BD20" s="133"/>
      <c r="BE20" s="130"/>
      <c r="BF20" s="130"/>
      <c r="BG20" s="130"/>
      <c r="BH20" s="130"/>
      <c r="BI20" s="130"/>
      <c r="BJ20" s="131"/>
      <c r="BK20" s="34"/>
    </row>
    <row r="21" spans="1:63" ht="15" customHeight="1" x14ac:dyDescent="0.25">
      <c r="A21" s="33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5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7"/>
      <c r="AX21" s="128"/>
      <c r="AY21" s="128"/>
      <c r="AZ21" s="128"/>
      <c r="BA21" s="128"/>
      <c r="BB21" s="128"/>
      <c r="BC21" s="129"/>
      <c r="BD21" s="132"/>
      <c r="BE21" s="128"/>
      <c r="BF21" s="128"/>
      <c r="BG21" s="128"/>
      <c r="BH21" s="128"/>
      <c r="BI21" s="128"/>
      <c r="BJ21" s="129"/>
      <c r="BK21" s="34"/>
    </row>
    <row r="22" spans="1:63" ht="15" customHeight="1" x14ac:dyDescent="0.25">
      <c r="A22" s="33"/>
      <c r="B22" s="84"/>
      <c r="C22" s="85"/>
      <c r="D22" s="85"/>
      <c r="E22" s="85"/>
      <c r="F22" s="85"/>
      <c r="G22" s="86"/>
      <c r="H22" s="84"/>
      <c r="I22" s="85"/>
      <c r="J22" s="85"/>
      <c r="K22" s="85"/>
      <c r="L22" s="85"/>
      <c r="M22" s="85"/>
      <c r="N22" s="86"/>
      <c r="O22" s="84"/>
      <c r="P22" s="85"/>
      <c r="Q22" s="85"/>
      <c r="R22" s="85"/>
      <c r="S22" s="134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6"/>
      <c r="AX22" s="130"/>
      <c r="AY22" s="130"/>
      <c r="AZ22" s="130"/>
      <c r="BA22" s="130"/>
      <c r="BB22" s="130"/>
      <c r="BC22" s="131"/>
      <c r="BD22" s="133"/>
      <c r="BE22" s="130"/>
      <c r="BF22" s="130"/>
      <c r="BG22" s="130"/>
      <c r="BH22" s="130"/>
      <c r="BI22" s="130"/>
      <c r="BJ22" s="131"/>
      <c r="BK22" s="34"/>
    </row>
    <row r="23" spans="1:63" ht="15" customHeight="1" x14ac:dyDescent="0.25">
      <c r="A23" s="33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5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7"/>
      <c r="AX23" s="128"/>
      <c r="AY23" s="128"/>
      <c r="AZ23" s="128"/>
      <c r="BA23" s="128"/>
      <c r="BB23" s="128"/>
      <c r="BC23" s="129"/>
      <c r="BD23" s="132"/>
      <c r="BE23" s="128"/>
      <c r="BF23" s="128"/>
      <c r="BG23" s="128"/>
      <c r="BH23" s="128"/>
      <c r="BI23" s="128"/>
      <c r="BJ23" s="129"/>
      <c r="BK23" s="34"/>
    </row>
    <row r="24" spans="1:63" ht="15" customHeight="1" x14ac:dyDescent="0.25">
      <c r="A24" s="33"/>
      <c r="B24" s="84"/>
      <c r="C24" s="85"/>
      <c r="D24" s="85"/>
      <c r="E24" s="85"/>
      <c r="F24" s="85"/>
      <c r="G24" s="86"/>
      <c r="H24" s="84"/>
      <c r="I24" s="85"/>
      <c r="J24" s="85"/>
      <c r="K24" s="85"/>
      <c r="L24" s="85"/>
      <c r="M24" s="85"/>
      <c r="N24" s="86"/>
      <c r="O24" s="84"/>
      <c r="P24" s="85"/>
      <c r="Q24" s="85"/>
      <c r="R24" s="85"/>
      <c r="S24" s="134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6"/>
      <c r="AX24" s="130"/>
      <c r="AY24" s="130"/>
      <c r="AZ24" s="130"/>
      <c r="BA24" s="130"/>
      <c r="BB24" s="130"/>
      <c r="BC24" s="131"/>
      <c r="BD24" s="133"/>
      <c r="BE24" s="130"/>
      <c r="BF24" s="130"/>
      <c r="BG24" s="130"/>
      <c r="BH24" s="130"/>
      <c r="BI24" s="130"/>
      <c r="BJ24" s="131"/>
      <c r="BK24" s="34"/>
    </row>
    <row r="25" spans="1:63" ht="15" customHeight="1" x14ac:dyDescent="0.25">
      <c r="A25" s="33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5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7"/>
      <c r="AX25" s="128"/>
      <c r="AY25" s="128"/>
      <c r="AZ25" s="128"/>
      <c r="BA25" s="128"/>
      <c r="BB25" s="128"/>
      <c r="BC25" s="129"/>
      <c r="BD25" s="132"/>
      <c r="BE25" s="128"/>
      <c r="BF25" s="128"/>
      <c r="BG25" s="128"/>
      <c r="BH25" s="128"/>
      <c r="BI25" s="128"/>
      <c r="BJ25" s="129"/>
      <c r="BK25" s="34"/>
    </row>
    <row r="26" spans="1:63" ht="15" customHeight="1" x14ac:dyDescent="0.25">
      <c r="A26" s="33"/>
      <c r="B26" s="84"/>
      <c r="C26" s="85"/>
      <c r="D26" s="85"/>
      <c r="E26" s="85"/>
      <c r="F26" s="85"/>
      <c r="G26" s="86"/>
      <c r="H26" s="84"/>
      <c r="I26" s="85"/>
      <c r="J26" s="85"/>
      <c r="K26" s="85"/>
      <c r="L26" s="85"/>
      <c r="M26" s="85"/>
      <c r="N26" s="86"/>
      <c r="O26" s="84"/>
      <c r="P26" s="85"/>
      <c r="Q26" s="85"/>
      <c r="R26" s="85"/>
      <c r="S26" s="134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6"/>
      <c r="AX26" s="130"/>
      <c r="AY26" s="130"/>
      <c r="AZ26" s="130"/>
      <c r="BA26" s="130"/>
      <c r="BB26" s="130"/>
      <c r="BC26" s="131"/>
      <c r="BD26" s="133"/>
      <c r="BE26" s="130"/>
      <c r="BF26" s="130"/>
      <c r="BG26" s="130"/>
      <c r="BH26" s="130"/>
      <c r="BI26" s="130"/>
      <c r="BJ26" s="131"/>
      <c r="BK26" s="34"/>
    </row>
    <row r="27" spans="1:63" ht="15" customHeight="1" x14ac:dyDescent="0.25">
      <c r="A27" s="33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5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7"/>
      <c r="AX27" s="128"/>
      <c r="AY27" s="128"/>
      <c r="AZ27" s="128"/>
      <c r="BA27" s="128"/>
      <c r="BB27" s="128"/>
      <c r="BC27" s="129"/>
      <c r="BD27" s="132"/>
      <c r="BE27" s="128"/>
      <c r="BF27" s="128"/>
      <c r="BG27" s="128"/>
      <c r="BH27" s="128"/>
      <c r="BI27" s="128"/>
      <c r="BJ27" s="129"/>
      <c r="BK27" s="34"/>
    </row>
    <row r="28" spans="1:63" ht="15" customHeight="1" x14ac:dyDescent="0.25">
      <c r="A28" s="33"/>
      <c r="B28" s="84"/>
      <c r="C28" s="85"/>
      <c r="D28" s="85"/>
      <c r="E28" s="85"/>
      <c r="F28" s="85"/>
      <c r="G28" s="86"/>
      <c r="H28" s="84"/>
      <c r="I28" s="85"/>
      <c r="J28" s="85"/>
      <c r="K28" s="85"/>
      <c r="L28" s="85"/>
      <c r="M28" s="85"/>
      <c r="N28" s="86"/>
      <c r="O28" s="84"/>
      <c r="P28" s="85"/>
      <c r="Q28" s="85"/>
      <c r="R28" s="85"/>
      <c r="S28" s="134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6"/>
      <c r="AX28" s="130"/>
      <c r="AY28" s="130"/>
      <c r="AZ28" s="130"/>
      <c r="BA28" s="130"/>
      <c r="BB28" s="130"/>
      <c r="BC28" s="131"/>
      <c r="BD28" s="133"/>
      <c r="BE28" s="130"/>
      <c r="BF28" s="130"/>
      <c r="BG28" s="130"/>
      <c r="BH28" s="130"/>
      <c r="BI28" s="130"/>
      <c r="BJ28" s="131"/>
      <c r="BK28" s="34"/>
    </row>
    <row r="29" spans="1:63" ht="15" customHeight="1" x14ac:dyDescent="0.25">
      <c r="A29" s="33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5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7"/>
      <c r="AX29" s="128"/>
      <c r="AY29" s="128"/>
      <c r="AZ29" s="128"/>
      <c r="BA29" s="128"/>
      <c r="BB29" s="128"/>
      <c r="BC29" s="129"/>
      <c r="BD29" s="132"/>
      <c r="BE29" s="128"/>
      <c r="BF29" s="128"/>
      <c r="BG29" s="128"/>
      <c r="BH29" s="128"/>
      <c r="BI29" s="128"/>
      <c r="BJ29" s="129"/>
      <c r="BK29" s="34"/>
    </row>
    <row r="30" spans="1:63" ht="15" customHeight="1" x14ac:dyDescent="0.25">
      <c r="A30" s="33"/>
      <c r="B30" s="84"/>
      <c r="C30" s="85"/>
      <c r="D30" s="85"/>
      <c r="E30" s="85"/>
      <c r="F30" s="85"/>
      <c r="G30" s="86"/>
      <c r="H30" s="84"/>
      <c r="I30" s="85"/>
      <c r="J30" s="85"/>
      <c r="K30" s="85"/>
      <c r="L30" s="85"/>
      <c r="M30" s="85"/>
      <c r="N30" s="86"/>
      <c r="O30" s="84"/>
      <c r="P30" s="85"/>
      <c r="Q30" s="85"/>
      <c r="R30" s="85"/>
      <c r="S30" s="134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6"/>
      <c r="AX30" s="130"/>
      <c r="AY30" s="130"/>
      <c r="AZ30" s="130"/>
      <c r="BA30" s="130"/>
      <c r="BB30" s="130"/>
      <c r="BC30" s="131"/>
      <c r="BD30" s="133"/>
      <c r="BE30" s="130"/>
      <c r="BF30" s="130"/>
      <c r="BG30" s="130"/>
      <c r="BH30" s="130"/>
      <c r="BI30" s="130"/>
      <c r="BJ30" s="131"/>
      <c r="BK30" s="34"/>
    </row>
    <row r="31" spans="1:63" ht="15" customHeight="1" x14ac:dyDescent="0.25">
      <c r="A31" s="33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5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7"/>
      <c r="AX31" s="128"/>
      <c r="AY31" s="128"/>
      <c r="AZ31" s="128"/>
      <c r="BA31" s="128"/>
      <c r="BB31" s="128"/>
      <c r="BC31" s="129"/>
      <c r="BD31" s="132"/>
      <c r="BE31" s="128"/>
      <c r="BF31" s="128"/>
      <c r="BG31" s="128"/>
      <c r="BH31" s="128"/>
      <c r="BI31" s="128"/>
      <c r="BJ31" s="129"/>
      <c r="BK31" s="34"/>
    </row>
    <row r="32" spans="1:63" ht="15" customHeight="1" x14ac:dyDescent="0.25">
      <c r="A32" s="33"/>
      <c r="B32" s="84"/>
      <c r="C32" s="85"/>
      <c r="D32" s="85"/>
      <c r="E32" s="85"/>
      <c r="F32" s="85"/>
      <c r="G32" s="86"/>
      <c r="H32" s="84"/>
      <c r="I32" s="85"/>
      <c r="J32" s="85"/>
      <c r="K32" s="85"/>
      <c r="L32" s="85"/>
      <c r="M32" s="85"/>
      <c r="N32" s="86"/>
      <c r="O32" s="84"/>
      <c r="P32" s="85"/>
      <c r="Q32" s="85"/>
      <c r="R32" s="85"/>
      <c r="S32" s="134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6"/>
      <c r="AX32" s="130"/>
      <c r="AY32" s="130"/>
      <c r="AZ32" s="130"/>
      <c r="BA32" s="130"/>
      <c r="BB32" s="130"/>
      <c r="BC32" s="131"/>
      <c r="BD32" s="133"/>
      <c r="BE32" s="130"/>
      <c r="BF32" s="130"/>
      <c r="BG32" s="130"/>
      <c r="BH32" s="130"/>
      <c r="BI32" s="130"/>
      <c r="BJ32" s="131"/>
      <c r="BK32" s="34"/>
    </row>
    <row r="33" spans="1:63" ht="15" customHeight="1" x14ac:dyDescent="0.25">
      <c r="A33" s="33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5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7"/>
      <c r="AX33" s="128"/>
      <c r="AY33" s="128"/>
      <c r="AZ33" s="128"/>
      <c r="BA33" s="128"/>
      <c r="BB33" s="128"/>
      <c r="BC33" s="129"/>
      <c r="BD33" s="132"/>
      <c r="BE33" s="128"/>
      <c r="BF33" s="128"/>
      <c r="BG33" s="128"/>
      <c r="BH33" s="128"/>
      <c r="BI33" s="128"/>
      <c r="BJ33" s="129"/>
      <c r="BK33" s="34"/>
    </row>
    <row r="34" spans="1:63" ht="15" customHeight="1" x14ac:dyDescent="0.25">
      <c r="A34" s="33"/>
      <c r="B34" s="84"/>
      <c r="C34" s="85"/>
      <c r="D34" s="85"/>
      <c r="E34" s="85"/>
      <c r="F34" s="85"/>
      <c r="G34" s="86"/>
      <c r="H34" s="84"/>
      <c r="I34" s="85"/>
      <c r="J34" s="85"/>
      <c r="K34" s="85"/>
      <c r="L34" s="85"/>
      <c r="M34" s="85"/>
      <c r="N34" s="86"/>
      <c r="O34" s="84"/>
      <c r="P34" s="85"/>
      <c r="Q34" s="85"/>
      <c r="R34" s="85"/>
      <c r="S34" s="134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6"/>
      <c r="AX34" s="130"/>
      <c r="AY34" s="130"/>
      <c r="AZ34" s="130"/>
      <c r="BA34" s="130"/>
      <c r="BB34" s="130"/>
      <c r="BC34" s="131"/>
      <c r="BD34" s="133"/>
      <c r="BE34" s="130"/>
      <c r="BF34" s="130"/>
      <c r="BG34" s="130"/>
      <c r="BH34" s="130"/>
      <c r="BI34" s="130"/>
      <c r="BJ34" s="131"/>
      <c r="BK34" s="34"/>
    </row>
    <row r="35" spans="1:63" ht="15" customHeight="1" x14ac:dyDescent="0.25">
      <c r="A35" s="33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5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7"/>
      <c r="AX35" s="128"/>
      <c r="AY35" s="128"/>
      <c r="AZ35" s="128"/>
      <c r="BA35" s="128"/>
      <c r="BB35" s="128"/>
      <c r="BC35" s="129"/>
      <c r="BD35" s="132"/>
      <c r="BE35" s="128"/>
      <c r="BF35" s="128"/>
      <c r="BG35" s="128"/>
      <c r="BH35" s="128"/>
      <c r="BI35" s="128"/>
      <c r="BJ35" s="129"/>
      <c r="BK35" s="34"/>
    </row>
    <row r="36" spans="1:63" ht="15" customHeight="1" x14ac:dyDescent="0.25">
      <c r="A36" s="33"/>
      <c r="B36" s="84"/>
      <c r="C36" s="85"/>
      <c r="D36" s="85"/>
      <c r="E36" s="85"/>
      <c r="F36" s="85"/>
      <c r="G36" s="86"/>
      <c r="H36" s="84"/>
      <c r="I36" s="85"/>
      <c r="J36" s="85"/>
      <c r="K36" s="85"/>
      <c r="L36" s="85"/>
      <c r="M36" s="85"/>
      <c r="N36" s="86"/>
      <c r="O36" s="84"/>
      <c r="P36" s="85"/>
      <c r="Q36" s="85"/>
      <c r="R36" s="85"/>
      <c r="S36" s="134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6"/>
      <c r="AX36" s="130"/>
      <c r="AY36" s="130"/>
      <c r="AZ36" s="130"/>
      <c r="BA36" s="130"/>
      <c r="BB36" s="130"/>
      <c r="BC36" s="131"/>
      <c r="BD36" s="133"/>
      <c r="BE36" s="130"/>
      <c r="BF36" s="130"/>
      <c r="BG36" s="130"/>
      <c r="BH36" s="130"/>
      <c r="BI36" s="130"/>
      <c r="BJ36" s="131"/>
      <c r="BK36" s="34"/>
    </row>
    <row r="37" spans="1:63" ht="15" customHeight="1" x14ac:dyDescent="0.25">
      <c r="A37" s="33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5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7"/>
      <c r="AX37" s="128"/>
      <c r="AY37" s="128"/>
      <c r="AZ37" s="128"/>
      <c r="BA37" s="128"/>
      <c r="BB37" s="128"/>
      <c r="BC37" s="129"/>
      <c r="BD37" s="132"/>
      <c r="BE37" s="128"/>
      <c r="BF37" s="128"/>
      <c r="BG37" s="128"/>
      <c r="BH37" s="128"/>
      <c r="BI37" s="128"/>
      <c r="BJ37" s="129"/>
      <c r="BK37" s="34"/>
    </row>
    <row r="38" spans="1:63" ht="15" customHeight="1" x14ac:dyDescent="0.25">
      <c r="A38" s="33"/>
      <c r="B38" s="84"/>
      <c r="C38" s="85"/>
      <c r="D38" s="85"/>
      <c r="E38" s="85"/>
      <c r="F38" s="85"/>
      <c r="G38" s="86"/>
      <c r="H38" s="84"/>
      <c r="I38" s="85"/>
      <c r="J38" s="85"/>
      <c r="K38" s="85"/>
      <c r="L38" s="85"/>
      <c r="M38" s="85"/>
      <c r="N38" s="86"/>
      <c r="O38" s="84"/>
      <c r="P38" s="85"/>
      <c r="Q38" s="85"/>
      <c r="R38" s="85"/>
      <c r="S38" s="134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6"/>
      <c r="AX38" s="130"/>
      <c r="AY38" s="130"/>
      <c r="AZ38" s="130"/>
      <c r="BA38" s="130"/>
      <c r="BB38" s="130"/>
      <c r="BC38" s="131"/>
      <c r="BD38" s="133"/>
      <c r="BE38" s="130"/>
      <c r="BF38" s="130"/>
      <c r="BG38" s="130"/>
      <c r="BH38" s="130"/>
      <c r="BI38" s="130"/>
      <c r="BJ38" s="131"/>
      <c r="BK38" s="34"/>
    </row>
    <row r="39" spans="1:63" ht="15" customHeight="1" x14ac:dyDescent="0.25">
      <c r="A39" s="33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5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7"/>
      <c r="AX39" s="128"/>
      <c r="AY39" s="128"/>
      <c r="AZ39" s="128"/>
      <c r="BA39" s="128"/>
      <c r="BB39" s="128"/>
      <c r="BC39" s="129"/>
      <c r="BD39" s="132"/>
      <c r="BE39" s="128"/>
      <c r="BF39" s="128"/>
      <c r="BG39" s="128"/>
      <c r="BH39" s="128"/>
      <c r="BI39" s="128"/>
      <c r="BJ39" s="129"/>
      <c r="BK39" s="34"/>
    </row>
    <row r="40" spans="1:63" ht="15" customHeight="1" x14ac:dyDescent="0.25">
      <c r="A40" s="33"/>
      <c r="B40" s="84"/>
      <c r="C40" s="85"/>
      <c r="D40" s="85"/>
      <c r="E40" s="85"/>
      <c r="F40" s="85"/>
      <c r="G40" s="86"/>
      <c r="H40" s="84"/>
      <c r="I40" s="85"/>
      <c r="J40" s="85"/>
      <c r="K40" s="85"/>
      <c r="L40" s="85"/>
      <c r="M40" s="85"/>
      <c r="N40" s="86"/>
      <c r="O40" s="84"/>
      <c r="P40" s="85"/>
      <c r="Q40" s="85"/>
      <c r="R40" s="85"/>
      <c r="S40" s="134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6"/>
      <c r="AX40" s="130"/>
      <c r="AY40" s="130"/>
      <c r="AZ40" s="130"/>
      <c r="BA40" s="130"/>
      <c r="BB40" s="130"/>
      <c r="BC40" s="131"/>
      <c r="BD40" s="133"/>
      <c r="BE40" s="130"/>
      <c r="BF40" s="130"/>
      <c r="BG40" s="130"/>
      <c r="BH40" s="130"/>
      <c r="BI40" s="130"/>
      <c r="BJ40" s="131"/>
      <c r="BK40" s="34"/>
    </row>
    <row r="41" spans="1:63" ht="15" customHeight="1" x14ac:dyDescent="0.25">
      <c r="A41" s="33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5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7"/>
      <c r="AX41" s="128"/>
      <c r="AY41" s="128"/>
      <c r="AZ41" s="128"/>
      <c r="BA41" s="128"/>
      <c r="BB41" s="128"/>
      <c r="BC41" s="129"/>
      <c r="BD41" s="132"/>
      <c r="BE41" s="128"/>
      <c r="BF41" s="128"/>
      <c r="BG41" s="128"/>
      <c r="BH41" s="128"/>
      <c r="BI41" s="128"/>
      <c r="BJ41" s="129"/>
      <c r="BK41" s="34"/>
    </row>
    <row r="42" spans="1:63" ht="15" customHeight="1" x14ac:dyDescent="0.25">
      <c r="A42" s="33"/>
      <c r="B42" s="84"/>
      <c r="C42" s="85"/>
      <c r="D42" s="85"/>
      <c r="E42" s="85"/>
      <c r="F42" s="85"/>
      <c r="G42" s="86"/>
      <c r="H42" s="84"/>
      <c r="I42" s="85"/>
      <c r="J42" s="85"/>
      <c r="K42" s="85"/>
      <c r="L42" s="85"/>
      <c r="M42" s="85"/>
      <c r="N42" s="86"/>
      <c r="O42" s="84"/>
      <c r="P42" s="85"/>
      <c r="Q42" s="85"/>
      <c r="R42" s="85"/>
      <c r="S42" s="134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6"/>
      <c r="AX42" s="130"/>
      <c r="AY42" s="130"/>
      <c r="AZ42" s="130"/>
      <c r="BA42" s="130"/>
      <c r="BB42" s="130"/>
      <c r="BC42" s="131"/>
      <c r="BD42" s="133"/>
      <c r="BE42" s="130"/>
      <c r="BF42" s="130"/>
      <c r="BG42" s="130"/>
      <c r="BH42" s="130"/>
      <c r="BI42" s="130"/>
      <c r="BJ42" s="131"/>
      <c r="BK42" s="34"/>
    </row>
    <row r="43" spans="1:63" ht="15" customHeight="1" x14ac:dyDescent="0.25">
      <c r="A43" s="33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5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7"/>
      <c r="AX43" s="128"/>
      <c r="AY43" s="128"/>
      <c r="AZ43" s="128"/>
      <c r="BA43" s="128"/>
      <c r="BB43" s="128"/>
      <c r="BC43" s="129"/>
      <c r="BD43" s="132"/>
      <c r="BE43" s="128"/>
      <c r="BF43" s="128"/>
      <c r="BG43" s="128"/>
      <c r="BH43" s="128"/>
      <c r="BI43" s="128"/>
      <c r="BJ43" s="129"/>
      <c r="BK43" s="34"/>
    </row>
    <row r="44" spans="1:63" ht="15" customHeight="1" x14ac:dyDescent="0.25">
      <c r="A44" s="33"/>
      <c r="B44" s="84"/>
      <c r="C44" s="85"/>
      <c r="D44" s="85"/>
      <c r="E44" s="85"/>
      <c r="F44" s="85"/>
      <c r="G44" s="86"/>
      <c r="H44" s="84"/>
      <c r="I44" s="85"/>
      <c r="J44" s="85"/>
      <c r="K44" s="85"/>
      <c r="L44" s="85"/>
      <c r="M44" s="85"/>
      <c r="N44" s="86"/>
      <c r="O44" s="84"/>
      <c r="P44" s="85"/>
      <c r="Q44" s="85"/>
      <c r="R44" s="85"/>
      <c r="S44" s="134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6"/>
      <c r="AX44" s="130"/>
      <c r="AY44" s="130"/>
      <c r="AZ44" s="130"/>
      <c r="BA44" s="130"/>
      <c r="BB44" s="130"/>
      <c r="BC44" s="131"/>
      <c r="BD44" s="133"/>
      <c r="BE44" s="130"/>
      <c r="BF44" s="130"/>
      <c r="BG44" s="130"/>
      <c r="BH44" s="130"/>
      <c r="BI44" s="130"/>
      <c r="BJ44" s="131"/>
      <c r="BK44" s="34"/>
    </row>
    <row r="45" spans="1:63" ht="15" customHeight="1" x14ac:dyDescent="0.25">
      <c r="A45" s="33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5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7"/>
      <c r="AX45" s="128"/>
      <c r="AY45" s="128"/>
      <c r="AZ45" s="128"/>
      <c r="BA45" s="128"/>
      <c r="BB45" s="128"/>
      <c r="BC45" s="129"/>
      <c r="BD45" s="132"/>
      <c r="BE45" s="128"/>
      <c r="BF45" s="128"/>
      <c r="BG45" s="128"/>
      <c r="BH45" s="128"/>
      <c r="BI45" s="128"/>
      <c r="BJ45" s="129"/>
      <c r="BK45" s="34"/>
    </row>
    <row r="46" spans="1:63" ht="15" customHeight="1" x14ac:dyDescent="0.25">
      <c r="A46" s="33"/>
      <c r="B46" s="84"/>
      <c r="C46" s="85"/>
      <c r="D46" s="85"/>
      <c r="E46" s="85"/>
      <c r="F46" s="85"/>
      <c r="G46" s="86"/>
      <c r="H46" s="84"/>
      <c r="I46" s="85"/>
      <c r="J46" s="85"/>
      <c r="K46" s="85"/>
      <c r="L46" s="85"/>
      <c r="M46" s="85"/>
      <c r="N46" s="86"/>
      <c r="O46" s="84"/>
      <c r="P46" s="85"/>
      <c r="Q46" s="85"/>
      <c r="R46" s="85"/>
      <c r="S46" s="134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6"/>
      <c r="AX46" s="130"/>
      <c r="AY46" s="130"/>
      <c r="AZ46" s="130"/>
      <c r="BA46" s="130"/>
      <c r="BB46" s="130"/>
      <c r="BC46" s="131"/>
      <c r="BD46" s="133"/>
      <c r="BE46" s="130"/>
      <c r="BF46" s="130"/>
      <c r="BG46" s="130"/>
      <c r="BH46" s="130"/>
      <c r="BI46" s="130"/>
      <c r="BJ46" s="131"/>
      <c r="BK46" s="34"/>
    </row>
    <row r="47" spans="1:63" ht="15" customHeight="1" x14ac:dyDescent="0.25">
      <c r="A47" s="33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5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7"/>
      <c r="AX47" s="128"/>
      <c r="AY47" s="128"/>
      <c r="AZ47" s="128"/>
      <c r="BA47" s="128"/>
      <c r="BB47" s="128"/>
      <c r="BC47" s="129"/>
      <c r="BD47" s="132"/>
      <c r="BE47" s="128"/>
      <c r="BF47" s="128"/>
      <c r="BG47" s="128"/>
      <c r="BH47" s="128"/>
      <c r="BI47" s="128"/>
      <c r="BJ47" s="129"/>
      <c r="BK47" s="34"/>
    </row>
    <row r="48" spans="1:63" ht="15" customHeight="1" x14ac:dyDescent="0.25">
      <c r="A48" s="33"/>
      <c r="B48" s="84"/>
      <c r="C48" s="85"/>
      <c r="D48" s="85"/>
      <c r="E48" s="85"/>
      <c r="F48" s="85"/>
      <c r="G48" s="86"/>
      <c r="H48" s="84"/>
      <c r="I48" s="85"/>
      <c r="J48" s="85"/>
      <c r="K48" s="85"/>
      <c r="L48" s="85"/>
      <c r="M48" s="85"/>
      <c r="N48" s="86"/>
      <c r="O48" s="84"/>
      <c r="P48" s="85"/>
      <c r="Q48" s="85"/>
      <c r="R48" s="85"/>
      <c r="S48" s="134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6"/>
      <c r="AX48" s="130"/>
      <c r="AY48" s="130"/>
      <c r="AZ48" s="130"/>
      <c r="BA48" s="130"/>
      <c r="BB48" s="130"/>
      <c r="BC48" s="131"/>
      <c r="BD48" s="133"/>
      <c r="BE48" s="130"/>
      <c r="BF48" s="130"/>
      <c r="BG48" s="130"/>
      <c r="BH48" s="130"/>
      <c r="BI48" s="130"/>
      <c r="BJ48" s="131"/>
      <c r="BK48" s="34"/>
    </row>
    <row r="49" spans="1:63" ht="15" customHeight="1" x14ac:dyDescent="0.25">
      <c r="A49" s="33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5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7"/>
      <c r="AX49" s="128"/>
      <c r="AY49" s="128"/>
      <c r="AZ49" s="128"/>
      <c r="BA49" s="128"/>
      <c r="BB49" s="128"/>
      <c r="BC49" s="129"/>
      <c r="BD49" s="132"/>
      <c r="BE49" s="128"/>
      <c r="BF49" s="128"/>
      <c r="BG49" s="128"/>
      <c r="BH49" s="128"/>
      <c r="BI49" s="128"/>
      <c r="BJ49" s="129"/>
      <c r="BK49" s="34"/>
    </row>
    <row r="50" spans="1:63" ht="15" customHeight="1" x14ac:dyDescent="0.25">
      <c r="A50" s="33"/>
      <c r="B50" s="84"/>
      <c r="C50" s="85"/>
      <c r="D50" s="85"/>
      <c r="E50" s="85"/>
      <c r="F50" s="85"/>
      <c r="G50" s="86"/>
      <c r="H50" s="84"/>
      <c r="I50" s="85"/>
      <c r="J50" s="85"/>
      <c r="K50" s="85"/>
      <c r="L50" s="85"/>
      <c r="M50" s="85"/>
      <c r="N50" s="86"/>
      <c r="O50" s="84"/>
      <c r="P50" s="85"/>
      <c r="Q50" s="85"/>
      <c r="R50" s="85"/>
      <c r="S50" s="134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6"/>
      <c r="AX50" s="130"/>
      <c r="AY50" s="130"/>
      <c r="AZ50" s="130"/>
      <c r="BA50" s="130"/>
      <c r="BB50" s="130"/>
      <c r="BC50" s="131"/>
      <c r="BD50" s="133"/>
      <c r="BE50" s="130"/>
      <c r="BF50" s="130"/>
      <c r="BG50" s="130"/>
      <c r="BH50" s="130"/>
      <c r="BI50" s="130"/>
      <c r="BJ50" s="131"/>
      <c r="BK50" s="34"/>
    </row>
    <row r="51" spans="1:63" ht="15" customHeight="1" x14ac:dyDescent="0.25">
      <c r="A51" s="33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5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7"/>
      <c r="AX51" s="128"/>
      <c r="AY51" s="128"/>
      <c r="AZ51" s="128"/>
      <c r="BA51" s="128"/>
      <c r="BB51" s="128"/>
      <c r="BC51" s="129"/>
      <c r="BD51" s="132"/>
      <c r="BE51" s="128"/>
      <c r="BF51" s="128"/>
      <c r="BG51" s="128"/>
      <c r="BH51" s="128"/>
      <c r="BI51" s="128"/>
      <c r="BJ51" s="129"/>
      <c r="BK51" s="34"/>
    </row>
    <row r="52" spans="1:63" ht="15" customHeight="1" x14ac:dyDescent="0.25">
      <c r="A52" s="33"/>
      <c r="B52" s="84"/>
      <c r="C52" s="85"/>
      <c r="D52" s="85"/>
      <c r="E52" s="85"/>
      <c r="F52" s="85"/>
      <c r="G52" s="86"/>
      <c r="H52" s="84"/>
      <c r="I52" s="85"/>
      <c r="J52" s="85"/>
      <c r="K52" s="85"/>
      <c r="L52" s="85"/>
      <c r="M52" s="85"/>
      <c r="N52" s="86"/>
      <c r="O52" s="84"/>
      <c r="P52" s="85"/>
      <c r="Q52" s="85"/>
      <c r="R52" s="85"/>
      <c r="S52" s="134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6"/>
      <c r="AX52" s="130"/>
      <c r="AY52" s="130"/>
      <c r="AZ52" s="130"/>
      <c r="BA52" s="130"/>
      <c r="BB52" s="130"/>
      <c r="BC52" s="131"/>
      <c r="BD52" s="133"/>
      <c r="BE52" s="130"/>
      <c r="BF52" s="130"/>
      <c r="BG52" s="130"/>
      <c r="BH52" s="130"/>
      <c r="BI52" s="130"/>
      <c r="BJ52" s="131"/>
      <c r="BK52" s="34"/>
    </row>
    <row r="53" spans="1:63" ht="15" customHeight="1" x14ac:dyDescent="0.25">
      <c r="A53" s="33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5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7"/>
      <c r="AX53" s="128"/>
      <c r="AY53" s="128"/>
      <c r="AZ53" s="128"/>
      <c r="BA53" s="128"/>
      <c r="BB53" s="128"/>
      <c r="BC53" s="129"/>
      <c r="BD53" s="132"/>
      <c r="BE53" s="128"/>
      <c r="BF53" s="128"/>
      <c r="BG53" s="128"/>
      <c r="BH53" s="128"/>
      <c r="BI53" s="128"/>
      <c r="BJ53" s="129"/>
      <c r="BK53" s="34"/>
    </row>
    <row r="54" spans="1:63" ht="15" customHeight="1" x14ac:dyDescent="0.25">
      <c r="A54" s="33"/>
      <c r="B54" s="84"/>
      <c r="C54" s="85"/>
      <c r="D54" s="85"/>
      <c r="E54" s="85"/>
      <c r="F54" s="85"/>
      <c r="G54" s="86"/>
      <c r="H54" s="84"/>
      <c r="I54" s="85"/>
      <c r="J54" s="85"/>
      <c r="K54" s="85"/>
      <c r="L54" s="85"/>
      <c r="M54" s="85"/>
      <c r="N54" s="86"/>
      <c r="O54" s="84"/>
      <c r="P54" s="85"/>
      <c r="Q54" s="85"/>
      <c r="R54" s="85"/>
      <c r="S54" s="134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6"/>
      <c r="AX54" s="130"/>
      <c r="AY54" s="130"/>
      <c r="AZ54" s="130"/>
      <c r="BA54" s="130"/>
      <c r="BB54" s="130"/>
      <c r="BC54" s="131"/>
      <c r="BD54" s="133"/>
      <c r="BE54" s="130"/>
      <c r="BF54" s="130"/>
      <c r="BG54" s="130"/>
      <c r="BH54" s="130"/>
      <c r="BI54" s="130"/>
      <c r="BJ54" s="131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A38E-72F2-41F2-983E-45398BF860A4}">
  <sheetPr>
    <tabColor rgb="FF0000FF"/>
    <pageSetUpPr fitToPage="1"/>
  </sheetPr>
  <dimension ref="A1:BK131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4" t="s">
        <v>44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45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81" t="str">
        <f>IF(表紙!AP2="","",表紙!AP2)</f>
        <v>SonMNT</v>
      </c>
      <c r="AQ2" s="82"/>
      <c r="AR2" s="82"/>
      <c r="AS2" s="83"/>
      <c r="AT2" s="109">
        <f>IF(表紙!AT2="","",表紙!AT2)</f>
        <v>45516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45615</v>
      </c>
      <c r="BD2" s="110"/>
      <c r="BE2" s="110"/>
      <c r="BF2" s="110"/>
      <c r="BG2" s="111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62" t="s">
        <v>62</v>
      </c>
      <c r="B4" s="145"/>
      <c r="C4" s="145"/>
      <c r="D4" s="145"/>
      <c r="E4" s="145"/>
      <c r="F4" s="145"/>
      <c r="G4" s="146"/>
      <c r="H4" s="163" t="str">
        <f>IF(表紙!H4="","",表紙!H4)</f>
        <v>33_釣銭機状況照会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  <c r="U4" s="144" t="s">
        <v>54</v>
      </c>
      <c r="V4" s="145"/>
      <c r="W4" s="145"/>
      <c r="X4" s="145"/>
      <c r="Y4" s="146"/>
      <c r="Z4" s="163" t="str">
        <f>IF(表紙!Z4="","",表紙!Z4)</f>
        <v>機能設計書</v>
      </c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5"/>
      <c r="AP4" s="166" t="str">
        <f ca="1">MID(CELL("filename",A1),FIND("]",CELL("filename",A1))+1,255)</f>
        <v>SC3301</v>
      </c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9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78" t="s">
        <v>63</v>
      </c>
      <c r="B9" s="79"/>
      <c r="C9" s="79"/>
      <c r="D9" s="79"/>
      <c r="E9" s="167" t="s">
        <v>41</v>
      </c>
      <c r="F9" s="167"/>
      <c r="G9" s="167"/>
      <c r="H9" s="167"/>
      <c r="I9" s="167"/>
      <c r="J9" s="167"/>
      <c r="K9" s="167"/>
      <c r="L9" s="167"/>
      <c r="M9" s="167"/>
      <c r="N9" s="167"/>
      <c r="O9" s="78" t="s">
        <v>64</v>
      </c>
      <c r="P9" s="79"/>
      <c r="Q9" s="79"/>
      <c r="R9" s="79"/>
      <c r="S9" s="79"/>
      <c r="T9" s="80"/>
      <c r="U9" s="168" t="s">
        <v>43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71" t="s">
        <v>3</v>
      </c>
      <c r="B11" s="172"/>
      <c r="C11" s="172"/>
      <c r="D11" s="172"/>
      <c r="E11" s="172"/>
      <c r="F11" s="173"/>
      <c r="G11" s="167" t="s">
        <v>19</v>
      </c>
      <c r="H11" s="167"/>
      <c r="I11" s="167"/>
      <c r="J11" s="167"/>
      <c r="K11" s="167"/>
      <c r="L11" s="167"/>
      <c r="M11" s="56" t="s">
        <v>12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7"/>
      <c r="BI11" s="57"/>
      <c r="BJ11" s="57"/>
      <c r="BK11" s="58"/>
    </row>
    <row r="12" spans="1:63" s="46" customFormat="1" ht="15" customHeight="1" x14ac:dyDescent="0.25">
      <c r="A12" s="156" t="s">
        <v>5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8"/>
      <c r="M12" s="156" t="s">
        <v>6</v>
      </c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8"/>
      <c r="AU12" s="156" t="s">
        <v>7</v>
      </c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6" t="s">
        <v>8</v>
      </c>
      <c r="BG12" s="157"/>
      <c r="BH12" s="157"/>
      <c r="BI12" s="157"/>
      <c r="BJ12" s="157"/>
      <c r="BK12" s="158"/>
    </row>
    <row r="13" spans="1:63" s="46" customFormat="1" ht="15" customHeight="1" x14ac:dyDescent="0.25">
      <c r="A13" s="159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1"/>
      <c r="M13" s="159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1"/>
      <c r="AU13" s="159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59"/>
      <c r="BG13" s="160"/>
      <c r="BH13" s="160"/>
      <c r="BI13" s="160"/>
      <c r="BJ13" s="160"/>
      <c r="BK13" s="161"/>
    </row>
    <row r="14" spans="1:63" s="46" customFormat="1" ht="15" customHeight="1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1"/>
      <c r="M14" s="62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59"/>
      <c r="AV14" s="60"/>
      <c r="AW14" s="60"/>
      <c r="AX14" s="60"/>
      <c r="AY14" s="60"/>
      <c r="AZ14" s="60"/>
      <c r="BA14" s="60"/>
      <c r="BB14" s="60"/>
      <c r="BC14" s="60"/>
      <c r="BD14" s="60"/>
      <c r="BE14" s="61"/>
      <c r="BF14" s="174" t="s">
        <v>18</v>
      </c>
      <c r="BG14" s="175"/>
      <c r="BH14" s="175"/>
      <c r="BI14" s="175"/>
      <c r="BJ14" s="175"/>
      <c r="BK14" s="176"/>
    </row>
    <row r="15" spans="1:63" s="46" customFormat="1" ht="15" customHeight="1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62"/>
      <c r="N15" s="23" t="s">
        <v>65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4"/>
      <c r="AV15" s="65"/>
      <c r="AW15" s="65"/>
      <c r="AX15" s="65"/>
      <c r="AY15" s="65"/>
      <c r="AZ15" s="65"/>
      <c r="BA15" s="65"/>
      <c r="BB15" s="65"/>
      <c r="BC15" s="65"/>
      <c r="BD15" s="65"/>
      <c r="BE15" s="66"/>
      <c r="BF15" s="177"/>
      <c r="BG15" s="178"/>
      <c r="BH15" s="178"/>
      <c r="BI15" s="178"/>
      <c r="BJ15" s="178"/>
      <c r="BK15" s="179"/>
    </row>
    <row r="16" spans="1:63" s="46" customFormat="1" ht="15" customHeight="1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6"/>
      <c r="M16" s="67"/>
      <c r="N16" s="62"/>
      <c r="O16" s="68" t="s">
        <v>17</v>
      </c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4"/>
      <c r="AV16" s="65"/>
      <c r="AW16" s="65"/>
      <c r="AX16" s="65"/>
      <c r="AY16" s="65"/>
      <c r="AZ16" s="65"/>
      <c r="BA16" s="65"/>
      <c r="BB16" s="65"/>
      <c r="BC16" s="65"/>
      <c r="BD16" s="65"/>
      <c r="BE16" s="66"/>
      <c r="BF16" s="177"/>
      <c r="BG16" s="178"/>
      <c r="BH16" s="178"/>
      <c r="BI16" s="178"/>
      <c r="BJ16" s="178"/>
      <c r="BK16" s="179"/>
    </row>
    <row r="17" spans="1:63" s="46" customFormat="1" ht="15" customHeight="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6"/>
      <c r="M17" s="62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4"/>
      <c r="AV17" s="65"/>
      <c r="AW17" s="65"/>
      <c r="AX17" s="65"/>
      <c r="AY17" s="65"/>
      <c r="AZ17" s="65"/>
      <c r="BA17" s="65"/>
      <c r="BB17" s="65"/>
      <c r="BC17" s="65"/>
      <c r="BD17" s="65"/>
      <c r="BE17" s="66"/>
      <c r="BF17" s="177"/>
      <c r="BG17" s="178"/>
      <c r="BH17" s="178"/>
      <c r="BI17" s="178"/>
      <c r="BJ17" s="178"/>
      <c r="BK17" s="179"/>
    </row>
    <row r="18" spans="1:63" s="46" customFormat="1" ht="15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6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4"/>
      <c r="AV18" s="65"/>
      <c r="AW18" s="65"/>
      <c r="AX18" s="65"/>
      <c r="AY18" s="65"/>
      <c r="AZ18" s="65"/>
      <c r="BA18" s="65"/>
      <c r="BB18" s="65"/>
      <c r="BC18" s="65"/>
      <c r="BD18" s="65"/>
      <c r="BE18" s="66"/>
      <c r="BF18" s="177"/>
      <c r="BG18" s="178"/>
      <c r="BH18" s="178"/>
      <c r="BI18" s="178"/>
      <c r="BJ18" s="178"/>
      <c r="BK18" s="179"/>
    </row>
    <row r="19" spans="1:63" s="46" customFormat="1" ht="15" customHeight="1" x14ac:dyDescent="0.25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1"/>
      <c r="M19" s="72"/>
      <c r="N19" s="73"/>
      <c r="O19" s="73"/>
      <c r="P19" s="73"/>
      <c r="Q19" s="73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74"/>
      <c r="AQ19" s="74"/>
      <c r="AR19" s="74"/>
      <c r="AS19" s="74"/>
      <c r="AT19" s="74"/>
      <c r="AU19" s="69"/>
      <c r="AV19" s="70"/>
      <c r="AW19" s="70"/>
      <c r="AX19" s="70"/>
      <c r="AY19" s="70"/>
      <c r="AZ19" s="70"/>
      <c r="BA19" s="70"/>
      <c r="BB19" s="70"/>
      <c r="BC19" s="70"/>
      <c r="BD19" s="70"/>
      <c r="BE19" s="71"/>
      <c r="BF19" s="180"/>
      <c r="BG19" s="181"/>
      <c r="BH19" s="181"/>
      <c r="BI19" s="181"/>
      <c r="BJ19" s="181"/>
      <c r="BK19" s="182"/>
    </row>
    <row r="20" spans="1:63" ht="15" customHeight="1" x14ac:dyDescent="0.25">
      <c r="A20" s="15"/>
      <c r="BK20" s="5"/>
    </row>
    <row r="21" spans="1:63" ht="15" customHeight="1" x14ac:dyDescent="0.25">
      <c r="A21" s="22"/>
      <c r="BK21" s="5"/>
    </row>
    <row r="22" spans="1:63" ht="15" customHeight="1" x14ac:dyDescent="0.25">
      <c r="A22" s="22"/>
      <c r="BK22" s="5"/>
    </row>
    <row r="23" spans="1:63" ht="15" customHeight="1" x14ac:dyDescent="0.25">
      <c r="A23" s="22"/>
      <c r="BK23" s="5"/>
    </row>
    <row r="24" spans="1:63" s="46" customFormat="1" ht="15" customHeight="1" x14ac:dyDescent="0.25">
      <c r="A24" s="171" t="s">
        <v>3</v>
      </c>
      <c r="B24" s="172"/>
      <c r="C24" s="172"/>
      <c r="D24" s="172"/>
      <c r="E24" s="172"/>
      <c r="F24" s="173"/>
      <c r="G24" s="167" t="s">
        <v>20</v>
      </c>
      <c r="H24" s="167"/>
      <c r="I24" s="167"/>
      <c r="J24" s="167"/>
      <c r="K24" s="167"/>
      <c r="L24" s="167"/>
      <c r="M24" s="56" t="s">
        <v>21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57"/>
      <c r="BI24" s="57"/>
      <c r="BJ24" s="57"/>
      <c r="BK24" s="58"/>
    </row>
    <row r="25" spans="1:63" s="46" customFormat="1" ht="15" customHeight="1" x14ac:dyDescent="0.25">
      <c r="A25" s="156" t="s">
        <v>5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8"/>
      <c r="M25" s="156" t="s">
        <v>6</v>
      </c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8"/>
      <c r="AU25" s="156" t="s">
        <v>7</v>
      </c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6" t="s">
        <v>8</v>
      </c>
      <c r="BG25" s="157"/>
      <c r="BH25" s="157"/>
      <c r="BI25" s="157"/>
      <c r="BJ25" s="157"/>
      <c r="BK25" s="158"/>
    </row>
    <row r="26" spans="1:63" s="46" customFormat="1" ht="15" customHeight="1" x14ac:dyDescent="0.25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1"/>
      <c r="M26" s="159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1"/>
      <c r="AU26" s="159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59"/>
      <c r="BG26" s="160"/>
      <c r="BH26" s="160"/>
      <c r="BI26" s="160"/>
      <c r="BJ26" s="160"/>
      <c r="BK26" s="161"/>
    </row>
    <row r="27" spans="1:63" s="46" customFormat="1" ht="1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62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7"/>
      <c r="AV27" s="8"/>
      <c r="AW27" s="8"/>
      <c r="AX27" s="8"/>
      <c r="AY27" s="8"/>
      <c r="AZ27" s="8"/>
      <c r="BA27" s="8"/>
      <c r="BB27" s="8"/>
      <c r="BC27" s="8"/>
      <c r="BD27" s="8"/>
      <c r="BE27" s="9"/>
      <c r="BF27" s="183" t="s">
        <v>66</v>
      </c>
      <c r="BG27" s="184"/>
      <c r="BH27" s="184"/>
      <c r="BI27" s="184"/>
      <c r="BJ27" s="184"/>
      <c r="BK27" s="184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62"/>
      <c r="N28" s="23" t="s">
        <v>67</v>
      </c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185"/>
      <c r="BG28" s="186"/>
      <c r="BH28" s="186"/>
      <c r="BI28" s="186"/>
      <c r="BJ28" s="186"/>
      <c r="BK28" s="186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62"/>
      <c r="N29" s="23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185"/>
      <c r="BG29" s="186"/>
      <c r="BH29" s="186"/>
      <c r="BI29" s="186"/>
      <c r="BJ29" s="186"/>
      <c r="BK29" s="186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67"/>
      <c r="N30" s="62"/>
      <c r="O30" s="23" t="s">
        <v>22</v>
      </c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185"/>
      <c r="BG30" s="186"/>
      <c r="BH30" s="186"/>
      <c r="BI30" s="186"/>
      <c r="BJ30" s="186"/>
      <c r="BK30" s="186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62"/>
      <c r="O31" s="68"/>
      <c r="P31" s="24" t="s">
        <v>13</v>
      </c>
      <c r="Q31" s="25"/>
      <c r="R31" s="25"/>
      <c r="S31" s="25"/>
      <c r="T31" s="25"/>
      <c r="U31" s="25"/>
      <c r="V31" s="25"/>
      <c r="W31" s="24" t="s">
        <v>14</v>
      </c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6"/>
      <c r="AN31" s="62"/>
      <c r="AO31" s="62"/>
      <c r="AP31" s="62"/>
      <c r="AQ31" s="62"/>
      <c r="AR31" s="62"/>
      <c r="AS31" s="62"/>
      <c r="AT31" s="62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185"/>
      <c r="BG31" s="186"/>
      <c r="BH31" s="186"/>
      <c r="BI31" s="186"/>
      <c r="BJ31" s="186"/>
      <c r="BK31" s="186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62"/>
      <c r="N32" s="68"/>
      <c r="O32" s="68"/>
      <c r="P32" s="75" t="s">
        <v>25</v>
      </c>
      <c r="Q32" s="76"/>
      <c r="R32" s="76"/>
      <c r="S32" s="76"/>
      <c r="T32" s="76"/>
      <c r="U32" s="76"/>
      <c r="V32" s="76"/>
      <c r="W32" s="189" t="s">
        <v>40</v>
      </c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1"/>
      <c r="AN32" s="62"/>
      <c r="AO32" s="62"/>
      <c r="AP32" s="62"/>
      <c r="AQ32" s="62"/>
      <c r="AR32" s="62"/>
      <c r="AS32" s="62"/>
      <c r="AT32" s="62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185"/>
      <c r="BG32" s="186"/>
      <c r="BH32" s="186"/>
      <c r="BI32" s="186"/>
      <c r="BJ32" s="186"/>
      <c r="BK32" s="186"/>
    </row>
    <row r="33" spans="1:63" s="46" customFormat="1" ht="35.2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62"/>
      <c r="N33" s="68"/>
      <c r="O33" s="68"/>
      <c r="P33" s="75" t="s">
        <v>15</v>
      </c>
      <c r="Q33" s="76"/>
      <c r="R33" s="76"/>
      <c r="S33" s="76"/>
      <c r="T33" s="76"/>
      <c r="U33" s="76"/>
      <c r="V33" s="76"/>
      <c r="W33" s="223" t="s">
        <v>76</v>
      </c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1"/>
      <c r="AN33" s="62"/>
      <c r="AO33" s="62"/>
      <c r="AP33" s="62"/>
      <c r="AQ33" s="62"/>
      <c r="AR33" s="62"/>
      <c r="AS33" s="62"/>
      <c r="AT33" s="62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185"/>
      <c r="BG33" s="186"/>
      <c r="BH33" s="186"/>
      <c r="BI33" s="186"/>
      <c r="BJ33" s="186"/>
      <c r="BK33" s="186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62"/>
      <c r="N34" s="68"/>
      <c r="O34" s="68"/>
      <c r="P34" s="68" t="s">
        <v>31</v>
      </c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185"/>
      <c r="BG34" s="186"/>
      <c r="BH34" s="186"/>
      <c r="BI34" s="186"/>
      <c r="BJ34" s="186"/>
      <c r="BK34" s="186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62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185"/>
      <c r="BG35" s="186"/>
      <c r="BH35" s="186"/>
      <c r="BI35" s="186"/>
      <c r="BJ35" s="186"/>
      <c r="BK35" s="186"/>
    </row>
    <row r="36" spans="1:63" s="46" customFormat="1" ht="1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62"/>
      <c r="N36" s="68"/>
      <c r="O36" s="23" t="s">
        <v>32</v>
      </c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185"/>
      <c r="BG36" s="186"/>
      <c r="BH36" s="186"/>
      <c r="BI36" s="186"/>
      <c r="BJ36" s="186"/>
      <c r="BK36" s="186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62"/>
      <c r="N37" s="68"/>
      <c r="O37" s="68"/>
      <c r="P37" s="68" t="s">
        <v>24</v>
      </c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185"/>
      <c r="BG37" s="186"/>
      <c r="BH37" s="186"/>
      <c r="BI37" s="186"/>
      <c r="BJ37" s="186"/>
      <c r="BK37" s="186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62"/>
      <c r="N38" s="68"/>
      <c r="O38" s="68"/>
      <c r="P38" s="68"/>
      <c r="Q38" s="68" t="s">
        <v>69</v>
      </c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185"/>
      <c r="BG38" s="186"/>
      <c r="BH38" s="186"/>
      <c r="BI38" s="186"/>
      <c r="BJ38" s="186"/>
      <c r="BK38" s="186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62"/>
      <c r="N39" s="68"/>
      <c r="O39" s="68"/>
      <c r="P39" s="68"/>
      <c r="Q39" s="68"/>
      <c r="R39" s="68" t="s">
        <v>70</v>
      </c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185"/>
      <c r="BG39" s="186"/>
      <c r="BH39" s="186"/>
      <c r="BI39" s="186"/>
      <c r="BJ39" s="186"/>
      <c r="BK39" s="186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62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185"/>
      <c r="BG40" s="186"/>
      <c r="BH40" s="186"/>
      <c r="BI40" s="186"/>
      <c r="BJ40" s="186"/>
      <c r="BK40" s="186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62"/>
      <c r="N41" s="68"/>
      <c r="O41" s="68"/>
      <c r="P41" s="68" t="s">
        <v>26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185"/>
      <c r="BG41" s="186"/>
      <c r="BH41" s="186"/>
      <c r="BI41" s="186"/>
      <c r="BJ41" s="186"/>
      <c r="BK41" s="186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62"/>
      <c r="N42" s="68"/>
      <c r="O42" s="68"/>
      <c r="P42" s="68"/>
      <c r="Q42" s="68" t="s">
        <v>27</v>
      </c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185"/>
      <c r="BG42" s="186"/>
      <c r="BH42" s="186"/>
      <c r="BI42" s="186"/>
      <c r="BJ42" s="186"/>
      <c r="BK42" s="186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62"/>
      <c r="N43" s="68"/>
      <c r="O43" s="68"/>
      <c r="P43" s="68" t="s">
        <v>30</v>
      </c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185"/>
      <c r="BG43" s="186"/>
      <c r="BH43" s="186"/>
      <c r="BI43" s="186"/>
      <c r="BJ43" s="186"/>
      <c r="BK43" s="186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62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185"/>
      <c r="BG44" s="186"/>
      <c r="BH44" s="186"/>
      <c r="BI44" s="186"/>
      <c r="BJ44" s="186"/>
      <c r="BK44" s="186"/>
    </row>
    <row r="45" spans="1:63" s="46" customFormat="1" ht="15" customHeight="1" x14ac:dyDescent="0.25">
      <c r="A45" s="10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1"/>
      <c r="M45" s="62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10"/>
      <c r="AV45" s="18"/>
      <c r="AW45" s="18"/>
      <c r="AX45" s="18"/>
      <c r="AY45" s="18"/>
      <c r="AZ45" s="18"/>
      <c r="BA45" s="18"/>
      <c r="BB45" s="18"/>
      <c r="BC45" s="18"/>
      <c r="BD45" s="18"/>
      <c r="BE45" s="11"/>
      <c r="BF45" s="185"/>
      <c r="BG45" s="186"/>
      <c r="BH45" s="186"/>
      <c r="BI45" s="186"/>
      <c r="BJ45" s="186"/>
      <c r="BK45" s="186"/>
    </row>
    <row r="46" spans="1:63" s="46" customFormat="1" ht="15" customHeight="1" x14ac:dyDescent="0.25">
      <c r="A46" s="10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1"/>
      <c r="M46" s="62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10"/>
      <c r="AV46" s="18"/>
      <c r="AW46" s="18"/>
      <c r="AX46" s="18"/>
      <c r="AY46" s="18"/>
      <c r="AZ46" s="18"/>
      <c r="BA46" s="18"/>
      <c r="BB46" s="18"/>
      <c r="BC46" s="18"/>
      <c r="BD46" s="18"/>
      <c r="BE46" s="11"/>
      <c r="BF46" s="185"/>
      <c r="BG46" s="186"/>
      <c r="BH46" s="186"/>
      <c r="BI46" s="186"/>
      <c r="BJ46" s="186"/>
      <c r="BK46" s="186"/>
    </row>
    <row r="47" spans="1:63" s="46" customFormat="1" ht="15" customHeight="1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/>
      <c r="M47" s="74"/>
      <c r="N47" s="74"/>
      <c r="O47" s="77"/>
      <c r="P47" s="77"/>
      <c r="Q47" s="77"/>
      <c r="R47" s="27"/>
      <c r="S47" s="27"/>
      <c r="T47" s="74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12"/>
      <c r="AV47" s="13"/>
      <c r="AW47" s="13"/>
      <c r="AX47" s="13"/>
      <c r="AY47" s="13"/>
      <c r="AZ47" s="13"/>
      <c r="BA47" s="13"/>
      <c r="BB47" s="13"/>
      <c r="BC47" s="13"/>
      <c r="BD47" s="13"/>
      <c r="BE47" s="14"/>
      <c r="BF47" s="187"/>
      <c r="BG47" s="188"/>
      <c r="BH47" s="188"/>
      <c r="BI47" s="188"/>
      <c r="BJ47" s="188"/>
      <c r="BK47" s="188"/>
    </row>
    <row r="48" spans="1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s="46" customFormat="1" ht="15" customHeight="1" x14ac:dyDescent="0.25">
      <c r="A52" s="171" t="s">
        <v>3</v>
      </c>
      <c r="B52" s="172"/>
      <c r="C52" s="172"/>
      <c r="D52" s="172"/>
      <c r="E52" s="172"/>
      <c r="F52" s="173"/>
      <c r="G52" s="167" t="s">
        <v>28</v>
      </c>
      <c r="H52" s="167"/>
      <c r="I52" s="167"/>
      <c r="J52" s="167"/>
      <c r="K52" s="167"/>
      <c r="L52" s="167"/>
      <c r="M52" s="56" t="s">
        <v>29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57"/>
      <c r="BI52" s="57"/>
      <c r="BJ52" s="57"/>
      <c r="BK52" s="58"/>
    </row>
    <row r="53" spans="1:63" s="46" customFormat="1" ht="15" customHeight="1" x14ac:dyDescent="0.25">
      <c r="A53" s="156" t="s">
        <v>5</v>
      </c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8"/>
      <c r="M53" s="156" t="s">
        <v>6</v>
      </c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8"/>
      <c r="AU53" s="156" t="s">
        <v>7</v>
      </c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6" t="s">
        <v>8</v>
      </c>
      <c r="BG53" s="157"/>
      <c r="BH53" s="157"/>
      <c r="BI53" s="157"/>
      <c r="BJ53" s="157"/>
      <c r="BK53" s="158"/>
    </row>
    <row r="54" spans="1:63" s="46" customFormat="1" ht="15" customHeight="1" x14ac:dyDescent="0.25">
      <c r="A54" s="159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1"/>
      <c r="M54" s="159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1"/>
      <c r="AU54" s="159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59"/>
      <c r="BG54" s="160"/>
      <c r="BH54" s="160"/>
      <c r="BI54" s="160"/>
      <c r="BJ54" s="160"/>
      <c r="BK54" s="161"/>
    </row>
    <row r="55" spans="1:63" s="46" customFormat="1" ht="1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  <c r="M55" s="62"/>
      <c r="N55" s="62"/>
      <c r="O55" s="62"/>
      <c r="P55" s="62"/>
      <c r="Q55" s="62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7"/>
      <c r="AV55" s="8"/>
      <c r="AW55" s="8"/>
      <c r="AX55" s="8"/>
      <c r="AY55" s="8"/>
      <c r="AZ55" s="8"/>
      <c r="BA55" s="8"/>
      <c r="BB55" s="8"/>
      <c r="BC55" s="8"/>
      <c r="BD55" s="8"/>
      <c r="BE55" s="9"/>
      <c r="BF55" s="192" t="s">
        <v>68</v>
      </c>
      <c r="BG55" s="193"/>
      <c r="BH55" s="193"/>
      <c r="BI55" s="193"/>
      <c r="BJ55" s="193"/>
      <c r="BK55" s="194"/>
    </row>
    <row r="56" spans="1:63" s="46" customFormat="1" ht="15" customHeight="1" x14ac:dyDescent="0.25">
      <c r="A56" s="10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1"/>
      <c r="M56" s="62"/>
      <c r="N56" s="23" t="s">
        <v>67</v>
      </c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10"/>
      <c r="AV56" s="18"/>
      <c r="AW56" s="18"/>
      <c r="AX56" s="18"/>
      <c r="AY56" s="18"/>
      <c r="AZ56" s="18"/>
      <c r="BA56" s="18"/>
      <c r="BB56" s="18"/>
      <c r="BC56" s="18"/>
      <c r="BD56" s="18"/>
      <c r="BE56" s="11"/>
      <c r="BF56" s="195"/>
      <c r="BG56" s="196"/>
      <c r="BH56" s="196"/>
      <c r="BI56" s="196"/>
      <c r="BJ56" s="196"/>
      <c r="BK56" s="197"/>
    </row>
    <row r="57" spans="1:63" s="46" customFormat="1" ht="15" customHeight="1" x14ac:dyDescent="0.25">
      <c r="A57" s="10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1"/>
      <c r="M57" s="62"/>
      <c r="N57" s="23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10"/>
      <c r="AV57" s="18"/>
      <c r="AW57" s="18"/>
      <c r="AX57" s="18"/>
      <c r="AY57" s="18"/>
      <c r="AZ57" s="18"/>
      <c r="BA57" s="18"/>
      <c r="BB57" s="18"/>
      <c r="BC57" s="18"/>
      <c r="BD57" s="18"/>
      <c r="BE57" s="11"/>
      <c r="BF57" s="195"/>
      <c r="BG57" s="196"/>
      <c r="BH57" s="196"/>
      <c r="BI57" s="196"/>
      <c r="BJ57" s="196"/>
      <c r="BK57" s="197"/>
    </row>
    <row r="58" spans="1:63" s="46" customFormat="1" ht="15" customHeight="1" x14ac:dyDescent="0.25">
      <c r="A58" s="10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1"/>
      <c r="M58" s="67"/>
      <c r="N58" s="62"/>
      <c r="O58" s="23" t="s">
        <v>35</v>
      </c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10"/>
      <c r="AV58" s="18"/>
      <c r="AW58" s="18"/>
      <c r="AX58" s="18"/>
      <c r="AY58" s="18"/>
      <c r="AZ58" s="18"/>
      <c r="BA58" s="18"/>
      <c r="BB58" s="18"/>
      <c r="BC58" s="18"/>
      <c r="BD58" s="18"/>
      <c r="BE58" s="11"/>
      <c r="BF58" s="195"/>
      <c r="BG58" s="196"/>
      <c r="BH58" s="196"/>
      <c r="BI58" s="196"/>
      <c r="BJ58" s="196"/>
      <c r="BK58" s="197"/>
    </row>
    <row r="59" spans="1:63" s="46" customFormat="1" ht="1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1"/>
      <c r="M59" s="62"/>
      <c r="O59" s="68"/>
      <c r="P59" s="24" t="s">
        <v>13</v>
      </c>
      <c r="Q59" s="25"/>
      <c r="R59" s="25"/>
      <c r="S59" s="25"/>
      <c r="T59" s="25"/>
      <c r="U59" s="25"/>
      <c r="V59" s="25"/>
      <c r="W59" s="24" t="s">
        <v>14</v>
      </c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6"/>
      <c r="AN59" s="62"/>
      <c r="AO59" s="62"/>
      <c r="AP59" s="62"/>
      <c r="AQ59" s="62"/>
      <c r="AR59" s="62"/>
      <c r="AS59" s="62"/>
      <c r="AT59" s="62"/>
      <c r="AU59" s="10"/>
      <c r="AV59" s="18"/>
      <c r="AW59" s="18"/>
      <c r="AX59" s="18"/>
      <c r="AY59" s="18"/>
      <c r="AZ59" s="18"/>
      <c r="BA59" s="18"/>
      <c r="BB59" s="18"/>
      <c r="BC59" s="18"/>
      <c r="BD59" s="18"/>
      <c r="BE59" s="11"/>
      <c r="BF59" s="195"/>
      <c r="BG59" s="196"/>
      <c r="BH59" s="196"/>
      <c r="BI59" s="196"/>
      <c r="BJ59" s="196"/>
      <c r="BK59" s="197"/>
    </row>
    <row r="60" spans="1:63" s="46" customFormat="1" ht="15" customHeight="1" x14ac:dyDescent="0.25">
      <c r="A60" s="10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1"/>
      <c r="M60" s="62"/>
      <c r="N60" s="68"/>
      <c r="O60" s="68"/>
      <c r="P60" s="75" t="s">
        <v>25</v>
      </c>
      <c r="Q60" s="76"/>
      <c r="R60" s="76"/>
      <c r="S60" s="76"/>
      <c r="T60" s="76"/>
      <c r="U60" s="76"/>
      <c r="V60" s="76"/>
      <c r="W60" s="189" t="s">
        <v>40</v>
      </c>
      <c r="X60" s="190"/>
      <c r="Y60" s="190"/>
      <c r="Z60" s="190"/>
      <c r="AA60" s="190"/>
      <c r="AB60" s="190"/>
      <c r="AC60" s="190"/>
      <c r="AD60" s="190"/>
      <c r="AE60" s="190"/>
      <c r="AF60" s="190"/>
      <c r="AG60" s="190"/>
      <c r="AH60" s="190"/>
      <c r="AI60" s="190"/>
      <c r="AJ60" s="190"/>
      <c r="AK60" s="190"/>
      <c r="AL60" s="190"/>
      <c r="AM60" s="191"/>
      <c r="AN60" s="62"/>
      <c r="AO60" s="62"/>
      <c r="AP60" s="62"/>
      <c r="AQ60" s="62"/>
      <c r="AR60" s="62"/>
      <c r="AS60" s="62"/>
      <c r="AT60" s="62"/>
      <c r="AU60" s="10"/>
      <c r="AV60" s="18"/>
      <c r="AW60" s="18"/>
      <c r="AX60" s="18"/>
      <c r="AY60" s="18"/>
      <c r="AZ60" s="18"/>
      <c r="BA60" s="18"/>
      <c r="BB60" s="18"/>
      <c r="BC60" s="18"/>
      <c r="BD60" s="18"/>
      <c r="BE60" s="11"/>
      <c r="BF60" s="195"/>
      <c r="BG60" s="196"/>
      <c r="BH60" s="196"/>
      <c r="BI60" s="196"/>
      <c r="BJ60" s="196"/>
      <c r="BK60" s="197"/>
    </row>
    <row r="61" spans="1:63" s="46" customFormat="1" ht="15" customHeight="1" x14ac:dyDescent="0.25">
      <c r="A61" s="10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1"/>
      <c r="M61" s="62"/>
      <c r="N61" s="68"/>
      <c r="O61" s="68"/>
      <c r="P61" s="75" t="s">
        <v>15</v>
      </c>
      <c r="Q61" s="76"/>
      <c r="R61" s="76"/>
      <c r="S61" s="76"/>
      <c r="T61" s="76"/>
      <c r="U61" s="76"/>
      <c r="V61" s="76"/>
      <c r="W61" s="189" t="s">
        <v>16</v>
      </c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0"/>
      <c r="AI61" s="190"/>
      <c r="AJ61" s="190"/>
      <c r="AK61" s="190"/>
      <c r="AL61" s="190"/>
      <c r="AM61" s="191"/>
      <c r="AN61" s="62"/>
      <c r="AO61" s="62"/>
      <c r="AP61" s="62"/>
      <c r="AQ61" s="62"/>
      <c r="AR61" s="62"/>
      <c r="AS61" s="62"/>
      <c r="AT61" s="62"/>
      <c r="AU61" s="10"/>
      <c r="AV61" s="18"/>
      <c r="AW61" s="18"/>
      <c r="AX61" s="18"/>
      <c r="AY61" s="18"/>
      <c r="AZ61" s="18"/>
      <c r="BA61" s="18"/>
      <c r="BB61" s="18"/>
      <c r="BC61" s="18"/>
      <c r="BD61" s="18"/>
      <c r="BE61" s="11"/>
      <c r="BF61" s="195"/>
      <c r="BG61" s="196"/>
      <c r="BH61" s="196"/>
      <c r="BI61" s="196"/>
      <c r="BJ61" s="196"/>
      <c r="BK61" s="197"/>
    </row>
    <row r="62" spans="1:63" s="46" customFormat="1" ht="15" customHeight="1" x14ac:dyDescent="0.25">
      <c r="A62" s="10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1"/>
      <c r="M62" s="62"/>
      <c r="N62" s="68"/>
      <c r="O62" s="68"/>
      <c r="P62" s="75" t="s">
        <v>33</v>
      </c>
      <c r="Q62" s="76"/>
      <c r="R62" s="76"/>
      <c r="S62" s="76"/>
      <c r="T62" s="76"/>
      <c r="U62" s="76"/>
      <c r="V62" s="76"/>
      <c r="W62" s="189" t="s">
        <v>34</v>
      </c>
      <c r="X62" s="190"/>
      <c r="Y62" s="190"/>
      <c r="Z62" s="190"/>
      <c r="AA62" s="190"/>
      <c r="AB62" s="190"/>
      <c r="AC62" s="190"/>
      <c r="AD62" s="190"/>
      <c r="AE62" s="190"/>
      <c r="AF62" s="190"/>
      <c r="AG62" s="190"/>
      <c r="AH62" s="190"/>
      <c r="AI62" s="190"/>
      <c r="AJ62" s="190"/>
      <c r="AK62" s="190"/>
      <c r="AL62" s="190"/>
      <c r="AM62" s="191"/>
      <c r="AN62" s="62"/>
      <c r="AO62" s="62"/>
      <c r="AP62" s="62"/>
      <c r="AQ62" s="62"/>
      <c r="AR62" s="62"/>
      <c r="AS62" s="62"/>
      <c r="AT62" s="62"/>
      <c r="AU62" s="10"/>
      <c r="AV62" s="18"/>
      <c r="AW62" s="18"/>
      <c r="AX62" s="18"/>
      <c r="AY62" s="18"/>
      <c r="AZ62" s="18"/>
      <c r="BA62" s="18"/>
      <c r="BB62" s="18"/>
      <c r="BC62" s="18"/>
      <c r="BD62" s="18"/>
      <c r="BE62" s="11"/>
      <c r="BF62" s="195"/>
      <c r="BG62" s="196"/>
      <c r="BH62" s="196"/>
      <c r="BI62" s="196"/>
      <c r="BJ62" s="196"/>
      <c r="BK62" s="197"/>
    </row>
    <row r="63" spans="1:63" s="46" customFormat="1" ht="15" customHeight="1" x14ac:dyDescent="0.25">
      <c r="A63" s="10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1"/>
      <c r="M63" s="62"/>
      <c r="N63" s="68"/>
      <c r="O63" s="68"/>
      <c r="P63" s="68" t="s">
        <v>37</v>
      </c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10"/>
      <c r="AV63" s="18"/>
      <c r="AW63" s="18"/>
      <c r="AX63" s="18"/>
      <c r="AY63" s="18"/>
      <c r="AZ63" s="18"/>
      <c r="BA63" s="18"/>
      <c r="BB63" s="18"/>
      <c r="BC63" s="18"/>
      <c r="BD63" s="18"/>
      <c r="BE63" s="11"/>
      <c r="BF63" s="195"/>
      <c r="BG63" s="196"/>
      <c r="BH63" s="196"/>
      <c r="BI63" s="196"/>
      <c r="BJ63" s="196"/>
      <c r="BK63" s="197"/>
    </row>
    <row r="64" spans="1:63" s="46" customFormat="1" ht="15" customHeight="1" x14ac:dyDescent="0.25">
      <c r="A64" s="10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1"/>
      <c r="M64" s="62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10"/>
      <c r="AV64" s="18"/>
      <c r="AW64" s="18"/>
      <c r="AX64" s="18"/>
      <c r="AY64" s="18"/>
      <c r="AZ64" s="18"/>
      <c r="BA64" s="18"/>
      <c r="BB64" s="18"/>
      <c r="BC64" s="18"/>
      <c r="BD64" s="18"/>
      <c r="BE64" s="11"/>
      <c r="BF64" s="195"/>
      <c r="BG64" s="196"/>
      <c r="BH64" s="196"/>
      <c r="BI64" s="196"/>
      <c r="BJ64" s="196"/>
      <c r="BK64" s="197"/>
    </row>
    <row r="65" spans="1:63" s="46" customFormat="1" ht="15" customHeight="1" x14ac:dyDescent="0.25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1"/>
      <c r="M65" s="62"/>
      <c r="N65" s="68"/>
      <c r="O65" s="23" t="s">
        <v>32</v>
      </c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10"/>
      <c r="AV65" s="18"/>
      <c r="AW65" s="18"/>
      <c r="AX65" s="18"/>
      <c r="AY65" s="18"/>
      <c r="AZ65" s="18"/>
      <c r="BA65" s="18"/>
      <c r="BB65" s="18"/>
      <c r="BC65" s="18"/>
      <c r="BD65" s="18"/>
      <c r="BE65" s="11"/>
      <c r="BF65" s="195"/>
      <c r="BG65" s="196"/>
      <c r="BH65" s="196"/>
      <c r="BI65" s="196"/>
      <c r="BJ65" s="196"/>
      <c r="BK65" s="197"/>
    </row>
    <row r="66" spans="1:63" s="46" customFormat="1" ht="15" customHeight="1" x14ac:dyDescent="0.25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1"/>
      <c r="M66" s="62"/>
      <c r="N66" s="68"/>
      <c r="O66" s="68"/>
      <c r="P66" s="68" t="s">
        <v>23</v>
      </c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10"/>
      <c r="AV66" s="18"/>
      <c r="AW66" s="18"/>
      <c r="AX66" s="18"/>
      <c r="AY66" s="18"/>
      <c r="AZ66" s="18"/>
      <c r="BA66" s="18"/>
      <c r="BB66" s="18"/>
      <c r="BC66" s="18"/>
      <c r="BD66" s="18"/>
      <c r="BE66" s="11"/>
      <c r="BF66" s="195"/>
      <c r="BG66" s="196"/>
      <c r="BH66" s="196"/>
      <c r="BI66" s="196"/>
      <c r="BJ66" s="196"/>
      <c r="BK66" s="197"/>
    </row>
    <row r="67" spans="1:63" s="46" customFormat="1" ht="15" customHeight="1" x14ac:dyDescent="0.25">
      <c r="A67" s="10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1"/>
      <c r="M67" s="62"/>
      <c r="N67" s="68"/>
      <c r="O67" s="68"/>
      <c r="P67" s="68"/>
      <c r="Q67" s="68" t="s">
        <v>36</v>
      </c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10"/>
      <c r="AV67" s="18"/>
      <c r="AW67" s="18"/>
      <c r="AX67" s="18"/>
      <c r="AY67" s="18"/>
      <c r="AZ67" s="18"/>
      <c r="BA67" s="18"/>
      <c r="BB67" s="18"/>
      <c r="BC67" s="18"/>
      <c r="BD67" s="18"/>
      <c r="BE67" s="11"/>
      <c r="BF67" s="195"/>
      <c r="BG67" s="196"/>
      <c r="BH67" s="196"/>
      <c r="BI67" s="196"/>
      <c r="BJ67" s="196"/>
      <c r="BK67" s="197"/>
    </row>
    <row r="68" spans="1:63" s="46" customFormat="1" ht="15" customHeight="1" x14ac:dyDescent="0.25">
      <c r="A68" s="10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1"/>
      <c r="M68" s="62"/>
      <c r="N68" s="68"/>
      <c r="O68" s="68"/>
      <c r="P68" s="68"/>
      <c r="Q68" s="68" t="s">
        <v>39</v>
      </c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10"/>
      <c r="AV68" s="18"/>
      <c r="AW68" s="18"/>
      <c r="AX68" s="18"/>
      <c r="AY68" s="18"/>
      <c r="AZ68" s="18"/>
      <c r="BA68" s="18"/>
      <c r="BB68" s="18"/>
      <c r="BC68" s="18"/>
      <c r="BD68" s="18"/>
      <c r="BE68" s="11"/>
      <c r="BF68" s="195"/>
      <c r="BG68" s="196"/>
      <c r="BH68" s="196"/>
      <c r="BI68" s="196"/>
      <c r="BJ68" s="196"/>
      <c r="BK68" s="197"/>
    </row>
    <row r="69" spans="1:63" s="46" customFormat="1" ht="15" customHeight="1" x14ac:dyDescent="0.25">
      <c r="A69" s="10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1"/>
      <c r="M69" s="62"/>
      <c r="N69" s="68"/>
      <c r="O69" s="68"/>
      <c r="P69" s="68"/>
      <c r="Q69" s="68" t="s">
        <v>38</v>
      </c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10"/>
      <c r="AV69" s="18"/>
      <c r="AW69" s="18"/>
      <c r="AX69" s="18"/>
      <c r="AY69" s="18"/>
      <c r="AZ69" s="18"/>
      <c r="BA69" s="18"/>
      <c r="BB69" s="18"/>
      <c r="BC69" s="18"/>
      <c r="BD69" s="18"/>
      <c r="BE69" s="11"/>
      <c r="BF69" s="195"/>
      <c r="BG69" s="196"/>
      <c r="BH69" s="196"/>
      <c r="BI69" s="196"/>
      <c r="BJ69" s="196"/>
      <c r="BK69" s="197"/>
    </row>
    <row r="70" spans="1:63" s="46" customFormat="1" ht="15" customHeight="1" x14ac:dyDescent="0.25">
      <c r="A70" s="10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1"/>
      <c r="M70" s="62"/>
      <c r="N70" s="68"/>
      <c r="O70" s="68"/>
      <c r="P70" s="68" t="s">
        <v>30</v>
      </c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10"/>
      <c r="AV70" s="18"/>
      <c r="AW70" s="18"/>
      <c r="AX70" s="18"/>
      <c r="AY70" s="18"/>
      <c r="AZ70" s="18"/>
      <c r="BA70" s="18"/>
      <c r="BB70" s="18"/>
      <c r="BC70" s="18"/>
      <c r="BD70" s="18"/>
      <c r="BE70" s="11"/>
      <c r="BF70" s="195"/>
      <c r="BG70" s="196"/>
      <c r="BH70" s="196"/>
      <c r="BI70" s="196"/>
      <c r="BJ70" s="196"/>
      <c r="BK70" s="197"/>
    </row>
    <row r="71" spans="1:63" s="46" customFormat="1" ht="15" customHeight="1" x14ac:dyDescent="0.25">
      <c r="A71" s="10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1"/>
      <c r="M71" s="62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10"/>
      <c r="AV71" s="18"/>
      <c r="AW71" s="18"/>
      <c r="AX71" s="18"/>
      <c r="AY71" s="18"/>
      <c r="AZ71" s="18"/>
      <c r="BA71" s="18"/>
      <c r="BB71" s="18"/>
      <c r="BC71" s="18"/>
      <c r="BD71" s="18"/>
      <c r="BE71" s="11"/>
      <c r="BF71" s="195"/>
      <c r="BG71" s="196"/>
      <c r="BH71" s="196"/>
      <c r="BI71" s="196"/>
      <c r="BJ71" s="196"/>
      <c r="BK71" s="197"/>
    </row>
    <row r="72" spans="1:63" s="46" customFormat="1" ht="15" customHeight="1" x14ac:dyDescent="0.25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4"/>
      <c r="M72" s="74"/>
      <c r="N72" s="74"/>
      <c r="O72" s="28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12"/>
      <c r="AV72" s="13"/>
      <c r="AW72" s="13"/>
      <c r="AX72" s="13"/>
      <c r="AY72" s="13"/>
      <c r="AZ72" s="13"/>
      <c r="BA72" s="13"/>
      <c r="BB72" s="13"/>
      <c r="BC72" s="13"/>
      <c r="BD72" s="13"/>
      <c r="BE72" s="14"/>
      <c r="BF72" s="198"/>
      <c r="BG72" s="199"/>
      <c r="BH72" s="199"/>
      <c r="BI72" s="199"/>
      <c r="BJ72" s="199"/>
      <c r="BK72" s="200"/>
    </row>
    <row r="73" spans="1:63" ht="15" customHeight="1" x14ac:dyDescent="0.25">
      <c r="BK73" s="5"/>
    </row>
    <row r="74" spans="1:63" ht="15" customHeight="1" x14ac:dyDescent="0.25">
      <c r="BK74" s="5"/>
    </row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50">
    <mergeCell ref="A52:F52"/>
    <mergeCell ref="G52:L52"/>
    <mergeCell ref="A53:L54"/>
    <mergeCell ref="M53:AT54"/>
    <mergeCell ref="AU53:BE54"/>
    <mergeCell ref="BF53:BK54"/>
    <mergeCell ref="BF27:BK47"/>
    <mergeCell ref="W61:AM61"/>
    <mergeCell ref="W62:AM62"/>
    <mergeCell ref="BF55:BK72"/>
    <mergeCell ref="W60:AM60"/>
    <mergeCell ref="W32:AM32"/>
    <mergeCell ref="W33:AM33"/>
    <mergeCell ref="BF14:BK19"/>
    <mergeCell ref="A24:F24"/>
    <mergeCell ref="G24:L24"/>
    <mergeCell ref="A25:L26"/>
    <mergeCell ref="M25:AT26"/>
    <mergeCell ref="AU25:BE26"/>
    <mergeCell ref="BF25:BK26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4" t="s">
        <v>44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45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81" t="str">
        <f>IF(表紙!AP2="","",表紙!AP2)</f>
        <v>SonMNT</v>
      </c>
      <c r="AQ2" s="82"/>
      <c r="AR2" s="82"/>
      <c r="AS2" s="83"/>
      <c r="AT2" s="109">
        <f>IF(表紙!AT2="","",表紙!AT2)</f>
        <v>45516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45615</v>
      </c>
      <c r="BD2" s="110"/>
      <c r="BE2" s="110"/>
      <c r="BF2" s="110"/>
      <c r="BG2" s="111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62" t="s">
        <v>62</v>
      </c>
      <c r="B4" s="145"/>
      <c r="C4" s="145"/>
      <c r="D4" s="145"/>
      <c r="E4" s="145"/>
      <c r="F4" s="145"/>
      <c r="G4" s="146"/>
      <c r="H4" s="163" t="str">
        <f>IF(表紙!H4="","",表紙!H4)</f>
        <v>33_釣銭機状況照会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  <c r="U4" s="144" t="s">
        <v>54</v>
      </c>
      <c r="V4" s="145"/>
      <c r="W4" s="145"/>
      <c r="X4" s="145"/>
      <c r="Y4" s="146"/>
      <c r="Z4" s="163" t="str">
        <f>IF(表紙!Z4="","",表紙!Z4)</f>
        <v>機能設計書</v>
      </c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5"/>
      <c r="AP4" s="166" t="str">
        <f ca="1">MID(CELL("filename",A1),FIND("]",CELL("filename",A1))+1,255)</f>
        <v>テンプレート</v>
      </c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9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78" t="s">
        <v>63</v>
      </c>
      <c r="B9" s="79"/>
      <c r="C9" s="79"/>
      <c r="D9" s="79"/>
      <c r="E9" s="167" t="s">
        <v>10</v>
      </c>
      <c r="F9" s="167"/>
      <c r="G9" s="167"/>
      <c r="H9" s="167"/>
      <c r="I9" s="167"/>
      <c r="J9" s="167"/>
      <c r="K9" s="167"/>
      <c r="L9" s="167"/>
      <c r="M9" s="167"/>
      <c r="N9" s="167"/>
      <c r="O9" s="78" t="s">
        <v>64</v>
      </c>
      <c r="P9" s="79"/>
      <c r="Q9" s="79"/>
      <c r="R9" s="79"/>
      <c r="S9" s="79"/>
      <c r="T9" s="80"/>
      <c r="U9" s="168" t="s">
        <v>11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71" t="s">
        <v>3</v>
      </c>
      <c r="B11" s="172"/>
      <c r="C11" s="172"/>
      <c r="D11" s="172"/>
      <c r="E11" s="172"/>
      <c r="F11" s="173"/>
      <c r="G11" s="167" t="s">
        <v>4</v>
      </c>
      <c r="H11" s="167"/>
      <c r="I11" s="167"/>
      <c r="J11" s="167"/>
      <c r="K11" s="167"/>
      <c r="L11" s="167"/>
      <c r="M11" s="5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7"/>
      <c r="BI11" s="57"/>
      <c r="BJ11" s="57"/>
      <c r="BK11" s="58"/>
    </row>
    <row r="12" spans="1:63" s="46" customFormat="1" ht="15" customHeight="1" x14ac:dyDescent="0.25">
      <c r="A12" s="156" t="s">
        <v>5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8"/>
      <c r="M12" s="156" t="s">
        <v>6</v>
      </c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8"/>
      <c r="AU12" s="156" t="s">
        <v>7</v>
      </c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6" t="s">
        <v>8</v>
      </c>
      <c r="BG12" s="157"/>
      <c r="BH12" s="157"/>
      <c r="BI12" s="157"/>
      <c r="BJ12" s="157"/>
      <c r="BK12" s="158"/>
    </row>
    <row r="13" spans="1:63" s="46" customFormat="1" ht="15" customHeight="1" x14ac:dyDescent="0.25">
      <c r="A13" s="159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1"/>
      <c r="M13" s="159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1"/>
      <c r="AU13" s="159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59"/>
      <c r="BG13" s="160"/>
      <c r="BH13" s="160"/>
      <c r="BI13" s="160"/>
      <c r="BJ13" s="160"/>
      <c r="BK13" s="161"/>
    </row>
    <row r="14" spans="1:63" s="46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62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201"/>
      <c r="BG14" s="202"/>
      <c r="BH14" s="202"/>
      <c r="BI14" s="202"/>
      <c r="BJ14" s="202"/>
      <c r="BK14" s="203"/>
    </row>
    <row r="15" spans="1:63" s="46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62"/>
      <c r="N15" s="68" t="s">
        <v>71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204"/>
      <c r="BG15" s="205"/>
      <c r="BH15" s="205"/>
      <c r="BI15" s="205"/>
      <c r="BJ15" s="205"/>
      <c r="BK15" s="206"/>
    </row>
    <row r="16" spans="1:63" s="46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67"/>
      <c r="N16" s="62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204"/>
      <c r="BG16" s="205"/>
      <c r="BH16" s="205"/>
      <c r="BI16" s="205"/>
      <c r="BJ16" s="205"/>
      <c r="BK16" s="206"/>
    </row>
    <row r="17" spans="1:63" s="46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62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204"/>
      <c r="BG17" s="205"/>
      <c r="BH17" s="205"/>
      <c r="BI17" s="205"/>
      <c r="BJ17" s="205"/>
      <c r="BK17" s="206"/>
    </row>
    <row r="18" spans="1:63" s="46" customFormat="1" ht="1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1"/>
      <c r="M18" s="62"/>
      <c r="N18" s="62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10"/>
      <c r="AV18" s="18"/>
      <c r="AW18" s="18"/>
      <c r="AX18" s="18"/>
      <c r="AY18" s="18"/>
      <c r="AZ18" s="18"/>
      <c r="BA18" s="18"/>
      <c r="BB18" s="18"/>
      <c r="BC18" s="18"/>
      <c r="BD18" s="18"/>
      <c r="BE18" s="11"/>
      <c r="BF18" s="204"/>
      <c r="BG18" s="205"/>
      <c r="BH18" s="205"/>
      <c r="BI18" s="205"/>
      <c r="BJ18" s="205"/>
      <c r="BK18" s="206"/>
    </row>
    <row r="19" spans="1:63" s="46" customFormat="1" ht="15" customHeight="1" x14ac:dyDescent="0.25">
      <c r="A19" s="1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1"/>
      <c r="M19" s="62"/>
      <c r="N19" s="62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10"/>
      <c r="AV19" s="18"/>
      <c r="AW19" s="18"/>
      <c r="AX19" s="18"/>
      <c r="AY19" s="18"/>
      <c r="AZ19" s="18"/>
      <c r="BA19" s="18"/>
      <c r="BB19" s="18"/>
      <c r="BC19" s="18"/>
      <c r="BD19" s="18"/>
      <c r="BE19" s="11"/>
      <c r="BF19" s="204"/>
      <c r="BG19" s="205"/>
      <c r="BH19" s="205"/>
      <c r="BI19" s="205"/>
      <c r="BJ19" s="205"/>
      <c r="BK19" s="206"/>
    </row>
    <row r="20" spans="1:63" s="46" customFormat="1" ht="15" customHeight="1" x14ac:dyDescent="0.25">
      <c r="A20" s="1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1"/>
      <c r="M20" s="62"/>
      <c r="N20" s="62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10"/>
      <c r="AV20" s="18"/>
      <c r="AW20" s="18"/>
      <c r="AX20" s="18"/>
      <c r="AY20" s="18"/>
      <c r="AZ20" s="18"/>
      <c r="BA20" s="18"/>
      <c r="BB20" s="18"/>
      <c r="BC20" s="18"/>
      <c r="BD20" s="18"/>
      <c r="BE20" s="11"/>
      <c r="BF20" s="204"/>
      <c r="BG20" s="205"/>
      <c r="BH20" s="205"/>
      <c r="BI20" s="205"/>
      <c r="BJ20" s="205"/>
      <c r="BK20" s="206"/>
    </row>
    <row r="21" spans="1:63" s="46" customFormat="1" ht="15" customHeight="1" x14ac:dyDescent="0.25">
      <c r="A21" s="1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1"/>
      <c r="M21" s="62"/>
      <c r="N21" s="62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10"/>
      <c r="AV21" s="18"/>
      <c r="AW21" s="18"/>
      <c r="AX21" s="18"/>
      <c r="AY21" s="18"/>
      <c r="AZ21" s="18"/>
      <c r="BA21" s="18"/>
      <c r="BB21" s="18"/>
      <c r="BC21" s="18"/>
      <c r="BD21" s="18"/>
      <c r="BE21" s="11"/>
      <c r="BF21" s="204"/>
      <c r="BG21" s="205"/>
      <c r="BH21" s="205"/>
      <c r="BI21" s="205"/>
      <c r="BJ21" s="205"/>
      <c r="BK21" s="206"/>
    </row>
    <row r="22" spans="1:63" s="46" customFormat="1" ht="15" customHeight="1" x14ac:dyDescent="0.25">
      <c r="A22" s="1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1"/>
      <c r="M22" s="62"/>
      <c r="N22" s="62"/>
      <c r="O22" s="68"/>
      <c r="P22" s="68"/>
      <c r="Q22" s="68"/>
      <c r="R22" s="19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10"/>
      <c r="AV22" s="18"/>
      <c r="AW22" s="18"/>
      <c r="AX22" s="18"/>
      <c r="AY22" s="18"/>
      <c r="AZ22" s="18"/>
      <c r="BA22" s="18"/>
      <c r="BB22" s="18"/>
      <c r="BC22" s="18"/>
      <c r="BD22" s="18"/>
      <c r="BE22" s="11"/>
      <c r="BF22" s="204"/>
      <c r="BG22" s="205"/>
      <c r="BH22" s="205"/>
      <c r="BI22" s="205"/>
      <c r="BJ22" s="205"/>
      <c r="BK22" s="206"/>
    </row>
    <row r="23" spans="1:63" s="46" customFormat="1" ht="15" customHeight="1" x14ac:dyDescent="0.25">
      <c r="A23" s="1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1"/>
      <c r="M23" s="62"/>
      <c r="N23" s="62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10"/>
      <c r="AV23" s="18"/>
      <c r="AW23" s="18"/>
      <c r="AX23" s="18"/>
      <c r="AY23" s="18"/>
      <c r="AZ23" s="18"/>
      <c r="BA23" s="18"/>
      <c r="BB23" s="18"/>
      <c r="BC23" s="18"/>
      <c r="BD23" s="18"/>
      <c r="BE23" s="11"/>
      <c r="BF23" s="204"/>
      <c r="BG23" s="205"/>
      <c r="BH23" s="205"/>
      <c r="BI23" s="205"/>
      <c r="BJ23" s="205"/>
      <c r="BK23" s="206"/>
    </row>
    <row r="24" spans="1:63" s="46" customFormat="1" ht="15" customHeight="1" x14ac:dyDescent="0.25">
      <c r="A24" s="1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1"/>
      <c r="M24" s="62"/>
      <c r="N24" s="62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10"/>
      <c r="AV24" s="18"/>
      <c r="AW24" s="18"/>
      <c r="AX24" s="18"/>
      <c r="AY24" s="18"/>
      <c r="AZ24" s="18"/>
      <c r="BA24" s="18"/>
      <c r="BB24" s="18"/>
      <c r="BC24" s="18"/>
      <c r="BD24" s="18"/>
      <c r="BE24" s="11"/>
      <c r="BF24" s="204"/>
      <c r="BG24" s="205"/>
      <c r="BH24" s="205"/>
      <c r="BI24" s="205"/>
      <c r="BJ24" s="205"/>
      <c r="BK24" s="206"/>
    </row>
    <row r="25" spans="1:63" s="46" customFormat="1" ht="15" customHeight="1" x14ac:dyDescent="0.25">
      <c r="A25" s="1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1"/>
      <c r="M25" s="62"/>
      <c r="N25" s="62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10"/>
      <c r="AV25" s="18"/>
      <c r="AW25" s="18"/>
      <c r="AX25" s="18"/>
      <c r="AY25" s="18"/>
      <c r="AZ25" s="18"/>
      <c r="BA25" s="18"/>
      <c r="BB25" s="18"/>
      <c r="BC25" s="18"/>
      <c r="BD25" s="18"/>
      <c r="BE25" s="11"/>
      <c r="BF25" s="204"/>
      <c r="BG25" s="205"/>
      <c r="BH25" s="205"/>
      <c r="BI25" s="205"/>
      <c r="BJ25" s="205"/>
      <c r="BK25" s="206"/>
    </row>
    <row r="26" spans="1:63" s="46" customFormat="1" ht="1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1"/>
      <c r="M26" s="62"/>
      <c r="N26" s="62" t="s">
        <v>72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10"/>
      <c r="AV26" s="18"/>
      <c r="AW26" s="18"/>
      <c r="AX26" s="18"/>
      <c r="AY26" s="18"/>
      <c r="AZ26" s="18"/>
      <c r="BA26" s="18"/>
      <c r="BB26" s="18"/>
      <c r="BC26" s="18"/>
      <c r="BD26" s="18"/>
      <c r="BE26" s="11"/>
      <c r="BF26" s="204"/>
      <c r="BG26" s="205"/>
      <c r="BH26" s="205"/>
      <c r="BI26" s="205"/>
      <c r="BJ26" s="205"/>
      <c r="BK26" s="206"/>
    </row>
    <row r="27" spans="1:63" s="46" customFormat="1" ht="1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1"/>
      <c r="M27" s="62"/>
      <c r="N27" s="62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10"/>
      <c r="AV27" s="18"/>
      <c r="AW27" s="18"/>
      <c r="AX27" s="18"/>
      <c r="AY27" s="18"/>
      <c r="AZ27" s="18"/>
      <c r="BA27" s="18"/>
      <c r="BB27" s="18"/>
      <c r="BC27" s="18"/>
      <c r="BD27" s="18"/>
      <c r="BE27" s="11"/>
      <c r="BF27" s="204"/>
      <c r="BG27" s="205"/>
      <c r="BH27" s="205"/>
      <c r="BI27" s="205"/>
      <c r="BJ27" s="205"/>
      <c r="BK27" s="206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62"/>
      <c r="N28" s="62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204"/>
      <c r="BG28" s="205"/>
      <c r="BH28" s="205"/>
      <c r="BI28" s="205"/>
      <c r="BJ28" s="205"/>
      <c r="BK28" s="206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62"/>
      <c r="N29" s="62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204"/>
      <c r="BG29" s="205"/>
      <c r="BH29" s="205"/>
      <c r="BI29" s="205"/>
      <c r="BJ29" s="205"/>
      <c r="BK29" s="206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62"/>
      <c r="N30" s="62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204"/>
      <c r="BG30" s="205"/>
      <c r="BH30" s="205"/>
      <c r="BI30" s="205"/>
      <c r="BJ30" s="205"/>
      <c r="BK30" s="206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62"/>
      <c r="N31" s="62"/>
      <c r="O31" s="68"/>
      <c r="P31" s="68"/>
      <c r="Q31" s="68"/>
      <c r="R31" s="20"/>
      <c r="S31" s="20"/>
      <c r="T31" s="62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204"/>
      <c r="BG31" s="205"/>
      <c r="BH31" s="205"/>
      <c r="BI31" s="205"/>
      <c r="BJ31" s="205"/>
      <c r="BK31" s="206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62"/>
      <c r="N32" s="62"/>
      <c r="O32" s="68"/>
      <c r="P32" s="68"/>
      <c r="Q32" s="68"/>
      <c r="R32" s="20"/>
      <c r="S32" s="20"/>
      <c r="T32" s="62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204"/>
      <c r="BG32" s="205"/>
      <c r="BH32" s="205"/>
      <c r="BI32" s="205"/>
      <c r="BJ32" s="205"/>
      <c r="BK32" s="206"/>
    </row>
    <row r="33" spans="1:63" s="46" customFormat="1" ht="1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62"/>
      <c r="N33" s="62"/>
      <c r="O33" s="68"/>
      <c r="P33" s="68"/>
      <c r="Q33" s="68"/>
      <c r="R33" s="62"/>
      <c r="S33" s="20"/>
      <c r="T33" s="62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204"/>
      <c r="BG33" s="205"/>
      <c r="BH33" s="205"/>
      <c r="BI33" s="205"/>
      <c r="BJ33" s="205"/>
      <c r="BK33" s="206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62"/>
      <c r="N34" s="62"/>
      <c r="O34" s="68"/>
      <c r="P34" s="68"/>
      <c r="Q34" s="68"/>
      <c r="R34" s="62"/>
      <c r="S34" s="20"/>
      <c r="T34" s="62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204"/>
      <c r="BG34" s="205"/>
      <c r="BH34" s="205"/>
      <c r="BI34" s="205"/>
      <c r="BJ34" s="205"/>
      <c r="BK34" s="206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62"/>
      <c r="N35" s="62"/>
      <c r="O35" s="68"/>
      <c r="P35" s="68"/>
      <c r="Q35" s="68"/>
      <c r="R35" s="62"/>
      <c r="S35" s="20"/>
      <c r="T35" s="62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204"/>
      <c r="BG35" s="205"/>
      <c r="BH35" s="205"/>
      <c r="BI35" s="205"/>
      <c r="BJ35" s="205"/>
      <c r="BK35" s="206"/>
    </row>
    <row r="36" spans="1:63" s="46" customFormat="1" ht="1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62"/>
      <c r="N36" s="62"/>
      <c r="O36" s="68"/>
      <c r="P36" s="68"/>
      <c r="R36" s="20"/>
      <c r="S36" s="20"/>
      <c r="T36" s="62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204"/>
      <c r="BG36" s="205"/>
      <c r="BH36" s="205"/>
      <c r="BI36" s="205"/>
      <c r="BJ36" s="205"/>
      <c r="BK36" s="206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62"/>
      <c r="N37" s="62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204"/>
      <c r="BG37" s="205"/>
      <c r="BH37" s="205"/>
      <c r="BI37" s="205"/>
      <c r="BJ37" s="205"/>
      <c r="BK37" s="206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62"/>
      <c r="N38" s="62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204"/>
      <c r="BG38" s="205"/>
      <c r="BH38" s="205"/>
      <c r="BI38" s="205"/>
      <c r="BJ38" s="205"/>
      <c r="BK38" s="206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62"/>
      <c r="N39" s="62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204"/>
      <c r="BG39" s="205"/>
      <c r="BH39" s="205"/>
      <c r="BI39" s="205"/>
      <c r="BJ39" s="205"/>
      <c r="BK39" s="206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62"/>
      <c r="N40" s="62"/>
      <c r="O40" s="68"/>
      <c r="P40" s="68"/>
      <c r="Q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204"/>
      <c r="BG40" s="205"/>
      <c r="BH40" s="205"/>
      <c r="BI40" s="205"/>
      <c r="BJ40" s="205"/>
      <c r="BK40" s="206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62"/>
      <c r="N41" s="62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204"/>
      <c r="BG41" s="205"/>
      <c r="BH41" s="205"/>
      <c r="BI41" s="205"/>
      <c r="BJ41" s="205"/>
      <c r="BK41" s="206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62"/>
      <c r="N42" s="62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204"/>
      <c r="BG42" s="205"/>
      <c r="BH42" s="205"/>
      <c r="BI42" s="205"/>
      <c r="BJ42" s="205"/>
      <c r="BK42" s="206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62"/>
      <c r="N43" s="62"/>
      <c r="O43" s="68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204"/>
      <c r="BG43" s="205"/>
      <c r="BH43" s="205"/>
      <c r="BI43" s="205"/>
      <c r="BJ43" s="205"/>
      <c r="BK43" s="206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204"/>
      <c r="BG44" s="205"/>
      <c r="BH44" s="205"/>
      <c r="BI44" s="205"/>
      <c r="BJ44" s="205"/>
      <c r="BK44" s="206"/>
    </row>
    <row r="45" spans="1:63" s="46" customFormat="1" ht="15" customHeight="1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  <c r="M45" s="72"/>
      <c r="N45" s="73"/>
      <c r="O45" s="73"/>
      <c r="P45" s="73"/>
      <c r="Q45" s="73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74"/>
      <c r="AQ45" s="74"/>
      <c r="AR45" s="74"/>
      <c r="AS45" s="74"/>
      <c r="AT45" s="74"/>
      <c r="AU45" s="12"/>
      <c r="AV45" s="13"/>
      <c r="AW45" s="13"/>
      <c r="AX45" s="13"/>
      <c r="AY45" s="13"/>
      <c r="AZ45" s="13"/>
      <c r="BA45" s="13"/>
      <c r="BB45" s="13"/>
      <c r="BC45" s="13"/>
      <c r="BD45" s="13"/>
      <c r="BE45" s="14"/>
      <c r="BF45" s="207"/>
      <c r="BG45" s="208"/>
      <c r="BH45" s="208"/>
      <c r="BI45" s="208"/>
      <c r="BJ45" s="208"/>
      <c r="BK45" s="209"/>
    </row>
    <row r="46" spans="1:63" ht="15" customHeight="1" x14ac:dyDescent="0.25">
      <c r="A46" s="15"/>
      <c r="BK46" s="5"/>
    </row>
    <row r="47" spans="1:63" ht="15" customHeight="1" x14ac:dyDescent="0.25">
      <c r="A47" s="22"/>
      <c r="BK47" s="5"/>
    </row>
    <row r="48" spans="1:63" ht="15" customHeight="1" x14ac:dyDescent="0.25">
      <c r="A48" s="22"/>
      <c r="BK48" s="5"/>
    </row>
    <row r="49" spans="1:63" ht="15" customHeight="1" x14ac:dyDescent="0.25">
      <c r="A49" s="22"/>
      <c r="BK49" s="5"/>
    </row>
    <row r="50" spans="1:63" ht="15" customHeight="1" x14ac:dyDescent="0.25">
      <c r="A50" s="22"/>
      <c r="BK50" s="5"/>
    </row>
    <row r="51" spans="1:63" ht="15" customHeight="1" x14ac:dyDescent="0.25">
      <c r="A51" s="22"/>
      <c r="BK51" s="5"/>
    </row>
    <row r="52" spans="1:63" ht="15" customHeight="1" x14ac:dyDescent="0.25">
      <c r="A52" s="22"/>
      <c r="BK52" s="5"/>
    </row>
    <row r="53" spans="1:63" ht="15" customHeight="1" x14ac:dyDescent="0.25">
      <c r="A53" s="22"/>
      <c r="BK53" s="5"/>
    </row>
    <row r="54" spans="1:63" ht="1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</mergeCells>
  <dataValidations count="2">
    <dataValidation type="list" allowBlank="1" showInputMessage="1" showErrorMessage="1" sqref="O10" xr:uid="{00000000-0002-0000-03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3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2E1DE8-AC83-43A3-B2B9-1ADC3F0D731C}"/>
</file>

<file path=customXml/itemProps2.xml><?xml version="1.0" encoding="utf-8"?>
<ds:datastoreItem xmlns:ds="http://schemas.openxmlformats.org/officeDocument/2006/customXml" ds:itemID="{23F1B3A9-FB6C-41D2-83BD-F66FE356366F}"/>
</file>

<file path=customXml/itemProps3.xml><?xml version="1.0" encoding="utf-8"?>
<ds:datastoreItem xmlns:ds="http://schemas.openxmlformats.org/officeDocument/2006/customXml" ds:itemID="{EE811A14-F2E3-478E-AEDE-B77992E86E3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SC3301</vt:lpstr>
      <vt:lpstr>テンプレート</vt:lpstr>
      <vt:lpstr>'SC3301'!Print_Area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2024-12-10T09:43:12Z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