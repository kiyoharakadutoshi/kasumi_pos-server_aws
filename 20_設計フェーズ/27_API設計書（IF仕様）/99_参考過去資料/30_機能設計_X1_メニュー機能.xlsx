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E717278-B00F-4B3B-BDF5-D8BA286FC11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X101" sheetId="11" r:id="rId3"/>
  </sheets>
  <definedNames>
    <definedName name="_xlnm.Print_Area" localSheetId="2">'SCX101'!$A$1:$BK$63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/>
  <c r="Z4" i="11"/>
  <c r="H4" i="11"/>
  <c r="BH2" i="11"/>
  <c r="BC2" i="11"/>
  <c r="AY2" i="11"/>
  <c r="AT2" i="11"/>
  <c r="AP2" i="11"/>
  <c r="K2" i="11"/>
  <c r="A2" i="11"/>
  <c r="W1" i="11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<sst xmlns="http://schemas.openxmlformats.org/spreadsheetml/2006/main" count="104" uniqueCount="55">
  <si>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</si>
  <si>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</si>
  <si>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</si>
  <si>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</si>
  <si>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</si>
  <si>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</si>
  <si>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</si>
  <si>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</si>
  <si>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</si>
  <si>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SC4001</t>
    </r>
  </si>
  <si>
    <r>
      <rPr>
        <sz val="9"/>
        <color rgb="FF000000"/>
        <rFont val="Meiryo UI"/>
        <family val="2"/>
      </rPr>
      <t>画面初期化</t>
    </r>
  </si>
  <si>
    <r>
      <rPr>
        <sz val="11"/>
        <color rgb="FF000000"/>
        <rFont val="Meiryo UI"/>
        <family val="2"/>
      </rPr>
      <t>SC4001_02</t>
    </r>
  </si>
  <si>
    <r>
      <rPr>
        <sz val="11"/>
        <color rgb="FF000000"/>
        <rFont val="Meiryo UI"/>
        <family val="2"/>
      </rPr>
      <t>SC4001_05</t>
    </r>
  </si>
  <si>
    <r>
      <rPr>
        <sz val="11"/>
        <color rgb="FF000000"/>
        <rFont val="Meiryo UI"/>
        <family val="2"/>
      </rPr>
      <t>X1_メニュー機能</t>
    </r>
  </si>
  <si>
    <r>
      <rPr>
        <sz val="11"/>
        <color rgb="FF000000"/>
        <rFont val="Meiryo UI"/>
        <family val="2"/>
      </rPr>
      <t>「20_画面設計_X1_メニュー機能.xlsx」をご参照ください。</t>
    </r>
  </si>
  <si>
    <r>
      <rPr>
        <sz val="10"/>
        <color rgb="FF000000"/>
        <rFont val="Meiryo UI"/>
        <family val="2"/>
      </rPr>
      <t>▪ 20_画面設計_X1_メニュー機能.xlsx</t>
    </r>
  </si>
  <si>
    <r>
      <rPr>
        <sz val="11"/>
        <color rgb="FF000000"/>
        <rFont val="Meiryo UI"/>
        <family val="2"/>
      </rPr>
      <t>SCX01_01</t>
    </r>
  </si>
  <si>
    <r>
      <rPr>
        <sz val="11"/>
        <color rgb="FF000000"/>
        <rFont val="Meiryo UI"/>
        <family val="2"/>
      </rPr>
      <t>SCX001-03</t>
    </r>
  </si>
  <si>
    <r>
      <rPr>
        <sz val="9"/>
        <color rgb="FF000000"/>
        <rFont val="Meiryo UI"/>
        <family val="2"/>
      </rPr>
      <t>対象画面に遷移する。</t>
    </r>
  </si>
  <si>
    <r>
      <rPr>
        <sz val="11"/>
        <color rgb="FF000000"/>
        <rFont val="Meiryo UI"/>
        <family val="2"/>
      </rPr>
      <t>・各メニュー項目をクリックすると、対応する対象画面に移動する。</t>
    </r>
  </si>
  <si>
    <r>
      <rPr>
        <sz val="11"/>
        <color rgb="FF000000"/>
        <rFont val="Meiryo UI"/>
        <family val="2"/>
      </rPr>
      <t>・次ページに遷移する。</t>
    </r>
  </si>
  <si>
    <r>
      <rPr>
        <sz val="11"/>
        <color rgb="FF000000"/>
        <rFont val="Meiryo UI"/>
        <family val="2"/>
      </rPr>
      <t>・前のページに遷移する。</t>
    </r>
  </si>
  <si>
    <r>
      <rPr>
        <sz val="11"/>
        <color rgb="FF000000"/>
        <rFont val="Meiryo UI"/>
        <family val="2"/>
      </rPr>
      <t>・ログイン画面に遷移し、事前に生成されたトーケンを削除する。</t>
    </r>
  </si>
  <si>
    <t>-</t>
  </si>
  <si>
    <r>
      <rPr>
        <sz val="9"/>
        <color rgb="FF000000"/>
        <rFont val="Meiryo UI"/>
        <family val="2"/>
      </rPr>
      <t>ログアウト</t>
    </r>
  </si>
  <si>
    <r>
      <rPr>
        <sz val="9"/>
        <color rgb="FF000000"/>
        <rFont val="Meiryo UI"/>
        <family val="2"/>
      </rPr>
      <t>タッチすると、次のページに遷移する。</t>
    </r>
  </si>
  <si>
    <r>
      <rPr>
        <sz val="9"/>
        <color rgb="FF000000"/>
        <rFont val="Meiryo UI"/>
        <family val="2"/>
      </rPr>
      <t>前のページに遷移する。</t>
    </r>
  </si>
  <si>
    <r>
      <rPr>
        <sz val="11"/>
        <color rgb="FF000000"/>
        <rFont val="Meiryo UI"/>
        <family val="2"/>
      </rPr>
      <t>SC4001_03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</si>
  <si>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</si>
  <si>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</si>
  <si>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</si>
  <si>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</si>
  <si>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</si>
  <si>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</si>
  <si>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</si>
  <si>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</si>
  <si>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</si>
  <si>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</si>
  <si>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</si>
  <si>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</si>
  <si>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</si>
  <si>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</si>
  <si>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</si>
  <si>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</si>
  <si>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</si>
  <si>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AnhDD</t>
  </si>
  <si>
    <t>SCX001-03、04、05アクションの入力</t>
  </si>
  <si>
    <t>新しいインターフェースに従ってアクションを更新する。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</si>
  <si>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</si>
  <si>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</si>
  <si>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</si>
  <si>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従業員一覧画面 </t>
    </r>
  </si>
  <si>
    <r>
      <rPr>
        <b/>
        <sz val="11"/>
        <color rgb="FF000000"/>
        <rFont val="Meiryo UI"/>
        <family val="2"/>
      </rPr>
      <t>1. 画面項目の初期化を実行する。</t>
    </r>
  </si>
  <si>
    <t>・現在のページの画面のみに遷移する。</t>
  </si>
  <si>
    <t>・「20_画面設計_X1_メニュー機能.xlsx」をご参照ください。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</si>
</sst>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sz val="9"/>
      <color rgb="FF00000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rgb="FF00B050"/>
      <name val="Meiryo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1" fillId="0" borderId="0">
      <alignment vertical="center"/>
    </xf>
    <xf numFmtId="0" fontId="2" fillId="0" borderId="0">
      <alignment vertical="center"/>
    </xf>
  </cellStyleXfs>
  <cellXfs count="17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7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49" fontId="6" fillId="2" borderId="17" xfId="8" quotePrefix="1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4" fillId="0" borderId="21" xfId="6" applyFont="1" applyBorder="1" applyAlignment="1">
      <alignment horizontal="center" vertical="center"/>
    </xf>
    <xf numFmtId="49" fontId="6" fillId="2" borderId="17" xfId="8" applyNumberFormat="1" applyFont="1" applyFill="1" applyBorder="1" applyAlignment="1">
      <alignment horizontal="left" vertical="top" wrapText="1"/>
    </xf>
    <xf numFmtId="0" fontId="12" fillId="3" borderId="21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0" xfId="0" applyFont="1"/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14" fontId="16" fillId="0" borderId="19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2" fillId="3" borderId="0" xfId="0" applyFont="1" applyFill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17" xfId="0" applyFon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19" fillId="0" borderId="17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17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2" fillId="3" borderId="21" xfId="6" applyFont="1" applyFill="1" applyBorder="1" applyAlignment="1">
      <alignment horizontal="center" vertical="center"/>
    </xf>
    <xf numFmtId="0" fontId="12" fillId="3" borderId="16" xfId="6" applyFont="1" applyFill="1" applyBorder="1" applyAlignment="1">
      <alignment horizontal="center" vertical="center"/>
    </xf>
    <xf numFmtId="0" fontId="12" fillId="3" borderId="20" xfId="6" applyFont="1" applyFill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9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3" fillId="3" borderId="21" xfId="6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8" xfId="0" applyFont="1" applyBorder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16" fillId="0" borderId="16" xfId="0" applyFont="1" applyBorder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16" fillId="4" borderId="21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left" vertical="top" wrapText="1" shrinkToFit="1"/>
    </xf>
    <xf numFmtId="0" fontId="16" fillId="2" borderId="20" xfId="0" applyFont="1" applyFill="1" applyBorder="1" applyAlignment="1">
      <alignment horizontal="left" vertical="top" wrapText="1" shrinkToFi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6" fillId="2" borderId="18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6" fillId="2" borderId="0" xfId="0" quotePrefix="1" applyFont="1" applyFill="1" applyAlignment="1">
      <alignment vertical="center"/>
    </xf>
    <xf numFmtId="0" fontId="16" fillId="2" borderId="2" xfId="0" applyFont="1" applyFill="1" applyBorder="1" applyAlignment="1">
      <alignment vertical="center"/>
    </xf>
    <xf numFmtId="49" fontId="16" fillId="2" borderId="3" xfId="8" applyNumberFormat="1" applyFont="1" applyFill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0" fontId="19" fillId="2" borderId="0" xfId="0" quotePrefix="1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SCX01_メニュー画面</a:t>
            </a: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12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21" name="フローチャート: 代替処理 27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61925" y="4886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ログアウト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22" name="直線矢印コネクタ 4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21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25</xdr:row>
      <xdr:rowOff>0</xdr:rowOff>
    </xdr:from>
    <xdr:to>
      <xdr:col>55</xdr:col>
      <xdr:colOff>143885</xdr:colOff>
      <xdr:row>28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>
          <a:grpSpLocks/>
        </xdr:cNvGrpSpPr>
      </xdr:nvGrpSpPr>
      <xdr:grpSpPr>
        <a:xfrm>
          <a:off x="10262795" y="4874559"/>
          <a:ext cx="2823884" cy="571500"/>
          <a:chOff x="8357211" y="12314519"/>
          <a:chExt cx="2803762" cy="2324291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SCX001_ログイン画面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CxnSpPr>
            <a:endCxn id="2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46</xdr:row>
      <xdr:rowOff>0</xdr:rowOff>
    </xdr:from>
    <xdr:to>
      <xdr:col>10</xdr:col>
      <xdr:colOff>0</xdr:colOff>
      <xdr:row>50</xdr:row>
      <xdr:rowOff>129706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61925" y="8877300"/>
          <a:ext cx="2505075" cy="8953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メニューアイテム</a:t>
          </a:r>
          <a:r>
            <a:rPr lang="en-US" altLang="ja-JP" sz="1100" b="0" i="0" u="none" baseline="0">
              <a:solidFill>
                <a:srgbClr val="FF0000"/>
              </a:solidFill>
              <a:latin typeface="Meiryo UI"/>
              <a:ea typeface="Meiryo UI"/>
            </a:rPr>
            <a:t> </a:t>
          </a: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/ SCX101_メニュー画面の[番号入力]に値を入力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48</xdr:row>
      <xdr:rowOff>64853</xdr:rowOff>
    </xdr:from>
    <xdr:to>
      <xdr:col>13</xdr:col>
      <xdr:colOff>0</xdr:colOff>
      <xdr:row>48</xdr:row>
      <xdr:rowOff>64853</xdr:rowOff>
    </xdr:to>
    <xdr:cxnSp macro="">
      <xdr:nvCxnSpPr>
        <xdr:cNvPr id="33" name="直線矢印コネクタ 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2" idx="3"/>
        </xdr:cNvCxnSpPr>
      </xdr:nvCxnSpPr>
      <xdr:spPr>
        <a:xfrm>
          <a:off x="2667000" y="93249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123263</xdr:colOff>
      <xdr:row>46</xdr:row>
      <xdr:rowOff>168088</xdr:rowOff>
    </xdr:from>
    <xdr:to>
      <xdr:col>55</xdr:col>
      <xdr:colOff>123265</xdr:colOff>
      <xdr:row>50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>
          <a:grpSpLocks/>
        </xdr:cNvGrpSpPr>
      </xdr:nvGrpSpPr>
      <xdr:grpSpPr>
        <a:xfrm>
          <a:off x="10242175" y="9043147"/>
          <a:ext cx="2823884" cy="593912"/>
          <a:chOff x="8357211" y="12314519"/>
          <a:chExt cx="2803762" cy="2324291"/>
        </a:xfrm>
      </xdr:grpSpPr>
      <xdr:sp macro="" textlink="" fLocksText="0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SCXX01_対応対象画面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6" name="直線矢印コネクタ 4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>
            <a:endCxn id="3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57</xdr:row>
      <xdr:rowOff>123265</xdr:rowOff>
    </xdr:from>
    <xdr:to>
      <xdr:col>10</xdr:col>
      <xdr:colOff>0</xdr:colOff>
      <xdr:row>61</xdr:row>
      <xdr:rowOff>118501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61925" y="1109662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F2キー押下・[次ページ]ボタンタッチ</a:t>
          </a:r>
        </a:p>
      </xdr:txBody>
    </xdr:sp>
    <xdr:clientData/>
  </xdr:twoCellAnchor>
  <xdr:twoCellAnchor>
    <xdr:from>
      <xdr:col>10</xdr:col>
      <xdr:colOff>0</xdr:colOff>
      <xdr:row>59</xdr:row>
      <xdr:rowOff>120883</xdr:rowOff>
    </xdr:from>
    <xdr:to>
      <xdr:col>13</xdr:col>
      <xdr:colOff>0</xdr:colOff>
      <xdr:row>59</xdr:row>
      <xdr:rowOff>120883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43" idx="3"/>
        </xdr:cNvCxnSpPr>
      </xdr:nvCxnSpPr>
      <xdr:spPr>
        <a:xfrm>
          <a:off x="2667000" y="1147762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134470</xdr:colOff>
      <xdr:row>57</xdr:row>
      <xdr:rowOff>168088</xdr:rowOff>
    </xdr:from>
    <xdr:to>
      <xdr:col>55</xdr:col>
      <xdr:colOff>134472</xdr:colOff>
      <xdr:row>61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253382" y="11138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SCX01_メニュー画面</a:t>
            </a: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35</xdr:row>
      <xdr:rowOff>100853</xdr:rowOff>
    </xdr:from>
    <xdr:to>
      <xdr:col>10</xdr:col>
      <xdr:colOff>0</xdr:colOff>
      <xdr:row>39</xdr:row>
      <xdr:rowOff>96089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61925" y="688657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F1キー押下・[前ページ]ボタンをタッチ</a:t>
          </a:r>
        </a:p>
      </xdr:txBody>
    </xdr:sp>
    <xdr:clientData/>
  </xdr:twoCellAnchor>
  <xdr:twoCellAnchor>
    <xdr:from>
      <xdr:col>10</xdr:col>
      <xdr:colOff>0</xdr:colOff>
      <xdr:row>37</xdr:row>
      <xdr:rowOff>98471</xdr:rowOff>
    </xdr:from>
    <xdr:to>
      <xdr:col>13</xdr:col>
      <xdr:colOff>0</xdr:colOff>
      <xdr:row>37</xdr:row>
      <xdr:rowOff>98471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7" idx="3"/>
        </xdr:cNvCxnSpPr>
      </xdr:nvCxnSpPr>
      <xdr:spPr>
        <a:xfrm>
          <a:off x="2667000" y="72580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134469</xdr:colOff>
      <xdr:row>36</xdr:row>
      <xdr:rowOff>0</xdr:rowOff>
    </xdr:from>
    <xdr:to>
      <xdr:col>55</xdr:col>
      <xdr:colOff>134471</xdr:colOff>
      <xdr:row>39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>
          <a:grpSpLocks/>
        </xdr:cNvGrpSpPr>
      </xdr:nvGrpSpPr>
      <xdr:grpSpPr>
        <a:xfrm>
          <a:off x="10253381" y="6970059"/>
          <a:ext cx="2823884" cy="571500"/>
          <a:chOff x="8357211" y="12314519"/>
          <a:chExt cx="2803762" cy="2324291"/>
        </a:xfrm>
      </xdr:grpSpPr>
      <xdr:sp macro="" textlink="" fLocksText="0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SCX01_メニュー画面</a:t>
            </a:r>
          </a:p>
        </xdr:txBody>
      </xdr:sp>
      <xdr:cxnSp macro="">
        <xdr:nvCxnSpPr>
          <xdr:cNvPr id="64" name="直線矢印コネクタ 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>
            <a:endCxn id="6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44" t="s">
        <v>28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29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47" t="s">
        <v>30</v>
      </c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9"/>
      <c r="AP1" s="44" t="s">
        <v>31</v>
      </c>
      <c r="AQ1" s="45"/>
      <c r="AR1" s="45"/>
      <c r="AS1" s="46"/>
      <c r="AT1" s="44" t="s">
        <v>32</v>
      </c>
      <c r="AU1" s="45"/>
      <c r="AV1" s="45"/>
      <c r="AW1" s="45"/>
      <c r="AX1" s="46"/>
      <c r="AY1" s="44" t="s">
        <v>33</v>
      </c>
      <c r="AZ1" s="45"/>
      <c r="BA1" s="45"/>
      <c r="BB1" s="46"/>
      <c r="BC1" s="44" t="s">
        <v>34</v>
      </c>
      <c r="BD1" s="45"/>
      <c r="BE1" s="45"/>
      <c r="BF1" s="45"/>
      <c r="BG1" s="46"/>
      <c r="BH1" s="44" t="s">
        <v>35</v>
      </c>
      <c r="BI1" s="45"/>
      <c r="BJ1" s="45"/>
      <c r="BK1" s="46"/>
    </row>
    <row r="2" spans="1:63" ht="15" customHeight="1" x14ac:dyDescent="0.25">
      <c r="A2" s="23" t="s">
        <v>36</v>
      </c>
      <c r="B2" s="51"/>
      <c r="C2" s="51"/>
      <c r="D2" s="51"/>
      <c r="E2" s="51"/>
      <c r="F2" s="51"/>
      <c r="G2" s="51"/>
      <c r="H2" s="51"/>
      <c r="I2" s="51"/>
      <c r="J2" s="52"/>
      <c r="K2" s="53" t="s">
        <v>1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54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6"/>
      <c r="AP2" s="53" t="str">
        <f>改訂履歴!$H$11</f>
        <v>TuyenNH</v>
      </c>
      <c r="AQ2" s="51"/>
      <c r="AR2" s="51"/>
      <c r="AS2" s="52"/>
      <c r="AT2" s="57">
        <f>改訂履歴!$B$11</f>
        <v>45470</v>
      </c>
      <c r="AU2" s="58"/>
      <c r="AV2" s="58"/>
      <c r="AW2" s="58"/>
      <c r="AX2" s="59"/>
      <c r="AY2" s="53" t="str">
        <f>LOOKUP(2,1/(改訂履歴!H11:H30000&lt;&gt;""),改訂履歴!H11:H30000)</f>
        <v>TuyenNH</v>
      </c>
      <c r="AZ2" s="51"/>
      <c r="BA2" s="51"/>
      <c r="BB2" s="52"/>
      <c r="BC2" s="57">
        <f>LOOKUP(2,1/(改訂履歴!B11:B30000&lt;&gt;""),改訂履歴!B11:B30000)</f>
        <v>45610</v>
      </c>
      <c r="BD2" s="58"/>
      <c r="BE2" s="58"/>
      <c r="BF2" s="58"/>
      <c r="BG2" s="59"/>
      <c r="BH2" s="60">
        <f>LOOKUP(2,1/(改訂履歴!O11:O30000&lt;&gt;""),改訂履歴!O11:O30000)</f>
        <v>0.3</v>
      </c>
      <c r="BI2" s="61"/>
      <c r="BJ2" s="61"/>
      <c r="BK2" s="6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8"/>
      <c r="AP3" s="63"/>
      <c r="AQ3" s="64"/>
      <c r="AR3" s="64"/>
      <c r="AS3" s="65"/>
      <c r="AT3" s="69"/>
      <c r="AU3" s="70"/>
      <c r="AV3" s="70"/>
      <c r="AW3" s="70"/>
      <c r="AX3" s="71"/>
      <c r="AY3" s="63"/>
      <c r="AZ3" s="64"/>
      <c r="BA3" s="64"/>
      <c r="BB3" s="65"/>
      <c r="BC3" s="69"/>
      <c r="BD3" s="70"/>
      <c r="BE3" s="70"/>
      <c r="BF3" s="70"/>
      <c r="BG3" s="71"/>
      <c r="BH3" s="72"/>
      <c r="BI3" s="73"/>
      <c r="BJ3" s="73"/>
      <c r="BK3" s="74"/>
    </row>
    <row r="4" spans="1:63" ht="24.95" customHeight="1" x14ac:dyDescent="0.25">
      <c r="A4" s="44" t="s">
        <v>37</v>
      </c>
      <c r="B4" s="45"/>
      <c r="C4" s="45"/>
      <c r="D4" s="45"/>
      <c r="E4" s="45"/>
      <c r="F4" s="45"/>
      <c r="G4" s="46"/>
      <c r="H4" s="75" t="s">
        <v>13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7"/>
      <c r="U4" s="44" t="s">
        <v>38</v>
      </c>
      <c r="V4" s="45"/>
      <c r="W4" s="45"/>
      <c r="X4" s="45"/>
      <c r="Y4" s="46"/>
      <c r="Z4" s="22" t="s">
        <v>39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7"/>
      <c r="AP4" s="75" t="str">
        <f t="array" aca="1" ref="AP4" ca="1">RIGHT(CELL("filename",$A$1),LEN(CELL("filename",$A$1))-FIND("]",CELL("filename",$A$1)))</f>
        <v>表紙</v>
      </c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7"/>
    </row>
    <row r="5" spans="1:63" ht="5.0999999999999996" customHeigh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80"/>
    </row>
    <row r="6" spans="1:63" ht="15" customHeight="1" x14ac:dyDescent="0.25">
      <c r="A6" s="81"/>
      <c r="BK6" s="82"/>
    </row>
    <row r="7" spans="1:63" ht="15" customHeight="1" x14ac:dyDescent="0.25">
      <c r="A7" s="81"/>
      <c r="BK7" s="82"/>
    </row>
    <row r="8" spans="1:63" ht="15" customHeight="1" x14ac:dyDescent="0.25">
      <c r="A8" s="81"/>
      <c r="BK8" s="82"/>
    </row>
    <row r="9" spans="1:63" ht="15" customHeight="1" x14ac:dyDescent="0.25">
      <c r="A9" s="81"/>
      <c r="BK9" s="82"/>
    </row>
    <row r="10" spans="1:63" ht="15" customHeight="1" x14ac:dyDescent="0.25">
      <c r="A10" s="81"/>
      <c r="BK10" s="82"/>
    </row>
    <row r="11" spans="1:63" ht="15" customHeight="1" x14ac:dyDescent="0.25">
      <c r="A11" s="81"/>
      <c r="BK11" s="82"/>
    </row>
    <row r="12" spans="1:63" ht="15" customHeight="1" x14ac:dyDescent="0.25">
      <c r="A12" s="81"/>
      <c r="BK12" s="82"/>
    </row>
    <row r="13" spans="1:63" ht="15" customHeight="1" x14ac:dyDescent="0.25">
      <c r="A13" s="81"/>
      <c r="BK13" s="82"/>
    </row>
    <row r="14" spans="1:63" ht="15" customHeight="1" thickBot="1" x14ac:dyDescent="0.3">
      <c r="A14" s="81"/>
      <c r="BK14" s="82"/>
    </row>
    <row r="15" spans="1:63" ht="15" customHeight="1" thickTop="1" x14ac:dyDescent="0.25">
      <c r="A15" s="81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5"/>
      <c r="BK15" s="82"/>
    </row>
    <row r="16" spans="1:63" ht="15" customHeight="1" x14ac:dyDescent="0.25">
      <c r="A16" s="81"/>
      <c r="K16" s="86"/>
      <c r="L16" s="87" t="s">
        <v>40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9"/>
      <c r="BK16" s="82"/>
    </row>
    <row r="17" spans="1:63" ht="15" customHeight="1" x14ac:dyDescent="0.25">
      <c r="A17" s="81"/>
      <c r="K17" s="86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9"/>
      <c r="BK17" s="82"/>
    </row>
    <row r="18" spans="1:63" ht="15" customHeight="1" x14ac:dyDescent="0.25">
      <c r="A18" s="81"/>
      <c r="K18" s="86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9"/>
      <c r="BK18" s="82"/>
    </row>
    <row r="19" spans="1:63" ht="15" customHeight="1" x14ac:dyDescent="0.25">
      <c r="A19" s="81"/>
      <c r="K19" s="86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9"/>
      <c r="BK19" s="82"/>
    </row>
    <row r="20" spans="1:63" ht="15" customHeight="1" x14ac:dyDescent="0.25">
      <c r="A20" s="81"/>
      <c r="K20" s="86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9"/>
      <c r="BK20" s="82"/>
    </row>
    <row r="21" spans="1:63" ht="15" customHeight="1" x14ac:dyDescent="0.25">
      <c r="A21" s="81"/>
      <c r="K21" s="86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9"/>
      <c r="BK21" s="82"/>
    </row>
    <row r="22" spans="1:63" ht="15" customHeight="1" thickBot="1" x14ac:dyDescent="0.3">
      <c r="A22" s="81"/>
      <c r="K22" s="86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89"/>
      <c r="BK22" s="82"/>
    </row>
    <row r="23" spans="1:63" ht="15" customHeight="1" x14ac:dyDescent="0.25">
      <c r="A23" s="81"/>
      <c r="K23" s="86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89"/>
      <c r="BK23" s="82"/>
    </row>
    <row r="24" spans="1:63" ht="15" customHeight="1" x14ac:dyDescent="0.25">
      <c r="A24" s="81"/>
      <c r="K24" s="86"/>
      <c r="L24" s="88" t="str">
        <f>K2&amp;"/"&amp;H4&amp;"/"&amp;Z4</f>
        <v>POSサーバ/X1_メニュー機能/機能設計書</v>
      </c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9"/>
      <c r="BK24" s="82"/>
    </row>
    <row r="25" spans="1:63" ht="15" customHeight="1" x14ac:dyDescent="0.25">
      <c r="A25" s="81"/>
      <c r="K25" s="86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9"/>
      <c r="BK25" s="82"/>
    </row>
    <row r="26" spans="1:63" ht="15" customHeight="1" x14ac:dyDescent="0.25">
      <c r="A26" s="81"/>
      <c r="K26" s="86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9"/>
      <c r="BK26" s="82"/>
    </row>
    <row r="27" spans="1:63" ht="15" customHeight="1" x14ac:dyDescent="0.25">
      <c r="A27" s="81"/>
      <c r="K27" s="86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9"/>
      <c r="BK27" s="82"/>
    </row>
    <row r="28" spans="1:63" ht="15" customHeight="1" x14ac:dyDescent="0.25">
      <c r="A28" s="81"/>
      <c r="K28" s="86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9"/>
      <c r="BK28" s="82"/>
    </row>
    <row r="29" spans="1:63" ht="15" customHeight="1" x14ac:dyDescent="0.25">
      <c r="A29" s="81"/>
      <c r="K29" s="86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9"/>
      <c r="BK29" s="82"/>
    </row>
    <row r="30" spans="1:63" ht="15" customHeight="1" x14ac:dyDescent="0.25">
      <c r="A30" s="81"/>
      <c r="K30" s="86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9"/>
      <c r="BK30" s="82"/>
    </row>
    <row r="31" spans="1:63" ht="15" customHeight="1" x14ac:dyDescent="0.25">
      <c r="A31" s="81"/>
      <c r="K31" s="86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9"/>
      <c r="BK31" s="82"/>
    </row>
    <row r="32" spans="1:63" ht="15" customHeight="1" x14ac:dyDescent="0.25">
      <c r="A32" s="81"/>
      <c r="K32" s="86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9"/>
      <c r="BK32" s="82"/>
    </row>
    <row r="33" spans="1:63" ht="15" customHeight="1" x14ac:dyDescent="0.25">
      <c r="A33" s="81"/>
      <c r="K33" s="86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9"/>
      <c r="BK33" s="82"/>
    </row>
    <row r="34" spans="1:63" ht="15" customHeight="1" x14ac:dyDescent="0.25">
      <c r="A34" s="81"/>
      <c r="K34" s="86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9"/>
      <c r="BK34" s="82"/>
    </row>
    <row r="35" spans="1:63" ht="15" customHeight="1" x14ac:dyDescent="0.25">
      <c r="A35" s="81"/>
      <c r="K35" s="86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9"/>
      <c r="BK35" s="82"/>
    </row>
    <row r="36" spans="1:63" ht="15" customHeight="1" x14ac:dyDescent="0.25">
      <c r="A36" s="81"/>
      <c r="K36" s="86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9"/>
      <c r="BK36" s="82"/>
    </row>
    <row r="37" spans="1:63" ht="15" customHeight="1" thickBot="1" x14ac:dyDescent="0.3">
      <c r="A37" s="81"/>
      <c r="K37" s="92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4"/>
      <c r="BK37" s="82"/>
    </row>
    <row r="38" spans="1:63" ht="15" customHeight="1" thickTop="1" x14ac:dyDescent="0.25">
      <c r="A38" s="81"/>
      <c r="BK38" s="82"/>
    </row>
    <row r="39" spans="1:63" ht="15" customHeight="1" x14ac:dyDescent="0.25">
      <c r="A39" s="81"/>
      <c r="BK39" s="82"/>
    </row>
    <row r="40" spans="1:63" ht="15" customHeight="1" x14ac:dyDescent="0.25">
      <c r="A40" s="81"/>
      <c r="BK40" s="82"/>
    </row>
    <row r="41" spans="1:63" ht="15" customHeight="1" x14ac:dyDescent="0.25">
      <c r="A41" s="81"/>
      <c r="BK41" s="82"/>
    </row>
    <row r="42" spans="1:63" ht="15" customHeight="1" x14ac:dyDescent="0.25">
      <c r="A42" s="81"/>
      <c r="BK42" s="82"/>
    </row>
    <row r="43" spans="1:63" ht="15" customHeight="1" x14ac:dyDescent="0.25">
      <c r="A43" s="81"/>
      <c r="BK43" s="82"/>
    </row>
    <row r="44" spans="1:63" ht="15" customHeight="1" x14ac:dyDescent="0.25">
      <c r="A44" s="81"/>
      <c r="Q44" s="95" t="s">
        <v>41</v>
      </c>
      <c r="R44" s="96"/>
      <c r="S44" s="96"/>
      <c r="T44" s="96"/>
      <c r="U44" s="96"/>
      <c r="V44" s="96"/>
      <c r="W44" s="96"/>
      <c r="X44" s="96"/>
      <c r="Y44" s="96"/>
      <c r="Z44" s="97"/>
      <c r="AA44" s="95" t="s">
        <v>42</v>
      </c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7"/>
      <c r="AQ44" s="95" t="s">
        <v>35</v>
      </c>
      <c r="AR44" s="96"/>
      <c r="AS44" s="96"/>
      <c r="AT44" s="96"/>
      <c r="AU44" s="97"/>
      <c r="BK44" s="82"/>
    </row>
    <row r="45" spans="1:63" ht="15" customHeight="1" x14ac:dyDescent="0.25">
      <c r="A45" s="81"/>
      <c r="Q45" s="98"/>
      <c r="R45" s="99"/>
      <c r="S45" s="99"/>
      <c r="T45" s="99"/>
      <c r="U45" s="99"/>
      <c r="V45" s="99"/>
      <c r="W45" s="99"/>
      <c r="X45" s="99"/>
      <c r="Y45" s="99"/>
      <c r="Z45" s="100"/>
      <c r="AA45" s="98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100"/>
      <c r="AQ45" s="98"/>
      <c r="AR45" s="99"/>
      <c r="AS45" s="99"/>
      <c r="AT45" s="99"/>
      <c r="AU45" s="100"/>
      <c r="BK45" s="82"/>
    </row>
    <row r="46" spans="1:63" ht="15" customHeight="1" x14ac:dyDescent="0.25">
      <c r="A46" s="81"/>
      <c r="Q46" s="53"/>
      <c r="R46" s="51"/>
      <c r="S46" s="51"/>
      <c r="T46" s="51"/>
      <c r="U46" s="51"/>
      <c r="V46" s="51"/>
      <c r="W46" s="51"/>
      <c r="X46" s="51"/>
      <c r="Y46" s="51"/>
      <c r="Z46" s="52"/>
      <c r="AA46" s="53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2"/>
      <c r="AQ46" s="53"/>
      <c r="AR46" s="51"/>
      <c r="AS46" s="51"/>
      <c r="AT46" s="51"/>
      <c r="AU46" s="52"/>
      <c r="BK46" s="82"/>
    </row>
    <row r="47" spans="1:63" ht="15" customHeight="1" x14ac:dyDescent="0.25">
      <c r="A47" s="81"/>
      <c r="Q47" s="101"/>
      <c r="R47" s="102"/>
      <c r="S47" s="102"/>
      <c r="T47" s="102"/>
      <c r="U47" s="102"/>
      <c r="V47" s="102"/>
      <c r="W47" s="102"/>
      <c r="X47" s="102"/>
      <c r="Y47" s="102"/>
      <c r="Z47" s="103"/>
      <c r="AA47" s="101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3"/>
      <c r="AQ47" s="101"/>
      <c r="AR47" s="102"/>
      <c r="AS47" s="102"/>
      <c r="AT47" s="102"/>
      <c r="AU47" s="103"/>
      <c r="BK47" s="82"/>
    </row>
    <row r="48" spans="1:63" ht="15" customHeight="1" x14ac:dyDescent="0.25">
      <c r="A48" s="81"/>
      <c r="Q48" s="101"/>
      <c r="R48" s="102"/>
      <c r="S48" s="102"/>
      <c r="T48" s="102"/>
      <c r="U48" s="102"/>
      <c r="V48" s="102"/>
      <c r="W48" s="102"/>
      <c r="X48" s="102"/>
      <c r="Y48" s="102"/>
      <c r="Z48" s="103"/>
      <c r="AA48" s="101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3"/>
      <c r="AQ48" s="101"/>
      <c r="AR48" s="102"/>
      <c r="AS48" s="102"/>
      <c r="AT48" s="102"/>
      <c r="AU48" s="103"/>
      <c r="BK48" s="82"/>
    </row>
    <row r="49" spans="1:63" ht="15" customHeight="1" x14ac:dyDescent="0.25">
      <c r="A49" s="81"/>
      <c r="Q49" s="63"/>
      <c r="R49" s="64"/>
      <c r="S49" s="64"/>
      <c r="T49" s="64"/>
      <c r="U49" s="64"/>
      <c r="V49" s="64"/>
      <c r="W49" s="64"/>
      <c r="X49" s="64"/>
      <c r="Y49" s="64"/>
      <c r="Z49" s="65"/>
      <c r="AA49" s="63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5"/>
      <c r="AQ49" s="63"/>
      <c r="AR49" s="64"/>
      <c r="AS49" s="64"/>
      <c r="AT49" s="64"/>
      <c r="AU49" s="65"/>
      <c r="BK49" s="82"/>
    </row>
    <row r="50" spans="1:63" ht="15" customHeight="1" x14ac:dyDescent="0.25">
      <c r="A50" s="81"/>
      <c r="BK50" s="82"/>
    </row>
    <row r="51" spans="1:63" ht="15" customHeight="1" x14ac:dyDescent="0.25">
      <c r="A51" s="81"/>
      <c r="BK51" s="82"/>
    </row>
    <row r="52" spans="1:63" ht="15" customHeight="1" x14ac:dyDescent="0.25">
      <c r="A52" s="81"/>
      <c r="BK52" s="82"/>
    </row>
    <row r="53" spans="1:63" ht="15" customHeight="1" x14ac:dyDescent="0.25">
      <c r="A53" s="81"/>
      <c r="BK53" s="82"/>
    </row>
    <row r="54" spans="1:63" ht="15" customHeight="1" x14ac:dyDescent="0.25">
      <c r="A54" s="81"/>
      <c r="BK54" s="82"/>
    </row>
    <row r="55" spans="1:63" ht="15" customHeight="1" x14ac:dyDescent="0.25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8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0" customWidth="1"/>
    <col min="61" max="16384" width="2.77734375" style="50"/>
  </cols>
  <sheetData>
    <row r="1" spans="1:63" ht="24.95" customHeight="1" x14ac:dyDescent="0.25">
      <c r="A1" s="44" t="s">
        <v>28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29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104" t="str">
        <f>IF(表紙!W1="","",表紙!W1)</f>
        <v>詳細設計書</v>
      </c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9"/>
      <c r="AP1" s="44" t="s">
        <v>31</v>
      </c>
      <c r="AQ1" s="45"/>
      <c r="AR1" s="45"/>
      <c r="AS1" s="46"/>
      <c r="AT1" s="44" t="s">
        <v>32</v>
      </c>
      <c r="AU1" s="45"/>
      <c r="AV1" s="45"/>
      <c r="AW1" s="45"/>
      <c r="AX1" s="46"/>
      <c r="AY1" s="44" t="s">
        <v>33</v>
      </c>
      <c r="AZ1" s="45"/>
      <c r="BA1" s="45"/>
      <c r="BB1" s="46"/>
      <c r="BC1" s="44" t="s">
        <v>34</v>
      </c>
      <c r="BD1" s="45"/>
      <c r="BE1" s="45"/>
      <c r="BF1" s="45"/>
      <c r="BG1" s="46"/>
      <c r="BH1" s="44" t="s">
        <v>35</v>
      </c>
      <c r="BI1" s="45"/>
      <c r="BJ1" s="45"/>
      <c r="BK1" s="46"/>
    </row>
    <row r="2" spans="1:63" ht="15" customHeight="1" x14ac:dyDescent="0.25">
      <c r="A2" s="53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3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54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6"/>
      <c r="AP2" s="53" t="str">
        <f>IF(表紙!AP2="","",表紙!AP2)</f>
        <v>TuyenNH</v>
      </c>
      <c r="AQ2" s="51"/>
      <c r="AR2" s="51"/>
      <c r="AS2" s="52"/>
      <c r="AT2" s="57">
        <f>IF(表紙!AT2="","",表紙!AT2)</f>
        <v>45470</v>
      </c>
      <c r="AU2" s="58"/>
      <c r="AV2" s="58"/>
      <c r="AW2" s="58"/>
      <c r="AX2" s="59"/>
      <c r="AY2" s="53" t="str">
        <f>IF(表紙!AY2="","",表紙!AY2)</f>
        <v>TuyenNH</v>
      </c>
      <c r="AZ2" s="51"/>
      <c r="BA2" s="51"/>
      <c r="BB2" s="52"/>
      <c r="BC2" s="57">
        <f>IF(表紙!BC2="","",表紙!BC2)</f>
        <v>45610</v>
      </c>
      <c r="BD2" s="58"/>
      <c r="BE2" s="58"/>
      <c r="BF2" s="58"/>
      <c r="BG2" s="59"/>
      <c r="BH2" s="53">
        <f>IF(表紙!BH2="","",表紙!BH2)</f>
        <v>0.3</v>
      </c>
      <c r="BI2" s="51"/>
      <c r="BJ2" s="51"/>
      <c r="BK2" s="52"/>
    </row>
    <row r="3" spans="1:63" ht="1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5"/>
      <c r="K3" s="63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8"/>
      <c r="AP3" s="63"/>
      <c r="AQ3" s="64"/>
      <c r="AR3" s="64"/>
      <c r="AS3" s="65"/>
      <c r="AT3" s="69"/>
      <c r="AU3" s="70"/>
      <c r="AV3" s="70"/>
      <c r="AW3" s="70"/>
      <c r="AX3" s="71"/>
      <c r="AY3" s="63"/>
      <c r="AZ3" s="64"/>
      <c r="BA3" s="64"/>
      <c r="BB3" s="65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44" t="s">
        <v>37</v>
      </c>
      <c r="B4" s="45"/>
      <c r="C4" s="45"/>
      <c r="D4" s="45"/>
      <c r="E4" s="45"/>
      <c r="F4" s="45"/>
      <c r="G4" s="46"/>
      <c r="H4" s="75" t="str">
        <f>IF(表紙!H4="","",表紙!H4)</f>
        <v>X1_メニュー機能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7"/>
      <c r="U4" s="44" t="s">
        <v>38</v>
      </c>
      <c r="V4" s="45"/>
      <c r="W4" s="45"/>
      <c r="X4" s="45"/>
      <c r="Y4" s="46"/>
      <c r="Z4" s="75" t="str">
        <f>IF(表紙!Z4="","",表紙!Z4)</f>
        <v>機能設計書</v>
      </c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7"/>
      <c r="AP4" s="75" t="str">
        <f t="array" aca="1" ref="AP4" ca="1">RIGHT(CELL("filename",$A$1),LEN(CELL("filename",$A$1))-FIND("]",CELL("filename",$A$1)))</f>
        <v>改訂履歴</v>
      </c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7"/>
    </row>
    <row r="5" spans="1:63" ht="5.0999999999999996" customHeight="1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80"/>
    </row>
    <row r="6" spans="1:63" ht="15" customHeight="1" x14ac:dyDescent="0.25">
      <c r="A6" s="81"/>
      <c r="BK6" s="82"/>
    </row>
    <row r="7" spans="1:63" ht="15" customHeight="1" x14ac:dyDescent="0.25">
      <c r="A7" s="81"/>
      <c r="BK7" s="82"/>
    </row>
    <row r="8" spans="1:63" ht="15" customHeight="1" x14ac:dyDescent="0.25">
      <c r="A8" s="81"/>
      <c r="B8" s="50" t="s">
        <v>0</v>
      </c>
      <c r="BK8" s="82"/>
    </row>
    <row r="9" spans="1:63" ht="15" customHeight="1" x14ac:dyDescent="0.25">
      <c r="A9" s="81"/>
      <c r="BK9" s="82"/>
    </row>
    <row r="10" spans="1:63" ht="15" customHeight="1" x14ac:dyDescent="0.25">
      <c r="A10" s="81"/>
      <c r="B10" s="105" t="s">
        <v>34</v>
      </c>
      <c r="C10" s="105"/>
      <c r="D10" s="105"/>
      <c r="E10" s="105"/>
      <c r="F10" s="105"/>
      <c r="G10" s="105"/>
      <c r="H10" s="105" t="s">
        <v>33</v>
      </c>
      <c r="I10" s="105"/>
      <c r="J10" s="105"/>
      <c r="K10" s="105"/>
      <c r="L10" s="105"/>
      <c r="M10" s="105"/>
      <c r="N10" s="105"/>
      <c r="O10" s="105" t="s">
        <v>35</v>
      </c>
      <c r="P10" s="105"/>
      <c r="Q10" s="105"/>
      <c r="R10" s="105"/>
      <c r="S10" s="105" t="s">
        <v>43</v>
      </c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 t="s">
        <v>41</v>
      </c>
      <c r="AY10" s="105"/>
      <c r="AZ10" s="105"/>
      <c r="BA10" s="105"/>
      <c r="BB10" s="105"/>
      <c r="BC10" s="105"/>
      <c r="BD10" s="105" t="s">
        <v>42</v>
      </c>
      <c r="BE10" s="105"/>
      <c r="BF10" s="105"/>
      <c r="BG10" s="105"/>
      <c r="BH10" s="105"/>
      <c r="BI10" s="105"/>
      <c r="BJ10" s="105"/>
      <c r="BK10" s="82"/>
    </row>
    <row r="11" spans="1:63" ht="15" customHeight="1" x14ac:dyDescent="0.25">
      <c r="A11" s="81"/>
      <c r="B11" s="57">
        <v>45470</v>
      </c>
      <c r="C11" s="51"/>
      <c r="D11" s="51"/>
      <c r="E11" s="51"/>
      <c r="F11" s="51"/>
      <c r="G11" s="52"/>
      <c r="H11" s="23" t="s">
        <v>44</v>
      </c>
      <c r="I11" s="51"/>
      <c r="J11" s="51"/>
      <c r="K11" s="51"/>
      <c r="L11" s="51"/>
      <c r="M11" s="51"/>
      <c r="N11" s="52"/>
      <c r="O11" s="53">
        <v>0.1</v>
      </c>
      <c r="P11" s="51"/>
      <c r="Q11" s="51"/>
      <c r="R11" s="51"/>
      <c r="S11" s="106" t="s">
        <v>2</v>
      </c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8"/>
      <c r="AX11" s="109"/>
      <c r="AY11" s="109"/>
      <c r="AZ11" s="109"/>
      <c r="BA11" s="109"/>
      <c r="BB11" s="109"/>
      <c r="BC11" s="110"/>
      <c r="BD11" s="111"/>
      <c r="BE11" s="109"/>
      <c r="BF11" s="109"/>
      <c r="BG11" s="109"/>
      <c r="BH11" s="109"/>
      <c r="BI11" s="109"/>
      <c r="BJ11" s="110"/>
      <c r="BK11" s="82"/>
    </row>
    <row r="12" spans="1:63" ht="15" customHeight="1" x14ac:dyDescent="0.25">
      <c r="A12" s="81"/>
      <c r="B12" s="63"/>
      <c r="C12" s="64"/>
      <c r="D12" s="64"/>
      <c r="E12" s="64"/>
      <c r="F12" s="64"/>
      <c r="G12" s="65"/>
      <c r="H12" s="63"/>
      <c r="I12" s="64"/>
      <c r="J12" s="64"/>
      <c r="K12" s="64"/>
      <c r="L12" s="64"/>
      <c r="M12" s="64"/>
      <c r="N12" s="65"/>
      <c r="O12" s="63"/>
      <c r="P12" s="64"/>
      <c r="Q12" s="64"/>
      <c r="R12" s="64"/>
      <c r="S12" s="112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4"/>
      <c r="AX12" s="115"/>
      <c r="AY12" s="115"/>
      <c r="AZ12" s="115"/>
      <c r="BA12" s="115"/>
      <c r="BB12" s="115"/>
      <c r="BC12" s="116"/>
      <c r="BD12" s="117"/>
      <c r="BE12" s="115"/>
      <c r="BF12" s="115"/>
      <c r="BG12" s="115"/>
      <c r="BH12" s="115"/>
      <c r="BI12" s="115"/>
      <c r="BJ12" s="116"/>
      <c r="BK12" s="82"/>
    </row>
    <row r="13" spans="1:63" ht="15" customHeight="1" x14ac:dyDescent="0.25">
      <c r="A13" s="81"/>
      <c r="B13" s="118">
        <v>45568</v>
      </c>
      <c r="C13" s="119"/>
      <c r="D13" s="119"/>
      <c r="E13" s="119"/>
      <c r="F13" s="119"/>
      <c r="G13" s="120"/>
      <c r="H13" s="121" t="s">
        <v>45</v>
      </c>
      <c r="I13" s="119"/>
      <c r="J13" s="119"/>
      <c r="K13" s="119"/>
      <c r="L13" s="119"/>
      <c r="M13" s="119"/>
      <c r="N13" s="120"/>
      <c r="O13" s="121">
        <v>0.2</v>
      </c>
      <c r="P13" s="119"/>
      <c r="Q13" s="119"/>
      <c r="R13" s="119"/>
      <c r="S13" s="122" t="s">
        <v>46</v>
      </c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09"/>
      <c r="AY13" s="109"/>
      <c r="AZ13" s="109"/>
      <c r="BA13" s="109"/>
      <c r="BB13" s="109"/>
      <c r="BC13" s="110"/>
      <c r="BD13" s="111"/>
      <c r="BE13" s="109"/>
      <c r="BF13" s="109"/>
      <c r="BG13" s="109"/>
      <c r="BH13" s="109"/>
      <c r="BI13" s="109"/>
      <c r="BJ13" s="110"/>
      <c r="BK13" s="82"/>
    </row>
    <row r="14" spans="1:63" ht="15" customHeight="1" x14ac:dyDescent="0.25">
      <c r="A14" s="81"/>
      <c r="B14" s="125"/>
      <c r="C14" s="126"/>
      <c r="D14" s="126"/>
      <c r="E14" s="126"/>
      <c r="F14" s="126"/>
      <c r="G14" s="127"/>
      <c r="H14" s="125"/>
      <c r="I14" s="126"/>
      <c r="J14" s="126"/>
      <c r="K14" s="126"/>
      <c r="L14" s="126"/>
      <c r="M14" s="126"/>
      <c r="N14" s="127"/>
      <c r="O14" s="125"/>
      <c r="P14" s="126"/>
      <c r="Q14" s="126"/>
      <c r="R14" s="126"/>
      <c r="S14" s="128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30"/>
      <c r="AX14" s="115"/>
      <c r="AY14" s="115"/>
      <c r="AZ14" s="115"/>
      <c r="BA14" s="115"/>
      <c r="BB14" s="115"/>
      <c r="BC14" s="116"/>
      <c r="BD14" s="117"/>
      <c r="BE14" s="115"/>
      <c r="BF14" s="115"/>
      <c r="BG14" s="115"/>
      <c r="BH14" s="115"/>
      <c r="BI14" s="115"/>
      <c r="BJ14" s="116"/>
      <c r="BK14" s="82"/>
    </row>
    <row r="15" spans="1:63" ht="15" customHeight="1" x14ac:dyDescent="0.25">
      <c r="A15" s="81"/>
      <c r="B15" s="118">
        <v>45610</v>
      </c>
      <c r="C15" s="119"/>
      <c r="D15" s="119"/>
      <c r="E15" s="119"/>
      <c r="F15" s="119"/>
      <c r="G15" s="120"/>
      <c r="H15" s="121" t="s">
        <v>44</v>
      </c>
      <c r="I15" s="119"/>
      <c r="J15" s="119"/>
      <c r="K15" s="119"/>
      <c r="L15" s="119"/>
      <c r="M15" s="119"/>
      <c r="N15" s="120"/>
      <c r="O15" s="121">
        <v>0.3</v>
      </c>
      <c r="P15" s="119"/>
      <c r="Q15" s="119"/>
      <c r="R15" s="119"/>
      <c r="S15" s="122" t="s">
        <v>47</v>
      </c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31"/>
      <c r="AY15" s="131"/>
      <c r="AZ15" s="131"/>
      <c r="BA15" s="131"/>
      <c r="BB15" s="131"/>
      <c r="BC15" s="132"/>
      <c r="BD15" s="133"/>
      <c r="BE15" s="131"/>
      <c r="BF15" s="131"/>
      <c r="BG15" s="131"/>
      <c r="BH15" s="131"/>
      <c r="BI15" s="131"/>
      <c r="BJ15" s="132"/>
      <c r="BK15" s="82"/>
    </row>
    <row r="16" spans="1:63" ht="15" customHeight="1" x14ac:dyDescent="0.25">
      <c r="A16" s="81"/>
      <c r="B16" s="125"/>
      <c r="C16" s="126"/>
      <c r="D16" s="126"/>
      <c r="E16" s="126"/>
      <c r="F16" s="126"/>
      <c r="G16" s="127"/>
      <c r="H16" s="125"/>
      <c r="I16" s="126"/>
      <c r="J16" s="126"/>
      <c r="K16" s="126"/>
      <c r="L16" s="126"/>
      <c r="M16" s="126"/>
      <c r="N16" s="127"/>
      <c r="O16" s="125"/>
      <c r="P16" s="126"/>
      <c r="Q16" s="126"/>
      <c r="R16" s="126"/>
      <c r="S16" s="128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0"/>
      <c r="AX16" s="134"/>
      <c r="AY16" s="134"/>
      <c r="AZ16" s="134"/>
      <c r="BA16" s="134"/>
      <c r="BB16" s="134"/>
      <c r="BC16" s="135"/>
      <c r="BD16" s="136"/>
      <c r="BE16" s="134"/>
      <c r="BF16" s="134"/>
      <c r="BG16" s="134"/>
      <c r="BH16" s="134"/>
      <c r="BI16" s="134"/>
      <c r="BJ16" s="135"/>
      <c r="BK16" s="82"/>
    </row>
    <row r="17" spans="1:63" ht="15" customHeight="1" x14ac:dyDescent="0.25">
      <c r="A17" s="81"/>
      <c r="B17" s="53"/>
      <c r="C17" s="51"/>
      <c r="D17" s="51"/>
      <c r="E17" s="51"/>
      <c r="F17" s="51"/>
      <c r="G17" s="52"/>
      <c r="H17" s="53"/>
      <c r="I17" s="51"/>
      <c r="J17" s="51"/>
      <c r="K17" s="51"/>
      <c r="L17" s="51"/>
      <c r="M17" s="51"/>
      <c r="N17" s="52"/>
      <c r="O17" s="53"/>
      <c r="P17" s="51"/>
      <c r="Q17" s="51"/>
      <c r="R17" s="51"/>
      <c r="S17" s="106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8"/>
      <c r="AX17" s="109"/>
      <c r="AY17" s="109"/>
      <c r="AZ17" s="109"/>
      <c r="BA17" s="109"/>
      <c r="BB17" s="109"/>
      <c r="BC17" s="110"/>
      <c r="BD17" s="111"/>
      <c r="BE17" s="109"/>
      <c r="BF17" s="109"/>
      <c r="BG17" s="109"/>
      <c r="BH17" s="109"/>
      <c r="BI17" s="109"/>
      <c r="BJ17" s="110"/>
      <c r="BK17" s="82"/>
    </row>
    <row r="18" spans="1:63" ht="15" customHeight="1" x14ac:dyDescent="0.25">
      <c r="A18" s="81"/>
      <c r="B18" s="63"/>
      <c r="C18" s="64"/>
      <c r="D18" s="64"/>
      <c r="E18" s="64"/>
      <c r="F18" s="64"/>
      <c r="G18" s="65"/>
      <c r="H18" s="63"/>
      <c r="I18" s="64"/>
      <c r="J18" s="64"/>
      <c r="K18" s="64"/>
      <c r="L18" s="64"/>
      <c r="M18" s="64"/>
      <c r="N18" s="65"/>
      <c r="O18" s="63"/>
      <c r="P18" s="64"/>
      <c r="Q18" s="64"/>
      <c r="R18" s="64"/>
      <c r="S18" s="112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4"/>
      <c r="AX18" s="115"/>
      <c r="AY18" s="115"/>
      <c r="AZ18" s="115"/>
      <c r="BA18" s="115"/>
      <c r="BB18" s="115"/>
      <c r="BC18" s="116"/>
      <c r="BD18" s="117"/>
      <c r="BE18" s="115"/>
      <c r="BF18" s="115"/>
      <c r="BG18" s="115"/>
      <c r="BH18" s="115"/>
      <c r="BI18" s="115"/>
      <c r="BJ18" s="116"/>
      <c r="BK18" s="82"/>
    </row>
    <row r="19" spans="1:63" ht="15" customHeight="1" x14ac:dyDescent="0.25">
      <c r="A19" s="81"/>
      <c r="B19" s="53"/>
      <c r="C19" s="51"/>
      <c r="D19" s="51"/>
      <c r="E19" s="51"/>
      <c r="F19" s="51"/>
      <c r="G19" s="52"/>
      <c r="H19" s="53"/>
      <c r="I19" s="51"/>
      <c r="J19" s="51"/>
      <c r="K19" s="51"/>
      <c r="L19" s="51"/>
      <c r="M19" s="51"/>
      <c r="N19" s="52"/>
      <c r="O19" s="53"/>
      <c r="P19" s="51"/>
      <c r="Q19" s="51"/>
      <c r="R19" s="51"/>
      <c r="S19" s="106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8"/>
      <c r="AX19" s="109"/>
      <c r="AY19" s="109"/>
      <c r="AZ19" s="109"/>
      <c r="BA19" s="109"/>
      <c r="BB19" s="109"/>
      <c r="BC19" s="110"/>
      <c r="BD19" s="111"/>
      <c r="BE19" s="109"/>
      <c r="BF19" s="109"/>
      <c r="BG19" s="109"/>
      <c r="BH19" s="109"/>
      <c r="BI19" s="109"/>
      <c r="BJ19" s="110"/>
      <c r="BK19" s="82"/>
    </row>
    <row r="20" spans="1:63" ht="15" customHeight="1" x14ac:dyDescent="0.25">
      <c r="A20" s="81"/>
      <c r="B20" s="63"/>
      <c r="C20" s="64"/>
      <c r="D20" s="64"/>
      <c r="E20" s="64"/>
      <c r="F20" s="64"/>
      <c r="G20" s="65"/>
      <c r="H20" s="63"/>
      <c r="I20" s="64"/>
      <c r="J20" s="64"/>
      <c r="K20" s="64"/>
      <c r="L20" s="64"/>
      <c r="M20" s="64"/>
      <c r="N20" s="65"/>
      <c r="O20" s="63"/>
      <c r="P20" s="64"/>
      <c r="Q20" s="64"/>
      <c r="R20" s="64"/>
      <c r="S20" s="112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4"/>
      <c r="AX20" s="115"/>
      <c r="AY20" s="115"/>
      <c r="AZ20" s="115"/>
      <c r="BA20" s="115"/>
      <c r="BB20" s="115"/>
      <c r="BC20" s="116"/>
      <c r="BD20" s="117"/>
      <c r="BE20" s="115"/>
      <c r="BF20" s="115"/>
      <c r="BG20" s="115"/>
      <c r="BH20" s="115"/>
      <c r="BI20" s="115"/>
      <c r="BJ20" s="116"/>
      <c r="BK20" s="82"/>
    </row>
    <row r="21" spans="1:63" ht="15" customHeight="1" x14ac:dyDescent="0.25">
      <c r="A21" s="81"/>
      <c r="B21" s="53"/>
      <c r="C21" s="51"/>
      <c r="D21" s="51"/>
      <c r="E21" s="51"/>
      <c r="F21" s="51"/>
      <c r="G21" s="52"/>
      <c r="H21" s="53"/>
      <c r="I21" s="51"/>
      <c r="J21" s="51"/>
      <c r="K21" s="51"/>
      <c r="L21" s="51"/>
      <c r="M21" s="51"/>
      <c r="N21" s="52"/>
      <c r="O21" s="53"/>
      <c r="P21" s="51"/>
      <c r="Q21" s="51"/>
      <c r="R21" s="51"/>
      <c r="S21" s="106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8"/>
      <c r="AX21" s="109"/>
      <c r="AY21" s="109"/>
      <c r="AZ21" s="109"/>
      <c r="BA21" s="109"/>
      <c r="BB21" s="109"/>
      <c r="BC21" s="110"/>
      <c r="BD21" s="111"/>
      <c r="BE21" s="109"/>
      <c r="BF21" s="109"/>
      <c r="BG21" s="109"/>
      <c r="BH21" s="109"/>
      <c r="BI21" s="109"/>
      <c r="BJ21" s="110"/>
      <c r="BK21" s="82"/>
    </row>
    <row r="22" spans="1:63" ht="15" customHeight="1" x14ac:dyDescent="0.25">
      <c r="A22" s="81"/>
      <c r="B22" s="63"/>
      <c r="C22" s="64"/>
      <c r="D22" s="64"/>
      <c r="E22" s="64"/>
      <c r="F22" s="64"/>
      <c r="G22" s="65"/>
      <c r="H22" s="63"/>
      <c r="I22" s="64"/>
      <c r="J22" s="64"/>
      <c r="K22" s="64"/>
      <c r="L22" s="64"/>
      <c r="M22" s="64"/>
      <c r="N22" s="65"/>
      <c r="O22" s="63"/>
      <c r="P22" s="64"/>
      <c r="Q22" s="64"/>
      <c r="R22" s="64"/>
      <c r="S22" s="112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115"/>
      <c r="AY22" s="115"/>
      <c r="AZ22" s="115"/>
      <c r="BA22" s="115"/>
      <c r="BB22" s="115"/>
      <c r="BC22" s="116"/>
      <c r="BD22" s="117"/>
      <c r="BE22" s="115"/>
      <c r="BF22" s="115"/>
      <c r="BG22" s="115"/>
      <c r="BH22" s="115"/>
      <c r="BI22" s="115"/>
      <c r="BJ22" s="116"/>
      <c r="BK22" s="82"/>
    </row>
    <row r="23" spans="1:63" ht="15" customHeight="1" x14ac:dyDescent="0.25">
      <c r="A23" s="81"/>
      <c r="B23" s="53"/>
      <c r="C23" s="51"/>
      <c r="D23" s="51"/>
      <c r="E23" s="51"/>
      <c r="F23" s="51"/>
      <c r="G23" s="52"/>
      <c r="H23" s="53"/>
      <c r="I23" s="51"/>
      <c r="J23" s="51"/>
      <c r="K23" s="51"/>
      <c r="L23" s="51"/>
      <c r="M23" s="51"/>
      <c r="N23" s="52"/>
      <c r="O23" s="53"/>
      <c r="P23" s="51"/>
      <c r="Q23" s="51"/>
      <c r="R23" s="51"/>
      <c r="S23" s="106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8"/>
      <c r="AX23" s="109"/>
      <c r="AY23" s="109"/>
      <c r="AZ23" s="109"/>
      <c r="BA23" s="109"/>
      <c r="BB23" s="109"/>
      <c r="BC23" s="110"/>
      <c r="BD23" s="111"/>
      <c r="BE23" s="109"/>
      <c r="BF23" s="109"/>
      <c r="BG23" s="109"/>
      <c r="BH23" s="109"/>
      <c r="BI23" s="109"/>
      <c r="BJ23" s="110"/>
      <c r="BK23" s="82"/>
    </row>
    <row r="24" spans="1:63" ht="15" customHeight="1" x14ac:dyDescent="0.25">
      <c r="A24" s="81"/>
      <c r="B24" s="63"/>
      <c r="C24" s="64"/>
      <c r="D24" s="64"/>
      <c r="E24" s="64"/>
      <c r="F24" s="64"/>
      <c r="G24" s="65"/>
      <c r="H24" s="63"/>
      <c r="I24" s="64"/>
      <c r="J24" s="64"/>
      <c r="K24" s="64"/>
      <c r="L24" s="64"/>
      <c r="M24" s="64"/>
      <c r="N24" s="65"/>
      <c r="O24" s="63"/>
      <c r="P24" s="64"/>
      <c r="Q24" s="64"/>
      <c r="R24" s="64"/>
      <c r="S24" s="112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4"/>
      <c r="AX24" s="115"/>
      <c r="AY24" s="115"/>
      <c r="AZ24" s="115"/>
      <c r="BA24" s="115"/>
      <c r="BB24" s="115"/>
      <c r="BC24" s="116"/>
      <c r="BD24" s="117"/>
      <c r="BE24" s="115"/>
      <c r="BF24" s="115"/>
      <c r="BG24" s="115"/>
      <c r="BH24" s="115"/>
      <c r="BI24" s="115"/>
      <c r="BJ24" s="116"/>
      <c r="BK24" s="82"/>
    </row>
    <row r="25" spans="1:63" ht="15" customHeight="1" x14ac:dyDescent="0.25">
      <c r="A25" s="81"/>
      <c r="B25" s="53"/>
      <c r="C25" s="51"/>
      <c r="D25" s="51"/>
      <c r="E25" s="51"/>
      <c r="F25" s="51"/>
      <c r="G25" s="52"/>
      <c r="H25" s="53"/>
      <c r="I25" s="51"/>
      <c r="J25" s="51"/>
      <c r="K25" s="51"/>
      <c r="L25" s="51"/>
      <c r="M25" s="51"/>
      <c r="N25" s="52"/>
      <c r="O25" s="53"/>
      <c r="P25" s="51"/>
      <c r="Q25" s="51"/>
      <c r="R25" s="51"/>
      <c r="S25" s="106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8"/>
      <c r="AX25" s="109"/>
      <c r="AY25" s="109"/>
      <c r="AZ25" s="109"/>
      <c r="BA25" s="109"/>
      <c r="BB25" s="109"/>
      <c r="BC25" s="110"/>
      <c r="BD25" s="111"/>
      <c r="BE25" s="109"/>
      <c r="BF25" s="109"/>
      <c r="BG25" s="109"/>
      <c r="BH25" s="109"/>
      <c r="BI25" s="109"/>
      <c r="BJ25" s="110"/>
      <c r="BK25" s="82"/>
    </row>
    <row r="26" spans="1:63" ht="15" customHeight="1" x14ac:dyDescent="0.25">
      <c r="A26" s="81"/>
      <c r="B26" s="63"/>
      <c r="C26" s="64"/>
      <c r="D26" s="64"/>
      <c r="E26" s="64"/>
      <c r="F26" s="64"/>
      <c r="G26" s="65"/>
      <c r="H26" s="63"/>
      <c r="I26" s="64"/>
      <c r="J26" s="64"/>
      <c r="K26" s="64"/>
      <c r="L26" s="64"/>
      <c r="M26" s="64"/>
      <c r="N26" s="65"/>
      <c r="O26" s="63"/>
      <c r="P26" s="64"/>
      <c r="Q26" s="64"/>
      <c r="R26" s="64"/>
      <c r="S26" s="112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4"/>
      <c r="AX26" s="115"/>
      <c r="AY26" s="115"/>
      <c r="AZ26" s="115"/>
      <c r="BA26" s="115"/>
      <c r="BB26" s="115"/>
      <c r="BC26" s="116"/>
      <c r="BD26" s="117"/>
      <c r="BE26" s="115"/>
      <c r="BF26" s="115"/>
      <c r="BG26" s="115"/>
      <c r="BH26" s="115"/>
      <c r="BI26" s="115"/>
      <c r="BJ26" s="116"/>
      <c r="BK26" s="82"/>
    </row>
    <row r="27" spans="1:63" ht="15" customHeight="1" x14ac:dyDescent="0.25">
      <c r="A27" s="81"/>
      <c r="B27" s="53"/>
      <c r="C27" s="51"/>
      <c r="D27" s="51"/>
      <c r="E27" s="51"/>
      <c r="F27" s="51"/>
      <c r="G27" s="52"/>
      <c r="H27" s="53"/>
      <c r="I27" s="51"/>
      <c r="J27" s="51"/>
      <c r="K27" s="51"/>
      <c r="L27" s="51"/>
      <c r="M27" s="51"/>
      <c r="N27" s="52"/>
      <c r="O27" s="53"/>
      <c r="P27" s="51"/>
      <c r="Q27" s="51"/>
      <c r="R27" s="51"/>
      <c r="S27" s="106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8"/>
      <c r="AX27" s="109"/>
      <c r="AY27" s="109"/>
      <c r="AZ27" s="109"/>
      <c r="BA27" s="109"/>
      <c r="BB27" s="109"/>
      <c r="BC27" s="110"/>
      <c r="BD27" s="111"/>
      <c r="BE27" s="109"/>
      <c r="BF27" s="109"/>
      <c r="BG27" s="109"/>
      <c r="BH27" s="109"/>
      <c r="BI27" s="109"/>
      <c r="BJ27" s="110"/>
      <c r="BK27" s="82"/>
    </row>
    <row r="28" spans="1:63" ht="15" customHeight="1" x14ac:dyDescent="0.25">
      <c r="A28" s="81"/>
      <c r="B28" s="63"/>
      <c r="C28" s="64"/>
      <c r="D28" s="64"/>
      <c r="E28" s="64"/>
      <c r="F28" s="64"/>
      <c r="G28" s="65"/>
      <c r="H28" s="63"/>
      <c r="I28" s="64"/>
      <c r="J28" s="64"/>
      <c r="K28" s="64"/>
      <c r="L28" s="64"/>
      <c r="M28" s="64"/>
      <c r="N28" s="65"/>
      <c r="O28" s="63"/>
      <c r="P28" s="64"/>
      <c r="Q28" s="64"/>
      <c r="R28" s="64"/>
      <c r="S28" s="112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4"/>
      <c r="AX28" s="115"/>
      <c r="AY28" s="115"/>
      <c r="AZ28" s="115"/>
      <c r="BA28" s="115"/>
      <c r="BB28" s="115"/>
      <c r="BC28" s="116"/>
      <c r="BD28" s="117"/>
      <c r="BE28" s="115"/>
      <c r="BF28" s="115"/>
      <c r="BG28" s="115"/>
      <c r="BH28" s="115"/>
      <c r="BI28" s="115"/>
      <c r="BJ28" s="116"/>
      <c r="BK28" s="82"/>
    </row>
    <row r="29" spans="1:63" ht="15" customHeight="1" x14ac:dyDescent="0.25">
      <c r="A29" s="81"/>
      <c r="B29" s="53"/>
      <c r="C29" s="51"/>
      <c r="D29" s="51"/>
      <c r="E29" s="51"/>
      <c r="F29" s="51"/>
      <c r="G29" s="52"/>
      <c r="H29" s="53"/>
      <c r="I29" s="51"/>
      <c r="J29" s="51"/>
      <c r="K29" s="51"/>
      <c r="L29" s="51"/>
      <c r="M29" s="51"/>
      <c r="N29" s="52"/>
      <c r="O29" s="53"/>
      <c r="P29" s="51"/>
      <c r="Q29" s="51"/>
      <c r="R29" s="51"/>
      <c r="S29" s="106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8"/>
      <c r="AX29" s="109"/>
      <c r="AY29" s="109"/>
      <c r="AZ29" s="109"/>
      <c r="BA29" s="109"/>
      <c r="BB29" s="109"/>
      <c r="BC29" s="110"/>
      <c r="BD29" s="111"/>
      <c r="BE29" s="109"/>
      <c r="BF29" s="109"/>
      <c r="BG29" s="109"/>
      <c r="BH29" s="109"/>
      <c r="BI29" s="109"/>
      <c r="BJ29" s="110"/>
      <c r="BK29" s="82"/>
    </row>
    <row r="30" spans="1:63" ht="15" customHeight="1" x14ac:dyDescent="0.25">
      <c r="A30" s="81"/>
      <c r="B30" s="63"/>
      <c r="C30" s="64"/>
      <c r="D30" s="64"/>
      <c r="E30" s="64"/>
      <c r="F30" s="64"/>
      <c r="G30" s="65"/>
      <c r="H30" s="63"/>
      <c r="I30" s="64"/>
      <c r="J30" s="64"/>
      <c r="K30" s="64"/>
      <c r="L30" s="64"/>
      <c r="M30" s="64"/>
      <c r="N30" s="65"/>
      <c r="O30" s="63"/>
      <c r="P30" s="64"/>
      <c r="Q30" s="64"/>
      <c r="R30" s="64"/>
      <c r="S30" s="112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4"/>
      <c r="AX30" s="115"/>
      <c r="AY30" s="115"/>
      <c r="AZ30" s="115"/>
      <c r="BA30" s="115"/>
      <c r="BB30" s="115"/>
      <c r="BC30" s="116"/>
      <c r="BD30" s="117"/>
      <c r="BE30" s="115"/>
      <c r="BF30" s="115"/>
      <c r="BG30" s="115"/>
      <c r="BH30" s="115"/>
      <c r="BI30" s="115"/>
      <c r="BJ30" s="116"/>
      <c r="BK30" s="82"/>
    </row>
    <row r="31" spans="1:63" ht="15" customHeight="1" x14ac:dyDescent="0.25">
      <c r="A31" s="81"/>
      <c r="B31" s="53"/>
      <c r="C31" s="51"/>
      <c r="D31" s="51"/>
      <c r="E31" s="51"/>
      <c r="F31" s="51"/>
      <c r="G31" s="52"/>
      <c r="H31" s="53"/>
      <c r="I31" s="51"/>
      <c r="J31" s="51"/>
      <c r="K31" s="51"/>
      <c r="L31" s="51"/>
      <c r="M31" s="51"/>
      <c r="N31" s="52"/>
      <c r="O31" s="53"/>
      <c r="P31" s="51"/>
      <c r="Q31" s="51"/>
      <c r="R31" s="51"/>
      <c r="S31" s="106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8"/>
      <c r="AX31" s="109"/>
      <c r="AY31" s="109"/>
      <c r="AZ31" s="109"/>
      <c r="BA31" s="109"/>
      <c r="BB31" s="109"/>
      <c r="BC31" s="110"/>
      <c r="BD31" s="111"/>
      <c r="BE31" s="109"/>
      <c r="BF31" s="109"/>
      <c r="BG31" s="109"/>
      <c r="BH31" s="109"/>
      <c r="BI31" s="109"/>
      <c r="BJ31" s="110"/>
      <c r="BK31" s="82"/>
    </row>
    <row r="32" spans="1:63" ht="15" customHeight="1" x14ac:dyDescent="0.25">
      <c r="A32" s="81"/>
      <c r="B32" s="63"/>
      <c r="C32" s="64"/>
      <c r="D32" s="64"/>
      <c r="E32" s="64"/>
      <c r="F32" s="64"/>
      <c r="G32" s="65"/>
      <c r="H32" s="63"/>
      <c r="I32" s="64"/>
      <c r="J32" s="64"/>
      <c r="K32" s="64"/>
      <c r="L32" s="64"/>
      <c r="M32" s="64"/>
      <c r="N32" s="65"/>
      <c r="O32" s="63"/>
      <c r="P32" s="64"/>
      <c r="Q32" s="64"/>
      <c r="R32" s="64"/>
      <c r="S32" s="112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4"/>
      <c r="AX32" s="115"/>
      <c r="AY32" s="115"/>
      <c r="AZ32" s="115"/>
      <c r="BA32" s="115"/>
      <c r="BB32" s="115"/>
      <c r="BC32" s="116"/>
      <c r="BD32" s="117"/>
      <c r="BE32" s="115"/>
      <c r="BF32" s="115"/>
      <c r="BG32" s="115"/>
      <c r="BH32" s="115"/>
      <c r="BI32" s="115"/>
      <c r="BJ32" s="116"/>
      <c r="BK32" s="82"/>
    </row>
    <row r="33" spans="1:63" ht="15" customHeight="1" x14ac:dyDescent="0.25">
      <c r="A33" s="81"/>
      <c r="B33" s="53"/>
      <c r="C33" s="51"/>
      <c r="D33" s="51"/>
      <c r="E33" s="51"/>
      <c r="F33" s="51"/>
      <c r="G33" s="52"/>
      <c r="H33" s="53"/>
      <c r="I33" s="51"/>
      <c r="J33" s="51"/>
      <c r="K33" s="51"/>
      <c r="L33" s="51"/>
      <c r="M33" s="51"/>
      <c r="N33" s="52"/>
      <c r="O33" s="53"/>
      <c r="P33" s="51"/>
      <c r="Q33" s="51"/>
      <c r="R33" s="51"/>
      <c r="S33" s="106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8"/>
      <c r="AX33" s="109"/>
      <c r="AY33" s="109"/>
      <c r="AZ33" s="109"/>
      <c r="BA33" s="109"/>
      <c r="BB33" s="109"/>
      <c r="BC33" s="110"/>
      <c r="BD33" s="111"/>
      <c r="BE33" s="109"/>
      <c r="BF33" s="109"/>
      <c r="BG33" s="109"/>
      <c r="BH33" s="109"/>
      <c r="BI33" s="109"/>
      <c r="BJ33" s="110"/>
      <c r="BK33" s="82"/>
    </row>
    <row r="34" spans="1:63" ht="15" customHeight="1" x14ac:dyDescent="0.25">
      <c r="A34" s="81"/>
      <c r="B34" s="63"/>
      <c r="C34" s="64"/>
      <c r="D34" s="64"/>
      <c r="E34" s="64"/>
      <c r="F34" s="64"/>
      <c r="G34" s="65"/>
      <c r="H34" s="63"/>
      <c r="I34" s="64"/>
      <c r="J34" s="64"/>
      <c r="K34" s="64"/>
      <c r="L34" s="64"/>
      <c r="M34" s="64"/>
      <c r="N34" s="65"/>
      <c r="O34" s="63"/>
      <c r="P34" s="64"/>
      <c r="Q34" s="64"/>
      <c r="R34" s="64"/>
      <c r="S34" s="112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4"/>
      <c r="AX34" s="115"/>
      <c r="AY34" s="115"/>
      <c r="AZ34" s="115"/>
      <c r="BA34" s="115"/>
      <c r="BB34" s="115"/>
      <c r="BC34" s="116"/>
      <c r="BD34" s="117"/>
      <c r="BE34" s="115"/>
      <c r="BF34" s="115"/>
      <c r="BG34" s="115"/>
      <c r="BH34" s="115"/>
      <c r="BI34" s="115"/>
      <c r="BJ34" s="116"/>
      <c r="BK34" s="82"/>
    </row>
    <row r="35" spans="1:63" ht="15" customHeight="1" x14ac:dyDescent="0.25">
      <c r="A35" s="81"/>
      <c r="B35" s="53"/>
      <c r="C35" s="51"/>
      <c r="D35" s="51"/>
      <c r="E35" s="51"/>
      <c r="F35" s="51"/>
      <c r="G35" s="52"/>
      <c r="H35" s="53"/>
      <c r="I35" s="51"/>
      <c r="J35" s="51"/>
      <c r="K35" s="51"/>
      <c r="L35" s="51"/>
      <c r="M35" s="51"/>
      <c r="N35" s="52"/>
      <c r="O35" s="53"/>
      <c r="P35" s="51"/>
      <c r="Q35" s="51"/>
      <c r="R35" s="51"/>
      <c r="S35" s="106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8"/>
      <c r="AX35" s="109"/>
      <c r="AY35" s="109"/>
      <c r="AZ35" s="109"/>
      <c r="BA35" s="109"/>
      <c r="BB35" s="109"/>
      <c r="BC35" s="110"/>
      <c r="BD35" s="111"/>
      <c r="BE35" s="109"/>
      <c r="BF35" s="109"/>
      <c r="BG35" s="109"/>
      <c r="BH35" s="109"/>
      <c r="BI35" s="109"/>
      <c r="BJ35" s="110"/>
      <c r="BK35" s="82"/>
    </row>
    <row r="36" spans="1:63" ht="15" customHeight="1" x14ac:dyDescent="0.25">
      <c r="A36" s="81"/>
      <c r="B36" s="63"/>
      <c r="C36" s="64"/>
      <c r="D36" s="64"/>
      <c r="E36" s="64"/>
      <c r="F36" s="64"/>
      <c r="G36" s="65"/>
      <c r="H36" s="63"/>
      <c r="I36" s="64"/>
      <c r="J36" s="64"/>
      <c r="K36" s="64"/>
      <c r="L36" s="64"/>
      <c r="M36" s="64"/>
      <c r="N36" s="65"/>
      <c r="O36" s="63"/>
      <c r="P36" s="64"/>
      <c r="Q36" s="64"/>
      <c r="R36" s="64"/>
      <c r="S36" s="112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4"/>
      <c r="AX36" s="115"/>
      <c r="AY36" s="115"/>
      <c r="AZ36" s="115"/>
      <c r="BA36" s="115"/>
      <c r="BB36" s="115"/>
      <c r="BC36" s="116"/>
      <c r="BD36" s="117"/>
      <c r="BE36" s="115"/>
      <c r="BF36" s="115"/>
      <c r="BG36" s="115"/>
      <c r="BH36" s="115"/>
      <c r="BI36" s="115"/>
      <c r="BJ36" s="116"/>
      <c r="BK36" s="82"/>
    </row>
    <row r="37" spans="1:63" ht="15" customHeight="1" x14ac:dyDescent="0.25">
      <c r="A37" s="81"/>
      <c r="B37" s="53"/>
      <c r="C37" s="51"/>
      <c r="D37" s="51"/>
      <c r="E37" s="51"/>
      <c r="F37" s="51"/>
      <c r="G37" s="52"/>
      <c r="H37" s="53"/>
      <c r="I37" s="51"/>
      <c r="J37" s="51"/>
      <c r="K37" s="51"/>
      <c r="L37" s="51"/>
      <c r="M37" s="51"/>
      <c r="N37" s="52"/>
      <c r="O37" s="53"/>
      <c r="P37" s="51"/>
      <c r="Q37" s="51"/>
      <c r="R37" s="51"/>
      <c r="S37" s="106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8"/>
      <c r="AX37" s="109"/>
      <c r="AY37" s="109"/>
      <c r="AZ37" s="109"/>
      <c r="BA37" s="109"/>
      <c r="BB37" s="109"/>
      <c r="BC37" s="110"/>
      <c r="BD37" s="111"/>
      <c r="BE37" s="109"/>
      <c r="BF37" s="109"/>
      <c r="BG37" s="109"/>
      <c r="BH37" s="109"/>
      <c r="BI37" s="109"/>
      <c r="BJ37" s="110"/>
      <c r="BK37" s="82"/>
    </row>
    <row r="38" spans="1:63" ht="15" customHeight="1" x14ac:dyDescent="0.25">
      <c r="A38" s="81"/>
      <c r="B38" s="63"/>
      <c r="C38" s="64"/>
      <c r="D38" s="64"/>
      <c r="E38" s="64"/>
      <c r="F38" s="64"/>
      <c r="G38" s="65"/>
      <c r="H38" s="63"/>
      <c r="I38" s="64"/>
      <c r="J38" s="64"/>
      <c r="K38" s="64"/>
      <c r="L38" s="64"/>
      <c r="M38" s="64"/>
      <c r="N38" s="65"/>
      <c r="O38" s="63"/>
      <c r="P38" s="64"/>
      <c r="Q38" s="64"/>
      <c r="R38" s="64"/>
      <c r="S38" s="112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4"/>
      <c r="AX38" s="115"/>
      <c r="AY38" s="115"/>
      <c r="AZ38" s="115"/>
      <c r="BA38" s="115"/>
      <c r="BB38" s="115"/>
      <c r="BC38" s="116"/>
      <c r="BD38" s="117"/>
      <c r="BE38" s="115"/>
      <c r="BF38" s="115"/>
      <c r="BG38" s="115"/>
      <c r="BH38" s="115"/>
      <c r="BI38" s="115"/>
      <c r="BJ38" s="116"/>
      <c r="BK38" s="82"/>
    </row>
    <row r="39" spans="1:63" ht="15" customHeight="1" x14ac:dyDescent="0.25">
      <c r="A39" s="81"/>
      <c r="B39" s="53"/>
      <c r="C39" s="51"/>
      <c r="D39" s="51"/>
      <c r="E39" s="51"/>
      <c r="F39" s="51"/>
      <c r="G39" s="52"/>
      <c r="H39" s="53"/>
      <c r="I39" s="51"/>
      <c r="J39" s="51"/>
      <c r="K39" s="51"/>
      <c r="L39" s="51"/>
      <c r="M39" s="51"/>
      <c r="N39" s="52"/>
      <c r="O39" s="53"/>
      <c r="P39" s="51"/>
      <c r="Q39" s="51"/>
      <c r="R39" s="51"/>
      <c r="S39" s="106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8"/>
      <c r="AX39" s="109"/>
      <c r="AY39" s="109"/>
      <c r="AZ39" s="109"/>
      <c r="BA39" s="109"/>
      <c r="BB39" s="109"/>
      <c r="BC39" s="110"/>
      <c r="BD39" s="111"/>
      <c r="BE39" s="109"/>
      <c r="BF39" s="109"/>
      <c r="BG39" s="109"/>
      <c r="BH39" s="109"/>
      <c r="BI39" s="109"/>
      <c r="BJ39" s="110"/>
      <c r="BK39" s="82"/>
    </row>
    <row r="40" spans="1:63" ht="15" customHeight="1" x14ac:dyDescent="0.25">
      <c r="A40" s="81"/>
      <c r="B40" s="63"/>
      <c r="C40" s="64"/>
      <c r="D40" s="64"/>
      <c r="E40" s="64"/>
      <c r="F40" s="64"/>
      <c r="G40" s="65"/>
      <c r="H40" s="63"/>
      <c r="I40" s="64"/>
      <c r="J40" s="64"/>
      <c r="K40" s="64"/>
      <c r="L40" s="64"/>
      <c r="M40" s="64"/>
      <c r="N40" s="65"/>
      <c r="O40" s="63"/>
      <c r="P40" s="64"/>
      <c r="Q40" s="64"/>
      <c r="R40" s="64"/>
      <c r="S40" s="112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4"/>
      <c r="AX40" s="115"/>
      <c r="AY40" s="115"/>
      <c r="AZ40" s="115"/>
      <c r="BA40" s="115"/>
      <c r="BB40" s="115"/>
      <c r="BC40" s="116"/>
      <c r="BD40" s="117"/>
      <c r="BE40" s="115"/>
      <c r="BF40" s="115"/>
      <c r="BG40" s="115"/>
      <c r="BH40" s="115"/>
      <c r="BI40" s="115"/>
      <c r="BJ40" s="116"/>
      <c r="BK40" s="82"/>
    </row>
    <row r="41" spans="1:63" ht="15" customHeight="1" x14ac:dyDescent="0.25">
      <c r="A41" s="81"/>
      <c r="B41" s="53"/>
      <c r="C41" s="51"/>
      <c r="D41" s="51"/>
      <c r="E41" s="51"/>
      <c r="F41" s="51"/>
      <c r="G41" s="52"/>
      <c r="H41" s="53"/>
      <c r="I41" s="51"/>
      <c r="J41" s="51"/>
      <c r="K41" s="51"/>
      <c r="L41" s="51"/>
      <c r="M41" s="51"/>
      <c r="N41" s="52"/>
      <c r="O41" s="53"/>
      <c r="P41" s="51"/>
      <c r="Q41" s="51"/>
      <c r="R41" s="51"/>
      <c r="S41" s="106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8"/>
      <c r="AX41" s="109"/>
      <c r="AY41" s="109"/>
      <c r="AZ41" s="109"/>
      <c r="BA41" s="109"/>
      <c r="BB41" s="109"/>
      <c r="BC41" s="110"/>
      <c r="BD41" s="111"/>
      <c r="BE41" s="109"/>
      <c r="BF41" s="109"/>
      <c r="BG41" s="109"/>
      <c r="BH41" s="109"/>
      <c r="BI41" s="109"/>
      <c r="BJ41" s="110"/>
      <c r="BK41" s="82"/>
    </row>
    <row r="42" spans="1:63" ht="15" customHeight="1" x14ac:dyDescent="0.25">
      <c r="A42" s="81"/>
      <c r="B42" s="63"/>
      <c r="C42" s="64"/>
      <c r="D42" s="64"/>
      <c r="E42" s="64"/>
      <c r="F42" s="64"/>
      <c r="G42" s="65"/>
      <c r="H42" s="63"/>
      <c r="I42" s="64"/>
      <c r="J42" s="64"/>
      <c r="K42" s="64"/>
      <c r="L42" s="64"/>
      <c r="M42" s="64"/>
      <c r="N42" s="65"/>
      <c r="O42" s="63"/>
      <c r="P42" s="64"/>
      <c r="Q42" s="64"/>
      <c r="R42" s="64"/>
      <c r="S42" s="112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4"/>
      <c r="AX42" s="115"/>
      <c r="AY42" s="115"/>
      <c r="AZ42" s="115"/>
      <c r="BA42" s="115"/>
      <c r="BB42" s="115"/>
      <c r="BC42" s="116"/>
      <c r="BD42" s="117"/>
      <c r="BE42" s="115"/>
      <c r="BF42" s="115"/>
      <c r="BG42" s="115"/>
      <c r="BH42" s="115"/>
      <c r="BI42" s="115"/>
      <c r="BJ42" s="116"/>
      <c r="BK42" s="82"/>
    </row>
    <row r="43" spans="1:63" ht="15" customHeight="1" x14ac:dyDescent="0.25">
      <c r="A43" s="81"/>
      <c r="B43" s="53"/>
      <c r="C43" s="51"/>
      <c r="D43" s="51"/>
      <c r="E43" s="51"/>
      <c r="F43" s="51"/>
      <c r="G43" s="52"/>
      <c r="H43" s="53"/>
      <c r="I43" s="51"/>
      <c r="J43" s="51"/>
      <c r="K43" s="51"/>
      <c r="L43" s="51"/>
      <c r="M43" s="51"/>
      <c r="N43" s="52"/>
      <c r="O43" s="53"/>
      <c r="P43" s="51"/>
      <c r="Q43" s="51"/>
      <c r="R43" s="51"/>
      <c r="S43" s="106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8"/>
      <c r="AX43" s="109"/>
      <c r="AY43" s="109"/>
      <c r="AZ43" s="109"/>
      <c r="BA43" s="109"/>
      <c r="BB43" s="109"/>
      <c r="BC43" s="110"/>
      <c r="BD43" s="111"/>
      <c r="BE43" s="109"/>
      <c r="BF43" s="109"/>
      <c r="BG43" s="109"/>
      <c r="BH43" s="109"/>
      <c r="BI43" s="109"/>
      <c r="BJ43" s="110"/>
      <c r="BK43" s="82"/>
    </row>
    <row r="44" spans="1:63" ht="15" customHeight="1" x14ac:dyDescent="0.25">
      <c r="A44" s="81"/>
      <c r="B44" s="63"/>
      <c r="C44" s="64"/>
      <c r="D44" s="64"/>
      <c r="E44" s="64"/>
      <c r="F44" s="64"/>
      <c r="G44" s="65"/>
      <c r="H44" s="63"/>
      <c r="I44" s="64"/>
      <c r="J44" s="64"/>
      <c r="K44" s="64"/>
      <c r="L44" s="64"/>
      <c r="M44" s="64"/>
      <c r="N44" s="65"/>
      <c r="O44" s="63"/>
      <c r="P44" s="64"/>
      <c r="Q44" s="64"/>
      <c r="R44" s="64"/>
      <c r="S44" s="112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4"/>
      <c r="AX44" s="115"/>
      <c r="AY44" s="115"/>
      <c r="AZ44" s="115"/>
      <c r="BA44" s="115"/>
      <c r="BB44" s="115"/>
      <c r="BC44" s="116"/>
      <c r="BD44" s="117"/>
      <c r="BE44" s="115"/>
      <c r="BF44" s="115"/>
      <c r="BG44" s="115"/>
      <c r="BH44" s="115"/>
      <c r="BI44" s="115"/>
      <c r="BJ44" s="116"/>
      <c r="BK44" s="82"/>
    </row>
    <row r="45" spans="1:63" ht="15" customHeight="1" x14ac:dyDescent="0.25">
      <c r="A45" s="81"/>
      <c r="B45" s="53"/>
      <c r="C45" s="51"/>
      <c r="D45" s="51"/>
      <c r="E45" s="51"/>
      <c r="F45" s="51"/>
      <c r="G45" s="52"/>
      <c r="H45" s="53"/>
      <c r="I45" s="51"/>
      <c r="J45" s="51"/>
      <c r="K45" s="51"/>
      <c r="L45" s="51"/>
      <c r="M45" s="51"/>
      <c r="N45" s="52"/>
      <c r="O45" s="53"/>
      <c r="P45" s="51"/>
      <c r="Q45" s="51"/>
      <c r="R45" s="51"/>
      <c r="S45" s="106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8"/>
      <c r="AX45" s="109"/>
      <c r="AY45" s="109"/>
      <c r="AZ45" s="109"/>
      <c r="BA45" s="109"/>
      <c r="BB45" s="109"/>
      <c r="BC45" s="110"/>
      <c r="BD45" s="111"/>
      <c r="BE45" s="109"/>
      <c r="BF45" s="109"/>
      <c r="BG45" s="109"/>
      <c r="BH45" s="109"/>
      <c r="BI45" s="109"/>
      <c r="BJ45" s="110"/>
      <c r="BK45" s="82"/>
    </row>
    <row r="46" spans="1:63" ht="15" customHeight="1" x14ac:dyDescent="0.25">
      <c r="A46" s="81"/>
      <c r="B46" s="63"/>
      <c r="C46" s="64"/>
      <c r="D46" s="64"/>
      <c r="E46" s="64"/>
      <c r="F46" s="64"/>
      <c r="G46" s="65"/>
      <c r="H46" s="63"/>
      <c r="I46" s="64"/>
      <c r="J46" s="64"/>
      <c r="K46" s="64"/>
      <c r="L46" s="64"/>
      <c r="M46" s="64"/>
      <c r="N46" s="65"/>
      <c r="O46" s="63"/>
      <c r="P46" s="64"/>
      <c r="Q46" s="64"/>
      <c r="R46" s="64"/>
      <c r="S46" s="112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14"/>
      <c r="AX46" s="115"/>
      <c r="AY46" s="115"/>
      <c r="AZ46" s="115"/>
      <c r="BA46" s="115"/>
      <c r="BB46" s="115"/>
      <c r="BC46" s="116"/>
      <c r="BD46" s="117"/>
      <c r="BE46" s="115"/>
      <c r="BF46" s="115"/>
      <c r="BG46" s="115"/>
      <c r="BH46" s="115"/>
      <c r="BI46" s="115"/>
      <c r="BJ46" s="116"/>
      <c r="BK46" s="82"/>
    </row>
    <row r="47" spans="1:63" ht="15" customHeight="1" x14ac:dyDescent="0.25">
      <c r="A47" s="81"/>
      <c r="B47" s="53"/>
      <c r="C47" s="51"/>
      <c r="D47" s="51"/>
      <c r="E47" s="51"/>
      <c r="F47" s="51"/>
      <c r="G47" s="52"/>
      <c r="H47" s="53"/>
      <c r="I47" s="51"/>
      <c r="J47" s="51"/>
      <c r="K47" s="51"/>
      <c r="L47" s="51"/>
      <c r="M47" s="51"/>
      <c r="N47" s="52"/>
      <c r="O47" s="53"/>
      <c r="P47" s="51"/>
      <c r="Q47" s="51"/>
      <c r="R47" s="51"/>
      <c r="S47" s="106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8"/>
      <c r="AX47" s="109"/>
      <c r="AY47" s="109"/>
      <c r="AZ47" s="109"/>
      <c r="BA47" s="109"/>
      <c r="BB47" s="109"/>
      <c r="BC47" s="110"/>
      <c r="BD47" s="111"/>
      <c r="BE47" s="109"/>
      <c r="BF47" s="109"/>
      <c r="BG47" s="109"/>
      <c r="BH47" s="109"/>
      <c r="BI47" s="109"/>
      <c r="BJ47" s="110"/>
      <c r="BK47" s="82"/>
    </row>
    <row r="48" spans="1:63" ht="15" customHeight="1" x14ac:dyDescent="0.25">
      <c r="A48" s="81"/>
      <c r="B48" s="63"/>
      <c r="C48" s="64"/>
      <c r="D48" s="64"/>
      <c r="E48" s="64"/>
      <c r="F48" s="64"/>
      <c r="G48" s="65"/>
      <c r="H48" s="63"/>
      <c r="I48" s="64"/>
      <c r="J48" s="64"/>
      <c r="K48" s="64"/>
      <c r="L48" s="64"/>
      <c r="M48" s="64"/>
      <c r="N48" s="65"/>
      <c r="O48" s="63"/>
      <c r="P48" s="64"/>
      <c r="Q48" s="64"/>
      <c r="R48" s="64"/>
      <c r="S48" s="112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4"/>
      <c r="AX48" s="115"/>
      <c r="AY48" s="115"/>
      <c r="AZ48" s="115"/>
      <c r="BA48" s="115"/>
      <c r="BB48" s="115"/>
      <c r="BC48" s="116"/>
      <c r="BD48" s="117"/>
      <c r="BE48" s="115"/>
      <c r="BF48" s="115"/>
      <c r="BG48" s="115"/>
      <c r="BH48" s="115"/>
      <c r="BI48" s="115"/>
      <c r="BJ48" s="116"/>
      <c r="BK48" s="82"/>
    </row>
    <row r="49" spans="1:63" ht="15" customHeight="1" x14ac:dyDescent="0.25">
      <c r="A49" s="81"/>
      <c r="B49" s="53"/>
      <c r="C49" s="51"/>
      <c r="D49" s="51"/>
      <c r="E49" s="51"/>
      <c r="F49" s="51"/>
      <c r="G49" s="52"/>
      <c r="H49" s="53"/>
      <c r="I49" s="51"/>
      <c r="J49" s="51"/>
      <c r="K49" s="51"/>
      <c r="L49" s="51"/>
      <c r="M49" s="51"/>
      <c r="N49" s="52"/>
      <c r="O49" s="53"/>
      <c r="P49" s="51"/>
      <c r="Q49" s="51"/>
      <c r="R49" s="51"/>
      <c r="S49" s="106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8"/>
      <c r="AX49" s="109"/>
      <c r="AY49" s="109"/>
      <c r="AZ49" s="109"/>
      <c r="BA49" s="109"/>
      <c r="BB49" s="109"/>
      <c r="BC49" s="110"/>
      <c r="BD49" s="111"/>
      <c r="BE49" s="109"/>
      <c r="BF49" s="109"/>
      <c r="BG49" s="109"/>
      <c r="BH49" s="109"/>
      <c r="BI49" s="109"/>
      <c r="BJ49" s="110"/>
      <c r="BK49" s="82"/>
    </row>
    <row r="50" spans="1:63" ht="15" customHeight="1" x14ac:dyDescent="0.25">
      <c r="A50" s="81"/>
      <c r="B50" s="63"/>
      <c r="C50" s="64"/>
      <c r="D50" s="64"/>
      <c r="E50" s="64"/>
      <c r="F50" s="64"/>
      <c r="G50" s="65"/>
      <c r="H50" s="63"/>
      <c r="I50" s="64"/>
      <c r="J50" s="64"/>
      <c r="K50" s="64"/>
      <c r="L50" s="64"/>
      <c r="M50" s="64"/>
      <c r="N50" s="65"/>
      <c r="O50" s="63"/>
      <c r="P50" s="64"/>
      <c r="Q50" s="64"/>
      <c r="R50" s="64"/>
      <c r="S50" s="112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4"/>
      <c r="AX50" s="115"/>
      <c r="AY50" s="115"/>
      <c r="AZ50" s="115"/>
      <c r="BA50" s="115"/>
      <c r="BB50" s="115"/>
      <c r="BC50" s="116"/>
      <c r="BD50" s="117"/>
      <c r="BE50" s="115"/>
      <c r="BF50" s="115"/>
      <c r="BG50" s="115"/>
      <c r="BH50" s="115"/>
      <c r="BI50" s="115"/>
      <c r="BJ50" s="116"/>
      <c r="BK50" s="82"/>
    </row>
    <row r="51" spans="1:63" ht="15" customHeight="1" x14ac:dyDescent="0.25">
      <c r="A51" s="81"/>
      <c r="B51" s="53"/>
      <c r="C51" s="51"/>
      <c r="D51" s="51"/>
      <c r="E51" s="51"/>
      <c r="F51" s="51"/>
      <c r="G51" s="52"/>
      <c r="H51" s="53"/>
      <c r="I51" s="51"/>
      <c r="J51" s="51"/>
      <c r="K51" s="51"/>
      <c r="L51" s="51"/>
      <c r="M51" s="51"/>
      <c r="N51" s="52"/>
      <c r="O51" s="53"/>
      <c r="P51" s="51"/>
      <c r="Q51" s="51"/>
      <c r="R51" s="51"/>
      <c r="S51" s="106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8"/>
      <c r="AX51" s="109"/>
      <c r="AY51" s="109"/>
      <c r="AZ51" s="109"/>
      <c r="BA51" s="109"/>
      <c r="BB51" s="109"/>
      <c r="BC51" s="110"/>
      <c r="BD51" s="111"/>
      <c r="BE51" s="109"/>
      <c r="BF51" s="109"/>
      <c r="BG51" s="109"/>
      <c r="BH51" s="109"/>
      <c r="BI51" s="109"/>
      <c r="BJ51" s="110"/>
      <c r="BK51" s="82"/>
    </row>
    <row r="52" spans="1:63" ht="15" customHeight="1" x14ac:dyDescent="0.25">
      <c r="A52" s="81"/>
      <c r="B52" s="63"/>
      <c r="C52" s="64"/>
      <c r="D52" s="64"/>
      <c r="E52" s="64"/>
      <c r="F52" s="64"/>
      <c r="G52" s="65"/>
      <c r="H52" s="63"/>
      <c r="I52" s="64"/>
      <c r="J52" s="64"/>
      <c r="K52" s="64"/>
      <c r="L52" s="64"/>
      <c r="M52" s="64"/>
      <c r="N52" s="65"/>
      <c r="O52" s="63"/>
      <c r="P52" s="64"/>
      <c r="Q52" s="64"/>
      <c r="R52" s="64"/>
      <c r="S52" s="112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4"/>
      <c r="AX52" s="115"/>
      <c r="AY52" s="115"/>
      <c r="AZ52" s="115"/>
      <c r="BA52" s="115"/>
      <c r="BB52" s="115"/>
      <c r="BC52" s="116"/>
      <c r="BD52" s="117"/>
      <c r="BE52" s="115"/>
      <c r="BF52" s="115"/>
      <c r="BG52" s="115"/>
      <c r="BH52" s="115"/>
      <c r="BI52" s="115"/>
      <c r="BJ52" s="116"/>
      <c r="BK52" s="82"/>
    </row>
    <row r="53" spans="1:63" ht="15" customHeight="1" x14ac:dyDescent="0.25">
      <c r="A53" s="81"/>
      <c r="B53" s="53"/>
      <c r="C53" s="51"/>
      <c r="D53" s="51"/>
      <c r="E53" s="51"/>
      <c r="F53" s="51"/>
      <c r="G53" s="52"/>
      <c r="H53" s="53"/>
      <c r="I53" s="51"/>
      <c r="J53" s="51"/>
      <c r="K53" s="51"/>
      <c r="L53" s="51"/>
      <c r="M53" s="51"/>
      <c r="N53" s="52"/>
      <c r="O53" s="53"/>
      <c r="P53" s="51"/>
      <c r="Q53" s="51"/>
      <c r="R53" s="51"/>
      <c r="S53" s="106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8"/>
      <c r="AX53" s="109"/>
      <c r="AY53" s="109"/>
      <c r="AZ53" s="109"/>
      <c r="BA53" s="109"/>
      <c r="BB53" s="109"/>
      <c r="BC53" s="110"/>
      <c r="BD53" s="111"/>
      <c r="BE53" s="109"/>
      <c r="BF53" s="109"/>
      <c r="BG53" s="109"/>
      <c r="BH53" s="109"/>
      <c r="BI53" s="109"/>
      <c r="BJ53" s="110"/>
      <c r="BK53" s="82"/>
    </row>
    <row r="54" spans="1:63" ht="15" customHeight="1" x14ac:dyDescent="0.25">
      <c r="A54" s="81"/>
      <c r="B54" s="63"/>
      <c r="C54" s="64"/>
      <c r="D54" s="64"/>
      <c r="E54" s="64"/>
      <c r="F54" s="64"/>
      <c r="G54" s="65"/>
      <c r="H54" s="63"/>
      <c r="I54" s="64"/>
      <c r="J54" s="64"/>
      <c r="K54" s="64"/>
      <c r="L54" s="64"/>
      <c r="M54" s="64"/>
      <c r="N54" s="65"/>
      <c r="O54" s="63"/>
      <c r="P54" s="64"/>
      <c r="Q54" s="64"/>
      <c r="R54" s="64"/>
      <c r="S54" s="112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4"/>
      <c r="AX54" s="115"/>
      <c r="AY54" s="115"/>
      <c r="AZ54" s="115"/>
      <c r="BA54" s="115"/>
      <c r="BB54" s="115"/>
      <c r="BC54" s="116"/>
      <c r="BD54" s="117"/>
      <c r="BE54" s="115"/>
      <c r="BF54" s="115"/>
      <c r="BG54" s="115"/>
      <c r="BH54" s="115"/>
      <c r="BI54" s="115"/>
      <c r="BJ54" s="116"/>
      <c r="BK54" s="82"/>
    </row>
    <row r="55" spans="1:63" ht="15" customHeight="1" x14ac:dyDescent="0.25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8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249-BF9F-4572-AF05-C562D8E6D11A}">
  <sheetPr>
    <tabColor rgb="FF0000FF"/>
    <pageSetUpPr fitToPage="1"/>
  </sheetPr>
  <dimension ref="A1:BK432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7" t="s">
        <v>28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29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 t="str">
        <f>IF(表紙!W1="","",表紙!W1)</f>
        <v>詳細設計書</v>
      </c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2"/>
      <c r="AP1" s="44" t="s">
        <v>31</v>
      </c>
      <c r="AQ1" s="45"/>
      <c r="AR1" s="45"/>
      <c r="AS1" s="46"/>
      <c r="AT1" s="44" t="s">
        <v>32</v>
      </c>
      <c r="AU1" s="45"/>
      <c r="AV1" s="45"/>
      <c r="AW1" s="45"/>
      <c r="AX1" s="46"/>
      <c r="AY1" s="44" t="s">
        <v>33</v>
      </c>
      <c r="AZ1" s="45"/>
      <c r="BA1" s="45"/>
      <c r="BB1" s="46"/>
      <c r="BC1" s="44" t="s">
        <v>34</v>
      </c>
      <c r="BD1" s="45"/>
      <c r="BE1" s="45"/>
      <c r="BF1" s="45"/>
      <c r="BG1" s="46"/>
      <c r="BH1" s="44" t="s">
        <v>35</v>
      </c>
      <c r="BI1" s="45"/>
      <c r="BJ1" s="45"/>
      <c r="BK1" s="46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43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5"/>
      <c r="AP2" s="53" t="str">
        <f>IF(表紙!AP2="","",表紙!AP2)</f>
        <v>TuyenNH</v>
      </c>
      <c r="AQ2" s="51"/>
      <c r="AR2" s="51"/>
      <c r="AS2" s="52"/>
      <c r="AT2" s="57">
        <f>IF(表紙!AT2="","",表紙!AT2)</f>
        <v>45470</v>
      </c>
      <c r="AU2" s="58"/>
      <c r="AV2" s="58"/>
      <c r="AW2" s="58"/>
      <c r="AX2" s="59"/>
      <c r="AY2" s="53" t="str">
        <f>IF(表紙!AY2="","",表紙!AY2)</f>
        <v>TuyenNH</v>
      </c>
      <c r="AZ2" s="51"/>
      <c r="BA2" s="51"/>
      <c r="BB2" s="52"/>
      <c r="BC2" s="57">
        <f>IF(表紙!BC2="","",表紙!BC2)</f>
        <v>45610</v>
      </c>
      <c r="BD2" s="58"/>
      <c r="BE2" s="58"/>
      <c r="BF2" s="58"/>
      <c r="BG2" s="59"/>
      <c r="BH2" s="53">
        <f>IF(表紙!BH2="","",表紙!BH2)</f>
        <v>0.3</v>
      </c>
      <c r="BI2" s="51"/>
      <c r="BJ2" s="51"/>
      <c r="BK2" s="52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46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8"/>
      <c r="AP3" s="63"/>
      <c r="AQ3" s="64"/>
      <c r="AR3" s="64"/>
      <c r="AS3" s="65"/>
      <c r="AT3" s="69"/>
      <c r="AU3" s="70"/>
      <c r="AV3" s="70"/>
      <c r="AW3" s="70"/>
      <c r="AX3" s="71"/>
      <c r="AY3" s="63"/>
      <c r="AZ3" s="64"/>
      <c r="BA3" s="64"/>
      <c r="BB3" s="65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149" t="s">
        <v>48</v>
      </c>
      <c r="B4" s="138"/>
      <c r="C4" s="138"/>
      <c r="D4" s="138"/>
      <c r="E4" s="138"/>
      <c r="F4" s="138"/>
      <c r="G4" s="139"/>
      <c r="H4" s="30" t="str">
        <f>IF(表紙!H4="","",表紙!H4)</f>
        <v>X1_メニュー機能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37" t="s">
        <v>38</v>
      </c>
      <c r="V4" s="138"/>
      <c r="W4" s="138"/>
      <c r="X4" s="138"/>
      <c r="Y4" s="139"/>
      <c r="Z4" s="30" t="str">
        <f>IF(表紙!Z4="","",表紙!Z4)</f>
        <v>機能設計書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42" t="str">
        <f ca="1">MID(CELL("filename",A1),FIND("]",CELL("filename",A1))+1,255)</f>
        <v>SCX101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151" customFormat="1" ht="15" customHeight="1" x14ac:dyDescent="0.25">
      <c r="A7" s="150" t="s">
        <v>8</v>
      </c>
      <c r="BK7" s="152"/>
    </row>
    <row r="8" spans="1:63" s="151" customFormat="1" ht="15" customHeight="1" x14ac:dyDescent="0.25">
      <c r="A8" s="150"/>
      <c r="BK8" s="152"/>
    </row>
    <row r="9" spans="1:63" s="151" customFormat="1" ht="15" customHeight="1" x14ac:dyDescent="0.25">
      <c r="A9" s="44" t="s">
        <v>49</v>
      </c>
      <c r="B9" s="45"/>
      <c r="C9" s="45"/>
      <c r="D9" s="45"/>
      <c r="E9" s="153" t="s">
        <v>9</v>
      </c>
      <c r="F9" s="153"/>
      <c r="G9" s="153"/>
      <c r="H9" s="153"/>
      <c r="I9" s="153"/>
      <c r="J9" s="153"/>
      <c r="K9" s="153"/>
      <c r="L9" s="153"/>
      <c r="M9" s="153"/>
      <c r="N9" s="153"/>
      <c r="O9" s="44" t="s">
        <v>50</v>
      </c>
      <c r="P9" s="45"/>
      <c r="Q9" s="45"/>
      <c r="R9" s="45"/>
      <c r="S9" s="45"/>
      <c r="T9" s="46"/>
      <c r="U9" s="154" t="s">
        <v>51</v>
      </c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6"/>
    </row>
    <row r="10" spans="1:63" ht="15" customHeight="1" x14ac:dyDescent="0.25">
      <c r="A10" s="20"/>
      <c r="BK10" s="5"/>
    </row>
    <row r="11" spans="1:63" s="151" customFormat="1" ht="15" customHeight="1" x14ac:dyDescent="0.25">
      <c r="A11" s="157" t="s">
        <v>3</v>
      </c>
      <c r="B11" s="158"/>
      <c r="C11" s="158"/>
      <c r="D11" s="158"/>
      <c r="E11" s="158"/>
      <c r="F11" s="159"/>
      <c r="G11" s="153" t="s">
        <v>16</v>
      </c>
      <c r="H11" s="153"/>
      <c r="I11" s="153"/>
      <c r="J11" s="153"/>
      <c r="K11" s="153"/>
      <c r="L11" s="153"/>
      <c r="M11" s="6" t="s">
        <v>10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160"/>
      <c r="BI11" s="160"/>
      <c r="BJ11" s="160"/>
      <c r="BK11" s="161"/>
    </row>
    <row r="12" spans="1:63" s="151" customFormat="1" ht="15" customHeight="1" x14ac:dyDescent="0.25">
      <c r="A12" s="162" t="s">
        <v>4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4"/>
      <c r="M12" s="162" t="s">
        <v>5</v>
      </c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4"/>
      <c r="AU12" s="162" t="s">
        <v>6</v>
      </c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2" t="s">
        <v>7</v>
      </c>
      <c r="BG12" s="163"/>
      <c r="BH12" s="163"/>
      <c r="BI12" s="163"/>
      <c r="BJ12" s="163"/>
      <c r="BK12" s="164"/>
    </row>
    <row r="13" spans="1:63" s="151" customFormat="1" ht="15" customHeight="1" x14ac:dyDescent="0.25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/>
      <c r="M13" s="165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7"/>
      <c r="AU13" s="165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5"/>
      <c r="BG13" s="166"/>
      <c r="BH13" s="166"/>
      <c r="BI13" s="166"/>
      <c r="BJ13" s="166"/>
      <c r="BK13" s="167"/>
    </row>
    <row r="14" spans="1:63" s="151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168"/>
      <c r="N14" s="168"/>
      <c r="O14" s="168"/>
      <c r="P14" s="168"/>
      <c r="Q14" s="168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43" t="s">
        <v>15</v>
      </c>
      <c r="BG14" s="37"/>
      <c r="BH14" s="37"/>
      <c r="BI14" s="37"/>
      <c r="BJ14" s="37"/>
      <c r="BK14" s="38"/>
    </row>
    <row r="15" spans="1:63" s="151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168"/>
      <c r="N15" s="21" t="s">
        <v>52</v>
      </c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39"/>
      <c r="BG15" s="40"/>
      <c r="BH15" s="40"/>
      <c r="BI15" s="40"/>
      <c r="BJ15" s="40"/>
      <c r="BK15" s="41"/>
    </row>
    <row r="16" spans="1:63" s="151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170"/>
      <c r="N16" s="168"/>
      <c r="O16" s="171" t="s">
        <v>14</v>
      </c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39"/>
      <c r="BG16" s="40"/>
      <c r="BH16" s="40"/>
      <c r="BI16" s="40"/>
      <c r="BJ16" s="40"/>
      <c r="BK16" s="41"/>
    </row>
    <row r="17" spans="1:63" s="151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168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39"/>
      <c r="BG17" s="40"/>
      <c r="BH17" s="40"/>
      <c r="BI17" s="40"/>
      <c r="BJ17" s="40"/>
      <c r="BK17" s="41"/>
    </row>
    <row r="18" spans="1:63" s="151" customFormat="1" ht="1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72"/>
      <c r="N18" s="173"/>
      <c r="O18" s="173"/>
      <c r="P18" s="173"/>
      <c r="Q18" s="173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74"/>
      <c r="AQ18" s="174"/>
      <c r="AR18" s="174"/>
      <c r="AS18" s="174"/>
      <c r="AT18" s="174"/>
      <c r="AU18" s="12"/>
      <c r="AV18" s="13"/>
      <c r="AW18" s="13"/>
      <c r="AX18" s="13"/>
      <c r="AY18" s="13"/>
      <c r="AZ18" s="13"/>
      <c r="BA18" s="13"/>
      <c r="BB18" s="13"/>
      <c r="BC18" s="13"/>
      <c r="BD18" s="13"/>
      <c r="BE18" s="14"/>
      <c r="BF18" s="33"/>
      <c r="BG18" s="34"/>
      <c r="BH18" s="34"/>
      <c r="BI18" s="34"/>
      <c r="BJ18" s="34"/>
      <c r="BK18" s="35"/>
    </row>
    <row r="19" spans="1:63" ht="15" customHeight="1" x14ac:dyDescent="0.25">
      <c r="A19" s="15"/>
      <c r="BK19" s="5"/>
    </row>
    <row r="20" spans="1:63" ht="15" customHeight="1" x14ac:dyDescent="0.25">
      <c r="A20" s="20"/>
      <c r="BK20" s="5"/>
    </row>
    <row r="21" spans="1:63" ht="15" customHeight="1" x14ac:dyDescent="0.25">
      <c r="A21" s="20"/>
      <c r="BK21" s="5"/>
    </row>
    <row r="22" spans="1:63" s="151" customFormat="1" ht="15" customHeight="1" x14ac:dyDescent="0.25">
      <c r="A22" s="157" t="s">
        <v>3</v>
      </c>
      <c r="B22" s="158"/>
      <c r="C22" s="158"/>
      <c r="D22" s="158"/>
      <c r="E22" s="158"/>
      <c r="F22" s="159"/>
      <c r="G22" s="153" t="s">
        <v>11</v>
      </c>
      <c r="H22" s="153"/>
      <c r="I22" s="153"/>
      <c r="J22" s="153"/>
      <c r="K22" s="153"/>
      <c r="L22" s="153"/>
      <c r="M22" s="6" t="s">
        <v>24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160"/>
      <c r="BI22" s="160"/>
      <c r="BJ22" s="160"/>
      <c r="BK22" s="161"/>
    </row>
    <row r="23" spans="1:63" s="151" customFormat="1" ht="15" customHeight="1" x14ac:dyDescent="0.25">
      <c r="A23" s="162" t="s">
        <v>4</v>
      </c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4"/>
      <c r="M23" s="162" t="s">
        <v>5</v>
      </c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4"/>
      <c r="AU23" s="162" t="s">
        <v>6</v>
      </c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2" t="s">
        <v>7</v>
      </c>
      <c r="BG23" s="163"/>
      <c r="BH23" s="163"/>
      <c r="BI23" s="163"/>
      <c r="BJ23" s="163"/>
      <c r="BK23" s="164"/>
    </row>
    <row r="24" spans="1:63" s="151" customFormat="1" ht="15" customHeight="1" x14ac:dyDescent="0.25">
      <c r="A24" s="165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7"/>
      <c r="M24" s="165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7"/>
      <c r="AU24" s="165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5"/>
      <c r="BG24" s="166"/>
      <c r="BH24" s="166"/>
      <c r="BI24" s="166"/>
      <c r="BJ24" s="166"/>
      <c r="BK24" s="167"/>
    </row>
    <row r="25" spans="1:63" s="151" customFormat="1" ht="15" customHeight="1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168"/>
      <c r="N25" s="168"/>
      <c r="O25" s="168"/>
      <c r="P25" s="168"/>
      <c r="Q25" s="168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7"/>
      <c r="AV25" s="8"/>
      <c r="AW25" s="8"/>
      <c r="AX25" s="8"/>
      <c r="AY25" s="8"/>
      <c r="AZ25" s="8"/>
      <c r="BA25" s="8"/>
      <c r="BB25" s="8"/>
      <c r="BC25" s="8"/>
      <c r="BD25" s="8"/>
      <c r="BE25" s="9"/>
      <c r="BF25" s="36" t="s">
        <v>23</v>
      </c>
      <c r="BG25" s="37"/>
      <c r="BH25" s="37"/>
      <c r="BI25" s="37"/>
      <c r="BJ25" s="37"/>
      <c r="BK25" s="38"/>
    </row>
    <row r="26" spans="1:63" s="151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168"/>
      <c r="N26" s="171" t="s">
        <v>22</v>
      </c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39"/>
      <c r="BG26" s="40"/>
      <c r="BH26" s="40"/>
      <c r="BI26" s="40"/>
      <c r="BJ26" s="40"/>
      <c r="BK26" s="41"/>
    </row>
    <row r="27" spans="1:63" s="151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170"/>
      <c r="N27" s="168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39"/>
      <c r="BG27" s="40"/>
      <c r="BH27" s="40"/>
      <c r="BI27" s="40"/>
      <c r="BJ27" s="40"/>
      <c r="BK27" s="41"/>
    </row>
    <row r="28" spans="1:63" s="151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168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39"/>
      <c r="BG28" s="40"/>
      <c r="BH28" s="40"/>
      <c r="BI28" s="40"/>
      <c r="BJ28" s="40"/>
      <c r="BK28" s="41"/>
    </row>
    <row r="29" spans="1:63" s="151" customFormat="1" ht="15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72"/>
      <c r="N29" s="173"/>
      <c r="O29" s="173"/>
      <c r="P29" s="173"/>
      <c r="Q29" s="173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74"/>
      <c r="AQ29" s="174"/>
      <c r="AR29" s="174"/>
      <c r="AS29" s="174"/>
      <c r="AT29" s="174"/>
      <c r="AU29" s="12"/>
      <c r="AV29" s="13"/>
      <c r="AW29" s="13"/>
      <c r="AX29" s="13"/>
      <c r="AY29" s="13"/>
      <c r="AZ29" s="13"/>
      <c r="BA29" s="13"/>
      <c r="BB29" s="13"/>
      <c r="BC29" s="13"/>
      <c r="BD29" s="13"/>
      <c r="BE29" s="14"/>
      <c r="BF29" s="33"/>
      <c r="BG29" s="34"/>
      <c r="BH29" s="34"/>
      <c r="BI29" s="34"/>
      <c r="BJ29" s="34"/>
      <c r="BK29" s="35"/>
    </row>
    <row r="30" spans="1:63" ht="15" customHeight="1" x14ac:dyDescent="0.25">
      <c r="A30" s="20"/>
      <c r="BK30" s="5"/>
    </row>
    <row r="31" spans="1:63" ht="15" customHeight="1" x14ac:dyDescent="0.25">
      <c r="A31" s="20"/>
      <c r="BK31" s="5"/>
    </row>
    <row r="32" spans="1:63" ht="15" customHeight="1" x14ac:dyDescent="0.25">
      <c r="A32" s="20"/>
      <c r="BK32" s="5"/>
    </row>
    <row r="33" spans="1:63" s="151" customFormat="1" ht="15" customHeight="1" x14ac:dyDescent="0.25">
      <c r="A33" s="157" t="s">
        <v>3</v>
      </c>
      <c r="B33" s="158"/>
      <c r="C33" s="158"/>
      <c r="D33" s="158"/>
      <c r="E33" s="158"/>
      <c r="F33" s="159"/>
      <c r="G33" s="153" t="s">
        <v>12</v>
      </c>
      <c r="H33" s="153"/>
      <c r="I33" s="153"/>
      <c r="J33" s="153"/>
      <c r="K33" s="153"/>
      <c r="L33" s="153"/>
      <c r="M33" s="6" t="s">
        <v>26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160"/>
      <c r="BI33" s="160"/>
      <c r="BJ33" s="160"/>
      <c r="BK33" s="161"/>
    </row>
    <row r="34" spans="1:63" s="151" customFormat="1" ht="15" customHeight="1" x14ac:dyDescent="0.25">
      <c r="A34" s="162" t="s">
        <v>4</v>
      </c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4"/>
      <c r="M34" s="162" t="s">
        <v>5</v>
      </c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4"/>
      <c r="AU34" s="162" t="s">
        <v>6</v>
      </c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2" t="s">
        <v>7</v>
      </c>
      <c r="BG34" s="163"/>
      <c r="BH34" s="163"/>
      <c r="BI34" s="163"/>
      <c r="BJ34" s="163"/>
      <c r="BK34" s="164"/>
    </row>
    <row r="35" spans="1:63" s="151" customFormat="1" ht="15" customHeight="1" x14ac:dyDescent="0.25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7"/>
      <c r="M35" s="165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7"/>
      <c r="AU35" s="165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5"/>
      <c r="BG35" s="166"/>
      <c r="BH35" s="166"/>
      <c r="BI35" s="166"/>
      <c r="BJ35" s="166"/>
      <c r="BK35" s="167"/>
    </row>
    <row r="36" spans="1:63" s="151" customFormat="1" ht="1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168"/>
      <c r="N36" s="168"/>
      <c r="O36" s="168"/>
      <c r="P36" s="168"/>
      <c r="Q36" s="168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7"/>
      <c r="AV36" s="8"/>
      <c r="AW36" s="8"/>
      <c r="AX36" s="8"/>
      <c r="AY36" s="8"/>
      <c r="AZ36" s="8"/>
      <c r="BA36" s="8"/>
      <c r="BB36" s="8"/>
      <c r="BC36" s="8"/>
      <c r="BD36" s="8"/>
      <c r="BE36" s="9"/>
      <c r="BF36" s="43" t="s">
        <v>15</v>
      </c>
      <c r="BG36" s="37"/>
      <c r="BH36" s="37"/>
      <c r="BI36" s="37"/>
      <c r="BJ36" s="37"/>
      <c r="BK36" s="38"/>
    </row>
    <row r="37" spans="1:63" s="151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168"/>
      <c r="N37" s="171" t="s">
        <v>21</v>
      </c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39"/>
      <c r="BG37" s="40"/>
      <c r="BH37" s="40"/>
      <c r="BI37" s="40"/>
      <c r="BJ37" s="40"/>
      <c r="BK37" s="41"/>
    </row>
    <row r="38" spans="1:63" s="151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170"/>
      <c r="N38" s="168"/>
      <c r="O38" s="171" t="s">
        <v>14</v>
      </c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39"/>
      <c r="BG38" s="40"/>
      <c r="BH38" s="40"/>
      <c r="BI38" s="40"/>
      <c r="BJ38" s="40"/>
      <c r="BK38" s="41"/>
    </row>
    <row r="39" spans="1:63" s="151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168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39"/>
      <c r="BG39" s="40"/>
      <c r="BH39" s="40"/>
      <c r="BI39" s="40"/>
      <c r="BJ39" s="40"/>
      <c r="BK39" s="41"/>
    </row>
    <row r="40" spans="1:63" s="151" customFormat="1" ht="15" customHeight="1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/>
      <c r="M40" s="172"/>
      <c r="N40" s="173"/>
      <c r="O40" s="173"/>
      <c r="P40" s="173"/>
      <c r="Q40" s="173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74"/>
      <c r="AQ40" s="174"/>
      <c r="AR40" s="174"/>
      <c r="AS40" s="174"/>
      <c r="AT40" s="174"/>
      <c r="AU40" s="12"/>
      <c r="AV40" s="13"/>
      <c r="AW40" s="13"/>
      <c r="AX40" s="13"/>
      <c r="AY40" s="13"/>
      <c r="AZ40" s="13"/>
      <c r="BA40" s="13"/>
      <c r="BB40" s="13"/>
      <c r="BC40" s="13"/>
      <c r="BD40" s="13"/>
      <c r="BE40" s="14"/>
      <c r="BF40" s="33"/>
      <c r="BG40" s="34"/>
      <c r="BH40" s="34"/>
      <c r="BI40" s="34"/>
      <c r="BJ40" s="34"/>
      <c r="BK40" s="35"/>
    </row>
    <row r="41" spans="1:63" ht="15" customHeight="1" x14ac:dyDescent="0.25">
      <c r="A41" s="20"/>
      <c r="BK41" s="5"/>
    </row>
    <row r="42" spans="1:63" ht="15" customHeight="1" x14ac:dyDescent="0.25">
      <c r="A42" s="20"/>
      <c r="BK42" s="5"/>
    </row>
    <row r="43" spans="1:63" ht="15" customHeight="1" x14ac:dyDescent="0.25">
      <c r="A43" s="20"/>
      <c r="BK43" s="5"/>
    </row>
    <row r="44" spans="1:63" s="151" customFormat="1" ht="15" customHeight="1" x14ac:dyDescent="0.25">
      <c r="A44" s="157" t="s">
        <v>3</v>
      </c>
      <c r="B44" s="158"/>
      <c r="C44" s="158"/>
      <c r="D44" s="158"/>
      <c r="E44" s="158"/>
      <c r="F44" s="159"/>
      <c r="G44" s="153" t="s">
        <v>17</v>
      </c>
      <c r="H44" s="153"/>
      <c r="I44" s="153"/>
      <c r="J44" s="153"/>
      <c r="K44" s="153"/>
      <c r="L44" s="153"/>
      <c r="M44" s="6" t="s">
        <v>18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160"/>
      <c r="BI44" s="160"/>
      <c r="BJ44" s="160"/>
      <c r="BK44" s="161"/>
    </row>
    <row r="45" spans="1:63" s="151" customFormat="1" ht="15" customHeight="1" x14ac:dyDescent="0.25">
      <c r="A45" s="162" t="s">
        <v>4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3"/>
      <c r="L45" s="164"/>
      <c r="M45" s="162" t="s">
        <v>5</v>
      </c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4"/>
      <c r="AU45" s="162" t="s">
        <v>6</v>
      </c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2" t="s">
        <v>7</v>
      </c>
      <c r="BG45" s="163"/>
      <c r="BH45" s="163"/>
      <c r="BI45" s="163"/>
      <c r="BJ45" s="163"/>
      <c r="BK45" s="164"/>
    </row>
    <row r="46" spans="1:63" s="151" customFormat="1" ht="15" customHeight="1" x14ac:dyDescent="0.25">
      <c r="A46" s="165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7"/>
      <c r="M46" s="165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7"/>
      <c r="AU46" s="165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5"/>
      <c r="BG46" s="166"/>
      <c r="BH46" s="166"/>
      <c r="BI46" s="166"/>
      <c r="BJ46" s="166"/>
      <c r="BK46" s="167"/>
    </row>
    <row r="47" spans="1:63" s="151" customFormat="1" ht="15" customHeight="1" x14ac:dyDescent="0.25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  <c r="M47" s="168"/>
      <c r="N47" s="168"/>
      <c r="O47" s="168"/>
      <c r="P47" s="168"/>
      <c r="Q47" s="168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7"/>
      <c r="AV47" s="8"/>
      <c r="AW47" s="8"/>
      <c r="AX47" s="8"/>
      <c r="AY47" s="8"/>
      <c r="AZ47" s="8"/>
      <c r="BA47" s="8"/>
      <c r="BB47" s="8"/>
      <c r="BC47" s="8"/>
      <c r="BD47" s="8"/>
      <c r="BE47" s="9"/>
      <c r="BF47" s="43" t="s">
        <v>15</v>
      </c>
      <c r="BG47" s="37"/>
      <c r="BH47" s="37"/>
      <c r="BI47" s="37"/>
      <c r="BJ47" s="37"/>
      <c r="BK47" s="38"/>
    </row>
    <row r="48" spans="1:63" s="151" customFormat="1" ht="15" customHeight="1" x14ac:dyDescent="0.25">
      <c r="A48" s="10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1"/>
      <c r="M48" s="168"/>
      <c r="N48" s="171" t="s">
        <v>19</v>
      </c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0"/>
      <c r="AV48" s="18"/>
      <c r="AW48" s="18"/>
      <c r="AX48" s="18"/>
      <c r="AY48" s="18"/>
      <c r="AZ48" s="18"/>
      <c r="BA48" s="18"/>
      <c r="BB48" s="18"/>
      <c r="BC48" s="18"/>
      <c r="BD48" s="18"/>
      <c r="BE48" s="11"/>
      <c r="BF48" s="39"/>
      <c r="BG48" s="40"/>
      <c r="BH48" s="40"/>
      <c r="BI48" s="40"/>
      <c r="BJ48" s="40"/>
      <c r="BK48" s="41"/>
    </row>
    <row r="49" spans="1:63" s="151" customFormat="1" ht="15" customHeight="1" x14ac:dyDescent="0.25">
      <c r="A49" s="1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1"/>
      <c r="M49" s="170"/>
      <c r="N49" s="168"/>
      <c r="O49" s="175" t="s">
        <v>53</v>
      </c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1"/>
      <c r="AH49" s="171"/>
      <c r="AI49" s="171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0"/>
      <c r="AV49" s="18"/>
      <c r="AW49" s="18"/>
      <c r="AX49" s="18"/>
      <c r="AY49" s="18"/>
      <c r="AZ49" s="18"/>
      <c r="BA49" s="18"/>
      <c r="BB49" s="18"/>
      <c r="BC49" s="18"/>
      <c r="BD49" s="18"/>
      <c r="BE49" s="11"/>
      <c r="BF49" s="39"/>
      <c r="BG49" s="40"/>
      <c r="BH49" s="40"/>
      <c r="BI49" s="40"/>
      <c r="BJ49" s="40"/>
      <c r="BK49" s="41"/>
    </row>
    <row r="50" spans="1:63" s="151" customFormat="1" ht="15" customHeight="1" x14ac:dyDescent="0.25">
      <c r="A50" s="10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1"/>
      <c r="M50" s="168"/>
      <c r="O50" s="175" t="s">
        <v>54</v>
      </c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1"/>
      <c r="AH50" s="171"/>
      <c r="AI50" s="171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0"/>
      <c r="AV50" s="18"/>
      <c r="AW50" s="18"/>
      <c r="AX50" s="18"/>
      <c r="AY50" s="18"/>
      <c r="AZ50" s="18"/>
      <c r="BA50" s="18"/>
      <c r="BB50" s="18"/>
      <c r="BC50" s="18"/>
      <c r="BD50" s="18"/>
      <c r="BE50" s="11"/>
      <c r="BF50" s="39"/>
      <c r="BG50" s="40"/>
      <c r="BH50" s="40"/>
      <c r="BI50" s="40"/>
      <c r="BJ50" s="40"/>
      <c r="BK50" s="41"/>
    </row>
    <row r="51" spans="1:63" s="151" customFormat="1" ht="15" customHeight="1" x14ac:dyDescent="0.25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72"/>
      <c r="N51" s="173"/>
      <c r="O51" s="173"/>
      <c r="P51" s="173"/>
      <c r="Q51" s="173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74"/>
      <c r="AQ51" s="174"/>
      <c r="AR51" s="174"/>
      <c r="AS51" s="174"/>
      <c r="AT51" s="174"/>
      <c r="AU51" s="12"/>
      <c r="AV51" s="13"/>
      <c r="AW51" s="13"/>
      <c r="AX51" s="13"/>
      <c r="AY51" s="13"/>
      <c r="AZ51" s="13"/>
      <c r="BA51" s="13"/>
      <c r="BB51" s="13"/>
      <c r="BC51" s="13"/>
      <c r="BD51" s="13"/>
      <c r="BE51" s="14"/>
      <c r="BF51" s="33"/>
      <c r="BG51" s="34"/>
      <c r="BH51" s="34"/>
      <c r="BI51" s="34"/>
      <c r="BJ51" s="34"/>
      <c r="BK51" s="35"/>
    </row>
    <row r="52" spans="1:63" ht="15" customHeight="1" x14ac:dyDescent="0.25">
      <c r="A52" s="20"/>
      <c r="BK52" s="5"/>
    </row>
    <row r="53" spans="1:63" ht="15" customHeight="1" x14ac:dyDescent="0.25"/>
    <row r="54" spans="1:63" ht="15" customHeight="1" x14ac:dyDescent="0.25">
      <c r="A54" s="20"/>
      <c r="BK54" s="5"/>
    </row>
    <row r="55" spans="1:63" s="151" customFormat="1" ht="15" customHeight="1" x14ac:dyDescent="0.25">
      <c r="A55" s="157" t="s">
        <v>3</v>
      </c>
      <c r="B55" s="158"/>
      <c r="C55" s="158"/>
      <c r="D55" s="158"/>
      <c r="E55" s="158"/>
      <c r="F55" s="159"/>
      <c r="G55" s="153" t="s">
        <v>27</v>
      </c>
      <c r="H55" s="153"/>
      <c r="I55" s="153"/>
      <c r="J55" s="153"/>
      <c r="K55" s="153"/>
      <c r="L55" s="153"/>
      <c r="M55" s="6" t="s">
        <v>25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160"/>
      <c r="BI55" s="160"/>
      <c r="BJ55" s="160"/>
      <c r="BK55" s="161"/>
    </row>
    <row r="56" spans="1:63" s="151" customFormat="1" ht="15" customHeight="1" x14ac:dyDescent="0.25">
      <c r="A56" s="162" t="s">
        <v>4</v>
      </c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4"/>
      <c r="M56" s="162" t="s">
        <v>5</v>
      </c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4"/>
      <c r="AU56" s="162" t="s">
        <v>6</v>
      </c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2" t="s">
        <v>7</v>
      </c>
      <c r="BG56" s="163"/>
      <c r="BH56" s="163"/>
      <c r="BI56" s="163"/>
      <c r="BJ56" s="163"/>
      <c r="BK56" s="164"/>
    </row>
    <row r="57" spans="1:63" s="151" customFormat="1" ht="15" customHeight="1" x14ac:dyDescent="0.25">
      <c r="A57" s="165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7"/>
      <c r="M57" s="165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7"/>
      <c r="AU57" s="165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5"/>
      <c r="BG57" s="166"/>
      <c r="BH57" s="166"/>
      <c r="BI57" s="166"/>
      <c r="BJ57" s="166"/>
      <c r="BK57" s="167"/>
    </row>
    <row r="58" spans="1:63" s="151" customFormat="1" ht="1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168"/>
      <c r="N58" s="168"/>
      <c r="O58" s="168"/>
      <c r="P58" s="168"/>
      <c r="Q58" s="168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7"/>
      <c r="AV58" s="8"/>
      <c r="AW58" s="8"/>
      <c r="AX58" s="8"/>
      <c r="AY58" s="8"/>
      <c r="AZ58" s="8"/>
      <c r="BA58" s="8"/>
      <c r="BB58" s="8"/>
      <c r="BC58" s="8"/>
      <c r="BD58" s="8"/>
      <c r="BE58" s="9"/>
      <c r="BF58" s="43" t="s">
        <v>15</v>
      </c>
      <c r="BG58" s="37"/>
      <c r="BH58" s="37"/>
      <c r="BI58" s="37"/>
      <c r="BJ58" s="37"/>
      <c r="BK58" s="38"/>
    </row>
    <row r="59" spans="1:63" s="151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168"/>
      <c r="N59" s="171" t="s">
        <v>20</v>
      </c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39"/>
      <c r="BG59" s="40"/>
      <c r="BH59" s="40"/>
      <c r="BI59" s="40"/>
      <c r="BJ59" s="40"/>
      <c r="BK59" s="41"/>
    </row>
    <row r="60" spans="1:63" s="151" customFormat="1" ht="1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1"/>
      <c r="M60" s="170"/>
      <c r="N60" s="168"/>
      <c r="O60" s="171" t="s">
        <v>14</v>
      </c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0"/>
      <c r="AV60" s="18"/>
      <c r="AW60" s="18"/>
      <c r="AX60" s="18"/>
      <c r="AY60" s="18"/>
      <c r="AZ60" s="18"/>
      <c r="BA60" s="18"/>
      <c r="BB60" s="18"/>
      <c r="BC60" s="18"/>
      <c r="BD60" s="18"/>
      <c r="BE60" s="11"/>
      <c r="BF60" s="39"/>
      <c r="BG60" s="40"/>
      <c r="BH60" s="40"/>
      <c r="BI60" s="40"/>
      <c r="BJ60" s="40"/>
      <c r="BK60" s="41"/>
    </row>
    <row r="61" spans="1:63" s="151" customFormat="1" ht="1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1"/>
      <c r="M61" s="168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0"/>
      <c r="AV61" s="18"/>
      <c r="AW61" s="18"/>
      <c r="AX61" s="18"/>
      <c r="AY61" s="18"/>
      <c r="AZ61" s="18"/>
      <c r="BA61" s="18"/>
      <c r="BB61" s="18"/>
      <c r="BC61" s="18"/>
      <c r="BD61" s="18"/>
      <c r="BE61" s="11"/>
      <c r="BF61" s="39"/>
      <c r="BG61" s="40"/>
      <c r="BH61" s="40"/>
      <c r="BI61" s="40"/>
      <c r="BJ61" s="40"/>
      <c r="BK61" s="41"/>
    </row>
    <row r="62" spans="1:63" s="151" customFormat="1" ht="15" customHeight="1" x14ac:dyDescent="0.25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4"/>
      <c r="M62" s="172"/>
      <c r="N62" s="173"/>
      <c r="O62" s="173"/>
      <c r="P62" s="173"/>
      <c r="Q62" s="173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74"/>
      <c r="AQ62" s="174"/>
      <c r="AR62" s="174"/>
      <c r="AS62" s="174"/>
      <c r="AT62" s="174"/>
      <c r="AU62" s="12"/>
      <c r="AV62" s="13"/>
      <c r="AW62" s="13"/>
      <c r="AX62" s="13"/>
      <c r="AY62" s="13"/>
      <c r="AZ62" s="13"/>
      <c r="BA62" s="13"/>
      <c r="BB62" s="13"/>
      <c r="BC62" s="13"/>
      <c r="BD62" s="13"/>
      <c r="BE62" s="14"/>
      <c r="BF62" s="33"/>
      <c r="BG62" s="34"/>
      <c r="BH62" s="34"/>
      <c r="BI62" s="34"/>
      <c r="BJ62" s="34"/>
      <c r="BK62" s="35"/>
    </row>
    <row r="63" spans="1:63" ht="15" customHeight="1" x14ac:dyDescent="0.25">
      <c r="A63" s="20"/>
      <c r="BK63" s="5"/>
    </row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</sheetData>
  <mergeCells count="64">
    <mergeCell ref="BF58:BK61"/>
    <mergeCell ref="BF51:BK51"/>
    <mergeCell ref="BF56:BK57"/>
    <mergeCell ref="M56:AT57"/>
    <mergeCell ref="AU56:BE57"/>
    <mergeCell ref="BF34:BK35"/>
    <mergeCell ref="BF40:BK40"/>
    <mergeCell ref="BF36:BK39"/>
    <mergeCell ref="BF62:BK62"/>
    <mergeCell ref="A33:F33"/>
    <mergeCell ref="G33:L33"/>
    <mergeCell ref="A34:L35"/>
    <mergeCell ref="M34:AT35"/>
    <mergeCell ref="AU34:BE35"/>
    <mergeCell ref="BF47:BK50"/>
    <mergeCell ref="A44:F44"/>
    <mergeCell ref="G44:L44"/>
    <mergeCell ref="A45:L46"/>
    <mergeCell ref="M45:AT46"/>
    <mergeCell ref="AU45:BE46"/>
    <mergeCell ref="BF45:BK46"/>
    <mergeCell ref="A55:F55"/>
    <mergeCell ref="G55:L55"/>
    <mergeCell ref="A56:L57"/>
    <mergeCell ref="BF29:BK29"/>
    <mergeCell ref="BF25:BK28"/>
    <mergeCell ref="AP4:BK4"/>
    <mergeCell ref="BF23:BK24"/>
    <mergeCell ref="BF14:BK17"/>
    <mergeCell ref="BF18:BK18"/>
    <mergeCell ref="BF12:BK13"/>
    <mergeCell ref="A11:F11"/>
    <mergeCell ref="G11:L11"/>
    <mergeCell ref="A12:L13"/>
    <mergeCell ref="M12:AT13"/>
    <mergeCell ref="AU12:BE13"/>
    <mergeCell ref="A22:F22"/>
    <mergeCell ref="G22:L22"/>
    <mergeCell ref="A23:L24"/>
    <mergeCell ref="M23:AT24"/>
    <mergeCell ref="AU23:BE24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F64E86-9C6D-4287-B927-4401EFCA78CA}"/>
</file>

<file path=customXml/itemProps2.xml><?xml version="1.0" encoding="utf-8"?>
<ds:datastoreItem xmlns:ds="http://schemas.openxmlformats.org/officeDocument/2006/customXml" ds:itemID="{05C893E0-F782-42C4-93C1-BA30C29B19BF}"/>
</file>

<file path=customXml/itemProps3.xml><?xml version="1.0" encoding="utf-8"?>
<ds:datastoreItem xmlns:ds="http://schemas.openxmlformats.org/officeDocument/2006/customXml" ds:itemID="{C8C9C29E-2A65-4499-BBDD-7CE4529B18E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改訂履歴</vt:lpstr>
      <vt:lpstr>SCX101</vt:lpstr>
      <vt:lpstr>'SCX101'!Print_Area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2024-11-19T04:45:56Z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