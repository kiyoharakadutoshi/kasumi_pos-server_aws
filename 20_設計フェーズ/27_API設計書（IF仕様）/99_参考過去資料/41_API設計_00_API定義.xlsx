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41_API設計(LC)/"/>
    </mc:Choice>
  </mc:AlternateContent>
  <xr:revisionPtr revIDLastSave="595" documentId="8_{F32AC440-9DB8-41A8-ABC9-721022FCCF2D}" xr6:coauthVersionLast="47" xr6:coauthVersionMax="47" xr10:uidLastSave="{7FFF7607-3004-4D18-8C12-97D8F066B26D}"/>
  <bookViews>
    <workbookView minimized="1" xWindow="-105" yWindow="510" windowWidth="18495" windowHeight="15450" firstSheet="3" activeTab="3" xr2:uid="{E52A0025-4E7A-4B89-B807-E757FDF79FDD}"/>
  </bookViews>
  <sheets>
    <sheet name="表紙" sheetId="8" r:id="rId1"/>
    <sheet name="改廃履歴" sheetId="7" r:id="rId2"/>
    <sheet name="Tổng hợp" sheetId="1" r:id="rId3"/>
    <sheet name="APX001" sheetId="9" r:id="rId4"/>
    <sheet name="L001" sheetId="5" r:id="rId5"/>
    <sheet name="テンプレート" sheetId="6" r:id="rId6"/>
  </sheets>
  <definedNames>
    <definedName name="_xlnm.Print_Area" localSheetId="2">'Tổng hợp'!$A$1:$BK$97</definedName>
    <definedName name="_xlnm.Print_Area" localSheetId="1">改廃履歴!$A$1:$BK$55</definedName>
    <definedName name="_xlnm.Print_Area" localSheetId="0">表紙!$A$1:$BK$55</definedName>
    <definedName name="_xlnm.Print_Titles" localSheetId="2">'Tổng hợp'!$1:$5</definedName>
    <definedName name="_xlnm.Print_Titles" localSheetId="5">テンプレート!$1:$5</definedName>
    <definedName name="_xlnm.Print_Titles" localSheetId="1">改廃履歴!$1:$5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9" l="1"/>
  <c r="AP4" i="1" a="1"/>
  <c r="AP4" i="1" s="1"/>
  <c r="AT2" i="1"/>
  <c r="AP2" i="1"/>
  <c r="Z4" i="1"/>
  <c r="W1" i="1"/>
  <c r="K2" i="1"/>
  <c r="H4" i="1"/>
  <c r="A2" i="1"/>
  <c r="AP4" i="6" a="1"/>
  <c r="AP4" i="6" s="1"/>
  <c r="AT2" i="6"/>
  <c r="AP2" i="6"/>
  <c r="Z4" i="6"/>
  <c r="W1" i="6"/>
  <c r="K2" i="6"/>
  <c r="H4" i="6"/>
  <c r="A2" i="6"/>
  <c r="L24" i="8"/>
  <c r="AP4" i="8" a="1"/>
  <c r="AP4" i="8" s="1"/>
  <c r="BH2" i="8"/>
  <c r="BH2" i="7" s="1"/>
  <c r="BC2" i="8"/>
  <c r="BC2" i="7" s="1"/>
  <c r="AY2" i="8"/>
  <c r="AY2" i="7" s="1"/>
  <c r="AT2" i="8"/>
  <c r="AT2" i="7" s="1"/>
  <c r="AP2" i="8"/>
  <c r="AP2" i="7" s="1"/>
  <c r="AP4" i="7" a="1"/>
  <c r="AP4" i="7" s="1"/>
  <c r="Z4" i="7"/>
  <c r="W1" i="7"/>
  <c r="K2" i="7"/>
  <c r="H4" i="7"/>
  <c r="A2" i="7"/>
  <c r="AR2" i="5"/>
  <c r="BH2" i="1" l="1"/>
  <c r="BH2" i="6"/>
  <c r="BC2" i="6"/>
  <c r="BC2" i="1"/>
  <c r="AY2" i="6"/>
  <c r="AY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<sst xmlns="http://schemas.openxmlformats.org/spreadsheetml/2006/main" count="284" uniqueCount="140">
  <si>
    <t>Báo cáo điều tra</t>
  </si>
  <si>
    <t>Bối cảnh: Kiyohara nghĩ rằng khi release chức năng nạp point cho cty Maruestu sẽ phát sinh nhiều lỗi.</t>
  </si>
  <si>
    <t>Lỗi đó có thể do phía API.</t>
  </si>
  <si>
    <t>2.2 Phía server</t>
  </si>
  <si>
    <t>2.1 Phía app POS-Android</t>
  </si>
  <si>
    <t>- Nội dung log: Nội dung request gửi đi và response nhận về của flow 4_0 của công ty Maruetsu</t>
  </si>
  <si>
    <t>Ghi ra file, mỗi giao dịch nạp point 1 file</t>
  </si>
  <si>
    <t>Khi có log lỗi, server sẽ thực hiện gửi mail đính kèm file log vào 1 địa chỉ mail mặc định.</t>
  </si>
  <si>
    <t>Tên file log: yyyymmddHHMMss-IMoneyCharging-CompanyCode-StoreCode-InstoreCode.text</t>
  </si>
  <si>
    <t>- Thời điểm gửi file lên server: Khi xảy ra lỗi API trong flow nạp point thì gửi file lên, gửi thành công thì xóa file log.</t>
  </si>
  <si>
    <t>Phía server cần chuẩn bị 1 API để app gửi log. Tham khảo sheet API L001</t>
  </si>
  <si>
    <t>2. Kết quả điều tra lần 1</t>
  </si>
  <si>
    <t>3. Kết quả điều tra lần 2</t>
  </si>
  <si>
    <t>3.1 Thời điểm gửi log</t>
  </si>
  <si>
    <t>Date time: yyyymmdd hhMMsss</t>
  </si>
  <si>
    <t>IP address</t>
  </si>
  <si>
    <t>Sau khi trao đổi lần 1, Mr.K đang mong muốn mỗi khi call API đều thực hiện gửi log lên server, việc phát hiện API lỗi thì là real time.</t>
  </si>
  <si>
    <t>Team đồng ý với phương án này. Khi call API có response thì thực hiện gửi log lên server</t>
  </si>
  <si>
    <t>3.2 Nội dung log gửi lên server</t>
  </si>
  <si>
    <t>Request, response của API</t>
  </si>
  <si>
    <t>URL, header</t>
  </si>
  <si>
    <t>3.3 Format request API</t>
  </si>
  <si>
    <t>Url</t>
  </si>
  <si>
    <t>Headers</t>
  </si>
  <si>
    <t>Request</t>
  </si>
  <si>
    <t>Reponse</t>
  </si>
  <si>
    <t>Response code</t>
  </si>
  <si>
    <t>現金POS</t>
    <rPh sb="0" eb="2">
      <t>ゲンキン</t>
    </rPh>
    <phoneticPr fontId="0"/>
  </si>
  <si>
    <t>製品</t>
    <rPh sb="0" eb="2">
      <t>セイヒン</t>
    </rPh>
    <phoneticPr fontId="0"/>
  </si>
  <si>
    <t>設計</t>
    <rPh sb="0" eb="2">
      <t>セッケイ</t>
    </rPh>
    <phoneticPr fontId="0"/>
  </si>
  <si>
    <t>No.</t>
    <phoneticPr fontId="0"/>
  </si>
  <si>
    <t>API</t>
    <phoneticPr fontId="0"/>
  </si>
  <si>
    <t>METHOD</t>
    <phoneticPr fontId="0"/>
  </si>
  <si>
    <t>認証</t>
  </si>
  <si>
    <t>作成情報</t>
    <rPh sb="0" eb="4">
      <t>サクセイジョウホウ</t>
    </rPh>
    <phoneticPr fontId="0"/>
  </si>
  <si>
    <t>更新情報</t>
    <rPh sb="0" eb="4">
      <t>コウシンジョウホウ</t>
    </rPh>
    <phoneticPr fontId="0"/>
  </si>
  <si>
    <t>POS-Controller</t>
  </si>
  <si>
    <t>WebAPI 設計</t>
    <phoneticPr fontId="0"/>
  </si>
  <si>
    <t>POST</t>
    <phoneticPr fontId="0"/>
  </si>
  <si>
    <t>Bearer</t>
  </si>
  <si>
    <t>作成者</t>
    <rPh sb="0" eb="3">
      <t>サクセイシャ</t>
    </rPh>
    <phoneticPr fontId="0"/>
  </si>
  <si>
    <t>DuNT</t>
  </si>
  <si>
    <t>更新者</t>
    <rPh sb="0" eb="3">
      <t>コウシンシャ</t>
    </rPh>
    <phoneticPr fontId="0"/>
  </si>
  <si>
    <t>作成日</t>
    <phoneticPr fontId="0"/>
  </si>
  <si>
    <t>更新日</t>
    <rPh sb="0" eb="3">
      <t>コウシンビ</t>
    </rPh>
    <phoneticPr fontId="0"/>
  </si>
  <si>
    <t xml:space="preserve">▪Client </t>
  </si>
  <si>
    <t>Response&lt;200：OK&gt;</t>
  </si>
  <si>
    <t>Properties</t>
  </si>
  <si>
    <t>Type</t>
  </si>
  <si>
    <t>Length</t>
  </si>
  <si>
    <t>Explanation</t>
  </si>
  <si>
    <t>required</t>
  </si>
  <si>
    <t>Example</t>
  </si>
  <si>
    <t>なし</t>
    <phoneticPr fontId="0"/>
  </si>
  <si>
    <t>-</t>
    <phoneticPr fontId="0"/>
  </si>
  <si>
    <t>Additional information</t>
  </si>
  <si>
    <t>Error Message</t>
  </si>
  <si>
    <t>HTTP Status</t>
  </si>
  <si>
    <t>message</t>
  </si>
  <si>
    <t>Explaination</t>
  </si>
  <si>
    <t>401</t>
    <phoneticPr fontId="0"/>
  </si>
  <si>
    <t>本文無し</t>
    <rPh sb="0" eb="2">
      <t>ホンブン</t>
    </rPh>
    <rPh sb="2" eb="3">
      <t>ナ</t>
    </rPh>
    <phoneticPr fontId="0"/>
  </si>
  <si>
    <t>▪Server</t>
  </si>
  <si>
    <t>Request mapping DB</t>
  </si>
  <si>
    <t>Response mapping DB</t>
  </si>
  <si>
    <t>Table [Column]</t>
  </si>
  <si>
    <t>Additional Information</t>
  </si>
  <si>
    <t>3.4 Gửi mail báo lỗi</t>
  </si>
  <si>
    <t>Nội dung gửi mail lỗi có format như sau:</t>
  </si>
  <si>
    <t>TH các API có mã lỗi khác 200 thì thực hiện gửi mail thông báo về địa chỉ mail thiết định trong code trước đó.</t>
  </si>
  <si>
    <t>(Trừ TH thực hiện API B004 và B014 ở flow check connection lấy thiết định theo máy hoặc lấy thiết định theo cửa hàng. Chỉ gửi mail lỗi khi không có</t>
  </si>
  <si>
    <t>thiết định của công ty)</t>
  </si>
  <si>
    <r>
      <rPr>
        <b/>
        <sz val="14"/>
        <color theme="1"/>
        <rFont val="Times New Roman"/>
        <family val="1"/>
      </rPr>
      <t>Tiêu đề:</t>
    </r>
    <r>
      <rPr>
        <sz val="14"/>
        <color theme="1"/>
        <rFont val="Times New Roman"/>
        <family val="1"/>
      </rPr>
      <t xml:space="preserve"> Error call API: $url_api</t>
    </r>
  </si>
  <si>
    <t>Company Code: 200</t>
  </si>
  <si>
    <t>Company Name: MARUETSU</t>
  </si>
  <si>
    <t>Store Code:   02701</t>
  </si>
  <si>
    <t>Instore Code: 6205</t>
  </si>
  <si>
    <t>IP Address:   10.0.1.239</t>
  </si>
  <si>
    <t>Request Url: https://t3.usmh-fjservice.com/pos/v1/employee/call/alert</t>
  </si>
  <si>
    <t>Response Code: 404</t>
  </si>
  <si>
    <t>Response Content:</t>
  </si>
  <si>
    <t>Request Content: Request{method=POST, url=https://t3.usmh-fjservice.com/pos/v1/employee/call/alert, headers=[Content-Type:application/json, Authorization:Bearer</t>
  </si>
  <si>
    <t xml:space="preserve"> eyJhbGciOiJIUzI1NiIsInR5cCI6IkpXVCJ9.eyJzdWIiOiJBdXRoIiwianRpIjoiYmZhMjBiY2ItNDQxMy00ZjUwLWFkOWEtYmRkYjIxMWNjNGU1Iiwic2lkIjoie1wiY29tcGFueV9jb2RlXCI6XCIyMDBcIixcI</t>
  </si>
  <si>
    <t>nN0b3JlX2NvZGVcIjpcIjAyNzAxXCIsXCJpbnN0b3JlX2NvZGVcIjpcIjYyMDVcIixcIm9zX3R5cGVcIjpcImFuZHJvaWRcIixcIm9zX3ZlcnNpb25cIjpcIjEwXCIsXCJhcHBfdmVyc2lvblwiOlwiMjMwODEwL</t>
  </si>
  <si>
    <t>TAxXCJ9IiwibmJmIjoxNjkxNzM0NTgzLCJleHAiOjIxNDU4ODQ0MDAsImlzcyI6IlBvcyIsImF1ZCI6IkJyYWluZm9yY2UuVXNlciJ9.WLlfDa8mD-lVimLpNcYN806dYlf3qTtYwqUXnd0xFaM],</t>
  </si>
  <si>
    <t xml:space="preserve"> tags={class retrofit2.Invocation=com.pos.data.apis.SalesService.getSupportRequest() [RequestSupport(employeeCode=null, posCode=null, alert=false, message=null)]}}</t>
  </si>
  <si>
    <t>pos/v1/log</t>
  </si>
  <si>
    <t>headers</t>
  </si>
  <si>
    <t>ip_address</t>
  </si>
  <si>
    <t>request</t>
  </si>
  <si>
    <t>response_code</t>
  </si>
  <si>
    <t>response</t>
  </si>
  <si>
    <t>string</t>
  </si>
  <si>
    <t>Int</t>
  </si>
  <si>
    <t>url</t>
  </si>
  <si>
    <t>Tham khảo tài liệu của chức năng 2_5</t>
  </si>
  <si>
    <t>[logmaster]IpAddress</t>
  </si>
  <si>
    <t>[logmaster]Url</t>
  </si>
  <si>
    <t>[logmaster]Headers</t>
  </si>
  <si>
    <t>[logmaster]Request</t>
  </si>
  <si>
    <t>[logmaster]ResponseCode</t>
  </si>
  <si>
    <t>[logmaster]Response</t>
  </si>
  <si>
    <t xml:space="preserve">Các cột CompanyCode, StoreCode, InstoreCode sẽ lấy giá trị được parse từ Bearer </t>
  </si>
  <si>
    <t>để phục vụ chức năng 2_5.</t>
  </si>
  <si>
    <t>Map</t>
  </si>
  <si>
    <t>Ngoài ra, ticket này còn xử lý thêm, nếu Log của API C002, M102, M103 thì thực hiện lưu vào bảng doanh thu để phục vụ cho flow 2_5 (#11317)</t>
  </si>
  <si>
    <t xml:space="preserve">Trường hợp ghi log của API C002, M102, M103 thì thực hiện ghi data của response vào bảng charge_info </t>
  </si>
  <si>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</si>
  <si>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</si>
  <si>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</si>
  <si>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</si>
  <si>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</si>
  <si>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</si>
  <si>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</si>
  <si>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</si>
  <si>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</si>
  <si>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</si>
  <si>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</si>
  <si>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</si>
  <si>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</si>
  <si>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</si>
  <si>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</t>
  </si>
  <si>
    <t>現金専用簡易セルフPOS 基本設計書</t>
  </si>
  <si>
    <t>承認日</t>
  </si>
  <si>
    <r>
      <t>Nô</t>
    </r>
    <r>
      <rPr>
        <sz val="11"/>
        <color theme="1"/>
        <rFont val="Times New Roman"/>
        <family val="1"/>
      </rPr>
      <t>̣</t>
    </r>
    <r>
      <rPr>
        <sz val="11"/>
        <color theme="1"/>
        <rFont val="Meiryo UI"/>
        <family val="3"/>
        <charset val="128"/>
      </rPr>
      <t xml:space="preserve">i dung báo cáo: </t>
    </r>
  </si>
  <si>
    <r>
      <t>1. Đi</t>
    </r>
    <r>
      <rPr>
        <b/>
        <sz val="11"/>
        <color theme="1"/>
        <rFont val="Times New Roman"/>
        <family val="1"/>
      </rPr>
      <t>̣</t>
    </r>
    <r>
      <rPr>
        <b/>
        <sz val="11"/>
        <color theme="1"/>
        <rFont val="Meiryo UI"/>
        <family val="3"/>
        <charset val="128"/>
      </rPr>
      <t>nh nghĩa yêu cầu:</t>
    </r>
  </si>
  <si>
    <r>
      <t>Để xác định đ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ợc nguyên nhân, thời điểm phát sinh lỗi, bác Kiyoahara request team ghi log ở android app khi request API tới server</t>
    </r>
  </si>
  <si>
    <r>
      <t>Log này sẽ đặt ở Luvina controler. Cách ghi log chỉ làm đ</t>
    </r>
    <r>
      <rPr>
        <sz val="11"/>
        <color theme="1"/>
        <rFont val="Times New Roman"/>
        <family val="1"/>
      </rPr>
      <t>ơ</t>
    </r>
    <r>
      <rPr>
        <sz val="11"/>
        <color theme="1"/>
        <rFont val="Meiryo UI"/>
        <family val="3"/>
        <charset val="128"/>
      </rPr>
      <t>n giản là log lại nội dung request gửi đi và response nhận về.</t>
    </r>
  </si>
  <si>
    <r>
      <t>Deadline mong muốn: tr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ớc khi chức năng 4_0 đc release</t>
    </r>
  </si>
  <si>
    <r>
      <t>Sau khi trao đổi lần 1, Mr. K mong muốn mỗi khi có lỗi sẽ gửi lên server, server gửi về mail, t</t>
    </r>
    <r>
      <rPr>
        <sz val="11"/>
        <color theme="1"/>
        <rFont val="Times New Roman"/>
        <family val="1"/>
      </rPr>
      <t>ươ</t>
    </r>
    <r>
      <rPr>
        <sz val="11"/>
        <color theme="1"/>
        <rFont val="Meiryo UI"/>
        <family val="3"/>
        <charset val="128"/>
      </rPr>
      <t>ng tự nh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 xml:space="preserve"> chức năng attendance device </t>
    </r>
  </si>
  <si>
    <r>
      <t>D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ới đây là ảnh file log trong hệ thống hiện tại của khách hàng</t>
    </r>
  </si>
  <si>
    <r>
      <t>- Ph</t>
    </r>
    <r>
      <rPr>
        <sz val="11"/>
        <color theme="1"/>
        <rFont val="Times New Roman"/>
        <family val="1"/>
      </rPr>
      <t>ươ</t>
    </r>
    <r>
      <rPr>
        <sz val="11"/>
        <color theme="1"/>
        <rFont val="Meiryo UI"/>
        <family val="3"/>
        <charset val="128"/>
      </rPr>
      <t xml:space="preserve">ng thức ghi log: </t>
    </r>
  </si>
  <si>
    <r>
      <t>Nếu là flow nạp point, thì tạo 1 folder để chứa file log giao dịch. Trong folder chỉ tồn tại duy nhất 1 file, tr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ớc khi tạo mới file log thì remove file log cũ.</t>
    </r>
  </si>
  <si>
    <r>
      <t>Khi có request gửi file log lên server, server thực hiện l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u file log, đồng thời gửi file log đến địa chỉ email mặc định.</t>
    </r>
  </si>
  <si>
    <t>Thanh Nguyên</t>
    <phoneticPr fontId="22"/>
  </si>
  <si>
    <t>初版</t>
    <rPh sb="0" eb="2">
      <t>ショハン</t>
    </rPh>
    <phoneticPr fontId="22"/>
  </si>
  <si>
    <t>LUVINAコントローラー</t>
    <phoneticPr fontId="22"/>
  </si>
  <si>
    <t>API</t>
    <phoneticPr fontId="22"/>
  </si>
  <si>
    <t>基本設計書</t>
    <rPh sb="0" eb="2">
      <t>キホン</t>
    </rPh>
    <rPh sb="2" eb="5">
      <t>セッケイショ</t>
    </rPh>
    <phoneticPr fontId="22"/>
  </si>
  <si>
    <t>pos/v1/APX001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</si>
</sst>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"/>
  </numFmts>
  <fonts count="31">
    <font>
      <sz val="11"/>
      <name val="Meiryo UI"/>
      <family val="3"/>
      <charset val="128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sz val="11"/>
      <name val="Meiryo UI"/>
      <family val="3"/>
      <charset val="128"/>
    </font>
    <font>
      <b/>
      <sz val="20"/>
      <color theme="0"/>
      <name val="Meiryo UI"/>
      <family val="3"/>
      <charset val="128"/>
    </font>
    <font>
      <b/>
      <sz val="12"/>
      <color theme="0"/>
      <name val="Meiryo UI"/>
      <family val="3"/>
      <charset val="128"/>
    </font>
    <font>
      <sz val="9"/>
      <name val="Meiryo UI"/>
      <family val="3"/>
      <charset val="128"/>
    </font>
    <font>
      <b/>
      <sz val="18"/>
      <name val="Meiryo UI"/>
      <family val="3"/>
      <charset val="128"/>
    </font>
    <font>
      <b/>
      <sz val="14"/>
      <name val="Meiryo UI"/>
      <family val="3"/>
      <charset val="128"/>
    </font>
    <font>
      <sz val="12"/>
      <color theme="0"/>
      <name val="Meiryo UI"/>
      <family val="3"/>
      <charset val="128"/>
    </font>
    <font>
      <sz val="12"/>
      <name val="Meiryo UI"/>
      <family val="3"/>
      <charset val="128"/>
    </font>
    <font>
      <sz val="12"/>
      <name val="Yu Gothic Medium"/>
      <family val="3"/>
    </font>
    <font>
      <b/>
      <sz val="14"/>
      <name val="Meiryo UI"/>
      <family val="2"/>
    </font>
    <font>
      <b/>
      <sz val="12"/>
      <name val="Meiryo UI"/>
      <family val="2"/>
    </font>
    <font>
      <sz val="9"/>
      <color theme="0"/>
      <name val="Meiryo UI"/>
      <family val="3"/>
      <charset val="128"/>
    </font>
    <font>
      <u/>
      <sz val="11"/>
      <color theme="10"/>
      <name val="游ゴシック"/>
      <family val="2"/>
      <scheme val="minor"/>
    </font>
    <font>
      <sz val="8"/>
      <name val="游ゴシック"/>
      <family val="2"/>
      <scheme val="minor"/>
    </font>
    <font>
      <i/>
      <sz val="12"/>
      <name val="Meiryo UI"/>
      <family val="2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Meiryo UI"/>
      <family val="3"/>
      <charset val="128"/>
    </font>
    <font>
      <b/>
      <i/>
      <sz val="11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3399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</borders>
  <cellStyleXfs count="3">
    <xf numFmtId="0" fontId="0" fillId="0" borderId="0"/>
    <xf numFmtId="0" fontId="5" fillId="0" borderId="0">
      <alignment vertical="center"/>
    </xf>
    <xf numFmtId="0" fontId="17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0" applyFont="1"/>
    <xf numFmtId="0" fontId="3" fillId="0" borderId="0" xfId="0" applyFont="1"/>
    <xf numFmtId="49" fontId="8" fillId="0" borderId="0" xfId="1" applyNumberFormat="1" applyFont="1">
      <alignment vertical="center"/>
    </xf>
    <xf numFmtId="0" fontId="12" fillId="0" borderId="0" xfId="1" applyFont="1">
      <alignment vertical="center"/>
    </xf>
    <xf numFmtId="0" fontId="12" fillId="0" borderId="10" xfId="1" applyFont="1" applyBorder="1">
      <alignment vertical="center"/>
    </xf>
    <xf numFmtId="0" fontId="12" fillId="0" borderId="2" xfId="1" applyFont="1" applyBorder="1">
      <alignment vertical="center"/>
    </xf>
    <xf numFmtId="0" fontId="12" fillId="0" borderId="31" xfId="1" applyFont="1" applyBorder="1">
      <alignment vertical="center"/>
    </xf>
    <xf numFmtId="0" fontId="14" fillId="3" borderId="0" xfId="1" applyFont="1" applyFill="1">
      <alignment vertical="center"/>
    </xf>
    <xf numFmtId="0" fontId="15" fillId="3" borderId="0" xfId="1" applyFont="1" applyFill="1">
      <alignment vertical="center"/>
    </xf>
    <xf numFmtId="0" fontId="12" fillId="3" borderId="0" xfId="1" applyFont="1" applyFill="1">
      <alignment vertical="center"/>
    </xf>
    <xf numFmtId="0" fontId="12" fillId="3" borderId="32" xfId="1" applyFont="1" applyFill="1" applyBorder="1">
      <alignment vertical="center"/>
    </xf>
    <xf numFmtId="0" fontId="12" fillId="0" borderId="32" xfId="1" applyFont="1" applyBorder="1">
      <alignment vertical="center"/>
    </xf>
    <xf numFmtId="49" fontId="11" fillId="2" borderId="33" xfId="1" applyNumberFormat="1" applyFont="1" applyFill="1" applyBorder="1">
      <alignment vertical="center"/>
    </xf>
    <xf numFmtId="49" fontId="11" fillId="2" borderId="16" xfId="1" applyNumberFormat="1" applyFont="1" applyFill="1" applyBorder="1">
      <alignment vertical="center"/>
    </xf>
    <xf numFmtId="0" fontId="11" fillId="2" borderId="34" xfId="1" applyFont="1" applyFill="1" applyBorder="1">
      <alignment vertical="center"/>
    </xf>
    <xf numFmtId="0" fontId="11" fillId="2" borderId="0" xfId="1" applyFont="1" applyFill="1">
      <alignment vertical="center"/>
    </xf>
    <xf numFmtId="0" fontId="11" fillId="2" borderId="13" xfId="1" applyFont="1" applyFill="1" applyBorder="1">
      <alignment vertical="center"/>
    </xf>
    <xf numFmtId="0" fontId="11" fillId="2" borderId="35" xfId="1" applyFont="1" applyFill="1" applyBorder="1">
      <alignment vertical="center"/>
    </xf>
    <xf numFmtId="0" fontId="16" fillId="2" borderId="36" xfId="1" applyFont="1" applyFill="1" applyBorder="1">
      <alignment vertical="center"/>
    </xf>
    <xf numFmtId="0" fontId="11" fillId="2" borderId="37" xfId="1" applyFont="1" applyFill="1" applyBorder="1">
      <alignment vertical="center"/>
    </xf>
    <xf numFmtId="0" fontId="11" fillId="2" borderId="14" xfId="1" applyFont="1" applyFill="1" applyBorder="1">
      <alignment vertical="center"/>
    </xf>
    <xf numFmtId="0" fontId="12" fillId="2" borderId="34" xfId="1" applyFont="1" applyFill="1" applyBorder="1">
      <alignment vertical="center"/>
    </xf>
    <xf numFmtId="0" fontId="12" fillId="0" borderId="38" xfId="1" applyFont="1" applyBorder="1">
      <alignment vertical="center"/>
    </xf>
    <xf numFmtId="0" fontId="12" fillId="0" borderId="39" xfId="1" applyFont="1" applyBorder="1">
      <alignment vertical="center"/>
    </xf>
    <xf numFmtId="0" fontId="8" fillId="0" borderId="41" xfId="1" applyFont="1" applyBorder="1" applyAlignment="1">
      <alignment vertical="top"/>
    </xf>
    <xf numFmtId="0" fontId="8" fillId="0" borderId="0" xfId="1" applyFont="1" applyAlignment="1">
      <alignment vertical="top"/>
    </xf>
    <xf numFmtId="0" fontId="8" fillId="0" borderId="42" xfId="1" applyFont="1" applyBorder="1" applyAlignment="1">
      <alignment vertical="top"/>
    </xf>
    <xf numFmtId="0" fontId="12" fillId="0" borderId="43" xfId="1" applyFont="1" applyBorder="1">
      <alignment vertical="center"/>
    </xf>
    <xf numFmtId="0" fontId="12" fillId="0" borderId="44" xfId="1" applyFont="1" applyBorder="1">
      <alignment vertical="center"/>
    </xf>
    <xf numFmtId="0" fontId="12" fillId="0" borderId="45" xfId="1" applyFont="1" applyBorder="1" applyAlignment="1">
      <alignment vertical="top" wrapText="1"/>
    </xf>
    <xf numFmtId="49" fontId="11" fillId="2" borderId="15" xfId="1" applyNumberFormat="1" applyFont="1" applyFill="1" applyBorder="1">
      <alignment vertical="center"/>
    </xf>
    <xf numFmtId="49" fontId="11" fillId="2" borderId="13" xfId="1" applyNumberFormat="1" applyFont="1" applyFill="1" applyBorder="1">
      <alignment vertical="center"/>
    </xf>
    <xf numFmtId="49" fontId="11" fillId="2" borderId="14" xfId="1" applyNumberFormat="1" applyFont="1" applyFill="1" applyBorder="1">
      <alignment vertical="center"/>
    </xf>
    <xf numFmtId="0" fontId="12" fillId="0" borderId="13" xfId="1" applyFont="1" applyBorder="1">
      <alignment vertical="center"/>
    </xf>
    <xf numFmtId="0" fontId="12" fillId="0" borderId="14" xfId="1" applyFont="1" applyBorder="1">
      <alignment vertical="center"/>
    </xf>
    <xf numFmtId="0" fontId="11" fillId="2" borderId="15" xfId="1" applyFont="1" applyFill="1" applyBorder="1">
      <alignment vertical="center"/>
    </xf>
    <xf numFmtId="0" fontId="12" fillId="0" borderId="42" xfId="1" applyFont="1" applyBorder="1">
      <alignment vertical="center"/>
    </xf>
    <xf numFmtId="49" fontId="12" fillId="0" borderId="38" xfId="1" applyNumberFormat="1" applyFont="1" applyBorder="1">
      <alignment vertical="center"/>
    </xf>
    <xf numFmtId="49" fontId="12" fillId="0" borderId="39" xfId="1" applyNumberFormat="1" applyFont="1" applyBorder="1">
      <alignment vertical="center"/>
    </xf>
    <xf numFmtId="49" fontId="8" fillId="0" borderId="38" xfId="1" applyNumberFormat="1" applyFont="1" applyBorder="1">
      <alignment vertical="center"/>
    </xf>
    <xf numFmtId="49" fontId="8" fillId="0" borderId="40" xfId="1" applyNumberFormat="1" applyFont="1" applyBorder="1">
      <alignment vertical="center"/>
    </xf>
    <xf numFmtId="49" fontId="8" fillId="0" borderId="46" xfId="1" applyNumberFormat="1" applyFont="1" applyBorder="1">
      <alignment vertical="center"/>
    </xf>
    <xf numFmtId="49" fontId="8" fillId="0" borderId="39" xfId="1" applyNumberFormat="1" applyFont="1" applyBorder="1">
      <alignment vertical="center"/>
    </xf>
    <xf numFmtId="0" fontId="12" fillId="0" borderId="47" xfId="1" applyFont="1" applyBorder="1">
      <alignment vertical="center"/>
    </xf>
    <xf numFmtId="0" fontId="12" fillId="0" borderId="48" xfId="1" applyFont="1" applyBorder="1">
      <alignment vertical="center"/>
    </xf>
    <xf numFmtId="49" fontId="8" fillId="0" borderId="49" xfId="1" applyNumberFormat="1" applyFont="1" applyBorder="1">
      <alignment vertical="center"/>
    </xf>
    <xf numFmtId="49" fontId="8" fillId="0" borderId="50" xfId="1" applyNumberFormat="1" applyFont="1" applyBorder="1">
      <alignment vertical="center"/>
    </xf>
    <xf numFmtId="49" fontId="8" fillId="0" borderId="51" xfId="1" applyNumberFormat="1" applyFont="1" applyBorder="1">
      <alignment vertical="center"/>
    </xf>
    <xf numFmtId="49" fontId="8" fillId="0" borderId="52" xfId="1" applyNumberFormat="1" applyFont="1" applyBorder="1">
      <alignment vertical="center"/>
    </xf>
    <xf numFmtId="0" fontId="14" fillId="4" borderId="0" xfId="1" applyFont="1" applyFill="1">
      <alignment vertical="center"/>
    </xf>
    <xf numFmtId="0" fontId="12" fillId="4" borderId="0" xfId="1" applyFont="1" applyFill="1">
      <alignment vertical="center"/>
    </xf>
    <xf numFmtId="0" fontId="12" fillId="4" borderId="32" xfId="1" applyFont="1" applyFill="1" applyBorder="1">
      <alignment vertical="center"/>
    </xf>
    <xf numFmtId="49" fontId="12" fillId="4" borderId="33" xfId="1" applyNumberFormat="1" applyFont="1" applyFill="1" applyBorder="1">
      <alignment vertical="center"/>
    </xf>
    <xf numFmtId="49" fontId="12" fillId="4" borderId="16" xfId="1" applyNumberFormat="1" applyFont="1" applyFill="1" applyBorder="1">
      <alignment vertical="center"/>
    </xf>
    <xf numFmtId="49" fontId="12" fillId="4" borderId="17" xfId="1" applyNumberFormat="1" applyFont="1" applyFill="1" applyBorder="1">
      <alignment vertical="center"/>
    </xf>
    <xf numFmtId="0" fontId="12" fillId="4" borderId="34" xfId="1" applyFont="1" applyFill="1" applyBorder="1">
      <alignment vertical="center"/>
    </xf>
    <xf numFmtId="0" fontId="12" fillId="4" borderId="37" xfId="1" applyFont="1" applyFill="1" applyBorder="1">
      <alignment vertical="center"/>
    </xf>
    <xf numFmtId="0" fontId="8" fillId="4" borderId="0" xfId="1" applyFont="1" applyFill="1">
      <alignment vertical="center"/>
    </xf>
    <xf numFmtId="0" fontId="12" fillId="4" borderId="13" xfId="1" applyFont="1" applyFill="1" applyBorder="1">
      <alignment vertical="center"/>
    </xf>
    <xf numFmtId="0" fontId="12" fillId="4" borderId="14" xfId="1" applyFont="1" applyFill="1" applyBorder="1">
      <alignment vertical="center"/>
    </xf>
    <xf numFmtId="49" fontId="12" fillId="0" borderId="45" xfId="1" applyNumberFormat="1" applyFont="1" applyBorder="1">
      <alignment vertical="center"/>
    </xf>
    <xf numFmtId="0" fontId="12" fillId="0" borderId="43" xfId="0" applyFont="1" applyBorder="1" applyAlignment="1">
      <alignment horizontal="centerContinuous" vertical="center"/>
    </xf>
    <xf numFmtId="0" fontId="12" fillId="0" borderId="43" xfId="0" applyFont="1" applyBorder="1" applyAlignment="1">
      <alignment horizontal="centerContinuous" vertical="top" wrapText="1"/>
    </xf>
    <xf numFmtId="0" fontId="12" fillId="0" borderId="43" xfId="0" applyFont="1" applyBorder="1" applyAlignment="1">
      <alignment vertical="top"/>
    </xf>
    <xf numFmtId="0" fontId="8" fillId="0" borderId="43" xfId="1" applyFont="1" applyBorder="1" applyAlignment="1">
      <alignment vertical="top"/>
    </xf>
    <xf numFmtId="0" fontId="8" fillId="0" borderId="53" xfId="1" applyFont="1" applyBorder="1" applyAlignment="1">
      <alignment vertical="top"/>
    </xf>
    <xf numFmtId="0" fontId="12" fillId="4" borderId="15" xfId="1" applyFont="1" applyFill="1" applyBorder="1">
      <alignment vertical="center"/>
    </xf>
    <xf numFmtId="49" fontId="11" fillId="4" borderId="13" xfId="1" applyNumberFormat="1" applyFont="1" applyFill="1" applyBorder="1">
      <alignment vertical="center"/>
    </xf>
    <xf numFmtId="0" fontId="12" fillId="4" borderId="13" xfId="0" applyFont="1" applyFill="1" applyBorder="1" applyAlignment="1">
      <alignment horizontal="centerContinuous" vertical="center"/>
    </xf>
    <xf numFmtId="0" fontId="12" fillId="4" borderId="13" xfId="0" applyFont="1" applyFill="1" applyBorder="1" applyAlignment="1">
      <alignment horizontal="centerContinuous" vertical="top" wrapText="1"/>
    </xf>
    <xf numFmtId="0" fontId="12" fillId="4" borderId="13" xfId="0" applyFont="1" applyFill="1" applyBorder="1" applyAlignment="1">
      <alignment vertical="top"/>
    </xf>
    <xf numFmtId="0" fontId="8" fillId="4" borderId="13" xfId="1" applyFont="1" applyFill="1" applyBorder="1" applyAlignment="1">
      <alignment vertical="top"/>
    </xf>
    <xf numFmtId="0" fontId="8" fillId="4" borderId="14" xfId="1" applyFont="1" applyFill="1" applyBorder="1" applyAlignment="1">
      <alignment vertical="top"/>
    </xf>
    <xf numFmtId="0" fontId="12" fillId="0" borderId="46" xfId="1" applyFont="1" applyBorder="1">
      <alignment vertical="center"/>
    </xf>
    <xf numFmtId="0" fontId="12" fillId="0" borderId="38" xfId="0" applyFont="1" applyBorder="1" applyAlignment="1">
      <alignment horizontal="centerContinuous" vertical="center"/>
    </xf>
    <xf numFmtId="0" fontId="12" fillId="0" borderId="38" xfId="0" applyFont="1" applyBorder="1" applyAlignment="1">
      <alignment horizontal="centerContinuous" vertical="top" wrapText="1"/>
    </xf>
    <xf numFmtId="0" fontId="12" fillId="0" borderId="38" xfId="0" applyFont="1" applyBorder="1" applyAlignment="1">
      <alignment vertical="top"/>
    </xf>
    <xf numFmtId="0" fontId="8" fillId="0" borderId="38" xfId="1" applyFont="1" applyBorder="1" applyAlignment="1">
      <alignment vertical="top"/>
    </xf>
    <xf numFmtId="0" fontId="8" fillId="0" borderId="46" xfId="1" applyFont="1" applyBorder="1" applyAlignment="1">
      <alignment vertical="top"/>
    </xf>
    <xf numFmtId="0" fontId="12" fillId="0" borderId="53" xfId="1" applyFont="1" applyBorder="1">
      <alignment vertical="center"/>
    </xf>
    <xf numFmtId="49" fontId="12" fillId="0" borderId="43" xfId="1" applyNumberFormat="1" applyFont="1" applyBorder="1">
      <alignment vertical="center"/>
    </xf>
    <xf numFmtId="0" fontId="12" fillId="4" borderId="54" xfId="1" applyFont="1" applyFill="1" applyBorder="1">
      <alignment vertical="center"/>
    </xf>
    <xf numFmtId="0" fontId="12" fillId="0" borderId="49" xfId="1" applyFont="1" applyBorder="1">
      <alignment vertical="center"/>
    </xf>
    <xf numFmtId="0" fontId="12" fillId="0" borderId="52" xfId="1" applyFont="1" applyBorder="1">
      <alignment vertical="center"/>
    </xf>
    <xf numFmtId="0" fontId="12" fillId="0" borderId="55" xfId="1" applyFont="1" applyBorder="1">
      <alignment vertical="center"/>
    </xf>
    <xf numFmtId="0" fontId="12" fillId="0" borderId="24" xfId="1" applyFont="1" applyBorder="1">
      <alignment vertical="center"/>
    </xf>
    <xf numFmtId="0" fontId="12" fillId="0" borderId="56" xfId="1" applyFont="1" applyBorder="1">
      <alignment vertical="center"/>
    </xf>
    <xf numFmtId="0" fontId="19" fillId="0" borderId="0" xfId="1" applyFont="1">
      <alignment vertical="center"/>
    </xf>
    <xf numFmtId="0" fontId="19" fillId="0" borderId="32" xfId="1" applyFont="1" applyBorder="1">
      <alignment vertical="center"/>
    </xf>
    <xf numFmtId="0" fontId="0" fillId="0" borderId="34" xfId="0" applyBorder="1"/>
    <xf numFmtId="0" fontId="0" fillId="0" borderId="54" xfId="0" applyBorder="1"/>
    <xf numFmtId="0" fontId="0" fillId="0" borderId="47" xfId="0" applyBorder="1"/>
    <xf numFmtId="0" fontId="0" fillId="0" borderId="42" xfId="0" applyBorder="1"/>
    <xf numFmtId="0" fontId="0" fillId="0" borderId="48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21" fillId="0" borderId="0" xfId="0" applyFont="1"/>
    <xf numFmtId="0" fontId="26" fillId="0" borderId="0" xfId="0" applyFont="1"/>
    <xf numFmtId="0" fontId="21" fillId="0" borderId="0" xfId="0" applyFont="1" applyAlignment="1">
      <alignment horizontal="left" vertical="top"/>
    </xf>
    <xf numFmtId="0" fontId="29" fillId="0" borderId="0" xfId="0" applyFont="1"/>
    <xf numFmtId="0" fontId="30" fillId="0" borderId="0" xfId="0" applyFont="1"/>
    <xf numFmtId="0" fontId="21" fillId="0" borderId="0" xfId="0" quotePrefix="1" applyFont="1"/>
    <xf numFmtId="0" fontId="21" fillId="0" borderId="0" xfId="0" quotePrefix="1" applyFont="1" applyAlignment="1">
      <alignment horizontal="left"/>
    </xf>
    <xf numFmtId="0" fontId="21" fillId="0" borderId="0" xfId="0" applyFont="1" applyAlignment="1">
      <alignment horizontal="left" indent="2"/>
    </xf>
    <xf numFmtId="0" fontId="30" fillId="0" borderId="0" xfId="0" applyFont="1" applyAlignment="1">
      <alignment horizontal="left" indent="2"/>
    </xf>
    <xf numFmtId="0" fontId="21" fillId="0" borderId="42" xfId="0" applyFont="1" applyBorder="1"/>
    <xf numFmtId="0" fontId="29" fillId="0" borderId="42" xfId="0" applyFont="1" applyBorder="1"/>
    <xf numFmtId="0" fontId="21" fillId="0" borderId="15" xfId="0" applyFont="1" applyBorder="1"/>
    <xf numFmtId="0" fontId="21" fillId="0" borderId="13" xfId="0" applyFont="1" applyBorder="1"/>
    <xf numFmtId="0" fontId="2" fillId="0" borderId="34" xfId="0" applyFont="1" applyBorder="1"/>
    <xf numFmtId="0" fontId="3" fillId="0" borderId="34" xfId="0" applyFont="1" applyBorder="1"/>
    <xf numFmtId="0" fontId="4" fillId="0" borderId="0" xfId="0" applyFont="1" applyAlignment="1">
      <alignment horizontal="left" indent="2"/>
    </xf>
    <xf numFmtId="0" fontId="2" fillId="0" borderId="0" xfId="0" quotePrefix="1" applyFont="1"/>
    <xf numFmtId="0" fontId="1" fillId="0" borderId="0" xfId="0" applyFont="1"/>
    <xf numFmtId="0" fontId="0" fillId="0" borderId="0" xfId="0" applyAlignment="1">
      <alignment horizontal="left" vertical="center" indent="2"/>
    </xf>
    <xf numFmtId="0" fontId="17" fillId="0" borderId="0" xfId="2" applyBorder="1" applyAlignment="1">
      <alignment horizontal="left" vertical="center" indent="2"/>
    </xf>
    <xf numFmtId="0" fontId="2" fillId="0" borderId="0" xfId="0" applyFont="1" applyAlignment="1">
      <alignment horizontal="left" vertical="top"/>
    </xf>
    <xf numFmtId="0" fontId="21" fillId="0" borderId="14" xfId="0" applyFont="1" applyBorder="1"/>
    <xf numFmtId="0" fontId="2" fillId="0" borderId="42" xfId="0" applyFont="1" applyBorder="1"/>
    <xf numFmtId="0" fontId="2" fillId="0" borderId="54" xfId="0" applyFont="1" applyBorder="1"/>
    <xf numFmtId="0" fontId="2" fillId="0" borderId="47" xfId="0" applyFont="1" applyBorder="1"/>
    <xf numFmtId="0" fontId="2" fillId="0" borderId="48" xfId="0" applyFont="1" applyBorder="1"/>
    <xf numFmtId="0" fontId="25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0" fontId="23" fillId="5" borderId="14" xfId="0" applyFont="1" applyFill="1" applyBorder="1" applyAlignment="1">
      <alignment horizontal="center" vertical="center"/>
    </xf>
    <xf numFmtId="0" fontId="23" fillId="5" borderId="54" xfId="0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/>
    </xf>
    <xf numFmtId="0" fontId="23" fillId="5" borderId="48" xfId="0" applyFont="1" applyFill="1" applyBorder="1" applyAlignment="1">
      <alignment horizontal="center" vertical="center"/>
    </xf>
    <xf numFmtId="0" fontId="23" fillId="5" borderId="33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54" xfId="0" applyNumberFormat="1" applyBorder="1" applyAlignment="1">
      <alignment horizontal="center" vertical="center"/>
    </xf>
    <xf numFmtId="177" fontId="0" fillId="0" borderId="47" xfId="0" applyNumberFormat="1" applyBorder="1" applyAlignment="1">
      <alignment horizontal="center" vertical="center"/>
    </xf>
    <xf numFmtId="177" fontId="0" fillId="0" borderId="48" xfId="0" applyNumberFormat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13" xfId="0" applyBorder="1"/>
    <xf numFmtId="0" fontId="0" fillId="0" borderId="14" xfId="0" applyBorder="1"/>
    <xf numFmtId="0" fontId="0" fillId="0" borderId="47" xfId="0" applyBorder="1"/>
    <xf numFmtId="0" fontId="0" fillId="0" borderId="48" xfId="0" applyBorder="1"/>
    <xf numFmtId="0" fontId="0" fillId="0" borderId="15" xfId="0" applyBorder="1"/>
    <xf numFmtId="0" fontId="0" fillId="0" borderId="54" xfId="0" applyBorder="1"/>
    <xf numFmtId="0" fontId="0" fillId="0" borderId="60" xfId="0" applyBorder="1"/>
    <xf numFmtId="0" fontId="0" fillId="0" borderId="49" xfId="0" applyBorder="1"/>
    <xf numFmtId="0" fontId="0" fillId="0" borderId="52" xfId="0" applyBorder="1"/>
    <xf numFmtId="14" fontId="0" fillId="0" borderId="15" xfId="0" applyNumberFormat="1" applyBorder="1" applyAlignment="1">
      <alignment horizontal="center" vertical="center"/>
    </xf>
    <xf numFmtId="0" fontId="23" fillId="5" borderId="0" xfId="0" applyFont="1" applyFill="1"/>
    <xf numFmtId="1" fontId="12" fillId="0" borderId="44" xfId="1" applyNumberFormat="1" applyFont="1" applyBorder="1" applyAlignment="1">
      <alignment horizontal="center" vertical="center" wrapText="1"/>
    </xf>
    <xf numFmtId="1" fontId="12" fillId="0" borderId="43" xfId="1" applyNumberFormat="1" applyFont="1" applyBorder="1" applyAlignment="1">
      <alignment horizontal="center" vertical="center" wrapText="1"/>
    </xf>
    <xf numFmtId="176" fontId="12" fillId="0" borderId="18" xfId="1" applyNumberFormat="1" applyFont="1" applyBorder="1" applyAlignment="1">
      <alignment horizontal="center" vertical="center" shrinkToFit="1"/>
    </xf>
    <xf numFmtId="49" fontId="11" fillId="2" borderId="18" xfId="1" applyNumberFormat="1" applyFont="1" applyFill="1" applyBorder="1" applyAlignment="1">
      <alignment horizontal="center" vertical="center" shrinkToFit="1"/>
    </xf>
    <xf numFmtId="176" fontId="12" fillId="0" borderId="19" xfId="1" applyNumberFormat="1" applyFont="1" applyBorder="1" applyAlignment="1">
      <alignment horizontal="center" vertical="center" shrinkToFit="1"/>
    </xf>
    <xf numFmtId="49" fontId="11" fillId="2" borderId="27" xfId="1" applyNumberFormat="1" applyFont="1" applyFill="1" applyBorder="1" applyAlignment="1">
      <alignment horizontal="center" vertical="center" shrinkToFit="1"/>
    </xf>
    <xf numFmtId="49" fontId="11" fillId="2" borderId="28" xfId="1" applyNumberFormat="1" applyFont="1" applyFill="1" applyBorder="1" applyAlignment="1">
      <alignment horizontal="center" vertical="center" shrinkToFit="1"/>
    </xf>
    <xf numFmtId="14" fontId="13" fillId="0" borderId="29" xfId="1" applyNumberFormat="1" applyFont="1" applyBorder="1" applyAlignment="1">
      <alignment horizontal="center" vertical="center" shrinkToFit="1"/>
    </xf>
    <xf numFmtId="14" fontId="13" fillId="0" borderId="27" xfId="1" applyNumberFormat="1" applyFont="1" applyBorder="1" applyAlignment="1">
      <alignment horizontal="center" vertical="center" shrinkToFit="1"/>
    </xf>
    <xf numFmtId="14" fontId="13" fillId="0" borderId="28" xfId="1" applyNumberFormat="1" applyFont="1" applyBorder="1" applyAlignment="1">
      <alignment horizontal="center" vertical="center" shrinkToFit="1"/>
    </xf>
    <xf numFmtId="49" fontId="11" fillId="2" borderId="30" xfId="1" applyNumberFormat="1" applyFont="1" applyFill="1" applyBorder="1" applyAlignment="1">
      <alignment horizontal="center" vertical="center" shrinkToFit="1"/>
    </xf>
    <xf numFmtId="49" fontId="7" fillId="2" borderId="7" xfId="1" applyNumberFormat="1" applyFont="1" applyFill="1" applyBorder="1" applyAlignment="1">
      <alignment horizontal="center" vertical="center"/>
    </xf>
    <xf numFmtId="49" fontId="7" fillId="2" borderId="5" xfId="1" applyNumberFormat="1" applyFont="1" applyFill="1" applyBorder="1" applyAlignment="1">
      <alignment horizontal="center" vertical="center"/>
    </xf>
    <xf numFmtId="49" fontId="7" fillId="2" borderId="6" xfId="1" applyNumberFormat="1" applyFont="1" applyFill="1" applyBorder="1" applyAlignment="1">
      <alignment horizontal="center" vertical="center"/>
    </xf>
    <xf numFmtId="49" fontId="7" fillId="2" borderId="8" xfId="1" applyNumberFormat="1" applyFont="1" applyFill="1" applyBorder="1" applyAlignment="1">
      <alignment horizontal="center" vertical="center" shrinkToFit="1"/>
    </xf>
    <xf numFmtId="49" fontId="7" fillId="2" borderId="9" xfId="1" applyNumberFormat="1" applyFont="1" applyFill="1" applyBorder="1" applyAlignment="1">
      <alignment horizontal="center" vertical="center" shrinkToFit="1"/>
    </xf>
    <xf numFmtId="49" fontId="9" fillId="0" borderId="12" xfId="1" applyNumberFormat="1" applyFont="1" applyBorder="1" applyAlignment="1">
      <alignment horizontal="center" vertical="center" shrinkToFit="1"/>
    </xf>
    <xf numFmtId="0" fontId="9" fillId="0" borderId="13" xfId="1" applyFont="1" applyBorder="1" applyAlignment="1">
      <alignment horizontal="center" vertical="center" shrinkToFit="1"/>
    </xf>
    <xf numFmtId="0" fontId="9" fillId="0" borderId="14" xfId="1" applyFont="1" applyBorder="1" applyAlignment="1">
      <alignment horizontal="center" vertical="center" shrinkToFit="1"/>
    </xf>
    <xf numFmtId="0" fontId="9" fillId="0" borderId="23" xfId="1" applyFont="1" applyBorder="1" applyAlignment="1">
      <alignment horizontal="center" vertical="center" shrinkToFit="1"/>
    </xf>
    <xf numFmtId="0" fontId="9" fillId="0" borderId="24" xfId="1" applyFont="1" applyBorder="1" applyAlignment="1">
      <alignment horizontal="center" vertical="center" shrinkToFit="1"/>
    </xf>
    <xf numFmtId="0" fontId="9" fillId="0" borderId="25" xfId="1" applyFont="1" applyBorder="1" applyAlignment="1">
      <alignment horizontal="center" vertical="center" shrinkToFit="1"/>
    </xf>
    <xf numFmtId="49" fontId="10" fillId="0" borderId="12" xfId="1" applyNumberFormat="1" applyFont="1" applyBorder="1" applyAlignment="1">
      <alignment horizontal="center" vertical="center" shrinkToFit="1"/>
    </xf>
    <xf numFmtId="49" fontId="10" fillId="0" borderId="13" xfId="1" applyNumberFormat="1" applyFont="1" applyBorder="1" applyAlignment="1">
      <alignment horizontal="center" vertical="center" shrinkToFit="1"/>
    </xf>
    <xf numFmtId="49" fontId="10" fillId="0" borderId="23" xfId="1" applyNumberFormat="1" applyFont="1" applyBorder="1" applyAlignment="1">
      <alignment horizontal="center" vertical="center" shrinkToFit="1"/>
    </xf>
    <xf numFmtId="49" fontId="10" fillId="0" borderId="24" xfId="1" applyNumberFormat="1" applyFont="1" applyBorder="1" applyAlignment="1">
      <alignment horizontal="center" vertical="center" shrinkToFit="1"/>
    </xf>
    <xf numFmtId="0" fontId="10" fillId="0" borderId="15" xfId="1" applyFont="1" applyBorder="1" applyAlignment="1">
      <alignment horizontal="center" vertical="center" shrinkToFit="1"/>
    </xf>
    <xf numFmtId="0" fontId="10" fillId="0" borderId="13" xfId="1" applyFont="1" applyBorder="1" applyAlignment="1">
      <alignment horizontal="center" vertical="center" shrinkToFit="1"/>
    </xf>
    <xf numFmtId="0" fontId="10" fillId="0" borderId="26" xfId="1" applyFont="1" applyBorder="1" applyAlignment="1">
      <alignment horizontal="center" vertical="center" shrinkToFit="1"/>
    </xf>
    <xf numFmtId="0" fontId="10" fillId="0" borderId="24" xfId="1" applyFont="1" applyBorder="1" applyAlignment="1">
      <alignment horizontal="center" vertical="center" shrinkToFit="1"/>
    </xf>
    <xf numFmtId="0" fontId="10" fillId="0" borderId="14" xfId="1" applyFont="1" applyBorder="1" applyAlignment="1">
      <alignment horizontal="center" vertical="center" shrinkToFit="1"/>
    </xf>
    <xf numFmtId="0" fontId="10" fillId="0" borderId="25" xfId="1" applyFont="1" applyBorder="1" applyAlignment="1">
      <alignment horizontal="center" vertical="center" shrinkToFit="1"/>
    </xf>
    <xf numFmtId="49" fontId="11" fillId="2" borderId="16" xfId="1" applyNumberFormat="1" applyFont="1" applyFill="1" applyBorder="1" applyAlignment="1">
      <alignment horizontal="center" vertical="center" shrinkToFit="1"/>
    </xf>
    <xf numFmtId="49" fontId="11" fillId="2" borderId="17" xfId="1" applyNumberFormat="1" applyFont="1" applyFill="1" applyBorder="1" applyAlignment="1">
      <alignment horizontal="center" vertical="center" shrinkToFit="1"/>
    </xf>
    <xf numFmtId="0" fontId="6" fillId="2" borderId="1" xfId="1" applyFont="1" applyFill="1" applyBorder="1" applyAlignment="1">
      <alignment horizontal="center" vertical="center" wrapText="1" shrinkToFit="1"/>
    </xf>
    <xf numFmtId="0" fontId="6" fillId="2" borderId="2" xfId="1" applyFont="1" applyFill="1" applyBorder="1" applyAlignment="1">
      <alignment horizontal="center" vertical="center" shrinkToFit="1"/>
    </xf>
    <xf numFmtId="0" fontId="6" fillId="2" borderId="3" xfId="1" applyFont="1" applyFill="1" applyBorder="1" applyAlignment="1">
      <alignment horizontal="center" vertical="center" shrinkToFit="1"/>
    </xf>
    <xf numFmtId="0" fontId="6" fillId="2" borderId="10" xfId="1" applyFont="1" applyFill="1" applyBorder="1" applyAlignment="1">
      <alignment horizontal="center" vertical="center" shrinkToFit="1"/>
    </xf>
    <xf numFmtId="0" fontId="6" fillId="2" borderId="0" xfId="1" applyFont="1" applyFill="1" applyAlignment="1">
      <alignment horizontal="center" vertical="center" shrinkToFit="1"/>
    </xf>
    <xf numFmtId="0" fontId="6" fillId="2" borderId="11" xfId="1" applyFont="1" applyFill="1" applyBorder="1" applyAlignment="1">
      <alignment horizontal="center" vertical="center" shrinkToFit="1"/>
    </xf>
    <xf numFmtId="0" fontId="6" fillId="2" borderId="20" xfId="1" applyFont="1" applyFill="1" applyBorder="1" applyAlignment="1">
      <alignment horizontal="center" vertical="center" shrinkToFit="1"/>
    </xf>
    <xf numFmtId="0" fontId="6" fillId="2" borderId="21" xfId="1" applyFont="1" applyFill="1" applyBorder="1" applyAlignment="1">
      <alignment horizontal="center" vertical="center" shrinkToFit="1"/>
    </xf>
    <xf numFmtId="0" fontId="6" fillId="2" borderId="22" xfId="1" applyFont="1" applyFill="1" applyBorder="1" applyAlignment="1">
      <alignment horizontal="center" vertical="center" shrinkToFit="1"/>
    </xf>
    <xf numFmtId="49" fontId="7" fillId="2" borderId="4" xfId="1" applyNumberFormat="1" applyFont="1" applyFill="1" applyBorder="1" applyAlignment="1">
      <alignment horizontal="center" vertical="center"/>
    </xf>
  </cellXfs>
  <cellStyles count="3">
    <cellStyle name="Normal 2" xfId="1" xr:uid="{D4D5BD44-C52B-49C5-A0B2-0227C65456E7}"/>
    <cellStyle name="ハイパーリンク" xfId="2" builtinId="8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18</xdr:row>
      <xdr:rowOff>180976</xdr:rowOff>
    </xdr:from>
    <xdr:to>
      <xdr:col>31</xdr:col>
      <xdr:colOff>0</xdr:colOff>
      <xdr:row>37</xdr:row>
      <xdr:rowOff>47238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7BC1A-82CC-3721-EEB7-4930DA901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6" y="3736976"/>
          <a:ext cx="7210424" cy="3485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t3.usmh-fjservice.com/pos/v1/employee/call/aler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9782-A6E7-41D3-AE3C-D9089E7BFA30}">
  <sheetPr>
    <pageSetUpPr fitToPage="1"/>
  </sheetPr>
  <dimension ref="A1:BK55"/>
  <sheetViews>
    <sheetView view="pageBreakPreview" zoomScale="75" zoomScaleNormal="75" zoomScaleSheetLayoutView="75" workbookViewId="0">
      <selection activeCell="Z5" sqref="Z5"/>
    </sheetView>
  </sheetViews>
  <sheetFormatPr defaultColWidth="2.77734375" defaultRowHeight="15" customHeight="1"/>
  <sheetData>
    <row r="1" spans="1:63" ht="24.95" customHeight="1">
      <c r="A1" s="147" t="s">
        <v>107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109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50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147" t="s">
        <v>110</v>
      </c>
      <c r="AQ1" s="148"/>
      <c r="AR1" s="148"/>
      <c r="AS1" s="149"/>
      <c r="AT1" s="147" t="s">
        <v>111</v>
      </c>
      <c r="AU1" s="148"/>
      <c r="AV1" s="148"/>
      <c r="AW1" s="148"/>
      <c r="AX1" s="149"/>
      <c r="AY1" s="147" t="s">
        <v>112</v>
      </c>
      <c r="AZ1" s="148"/>
      <c r="BA1" s="148"/>
      <c r="BB1" s="149"/>
      <c r="BC1" s="147" t="s">
        <v>113</v>
      </c>
      <c r="BD1" s="148"/>
      <c r="BE1" s="148"/>
      <c r="BF1" s="148"/>
      <c r="BG1" s="149"/>
      <c r="BH1" s="147" t="s">
        <v>114</v>
      </c>
      <c r="BI1" s="148"/>
      <c r="BJ1" s="148"/>
      <c r="BK1" s="149"/>
    </row>
    <row r="2" spans="1:63" ht="15" customHeight="1">
      <c r="A2" s="132" t="s">
        <v>121</v>
      </c>
      <c r="B2" s="133"/>
      <c r="C2" s="133"/>
      <c r="D2" s="133"/>
      <c r="E2" s="133"/>
      <c r="F2" s="133"/>
      <c r="G2" s="133"/>
      <c r="H2" s="133"/>
      <c r="I2" s="133"/>
      <c r="J2" s="134"/>
      <c r="K2" s="132" t="s">
        <v>136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53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5"/>
      <c r="AP2" s="132" t="str">
        <f>改廃履歴!$H$11</f>
        <v>Thanh Nguyên</v>
      </c>
      <c r="AQ2" s="133"/>
      <c r="AR2" s="133"/>
      <c r="AS2" s="134"/>
      <c r="AT2" s="168">
        <f>改廃履歴!$B$11</f>
        <v>45209</v>
      </c>
      <c r="AU2" s="169"/>
      <c r="AV2" s="169"/>
      <c r="AW2" s="169"/>
      <c r="AX2" s="170"/>
      <c r="AY2" s="132" t="str">
        <f>LOOKUP(2,1/(改廃履歴!H11:H30000&lt;&gt;""),改廃履歴!H11:H30000)</f>
        <v>Thanh Nguyên</v>
      </c>
      <c r="AZ2" s="133"/>
      <c r="BA2" s="133"/>
      <c r="BB2" s="134"/>
      <c r="BC2" s="168">
        <f>LOOKUP(2,1/(改廃履歴!B11:B30000&lt;&gt;""),改廃履歴!B11:B30000)</f>
        <v>45209</v>
      </c>
      <c r="BD2" s="169"/>
      <c r="BE2" s="169"/>
      <c r="BF2" s="169"/>
      <c r="BG2" s="170"/>
      <c r="BH2" s="162">
        <f>LOOKUP(2,1/(改廃履歴!O11:O30000&lt;&gt;""),改廃履歴!O11:O30000)</f>
        <v>0.2</v>
      </c>
      <c r="BI2" s="163"/>
      <c r="BJ2" s="163"/>
      <c r="BK2" s="164"/>
    </row>
    <row r="3" spans="1:63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6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/>
      <c r="AP3" s="138"/>
      <c r="AQ3" s="139"/>
      <c r="AR3" s="139"/>
      <c r="AS3" s="140"/>
      <c r="AT3" s="171"/>
      <c r="AU3" s="172"/>
      <c r="AV3" s="172"/>
      <c r="AW3" s="172"/>
      <c r="AX3" s="173"/>
      <c r="AY3" s="138"/>
      <c r="AZ3" s="139"/>
      <c r="BA3" s="139"/>
      <c r="BB3" s="140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>
      <c r="A4" s="147" t="s">
        <v>108</v>
      </c>
      <c r="B4" s="148"/>
      <c r="C4" s="148"/>
      <c r="D4" s="148"/>
      <c r="E4" s="148"/>
      <c r="F4" s="148"/>
      <c r="G4" s="149"/>
      <c r="H4" s="159" t="s">
        <v>137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47" t="s">
        <v>115</v>
      </c>
      <c r="V4" s="148"/>
      <c r="W4" s="148"/>
      <c r="X4" s="148"/>
      <c r="Y4" s="149"/>
      <c r="Z4" s="159" t="s">
        <v>138</v>
      </c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1"/>
      <c r="AP4" s="159" t="str" cm="1">
        <f t="array" aca="1" ref="AP4" ca="1">RIGHT(CELL("filename",$A$1),LEN(CELL("filename",$A$1))-FIND("]",CELL("filename",$A$1)))</f>
        <v>表紙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1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K7" s="93"/>
    </row>
    <row r="8" spans="1:63" ht="15" customHeight="1">
      <c r="A8" s="90"/>
      <c r="BK8" s="93"/>
    </row>
    <row r="9" spans="1:63" ht="15" customHeight="1">
      <c r="A9" s="90"/>
      <c r="BK9" s="93"/>
    </row>
    <row r="10" spans="1:63" ht="15" customHeight="1">
      <c r="A10" s="90"/>
      <c r="BK10" s="93"/>
    </row>
    <row r="11" spans="1:63" ht="15" customHeight="1">
      <c r="A11" s="90"/>
      <c r="BK11" s="93"/>
    </row>
    <row r="12" spans="1:63" ht="15" customHeight="1">
      <c r="A12" s="90"/>
      <c r="BK12" s="93"/>
    </row>
    <row r="13" spans="1:63" ht="15" customHeight="1">
      <c r="A13" s="90"/>
      <c r="BK13" s="93"/>
    </row>
    <row r="14" spans="1:63" ht="15" customHeight="1" thickBot="1">
      <c r="A14" s="90"/>
      <c r="BK14" s="93"/>
    </row>
    <row r="15" spans="1:63" ht="15" customHeight="1" thickTop="1">
      <c r="A15" s="90"/>
      <c r="K15" s="96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100"/>
      <c r="BK15" s="93"/>
    </row>
    <row r="16" spans="1:63" ht="15" customHeight="1">
      <c r="A16" s="90"/>
      <c r="K16" s="95"/>
      <c r="L16" s="131" t="s">
        <v>122</v>
      </c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01"/>
      <c r="BK16" s="93"/>
    </row>
    <row r="17" spans="1:63" ht="15" customHeight="1">
      <c r="A17" s="90"/>
      <c r="K17" s="95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01"/>
      <c r="BK17" s="93"/>
    </row>
    <row r="18" spans="1:63" ht="15" customHeight="1">
      <c r="A18" s="90"/>
      <c r="K18" s="95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01"/>
      <c r="BK18" s="93"/>
    </row>
    <row r="19" spans="1:63" ht="15" customHeight="1">
      <c r="A19" s="90"/>
      <c r="K19" s="95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01"/>
      <c r="BK19" s="93"/>
    </row>
    <row r="20" spans="1:63" ht="15" customHeight="1">
      <c r="A20" s="90"/>
      <c r="K20" s="95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01"/>
      <c r="BK20" s="93"/>
    </row>
    <row r="21" spans="1:63" ht="15" customHeight="1">
      <c r="A21" s="90"/>
      <c r="K21" s="95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01"/>
      <c r="BK21" s="93"/>
    </row>
    <row r="22" spans="1:63" ht="15" customHeight="1" thickBot="1">
      <c r="A22" s="90"/>
      <c r="K22" s="95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1"/>
      <c r="BK22" s="93"/>
    </row>
    <row r="23" spans="1:63" ht="15" customHeight="1">
      <c r="A23" s="90"/>
      <c r="K23" s="95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1"/>
      <c r="BK23" s="93"/>
    </row>
    <row r="24" spans="1:63" ht="15" customHeight="1">
      <c r="A24" s="90"/>
      <c r="K24" s="95"/>
      <c r="L24" s="131" t="str">
        <f>K2&amp;"/"&amp;H4&amp;"/"&amp;Z4</f>
        <v>LUVINAコントローラー/API/基本設計書</v>
      </c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01"/>
      <c r="BK24" s="93"/>
    </row>
    <row r="25" spans="1:63" ht="15" customHeight="1">
      <c r="A25" s="90"/>
      <c r="K25" s="95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01"/>
      <c r="BK25" s="93"/>
    </row>
    <row r="26" spans="1:63" ht="15" customHeight="1">
      <c r="A26" s="90"/>
      <c r="K26" s="95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01"/>
      <c r="BK26" s="93"/>
    </row>
    <row r="27" spans="1:63" ht="15" customHeight="1">
      <c r="A27" s="90"/>
      <c r="K27" s="95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01"/>
      <c r="BK27" s="93"/>
    </row>
    <row r="28" spans="1:63" ht="15" customHeight="1">
      <c r="A28" s="90"/>
      <c r="K28" s="95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01"/>
      <c r="BK28" s="93"/>
    </row>
    <row r="29" spans="1:63" ht="15" customHeight="1">
      <c r="A29" s="90"/>
      <c r="K29" s="95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01"/>
      <c r="BK29" s="93"/>
    </row>
    <row r="30" spans="1:63" ht="15" customHeight="1">
      <c r="A30" s="90"/>
      <c r="K30" s="95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01"/>
      <c r="BK30" s="93"/>
    </row>
    <row r="31" spans="1:63" ht="15" customHeight="1">
      <c r="A31" s="90"/>
      <c r="K31" s="95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01"/>
      <c r="BK31" s="93"/>
    </row>
    <row r="32" spans="1:63" ht="15" customHeight="1">
      <c r="A32" s="90"/>
      <c r="K32" s="95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01"/>
      <c r="BK32" s="93"/>
    </row>
    <row r="33" spans="1:63" ht="15" customHeight="1">
      <c r="A33" s="90"/>
      <c r="K33" s="95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01"/>
      <c r="BK33" s="93"/>
    </row>
    <row r="34" spans="1:63" ht="15" customHeight="1">
      <c r="A34" s="90"/>
      <c r="K34" s="95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01"/>
      <c r="BK34" s="93"/>
    </row>
    <row r="35" spans="1:63" ht="15" customHeight="1">
      <c r="A35" s="90"/>
      <c r="K35" s="95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01"/>
      <c r="BK35" s="93"/>
    </row>
    <row r="36" spans="1:63" ht="15" customHeight="1">
      <c r="A36" s="90"/>
      <c r="K36" s="95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01"/>
      <c r="BK36" s="93"/>
    </row>
    <row r="37" spans="1:63" ht="15" customHeight="1" thickBot="1">
      <c r="A37" s="90"/>
      <c r="K37" s="9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102"/>
      <c r="BK37" s="93"/>
    </row>
    <row r="38" spans="1:63" ht="15" customHeight="1" thickTop="1">
      <c r="A38" s="90"/>
      <c r="BK38" s="93"/>
    </row>
    <row r="39" spans="1:63" ht="15" customHeight="1">
      <c r="A39" s="90"/>
      <c r="BK39" s="93"/>
    </row>
    <row r="40" spans="1:63" ht="15" customHeight="1">
      <c r="A40" s="90"/>
      <c r="BK40" s="93"/>
    </row>
    <row r="41" spans="1:63" ht="15" customHeight="1">
      <c r="A41" s="90"/>
      <c r="BK41" s="93"/>
    </row>
    <row r="42" spans="1:63" ht="15" customHeight="1">
      <c r="A42" s="90"/>
      <c r="BK42" s="93"/>
    </row>
    <row r="43" spans="1:63" ht="15" customHeight="1">
      <c r="A43" s="90"/>
      <c r="BK43" s="93"/>
    </row>
    <row r="44" spans="1:63" ht="15" customHeight="1">
      <c r="A44" s="90"/>
      <c r="Q44" s="141" t="s">
        <v>123</v>
      </c>
      <c r="R44" s="142"/>
      <c r="S44" s="142"/>
      <c r="T44" s="142"/>
      <c r="U44" s="142"/>
      <c r="V44" s="142"/>
      <c r="W44" s="142"/>
      <c r="X44" s="142"/>
      <c r="Y44" s="142"/>
      <c r="Z44" s="143"/>
      <c r="AA44" s="141" t="s">
        <v>120</v>
      </c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3"/>
      <c r="AQ44" s="141" t="s">
        <v>114</v>
      </c>
      <c r="AR44" s="142"/>
      <c r="AS44" s="142"/>
      <c r="AT44" s="142"/>
      <c r="AU44" s="143"/>
      <c r="BK44" s="93"/>
    </row>
    <row r="45" spans="1:63" ht="15" customHeight="1">
      <c r="A45" s="90"/>
      <c r="Q45" s="144"/>
      <c r="R45" s="145"/>
      <c r="S45" s="145"/>
      <c r="T45" s="145"/>
      <c r="U45" s="145"/>
      <c r="V45" s="145"/>
      <c r="W45" s="145"/>
      <c r="X45" s="145"/>
      <c r="Y45" s="145"/>
      <c r="Z45" s="146"/>
      <c r="AA45" s="144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6"/>
      <c r="AQ45" s="144"/>
      <c r="AR45" s="145"/>
      <c r="AS45" s="145"/>
      <c r="AT45" s="145"/>
      <c r="AU45" s="146"/>
      <c r="BK45" s="93"/>
    </row>
    <row r="46" spans="1:63" ht="15" customHeight="1">
      <c r="A46" s="90"/>
      <c r="Q46" s="132"/>
      <c r="R46" s="133"/>
      <c r="S46" s="133"/>
      <c r="T46" s="133"/>
      <c r="U46" s="133"/>
      <c r="V46" s="133"/>
      <c r="W46" s="133"/>
      <c r="X46" s="133"/>
      <c r="Y46" s="133"/>
      <c r="Z46" s="134"/>
      <c r="AA46" s="132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4"/>
      <c r="AQ46" s="132"/>
      <c r="AR46" s="133"/>
      <c r="AS46" s="133"/>
      <c r="AT46" s="133"/>
      <c r="AU46" s="134"/>
      <c r="BK46" s="93"/>
    </row>
    <row r="47" spans="1:63" ht="15" customHeight="1">
      <c r="A47" s="90"/>
      <c r="Q47" s="135"/>
      <c r="R47" s="136"/>
      <c r="S47" s="136"/>
      <c r="T47" s="136"/>
      <c r="U47" s="136"/>
      <c r="V47" s="136"/>
      <c r="W47" s="136"/>
      <c r="X47" s="136"/>
      <c r="Y47" s="136"/>
      <c r="Z47" s="137"/>
      <c r="AA47" s="135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7"/>
      <c r="AQ47" s="135"/>
      <c r="AR47" s="136"/>
      <c r="AS47" s="136"/>
      <c r="AT47" s="136"/>
      <c r="AU47" s="137"/>
      <c r="BK47" s="93"/>
    </row>
    <row r="48" spans="1:63" ht="15" customHeight="1">
      <c r="A48" s="90"/>
      <c r="Q48" s="135"/>
      <c r="R48" s="136"/>
      <c r="S48" s="136"/>
      <c r="T48" s="136"/>
      <c r="U48" s="136"/>
      <c r="V48" s="136"/>
      <c r="W48" s="136"/>
      <c r="X48" s="136"/>
      <c r="Y48" s="136"/>
      <c r="Z48" s="137"/>
      <c r="AA48" s="135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7"/>
      <c r="AQ48" s="135"/>
      <c r="AR48" s="136"/>
      <c r="AS48" s="136"/>
      <c r="AT48" s="136"/>
      <c r="AU48" s="137"/>
      <c r="BK48" s="93"/>
    </row>
    <row r="49" spans="1:63" ht="15" customHeight="1">
      <c r="A49" s="90"/>
      <c r="Q49" s="138"/>
      <c r="R49" s="139"/>
      <c r="S49" s="139"/>
      <c r="T49" s="139"/>
      <c r="U49" s="139"/>
      <c r="V49" s="139"/>
      <c r="W49" s="139"/>
      <c r="X49" s="139"/>
      <c r="Y49" s="139"/>
      <c r="Z49" s="140"/>
      <c r="AA49" s="138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40"/>
      <c r="AQ49" s="138"/>
      <c r="AR49" s="139"/>
      <c r="AS49" s="139"/>
      <c r="AT49" s="139"/>
      <c r="AU49" s="140"/>
      <c r="BK49" s="93"/>
    </row>
    <row r="50" spans="1:63" ht="15" customHeight="1">
      <c r="A50" s="90"/>
      <c r="BK50" s="93"/>
    </row>
    <row r="51" spans="1:63" ht="15" customHeight="1">
      <c r="A51" s="90"/>
      <c r="BK51" s="93"/>
    </row>
    <row r="52" spans="1:63" ht="15" customHeight="1">
      <c r="A52" s="90"/>
      <c r="BK52" s="93"/>
    </row>
    <row r="53" spans="1:63" ht="15" customHeight="1">
      <c r="A53" s="90"/>
      <c r="BK53" s="93"/>
    </row>
    <row r="54" spans="1:63" ht="15" customHeight="1">
      <c r="A54" s="90"/>
      <c r="BK54" s="93"/>
    </row>
    <row r="55" spans="1:63" ht="1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4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AAD8-1C5D-4E7D-AE32-0A16850436F2}">
  <sheetPr>
    <pageSetUpPr fitToPage="1"/>
  </sheetPr>
  <dimension ref="A1:BK55"/>
  <sheetViews>
    <sheetView view="pageBreakPreview" zoomScale="75" zoomScaleNormal="75" zoomScaleSheetLayoutView="75" workbookViewId="0">
      <selection activeCell="S12" sqref="S12:AW12"/>
    </sheetView>
  </sheetViews>
  <sheetFormatPr defaultColWidth="2.77734375" defaultRowHeight="15.75" customHeight="1"/>
  <sheetData>
    <row r="1" spans="1:63" ht="24.95" customHeight="1">
      <c r="A1" s="147" t="s">
        <v>107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109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50" t="str">
        <f>IF(表紙!W1="","",表紙!W1)</f>
        <v/>
      </c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147" t="s">
        <v>110</v>
      </c>
      <c r="AQ1" s="148"/>
      <c r="AR1" s="148"/>
      <c r="AS1" s="149"/>
      <c r="AT1" s="147" t="s">
        <v>111</v>
      </c>
      <c r="AU1" s="148"/>
      <c r="AV1" s="148"/>
      <c r="AW1" s="148"/>
      <c r="AX1" s="149"/>
      <c r="AY1" s="147" t="s">
        <v>112</v>
      </c>
      <c r="AZ1" s="148"/>
      <c r="BA1" s="148"/>
      <c r="BB1" s="149"/>
      <c r="BC1" s="147" t="s">
        <v>113</v>
      </c>
      <c r="BD1" s="148"/>
      <c r="BE1" s="148"/>
      <c r="BF1" s="148"/>
      <c r="BG1" s="149"/>
      <c r="BH1" s="147" t="s">
        <v>114</v>
      </c>
      <c r="BI1" s="148"/>
      <c r="BJ1" s="148"/>
      <c r="BK1" s="149"/>
    </row>
    <row r="2" spans="1:63" ht="15" customHeight="1">
      <c r="A2" s="132" t="str">
        <f>IF(表紙!A2="","",表紙!A2)</f>
        <v>現金専用簡易セルフPOS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LUVINAコントローラー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53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5"/>
      <c r="AP2" s="132" t="str">
        <f>IF(表紙!AP2="","",表紙!AP2)</f>
        <v>Thanh Nguyên</v>
      </c>
      <c r="AQ2" s="133"/>
      <c r="AR2" s="133"/>
      <c r="AS2" s="134"/>
      <c r="AT2" s="168">
        <f>IF(表紙!AT2="","",表紙!AT2)</f>
        <v>45209</v>
      </c>
      <c r="AU2" s="169"/>
      <c r="AV2" s="169"/>
      <c r="AW2" s="169"/>
      <c r="AX2" s="170"/>
      <c r="AY2" s="132" t="str">
        <f>IF(表紙!AY2="","",表紙!AY2)</f>
        <v>Thanh Nguyên</v>
      </c>
      <c r="AZ2" s="133"/>
      <c r="BA2" s="133"/>
      <c r="BB2" s="134"/>
      <c r="BC2" s="168">
        <f>IF(表紙!BC2="","",表紙!BC2)</f>
        <v>45209</v>
      </c>
      <c r="BD2" s="169"/>
      <c r="BE2" s="169"/>
      <c r="BF2" s="169"/>
      <c r="BG2" s="170"/>
      <c r="BH2" s="132">
        <f>IF(表紙!BH2="","",表紙!BH2)</f>
        <v>0.2</v>
      </c>
      <c r="BI2" s="133"/>
      <c r="BJ2" s="133"/>
      <c r="BK2" s="134"/>
    </row>
    <row r="3" spans="1:63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6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/>
      <c r="AP3" s="138"/>
      <c r="AQ3" s="139"/>
      <c r="AR3" s="139"/>
      <c r="AS3" s="140"/>
      <c r="AT3" s="171"/>
      <c r="AU3" s="172"/>
      <c r="AV3" s="172"/>
      <c r="AW3" s="172"/>
      <c r="AX3" s="173"/>
      <c r="AY3" s="138"/>
      <c r="AZ3" s="139"/>
      <c r="BA3" s="139"/>
      <c r="BB3" s="140"/>
      <c r="BC3" s="171"/>
      <c r="BD3" s="172"/>
      <c r="BE3" s="172"/>
      <c r="BF3" s="172"/>
      <c r="BG3" s="173"/>
      <c r="BH3" s="138"/>
      <c r="BI3" s="139"/>
      <c r="BJ3" s="139"/>
      <c r="BK3" s="140"/>
    </row>
    <row r="4" spans="1:63" ht="24.95" customHeight="1">
      <c r="A4" s="147" t="s">
        <v>108</v>
      </c>
      <c r="B4" s="148"/>
      <c r="C4" s="148"/>
      <c r="D4" s="148"/>
      <c r="E4" s="148"/>
      <c r="F4" s="148"/>
      <c r="G4" s="149"/>
      <c r="H4" s="159" t="str">
        <f>IF(表紙!H4="","",表紙!H4)</f>
        <v>API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47" t="s">
        <v>115</v>
      </c>
      <c r="V4" s="148"/>
      <c r="W4" s="148"/>
      <c r="X4" s="148"/>
      <c r="Y4" s="149"/>
      <c r="Z4" s="159" t="str">
        <f>IF(表紙!Z4="","",表紙!Z4)</f>
        <v>基本設計書</v>
      </c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1"/>
      <c r="AP4" s="159" t="str" cm="1">
        <f t="array" aca="1" ref="AP4" ca="1">RIGHT(CELL("filename",$A$1),LEN(CELL("filename",$A$1))-FIND("]",CELL("filename",$A$1)))</f>
        <v>改廃履歴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1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K7" s="93"/>
    </row>
    <row r="8" spans="1:63" ht="15" customHeight="1">
      <c r="A8" s="90"/>
      <c r="B8" t="s">
        <v>116</v>
      </c>
      <c r="BK8" s="93"/>
    </row>
    <row r="9" spans="1:63" ht="15" customHeight="1">
      <c r="A9" s="90"/>
      <c r="BK9" s="93"/>
    </row>
    <row r="10" spans="1:63" ht="15" customHeight="1">
      <c r="A10" s="90"/>
      <c r="B10" s="187" t="s">
        <v>117</v>
      </c>
      <c r="C10" s="187"/>
      <c r="D10" s="187"/>
      <c r="E10" s="187"/>
      <c r="F10" s="187"/>
      <c r="G10" s="187"/>
      <c r="H10" s="187" t="s">
        <v>112</v>
      </c>
      <c r="I10" s="187"/>
      <c r="J10" s="187"/>
      <c r="K10" s="187"/>
      <c r="L10" s="187"/>
      <c r="M10" s="187"/>
      <c r="N10" s="187"/>
      <c r="O10" s="187" t="s">
        <v>114</v>
      </c>
      <c r="P10" s="187"/>
      <c r="Q10" s="187"/>
      <c r="R10" s="187"/>
      <c r="S10" s="187" t="s">
        <v>118</v>
      </c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 t="s">
        <v>119</v>
      </c>
      <c r="AY10" s="187"/>
      <c r="AZ10" s="187"/>
      <c r="BA10" s="187"/>
      <c r="BB10" s="187"/>
      <c r="BC10" s="187"/>
      <c r="BD10" s="187" t="s">
        <v>120</v>
      </c>
      <c r="BE10" s="187"/>
      <c r="BF10" s="187"/>
      <c r="BG10" s="187"/>
      <c r="BH10" s="187"/>
      <c r="BI10" s="187"/>
      <c r="BJ10" s="187"/>
      <c r="BK10" s="93"/>
    </row>
    <row r="11" spans="1:63" ht="15" customHeight="1">
      <c r="A11" s="90"/>
      <c r="B11" s="186">
        <v>45209</v>
      </c>
      <c r="C11" s="133"/>
      <c r="D11" s="133"/>
      <c r="E11" s="133"/>
      <c r="F11" s="133"/>
      <c r="G11" s="134"/>
      <c r="H11" s="132" t="s">
        <v>134</v>
      </c>
      <c r="I11" s="133"/>
      <c r="J11" s="133"/>
      <c r="K11" s="133"/>
      <c r="L11" s="133"/>
      <c r="M11" s="133"/>
      <c r="N11" s="134"/>
      <c r="O11" s="132">
        <v>0.2</v>
      </c>
      <c r="P11" s="133"/>
      <c r="Q11" s="133"/>
      <c r="R11" s="133"/>
      <c r="S11" s="174" t="s">
        <v>135</v>
      </c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6"/>
      <c r="AX11" s="177"/>
      <c r="AY11" s="177"/>
      <c r="AZ11" s="177"/>
      <c r="BA11" s="177"/>
      <c r="BB11" s="177"/>
      <c r="BC11" s="178"/>
      <c r="BD11" s="181"/>
      <c r="BE11" s="177"/>
      <c r="BF11" s="177"/>
      <c r="BG11" s="177"/>
      <c r="BH11" s="177"/>
      <c r="BI11" s="177"/>
      <c r="BJ11" s="178"/>
      <c r="BK11" s="93"/>
    </row>
    <row r="12" spans="1:63" ht="15" customHeight="1">
      <c r="A12" s="90"/>
      <c r="B12" s="138"/>
      <c r="C12" s="139"/>
      <c r="D12" s="139"/>
      <c r="E12" s="139"/>
      <c r="F12" s="139"/>
      <c r="G12" s="140"/>
      <c r="H12" s="138"/>
      <c r="I12" s="139"/>
      <c r="J12" s="139"/>
      <c r="K12" s="139"/>
      <c r="L12" s="139"/>
      <c r="M12" s="139"/>
      <c r="N12" s="140"/>
      <c r="O12" s="138"/>
      <c r="P12" s="139"/>
      <c r="Q12" s="139"/>
      <c r="R12" s="139"/>
      <c r="S12" s="183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5"/>
      <c r="AX12" s="179"/>
      <c r="AY12" s="179"/>
      <c r="AZ12" s="179"/>
      <c r="BA12" s="179"/>
      <c r="BB12" s="179"/>
      <c r="BC12" s="180"/>
      <c r="BD12" s="182"/>
      <c r="BE12" s="179"/>
      <c r="BF12" s="179"/>
      <c r="BG12" s="179"/>
      <c r="BH12" s="179"/>
      <c r="BI12" s="179"/>
      <c r="BJ12" s="180"/>
      <c r="BK12" s="93"/>
    </row>
    <row r="13" spans="1:63" ht="15" customHeight="1">
      <c r="A13" s="90"/>
      <c r="B13" s="132"/>
      <c r="C13" s="133"/>
      <c r="D13" s="133"/>
      <c r="E13" s="133"/>
      <c r="F13" s="133"/>
      <c r="G13" s="134"/>
      <c r="H13" s="132"/>
      <c r="I13" s="133"/>
      <c r="J13" s="133"/>
      <c r="K13" s="133"/>
      <c r="L13" s="133"/>
      <c r="M13" s="133"/>
      <c r="N13" s="134"/>
      <c r="O13" s="132"/>
      <c r="P13" s="133"/>
      <c r="Q13" s="133"/>
      <c r="R13" s="133"/>
      <c r="S13" s="174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  <c r="AU13" s="175"/>
      <c r="AV13" s="175"/>
      <c r="AW13" s="176"/>
      <c r="AX13" s="177"/>
      <c r="AY13" s="177"/>
      <c r="AZ13" s="177"/>
      <c r="BA13" s="177"/>
      <c r="BB13" s="177"/>
      <c r="BC13" s="178"/>
      <c r="BD13" s="181"/>
      <c r="BE13" s="177"/>
      <c r="BF13" s="177"/>
      <c r="BG13" s="177"/>
      <c r="BH13" s="177"/>
      <c r="BI13" s="177"/>
      <c r="BJ13" s="178"/>
      <c r="BK13" s="93"/>
    </row>
    <row r="14" spans="1:63" ht="15" customHeight="1">
      <c r="A14" s="90"/>
      <c r="B14" s="138"/>
      <c r="C14" s="139"/>
      <c r="D14" s="139"/>
      <c r="E14" s="139"/>
      <c r="F14" s="139"/>
      <c r="G14" s="140"/>
      <c r="H14" s="138"/>
      <c r="I14" s="139"/>
      <c r="J14" s="139"/>
      <c r="K14" s="139"/>
      <c r="L14" s="139"/>
      <c r="M14" s="139"/>
      <c r="N14" s="140"/>
      <c r="O14" s="138"/>
      <c r="P14" s="139"/>
      <c r="Q14" s="139"/>
      <c r="R14" s="139"/>
      <c r="S14" s="183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5"/>
      <c r="AX14" s="179"/>
      <c r="AY14" s="179"/>
      <c r="AZ14" s="179"/>
      <c r="BA14" s="179"/>
      <c r="BB14" s="179"/>
      <c r="BC14" s="180"/>
      <c r="BD14" s="182"/>
      <c r="BE14" s="179"/>
      <c r="BF14" s="179"/>
      <c r="BG14" s="179"/>
      <c r="BH14" s="179"/>
      <c r="BI14" s="179"/>
      <c r="BJ14" s="180"/>
      <c r="BK14" s="93"/>
    </row>
    <row r="15" spans="1:63" ht="15" customHeight="1">
      <c r="A15" s="90"/>
      <c r="B15" s="132"/>
      <c r="C15" s="133"/>
      <c r="D15" s="133"/>
      <c r="E15" s="133"/>
      <c r="F15" s="133"/>
      <c r="G15" s="134"/>
      <c r="H15" s="132"/>
      <c r="I15" s="133"/>
      <c r="J15" s="133"/>
      <c r="K15" s="133"/>
      <c r="L15" s="133"/>
      <c r="M15" s="133"/>
      <c r="N15" s="134"/>
      <c r="O15" s="132"/>
      <c r="P15" s="133"/>
      <c r="Q15" s="133"/>
      <c r="R15" s="133"/>
      <c r="S15" s="174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6"/>
      <c r="AX15" s="177"/>
      <c r="AY15" s="177"/>
      <c r="AZ15" s="177"/>
      <c r="BA15" s="177"/>
      <c r="BB15" s="177"/>
      <c r="BC15" s="178"/>
      <c r="BD15" s="181"/>
      <c r="BE15" s="177"/>
      <c r="BF15" s="177"/>
      <c r="BG15" s="177"/>
      <c r="BH15" s="177"/>
      <c r="BI15" s="177"/>
      <c r="BJ15" s="178"/>
      <c r="BK15" s="93"/>
    </row>
    <row r="16" spans="1:63" ht="15" customHeight="1">
      <c r="A16" s="90"/>
      <c r="B16" s="138"/>
      <c r="C16" s="139"/>
      <c r="D16" s="139"/>
      <c r="E16" s="139"/>
      <c r="F16" s="139"/>
      <c r="G16" s="140"/>
      <c r="H16" s="138"/>
      <c r="I16" s="139"/>
      <c r="J16" s="139"/>
      <c r="K16" s="139"/>
      <c r="L16" s="139"/>
      <c r="M16" s="139"/>
      <c r="N16" s="140"/>
      <c r="O16" s="138"/>
      <c r="P16" s="139"/>
      <c r="Q16" s="139"/>
      <c r="R16" s="139"/>
      <c r="S16" s="183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5"/>
      <c r="AX16" s="179"/>
      <c r="AY16" s="179"/>
      <c r="AZ16" s="179"/>
      <c r="BA16" s="179"/>
      <c r="BB16" s="179"/>
      <c r="BC16" s="180"/>
      <c r="BD16" s="182"/>
      <c r="BE16" s="179"/>
      <c r="BF16" s="179"/>
      <c r="BG16" s="179"/>
      <c r="BH16" s="179"/>
      <c r="BI16" s="179"/>
      <c r="BJ16" s="180"/>
      <c r="BK16" s="93"/>
    </row>
    <row r="17" spans="1:63" ht="15" customHeight="1">
      <c r="A17" s="90"/>
      <c r="B17" s="132"/>
      <c r="C17" s="133"/>
      <c r="D17" s="133"/>
      <c r="E17" s="133"/>
      <c r="F17" s="133"/>
      <c r="G17" s="134"/>
      <c r="H17" s="132"/>
      <c r="I17" s="133"/>
      <c r="J17" s="133"/>
      <c r="K17" s="133"/>
      <c r="L17" s="133"/>
      <c r="M17" s="133"/>
      <c r="N17" s="134"/>
      <c r="O17" s="132"/>
      <c r="P17" s="133"/>
      <c r="Q17" s="133"/>
      <c r="R17" s="133"/>
      <c r="S17" s="174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6"/>
      <c r="AX17" s="177"/>
      <c r="AY17" s="177"/>
      <c r="AZ17" s="177"/>
      <c r="BA17" s="177"/>
      <c r="BB17" s="177"/>
      <c r="BC17" s="178"/>
      <c r="BD17" s="181"/>
      <c r="BE17" s="177"/>
      <c r="BF17" s="177"/>
      <c r="BG17" s="177"/>
      <c r="BH17" s="177"/>
      <c r="BI17" s="177"/>
      <c r="BJ17" s="178"/>
      <c r="BK17" s="93"/>
    </row>
    <row r="18" spans="1:63" ht="15" customHeight="1">
      <c r="A18" s="90"/>
      <c r="B18" s="138"/>
      <c r="C18" s="139"/>
      <c r="D18" s="139"/>
      <c r="E18" s="139"/>
      <c r="F18" s="139"/>
      <c r="G18" s="140"/>
      <c r="H18" s="138"/>
      <c r="I18" s="139"/>
      <c r="J18" s="139"/>
      <c r="K18" s="139"/>
      <c r="L18" s="139"/>
      <c r="M18" s="139"/>
      <c r="N18" s="140"/>
      <c r="O18" s="138"/>
      <c r="P18" s="139"/>
      <c r="Q18" s="139"/>
      <c r="R18" s="139"/>
      <c r="S18" s="183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5"/>
      <c r="AX18" s="179"/>
      <c r="AY18" s="179"/>
      <c r="AZ18" s="179"/>
      <c r="BA18" s="179"/>
      <c r="BB18" s="179"/>
      <c r="BC18" s="180"/>
      <c r="BD18" s="182"/>
      <c r="BE18" s="179"/>
      <c r="BF18" s="179"/>
      <c r="BG18" s="179"/>
      <c r="BH18" s="179"/>
      <c r="BI18" s="179"/>
      <c r="BJ18" s="180"/>
      <c r="BK18" s="93"/>
    </row>
    <row r="19" spans="1:63" ht="15" customHeight="1">
      <c r="A19" s="90"/>
      <c r="B19" s="132"/>
      <c r="C19" s="133"/>
      <c r="D19" s="133"/>
      <c r="E19" s="133"/>
      <c r="F19" s="133"/>
      <c r="G19" s="134"/>
      <c r="H19" s="132"/>
      <c r="I19" s="133"/>
      <c r="J19" s="133"/>
      <c r="K19" s="133"/>
      <c r="L19" s="133"/>
      <c r="M19" s="133"/>
      <c r="N19" s="134"/>
      <c r="O19" s="132"/>
      <c r="P19" s="133"/>
      <c r="Q19" s="133"/>
      <c r="R19" s="133"/>
      <c r="S19" s="174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6"/>
      <c r="AX19" s="177"/>
      <c r="AY19" s="177"/>
      <c r="AZ19" s="177"/>
      <c r="BA19" s="177"/>
      <c r="BB19" s="177"/>
      <c r="BC19" s="178"/>
      <c r="BD19" s="181"/>
      <c r="BE19" s="177"/>
      <c r="BF19" s="177"/>
      <c r="BG19" s="177"/>
      <c r="BH19" s="177"/>
      <c r="BI19" s="177"/>
      <c r="BJ19" s="178"/>
      <c r="BK19" s="93"/>
    </row>
    <row r="20" spans="1:63" ht="15" customHeight="1">
      <c r="A20" s="90"/>
      <c r="B20" s="138"/>
      <c r="C20" s="139"/>
      <c r="D20" s="139"/>
      <c r="E20" s="139"/>
      <c r="F20" s="139"/>
      <c r="G20" s="140"/>
      <c r="H20" s="138"/>
      <c r="I20" s="139"/>
      <c r="J20" s="139"/>
      <c r="K20" s="139"/>
      <c r="L20" s="139"/>
      <c r="M20" s="139"/>
      <c r="N20" s="140"/>
      <c r="O20" s="138"/>
      <c r="P20" s="139"/>
      <c r="Q20" s="139"/>
      <c r="R20" s="139"/>
      <c r="S20" s="183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5"/>
      <c r="AX20" s="179"/>
      <c r="AY20" s="179"/>
      <c r="AZ20" s="179"/>
      <c r="BA20" s="179"/>
      <c r="BB20" s="179"/>
      <c r="BC20" s="180"/>
      <c r="BD20" s="182"/>
      <c r="BE20" s="179"/>
      <c r="BF20" s="179"/>
      <c r="BG20" s="179"/>
      <c r="BH20" s="179"/>
      <c r="BI20" s="179"/>
      <c r="BJ20" s="180"/>
      <c r="BK20" s="93"/>
    </row>
    <row r="21" spans="1:63" ht="15" customHeight="1">
      <c r="A21" s="90"/>
      <c r="B21" s="132"/>
      <c r="C21" s="133"/>
      <c r="D21" s="133"/>
      <c r="E21" s="133"/>
      <c r="F21" s="133"/>
      <c r="G21" s="134"/>
      <c r="H21" s="132"/>
      <c r="I21" s="133"/>
      <c r="J21" s="133"/>
      <c r="K21" s="133"/>
      <c r="L21" s="133"/>
      <c r="M21" s="133"/>
      <c r="N21" s="134"/>
      <c r="O21" s="132"/>
      <c r="P21" s="133"/>
      <c r="Q21" s="133"/>
      <c r="R21" s="133"/>
      <c r="S21" s="174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6"/>
      <c r="AX21" s="177"/>
      <c r="AY21" s="177"/>
      <c r="AZ21" s="177"/>
      <c r="BA21" s="177"/>
      <c r="BB21" s="177"/>
      <c r="BC21" s="178"/>
      <c r="BD21" s="181"/>
      <c r="BE21" s="177"/>
      <c r="BF21" s="177"/>
      <c r="BG21" s="177"/>
      <c r="BH21" s="177"/>
      <c r="BI21" s="177"/>
      <c r="BJ21" s="178"/>
      <c r="BK21" s="93"/>
    </row>
    <row r="22" spans="1:63" ht="15" customHeight="1">
      <c r="A22" s="90"/>
      <c r="B22" s="138"/>
      <c r="C22" s="139"/>
      <c r="D22" s="139"/>
      <c r="E22" s="139"/>
      <c r="F22" s="139"/>
      <c r="G22" s="140"/>
      <c r="H22" s="138"/>
      <c r="I22" s="139"/>
      <c r="J22" s="139"/>
      <c r="K22" s="139"/>
      <c r="L22" s="139"/>
      <c r="M22" s="139"/>
      <c r="N22" s="140"/>
      <c r="O22" s="138"/>
      <c r="P22" s="139"/>
      <c r="Q22" s="139"/>
      <c r="R22" s="139"/>
      <c r="S22" s="183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5"/>
      <c r="AX22" s="179"/>
      <c r="AY22" s="179"/>
      <c r="AZ22" s="179"/>
      <c r="BA22" s="179"/>
      <c r="BB22" s="179"/>
      <c r="BC22" s="180"/>
      <c r="BD22" s="182"/>
      <c r="BE22" s="179"/>
      <c r="BF22" s="179"/>
      <c r="BG22" s="179"/>
      <c r="BH22" s="179"/>
      <c r="BI22" s="179"/>
      <c r="BJ22" s="180"/>
      <c r="BK22" s="93"/>
    </row>
    <row r="23" spans="1:63" ht="15" customHeight="1">
      <c r="A23" s="90"/>
      <c r="B23" s="132"/>
      <c r="C23" s="133"/>
      <c r="D23" s="133"/>
      <c r="E23" s="133"/>
      <c r="F23" s="133"/>
      <c r="G23" s="134"/>
      <c r="H23" s="132"/>
      <c r="I23" s="133"/>
      <c r="J23" s="133"/>
      <c r="K23" s="133"/>
      <c r="L23" s="133"/>
      <c r="M23" s="133"/>
      <c r="N23" s="134"/>
      <c r="O23" s="132"/>
      <c r="P23" s="133"/>
      <c r="Q23" s="133"/>
      <c r="R23" s="133"/>
      <c r="S23" s="174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6"/>
      <c r="AX23" s="177"/>
      <c r="AY23" s="177"/>
      <c r="AZ23" s="177"/>
      <c r="BA23" s="177"/>
      <c r="BB23" s="177"/>
      <c r="BC23" s="178"/>
      <c r="BD23" s="181"/>
      <c r="BE23" s="177"/>
      <c r="BF23" s="177"/>
      <c r="BG23" s="177"/>
      <c r="BH23" s="177"/>
      <c r="BI23" s="177"/>
      <c r="BJ23" s="178"/>
      <c r="BK23" s="93"/>
    </row>
    <row r="24" spans="1:63" ht="15" customHeight="1">
      <c r="A24" s="90"/>
      <c r="B24" s="138"/>
      <c r="C24" s="139"/>
      <c r="D24" s="139"/>
      <c r="E24" s="139"/>
      <c r="F24" s="139"/>
      <c r="G24" s="140"/>
      <c r="H24" s="138"/>
      <c r="I24" s="139"/>
      <c r="J24" s="139"/>
      <c r="K24" s="139"/>
      <c r="L24" s="139"/>
      <c r="M24" s="139"/>
      <c r="N24" s="140"/>
      <c r="O24" s="138"/>
      <c r="P24" s="139"/>
      <c r="Q24" s="139"/>
      <c r="R24" s="139"/>
      <c r="S24" s="183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5"/>
      <c r="AX24" s="179"/>
      <c r="AY24" s="179"/>
      <c r="AZ24" s="179"/>
      <c r="BA24" s="179"/>
      <c r="BB24" s="179"/>
      <c r="BC24" s="180"/>
      <c r="BD24" s="182"/>
      <c r="BE24" s="179"/>
      <c r="BF24" s="179"/>
      <c r="BG24" s="179"/>
      <c r="BH24" s="179"/>
      <c r="BI24" s="179"/>
      <c r="BJ24" s="180"/>
      <c r="BK24" s="93"/>
    </row>
    <row r="25" spans="1:63" ht="15" customHeight="1">
      <c r="A25" s="90"/>
      <c r="B25" s="132"/>
      <c r="C25" s="133"/>
      <c r="D25" s="133"/>
      <c r="E25" s="133"/>
      <c r="F25" s="133"/>
      <c r="G25" s="134"/>
      <c r="H25" s="132"/>
      <c r="I25" s="133"/>
      <c r="J25" s="133"/>
      <c r="K25" s="133"/>
      <c r="L25" s="133"/>
      <c r="M25" s="133"/>
      <c r="N25" s="134"/>
      <c r="O25" s="132"/>
      <c r="P25" s="133"/>
      <c r="Q25" s="133"/>
      <c r="R25" s="133"/>
      <c r="S25" s="174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6"/>
      <c r="AX25" s="177"/>
      <c r="AY25" s="177"/>
      <c r="AZ25" s="177"/>
      <c r="BA25" s="177"/>
      <c r="BB25" s="177"/>
      <c r="BC25" s="178"/>
      <c r="BD25" s="181"/>
      <c r="BE25" s="177"/>
      <c r="BF25" s="177"/>
      <c r="BG25" s="177"/>
      <c r="BH25" s="177"/>
      <c r="BI25" s="177"/>
      <c r="BJ25" s="178"/>
      <c r="BK25" s="93"/>
    </row>
    <row r="26" spans="1:63" ht="15" customHeight="1">
      <c r="A26" s="90"/>
      <c r="B26" s="138"/>
      <c r="C26" s="139"/>
      <c r="D26" s="139"/>
      <c r="E26" s="139"/>
      <c r="F26" s="139"/>
      <c r="G26" s="140"/>
      <c r="H26" s="138"/>
      <c r="I26" s="139"/>
      <c r="J26" s="139"/>
      <c r="K26" s="139"/>
      <c r="L26" s="139"/>
      <c r="M26" s="139"/>
      <c r="N26" s="140"/>
      <c r="O26" s="138"/>
      <c r="P26" s="139"/>
      <c r="Q26" s="139"/>
      <c r="R26" s="139"/>
      <c r="S26" s="183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5"/>
      <c r="AX26" s="179"/>
      <c r="AY26" s="179"/>
      <c r="AZ26" s="179"/>
      <c r="BA26" s="179"/>
      <c r="BB26" s="179"/>
      <c r="BC26" s="180"/>
      <c r="BD26" s="182"/>
      <c r="BE26" s="179"/>
      <c r="BF26" s="179"/>
      <c r="BG26" s="179"/>
      <c r="BH26" s="179"/>
      <c r="BI26" s="179"/>
      <c r="BJ26" s="180"/>
      <c r="BK26" s="93"/>
    </row>
    <row r="27" spans="1:63" ht="15" customHeight="1">
      <c r="A27" s="90"/>
      <c r="B27" s="132"/>
      <c r="C27" s="133"/>
      <c r="D27" s="133"/>
      <c r="E27" s="133"/>
      <c r="F27" s="133"/>
      <c r="G27" s="134"/>
      <c r="H27" s="132"/>
      <c r="I27" s="133"/>
      <c r="J27" s="133"/>
      <c r="K27" s="133"/>
      <c r="L27" s="133"/>
      <c r="M27" s="133"/>
      <c r="N27" s="134"/>
      <c r="O27" s="132"/>
      <c r="P27" s="133"/>
      <c r="Q27" s="133"/>
      <c r="R27" s="133"/>
      <c r="S27" s="174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  <c r="AU27" s="175"/>
      <c r="AV27" s="175"/>
      <c r="AW27" s="176"/>
      <c r="AX27" s="177"/>
      <c r="AY27" s="177"/>
      <c r="AZ27" s="177"/>
      <c r="BA27" s="177"/>
      <c r="BB27" s="177"/>
      <c r="BC27" s="178"/>
      <c r="BD27" s="181"/>
      <c r="BE27" s="177"/>
      <c r="BF27" s="177"/>
      <c r="BG27" s="177"/>
      <c r="BH27" s="177"/>
      <c r="BI27" s="177"/>
      <c r="BJ27" s="178"/>
      <c r="BK27" s="93"/>
    </row>
    <row r="28" spans="1:63" ht="15" customHeight="1">
      <c r="A28" s="90"/>
      <c r="B28" s="138"/>
      <c r="C28" s="139"/>
      <c r="D28" s="139"/>
      <c r="E28" s="139"/>
      <c r="F28" s="139"/>
      <c r="G28" s="140"/>
      <c r="H28" s="138"/>
      <c r="I28" s="139"/>
      <c r="J28" s="139"/>
      <c r="K28" s="139"/>
      <c r="L28" s="139"/>
      <c r="M28" s="139"/>
      <c r="N28" s="140"/>
      <c r="O28" s="138"/>
      <c r="P28" s="139"/>
      <c r="Q28" s="139"/>
      <c r="R28" s="139"/>
      <c r="S28" s="183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5"/>
      <c r="AX28" s="179"/>
      <c r="AY28" s="179"/>
      <c r="AZ28" s="179"/>
      <c r="BA28" s="179"/>
      <c r="BB28" s="179"/>
      <c r="BC28" s="180"/>
      <c r="BD28" s="182"/>
      <c r="BE28" s="179"/>
      <c r="BF28" s="179"/>
      <c r="BG28" s="179"/>
      <c r="BH28" s="179"/>
      <c r="BI28" s="179"/>
      <c r="BJ28" s="180"/>
      <c r="BK28" s="93"/>
    </row>
    <row r="29" spans="1:63" ht="15" customHeight="1">
      <c r="A29" s="90"/>
      <c r="B29" s="132"/>
      <c r="C29" s="133"/>
      <c r="D29" s="133"/>
      <c r="E29" s="133"/>
      <c r="F29" s="133"/>
      <c r="G29" s="134"/>
      <c r="H29" s="132"/>
      <c r="I29" s="133"/>
      <c r="J29" s="133"/>
      <c r="K29" s="133"/>
      <c r="L29" s="133"/>
      <c r="M29" s="133"/>
      <c r="N29" s="134"/>
      <c r="O29" s="132"/>
      <c r="P29" s="133"/>
      <c r="Q29" s="133"/>
      <c r="R29" s="133"/>
      <c r="S29" s="174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6"/>
      <c r="AX29" s="177"/>
      <c r="AY29" s="177"/>
      <c r="AZ29" s="177"/>
      <c r="BA29" s="177"/>
      <c r="BB29" s="177"/>
      <c r="BC29" s="178"/>
      <c r="BD29" s="181"/>
      <c r="BE29" s="177"/>
      <c r="BF29" s="177"/>
      <c r="BG29" s="177"/>
      <c r="BH29" s="177"/>
      <c r="BI29" s="177"/>
      <c r="BJ29" s="178"/>
      <c r="BK29" s="93"/>
    </row>
    <row r="30" spans="1:63" ht="15" customHeight="1">
      <c r="A30" s="90"/>
      <c r="B30" s="138"/>
      <c r="C30" s="139"/>
      <c r="D30" s="139"/>
      <c r="E30" s="139"/>
      <c r="F30" s="139"/>
      <c r="G30" s="140"/>
      <c r="H30" s="138"/>
      <c r="I30" s="139"/>
      <c r="J30" s="139"/>
      <c r="K30" s="139"/>
      <c r="L30" s="139"/>
      <c r="M30" s="139"/>
      <c r="N30" s="140"/>
      <c r="O30" s="138"/>
      <c r="P30" s="139"/>
      <c r="Q30" s="139"/>
      <c r="R30" s="139"/>
      <c r="S30" s="183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5"/>
      <c r="AX30" s="179"/>
      <c r="AY30" s="179"/>
      <c r="AZ30" s="179"/>
      <c r="BA30" s="179"/>
      <c r="BB30" s="179"/>
      <c r="BC30" s="180"/>
      <c r="BD30" s="182"/>
      <c r="BE30" s="179"/>
      <c r="BF30" s="179"/>
      <c r="BG30" s="179"/>
      <c r="BH30" s="179"/>
      <c r="BI30" s="179"/>
      <c r="BJ30" s="180"/>
      <c r="BK30" s="93"/>
    </row>
    <row r="31" spans="1:63" ht="15" customHeight="1">
      <c r="A31" s="90"/>
      <c r="B31" s="132"/>
      <c r="C31" s="133"/>
      <c r="D31" s="133"/>
      <c r="E31" s="133"/>
      <c r="F31" s="133"/>
      <c r="G31" s="134"/>
      <c r="H31" s="132"/>
      <c r="I31" s="133"/>
      <c r="J31" s="133"/>
      <c r="K31" s="133"/>
      <c r="L31" s="133"/>
      <c r="M31" s="133"/>
      <c r="N31" s="134"/>
      <c r="O31" s="132"/>
      <c r="P31" s="133"/>
      <c r="Q31" s="133"/>
      <c r="R31" s="133"/>
      <c r="S31" s="174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6"/>
      <c r="AX31" s="177"/>
      <c r="AY31" s="177"/>
      <c r="AZ31" s="177"/>
      <c r="BA31" s="177"/>
      <c r="BB31" s="177"/>
      <c r="BC31" s="178"/>
      <c r="BD31" s="181"/>
      <c r="BE31" s="177"/>
      <c r="BF31" s="177"/>
      <c r="BG31" s="177"/>
      <c r="BH31" s="177"/>
      <c r="BI31" s="177"/>
      <c r="BJ31" s="178"/>
      <c r="BK31" s="93"/>
    </row>
    <row r="32" spans="1:63" ht="15" customHeight="1">
      <c r="A32" s="90"/>
      <c r="B32" s="138"/>
      <c r="C32" s="139"/>
      <c r="D32" s="139"/>
      <c r="E32" s="139"/>
      <c r="F32" s="139"/>
      <c r="G32" s="140"/>
      <c r="H32" s="138"/>
      <c r="I32" s="139"/>
      <c r="J32" s="139"/>
      <c r="K32" s="139"/>
      <c r="L32" s="139"/>
      <c r="M32" s="139"/>
      <c r="N32" s="140"/>
      <c r="O32" s="138"/>
      <c r="P32" s="139"/>
      <c r="Q32" s="139"/>
      <c r="R32" s="139"/>
      <c r="S32" s="183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5"/>
      <c r="AX32" s="179"/>
      <c r="AY32" s="179"/>
      <c r="AZ32" s="179"/>
      <c r="BA32" s="179"/>
      <c r="BB32" s="179"/>
      <c r="BC32" s="180"/>
      <c r="BD32" s="182"/>
      <c r="BE32" s="179"/>
      <c r="BF32" s="179"/>
      <c r="BG32" s="179"/>
      <c r="BH32" s="179"/>
      <c r="BI32" s="179"/>
      <c r="BJ32" s="180"/>
      <c r="BK32" s="93"/>
    </row>
    <row r="33" spans="1:63" ht="15" customHeight="1">
      <c r="A33" s="90"/>
      <c r="B33" s="132"/>
      <c r="C33" s="133"/>
      <c r="D33" s="133"/>
      <c r="E33" s="133"/>
      <c r="F33" s="133"/>
      <c r="G33" s="134"/>
      <c r="H33" s="132"/>
      <c r="I33" s="133"/>
      <c r="J33" s="133"/>
      <c r="K33" s="133"/>
      <c r="L33" s="133"/>
      <c r="M33" s="133"/>
      <c r="N33" s="134"/>
      <c r="O33" s="132"/>
      <c r="P33" s="133"/>
      <c r="Q33" s="133"/>
      <c r="R33" s="133"/>
      <c r="S33" s="174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6"/>
      <c r="AX33" s="177"/>
      <c r="AY33" s="177"/>
      <c r="AZ33" s="177"/>
      <c r="BA33" s="177"/>
      <c r="BB33" s="177"/>
      <c r="BC33" s="178"/>
      <c r="BD33" s="181"/>
      <c r="BE33" s="177"/>
      <c r="BF33" s="177"/>
      <c r="BG33" s="177"/>
      <c r="BH33" s="177"/>
      <c r="BI33" s="177"/>
      <c r="BJ33" s="178"/>
      <c r="BK33" s="93"/>
    </row>
    <row r="34" spans="1:63" ht="15" customHeight="1">
      <c r="A34" s="90"/>
      <c r="B34" s="138"/>
      <c r="C34" s="139"/>
      <c r="D34" s="139"/>
      <c r="E34" s="139"/>
      <c r="F34" s="139"/>
      <c r="G34" s="140"/>
      <c r="H34" s="138"/>
      <c r="I34" s="139"/>
      <c r="J34" s="139"/>
      <c r="K34" s="139"/>
      <c r="L34" s="139"/>
      <c r="M34" s="139"/>
      <c r="N34" s="140"/>
      <c r="O34" s="138"/>
      <c r="P34" s="139"/>
      <c r="Q34" s="139"/>
      <c r="R34" s="139"/>
      <c r="S34" s="183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5"/>
      <c r="AX34" s="179"/>
      <c r="AY34" s="179"/>
      <c r="AZ34" s="179"/>
      <c r="BA34" s="179"/>
      <c r="BB34" s="179"/>
      <c r="BC34" s="180"/>
      <c r="BD34" s="182"/>
      <c r="BE34" s="179"/>
      <c r="BF34" s="179"/>
      <c r="BG34" s="179"/>
      <c r="BH34" s="179"/>
      <c r="BI34" s="179"/>
      <c r="BJ34" s="180"/>
      <c r="BK34" s="93"/>
    </row>
    <row r="35" spans="1:63" ht="15" customHeight="1">
      <c r="A35" s="90"/>
      <c r="B35" s="132"/>
      <c r="C35" s="133"/>
      <c r="D35" s="133"/>
      <c r="E35" s="133"/>
      <c r="F35" s="133"/>
      <c r="G35" s="134"/>
      <c r="H35" s="132"/>
      <c r="I35" s="133"/>
      <c r="J35" s="133"/>
      <c r="K35" s="133"/>
      <c r="L35" s="133"/>
      <c r="M35" s="133"/>
      <c r="N35" s="134"/>
      <c r="O35" s="132"/>
      <c r="P35" s="133"/>
      <c r="Q35" s="133"/>
      <c r="R35" s="133"/>
      <c r="S35" s="174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6"/>
      <c r="AX35" s="177"/>
      <c r="AY35" s="177"/>
      <c r="AZ35" s="177"/>
      <c r="BA35" s="177"/>
      <c r="BB35" s="177"/>
      <c r="BC35" s="178"/>
      <c r="BD35" s="181"/>
      <c r="BE35" s="177"/>
      <c r="BF35" s="177"/>
      <c r="BG35" s="177"/>
      <c r="BH35" s="177"/>
      <c r="BI35" s="177"/>
      <c r="BJ35" s="178"/>
      <c r="BK35" s="93"/>
    </row>
    <row r="36" spans="1:63" ht="15" customHeight="1">
      <c r="A36" s="90"/>
      <c r="B36" s="138"/>
      <c r="C36" s="139"/>
      <c r="D36" s="139"/>
      <c r="E36" s="139"/>
      <c r="F36" s="139"/>
      <c r="G36" s="140"/>
      <c r="H36" s="138"/>
      <c r="I36" s="139"/>
      <c r="J36" s="139"/>
      <c r="K36" s="139"/>
      <c r="L36" s="139"/>
      <c r="M36" s="139"/>
      <c r="N36" s="140"/>
      <c r="O36" s="138"/>
      <c r="P36" s="139"/>
      <c r="Q36" s="139"/>
      <c r="R36" s="139"/>
      <c r="S36" s="183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5"/>
      <c r="AX36" s="179"/>
      <c r="AY36" s="179"/>
      <c r="AZ36" s="179"/>
      <c r="BA36" s="179"/>
      <c r="BB36" s="179"/>
      <c r="BC36" s="180"/>
      <c r="BD36" s="182"/>
      <c r="BE36" s="179"/>
      <c r="BF36" s="179"/>
      <c r="BG36" s="179"/>
      <c r="BH36" s="179"/>
      <c r="BI36" s="179"/>
      <c r="BJ36" s="180"/>
      <c r="BK36" s="93"/>
    </row>
    <row r="37" spans="1:63" ht="15" customHeight="1">
      <c r="A37" s="90"/>
      <c r="B37" s="132"/>
      <c r="C37" s="133"/>
      <c r="D37" s="133"/>
      <c r="E37" s="133"/>
      <c r="F37" s="133"/>
      <c r="G37" s="134"/>
      <c r="H37" s="132"/>
      <c r="I37" s="133"/>
      <c r="J37" s="133"/>
      <c r="K37" s="133"/>
      <c r="L37" s="133"/>
      <c r="M37" s="133"/>
      <c r="N37" s="134"/>
      <c r="O37" s="132"/>
      <c r="P37" s="133"/>
      <c r="Q37" s="133"/>
      <c r="R37" s="133"/>
      <c r="S37" s="174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6"/>
      <c r="AX37" s="177"/>
      <c r="AY37" s="177"/>
      <c r="AZ37" s="177"/>
      <c r="BA37" s="177"/>
      <c r="BB37" s="177"/>
      <c r="BC37" s="178"/>
      <c r="BD37" s="181"/>
      <c r="BE37" s="177"/>
      <c r="BF37" s="177"/>
      <c r="BG37" s="177"/>
      <c r="BH37" s="177"/>
      <c r="BI37" s="177"/>
      <c r="BJ37" s="178"/>
      <c r="BK37" s="93"/>
    </row>
    <row r="38" spans="1:63" ht="15" customHeight="1">
      <c r="A38" s="90"/>
      <c r="B38" s="138"/>
      <c r="C38" s="139"/>
      <c r="D38" s="139"/>
      <c r="E38" s="139"/>
      <c r="F38" s="139"/>
      <c r="G38" s="140"/>
      <c r="H38" s="138"/>
      <c r="I38" s="139"/>
      <c r="J38" s="139"/>
      <c r="K38" s="139"/>
      <c r="L38" s="139"/>
      <c r="M38" s="139"/>
      <c r="N38" s="140"/>
      <c r="O38" s="138"/>
      <c r="P38" s="139"/>
      <c r="Q38" s="139"/>
      <c r="R38" s="139"/>
      <c r="S38" s="183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5"/>
      <c r="AX38" s="179"/>
      <c r="AY38" s="179"/>
      <c r="AZ38" s="179"/>
      <c r="BA38" s="179"/>
      <c r="BB38" s="179"/>
      <c r="BC38" s="180"/>
      <c r="BD38" s="182"/>
      <c r="BE38" s="179"/>
      <c r="BF38" s="179"/>
      <c r="BG38" s="179"/>
      <c r="BH38" s="179"/>
      <c r="BI38" s="179"/>
      <c r="BJ38" s="180"/>
      <c r="BK38" s="93"/>
    </row>
    <row r="39" spans="1:63" ht="15" customHeight="1">
      <c r="A39" s="90"/>
      <c r="B39" s="132"/>
      <c r="C39" s="133"/>
      <c r="D39" s="133"/>
      <c r="E39" s="133"/>
      <c r="F39" s="133"/>
      <c r="G39" s="134"/>
      <c r="H39" s="132"/>
      <c r="I39" s="133"/>
      <c r="J39" s="133"/>
      <c r="K39" s="133"/>
      <c r="L39" s="133"/>
      <c r="M39" s="133"/>
      <c r="N39" s="134"/>
      <c r="O39" s="132"/>
      <c r="P39" s="133"/>
      <c r="Q39" s="133"/>
      <c r="R39" s="133"/>
      <c r="S39" s="174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6"/>
      <c r="AX39" s="177"/>
      <c r="AY39" s="177"/>
      <c r="AZ39" s="177"/>
      <c r="BA39" s="177"/>
      <c r="BB39" s="177"/>
      <c r="BC39" s="178"/>
      <c r="BD39" s="181"/>
      <c r="BE39" s="177"/>
      <c r="BF39" s="177"/>
      <c r="BG39" s="177"/>
      <c r="BH39" s="177"/>
      <c r="BI39" s="177"/>
      <c r="BJ39" s="178"/>
      <c r="BK39" s="93"/>
    </row>
    <row r="40" spans="1:63" ht="15" customHeight="1">
      <c r="A40" s="90"/>
      <c r="B40" s="138"/>
      <c r="C40" s="139"/>
      <c r="D40" s="139"/>
      <c r="E40" s="139"/>
      <c r="F40" s="139"/>
      <c r="G40" s="140"/>
      <c r="H40" s="138"/>
      <c r="I40" s="139"/>
      <c r="J40" s="139"/>
      <c r="K40" s="139"/>
      <c r="L40" s="139"/>
      <c r="M40" s="139"/>
      <c r="N40" s="140"/>
      <c r="O40" s="138"/>
      <c r="P40" s="139"/>
      <c r="Q40" s="139"/>
      <c r="R40" s="139"/>
      <c r="S40" s="183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5"/>
      <c r="AX40" s="179"/>
      <c r="AY40" s="179"/>
      <c r="AZ40" s="179"/>
      <c r="BA40" s="179"/>
      <c r="BB40" s="179"/>
      <c r="BC40" s="180"/>
      <c r="BD40" s="182"/>
      <c r="BE40" s="179"/>
      <c r="BF40" s="179"/>
      <c r="BG40" s="179"/>
      <c r="BH40" s="179"/>
      <c r="BI40" s="179"/>
      <c r="BJ40" s="180"/>
      <c r="BK40" s="93"/>
    </row>
    <row r="41" spans="1:63" ht="15" customHeight="1">
      <c r="A41" s="90"/>
      <c r="B41" s="132"/>
      <c r="C41" s="133"/>
      <c r="D41" s="133"/>
      <c r="E41" s="133"/>
      <c r="F41" s="133"/>
      <c r="G41" s="134"/>
      <c r="H41" s="132"/>
      <c r="I41" s="133"/>
      <c r="J41" s="133"/>
      <c r="K41" s="133"/>
      <c r="L41" s="133"/>
      <c r="M41" s="133"/>
      <c r="N41" s="134"/>
      <c r="O41" s="132"/>
      <c r="P41" s="133"/>
      <c r="Q41" s="133"/>
      <c r="R41" s="133"/>
      <c r="S41" s="174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6"/>
      <c r="AX41" s="177"/>
      <c r="AY41" s="177"/>
      <c r="AZ41" s="177"/>
      <c r="BA41" s="177"/>
      <c r="BB41" s="177"/>
      <c r="BC41" s="178"/>
      <c r="BD41" s="181"/>
      <c r="BE41" s="177"/>
      <c r="BF41" s="177"/>
      <c r="BG41" s="177"/>
      <c r="BH41" s="177"/>
      <c r="BI41" s="177"/>
      <c r="BJ41" s="178"/>
      <c r="BK41" s="93"/>
    </row>
    <row r="42" spans="1:63" ht="15" customHeight="1">
      <c r="A42" s="90"/>
      <c r="B42" s="138"/>
      <c r="C42" s="139"/>
      <c r="D42" s="139"/>
      <c r="E42" s="139"/>
      <c r="F42" s="139"/>
      <c r="G42" s="140"/>
      <c r="H42" s="138"/>
      <c r="I42" s="139"/>
      <c r="J42" s="139"/>
      <c r="K42" s="139"/>
      <c r="L42" s="139"/>
      <c r="M42" s="139"/>
      <c r="N42" s="140"/>
      <c r="O42" s="138"/>
      <c r="P42" s="139"/>
      <c r="Q42" s="139"/>
      <c r="R42" s="139"/>
      <c r="S42" s="183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5"/>
      <c r="AX42" s="179"/>
      <c r="AY42" s="179"/>
      <c r="AZ42" s="179"/>
      <c r="BA42" s="179"/>
      <c r="BB42" s="179"/>
      <c r="BC42" s="180"/>
      <c r="BD42" s="182"/>
      <c r="BE42" s="179"/>
      <c r="BF42" s="179"/>
      <c r="BG42" s="179"/>
      <c r="BH42" s="179"/>
      <c r="BI42" s="179"/>
      <c r="BJ42" s="180"/>
      <c r="BK42" s="93"/>
    </row>
    <row r="43" spans="1:63" ht="15" customHeight="1">
      <c r="A43" s="90"/>
      <c r="B43" s="132"/>
      <c r="C43" s="133"/>
      <c r="D43" s="133"/>
      <c r="E43" s="133"/>
      <c r="F43" s="133"/>
      <c r="G43" s="134"/>
      <c r="H43" s="132"/>
      <c r="I43" s="133"/>
      <c r="J43" s="133"/>
      <c r="K43" s="133"/>
      <c r="L43" s="133"/>
      <c r="M43" s="133"/>
      <c r="N43" s="134"/>
      <c r="O43" s="132"/>
      <c r="P43" s="133"/>
      <c r="Q43" s="133"/>
      <c r="R43" s="133"/>
      <c r="S43" s="174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6"/>
      <c r="AX43" s="177"/>
      <c r="AY43" s="177"/>
      <c r="AZ43" s="177"/>
      <c r="BA43" s="177"/>
      <c r="BB43" s="177"/>
      <c r="BC43" s="178"/>
      <c r="BD43" s="181"/>
      <c r="BE43" s="177"/>
      <c r="BF43" s="177"/>
      <c r="BG43" s="177"/>
      <c r="BH43" s="177"/>
      <c r="BI43" s="177"/>
      <c r="BJ43" s="178"/>
      <c r="BK43" s="93"/>
    </row>
    <row r="44" spans="1:63" ht="15" customHeight="1">
      <c r="A44" s="90"/>
      <c r="B44" s="138"/>
      <c r="C44" s="139"/>
      <c r="D44" s="139"/>
      <c r="E44" s="139"/>
      <c r="F44" s="139"/>
      <c r="G44" s="140"/>
      <c r="H44" s="138"/>
      <c r="I44" s="139"/>
      <c r="J44" s="139"/>
      <c r="K44" s="139"/>
      <c r="L44" s="139"/>
      <c r="M44" s="139"/>
      <c r="N44" s="140"/>
      <c r="O44" s="138"/>
      <c r="P44" s="139"/>
      <c r="Q44" s="139"/>
      <c r="R44" s="139"/>
      <c r="S44" s="183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5"/>
      <c r="AX44" s="179"/>
      <c r="AY44" s="179"/>
      <c r="AZ44" s="179"/>
      <c r="BA44" s="179"/>
      <c r="BB44" s="179"/>
      <c r="BC44" s="180"/>
      <c r="BD44" s="182"/>
      <c r="BE44" s="179"/>
      <c r="BF44" s="179"/>
      <c r="BG44" s="179"/>
      <c r="BH44" s="179"/>
      <c r="BI44" s="179"/>
      <c r="BJ44" s="180"/>
      <c r="BK44" s="93"/>
    </row>
    <row r="45" spans="1:63" ht="15" customHeight="1">
      <c r="A45" s="90"/>
      <c r="B45" s="132"/>
      <c r="C45" s="133"/>
      <c r="D45" s="133"/>
      <c r="E45" s="133"/>
      <c r="F45" s="133"/>
      <c r="G45" s="134"/>
      <c r="H45" s="132"/>
      <c r="I45" s="133"/>
      <c r="J45" s="133"/>
      <c r="K45" s="133"/>
      <c r="L45" s="133"/>
      <c r="M45" s="133"/>
      <c r="N45" s="134"/>
      <c r="O45" s="132"/>
      <c r="P45" s="133"/>
      <c r="Q45" s="133"/>
      <c r="R45" s="133"/>
      <c r="S45" s="174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6"/>
      <c r="AX45" s="177"/>
      <c r="AY45" s="177"/>
      <c r="AZ45" s="177"/>
      <c r="BA45" s="177"/>
      <c r="BB45" s="177"/>
      <c r="BC45" s="178"/>
      <c r="BD45" s="181"/>
      <c r="BE45" s="177"/>
      <c r="BF45" s="177"/>
      <c r="BG45" s="177"/>
      <c r="BH45" s="177"/>
      <c r="BI45" s="177"/>
      <c r="BJ45" s="178"/>
      <c r="BK45" s="93"/>
    </row>
    <row r="46" spans="1:63" ht="15" customHeight="1">
      <c r="A46" s="90"/>
      <c r="B46" s="138"/>
      <c r="C46" s="139"/>
      <c r="D46" s="139"/>
      <c r="E46" s="139"/>
      <c r="F46" s="139"/>
      <c r="G46" s="140"/>
      <c r="H46" s="138"/>
      <c r="I46" s="139"/>
      <c r="J46" s="139"/>
      <c r="K46" s="139"/>
      <c r="L46" s="139"/>
      <c r="M46" s="139"/>
      <c r="N46" s="140"/>
      <c r="O46" s="138"/>
      <c r="P46" s="139"/>
      <c r="Q46" s="139"/>
      <c r="R46" s="139"/>
      <c r="S46" s="183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5"/>
      <c r="AX46" s="179"/>
      <c r="AY46" s="179"/>
      <c r="AZ46" s="179"/>
      <c r="BA46" s="179"/>
      <c r="BB46" s="179"/>
      <c r="BC46" s="180"/>
      <c r="BD46" s="182"/>
      <c r="BE46" s="179"/>
      <c r="BF46" s="179"/>
      <c r="BG46" s="179"/>
      <c r="BH46" s="179"/>
      <c r="BI46" s="179"/>
      <c r="BJ46" s="180"/>
      <c r="BK46" s="93"/>
    </row>
    <row r="47" spans="1:63" ht="15" customHeight="1">
      <c r="A47" s="90"/>
      <c r="B47" s="132"/>
      <c r="C47" s="133"/>
      <c r="D47" s="133"/>
      <c r="E47" s="133"/>
      <c r="F47" s="133"/>
      <c r="G47" s="134"/>
      <c r="H47" s="132"/>
      <c r="I47" s="133"/>
      <c r="J47" s="133"/>
      <c r="K47" s="133"/>
      <c r="L47" s="133"/>
      <c r="M47" s="133"/>
      <c r="N47" s="134"/>
      <c r="O47" s="132"/>
      <c r="P47" s="133"/>
      <c r="Q47" s="133"/>
      <c r="R47" s="133"/>
      <c r="S47" s="174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6"/>
      <c r="AX47" s="177"/>
      <c r="AY47" s="177"/>
      <c r="AZ47" s="177"/>
      <c r="BA47" s="177"/>
      <c r="BB47" s="177"/>
      <c r="BC47" s="178"/>
      <c r="BD47" s="181"/>
      <c r="BE47" s="177"/>
      <c r="BF47" s="177"/>
      <c r="BG47" s="177"/>
      <c r="BH47" s="177"/>
      <c r="BI47" s="177"/>
      <c r="BJ47" s="178"/>
      <c r="BK47" s="93"/>
    </row>
    <row r="48" spans="1:63" ht="15" customHeight="1">
      <c r="A48" s="90"/>
      <c r="B48" s="138"/>
      <c r="C48" s="139"/>
      <c r="D48" s="139"/>
      <c r="E48" s="139"/>
      <c r="F48" s="139"/>
      <c r="G48" s="140"/>
      <c r="H48" s="138"/>
      <c r="I48" s="139"/>
      <c r="J48" s="139"/>
      <c r="K48" s="139"/>
      <c r="L48" s="139"/>
      <c r="M48" s="139"/>
      <c r="N48" s="140"/>
      <c r="O48" s="138"/>
      <c r="P48" s="139"/>
      <c r="Q48" s="139"/>
      <c r="R48" s="139"/>
      <c r="S48" s="183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5"/>
      <c r="AX48" s="179"/>
      <c r="AY48" s="179"/>
      <c r="AZ48" s="179"/>
      <c r="BA48" s="179"/>
      <c r="BB48" s="179"/>
      <c r="BC48" s="180"/>
      <c r="BD48" s="182"/>
      <c r="BE48" s="179"/>
      <c r="BF48" s="179"/>
      <c r="BG48" s="179"/>
      <c r="BH48" s="179"/>
      <c r="BI48" s="179"/>
      <c r="BJ48" s="180"/>
      <c r="BK48" s="93"/>
    </row>
    <row r="49" spans="1:63" ht="15" customHeight="1">
      <c r="A49" s="90"/>
      <c r="B49" s="132"/>
      <c r="C49" s="133"/>
      <c r="D49" s="133"/>
      <c r="E49" s="133"/>
      <c r="F49" s="133"/>
      <c r="G49" s="134"/>
      <c r="H49" s="132"/>
      <c r="I49" s="133"/>
      <c r="J49" s="133"/>
      <c r="K49" s="133"/>
      <c r="L49" s="133"/>
      <c r="M49" s="133"/>
      <c r="N49" s="134"/>
      <c r="O49" s="132"/>
      <c r="P49" s="133"/>
      <c r="Q49" s="133"/>
      <c r="R49" s="133"/>
      <c r="S49" s="174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6"/>
      <c r="AX49" s="177"/>
      <c r="AY49" s="177"/>
      <c r="AZ49" s="177"/>
      <c r="BA49" s="177"/>
      <c r="BB49" s="177"/>
      <c r="BC49" s="178"/>
      <c r="BD49" s="181"/>
      <c r="BE49" s="177"/>
      <c r="BF49" s="177"/>
      <c r="BG49" s="177"/>
      <c r="BH49" s="177"/>
      <c r="BI49" s="177"/>
      <c r="BJ49" s="178"/>
      <c r="BK49" s="93"/>
    </row>
    <row r="50" spans="1:63" ht="15" customHeight="1">
      <c r="A50" s="90"/>
      <c r="B50" s="138"/>
      <c r="C50" s="139"/>
      <c r="D50" s="139"/>
      <c r="E50" s="139"/>
      <c r="F50" s="139"/>
      <c r="G50" s="140"/>
      <c r="H50" s="138"/>
      <c r="I50" s="139"/>
      <c r="J50" s="139"/>
      <c r="K50" s="139"/>
      <c r="L50" s="139"/>
      <c r="M50" s="139"/>
      <c r="N50" s="140"/>
      <c r="O50" s="138"/>
      <c r="P50" s="139"/>
      <c r="Q50" s="139"/>
      <c r="R50" s="139"/>
      <c r="S50" s="183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5"/>
      <c r="AX50" s="179"/>
      <c r="AY50" s="179"/>
      <c r="AZ50" s="179"/>
      <c r="BA50" s="179"/>
      <c r="BB50" s="179"/>
      <c r="BC50" s="180"/>
      <c r="BD50" s="182"/>
      <c r="BE50" s="179"/>
      <c r="BF50" s="179"/>
      <c r="BG50" s="179"/>
      <c r="BH50" s="179"/>
      <c r="BI50" s="179"/>
      <c r="BJ50" s="180"/>
      <c r="BK50" s="93"/>
    </row>
    <row r="51" spans="1:63" ht="15" customHeight="1">
      <c r="A51" s="90"/>
      <c r="B51" s="132"/>
      <c r="C51" s="133"/>
      <c r="D51" s="133"/>
      <c r="E51" s="133"/>
      <c r="F51" s="133"/>
      <c r="G51" s="134"/>
      <c r="H51" s="132"/>
      <c r="I51" s="133"/>
      <c r="J51" s="133"/>
      <c r="K51" s="133"/>
      <c r="L51" s="133"/>
      <c r="M51" s="133"/>
      <c r="N51" s="134"/>
      <c r="O51" s="132"/>
      <c r="P51" s="133"/>
      <c r="Q51" s="133"/>
      <c r="R51" s="133"/>
      <c r="S51" s="174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6"/>
      <c r="AX51" s="177"/>
      <c r="AY51" s="177"/>
      <c r="AZ51" s="177"/>
      <c r="BA51" s="177"/>
      <c r="BB51" s="177"/>
      <c r="BC51" s="178"/>
      <c r="BD51" s="181"/>
      <c r="BE51" s="177"/>
      <c r="BF51" s="177"/>
      <c r="BG51" s="177"/>
      <c r="BH51" s="177"/>
      <c r="BI51" s="177"/>
      <c r="BJ51" s="178"/>
      <c r="BK51" s="93"/>
    </row>
    <row r="52" spans="1:63" ht="15" customHeight="1">
      <c r="A52" s="90"/>
      <c r="B52" s="138"/>
      <c r="C52" s="139"/>
      <c r="D52" s="139"/>
      <c r="E52" s="139"/>
      <c r="F52" s="139"/>
      <c r="G52" s="140"/>
      <c r="H52" s="138"/>
      <c r="I52" s="139"/>
      <c r="J52" s="139"/>
      <c r="K52" s="139"/>
      <c r="L52" s="139"/>
      <c r="M52" s="139"/>
      <c r="N52" s="140"/>
      <c r="O52" s="138"/>
      <c r="P52" s="139"/>
      <c r="Q52" s="139"/>
      <c r="R52" s="139"/>
      <c r="S52" s="183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5"/>
      <c r="AX52" s="179"/>
      <c r="AY52" s="179"/>
      <c r="AZ52" s="179"/>
      <c r="BA52" s="179"/>
      <c r="BB52" s="179"/>
      <c r="BC52" s="180"/>
      <c r="BD52" s="182"/>
      <c r="BE52" s="179"/>
      <c r="BF52" s="179"/>
      <c r="BG52" s="179"/>
      <c r="BH52" s="179"/>
      <c r="BI52" s="179"/>
      <c r="BJ52" s="180"/>
      <c r="BK52" s="93"/>
    </row>
    <row r="53" spans="1:63" ht="15" customHeight="1">
      <c r="A53" s="90"/>
      <c r="B53" s="132"/>
      <c r="C53" s="133"/>
      <c r="D53" s="133"/>
      <c r="E53" s="133"/>
      <c r="F53" s="133"/>
      <c r="G53" s="134"/>
      <c r="H53" s="132"/>
      <c r="I53" s="133"/>
      <c r="J53" s="133"/>
      <c r="K53" s="133"/>
      <c r="L53" s="133"/>
      <c r="M53" s="133"/>
      <c r="N53" s="134"/>
      <c r="O53" s="132"/>
      <c r="P53" s="133"/>
      <c r="Q53" s="133"/>
      <c r="R53" s="133"/>
      <c r="S53" s="174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6"/>
      <c r="AX53" s="177"/>
      <c r="AY53" s="177"/>
      <c r="AZ53" s="177"/>
      <c r="BA53" s="177"/>
      <c r="BB53" s="177"/>
      <c r="BC53" s="178"/>
      <c r="BD53" s="181"/>
      <c r="BE53" s="177"/>
      <c r="BF53" s="177"/>
      <c r="BG53" s="177"/>
      <c r="BH53" s="177"/>
      <c r="BI53" s="177"/>
      <c r="BJ53" s="178"/>
      <c r="BK53" s="93"/>
    </row>
    <row r="54" spans="1:63" ht="15" customHeight="1">
      <c r="A54" s="90"/>
      <c r="B54" s="138"/>
      <c r="C54" s="139"/>
      <c r="D54" s="139"/>
      <c r="E54" s="139"/>
      <c r="F54" s="139"/>
      <c r="G54" s="140"/>
      <c r="H54" s="138"/>
      <c r="I54" s="139"/>
      <c r="J54" s="139"/>
      <c r="K54" s="139"/>
      <c r="L54" s="139"/>
      <c r="M54" s="139"/>
      <c r="N54" s="140"/>
      <c r="O54" s="138"/>
      <c r="P54" s="139"/>
      <c r="Q54" s="139"/>
      <c r="R54" s="139"/>
      <c r="S54" s="183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5"/>
      <c r="AX54" s="179"/>
      <c r="AY54" s="179"/>
      <c r="AZ54" s="179"/>
      <c r="BA54" s="179"/>
      <c r="BB54" s="179"/>
      <c r="BC54" s="180"/>
      <c r="BD54" s="182"/>
      <c r="BE54" s="179"/>
      <c r="BF54" s="179"/>
      <c r="BG54" s="179"/>
      <c r="BH54" s="179"/>
      <c r="BI54" s="179"/>
      <c r="BJ54" s="180"/>
      <c r="BK54" s="93"/>
    </row>
    <row r="55" spans="1:63" ht="1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4"/>
    </row>
  </sheetData>
  <mergeCells count="180"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36B9-6C5E-4CE7-A31D-3943C125658D}">
  <sheetPr>
    <pageSetUpPr fitToPage="1"/>
  </sheetPr>
  <dimension ref="A1:BK97"/>
  <sheetViews>
    <sheetView showGridLines="0" view="pageBreakPreview" topLeftCell="A12" zoomScale="75" zoomScaleNormal="75" zoomScaleSheetLayoutView="75" workbookViewId="0">
      <selection activeCell="AR107" sqref="AR107"/>
    </sheetView>
  </sheetViews>
  <sheetFormatPr defaultColWidth="2.77734375" defaultRowHeight="15" customHeight="1"/>
  <cols>
    <col min="1" max="16384" width="2.77734375" style="1"/>
  </cols>
  <sheetData>
    <row r="1" spans="1:63" customFormat="1" ht="24.95" customHeight="1">
      <c r="A1" s="147" t="s">
        <v>107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109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50" t="str">
        <f>IF(表紙!W1="","",表紙!W1)</f>
        <v/>
      </c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147" t="s">
        <v>110</v>
      </c>
      <c r="AQ1" s="148"/>
      <c r="AR1" s="148"/>
      <c r="AS1" s="149"/>
      <c r="AT1" s="147" t="s">
        <v>111</v>
      </c>
      <c r="AU1" s="148"/>
      <c r="AV1" s="148"/>
      <c r="AW1" s="148"/>
      <c r="AX1" s="149"/>
      <c r="AY1" s="147" t="s">
        <v>112</v>
      </c>
      <c r="AZ1" s="148"/>
      <c r="BA1" s="148"/>
      <c r="BB1" s="149"/>
      <c r="BC1" s="147" t="s">
        <v>113</v>
      </c>
      <c r="BD1" s="148"/>
      <c r="BE1" s="148"/>
      <c r="BF1" s="148"/>
      <c r="BG1" s="149"/>
      <c r="BH1" s="147" t="s">
        <v>114</v>
      </c>
      <c r="BI1" s="148"/>
      <c r="BJ1" s="148"/>
      <c r="BK1" s="149"/>
    </row>
    <row r="2" spans="1:63" customFormat="1" ht="15" customHeight="1">
      <c r="A2" s="132" t="str">
        <f>IF(表紙!A2="","",表紙!A2)</f>
        <v>現金専用簡易セルフPOS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LUVINAコントローラー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53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5"/>
      <c r="AP2" s="132" t="str">
        <f>IF(表紙!AP2="","",表紙!AP2)</f>
        <v>Thanh Nguyên</v>
      </c>
      <c r="AQ2" s="133"/>
      <c r="AR2" s="133"/>
      <c r="AS2" s="134"/>
      <c r="AT2" s="168">
        <f>IF(表紙!AT2="","",表紙!AT2)</f>
        <v>45209</v>
      </c>
      <c r="AU2" s="169"/>
      <c r="AV2" s="169"/>
      <c r="AW2" s="169"/>
      <c r="AX2" s="170"/>
      <c r="AY2" s="132" t="str">
        <f>IF(表紙!AY2="","",表紙!AY2)</f>
        <v>Thanh Nguyên</v>
      </c>
      <c r="AZ2" s="133"/>
      <c r="BA2" s="133"/>
      <c r="BB2" s="134"/>
      <c r="BC2" s="168">
        <f>IF(表紙!BC2="","",表紙!BC2)</f>
        <v>45209</v>
      </c>
      <c r="BD2" s="169"/>
      <c r="BE2" s="169"/>
      <c r="BF2" s="169"/>
      <c r="BG2" s="170"/>
      <c r="BH2" s="132">
        <f>IF(表紙!BH2="","",表紙!BH2)</f>
        <v>0.2</v>
      </c>
      <c r="BI2" s="133"/>
      <c r="BJ2" s="133"/>
      <c r="BK2" s="134"/>
    </row>
    <row r="3" spans="1:63" customFormat="1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6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/>
      <c r="AP3" s="138"/>
      <c r="AQ3" s="139"/>
      <c r="AR3" s="139"/>
      <c r="AS3" s="140"/>
      <c r="AT3" s="171"/>
      <c r="AU3" s="172"/>
      <c r="AV3" s="172"/>
      <c r="AW3" s="172"/>
      <c r="AX3" s="173"/>
      <c r="AY3" s="138"/>
      <c r="AZ3" s="139"/>
      <c r="BA3" s="139"/>
      <c r="BB3" s="140"/>
      <c r="BC3" s="171"/>
      <c r="BD3" s="172"/>
      <c r="BE3" s="172"/>
      <c r="BF3" s="172"/>
      <c r="BG3" s="173"/>
      <c r="BH3" s="138"/>
      <c r="BI3" s="139"/>
      <c r="BJ3" s="139"/>
      <c r="BK3" s="140"/>
    </row>
    <row r="4" spans="1:63" customFormat="1" ht="24.95" customHeight="1">
      <c r="A4" s="147" t="s">
        <v>108</v>
      </c>
      <c r="B4" s="148"/>
      <c r="C4" s="148"/>
      <c r="D4" s="148"/>
      <c r="E4" s="148"/>
      <c r="F4" s="148"/>
      <c r="G4" s="149"/>
      <c r="H4" s="159" t="str">
        <f>IF(表紙!H4="","",表紙!H4)</f>
        <v>API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47" t="s">
        <v>115</v>
      </c>
      <c r="V4" s="148"/>
      <c r="W4" s="148"/>
      <c r="X4" s="148"/>
      <c r="Y4" s="149"/>
      <c r="Z4" s="159" t="str">
        <f>IF(表紙!Z4="","",表紙!Z4)</f>
        <v>基本設計書</v>
      </c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1"/>
      <c r="AP4" s="159" t="str" cm="1">
        <f t="array" aca="1" ref="AP4" ca="1">RIGHT(CELL("filename",$A$1),LEN(CELL("filename",$A$1))-FIND("]",CELL("filename",$A$1)))</f>
        <v>Tổng hợp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1"/>
    </row>
    <row r="5" spans="1:63" customFormat="1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26"/>
    </row>
    <row r="7" spans="1:63" ht="15" customHeight="1">
      <c r="A7" s="118"/>
      <c r="B7" s="106" t="s">
        <v>0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14"/>
    </row>
    <row r="8" spans="1:63" ht="15" customHeight="1">
      <c r="A8" s="118"/>
      <c r="B8" s="105" t="s">
        <v>124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14"/>
    </row>
    <row r="9" spans="1:63" ht="15" customHeight="1">
      <c r="A9" s="118"/>
      <c r="B9" s="106" t="s">
        <v>125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14"/>
    </row>
    <row r="10" spans="1:63" ht="15" customHeight="1">
      <c r="A10" s="118"/>
      <c r="B10" s="105"/>
      <c r="C10" s="105" t="s">
        <v>1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7"/>
      <c r="N10" s="107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14"/>
    </row>
    <row r="11" spans="1:63" ht="15" customHeight="1">
      <c r="A11" s="118"/>
      <c r="B11" s="105"/>
      <c r="C11" s="105" t="s">
        <v>2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7"/>
      <c r="N11" s="107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14"/>
    </row>
    <row r="12" spans="1:63" ht="15" customHeight="1">
      <c r="A12" s="118"/>
      <c r="B12" s="105"/>
      <c r="C12" s="105" t="s">
        <v>126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7"/>
      <c r="N12" s="107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14"/>
    </row>
    <row r="13" spans="1:63" ht="15" customHeight="1">
      <c r="A13" s="118"/>
      <c r="B13" s="105"/>
      <c r="C13" s="105" t="s">
        <v>127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7"/>
      <c r="N13" s="107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14"/>
    </row>
    <row r="14" spans="1:63" ht="15" customHeight="1">
      <c r="A14" s="118"/>
      <c r="B14" s="105"/>
      <c r="C14" s="105" t="s">
        <v>7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7"/>
      <c r="N14" s="107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14"/>
    </row>
    <row r="15" spans="1:63" ht="15" customHeight="1">
      <c r="A15" s="118"/>
      <c r="B15" s="105"/>
      <c r="C15" s="105" t="s">
        <v>128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7"/>
      <c r="N15" s="107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14"/>
    </row>
    <row r="16" spans="1:63" ht="15" customHeight="1">
      <c r="A16" s="118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14"/>
    </row>
    <row r="17" spans="1:63" ht="15" customHeight="1">
      <c r="A17" s="118"/>
      <c r="B17" s="105"/>
      <c r="C17" s="105" t="s">
        <v>129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14"/>
    </row>
    <row r="18" spans="1:63" ht="15" customHeight="1">
      <c r="A18" s="118"/>
      <c r="B18" s="105"/>
      <c r="C18" s="105" t="s">
        <v>130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14"/>
    </row>
    <row r="19" spans="1:63" s="2" customFormat="1" ht="15" customHeight="1">
      <c r="A19" s="119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9"/>
      <c r="N19" s="109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15"/>
    </row>
    <row r="20" spans="1:63" ht="15" customHeight="1">
      <c r="A20" s="118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7"/>
      <c r="N20" s="107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14"/>
    </row>
    <row r="21" spans="1:63" ht="15" customHeight="1">
      <c r="A21" s="118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7"/>
      <c r="N21" s="107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14"/>
    </row>
    <row r="22" spans="1:63" ht="15" customHeight="1">
      <c r="A22" s="118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7"/>
      <c r="N22" s="107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14"/>
    </row>
    <row r="23" spans="1:63" ht="15" customHeight="1">
      <c r="A23" s="118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7"/>
      <c r="N23" s="107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14"/>
    </row>
    <row r="24" spans="1:63" ht="15" customHeight="1">
      <c r="A24" s="118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7"/>
      <c r="N24" s="107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14"/>
    </row>
    <row r="25" spans="1:63" ht="15" customHeight="1">
      <c r="A25" s="118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7"/>
      <c r="N25" s="107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14"/>
    </row>
    <row r="26" spans="1:63" ht="15" customHeight="1">
      <c r="A26" s="118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7"/>
      <c r="N26" s="107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14"/>
    </row>
    <row r="27" spans="1:63" ht="15" customHeight="1">
      <c r="A27" s="118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7"/>
      <c r="N27" s="107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14"/>
    </row>
    <row r="28" spans="1:63" ht="15" customHeight="1">
      <c r="A28" s="118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7"/>
      <c r="N28" s="107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14"/>
    </row>
    <row r="29" spans="1:63" ht="15" customHeight="1">
      <c r="A29" s="118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7"/>
      <c r="N29" s="107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14"/>
    </row>
    <row r="30" spans="1:63" ht="15" customHeight="1">
      <c r="A30" s="118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7"/>
      <c r="N30" s="107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14"/>
    </row>
    <row r="31" spans="1:63" ht="15" customHeight="1">
      <c r="A31" s="118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7"/>
      <c r="N31" s="107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14"/>
    </row>
    <row r="32" spans="1:63" ht="15" customHeight="1">
      <c r="A32" s="118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7"/>
      <c r="N32" s="107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14"/>
    </row>
    <row r="33" spans="1:63" ht="15" customHeight="1">
      <c r="A33" s="118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7"/>
      <c r="N33" s="107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14"/>
    </row>
    <row r="34" spans="1:63" ht="15" customHeight="1">
      <c r="A34" s="118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7"/>
      <c r="N34" s="107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14"/>
    </row>
    <row r="35" spans="1:63" ht="15" customHeight="1">
      <c r="A35" s="118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7"/>
      <c r="N35" s="107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14"/>
    </row>
    <row r="36" spans="1:63" ht="15" customHeight="1">
      <c r="A36" s="118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7"/>
      <c r="N36" s="107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14"/>
    </row>
    <row r="37" spans="1:63" ht="15" customHeight="1">
      <c r="A37" s="118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7"/>
      <c r="N37" s="107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14"/>
    </row>
    <row r="38" spans="1:63" ht="15" customHeight="1">
      <c r="A38" s="118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14"/>
    </row>
    <row r="39" spans="1:63" ht="15" customHeight="1">
      <c r="A39" s="118"/>
      <c r="B39" s="106" t="s">
        <v>11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7"/>
      <c r="N39" s="107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14"/>
    </row>
    <row r="40" spans="1:63" ht="15" customHeight="1">
      <c r="A40" s="118"/>
      <c r="B40" s="105"/>
      <c r="C40" s="109" t="s">
        <v>4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7"/>
      <c r="N40" s="107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14"/>
    </row>
    <row r="41" spans="1:63" ht="15" customHeight="1">
      <c r="A41" s="118"/>
      <c r="B41" s="106"/>
      <c r="C41" s="110" t="s">
        <v>5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7"/>
      <c r="N41" s="107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14"/>
    </row>
    <row r="42" spans="1:63" ht="15" customHeight="1">
      <c r="A42" s="118"/>
      <c r="B42" s="108"/>
      <c r="C42" s="111" t="s">
        <v>131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7"/>
      <c r="N42" s="107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14"/>
    </row>
    <row r="43" spans="1:63" ht="15" customHeight="1">
      <c r="A43" s="118"/>
      <c r="B43" s="105"/>
      <c r="C43" s="112" t="s">
        <v>6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7"/>
      <c r="N43" s="107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14"/>
    </row>
    <row r="44" spans="1:63" ht="15" customHeight="1">
      <c r="A44" s="118"/>
      <c r="B44" s="105"/>
      <c r="C44" s="112" t="s">
        <v>132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7"/>
      <c r="N44" s="107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14"/>
    </row>
    <row r="45" spans="1:63" ht="15" customHeight="1">
      <c r="A45" s="118"/>
      <c r="B45" s="105"/>
      <c r="C45" s="112" t="s">
        <v>8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7"/>
      <c r="N45" s="107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14"/>
    </row>
    <row r="46" spans="1:63" ht="15" customHeight="1">
      <c r="A46" s="118"/>
      <c r="B46" s="105"/>
      <c r="C46" s="110" t="s">
        <v>9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7"/>
      <c r="N46" s="107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14"/>
    </row>
    <row r="47" spans="1:63" ht="15" customHeight="1">
      <c r="A47" s="118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7"/>
      <c r="N47" s="107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14"/>
    </row>
    <row r="48" spans="1:63" ht="15" customHeight="1">
      <c r="A48" s="118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14"/>
    </row>
    <row r="49" spans="1:63" ht="15" customHeight="1">
      <c r="A49" s="118"/>
      <c r="B49" s="105"/>
      <c r="C49" s="109" t="s">
        <v>3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14"/>
    </row>
    <row r="50" spans="1:63" ht="15" customHeight="1">
      <c r="A50" s="118"/>
      <c r="B50" s="105"/>
      <c r="C50" s="105" t="s">
        <v>133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7"/>
      <c r="N50" s="107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14"/>
    </row>
    <row r="51" spans="1:63" ht="15" customHeight="1">
      <c r="A51" s="118"/>
      <c r="B51" s="105"/>
      <c r="C51" s="105" t="s">
        <v>10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14"/>
    </row>
    <row r="52" spans="1:63" ht="15" customHeight="1">
      <c r="A52" s="118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14"/>
    </row>
    <row r="53" spans="1:63" ht="15" customHeight="1">
      <c r="A53" s="118"/>
      <c r="B53" s="106" t="s">
        <v>12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14"/>
    </row>
    <row r="54" spans="1:63" ht="15" customHeight="1">
      <c r="A54" s="118"/>
      <c r="B54" s="113" t="s">
        <v>13</v>
      </c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14"/>
    </row>
    <row r="55" spans="1:63" ht="15" customHeight="1">
      <c r="A55" s="118"/>
      <c r="B55" s="105"/>
      <c r="C55" s="105" t="s">
        <v>16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7"/>
      <c r="N55" s="107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14"/>
    </row>
    <row r="56" spans="1:63" ht="15" customHeight="1">
      <c r="A56" s="118"/>
      <c r="C56" s="1" t="s">
        <v>17</v>
      </c>
      <c r="M56" s="125"/>
      <c r="N56" s="125"/>
      <c r="BK56" s="127"/>
    </row>
    <row r="57" spans="1:63" ht="15" customHeight="1">
      <c r="A57" s="118"/>
      <c r="C57" s="1" t="s">
        <v>105</v>
      </c>
      <c r="M57" s="125"/>
      <c r="N57" s="125"/>
      <c r="BK57" s="127"/>
    </row>
    <row r="58" spans="1:63" ht="15" customHeight="1">
      <c r="A58" s="118"/>
      <c r="BK58" s="127"/>
    </row>
    <row r="59" spans="1:63" ht="15" customHeight="1">
      <c r="A59" s="118"/>
      <c r="B59" s="120" t="s">
        <v>18</v>
      </c>
      <c r="BK59" s="127"/>
    </row>
    <row r="60" spans="1:63" ht="15" customHeight="1">
      <c r="A60" s="118"/>
      <c r="C60" s="1" t="s">
        <v>20</v>
      </c>
      <c r="BK60" s="127"/>
    </row>
    <row r="61" spans="1:63" ht="15" customHeight="1">
      <c r="A61" s="118"/>
      <c r="C61" s="1" t="s">
        <v>19</v>
      </c>
      <c r="BK61" s="127"/>
    </row>
    <row r="62" spans="1:63" ht="15" customHeight="1">
      <c r="A62" s="118"/>
      <c r="BK62" s="127"/>
    </row>
    <row r="63" spans="1:63" ht="15" customHeight="1">
      <c r="A63" s="118"/>
      <c r="BK63" s="127"/>
    </row>
    <row r="64" spans="1:63" ht="15" customHeight="1">
      <c r="A64" s="118"/>
      <c r="C64" s="121"/>
      <c r="BK64" s="127"/>
    </row>
    <row r="65" spans="1:63" ht="15" customHeight="1">
      <c r="A65" s="118"/>
      <c r="B65" s="120" t="s">
        <v>21</v>
      </c>
      <c r="BK65" s="127"/>
    </row>
    <row r="66" spans="1:63" ht="15" customHeight="1">
      <c r="A66" s="118"/>
      <c r="C66" s="1" t="s">
        <v>14</v>
      </c>
      <c r="BK66" s="127"/>
    </row>
    <row r="67" spans="1:63" ht="15" customHeight="1">
      <c r="A67" s="118"/>
      <c r="C67" s="1" t="s">
        <v>15</v>
      </c>
      <c r="BK67" s="127"/>
    </row>
    <row r="68" spans="1:63" ht="15" customHeight="1">
      <c r="A68" s="118"/>
      <c r="C68" s="1" t="s">
        <v>22</v>
      </c>
      <c r="BK68" s="127"/>
    </row>
    <row r="69" spans="1:63" ht="15" customHeight="1">
      <c r="A69" s="118"/>
      <c r="C69" s="1" t="s">
        <v>23</v>
      </c>
      <c r="BK69" s="127"/>
    </row>
    <row r="70" spans="1:63" ht="15" customHeight="1">
      <c r="A70" s="118"/>
      <c r="C70" s="1" t="s">
        <v>24</v>
      </c>
      <c r="BK70" s="127"/>
    </row>
    <row r="71" spans="1:63" ht="15" customHeight="1">
      <c r="A71" s="118"/>
      <c r="C71" s="1" t="s">
        <v>26</v>
      </c>
      <c r="BK71" s="127"/>
    </row>
    <row r="72" spans="1:63" ht="15" customHeight="1">
      <c r="A72" s="118"/>
      <c r="C72" s="1" t="s">
        <v>25</v>
      </c>
      <c r="BK72" s="127"/>
    </row>
    <row r="73" spans="1:63" ht="15" customHeight="1">
      <c r="A73" s="118"/>
      <c r="BK73" s="127"/>
    </row>
    <row r="74" spans="1:63" ht="15" customHeight="1">
      <c r="A74" s="118"/>
      <c r="B74" s="120" t="s">
        <v>67</v>
      </c>
      <c r="BK74" s="127"/>
    </row>
    <row r="75" spans="1:63" ht="15" customHeight="1">
      <c r="A75" s="118"/>
      <c r="C75" s="1" t="s">
        <v>69</v>
      </c>
      <c r="BK75" s="127"/>
    </row>
    <row r="76" spans="1:63" ht="15" customHeight="1">
      <c r="A76" s="118"/>
      <c r="C76" s="1" t="s">
        <v>70</v>
      </c>
      <c r="BK76" s="127"/>
    </row>
    <row r="77" spans="1:63" ht="15" customHeight="1">
      <c r="A77" s="118"/>
      <c r="C77" s="1" t="s">
        <v>71</v>
      </c>
      <c r="BK77" s="127"/>
    </row>
    <row r="78" spans="1:63" ht="15" customHeight="1">
      <c r="A78" s="118"/>
      <c r="BK78" s="127"/>
    </row>
    <row r="79" spans="1:63" ht="15" customHeight="1">
      <c r="A79" s="118"/>
      <c r="C79" s="1" t="s">
        <v>72</v>
      </c>
      <c r="BK79" s="127"/>
    </row>
    <row r="80" spans="1:63" ht="15" customHeight="1">
      <c r="A80" s="118"/>
      <c r="C80" s="122" t="s">
        <v>68</v>
      </c>
      <c r="BK80" s="127"/>
    </row>
    <row r="81" spans="1:63" ht="15" customHeight="1">
      <c r="A81" s="118"/>
      <c r="C81" s="123" t="s">
        <v>73</v>
      </c>
      <c r="BK81" s="127"/>
    </row>
    <row r="82" spans="1:63" ht="15" customHeight="1">
      <c r="A82" s="118"/>
      <c r="C82" s="123" t="s">
        <v>74</v>
      </c>
      <c r="BK82" s="127"/>
    </row>
    <row r="83" spans="1:63" ht="15" customHeight="1">
      <c r="A83" s="118"/>
      <c r="C83" s="123" t="s">
        <v>75</v>
      </c>
      <c r="BK83" s="127"/>
    </row>
    <row r="84" spans="1:63" ht="15" customHeight="1">
      <c r="A84" s="118"/>
      <c r="C84" s="123" t="s">
        <v>76</v>
      </c>
      <c r="BK84" s="127"/>
    </row>
    <row r="85" spans="1:63" ht="15" customHeight="1">
      <c r="A85" s="118"/>
      <c r="C85" s="123" t="s">
        <v>77</v>
      </c>
      <c r="BK85" s="127"/>
    </row>
    <row r="86" spans="1:63" ht="15" customHeight="1">
      <c r="A86" s="118"/>
      <c r="C86" s="123"/>
      <c r="BK86" s="127"/>
    </row>
    <row r="87" spans="1:63" ht="15" customHeight="1">
      <c r="A87" s="118"/>
      <c r="C87" s="124" t="s">
        <v>78</v>
      </c>
      <c r="BK87" s="127"/>
    </row>
    <row r="88" spans="1:63" ht="15" customHeight="1">
      <c r="A88" s="118"/>
      <c r="C88" s="123" t="s">
        <v>81</v>
      </c>
      <c r="BK88" s="127"/>
    </row>
    <row r="89" spans="1:63" ht="15" customHeight="1">
      <c r="A89" s="118"/>
      <c r="C89" s="123" t="s">
        <v>82</v>
      </c>
      <c r="BK89" s="127"/>
    </row>
    <row r="90" spans="1:63" ht="15" customHeight="1">
      <c r="A90" s="118"/>
      <c r="C90" s="123" t="s">
        <v>83</v>
      </c>
      <c r="BK90" s="127"/>
    </row>
    <row r="91" spans="1:63" ht="15" customHeight="1">
      <c r="A91" s="118"/>
      <c r="C91" s="123" t="s">
        <v>84</v>
      </c>
      <c r="BK91" s="127"/>
    </row>
    <row r="92" spans="1:63" ht="15" customHeight="1">
      <c r="A92" s="118"/>
      <c r="C92" s="123" t="s">
        <v>85</v>
      </c>
      <c r="BK92" s="127"/>
    </row>
    <row r="93" spans="1:63" ht="15" customHeight="1">
      <c r="A93" s="118"/>
      <c r="C93" s="123"/>
      <c r="BK93" s="127"/>
    </row>
    <row r="94" spans="1:63" ht="15" customHeight="1">
      <c r="A94" s="118"/>
      <c r="C94" s="123" t="s">
        <v>79</v>
      </c>
      <c r="BK94" s="127"/>
    </row>
    <row r="95" spans="1:63" ht="15" customHeight="1">
      <c r="A95" s="118"/>
      <c r="C95" s="123" t="s">
        <v>80</v>
      </c>
      <c r="BK95" s="127"/>
    </row>
    <row r="96" spans="1:63" ht="15" customHeight="1">
      <c r="A96" s="118"/>
      <c r="BK96" s="127"/>
    </row>
    <row r="97" spans="1:63" ht="15" customHeight="1">
      <c r="A97" s="128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/>
      <c r="BA97" s="129"/>
      <c r="BB97" s="129"/>
      <c r="BC97" s="129"/>
      <c r="BD97" s="129"/>
      <c r="BE97" s="129"/>
      <c r="BF97" s="129"/>
      <c r="BG97" s="129"/>
      <c r="BH97" s="129"/>
      <c r="BI97" s="129"/>
      <c r="BJ97" s="129"/>
      <c r="BK97" s="130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0"/>
  <hyperlinks>
    <hyperlink ref="C87" r:id="rId1" display="https://t3.usmh-fjservice.com/pos/v1/employee/call/alert" xr:uid="{574EF817-BA2C-4F2A-9F63-66353F00A1A0}"/>
  </hyperlinks>
  <printOptions horizontalCentered="1" verticalCentered="1"/>
  <pageMargins left="0.59055118110236204" right="0.59055118110236204" top="0.39370078740157499" bottom="0.39370078740157499" header="0.31496062992126" footer="0.31496062992126"/>
  <pageSetup paperSize="9" scale="35" orientation="landscape" r:id="rId2"/>
  <headerFooter>
    <oddHeader>&amp;R&amp;F</oddHeader>
    <oddFooter>&amp;C&amp;P / &amp;N ページ</oddFooter>
  </headerFooter>
  <colBreaks count="2" manualBreakCount="2">
    <brk id="5" max="96" man="1"/>
    <brk id="6" max="96" man="1"/>
  </col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A0BE-F353-4418-A3EF-C0FA104BA1B3}">
  <sheetPr>
    <pageSetUpPr fitToPage="1"/>
  </sheetPr>
  <dimension ref="A1:DU50"/>
  <sheetViews>
    <sheetView tabSelected="1" zoomScale="85" zoomScaleNormal="85" workbookViewId="0">
      <selection activeCell="BJ4" sqref="BJ4"/>
    </sheetView>
  </sheetViews>
  <sheetFormatPr defaultColWidth="2.44140625" defaultRowHeight="20.100000000000001" customHeight="1"/>
  <cols>
    <col min="1" max="20" width="2.44140625" style="4"/>
    <col min="21" max="21" width="2.44140625" style="4" customWidth="1"/>
    <col min="22" max="16384" width="2.44140625" style="4"/>
  </cols>
  <sheetData>
    <row r="1" spans="1:125" s="3" customFormat="1" ht="20.100000000000001" customHeight="1">
      <c r="A1" s="222" t="s">
        <v>27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4"/>
      <c r="M1" s="231" t="s">
        <v>28</v>
      </c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1"/>
      <c r="AE1" s="231" t="s">
        <v>29</v>
      </c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199" t="s">
        <v>30</v>
      </c>
      <c r="AS1" s="200"/>
      <c r="AT1" s="200"/>
      <c r="AU1" s="200"/>
      <c r="AV1" s="200"/>
      <c r="AW1" s="200"/>
      <c r="AX1" s="200"/>
      <c r="AY1" s="200"/>
      <c r="AZ1" s="200"/>
      <c r="BA1" s="200"/>
      <c r="BB1" s="199" t="s">
        <v>31</v>
      </c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1"/>
      <c r="BU1" s="199" t="s">
        <v>32</v>
      </c>
      <c r="BV1" s="200"/>
      <c r="BW1" s="200"/>
      <c r="BX1" s="200"/>
      <c r="BY1" s="200"/>
      <c r="BZ1" s="200"/>
      <c r="CA1" s="200"/>
      <c r="CB1" s="200"/>
      <c r="CC1" s="200"/>
      <c r="CD1" s="200"/>
      <c r="CE1" s="200"/>
      <c r="CF1" s="200"/>
      <c r="CG1" s="200"/>
      <c r="CH1" s="200"/>
      <c r="CI1" s="200"/>
      <c r="CJ1" s="199" t="s">
        <v>33</v>
      </c>
      <c r="CK1" s="200"/>
      <c r="CL1" s="200"/>
      <c r="CM1" s="200"/>
      <c r="CN1" s="200"/>
      <c r="CO1" s="200"/>
      <c r="CP1" s="200"/>
      <c r="CQ1" s="200"/>
      <c r="CR1" s="200"/>
      <c r="CS1" s="200"/>
      <c r="CT1" s="200"/>
      <c r="CU1" s="200"/>
      <c r="CV1" s="200"/>
      <c r="CW1" s="201"/>
      <c r="CX1" s="202" t="s">
        <v>34</v>
      </c>
      <c r="CY1" s="202"/>
      <c r="CZ1" s="202"/>
      <c r="DA1" s="202"/>
      <c r="DB1" s="202"/>
      <c r="DC1" s="202"/>
      <c r="DD1" s="202"/>
      <c r="DE1" s="202"/>
      <c r="DF1" s="202"/>
      <c r="DG1" s="202" t="s">
        <v>35</v>
      </c>
      <c r="DH1" s="202"/>
      <c r="DI1" s="202"/>
      <c r="DJ1" s="202"/>
      <c r="DK1" s="202"/>
      <c r="DL1" s="202"/>
      <c r="DM1" s="202"/>
      <c r="DN1" s="202"/>
      <c r="DO1" s="203"/>
    </row>
    <row r="2" spans="1:125" s="3" customFormat="1" ht="20.100000000000001" customHeight="1">
      <c r="A2" s="225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7"/>
      <c r="M2" s="204" t="s">
        <v>36</v>
      </c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6"/>
      <c r="AE2" s="210" t="s">
        <v>37</v>
      </c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4" t="str">
        <f ca="1">MID(CELL("filename",A1),FIND("]",CELL("filename",A1))+1,255)</f>
        <v>APX001</v>
      </c>
      <c r="AS2" s="215"/>
      <c r="AT2" s="215"/>
      <c r="AU2" s="215"/>
      <c r="AV2" s="215"/>
      <c r="AW2" s="215"/>
      <c r="AX2" s="215"/>
      <c r="AY2" s="215"/>
      <c r="AZ2" s="215"/>
      <c r="BA2" s="215"/>
      <c r="BB2" s="214" t="s">
        <v>139</v>
      </c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8"/>
      <c r="BU2" s="214" t="s">
        <v>38</v>
      </c>
      <c r="BV2" s="215"/>
      <c r="BW2" s="215"/>
      <c r="BX2" s="215"/>
      <c r="BY2" s="215"/>
      <c r="BZ2" s="215"/>
      <c r="CA2" s="215"/>
      <c r="CB2" s="215"/>
      <c r="CC2" s="215"/>
      <c r="CD2" s="215"/>
      <c r="CE2" s="215"/>
      <c r="CF2" s="215"/>
      <c r="CG2" s="215"/>
      <c r="CH2" s="215"/>
      <c r="CI2" s="215"/>
      <c r="CJ2" s="214" t="s">
        <v>39</v>
      </c>
      <c r="CK2" s="215"/>
      <c r="CL2" s="215"/>
      <c r="CM2" s="215"/>
      <c r="CN2" s="215"/>
      <c r="CO2" s="215"/>
      <c r="CP2" s="215"/>
      <c r="CQ2" s="215"/>
      <c r="CR2" s="215"/>
      <c r="CS2" s="215"/>
      <c r="CT2" s="215"/>
      <c r="CU2" s="215"/>
      <c r="CV2" s="215"/>
      <c r="CW2" s="215"/>
      <c r="CX2" s="220" t="s">
        <v>40</v>
      </c>
      <c r="CY2" s="220"/>
      <c r="CZ2" s="221"/>
      <c r="DA2" s="190" t="s">
        <v>41</v>
      </c>
      <c r="DB2" s="190"/>
      <c r="DC2" s="190"/>
      <c r="DD2" s="190"/>
      <c r="DE2" s="190"/>
      <c r="DF2" s="190"/>
      <c r="DG2" s="191" t="s">
        <v>42</v>
      </c>
      <c r="DH2" s="191"/>
      <c r="DI2" s="191"/>
      <c r="DJ2" s="190" t="s">
        <v>41</v>
      </c>
      <c r="DK2" s="190"/>
      <c r="DL2" s="190"/>
      <c r="DM2" s="190"/>
      <c r="DN2" s="190"/>
      <c r="DO2" s="192"/>
      <c r="DP2" s="4"/>
      <c r="DQ2" s="4"/>
      <c r="DR2" s="4"/>
      <c r="DS2" s="4"/>
      <c r="DT2" s="4"/>
      <c r="DU2" s="4"/>
    </row>
    <row r="3" spans="1:125" s="3" customFormat="1" ht="20.100000000000001" customHeight="1" thickBot="1">
      <c r="A3" s="228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30"/>
      <c r="M3" s="207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9"/>
      <c r="AE3" s="212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6"/>
      <c r="AS3" s="217"/>
      <c r="AT3" s="217"/>
      <c r="AU3" s="217"/>
      <c r="AV3" s="217"/>
      <c r="AW3" s="217"/>
      <c r="AX3" s="217"/>
      <c r="AY3" s="217"/>
      <c r="AZ3" s="217"/>
      <c r="BA3" s="217"/>
      <c r="BB3" s="216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9"/>
      <c r="BU3" s="216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6"/>
      <c r="CK3" s="217"/>
      <c r="CL3" s="217"/>
      <c r="CM3" s="217"/>
      <c r="CN3" s="217"/>
      <c r="CO3" s="217"/>
      <c r="CP3" s="217"/>
      <c r="CQ3" s="217"/>
      <c r="CR3" s="217"/>
      <c r="CS3" s="217"/>
      <c r="CT3" s="217"/>
      <c r="CU3" s="217"/>
      <c r="CV3" s="217"/>
      <c r="CW3" s="217"/>
      <c r="CX3" s="193" t="s">
        <v>43</v>
      </c>
      <c r="CY3" s="193"/>
      <c r="CZ3" s="194"/>
      <c r="DA3" s="195">
        <v>45152</v>
      </c>
      <c r="DB3" s="196"/>
      <c r="DC3" s="196"/>
      <c r="DD3" s="196"/>
      <c r="DE3" s="196"/>
      <c r="DF3" s="197"/>
      <c r="DG3" s="198" t="s">
        <v>44</v>
      </c>
      <c r="DH3" s="198"/>
      <c r="DI3" s="198"/>
      <c r="DJ3" s="195">
        <v>45152</v>
      </c>
      <c r="DK3" s="196"/>
      <c r="DL3" s="196"/>
      <c r="DM3" s="196"/>
      <c r="DN3" s="196"/>
      <c r="DO3" s="197"/>
      <c r="DP3" s="4"/>
      <c r="DQ3" s="4"/>
      <c r="DR3" s="4"/>
      <c r="DS3" s="4"/>
      <c r="DT3" s="4"/>
      <c r="DU3" s="4"/>
    </row>
    <row r="4" spans="1:125" ht="20.100000000000001" customHeight="1" thickTop="1">
      <c r="A4" s="5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7"/>
    </row>
    <row r="5" spans="1:125" ht="20.100000000000001" customHeight="1">
      <c r="A5" s="8" t="s">
        <v>45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1"/>
    </row>
    <row r="6" spans="1:125" ht="20.100000000000001" customHeight="1">
      <c r="A6" s="5"/>
      <c r="DO6" s="12"/>
    </row>
    <row r="7" spans="1:125" ht="20.100000000000001" customHeight="1">
      <c r="A7" s="5"/>
      <c r="B7" s="13" t="s">
        <v>24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3" t="s">
        <v>46</v>
      </c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O7" s="12"/>
    </row>
    <row r="8" spans="1:125" ht="20.100000000000001" customHeight="1">
      <c r="A8" s="5"/>
      <c r="B8" s="15"/>
      <c r="C8" s="16" t="s">
        <v>47</v>
      </c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8" t="s">
        <v>48</v>
      </c>
      <c r="Q8" s="17"/>
      <c r="R8" s="17"/>
      <c r="S8" s="16"/>
      <c r="T8" s="16"/>
      <c r="U8" s="18" t="s">
        <v>49</v>
      </c>
      <c r="V8" s="16"/>
      <c r="W8" s="16"/>
      <c r="X8" s="16"/>
      <c r="Y8" s="16"/>
      <c r="Z8" s="18" t="s">
        <v>50</v>
      </c>
      <c r="AA8" s="17"/>
      <c r="AB8" s="16"/>
      <c r="AC8" s="16"/>
      <c r="AD8" s="16"/>
      <c r="AE8" s="16"/>
      <c r="AF8" s="16"/>
      <c r="AG8" s="16"/>
      <c r="AH8" s="16"/>
      <c r="AI8" s="16"/>
      <c r="AJ8" s="16"/>
      <c r="AK8" s="19" t="s">
        <v>51</v>
      </c>
      <c r="AL8" s="18"/>
      <c r="AM8" s="20"/>
      <c r="AN8" s="18" t="s">
        <v>52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21"/>
      <c r="BH8" s="15"/>
      <c r="BI8" s="16" t="s">
        <v>47</v>
      </c>
      <c r="BJ8" s="16"/>
      <c r="BK8" s="16"/>
      <c r="BL8" s="16"/>
      <c r="BM8" s="16"/>
      <c r="BN8" s="16"/>
      <c r="BO8" s="16"/>
      <c r="BP8" s="16"/>
      <c r="BQ8" s="16"/>
      <c r="BR8" s="16"/>
      <c r="BS8" s="17"/>
      <c r="BT8" s="17"/>
      <c r="BU8" s="17"/>
      <c r="BV8" s="18" t="s">
        <v>48</v>
      </c>
      <c r="BW8" s="17"/>
      <c r="BX8" s="17"/>
      <c r="BY8" s="16"/>
      <c r="BZ8" s="16"/>
      <c r="CA8" s="18" t="s">
        <v>49</v>
      </c>
      <c r="CB8" s="16"/>
      <c r="CC8" s="16"/>
      <c r="CD8" s="16"/>
      <c r="CE8" s="16"/>
      <c r="CF8" s="18" t="s">
        <v>50</v>
      </c>
      <c r="CG8" s="17"/>
      <c r="CH8" s="16"/>
      <c r="CI8" s="16"/>
      <c r="CJ8" s="16"/>
      <c r="CK8" s="16"/>
      <c r="CL8" s="16"/>
      <c r="CM8" s="16"/>
      <c r="CN8" s="16"/>
      <c r="CO8" s="16"/>
      <c r="CP8" s="16"/>
      <c r="CQ8" s="17"/>
      <c r="CR8" s="20"/>
      <c r="CS8" s="18" t="s">
        <v>52</v>
      </c>
      <c r="CT8" s="18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21"/>
      <c r="DO8" s="12"/>
    </row>
    <row r="9" spans="1:125" ht="20.100000000000001" customHeight="1">
      <c r="A9" s="5"/>
      <c r="B9" s="22"/>
      <c r="C9" s="4" t="s">
        <v>88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4" t="s">
        <v>92</v>
      </c>
      <c r="Q9" s="28"/>
      <c r="R9" s="28"/>
      <c r="S9" s="28"/>
      <c r="T9" s="28"/>
      <c r="U9" s="188">
        <v>39</v>
      </c>
      <c r="V9" s="189"/>
      <c r="W9" s="28"/>
      <c r="X9" s="28"/>
      <c r="Y9" s="28"/>
      <c r="Z9" s="29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9"/>
      <c r="AL9" s="28"/>
      <c r="AM9" s="30"/>
      <c r="AN9" s="25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7"/>
      <c r="BH9" s="22"/>
      <c r="BI9" s="23" t="s">
        <v>53</v>
      </c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4" t="s">
        <v>54</v>
      </c>
      <c r="BW9" s="23"/>
      <c r="BX9" s="23"/>
      <c r="BY9" s="23"/>
      <c r="BZ9" s="23"/>
      <c r="CA9" s="24" t="s">
        <v>54</v>
      </c>
      <c r="CB9" s="23"/>
      <c r="CC9" s="23"/>
      <c r="CD9" s="23"/>
      <c r="CE9" s="23"/>
      <c r="CF9" s="24" t="s">
        <v>54</v>
      </c>
      <c r="CG9" s="23"/>
      <c r="CH9" s="23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5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7"/>
      <c r="DO9" s="12"/>
    </row>
    <row r="10" spans="1:125" ht="20.100000000000001" customHeight="1">
      <c r="A10" s="5"/>
      <c r="B10" s="22"/>
      <c r="C10" s="4" t="s">
        <v>94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4" t="s">
        <v>92</v>
      </c>
      <c r="Q10" s="28"/>
      <c r="R10" s="28"/>
      <c r="S10" s="28"/>
      <c r="T10" s="28"/>
      <c r="U10" s="29" t="s">
        <v>54</v>
      </c>
      <c r="V10" s="28"/>
      <c r="W10" s="28"/>
      <c r="X10" s="28"/>
      <c r="Y10" s="28"/>
      <c r="Z10" s="29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9"/>
      <c r="AL10" s="28"/>
      <c r="AM10" s="30"/>
      <c r="AN10" s="25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7"/>
      <c r="BH10" s="22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9"/>
      <c r="BW10" s="28"/>
      <c r="BX10" s="28"/>
      <c r="BY10" s="28"/>
      <c r="BZ10" s="28"/>
      <c r="CA10" s="24"/>
      <c r="CB10" s="28"/>
      <c r="CC10" s="28"/>
      <c r="CD10" s="28"/>
      <c r="CE10" s="28"/>
      <c r="CF10" s="29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5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7"/>
      <c r="DO10" s="12"/>
    </row>
    <row r="11" spans="1:125" ht="20.100000000000001" customHeight="1">
      <c r="A11" s="5"/>
      <c r="B11" s="22"/>
      <c r="C11" s="28" t="s">
        <v>87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4" t="s">
        <v>104</v>
      </c>
      <c r="Q11" s="28"/>
      <c r="R11" s="28"/>
      <c r="S11" s="28"/>
      <c r="T11" s="28"/>
      <c r="U11" s="29" t="s">
        <v>54</v>
      </c>
      <c r="V11" s="28"/>
      <c r="W11" s="28"/>
      <c r="X11" s="28"/>
      <c r="Y11" s="28"/>
      <c r="Z11" s="29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9"/>
      <c r="AL11" s="28"/>
      <c r="AM11" s="30"/>
      <c r="AN11" s="25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7"/>
      <c r="BH11" s="22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9"/>
      <c r="BW11" s="28"/>
      <c r="BX11" s="28"/>
      <c r="BY11" s="28"/>
      <c r="BZ11" s="28"/>
      <c r="CA11" s="24"/>
      <c r="CB11" s="28"/>
      <c r="CC11" s="28"/>
      <c r="CD11" s="28"/>
      <c r="CE11" s="28"/>
      <c r="CF11" s="29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5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7"/>
      <c r="DO11" s="12"/>
    </row>
    <row r="12" spans="1:125" ht="20.100000000000001" customHeight="1">
      <c r="A12" s="5"/>
      <c r="B12" s="22"/>
      <c r="C12" s="28" t="s">
        <v>89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4" t="s">
        <v>92</v>
      </c>
      <c r="Q12" s="28"/>
      <c r="R12" s="28"/>
      <c r="S12" s="28"/>
      <c r="T12" s="28"/>
      <c r="U12" s="29" t="s">
        <v>54</v>
      </c>
      <c r="V12" s="28"/>
      <c r="W12" s="28"/>
      <c r="X12" s="28"/>
      <c r="Y12" s="28"/>
      <c r="Z12" s="29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  <c r="AL12" s="28"/>
      <c r="AM12" s="30"/>
      <c r="AN12" s="25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7"/>
      <c r="BH12" s="22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9"/>
      <c r="BW12" s="28"/>
      <c r="BX12" s="28"/>
      <c r="BY12" s="28"/>
      <c r="BZ12" s="28"/>
      <c r="CA12" s="24"/>
      <c r="CB12" s="28"/>
      <c r="CC12" s="28"/>
      <c r="CD12" s="28"/>
      <c r="CE12" s="28"/>
      <c r="CF12" s="29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5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7"/>
      <c r="DO12" s="12"/>
    </row>
    <row r="13" spans="1:125" ht="20.100000000000001" customHeight="1">
      <c r="A13" s="5"/>
      <c r="B13" s="22"/>
      <c r="C13" s="28" t="s">
        <v>90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4" t="s">
        <v>93</v>
      </c>
      <c r="Q13" s="28"/>
      <c r="R13" s="28"/>
      <c r="S13" s="28"/>
      <c r="T13" s="28"/>
      <c r="U13" s="29" t="s">
        <v>54</v>
      </c>
      <c r="V13" s="28"/>
      <c r="W13" s="28"/>
      <c r="X13" s="28"/>
      <c r="Y13" s="28"/>
      <c r="Z13" s="29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  <c r="AL13" s="28"/>
      <c r="AM13" s="30"/>
      <c r="AN13" s="25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7"/>
      <c r="BH13" s="22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9"/>
      <c r="BW13" s="28"/>
      <c r="BX13" s="28"/>
      <c r="BY13" s="28"/>
      <c r="BZ13" s="28"/>
      <c r="CA13" s="24"/>
      <c r="CB13" s="28"/>
      <c r="CC13" s="28"/>
      <c r="CD13" s="28"/>
      <c r="CE13" s="28"/>
      <c r="CF13" s="29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5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7"/>
      <c r="DO13" s="12"/>
    </row>
    <row r="14" spans="1:125" ht="20.100000000000001" customHeight="1">
      <c r="A14" s="5"/>
      <c r="B14" s="22"/>
      <c r="C14" s="28" t="s">
        <v>91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4" t="s">
        <v>92</v>
      </c>
      <c r="Q14" s="28"/>
      <c r="R14" s="28"/>
      <c r="S14" s="28"/>
      <c r="T14" s="28"/>
      <c r="U14" s="29" t="s">
        <v>54</v>
      </c>
      <c r="V14" s="28"/>
      <c r="W14" s="28"/>
      <c r="X14" s="28"/>
      <c r="Y14" s="28"/>
      <c r="Z14" s="29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  <c r="AL14" s="28"/>
      <c r="AM14" s="30"/>
      <c r="AN14" s="25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7"/>
      <c r="BH14" s="22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9"/>
      <c r="BW14" s="28"/>
      <c r="BX14" s="28"/>
      <c r="BY14" s="28"/>
      <c r="BZ14" s="28"/>
      <c r="CA14" s="24"/>
      <c r="CB14" s="28"/>
      <c r="CC14" s="28"/>
      <c r="CD14" s="28"/>
      <c r="CE14" s="28"/>
      <c r="CF14" s="29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5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7"/>
      <c r="DO14" s="12"/>
    </row>
    <row r="15" spans="1:125" ht="20.100000000000001" customHeight="1">
      <c r="A15" s="5"/>
      <c r="B15" s="22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8"/>
      <c r="R15" s="28"/>
      <c r="S15" s="28"/>
      <c r="T15" s="28"/>
      <c r="U15" s="29"/>
      <c r="V15" s="28"/>
      <c r="W15" s="28"/>
      <c r="X15" s="28"/>
      <c r="Y15" s="28"/>
      <c r="Z15" s="29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9"/>
      <c r="AL15" s="28"/>
      <c r="AM15" s="30"/>
      <c r="AN15" s="25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7"/>
      <c r="BH15" s="22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9"/>
      <c r="BW15" s="28"/>
      <c r="BX15" s="28"/>
      <c r="BY15" s="28"/>
      <c r="BZ15" s="28"/>
      <c r="CA15" s="24"/>
      <c r="CB15" s="28"/>
      <c r="CC15" s="28"/>
      <c r="CD15" s="28"/>
      <c r="CE15" s="28"/>
      <c r="CF15" s="29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5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7"/>
      <c r="DO15" s="12"/>
    </row>
    <row r="16" spans="1:125" ht="20.100000000000001" customHeight="1">
      <c r="A16" s="5"/>
      <c r="B16" s="31" t="s">
        <v>55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14"/>
      <c r="BH16" s="13" t="s">
        <v>56</v>
      </c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3"/>
      <c r="DO16" s="12"/>
    </row>
    <row r="17" spans="1:119" ht="20.100000000000001" customHeight="1">
      <c r="A17" s="5"/>
      <c r="B17" s="22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5"/>
      <c r="BH17" s="36"/>
      <c r="BI17" s="17" t="s">
        <v>57</v>
      </c>
      <c r="BJ17" s="17"/>
      <c r="BK17" s="17"/>
      <c r="BL17" s="17"/>
      <c r="BM17" s="17"/>
      <c r="BN17" s="17"/>
      <c r="BO17" s="17"/>
      <c r="BP17" s="17"/>
      <c r="BQ17" s="18" t="s">
        <v>58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8" t="s">
        <v>59</v>
      </c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O17" s="12"/>
    </row>
    <row r="18" spans="1:119" ht="20.100000000000001" customHeight="1">
      <c r="A18" s="5"/>
      <c r="B18" s="22"/>
      <c r="BG18" s="37"/>
      <c r="BH18" s="22"/>
      <c r="BI18" s="38" t="s">
        <v>60</v>
      </c>
      <c r="BJ18" s="38"/>
      <c r="BK18" s="38"/>
      <c r="BL18" s="38"/>
      <c r="BM18" s="38"/>
      <c r="BN18" s="38"/>
      <c r="BO18" s="38"/>
      <c r="BP18" s="38"/>
      <c r="BQ18" s="39" t="s">
        <v>61</v>
      </c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1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2"/>
      <c r="DO18" s="12"/>
    </row>
    <row r="19" spans="1:119" ht="20.100000000000001" customHeight="1">
      <c r="A19" s="5"/>
      <c r="B19" s="22"/>
      <c r="BG19" s="37"/>
      <c r="BH19" s="22"/>
      <c r="BI19" s="40"/>
      <c r="BJ19" s="40"/>
      <c r="BK19" s="40"/>
      <c r="BL19" s="40"/>
      <c r="BM19" s="40"/>
      <c r="BN19" s="40"/>
      <c r="BO19" s="40"/>
      <c r="BP19" s="40"/>
      <c r="BQ19" s="43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1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2"/>
      <c r="DO19" s="12"/>
    </row>
    <row r="20" spans="1:119" ht="20.100000000000001" customHeight="1">
      <c r="A20" s="5"/>
      <c r="B20" s="22"/>
      <c r="BG20" s="37"/>
      <c r="BH20" s="22"/>
      <c r="BI20" s="40"/>
      <c r="BJ20" s="40"/>
      <c r="BK20" s="40"/>
      <c r="BL20" s="40"/>
      <c r="BM20" s="40"/>
      <c r="BN20" s="40"/>
      <c r="BO20" s="40"/>
      <c r="BP20" s="40"/>
      <c r="BQ20" s="43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1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2"/>
      <c r="DO20" s="12"/>
    </row>
    <row r="21" spans="1:119" ht="20.100000000000001" customHeight="1">
      <c r="A21" s="5"/>
      <c r="B21" s="22"/>
      <c r="BG21" s="37"/>
      <c r="BH21" s="22"/>
      <c r="BI21" s="40"/>
      <c r="BJ21" s="40"/>
      <c r="BK21" s="40"/>
      <c r="BL21" s="40"/>
      <c r="BM21" s="40"/>
      <c r="BN21" s="40"/>
      <c r="BO21" s="40"/>
      <c r="BP21" s="40"/>
      <c r="BQ21" s="43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1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2"/>
      <c r="DO21" s="12"/>
    </row>
    <row r="22" spans="1:119" ht="20.100000000000001" customHeight="1">
      <c r="A22" s="5"/>
      <c r="B22" s="22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5"/>
      <c r="BH22" s="22"/>
      <c r="BI22" s="46"/>
      <c r="BJ22" s="46"/>
      <c r="BK22" s="46"/>
      <c r="BL22" s="46"/>
      <c r="BM22" s="46"/>
      <c r="BN22" s="46"/>
      <c r="BO22" s="46"/>
      <c r="BP22" s="46"/>
      <c r="BQ22" s="47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8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9"/>
      <c r="DO22" s="12"/>
    </row>
    <row r="23" spans="1:119" ht="20.100000000000001" customHeight="1">
      <c r="DO23" s="12"/>
    </row>
    <row r="24" spans="1:119" ht="20.100000000000001" customHeight="1">
      <c r="DO24" s="12"/>
    </row>
    <row r="25" spans="1:119" ht="20.100000000000001" customHeight="1">
      <c r="A25" s="50" t="s">
        <v>62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2"/>
    </row>
    <row r="26" spans="1:119" ht="20.100000000000001" customHeight="1">
      <c r="DO26" s="12"/>
    </row>
    <row r="27" spans="1:119" ht="20.100000000000001" customHeight="1">
      <c r="B27" s="53" t="s">
        <v>63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3" t="s">
        <v>64</v>
      </c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5"/>
      <c r="DO27" s="12"/>
    </row>
    <row r="28" spans="1:119" ht="20.100000000000001" customHeight="1">
      <c r="B28" s="56"/>
      <c r="C28" s="51" t="s">
        <v>47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7"/>
      <c r="V28" s="51" t="s">
        <v>65</v>
      </c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8"/>
      <c r="AL28" s="51"/>
      <c r="AM28" s="51"/>
      <c r="AN28" s="51"/>
      <c r="AO28" s="51"/>
      <c r="AP28" s="51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60"/>
      <c r="BH28" s="56"/>
      <c r="BI28" s="51" t="s">
        <v>47</v>
      </c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7"/>
      <c r="CB28" s="51" t="s">
        <v>65</v>
      </c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8"/>
      <c r="CR28" s="51"/>
      <c r="CS28" s="51"/>
      <c r="CT28" s="51"/>
      <c r="CU28" s="51"/>
      <c r="CV28" s="51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60"/>
      <c r="DO28" s="12"/>
    </row>
    <row r="29" spans="1:119" ht="20.100000000000001" customHeight="1">
      <c r="B29" s="56"/>
      <c r="C29" s="28" t="s">
        <v>88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61"/>
      <c r="V29" s="4" t="s">
        <v>96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62"/>
      <c r="AL29" s="62"/>
      <c r="AM29" s="63"/>
      <c r="AN29" s="64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6"/>
      <c r="BH29" s="56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61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62"/>
      <c r="CR29" s="62"/>
      <c r="CS29" s="63"/>
      <c r="CT29" s="64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6"/>
      <c r="DO29" s="12"/>
    </row>
    <row r="30" spans="1:119" ht="20.100000000000001" customHeight="1">
      <c r="B30" s="56"/>
      <c r="C30" s="28" t="s">
        <v>94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61"/>
      <c r="V30" s="4" t="s">
        <v>97</v>
      </c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62"/>
      <c r="AL30" s="62"/>
      <c r="AM30" s="63"/>
      <c r="AN30" s="64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6"/>
      <c r="BH30" s="56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61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62"/>
      <c r="CR30" s="62"/>
      <c r="CS30" s="63"/>
      <c r="CT30" s="64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6"/>
      <c r="DO30" s="12"/>
    </row>
    <row r="31" spans="1:119" ht="20.100000000000001" customHeight="1">
      <c r="B31" s="56"/>
      <c r="C31" s="28" t="s">
        <v>87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61"/>
      <c r="V31" s="4" t="s">
        <v>98</v>
      </c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62"/>
      <c r="AL31" s="62"/>
      <c r="AM31" s="63"/>
      <c r="AN31" s="64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6"/>
      <c r="BH31" s="56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61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62"/>
      <c r="CR31" s="62"/>
      <c r="CS31" s="63"/>
      <c r="CT31" s="64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6"/>
      <c r="DO31" s="12"/>
    </row>
    <row r="32" spans="1:119" ht="20.100000000000001" customHeight="1">
      <c r="B32" s="56"/>
      <c r="C32" s="28" t="s">
        <v>89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61"/>
      <c r="V32" s="4" t="s">
        <v>99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62"/>
      <c r="AL32" s="62"/>
      <c r="AM32" s="63"/>
      <c r="AN32" s="64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6"/>
      <c r="BH32" s="56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61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62"/>
      <c r="CR32" s="62"/>
      <c r="CS32" s="63"/>
      <c r="CT32" s="64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6"/>
      <c r="DO32" s="12"/>
    </row>
    <row r="33" spans="1:119" ht="20.100000000000001" customHeight="1">
      <c r="B33" s="56"/>
      <c r="C33" s="28" t="s">
        <v>90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61"/>
      <c r="V33" s="4" t="s">
        <v>100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62"/>
      <c r="AL33" s="62"/>
      <c r="AM33" s="63"/>
      <c r="AN33" s="64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6"/>
      <c r="BH33" s="56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61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62"/>
      <c r="CR33" s="62"/>
      <c r="CS33" s="63"/>
      <c r="CT33" s="64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6"/>
      <c r="DO33" s="12"/>
    </row>
    <row r="34" spans="1:119" ht="20.100000000000001" customHeight="1">
      <c r="B34" s="56"/>
      <c r="C34" s="28" t="s">
        <v>91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61"/>
      <c r="V34" s="4" t="s">
        <v>101</v>
      </c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62"/>
      <c r="AL34" s="62"/>
      <c r="AM34" s="63"/>
      <c r="AN34" s="64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6"/>
      <c r="BH34" s="56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61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62"/>
      <c r="CR34" s="62"/>
      <c r="CS34" s="63"/>
      <c r="CT34" s="64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6"/>
      <c r="DO34" s="12"/>
    </row>
    <row r="35" spans="1:119" ht="20.100000000000001" customHeight="1">
      <c r="B35" s="5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61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62"/>
      <c r="AL35" s="62"/>
      <c r="AM35" s="63"/>
      <c r="AN35" s="64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6"/>
      <c r="BH35" s="56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61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62"/>
      <c r="CR35" s="62"/>
      <c r="CS35" s="63"/>
      <c r="CT35" s="64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6"/>
      <c r="DO35" s="12"/>
    </row>
    <row r="36" spans="1:119" ht="20.100000000000001" customHeight="1">
      <c r="A36" s="5"/>
      <c r="B36" s="67" t="s">
        <v>66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7" t="s">
        <v>66</v>
      </c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69"/>
      <c r="CR36" s="69"/>
      <c r="CS36" s="70"/>
      <c r="CT36" s="71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3"/>
      <c r="DO36" s="12"/>
    </row>
    <row r="37" spans="1:119" ht="20.100000000000001" customHeight="1">
      <c r="A37" s="5"/>
      <c r="B37" s="56"/>
      <c r="C37" s="23" t="s">
        <v>102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74"/>
      <c r="BH37" s="56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38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75"/>
      <c r="CR37" s="75"/>
      <c r="CS37" s="76"/>
      <c r="CT37" s="77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9"/>
      <c r="DO37" s="12"/>
    </row>
    <row r="38" spans="1:119" ht="20.100000000000001" customHeight="1">
      <c r="A38" s="5"/>
      <c r="B38" s="56"/>
      <c r="C38" s="28" t="s">
        <v>106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80"/>
      <c r="BH38" s="56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81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62"/>
      <c r="CR38" s="62"/>
      <c r="CS38" s="63"/>
      <c r="CT38" s="64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6"/>
      <c r="DO38" s="12"/>
    </row>
    <row r="39" spans="1:119" ht="20.100000000000001" customHeight="1">
      <c r="A39" s="5"/>
      <c r="B39" s="56"/>
      <c r="C39" s="23" t="s">
        <v>103</v>
      </c>
      <c r="D39" s="23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80"/>
      <c r="BH39" s="56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81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62"/>
      <c r="CR39" s="62"/>
      <c r="CS39" s="63"/>
      <c r="CT39" s="64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6"/>
      <c r="DO39" s="12"/>
    </row>
    <row r="40" spans="1:119" ht="20.100000000000001" customHeight="1">
      <c r="B40" s="56"/>
      <c r="C40" s="28" t="s">
        <v>95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81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62"/>
      <c r="AL40" s="62"/>
      <c r="AM40" s="63"/>
      <c r="AN40" s="64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6"/>
      <c r="BH40" s="56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81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62"/>
      <c r="CR40" s="62"/>
      <c r="CS40" s="63"/>
      <c r="CT40" s="64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6"/>
      <c r="DO40" s="12"/>
    </row>
    <row r="41" spans="1:119" ht="20.100000000000001" customHeight="1"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4"/>
      <c r="BH41" s="82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4"/>
      <c r="DO41" s="12"/>
    </row>
    <row r="42" spans="1:119" ht="20.100000000000001" customHeight="1">
      <c r="DO42" s="12"/>
    </row>
    <row r="43" spans="1:119" ht="20.100000000000001" customHeight="1">
      <c r="DO43" s="12"/>
    </row>
    <row r="44" spans="1:119" ht="20.100000000000001" customHeight="1">
      <c r="DO44" s="12"/>
    </row>
    <row r="45" spans="1:119" ht="20.100000000000001" customHeight="1">
      <c r="DO45" s="12"/>
    </row>
    <row r="46" spans="1:119" ht="20.100000000000001" customHeight="1">
      <c r="DO46" s="12"/>
    </row>
    <row r="47" spans="1:119" ht="20.100000000000001" customHeight="1">
      <c r="DO47" s="12"/>
    </row>
    <row r="48" spans="1:119" s="88" customFormat="1" ht="20.100000000000001" customHeight="1">
      <c r="DO48" s="89"/>
    </row>
    <row r="49" spans="1:119" ht="20.100000000000001" customHeight="1">
      <c r="DO49" s="12"/>
    </row>
    <row r="50" spans="1:119" ht="20.100000000000001" customHeight="1" thickBot="1">
      <c r="A50" s="8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7"/>
    </row>
  </sheetData>
  <mergeCells count="24">
    <mergeCell ref="U9:V9"/>
    <mergeCell ref="DA2:DF2"/>
    <mergeCell ref="DG2:DI2"/>
    <mergeCell ref="DJ2:DO2"/>
    <mergeCell ref="CX3:CZ3"/>
    <mergeCell ref="DA3:DF3"/>
    <mergeCell ref="DG3:DI3"/>
    <mergeCell ref="DJ3:DO3"/>
    <mergeCell ref="CJ1:CW1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A1:L3"/>
    <mergeCell ref="M1:AD1"/>
    <mergeCell ref="AE1:AQ1"/>
    <mergeCell ref="AR1:BA1"/>
    <mergeCell ref="BB1:BT1"/>
    <mergeCell ref="BU1:CI1"/>
  </mergeCells>
  <phoneticPr fontId="22"/>
  <pageMargins left="0.19685039370078741" right="0.19685039370078741" top="0.59055118110236227" bottom="0.39370078740157483" header="0.19685039370078741" footer="0.19685039370078741"/>
  <pageSetup paperSize="9" scale="52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BA91-45B9-4C94-82AD-0DD35B57E9E3}">
  <sheetPr>
    <pageSetUpPr fitToPage="1"/>
  </sheetPr>
  <dimension ref="A1:DU50"/>
  <sheetViews>
    <sheetView zoomScale="85" zoomScaleNormal="85" workbookViewId="0">
      <selection activeCell="AY4" sqref="AY4"/>
    </sheetView>
  </sheetViews>
  <sheetFormatPr defaultColWidth="2.44140625" defaultRowHeight="20.100000000000001" customHeight="1"/>
  <cols>
    <col min="1" max="20" width="2.44140625" style="4"/>
    <col min="21" max="21" width="2.44140625" style="4" customWidth="1"/>
    <col min="22" max="16384" width="2.44140625" style="4"/>
  </cols>
  <sheetData>
    <row r="1" spans="1:125" s="3" customFormat="1" ht="20.100000000000001" customHeight="1">
      <c r="A1" s="222" t="s">
        <v>27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4"/>
      <c r="M1" s="231" t="s">
        <v>28</v>
      </c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1"/>
      <c r="AE1" s="231" t="s">
        <v>29</v>
      </c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199" t="s">
        <v>30</v>
      </c>
      <c r="AS1" s="200"/>
      <c r="AT1" s="200"/>
      <c r="AU1" s="200"/>
      <c r="AV1" s="200"/>
      <c r="AW1" s="200"/>
      <c r="AX1" s="200"/>
      <c r="AY1" s="200"/>
      <c r="AZ1" s="200"/>
      <c r="BA1" s="200"/>
      <c r="BB1" s="199" t="s">
        <v>31</v>
      </c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1"/>
      <c r="BU1" s="199" t="s">
        <v>32</v>
      </c>
      <c r="BV1" s="200"/>
      <c r="BW1" s="200"/>
      <c r="BX1" s="200"/>
      <c r="BY1" s="200"/>
      <c r="BZ1" s="200"/>
      <c r="CA1" s="200"/>
      <c r="CB1" s="200"/>
      <c r="CC1" s="200"/>
      <c r="CD1" s="200"/>
      <c r="CE1" s="200"/>
      <c r="CF1" s="200"/>
      <c r="CG1" s="200"/>
      <c r="CH1" s="200"/>
      <c r="CI1" s="200"/>
      <c r="CJ1" s="199" t="s">
        <v>33</v>
      </c>
      <c r="CK1" s="200"/>
      <c r="CL1" s="200"/>
      <c r="CM1" s="200"/>
      <c r="CN1" s="200"/>
      <c r="CO1" s="200"/>
      <c r="CP1" s="200"/>
      <c r="CQ1" s="200"/>
      <c r="CR1" s="200"/>
      <c r="CS1" s="200"/>
      <c r="CT1" s="200"/>
      <c r="CU1" s="200"/>
      <c r="CV1" s="200"/>
      <c r="CW1" s="201"/>
      <c r="CX1" s="202" t="s">
        <v>34</v>
      </c>
      <c r="CY1" s="202"/>
      <c r="CZ1" s="202"/>
      <c r="DA1" s="202"/>
      <c r="DB1" s="202"/>
      <c r="DC1" s="202"/>
      <c r="DD1" s="202"/>
      <c r="DE1" s="202"/>
      <c r="DF1" s="202"/>
      <c r="DG1" s="202" t="s">
        <v>35</v>
      </c>
      <c r="DH1" s="202"/>
      <c r="DI1" s="202"/>
      <c r="DJ1" s="202"/>
      <c r="DK1" s="202"/>
      <c r="DL1" s="202"/>
      <c r="DM1" s="202"/>
      <c r="DN1" s="202"/>
      <c r="DO1" s="203"/>
    </row>
    <row r="2" spans="1:125" s="3" customFormat="1" ht="20.100000000000001" customHeight="1">
      <c r="A2" s="225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7"/>
      <c r="M2" s="204" t="s">
        <v>36</v>
      </c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6"/>
      <c r="AE2" s="210" t="s">
        <v>37</v>
      </c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4" t="str">
        <f ca="1">MID(CELL("filename",A1),FIND("]",CELL("filename",A1))+1,255)</f>
        <v>L001</v>
      </c>
      <c r="AS2" s="215"/>
      <c r="AT2" s="215"/>
      <c r="AU2" s="215"/>
      <c r="AV2" s="215"/>
      <c r="AW2" s="215"/>
      <c r="AX2" s="215"/>
      <c r="AY2" s="215"/>
      <c r="AZ2" s="215"/>
      <c r="BA2" s="215"/>
      <c r="BB2" s="214" t="s">
        <v>86</v>
      </c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8"/>
      <c r="BU2" s="214" t="s">
        <v>38</v>
      </c>
      <c r="BV2" s="215"/>
      <c r="BW2" s="215"/>
      <c r="BX2" s="215"/>
      <c r="BY2" s="215"/>
      <c r="BZ2" s="215"/>
      <c r="CA2" s="215"/>
      <c r="CB2" s="215"/>
      <c r="CC2" s="215"/>
      <c r="CD2" s="215"/>
      <c r="CE2" s="215"/>
      <c r="CF2" s="215"/>
      <c r="CG2" s="215"/>
      <c r="CH2" s="215"/>
      <c r="CI2" s="215"/>
      <c r="CJ2" s="214" t="s">
        <v>39</v>
      </c>
      <c r="CK2" s="215"/>
      <c r="CL2" s="215"/>
      <c r="CM2" s="215"/>
      <c r="CN2" s="215"/>
      <c r="CO2" s="215"/>
      <c r="CP2" s="215"/>
      <c r="CQ2" s="215"/>
      <c r="CR2" s="215"/>
      <c r="CS2" s="215"/>
      <c r="CT2" s="215"/>
      <c r="CU2" s="215"/>
      <c r="CV2" s="215"/>
      <c r="CW2" s="215"/>
      <c r="CX2" s="220" t="s">
        <v>40</v>
      </c>
      <c r="CY2" s="220"/>
      <c r="CZ2" s="221"/>
      <c r="DA2" s="190" t="s">
        <v>41</v>
      </c>
      <c r="DB2" s="190"/>
      <c r="DC2" s="190"/>
      <c r="DD2" s="190"/>
      <c r="DE2" s="190"/>
      <c r="DF2" s="190"/>
      <c r="DG2" s="191" t="s">
        <v>42</v>
      </c>
      <c r="DH2" s="191"/>
      <c r="DI2" s="191"/>
      <c r="DJ2" s="190" t="s">
        <v>41</v>
      </c>
      <c r="DK2" s="190"/>
      <c r="DL2" s="190"/>
      <c r="DM2" s="190"/>
      <c r="DN2" s="190"/>
      <c r="DO2" s="192"/>
      <c r="DP2" s="4"/>
      <c r="DQ2" s="4"/>
      <c r="DR2" s="4"/>
      <c r="DS2" s="4"/>
      <c r="DT2" s="4"/>
      <c r="DU2" s="4"/>
    </row>
    <row r="3" spans="1:125" s="3" customFormat="1" ht="20.100000000000001" customHeight="1" thickBot="1">
      <c r="A3" s="228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30"/>
      <c r="M3" s="207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9"/>
      <c r="AE3" s="212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6"/>
      <c r="AS3" s="217"/>
      <c r="AT3" s="217"/>
      <c r="AU3" s="217"/>
      <c r="AV3" s="217"/>
      <c r="AW3" s="217"/>
      <c r="AX3" s="217"/>
      <c r="AY3" s="217"/>
      <c r="AZ3" s="217"/>
      <c r="BA3" s="217"/>
      <c r="BB3" s="216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9"/>
      <c r="BU3" s="216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6"/>
      <c r="CK3" s="217"/>
      <c r="CL3" s="217"/>
      <c r="CM3" s="217"/>
      <c r="CN3" s="217"/>
      <c r="CO3" s="217"/>
      <c r="CP3" s="217"/>
      <c r="CQ3" s="217"/>
      <c r="CR3" s="217"/>
      <c r="CS3" s="217"/>
      <c r="CT3" s="217"/>
      <c r="CU3" s="217"/>
      <c r="CV3" s="217"/>
      <c r="CW3" s="217"/>
      <c r="CX3" s="193" t="s">
        <v>43</v>
      </c>
      <c r="CY3" s="193"/>
      <c r="CZ3" s="194"/>
      <c r="DA3" s="195">
        <v>45152</v>
      </c>
      <c r="DB3" s="196"/>
      <c r="DC3" s="196"/>
      <c r="DD3" s="196"/>
      <c r="DE3" s="196"/>
      <c r="DF3" s="197"/>
      <c r="DG3" s="198" t="s">
        <v>44</v>
      </c>
      <c r="DH3" s="198"/>
      <c r="DI3" s="198"/>
      <c r="DJ3" s="195">
        <v>45152</v>
      </c>
      <c r="DK3" s="196"/>
      <c r="DL3" s="196"/>
      <c r="DM3" s="196"/>
      <c r="DN3" s="196"/>
      <c r="DO3" s="197"/>
      <c r="DP3" s="4"/>
      <c r="DQ3" s="4"/>
      <c r="DR3" s="4"/>
      <c r="DS3" s="4"/>
      <c r="DT3" s="4"/>
      <c r="DU3" s="4"/>
    </row>
    <row r="4" spans="1:125" ht="20.100000000000001" customHeight="1" thickTop="1">
      <c r="A4" s="5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7"/>
    </row>
    <row r="5" spans="1:125" ht="20.100000000000001" customHeight="1">
      <c r="A5" s="8" t="s">
        <v>45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1"/>
    </row>
    <row r="6" spans="1:125" ht="20.100000000000001" customHeight="1">
      <c r="A6" s="5"/>
      <c r="DO6" s="12"/>
    </row>
    <row r="7" spans="1:125" ht="20.100000000000001" customHeight="1">
      <c r="A7" s="5"/>
      <c r="B7" s="13" t="s">
        <v>24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3" t="s">
        <v>46</v>
      </c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O7" s="12"/>
    </row>
    <row r="8" spans="1:125" ht="20.100000000000001" customHeight="1">
      <c r="A8" s="5"/>
      <c r="B8" s="15"/>
      <c r="C8" s="16" t="s">
        <v>47</v>
      </c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8" t="s">
        <v>48</v>
      </c>
      <c r="Q8" s="17"/>
      <c r="R8" s="17"/>
      <c r="S8" s="16"/>
      <c r="T8" s="16"/>
      <c r="U8" s="18" t="s">
        <v>49</v>
      </c>
      <c r="V8" s="16"/>
      <c r="W8" s="16"/>
      <c r="X8" s="16"/>
      <c r="Y8" s="16"/>
      <c r="Z8" s="18" t="s">
        <v>50</v>
      </c>
      <c r="AA8" s="17"/>
      <c r="AB8" s="16"/>
      <c r="AC8" s="16"/>
      <c r="AD8" s="16"/>
      <c r="AE8" s="16"/>
      <c r="AF8" s="16"/>
      <c r="AG8" s="16"/>
      <c r="AH8" s="16"/>
      <c r="AI8" s="16"/>
      <c r="AJ8" s="16"/>
      <c r="AK8" s="19" t="s">
        <v>51</v>
      </c>
      <c r="AL8" s="18"/>
      <c r="AM8" s="20"/>
      <c r="AN8" s="18" t="s">
        <v>52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21"/>
      <c r="BH8" s="15"/>
      <c r="BI8" s="16" t="s">
        <v>47</v>
      </c>
      <c r="BJ8" s="16"/>
      <c r="BK8" s="16"/>
      <c r="BL8" s="16"/>
      <c r="BM8" s="16"/>
      <c r="BN8" s="16"/>
      <c r="BO8" s="16"/>
      <c r="BP8" s="16"/>
      <c r="BQ8" s="16"/>
      <c r="BR8" s="16"/>
      <c r="BS8" s="17"/>
      <c r="BT8" s="17"/>
      <c r="BU8" s="17"/>
      <c r="BV8" s="18" t="s">
        <v>48</v>
      </c>
      <c r="BW8" s="17"/>
      <c r="BX8" s="17"/>
      <c r="BY8" s="16"/>
      <c r="BZ8" s="16"/>
      <c r="CA8" s="18" t="s">
        <v>49</v>
      </c>
      <c r="CB8" s="16"/>
      <c r="CC8" s="16"/>
      <c r="CD8" s="16"/>
      <c r="CE8" s="16"/>
      <c r="CF8" s="18" t="s">
        <v>50</v>
      </c>
      <c r="CG8" s="17"/>
      <c r="CH8" s="16"/>
      <c r="CI8" s="16"/>
      <c r="CJ8" s="16"/>
      <c r="CK8" s="16"/>
      <c r="CL8" s="16"/>
      <c r="CM8" s="16"/>
      <c r="CN8" s="16"/>
      <c r="CO8" s="16"/>
      <c r="CP8" s="16"/>
      <c r="CQ8" s="17"/>
      <c r="CR8" s="20"/>
      <c r="CS8" s="18" t="s">
        <v>52</v>
      </c>
      <c r="CT8" s="18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21"/>
      <c r="DO8" s="12"/>
    </row>
    <row r="9" spans="1:125" ht="20.100000000000001" customHeight="1">
      <c r="A9" s="5"/>
      <c r="B9" s="22"/>
      <c r="C9" s="4" t="s">
        <v>88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4" t="s">
        <v>92</v>
      </c>
      <c r="Q9" s="28"/>
      <c r="R9" s="28"/>
      <c r="S9" s="28"/>
      <c r="T9" s="28"/>
      <c r="U9" s="188">
        <v>39</v>
      </c>
      <c r="V9" s="189"/>
      <c r="W9" s="28"/>
      <c r="X9" s="28"/>
      <c r="Y9" s="28"/>
      <c r="Z9" s="29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9"/>
      <c r="AL9" s="28"/>
      <c r="AM9" s="30"/>
      <c r="AN9" s="25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7"/>
      <c r="BH9" s="22"/>
      <c r="BI9" s="23" t="s">
        <v>53</v>
      </c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4" t="s">
        <v>54</v>
      </c>
      <c r="BW9" s="23"/>
      <c r="BX9" s="23"/>
      <c r="BY9" s="23"/>
      <c r="BZ9" s="23"/>
      <c r="CA9" s="24" t="s">
        <v>54</v>
      </c>
      <c r="CB9" s="23"/>
      <c r="CC9" s="23"/>
      <c r="CD9" s="23"/>
      <c r="CE9" s="23"/>
      <c r="CF9" s="24" t="s">
        <v>54</v>
      </c>
      <c r="CG9" s="23"/>
      <c r="CH9" s="23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5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7"/>
      <c r="DO9" s="12"/>
    </row>
    <row r="10" spans="1:125" ht="20.100000000000001" customHeight="1">
      <c r="A10" s="5"/>
      <c r="B10" s="22"/>
      <c r="C10" s="4" t="s">
        <v>94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4" t="s">
        <v>92</v>
      </c>
      <c r="Q10" s="28"/>
      <c r="R10" s="28"/>
      <c r="S10" s="28"/>
      <c r="T10" s="28"/>
      <c r="U10" s="29" t="s">
        <v>54</v>
      </c>
      <c r="V10" s="28"/>
      <c r="W10" s="28"/>
      <c r="X10" s="28"/>
      <c r="Y10" s="28"/>
      <c r="Z10" s="29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9"/>
      <c r="AL10" s="28"/>
      <c r="AM10" s="30"/>
      <c r="AN10" s="25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7"/>
      <c r="BH10" s="22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9"/>
      <c r="BW10" s="28"/>
      <c r="BX10" s="28"/>
      <c r="BY10" s="28"/>
      <c r="BZ10" s="28"/>
      <c r="CA10" s="24"/>
      <c r="CB10" s="28"/>
      <c r="CC10" s="28"/>
      <c r="CD10" s="28"/>
      <c r="CE10" s="28"/>
      <c r="CF10" s="29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5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7"/>
      <c r="DO10" s="12"/>
    </row>
    <row r="11" spans="1:125" ht="20.100000000000001" customHeight="1">
      <c r="A11" s="5"/>
      <c r="B11" s="22"/>
      <c r="C11" s="28" t="s">
        <v>87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4" t="s">
        <v>104</v>
      </c>
      <c r="Q11" s="28"/>
      <c r="R11" s="28"/>
      <c r="S11" s="28"/>
      <c r="T11" s="28"/>
      <c r="U11" s="29" t="s">
        <v>54</v>
      </c>
      <c r="V11" s="28"/>
      <c r="W11" s="28"/>
      <c r="X11" s="28"/>
      <c r="Y11" s="28"/>
      <c r="Z11" s="29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9"/>
      <c r="AL11" s="28"/>
      <c r="AM11" s="30"/>
      <c r="AN11" s="25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7"/>
      <c r="BH11" s="22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9"/>
      <c r="BW11" s="28"/>
      <c r="BX11" s="28"/>
      <c r="BY11" s="28"/>
      <c r="BZ11" s="28"/>
      <c r="CA11" s="24"/>
      <c r="CB11" s="28"/>
      <c r="CC11" s="28"/>
      <c r="CD11" s="28"/>
      <c r="CE11" s="28"/>
      <c r="CF11" s="29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5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7"/>
      <c r="DO11" s="12"/>
    </row>
    <row r="12" spans="1:125" ht="20.100000000000001" customHeight="1">
      <c r="A12" s="5"/>
      <c r="B12" s="22"/>
      <c r="C12" s="28" t="s">
        <v>89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4" t="s">
        <v>92</v>
      </c>
      <c r="Q12" s="28"/>
      <c r="R12" s="28"/>
      <c r="S12" s="28"/>
      <c r="T12" s="28"/>
      <c r="U12" s="29" t="s">
        <v>54</v>
      </c>
      <c r="V12" s="28"/>
      <c r="W12" s="28"/>
      <c r="X12" s="28"/>
      <c r="Y12" s="28"/>
      <c r="Z12" s="29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  <c r="AL12" s="28"/>
      <c r="AM12" s="30"/>
      <c r="AN12" s="25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7"/>
      <c r="BH12" s="22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9"/>
      <c r="BW12" s="28"/>
      <c r="BX12" s="28"/>
      <c r="BY12" s="28"/>
      <c r="BZ12" s="28"/>
      <c r="CA12" s="24"/>
      <c r="CB12" s="28"/>
      <c r="CC12" s="28"/>
      <c r="CD12" s="28"/>
      <c r="CE12" s="28"/>
      <c r="CF12" s="29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5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7"/>
      <c r="DO12" s="12"/>
    </row>
    <row r="13" spans="1:125" ht="20.100000000000001" customHeight="1">
      <c r="A13" s="5"/>
      <c r="B13" s="22"/>
      <c r="C13" s="28" t="s">
        <v>90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4" t="s">
        <v>93</v>
      </c>
      <c r="Q13" s="28"/>
      <c r="R13" s="28"/>
      <c r="S13" s="28"/>
      <c r="T13" s="28"/>
      <c r="U13" s="29" t="s">
        <v>54</v>
      </c>
      <c r="V13" s="28"/>
      <c r="W13" s="28"/>
      <c r="X13" s="28"/>
      <c r="Y13" s="28"/>
      <c r="Z13" s="29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  <c r="AL13" s="28"/>
      <c r="AM13" s="30"/>
      <c r="AN13" s="25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7"/>
      <c r="BH13" s="22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9"/>
      <c r="BW13" s="28"/>
      <c r="BX13" s="28"/>
      <c r="BY13" s="28"/>
      <c r="BZ13" s="28"/>
      <c r="CA13" s="24"/>
      <c r="CB13" s="28"/>
      <c r="CC13" s="28"/>
      <c r="CD13" s="28"/>
      <c r="CE13" s="28"/>
      <c r="CF13" s="29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5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7"/>
      <c r="DO13" s="12"/>
    </row>
    <row r="14" spans="1:125" ht="20.100000000000001" customHeight="1">
      <c r="A14" s="5"/>
      <c r="B14" s="22"/>
      <c r="C14" s="28" t="s">
        <v>91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4" t="s">
        <v>92</v>
      </c>
      <c r="Q14" s="28"/>
      <c r="R14" s="28"/>
      <c r="S14" s="28"/>
      <c r="T14" s="28"/>
      <c r="U14" s="29" t="s">
        <v>54</v>
      </c>
      <c r="V14" s="28"/>
      <c r="W14" s="28"/>
      <c r="X14" s="28"/>
      <c r="Y14" s="28"/>
      <c r="Z14" s="29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  <c r="AL14" s="28"/>
      <c r="AM14" s="30"/>
      <c r="AN14" s="25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7"/>
      <c r="BH14" s="22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9"/>
      <c r="BW14" s="28"/>
      <c r="BX14" s="28"/>
      <c r="BY14" s="28"/>
      <c r="BZ14" s="28"/>
      <c r="CA14" s="24"/>
      <c r="CB14" s="28"/>
      <c r="CC14" s="28"/>
      <c r="CD14" s="28"/>
      <c r="CE14" s="28"/>
      <c r="CF14" s="29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5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7"/>
      <c r="DO14" s="12"/>
    </row>
    <row r="15" spans="1:125" ht="20.100000000000001" customHeight="1">
      <c r="A15" s="5"/>
      <c r="B15" s="22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8"/>
      <c r="R15" s="28"/>
      <c r="S15" s="28"/>
      <c r="T15" s="28"/>
      <c r="U15" s="29"/>
      <c r="V15" s="28"/>
      <c r="W15" s="28"/>
      <c r="X15" s="28"/>
      <c r="Y15" s="28"/>
      <c r="Z15" s="29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9"/>
      <c r="AL15" s="28"/>
      <c r="AM15" s="30"/>
      <c r="AN15" s="25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7"/>
      <c r="BH15" s="22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9"/>
      <c r="BW15" s="28"/>
      <c r="BX15" s="28"/>
      <c r="BY15" s="28"/>
      <c r="BZ15" s="28"/>
      <c r="CA15" s="24"/>
      <c r="CB15" s="28"/>
      <c r="CC15" s="28"/>
      <c r="CD15" s="28"/>
      <c r="CE15" s="28"/>
      <c r="CF15" s="29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5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7"/>
      <c r="DO15" s="12"/>
    </row>
    <row r="16" spans="1:125" ht="20.100000000000001" customHeight="1">
      <c r="A16" s="5"/>
      <c r="B16" s="31" t="s">
        <v>55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14"/>
      <c r="BH16" s="13" t="s">
        <v>56</v>
      </c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3"/>
      <c r="DO16" s="12"/>
    </row>
    <row r="17" spans="1:119" ht="20.100000000000001" customHeight="1">
      <c r="A17" s="5"/>
      <c r="B17" s="22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5"/>
      <c r="BH17" s="36"/>
      <c r="BI17" s="17" t="s">
        <v>57</v>
      </c>
      <c r="BJ17" s="17"/>
      <c r="BK17" s="17"/>
      <c r="BL17" s="17"/>
      <c r="BM17" s="17"/>
      <c r="BN17" s="17"/>
      <c r="BO17" s="17"/>
      <c r="BP17" s="17"/>
      <c r="BQ17" s="18" t="s">
        <v>58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8" t="s">
        <v>59</v>
      </c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O17" s="12"/>
    </row>
    <row r="18" spans="1:119" ht="20.100000000000001" customHeight="1">
      <c r="A18" s="5"/>
      <c r="B18" s="22"/>
      <c r="BG18" s="37"/>
      <c r="BH18" s="22"/>
      <c r="BI18" s="38" t="s">
        <v>60</v>
      </c>
      <c r="BJ18" s="38"/>
      <c r="BK18" s="38"/>
      <c r="BL18" s="38"/>
      <c r="BM18" s="38"/>
      <c r="BN18" s="38"/>
      <c r="BO18" s="38"/>
      <c r="BP18" s="38"/>
      <c r="BQ18" s="39" t="s">
        <v>61</v>
      </c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1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2"/>
      <c r="DO18" s="12"/>
    </row>
    <row r="19" spans="1:119" ht="20.100000000000001" customHeight="1">
      <c r="A19" s="5"/>
      <c r="B19" s="22"/>
      <c r="BG19" s="37"/>
      <c r="BH19" s="22"/>
      <c r="BI19" s="40"/>
      <c r="BJ19" s="40"/>
      <c r="BK19" s="40"/>
      <c r="BL19" s="40"/>
      <c r="BM19" s="40"/>
      <c r="BN19" s="40"/>
      <c r="BO19" s="40"/>
      <c r="BP19" s="40"/>
      <c r="BQ19" s="43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1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2"/>
      <c r="DO19" s="12"/>
    </row>
    <row r="20" spans="1:119" ht="20.100000000000001" customHeight="1">
      <c r="A20" s="5"/>
      <c r="B20" s="22"/>
      <c r="BG20" s="37"/>
      <c r="BH20" s="22"/>
      <c r="BI20" s="40"/>
      <c r="BJ20" s="40"/>
      <c r="BK20" s="40"/>
      <c r="BL20" s="40"/>
      <c r="BM20" s="40"/>
      <c r="BN20" s="40"/>
      <c r="BO20" s="40"/>
      <c r="BP20" s="40"/>
      <c r="BQ20" s="43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1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2"/>
      <c r="DO20" s="12"/>
    </row>
    <row r="21" spans="1:119" ht="20.100000000000001" customHeight="1">
      <c r="A21" s="5"/>
      <c r="B21" s="22"/>
      <c r="BG21" s="37"/>
      <c r="BH21" s="22"/>
      <c r="BI21" s="40"/>
      <c r="BJ21" s="40"/>
      <c r="BK21" s="40"/>
      <c r="BL21" s="40"/>
      <c r="BM21" s="40"/>
      <c r="BN21" s="40"/>
      <c r="BO21" s="40"/>
      <c r="BP21" s="40"/>
      <c r="BQ21" s="43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1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2"/>
      <c r="DO21" s="12"/>
    </row>
    <row r="22" spans="1:119" ht="20.100000000000001" customHeight="1">
      <c r="A22" s="5"/>
      <c r="B22" s="22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5"/>
      <c r="BH22" s="22"/>
      <c r="BI22" s="46"/>
      <c r="BJ22" s="46"/>
      <c r="BK22" s="46"/>
      <c r="BL22" s="46"/>
      <c r="BM22" s="46"/>
      <c r="BN22" s="46"/>
      <c r="BO22" s="46"/>
      <c r="BP22" s="46"/>
      <c r="BQ22" s="47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8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9"/>
      <c r="DO22" s="12"/>
    </row>
    <row r="23" spans="1:119" ht="20.100000000000001" customHeight="1">
      <c r="DO23" s="12"/>
    </row>
    <row r="24" spans="1:119" ht="20.100000000000001" customHeight="1">
      <c r="DO24" s="12"/>
    </row>
    <row r="25" spans="1:119" ht="20.100000000000001" customHeight="1">
      <c r="A25" s="50" t="s">
        <v>62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2"/>
    </row>
    <row r="26" spans="1:119" ht="20.100000000000001" customHeight="1">
      <c r="DO26" s="12"/>
    </row>
    <row r="27" spans="1:119" ht="20.100000000000001" customHeight="1">
      <c r="B27" s="53" t="s">
        <v>63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3" t="s">
        <v>64</v>
      </c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5"/>
      <c r="DO27" s="12"/>
    </row>
    <row r="28" spans="1:119" ht="20.100000000000001" customHeight="1">
      <c r="B28" s="56"/>
      <c r="C28" s="51" t="s">
        <v>47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7"/>
      <c r="V28" s="51" t="s">
        <v>65</v>
      </c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8"/>
      <c r="AL28" s="51"/>
      <c r="AM28" s="51"/>
      <c r="AN28" s="51"/>
      <c r="AO28" s="51"/>
      <c r="AP28" s="51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60"/>
      <c r="BH28" s="56"/>
      <c r="BI28" s="51" t="s">
        <v>47</v>
      </c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7"/>
      <c r="CB28" s="51" t="s">
        <v>65</v>
      </c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8"/>
      <c r="CR28" s="51"/>
      <c r="CS28" s="51"/>
      <c r="CT28" s="51"/>
      <c r="CU28" s="51"/>
      <c r="CV28" s="51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60"/>
      <c r="DO28" s="12"/>
    </row>
    <row r="29" spans="1:119" ht="20.100000000000001" customHeight="1">
      <c r="B29" s="56"/>
      <c r="C29" s="28" t="s">
        <v>88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61"/>
      <c r="V29" s="4" t="s">
        <v>96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62"/>
      <c r="AL29" s="62"/>
      <c r="AM29" s="63"/>
      <c r="AN29" s="64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6"/>
      <c r="BH29" s="56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61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62"/>
      <c r="CR29" s="62"/>
      <c r="CS29" s="63"/>
      <c r="CT29" s="64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6"/>
      <c r="DO29" s="12"/>
    </row>
    <row r="30" spans="1:119" ht="20.100000000000001" customHeight="1">
      <c r="B30" s="56"/>
      <c r="C30" s="28" t="s">
        <v>94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61"/>
      <c r="V30" s="4" t="s">
        <v>97</v>
      </c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62"/>
      <c r="AL30" s="62"/>
      <c r="AM30" s="63"/>
      <c r="AN30" s="64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6"/>
      <c r="BH30" s="56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61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62"/>
      <c r="CR30" s="62"/>
      <c r="CS30" s="63"/>
      <c r="CT30" s="64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6"/>
      <c r="DO30" s="12"/>
    </row>
    <row r="31" spans="1:119" ht="20.100000000000001" customHeight="1">
      <c r="B31" s="56"/>
      <c r="C31" s="28" t="s">
        <v>87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61"/>
      <c r="V31" s="4" t="s">
        <v>98</v>
      </c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62"/>
      <c r="AL31" s="62"/>
      <c r="AM31" s="63"/>
      <c r="AN31" s="64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6"/>
      <c r="BH31" s="56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61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62"/>
      <c r="CR31" s="62"/>
      <c r="CS31" s="63"/>
      <c r="CT31" s="64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6"/>
      <c r="DO31" s="12"/>
    </row>
    <row r="32" spans="1:119" ht="20.100000000000001" customHeight="1">
      <c r="B32" s="56"/>
      <c r="C32" s="28" t="s">
        <v>89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61"/>
      <c r="V32" s="4" t="s">
        <v>99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62"/>
      <c r="AL32" s="62"/>
      <c r="AM32" s="63"/>
      <c r="AN32" s="64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6"/>
      <c r="BH32" s="56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61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62"/>
      <c r="CR32" s="62"/>
      <c r="CS32" s="63"/>
      <c r="CT32" s="64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6"/>
      <c r="DO32" s="12"/>
    </row>
    <row r="33" spans="1:119" ht="20.100000000000001" customHeight="1">
      <c r="B33" s="56"/>
      <c r="C33" s="28" t="s">
        <v>90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61"/>
      <c r="V33" s="4" t="s">
        <v>100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62"/>
      <c r="AL33" s="62"/>
      <c r="AM33" s="63"/>
      <c r="AN33" s="64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6"/>
      <c r="BH33" s="56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61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62"/>
      <c r="CR33" s="62"/>
      <c r="CS33" s="63"/>
      <c r="CT33" s="64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6"/>
      <c r="DO33" s="12"/>
    </row>
    <row r="34" spans="1:119" ht="20.100000000000001" customHeight="1">
      <c r="B34" s="56"/>
      <c r="C34" s="28" t="s">
        <v>91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61"/>
      <c r="V34" s="4" t="s">
        <v>101</v>
      </c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62"/>
      <c r="AL34" s="62"/>
      <c r="AM34" s="63"/>
      <c r="AN34" s="64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6"/>
      <c r="BH34" s="56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61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62"/>
      <c r="CR34" s="62"/>
      <c r="CS34" s="63"/>
      <c r="CT34" s="64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6"/>
      <c r="DO34" s="12"/>
    </row>
    <row r="35" spans="1:119" ht="20.100000000000001" customHeight="1">
      <c r="B35" s="5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61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62"/>
      <c r="AL35" s="62"/>
      <c r="AM35" s="63"/>
      <c r="AN35" s="64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6"/>
      <c r="BH35" s="56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61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62"/>
      <c r="CR35" s="62"/>
      <c r="CS35" s="63"/>
      <c r="CT35" s="64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6"/>
      <c r="DO35" s="12"/>
    </row>
    <row r="36" spans="1:119" ht="20.100000000000001" customHeight="1">
      <c r="A36" s="5"/>
      <c r="B36" s="67" t="s">
        <v>66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7" t="s">
        <v>66</v>
      </c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69"/>
      <c r="CR36" s="69"/>
      <c r="CS36" s="70"/>
      <c r="CT36" s="71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3"/>
      <c r="DO36" s="12"/>
    </row>
    <row r="37" spans="1:119" ht="20.100000000000001" customHeight="1">
      <c r="A37" s="5"/>
      <c r="B37" s="56"/>
      <c r="C37" s="23" t="s">
        <v>102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74"/>
      <c r="BH37" s="56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38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75"/>
      <c r="CR37" s="75"/>
      <c r="CS37" s="76"/>
      <c r="CT37" s="77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9"/>
      <c r="DO37" s="12"/>
    </row>
    <row r="38" spans="1:119" ht="20.100000000000001" customHeight="1">
      <c r="A38" s="5"/>
      <c r="B38" s="56"/>
      <c r="C38" s="28" t="s">
        <v>106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80"/>
      <c r="BH38" s="56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81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62"/>
      <c r="CR38" s="62"/>
      <c r="CS38" s="63"/>
      <c r="CT38" s="64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6"/>
      <c r="DO38" s="12"/>
    </row>
    <row r="39" spans="1:119" ht="20.100000000000001" customHeight="1">
      <c r="A39" s="5"/>
      <c r="B39" s="56"/>
      <c r="C39" s="23" t="s">
        <v>103</v>
      </c>
      <c r="D39" s="23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80"/>
      <c r="BH39" s="56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81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62"/>
      <c r="CR39" s="62"/>
      <c r="CS39" s="63"/>
      <c r="CT39" s="64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6"/>
      <c r="DO39" s="12"/>
    </row>
    <row r="40" spans="1:119" ht="20.100000000000001" customHeight="1">
      <c r="B40" s="56"/>
      <c r="C40" s="28" t="s">
        <v>95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81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62"/>
      <c r="AL40" s="62"/>
      <c r="AM40" s="63"/>
      <c r="AN40" s="64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6"/>
      <c r="BH40" s="56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81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62"/>
      <c r="CR40" s="62"/>
      <c r="CS40" s="63"/>
      <c r="CT40" s="64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6"/>
      <c r="DO40" s="12"/>
    </row>
    <row r="41" spans="1:119" ht="20.100000000000001" customHeight="1"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4"/>
      <c r="BH41" s="82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4"/>
      <c r="DO41" s="12"/>
    </row>
    <row r="42" spans="1:119" ht="20.100000000000001" customHeight="1">
      <c r="DO42" s="12"/>
    </row>
    <row r="43" spans="1:119" ht="20.100000000000001" customHeight="1">
      <c r="DO43" s="12"/>
    </row>
    <row r="44" spans="1:119" ht="20.100000000000001" customHeight="1">
      <c r="DO44" s="12"/>
    </row>
    <row r="45" spans="1:119" ht="20.100000000000001" customHeight="1">
      <c r="DO45" s="12"/>
    </row>
    <row r="46" spans="1:119" ht="20.100000000000001" customHeight="1">
      <c r="DO46" s="12"/>
    </row>
    <row r="47" spans="1:119" ht="20.100000000000001" customHeight="1">
      <c r="DO47" s="12"/>
    </row>
    <row r="48" spans="1:119" s="88" customFormat="1" ht="20.100000000000001" customHeight="1">
      <c r="DO48" s="89"/>
    </row>
    <row r="49" spans="1:119" ht="20.100000000000001" customHeight="1">
      <c r="DO49" s="12"/>
    </row>
    <row r="50" spans="1:119" ht="20.100000000000001" customHeight="1" thickBot="1">
      <c r="A50" s="8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7"/>
    </row>
  </sheetData>
  <mergeCells count="24">
    <mergeCell ref="A1:L3"/>
    <mergeCell ref="M1:AD1"/>
    <mergeCell ref="AE1:AQ1"/>
    <mergeCell ref="AR1:BA1"/>
    <mergeCell ref="BB1:BT1"/>
    <mergeCell ref="CJ1:CW1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BU1:CI1"/>
    <mergeCell ref="U9:V9"/>
    <mergeCell ref="DA2:DF2"/>
    <mergeCell ref="DG2:DI2"/>
    <mergeCell ref="DJ2:DO2"/>
    <mergeCell ref="CX3:CZ3"/>
    <mergeCell ref="DA3:DF3"/>
    <mergeCell ref="DG3:DI3"/>
    <mergeCell ref="DJ3:DO3"/>
  </mergeCells>
  <phoneticPr fontId="18" type="noConversion"/>
  <pageMargins left="0.19685039370078741" right="0.19685039370078741" top="0.59055118110236227" bottom="0.39370078740157483" header="0.19685039370078741" footer="0.19685039370078741"/>
  <pageSetup paperSize="9" scale="52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D6D4-EDA0-4CE0-90DC-425909FF4A95}">
  <sheetPr>
    <pageSetUpPr fitToPage="1"/>
  </sheetPr>
  <dimension ref="A1:BK55"/>
  <sheetViews>
    <sheetView view="pageBreakPreview" zoomScale="75" zoomScaleNormal="75" zoomScaleSheetLayoutView="75" workbookViewId="0">
      <selection activeCell="W48" sqref="W48"/>
    </sheetView>
  </sheetViews>
  <sheetFormatPr defaultColWidth="2.77734375" defaultRowHeight="15" customHeight="1"/>
  <sheetData>
    <row r="1" spans="1:63" ht="24.95" customHeight="1">
      <c r="A1" s="147" t="s">
        <v>107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109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50" t="str">
        <f>IF(表紙!W1="","",表紙!W1)</f>
        <v/>
      </c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147" t="s">
        <v>110</v>
      </c>
      <c r="AQ1" s="148"/>
      <c r="AR1" s="148"/>
      <c r="AS1" s="149"/>
      <c r="AT1" s="147" t="s">
        <v>111</v>
      </c>
      <c r="AU1" s="148"/>
      <c r="AV1" s="148"/>
      <c r="AW1" s="148"/>
      <c r="AX1" s="149"/>
      <c r="AY1" s="147" t="s">
        <v>112</v>
      </c>
      <c r="AZ1" s="148"/>
      <c r="BA1" s="148"/>
      <c r="BB1" s="149"/>
      <c r="BC1" s="147" t="s">
        <v>113</v>
      </c>
      <c r="BD1" s="148"/>
      <c r="BE1" s="148"/>
      <c r="BF1" s="148"/>
      <c r="BG1" s="149"/>
      <c r="BH1" s="147" t="s">
        <v>114</v>
      </c>
      <c r="BI1" s="148"/>
      <c r="BJ1" s="148"/>
      <c r="BK1" s="149"/>
    </row>
    <row r="2" spans="1:63" ht="15" customHeight="1">
      <c r="A2" s="132" t="str">
        <f>IF(表紙!A2="","",表紙!A2)</f>
        <v>現金専用簡易セルフPOS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LUVINAコントローラー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53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5"/>
      <c r="AP2" s="132" t="str">
        <f>IF(表紙!AP2="","",表紙!AP2)</f>
        <v>Thanh Nguyên</v>
      </c>
      <c r="AQ2" s="133"/>
      <c r="AR2" s="133"/>
      <c r="AS2" s="134"/>
      <c r="AT2" s="168">
        <f>IF(表紙!AT2="","",表紙!AT2)</f>
        <v>45209</v>
      </c>
      <c r="AU2" s="169"/>
      <c r="AV2" s="169"/>
      <c r="AW2" s="169"/>
      <c r="AX2" s="170"/>
      <c r="AY2" s="132" t="str">
        <f>IF(表紙!AY2="","",表紙!AY2)</f>
        <v>Thanh Nguyên</v>
      </c>
      <c r="AZ2" s="133"/>
      <c r="BA2" s="133"/>
      <c r="BB2" s="134"/>
      <c r="BC2" s="168">
        <f>IF(表紙!BC2="","",表紙!BC2)</f>
        <v>45209</v>
      </c>
      <c r="BD2" s="169"/>
      <c r="BE2" s="169"/>
      <c r="BF2" s="169"/>
      <c r="BG2" s="170"/>
      <c r="BH2" s="132">
        <f>IF(表紙!BH2="","",表紙!BH2)</f>
        <v>0.2</v>
      </c>
      <c r="BI2" s="133"/>
      <c r="BJ2" s="133"/>
      <c r="BK2" s="134"/>
    </row>
    <row r="3" spans="1:63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6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/>
      <c r="AP3" s="138"/>
      <c r="AQ3" s="139"/>
      <c r="AR3" s="139"/>
      <c r="AS3" s="140"/>
      <c r="AT3" s="171"/>
      <c r="AU3" s="172"/>
      <c r="AV3" s="172"/>
      <c r="AW3" s="172"/>
      <c r="AX3" s="173"/>
      <c r="AY3" s="138"/>
      <c r="AZ3" s="139"/>
      <c r="BA3" s="139"/>
      <c r="BB3" s="140"/>
      <c r="BC3" s="171"/>
      <c r="BD3" s="172"/>
      <c r="BE3" s="172"/>
      <c r="BF3" s="172"/>
      <c r="BG3" s="173"/>
      <c r="BH3" s="138"/>
      <c r="BI3" s="139"/>
      <c r="BJ3" s="139"/>
      <c r="BK3" s="140"/>
    </row>
    <row r="4" spans="1:63" ht="24.95" customHeight="1">
      <c r="A4" s="147" t="s">
        <v>108</v>
      </c>
      <c r="B4" s="148"/>
      <c r="C4" s="148"/>
      <c r="D4" s="148"/>
      <c r="E4" s="148"/>
      <c r="F4" s="148"/>
      <c r="G4" s="149"/>
      <c r="H4" s="159" t="str">
        <f>IF(表紙!H4="","",表紙!H4)</f>
        <v>API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47" t="s">
        <v>115</v>
      </c>
      <c r="V4" s="148"/>
      <c r="W4" s="148"/>
      <c r="X4" s="148"/>
      <c r="Y4" s="149"/>
      <c r="Z4" s="159" t="str">
        <f>IF(表紙!Z4="","",表紙!Z4)</f>
        <v>基本設計書</v>
      </c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1"/>
      <c r="AP4" s="159" t="str" cm="1">
        <f t="array" aca="1" ref="AP4" ca="1">RIGHT(CELL("filename",$A$1),LEN(CELL("filename",$A$1))-FIND("]",CELL("filename",$A$1)))</f>
        <v>テンプレート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1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K7" s="93"/>
    </row>
    <row r="8" spans="1:63" ht="15" customHeight="1">
      <c r="A8" s="90"/>
      <c r="BK8" s="93"/>
    </row>
    <row r="9" spans="1:63" ht="15" customHeight="1">
      <c r="A9" s="90"/>
      <c r="BK9" s="93"/>
    </row>
    <row r="10" spans="1:63" ht="15" customHeight="1">
      <c r="A10" s="90"/>
      <c r="BK10" s="93"/>
    </row>
    <row r="11" spans="1:63" ht="15" customHeight="1">
      <c r="A11" s="90"/>
      <c r="BK11" s="93"/>
    </row>
    <row r="12" spans="1:63" ht="15" customHeight="1">
      <c r="A12" s="90"/>
      <c r="BK12" s="93"/>
    </row>
    <row r="13" spans="1:63" ht="15" customHeight="1">
      <c r="A13" s="90"/>
      <c r="BK13" s="93"/>
    </row>
    <row r="14" spans="1:63" ht="15" customHeight="1">
      <c r="A14" s="90"/>
      <c r="BK14" s="93"/>
    </row>
    <row r="15" spans="1:63" ht="15" customHeight="1">
      <c r="A15" s="90"/>
      <c r="BK15" s="93"/>
    </row>
    <row r="16" spans="1:63" ht="15" customHeight="1">
      <c r="A16" s="90"/>
      <c r="BK16" s="93"/>
    </row>
    <row r="17" spans="1:63" ht="15" customHeight="1">
      <c r="A17" s="90"/>
      <c r="BK17" s="93"/>
    </row>
    <row r="18" spans="1:63" ht="15" customHeight="1">
      <c r="A18" s="90"/>
      <c r="BK18" s="93"/>
    </row>
    <row r="19" spans="1:63" ht="15" customHeight="1">
      <c r="A19" s="90"/>
      <c r="BK19" s="93"/>
    </row>
    <row r="20" spans="1:63" ht="15" customHeight="1">
      <c r="A20" s="90"/>
      <c r="BK20" s="93"/>
    </row>
    <row r="21" spans="1:63" ht="15" customHeight="1">
      <c r="A21" s="90"/>
      <c r="BK21" s="93"/>
    </row>
    <row r="22" spans="1:63" ht="15" customHeight="1">
      <c r="A22" s="90"/>
      <c r="BK22" s="93"/>
    </row>
    <row r="23" spans="1:63" ht="15" customHeight="1">
      <c r="A23" s="90"/>
      <c r="BK23" s="93"/>
    </row>
    <row r="24" spans="1:63" ht="15" customHeight="1">
      <c r="A24" s="90"/>
      <c r="BK24" s="93"/>
    </row>
    <row r="25" spans="1:63" ht="15" customHeight="1">
      <c r="A25" s="90"/>
      <c r="BK25" s="93"/>
    </row>
    <row r="26" spans="1:63" ht="15" customHeight="1">
      <c r="A26" s="90"/>
      <c r="BK26" s="93"/>
    </row>
    <row r="27" spans="1:63" ht="15" customHeight="1">
      <c r="A27" s="90"/>
      <c r="BK27" s="93"/>
    </row>
    <row r="28" spans="1:63" ht="15" customHeight="1">
      <c r="A28" s="90"/>
      <c r="BK28" s="93"/>
    </row>
    <row r="29" spans="1:63" ht="15" customHeight="1">
      <c r="A29" s="90"/>
      <c r="BK29" s="93"/>
    </row>
    <row r="30" spans="1:63" ht="15" customHeight="1">
      <c r="A30" s="90"/>
      <c r="BK30" s="93"/>
    </row>
    <row r="31" spans="1:63" ht="15" customHeight="1">
      <c r="A31" s="90"/>
      <c r="BK31" s="93"/>
    </row>
    <row r="32" spans="1:63" ht="15" customHeight="1">
      <c r="A32" s="90"/>
      <c r="BK32" s="93"/>
    </row>
    <row r="33" spans="1:63" ht="15" customHeight="1">
      <c r="A33" s="90"/>
      <c r="BK33" s="93"/>
    </row>
    <row r="34" spans="1:63" ht="15" customHeight="1">
      <c r="A34" s="90"/>
      <c r="BK34" s="93"/>
    </row>
    <row r="35" spans="1:63" ht="15" customHeight="1">
      <c r="A35" s="90"/>
      <c r="BK35" s="93"/>
    </row>
    <row r="36" spans="1:63" ht="15" customHeight="1">
      <c r="A36" s="90"/>
      <c r="BK36" s="93"/>
    </row>
    <row r="37" spans="1:63" ht="15" customHeight="1">
      <c r="A37" s="90"/>
      <c r="BK37" s="93"/>
    </row>
    <row r="38" spans="1:63" ht="15" customHeight="1">
      <c r="A38" s="90"/>
      <c r="BK38" s="93"/>
    </row>
    <row r="39" spans="1:63" ht="15" customHeight="1">
      <c r="A39" s="90"/>
      <c r="BK39" s="93"/>
    </row>
    <row r="40" spans="1:63" ht="15" customHeight="1">
      <c r="A40" s="90"/>
      <c r="BK40" s="93"/>
    </row>
    <row r="41" spans="1:63" ht="15" customHeight="1">
      <c r="A41" s="90"/>
      <c r="BK41" s="93"/>
    </row>
    <row r="42" spans="1:63" ht="15" customHeight="1">
      <c r="A42" s="90"/>
      <c r="BK42" s="93"/>
    </row>
    <row r="43" spans="1:63" ht="15" customHeight="1">
      <c r="A43" s="90"/>
      <c r="BK43" s="93"/>
    </row>
    <row r="44" spans="1:63" ht="15" customHeight="1">
      <c r="A44" s="90"/>
      <c r="BK44" s="93"/>
    </row>
    <row r="45" spans="1:63" ht="15" customHeight="1">
      <c r="A45" s="90"/>
      <c r="BK45" s="93"/>
    </row>
    <row r="46" spans="1:63" ht="15" customHeight="1">
      <c r="A46" s="90"/>
      <c r="BK46" s="93"/>
    </row>
    <row r="47" spans="1:63" ht="15" customHeight="1">
      <c r="A47" s="90"/>
      <c r="BK47" s="93"/>
    </row>
    <row r="48" spans="1:63" ht="15" customHeight="1">
      <c r="A48" s="90"/>
      <c r="BK48" s="93"/>
    </row>
    <row r="49" spans="1:63" ht="15" customHeight="1">
      <c r="A49" s="90"/>
      <c r="BK49" s="93"/>
    </row>
    <row r="50" spans="1:63" ht="15" customHeight="1">
      <c r="A50" s="90"/>
      <c r="BK50" s="93"/>
    </row>
    <row r="51" spans="1:63" ht="15" customHeight="1">
      <c r="A51" s="90"/>
      <c r="BK51" s="93"/>
    </row>
    <row r="52" spans="1:63" ht="15" customHeight="1">
      <c r="A52" s="90"/>
      <c r="BK52" s="93"/>
    </row>
    <row r="53" spans="1:63" ht="15" customHeight="1">
      <c r="A53" s="90"/>
      <c r="BK53" s="93"/>
    </row>
    <row r="54" spans="1:63" ht="15" customHeight="1">
      <c r="A54" s="90"/>
      <c r="BK54" s="93"/>
    </row>
    <row r="55" spans="1:63" ht="1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4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16254C-C7C4-43BD-91EE-46A18F8FA953}"/>
</file>

<file path=customXml/itemProps2.xml><?xml version="1.0" encoding="utf-8"?>
<ds:datastoreItem xmlns:ds="http://schemas.openxmlformats.org/officeDocument/2006/customXml" ds:itemID="{F8E113B5-5356-4403-BC0D-2C08B706F83C}"/>
</file>

<file path=customXml/itemProps3.xml><?xml version="1.0" encoding="utf-8"?>
<ds:datastoreItem xmlns:ds="http://schemas.openxmlformats.org/officeDocument/2006/customXml" ds:itemID="{F82343A3-57EC-4FD2-8E1A-5E48D9E2C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7</vt:i4>
      </vt:variant>
    </vt:vector>
  </HeadingPairs>
  <TitlesOfParts>
    <vt:vector size="13" baseType="lpstr">
      <vt:lpstr>表紙</vt:lpstr>
      <vt:lpstr>改廃履歴</vt:lpstr>
      <vt:lpstr>Tổng hợp</vt:lpstr>
      <vt:lpstr>APX001</vt:lpstr>
      <vt:lpstr>L001</vt:lpstr>
      <vt:lpstr>テンプレート</vt:lpstr>
      <vt:lpstr>'Tổng hợp'!Print_Area</vt:lpstr>
      <vt:lpstr>改廃履歴!Print_Area</vt:lpstr>
      <vt:lpstr>表紙!Print_Area</vt:lpstr>
      <vt:lpstr>'Tổng hợp'!Print_Titles</vt:lpstr>
      <vt:lpstr>テンプレート!Print_Titles</vt:lpstr>
      <vt:lpstr>改廃履歴!Print_Titles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Tuan Anh</dc:creator>
  <cp:lastModifiedBy>Crux03_Luvina</cp:lastModifiedBy>
  <cp:lastPrinted>2023-03-14T07:02:11Z</cp:lastPrinted>
  <dcterms:created xsi:type="dcterms:W3CDTF">2023-03-14T06:33:01Z</dcterms:created>
  <dcterms:modified xsi:type="dcterms:W3CDTF">2023-12-12T14:55:14Z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