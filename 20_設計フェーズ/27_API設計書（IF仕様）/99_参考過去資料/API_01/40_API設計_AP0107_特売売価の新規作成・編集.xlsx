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50FD857-C60C-470B-9B57-FA34E9272F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07" sheetId="8" r:id="rId4"/>
    <sheet name="処理フロー" sheetId="9" r:id="rId5"/>
    <sheet name="テンプレート" sheetId="7" r:id="rId6"/>
  </sheets>
  <definedNames>
    <definedName name="_xlnm.Print_Area" localSheetId="3">'AP0107'!$A$1:$BK$94</definedName>
    <definedName name="_xlnm.Print_Area" localSheetId="5">テンプレート!$A$1:$BK$54</definedName>
    <definedName name="_xlnm.Print_Area" localSheetId="4">処理フロー!$A$1:$BK$95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<sst xmlns="http://schemas.openxmlformats.org/spreadsheetml/2006/main" count="254" uniqueCount="151">
  <si>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</si>
  <si>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</si>
  <si>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</si>
  <si>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</si>
  <si>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</si>
  <si>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</si>
  <si>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</si>
  <si>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</si>
  <si>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</si>
  <si>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</si>
  <si>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</si>
  <si>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</si>
  <si>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</si>
  <si>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</si>
  <si>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</si>
  <si>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</si>
  <si>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</si>
  <si>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</si>
  <si>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</si>
  <si>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</si>
  <si>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</si>
  <si>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</si>
  <si>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</si>
  <si>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</si>
  <si>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</si>
  <si>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</si>
  <si>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</si>
  <si>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</si>
  <si>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</si>
  <si>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</si>
  <si>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</si>
  <si>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</si>
  <si>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</si>
  <si>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</si>
  <si>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</si>
  <si>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</si>
  <si>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</si>
  <si>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</si>
  <si>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</si>
  <si>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</si>
  <si>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</si>
  <si>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</si>
  <si>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</si>
  <si>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</si>
  <si>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</si>
  <si>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</si>
  <si>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</si>
  <si>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</si>
  <si>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</si>
  <si>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</si>
  <si>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Bigint</t>
    </r>
  </si>
  <si>
    <t>]</t>
  </si>
  <si>
    <t xml:space="preserve">    {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</si>
  <si>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</si>
  <si>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</si>
  <si>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AP0107</t>
    </r>
  </si>
  <si>
    <r>
      <rPr>
        <sz val="11"/>
        <color rgb="FF000000"/>
        <rFont val="Meiryo UI"/>
        <family val="2"/>
      </rPr>
      <t>特売売価情報を新規作成・編集する。</t>
    </r>
  </si>
  <si>
    <r>
      <rPr>
        <sz val="11"/>
        <color rgb="FF000000"/>
        <rFont val="Meiryo UI"/>
        <family val="2"/>
      </rPr>
      <t>special_price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</si>
  <si>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</si>
  <si>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special_price: [</t>
    </r>
  </si>
  <si>
    <t xml:space="preserve">    }</t>
  </si>
  <si>
    <r>
      <rPr>
        <sz val="11"/>
        <color rgb="FF000000"/>
        <rFont val="Meiryo UI"/>
        <family val="2"/>
      </rPr>
      <t>api/v1/special-prices/maintainance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</si>
  <si>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</si>
  <si>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</si>
  <si>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</si>
  <si>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</si>
  <si>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</si>
  <si>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</si>
  <si>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</si>
  <si>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</si>
  <si>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</si>
  <si>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</si>
  <si>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</si>
  <si>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</si>
  <si>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</si>
  <si>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</si>
  <si>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</si>
  <si>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</si>
  <si>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</si>
  <si>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シート：[AP0107]、[処理フロー]</t>
  </si>
  <si>
    <t>・「割引率」項目更新：最大2桁入力可能 （01～99）
・特売売価の適用期間がプロモーションの適用期間外であるかをバリデーションチェックを追加
・タイムサービス = 1の場合の適用期間のバリデーションチェックを追加
・CompanyCode、StoreCode、PromotionCode、ScheduleNo、TypeCode、ItemCodeのフィールドでレコード存在チェックを追加
・新しいDB構造に基づいてフィールド名とテーブル名を変更</t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</si>
  <si>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</si>
  <si>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</si>
  <si>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</si>
  <si>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sz val="11"/>
        <color rgb="FF000000"/>
        <rFont val="Meiryo UI"/>
        <family val="2"/>
      </rPr>
      <t>バリデーションチェックエラーが発生した場合、プログラムを停止し、該当するメッセージを返す。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</si>
  <si>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</si>
  <si>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</si>
  <si>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</si>
  <si>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</si>
  <si>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</si>
  <si>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</si>
  <si>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</si>
  <si>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</si>
  <si>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</si>
  <si>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</si>
  <si>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</si>
  <si>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</si>
  <si>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商品の緊急売価一覧</t>
  </si>
  <si>
    <r>
      <rPr>
        <sz val="11"/>
        <color rgb="FF000000"/>
        <rFont val="Meiryo UI"/>
        <family val="2"/>
      </rPr>
      <t xml:space="preserve">    record_id</t>
    </r>
  </si>
  <si>
    <t>M_SpecialPrice.RECORD_ID</t>
  </si>
  <si>
    <r>
      <rPr>
        <sz val="11"/>
        <color rgb="FF000000"/>
        <rFont val="Meiryo UI"/>
        <family val="2"/>
      </rPr>
      <t>・緊急売価を新規作成する場合、record_idをnullとして渡す。
・緊急売価を編集する場合、該当するrecord_idを渡す。</t>
    </r>
  </si>
  <si>
    <r>
      <rPr>
        <sz val="11"/>
        <color rgb="FF000000"/>
        <rFont val="Meiryo UI"/>
        <family val="2"/>
      </rPr>
      <t xml:space="preserve">    selected_store</t>
    </r>
  </si>
  <si>
    <t>M_SpecialPrice.StoreCode</t>
  </si>
  <si>
    <t>バリデーションチェック：入力必須（メッセージ = MSG_VAL_001）</t>
  </si>
  <si>
    <r>
      <rPr>
        <sz val="11"/>
        <color rgb="FF000000"/>
        <rFont val="Meiryo UI"/>
        <family val="2"/>
      </rPr>
      <t xml:space="preserve">    promotion_code</t>
    </r>
  </si>
  <si>
    <t>M_SpecialPrice.PromotionCode</t>
  </si>
  <si>
    <t>・バリデーションチェック：数字であること（メッセージ = MSG_VAL_006）
・バリデーションチェック：5桁未満の場合、 エラーメッセージ = MSG_VAL_002</t>
  </si>
  <si>
    <r>
      <rPr>
        <sz val="11"/>
        <color rgb="FF000000"/>
        <rFont val="Meiryo UI"/>
        <family val="2"/>
      </rPr>
      <t xml:space="preserve">    status</t>
    </r>
  </si>
  <si>
    <t>M_SpecialPrice.Status</t>
  </si>
  <si>
    <r>
      <rPr>
        <sz val="11"/>
        <color rgb="FF000000"/>
        <rFont val="Meiryo UI"/>
        <family val="2"/>
      </rPr>
      <t xml:space="preserve">    item_code</t>
    </r>
  </si>
  <si>
    <t>M_SpecialPrice.ItemCode</t>
  </si>
  <si>
    <r>
      <rPr>
        <sz val="11"/>
        <color rgb="FF000000"/>
        <rFont val="Meiryo UI"/>
        <family val="2"/>
      </rPr>
      <t>・バリデーションチェック：入力必須（メッセージ = MSG_VAL_001）
・バリデーションチェック：最大13桁（メッセージ = MSG_VAL_002）
・バリデーションチェック：数字であること（メッセージ = MSG_VAL_006）</t>
    </r>
  </si>
  <si>
    <r>
      <rPr>
        <sz val="11"/>
        <color rgb="FF000000"/>
        <rFont val="Meiryo UI"/>
        <family val="2"/>
      </rPr>
      <t xml:space="preserve">    discount_method_code</t>
    </r>
  </si>
  <si>
    <t>M_SpecialPrice.DiscountMethodCode</t>
  </si>
  <si>
    <r>
      <rPr>
        <sz val="11"/>
        <color rgb="FF000000"/>
        <rFont val="Meiryo UI"/>
        <family val="2"/>
      </rPr>
      <t xml:space="preserve">    special_price</t>
    </r>
  </si>
  <si>
    <t>M_SpecialPrice.SpecialPrice
M_SpecialPrice.DiscountValue</t>
  </si>
  <si>
    <r>
      <rPr>
        <sz val="11"/>
        <color rgb="FF000000"/>
        <rFont val="Meiryo UI"/>
        <family val="2"/>
      </rPr>
      <t xml:space="preserve">    type_code</t>
    </r>
  </si>
  <si>
    <t>M_SpecialPrice.TypeCode</t>
  </si>
  <si>
    <t>・画面から渡される値が「0：タイムサービス」である =&gt; DBに「01」として挿入する。
・画面から渡される値が「1：期間特売」である =&gt; DBに「02」として挿入する。</t>
  </si>
  <si>
    <t xml:space="preserve">    start_date</t>
  </si>
  <si>
    <t>M_SpecialPrice.StartDateTime</t>
  </si>
  <si>
    <t xml:space="preserve">    end_date</t>
  </si>
  <si>
    <t>M_SpecialPrice.EndDateTime</t>
  </si>
  <si>
    <t xml:space="preserve">    start_time</t>
  </si>
  <si>
    <t>String</t>
  </si>
  <si>
    <t>・バリデーションチェック：入力必須（メッセージ = MSG_VAL_001）
・バリデーションチェック：形式が不正な場合（「hh:mm」ではない）、MSG_VAL_016を表示する。</t>
  </si>
  <si>
    <t xml:space="preserve">    end_time</t>
  </si>
  <si>
    <t>※サンプル</t>
  </si>
  <si>
    <r>
      <rPr>
        <sz val="11"/>
        <color rgb="FF000000"/>
        <rFont val="Meiryo UI"/>
        <family val="2"/>
      </rPr>
      <t xml:space="preserve">        "record_id": null,</t>
    </r>
  </si>
  <si>
    <r>
      <rPr>
        <sz val="11"/>
        <color rgb="FF000000"/>
        <rFont val="Meiryo UI"/>
        <family val="2"/>
      </rPr>
      <t xml:space="preserve">        "selected_store": "09176",</t>
    </r>
  </si>
  <si>
    <r>
      <rPr>
        <sz val="11"/>
        <color rgb="FF000000"/>
        <rFont val="Meiryo UI"/>
        <family val="2"/>
      </rPr>
      <t xml:space="preserve">        "promotion_code": "08483",</t>
    </r>
  </si>
  <si>
    <r>
      <rPr>
        <sz val="11"/>
        <color rgb="FF000000"/>
        <rFont val="Meiryo UI"/>
        <family val="2"/>
      </rPr>
      <t xml:space="preserve">        "status": 0,</t>
    </r>
  </si>
  <si>
    <r>
      <rPr>
        <sz val="11"/>
        <color rgb="FF000000"/>
        <rFont val="Meiryo UI"/>
        <family val="2"/>
      </rPr>
      <t xml:space="preserve">        "item_code": "00222402",</t>
    </r>
  </si>
  <si>
    <r>
      <rPr>
        <sz val="11"/>
        <color rgb="FF000000"/>
        <rFont val="Meiryo UI"/>
        <family val="2"/>
      </rPr>
      <t xml:space="preserve">        "discount_method_code": "1",</t>
    </r>
  </si>
  <si>
    <r>
      <rPr>
        <sz val="11"/>
        <color rgb="FF000000"/>
        <rFont val="Meiryo UI"/>
        <family val="2"/>
      </rPr>
      <t xml:space="preserve">        "special_price": "296",</t>
    </r>
  </si>
  <si>
    <r>
      <rPr>
        <sz val="11"/>
        <color rgb="FF000000"/>
        <rFont val="Meiryo UI"/>
        <family val="2"/>
      </rPr>
      <t xml:space="preserve">        "type_code": "0",</t>
    </r>
  </si>
  <si>
    <t xml:space="preserve">   "start_time":"02:00"</t>
  </si>
  <si>
    <t xml:space="preserve">   "end_date":"2024/09/09",</t>
  </si>
  <si>
    <t xml:space="preserve">   "end_time":"02:00"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</si>
  <si>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</si>
  <si>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</si>
  <si>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</si>
  <si>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</si>
  <si>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</si>
  <si>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>0:実施中
1: 中止</t>
    </r>
  </si>
  <si>
    <r>
      <t>・画面から渡される値が「</t>
    </r>
    <r>
      <rPr>
        <sz val="11"/>
        <color rgb="FF0000FF"/>
        <rFont val="Meiryo UI"/>
        <family val="2"/>
      </rPr>
      <t>02</t>
    </r>
    <r>
      <rPr>
        <sz val="11"/>
        <color rgb="FF000000"/>
        <rFont val="Meiryo UI"/>
        <family val="2"/>
      </rPr>
      <t>：特売割引設定」である =&gt; DBに「</t>
    </r>
    <r>
      <rPr>
        <sz val="11"/>
        <color rgb="FF0000FF"/>
        <rFont val="Meiryo UI"/>
        <family val="2"/>
      </rPr>
      <t>02</t>
    </r>
    <r>
      <rPr>
        <sz val="11"/>
        <color rgb="FF000000"/>
        <rFont val="Meiryo UI"/>
        <family val="2"/>
      </rPr>
      <t>」として挿入する。
・画面から渡される値が「</t>
    </r>
    <r>
      <rPr>
        <sz val="11"/>
        <color rgb="FF0000FF"/>
        <rFont val="Meiryo UI"/>
        <family val="2"/>
      </rPr>
      <t>03</t>
    </r>
    <r>
      <rPr>
        <sz val="11"/>
        <color rgb="FF000000"/>
        <rFont val="Meiryo UI"/>
        <family val="2"/>
      </rPr>
      <t>：特売売価設定」である =&gt; DBに「</t>
    </r>
    <r>
      <rPr>
        <sz val="11"/>
        <color rgb="FF0000FF"/>
        <rFont val="Meiryo UI"/>
        <family val="2"/>
      </rPr>
      <t>03</t>
    </r>
    <r>
      <rPr>
        <sz val="11"/>
        <color rgb="FF000000"/>
        <rFont val="Meiryo UI"/>
        <family val="2"/>
      </rPr>
      <t>」として挿入する。</t>
    </r>
  </si>
  <si>
    <r>
      <rPr>
        <sz val="11"/>
        <color rgb="FF000000"/>
        <rFont val="Meiryo UI"/>
        <family val="2"/>
      </rPr>
      <t>・バリデーションチェック：入力必須（メッセージ = MSG_VAL_001）
・discount_method_code = 02の場合、
  ‣バリデーションチェック：最大2桁（メッセージ = MSG_VAL_002）
・discount_method_code = 03の場合、
  ‣バリデーションチェック：最大6桁（メッセージ = MSG_VAL_002）
・バリデーションチェック：数字であること（メッセージ = MSG_VAL_006）
・バリデーションチェック：0より大きいこと（メッセージ = MSG_VAL_038）
・discount_method_code = 02の場合、M_SpecialPrice.DiscountValueフィールドに挿入する。
・discount_method_code = 03の場合、M_SpecialPrice.SpecialPriceフィールドに挿入する。</t>
    </r>
  </si>
  <si>
    <r>
      <t>・バリデーションチェック：入力必須（メッセージ = MSG_VAL_001）
・過去日のバリデーションチェック（メッセージ=</t>
    </r>
    <r>
      <rPr>
        <sz val="11"/>
        <color rgb="FF0000FF"/>
        <rFont val="Meiryo UI"/>
        <family val="2"/>
      </rPr>
      <t>MSG_VAL_022）。状態が「1（中止）」に更新された場合、過去日のバリデーションチェックを行わない。</t>
    </r>
    <r>
      <rPr>
        <sz val="11"/>
        <color rgb="FF000000"/>
        <rFont val="Meiryo UI"/>
        <family val="2"/>
      </rPr>
      <t xml:space="preserve">
・バリデーションチェック：形式が不正な場合（「</t>
    </r>
    <r>
      <rPr>
        <sz val="11"/>
        <color rgb="FF0000FF"/>
        <rFont val="Meiryo UI"/>
        <family val="2"/>
      </rPr>
      <t>yyyy/mm/dd</t>
    </r>
    <r>
      <rPr>
        <sz val="11"/>
        <color rgb="FF000000"/>
        <rFont val="Meiryo UI"/>
        <family val="2"/>
      </rPr>
      <t>」ではない）、</t>
    </r>
    <r>
      <rPr>
        <sz val="11"/>
        <color rgb="FF0000FF"/>
        <rFont val="Meiryo UI"/>
        <family val="2"/>
      </rPr>
      <t>MSG_VAL_016</t>
    </r>
    <r>
      <rPr>
        <sz val="11"/>
        <color rgb="FF000000"/>
        <rFont val="Meiryo UI"/>
        <family val="2"/>
      </rPr>
      <t>を表示する。</t>
    </r>
  </si>
  <si>
    <t>・バリデーションチェック：入力必須（メッセージ = MSG_VAL_001）
・バリデーションチェック：形式が不正な場合（「hh:mm」ではない）、MSG_VAL_016を表示する。
・type_code = 1かつstart_date &lt; end_dateの場合、
　‣バリデーションチェック：start_time&gt;=end_timeの場合、「MSG_VAL_051」エラーメッセージを表示する。
start_date = end_dateの場合、
　‣バリデーションチェック：start_time&gt;=end_timeの場合、「MSG_VAL_051」エラーメッセージを表示する。
・start_date = end_date = today()の場合、
　‣バリデーションチェック：end_time &lt;= now()の場合、「MSG_VAL_022」エラーメッセージを表示する。</t>
  </si>
  <si>
    <r>
      <t xml:space="preserve"> </t>
    </r>
    <r>
      <rPr>
        <sz val="11"/>
        <color rgb="FF0000FF"/>
        <rFont val="Meiryo UI"/>
        <family val="2"/>
      </rPr>
      <t xml:space="preserve">  "start_date":"2024/09/09",</t>
    </r>
  </si>
  <si>
    <r>
      <t xml:space="preserve">・バリデーションチェック：入力必須（メッセージ = MSG_VAL_001）
</t>
    </r>
    <r>
      <rPr>
        <strike/>
        <sz val="11"/>
        <color rgb="FF0000FF"/>
        <rFont val="Meiryo UI"/>
        <family val="2"/>
      </rPr>
      <t>・過去日のバリデーションチェック（メッセージ = MSG_VAL_037）</t>
    </r>
    <r>
      <rPr>
        <sz val="11"/>
        <color rgb="FFFF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・バリデーションチェック：形式が不正な場合（「</t>
    </r>
    <r>
      <rPr>
        <sz val="11"/>
        <color rgb="FF0000FF"/>
        <rFont val="Meiryo UI"/>
        <family val="2"/>
      </rPr>
      <t>yyyy/mm/dd</t>
    </r>
    <r>
      <rPr>
        <sz val="11"/>
        <color rgb="FF000000"/>
        <rFont val="Meiryo UI"/>
        <family val="2"/>
      </rPr>
      <t>」ではない）、</t>
    </r>
    <r>
      <rPr>
        <sz val="11"/>
        <color rgb="FF0000FF"/>
        <rFont val="Meiryo UI"/>
        <family val="2"/>
      </rPr>
      <t>MSG_VAL_016</t>
    </r>
    <r>
      <rPr>
        <sz val="11"/>
        <color rgb="FF000000"/>
        <rFont val="Meiryo UI"/>
        <family val="2"/>
      </rPr>
      <t>を表示する。
・バリデーションチェック： start_date_time &gt; end_date_timeの場合、</t>
    </r>
    <r>
      <rPr>
        <sz val="11"/>
        <color rgb="FF0000FF"/>
        <rFont val="Meiryo UI"/>
        <family val="2"/>
      </rPr>
      <t>MSG_VAL_051を表示する。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</si>
</sst>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5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11" fillId="0" borderId="1" xfId="0" applyFont="1" applyBorder="1" applyAlignment="1">
      <alignment horizontal="left" vertical="center" indent="2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 wrapText="1"/>
    </xf>
    <xf numFmtId="0" fontId="7" fillId="0" borderId="24" xfId="0" quotePrefix="1" applyFont="1" applyBorder="1" applyAlignment="1">
      <alignment horizontal="left" vertical="center" wrapText="1"/>
    </xf>
    <xf numFmtId="0" fontId="7" fillId="0" borderId="25" xfId="0" quotePrefix="1" applyFont="1" applyBorder="1" applyAlignment="1">
      <alignment horizontal="left" vertical="center" wrapText="1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7" fillId="0" borderId="23" xfId="0" quotePrefix="1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quotePrefix="1" applyFont="1" applyBorder="1" applyAlignment="1">
      <alignment horizontal="left" vertical="top" wrapText="1"/>
    </xf>
    <xf numFmtId="0" fontId="23" fillId="0" borderId="27" xfId="0" applyFont="1" applyBorder="1" applyAlignment="1">
      <alignment horizontal="left" vertical="top"/>
    </xf>
    <xf numFmtId="0" fontId="23" fillId="0" borderId="28" xfId="0" applyFont="1" applyBorder="1" applyAlignment="1">
      <alignment horizontal="left" vertical="top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 applyAlignment="1">
      <alignment vertical="top" wrapText="1"/>
    </xf>
    <xf numFmtId="0" fontId="23" fillId="0" borderId="30" xfId="0" applyFont="1" applyBorder="1" applyAlignment="1">
      <alignment vertical="top"/>
    </xf>
    <xf numFmtId="0" fontId="23" fillId="0" borderId="31" xfId="0" applyFont="1" applyBorder="1" applyAlignment="1">
      <alignment vertical="top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20" fontId="20" fillId="0" borderId="23" xfId="0" quotePrefix="1" applyNumberFormat="1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3" fillId="0" borderId="1" xfId="0" applyFont="1" applyBorder="1" applyAlignment="1">
      <alignment horizontal="left" vertical="center" indent="2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画面から渡された特売売価情報のデータ配列の各レコードをループする。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6</xdr:row>
      <xdr:rowOff>11206</xdr:rowOff>
    </xdr:from>
    <xdr:to>
      <xdr:col>12</xdr:col>
      <xdr:colOff>0</xdr:colOff>
      <xdr:row>8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133600" y="12668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12</xdr:col>
      <xdr:colOff>0</xdr:colOff>
      <xdr:row>92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133600" y="17449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86</xdr:row>
      <xdr:rowOff>0</xdr:rowOff>
    </xdr:from>
    <xdr:to>
      <xdr:col>10</xdr:col>
      <xdr:colOff>1</xdr:colOff>
      <xdr:row>91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10" idx="2"/>
          <a:endCxn id="4" idx="0"/>
        </xdr:cNvCxnSpPr>
      </xdr:nvCxnSpPr>
      <xdr:spPr>
        <a:xfrm flipH="1">
          <a:off x="2667000" y="16497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1</xdr:colOff>
      <xdr:row>11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2667000" y="1638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36</xdr:row>
      <xdr:rowOff>0</xdr:rowOff>
    </xdr:from>
    <xdr:to>
      <xdr:col>62</xdr:col>
      <xdr:colOff>0</xdr:colOff>
      <xdr:row>44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6972300"/>
          <a:ext cx="7200900" cy="1524000"/>
        </a:xfrm>
        <a:prstGeom prst="borderCallout1">
          <a:avLst>
            <a:gd name="adj1" fmla="val 49926"/>
            <a:gd name="adj2" fmla="val -59"/>
            <a:gd name="adj3" fmla="val 50281"/>
            <a:gd name="adj4" fmla="val -811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以下の項目に基づいて、レコードの存在をチェックする。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CompanyCode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ScheduleNo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TypeCode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ItemCode</a:t>
          </a: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13</xdr:col>
      <xdr:colOff>0</xdr:colOff>
      <xdr:row>62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8669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特売売価新規作成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49</xdr:row>
      <xdr:rowOff>0</xdr:rowOff>
    </xdr:from>
    <xdr:to>
      <xdr:col>13</xdr:col>
      <xdr:colOff>0</xdr:colOff>
      <xdr:row>54</xdr:row>
      <xdr:rowOff>0</xdr:rowOff>
    </xdr:to>
    <xdr:sp macro="" textlink="" fLocksText="0">
      <xdr:nvSpPr>
        <xdr:cNvPr id="71" name="Flowchart: Decision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1866900" y="9448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13</xdr:col>
      <xdr:colOff>0</xdr:colOff>
      <xdr:row>15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8669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特売売価データ配列をループする。</a:t>
          </a:r>
        </a:p>
      </xdr:txBody>
    </xdr:sp>
    <xdr:clientData/>
  </xdr:twoCellAnchor>
  <xdr:twoCellAnchor>
    <xdr:from>
      <xdr:col>10</xdr:col>
      <xdr:colOff>1</xdr:colOff>
      <xdr:row>15</xdr:row>
      <xdr:rowOff>0</xdr:rowOff>
    </xdr:from>
    <xdr:to>
      <xdr:col>10</xdr:col>
      <xdr:colOff>1</xdr:colOff>
      <xdr:row>18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</xdr:cNvCxnSpPr>
      </xdr:nvCxnSpPr>
      <xdr:spPr>
        <a:xfrm>
          <a:off x="2667000" y="297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80</xdr:row>
      <xdr:rowOff>0</xdr:rowOff>
    </xdr:from>
    <xdr:to>
      <xdr:col>13</xdr:col>
      <xdr:colOff>4803</xdr:colOff>
      <xdr:row>85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866900" y="153543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配列の最後の要素であるかを確認する。</a:t>
          </a:r>
        </a:p>
      </xdr:txBody>
    </xdr:sp>
    <xdr:clientData/>
  </xdr:twoCellAnchor>
  <xdr:twoCellAnchor>
    <xdr:from>
      <xdr:col>9</xdr:col>
      <xdr:colOff>0</xdr:colOff>
      <xdr:row>85</xdr:row>
      <xdr:rowOff>0</xdr:rowOff>
    </xdr:from>
    <xdr:to>
      <xdr:col>11</xdr:col>
      <xdr:colOff>0</xdr:colOff>
      <xdr:row>86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2400300" y="1630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4</xdr:col>
      <xdr:colOff>235323</xdr:colOff>
      <xdr:row>82</xdr:row>
      <xdr:rowOff>0</xdr:rowOff>
    </xdr:from>
    <xdr:to>
      <xdr:col>6</xdr:col>
      <xdr:colOff>235323</xdr:colOff>
      <xdr:row>83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304925" y="1573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13</xdr:row>
      <xdr:rowOff>0</xdr:rowOff>
    </xdr:from>
    <xdr:to>
      <xdr:col>7</xdr:col>
      <xdr:colOff>0</xdr:colOff>
      <xdr:row>82</xdr:row>
      <xdr:rowOff>95250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111" idx="1"/>
          <a:endCxn id="85" idx="1"/>
        </xdr:cNvCxnSpPr>
      </xdr:nvCxnSpPr>
      <xdr:spPr>
        <a:xfrm rot="10800000" flipH="1">
          <a:off x="1304925" y="2590800"/>
          <a:ext cx="561975" cy="13239750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62</xdr:row>
      <xdr:rowOff>0</xdr:rowOff>
    </xdr:from>
    <xdr:to>
      <xdr:col>10</xdr:col>
      <xdr:colOff>1</xdr:colOff>
      <xdr:row>70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2667000" y="119253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70</xdr:row>
      <xdr:rowOff>0</xdr:rowOff>
    </xdr:from>
    <xdr:to>
      <xdr:col>13</xdr:col>
      <xdr:colOff>0</xdr:colOff>
      <xdr:row>75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1866900" y="13449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成功</a:t>
          </a: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11</xdr:col>
      <xdr:colOff>1</xdr:colOff>
      <xdr:row>76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2400300" y="1440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1</xdr:colOff>
      <xdr:row>72</xdr:row>
      <xdr:rowOff>0</xdr:rowOff>
    </xdr:from>
    <xdr:to>
      <xdr:col>16</xdr:col>
      <xdr:colOff>1</xdr:colOff>
      <xdr:row>73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3467100" y="13830300"/>
          <a:ext cx="8001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72</xdr:row>
      <xdr:rowOff>95250</xdr:rowOff>
    </xdr:from>
    <xdr:to>
      <xdr:col>16</xdr:col>
      <xdr:colOff>1</xdr:colOff>
      <xdr:row>91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4" idx="0"/>
        </xdr:cNvCxnSpPr>
      </xdr:nvCxnSpPr>
      <xdr:spPr>
        <a:xfrm flipH="1">
          <a:off x="2667000" y="13925550"/>
          <a:ext cx="1600200" cy="3524250"/>
        </a:xfrm>
        <a:prstGeom prst="bentConnector4">
          <a:avLst>
            <a:gd name="adj1" fmla="val -16190"/>
            <a:gd name="adj2" fmla="val 8950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0</xdr:rowOff>
    </xdr:from>
    <xdr:to>
      <xdr:col>10</xdr:col>
      <xdr:colOff>2402</xdr:colOff>
      <xdr:row>80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2667000" y="1459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58</xdr:row>
      <xdr:rowOff>0</xdr:rowOff>
    </xdr:from>
    <xdr:to>
      <xdr:col>62</xdr:col>
      <xdr:colOff>0</xdr:colOff>
      <xdr:row>62</xdr:row>
      <xdr:rowOff>0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11163300"/>
          <a:ext cx="7200900" cy="762000"/>
        </a:xfrm>
        <a:prstGeom prst="borderCallout1">
          <a:avLst>
            <a:gd name="adj1" fmla="val 50220"/>
            <a:gd name="adj2" fmla="val -58"/>
            <a:gd name="adj3" fmla="val 49890"/>
            <a:gd name="adj4" fmla="val -813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special_price_masterテーブルに特売売価情報を新規作成する。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▪挿入情報は[AP0107]シートの2.4 Request Bodyをご参照ください。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▪request bodyから渡されないフィールドは、NULLとして挿入する。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74</xdr:row>
      <xdr:rowOff>0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34500" y="13258800"/>
          <a:ext cx="7200900" cy="952500"/>
        </a:xfrm>
        <a:prstGeom prst="borderCallout1">
          <a:avLst>
            <a:gd name="adj1" fmla="val 39142"/>
            <a:gd name="adj2" fmla="val 118"/>
            <a:gd name="adj3" fmla="val 40672"/>
            <a:gd name="adj4" fmla="val -871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特売売価の新規作成・編集の状態を確認する。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▪成功した場合、[10. 配列の最後の要素であるかを確認する]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85</xdr:row>
      <xdr:rowOff>0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5544800"/>
          <a:ext cx="7200900" cy="762000"/>
        </a:xfrm>
        <a:prstGeom prst="borderCallout1">
          <a:avLst>
            <a:gd name="adj1" fmla="val 51201"/>
            <a:gd name="adj2" fmla="val -58"/>
            <a:gd name="adj3" fmla="val 48614"/>
            <a:gd name="adj4" fmla="val -84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画面から渡された特売売価データ配列の最後の要素であるかを確認する。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19</xdr:col>
      <xdr:colOff>0</xdr:colOff>
      <xdr:row>58</xdr:row>
      <xdr:rowOff>0</xdr:rowOff>
    </xdr:from>
    <xdr:to>
      <xdr:col>25</xdr:col>
      <xdr:colOff>0</xdr:colOff>
      <xdr:row>62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0673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特売売価情報編集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62</xdr:col>
      <xdr:colOff>0</xdr:colOff>
      <xdr:row>67</xdr:row>
      <xdr:rowOff>0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334500" y="12306300"/>
          <a:ext cx="7200900" cy="571500"/>
        </a:xfrm>
        <a:prstGeom prst="borderCallout1">
          <a:avLst>
            <a:gd name="adj1" fmla="val 34044"/>
            <a:gd name="adj2" fmla="val 295"/>
            <a:gd name="adj3" fmla="val -99130"/>
            <a:gd name="adj4" fmla="val -371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special_price_masterテーブルの特売売価情報を編集する。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▪更新情報は[AP0107]シートの[2.4 Request Body]をご参照ください。</a:t>
          </a:r>
        </a:p>
      </xdr:txBody>
    </xdr:sp>
    <xdr:clientData/>
  </xdr:twoCellAnchor>
  <xdr:twoCellAnchor>
    <xdr:from>
      <xdr:col>10</xdr:col>
      <xdr:colOff>1</xdr:colOff>
      <xdr:row>62</xdr:row>
      <xdr:rowOff>0</xdr:rowOff>
    </xdr:from>
    <xdr:to>
      <xdr:col>22</xdr:col>
      <xdr:colOff>0</xdr:colOff>
      <xdr:row>70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5" idx="2"/>
          <a:endCxn id="151" idx="0"/>
        </xdr:cNvCxnSpPr>
      </xdr:nvCxnSpPr>
      <xdr:spPr>
        <a:xfrm rot="5400000">
          <a:off x="2667000" y="11925300"/>
          <a:ext cx="32004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0</xdr:colOff>
      <xdr:row>22</xdr:row>
      <xdr:rowOff>0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業務バリデーションチェック </a:t>
          </a:r>
        </a:p>
      </xdr:txBody>
    </xdr:sp>
    <xdr:clientData/>
  </xdr:twoCellAnchor>
  <xdr:twoCellAnchor>
    <xdr:from>
      <xdr:col>35</xdr:col>
      <xdr:colOff>0</xdr:colOff>
      <xdr:row>17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3352800"/>
          <a:ext cx="7200900" cy="1524000"/>
        </a:xfrm>
        <a:prstGeom prst="borderCallout1">
          <a:avLst>
            <a:gd name="adj1" fmla="val 37426"/>
            <a:gd name="adj2" fmla="val -59"/>
            <a:gd name="adj3" fmla="val 37046"/>
            <a:gd name="adj4" fmla="val -81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 特売売価の適用日が、以下の条件に基づいて、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M_STORE_PROMOTION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テーブルの対象プロモーションの適用期間内であることをバリデーションチェックする。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▪ M_STORE_PROMOTION.PROMO_PLAN_CODE = param {promotion_code}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M_STORE_PROMOTION.PROMO_BEGIN_DATE &lt;= param {start_date}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M_STORE_PROMOTION.PROMO_END_DATE &gt;= param {end_date}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M_STORE_PROMOTION.PROMO_BEGIN_TIME &lt;= param {start_time}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M_STORE_PROMOTION.PROMO_END_TIME &gt;= param {end_time}</a:t>
          </a: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13</xdr:col>
      <xdr:colOff>0</xdr:colOff>
      <xdr:row>33</xdr:row>
      <xdr:rowOff>0</xdr:rowOff>
    </xdr:to>
    <xdr:sp macro="" textlink="" fLocksText="0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8669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11</xdr:col>
      <xdr:colOff>0</xdr:colOff>
      <xdr:row>34</xdr:row>
      <xdr:rowOff>0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4003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1</xdr:colOff>
      <xdr:row>22</xdr:row>
      <xdr:rowOff>0</xdr:rowOff>
    </xdr:from>
    <xdr:to>
      <xdr:col>10</xdr:col>
      <xdr:colOff>1</xdr:colOff>
      <xdr:row>28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9" idx="2"/>
          <a:endCxn id="12" idx="0"/>
        </xdr:cNvCxnSpPr>
      </xdr:nvCxnSpPr>
      <xdr:spPr>
        <a:xfrm>
          <a:off x="2667000" y="4305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34</xdr:row>
      <xdr:rowOff>0</xdr:rowOff>
    </xdr:from>
    <xdr:to>
      <xdr:col>10</xdr:col>
      <xdr:colOff>1</xdr:colOff>
      <xdr:row>38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5" idx="2"/>
        </xdr:cNvCxnSpPr>
      </xdr:nvCxnSpPr>
      <xdr:spPr>
        <a:xfrm>
          <a:off x="2667000" y="659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32" name="吹き出し: 線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33750"/>
            <a:gd name="adj2" fmla="val 293"/>
            <a:gd name="adj3" fmla="val 33614"/>
            <a:gd name="adj4" fmla="val -89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ステップ2から返された結果を確認する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▪「true」が返された場合：[4. レコードが新規作成か更新かを確認]のステップを実行する。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▪「false」が返された場合：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・エラーレコードの位置を返す（メッセージ：MSG_VAL_041）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・[10. 配列の最後の要素であるかを確認する]のステップを実行する。</a:t>
          </a:r>
        </a:p>
      </xdr:txBody>
    </xdr:sp>
    <xdr:clientData/>
  </xdr:twoCellAnchor>
  <xdr:twoCellAnchor>
    <xdr:from>
      <xdr:col>10</xdr:col>
      <xdr:colOff>2402</xdr:colOff>
      <xdr:row>30</xdr:row>
      <xdr:rowOff>95250</xdr:rowOff>
    </xdr:from>
    <xdr:to>
      <xdr:col>14</xdr:col>
      <xdr:colOff>235323</xdr:colOff>
      <xdr:row>80</xdr:row>
      <xdr:rowOff>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46" idx="3"/>
          <a:endCxn id="109" idx="0"/>
        </xdr:cNvCxnSpPr>
      </xdr:nvCxnSpPr>
      <xdr:spPr>
        <a:xfrm flipH="1">
          <a:off x="2667000" y="5924550"/>
          <a:ext cx="1304925" cy="9429750"/>
        </a:xfrm>
        <a:prstGeom prst="bentConnector4">
          <a:avLst>
            <a:gd name="adj1" fmla="val -239918"/>
            <a:gd name="adj2" fmla="val 9669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235323</xdr:colOff>
      <xdr:row>31</xdr:row>
      <xdr:rowOff>0</xdr:rowOff>
    </xdr:to>
    <xdr:sp macro="" textlink="" fLocksText="0">
      <xdr:nvSpPr>
        <xdr:cNvPr id="46" name="Flowchart: Process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3467100" y="5829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13</xdr:col>
      <xdr:colOff>0</xdr:colOff>
      <xdr:row>42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866900" y="735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業務キーセットに基づいてバリデーションチェックを行う。</a:t>
          </a:r>
        </a:p>
      </xdr:txBody>
    </xdr:sp>
    <xdr:clientData/>
  </xdr:twoCellAnchor>
  <xdr:twoCellAnchor>
    <xdr:from>
      <xdr:col>10</xdr:col>
      <xdr:colOff>1</xdr:colOff>
      <xdr:row>42</xdr:row>
      <xdr:rowOff>0</xdr:rowOff>
    </xdr:from>
    <xdr:to>
      <xdr:col>10</xdr:col>
      <xdr:colOff>1</xdr:colOff>
      <xdr:row>49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8" idx="2"/>
          <a:endCxn id="71" idx="0"/>
        </xdr:cNvCxnSpPr>
      </xdr:nvCxnSpPr>
      <xdr:spPr>
        <a:xfrm>
          <a:off x="2667000" y="8115300"/>
          <a:ext cx="0" cy="1333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0</xdr:rowOff>
    </xdr:from>
    <xdr:to>
      <xdr:col>11</xdr:col>
      <xdr:colOff>0</xdr:colOff>
      <xdr:row>55</xdr:row>
      <xdr:rowOff>0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400300" y="1040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51</xdr:row>
      <xdr:rowOff>0</xdr:rowOff>
    </xdr:from>
    <xdr:to>
      <xdr:col>14</xdr:col>
      <xdr:colOff>235323</xdr:colOff>
      <xdr:row>52</xdr:row>
      <xdr:rowOff>0</xdr:rowOff>
    </xdr:to>
    <xdr:sp macro="" textlink="" fLocksText="0">
      <xdr:nvSpPr>
        <xdr:cNvPr id="31" name="Flowchart: Process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3467100" y="98298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10</xdr:col>
      <xdr:colOff>1</xdr:colOff>
      <xdr:row>55</xdr:row>
      <xdr:rowOff>0</xdr:rowOff>
    </xdr:from>
    <xdr:to>
      <xdr:col>10</xdr:col>
      <xdr:colOff>1</xdr:colOff>
      <xdr:row>58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30" idx="2"/>
          <a:endCxn id="43" idx="0"/>
        </xdr:cNvCxnSpPr>
      </xdr:nvCxnSpPr>
      <xdr:spPr>
        <a:xfrm>
          <a:off x="2667000" y="1059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235323</xdr:colOff>
      <xdr:row>51</xdr:row>
      <xdr:rowOff>95250</xdr:rowOff>
    </xdr:from>
    <xdr:to>
      <xdr:col>22</xdr:col>
      <xdr:colOff>0</xdr:colOff>
      <xdr:row>58</xdr:row>
      <xdr:rowOff>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1" idx="3"/>
          <a:endCxn id="5" idx="0"/>
        </xdr:cNvCxnSpPr>
      </xdr:nvCxnSpPr>
      <xdr:spPr>
        <a:xfrm>
          <a:off x="3971925" y="9925050"/>
          <a:ext cx="1895475" cy="123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53</xdr:row>
      <xdr:rowOff>0</xdr:rowOff>
    </xdr:to>
    <xdr:sp macro="" textlink="" fLocksText="0">
      <xdr:nvSpPr>
        <xdr:cNvPr id="40" name="吹き出し: 線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334500" y="9448800"/>
          <a:ext cx="7200900" cy="762000"/>
        </a:xfrm>
        <a:prstGeom prst="borderCallout1">
          <a:avLst>
            <a:gd name="adj1" fmla="val 49926"/>
            <a:gd name="adj2" fmla="val -59"/>
            <a:gd name="adj3" fmla="val 50281"/>
            <a:gd name="adj4" fmla="val -841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5. ステップ3から返された結果を確認する。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 レコードが存在していない場合、特売売価を新規作成する。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レコードが存在している場合、特売売価を更新する。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7" customWidth="1"/>
    <col min="61" max="16384" width="2.77734375" style="187"/>
  </cols>
  <sheetData>
    <row r="1" spans="1:63" ht="24.95" customHeight="1" x14ac:dyDescent="0.25">
      <c r="A1" s="181" t="s">
        <v>64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65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">
        <v>66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75" t="s">
        <v>72</v>
      </c>
      <c r="B2" s="188"/>
      <c r="C2" s="188"/>
      <c r="D2" s="188"/>
      <c r="E2" s="188"/>
      <c r="F2" s="188"/>
      <c r="G2" s="188"/>
      <c r="H2" s="188"/>
      <c r="I2" s="188"/>
      <c r="J2" s="189"/>
      <c r="K2" s="190" t="s">
        <v>13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9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90" t="str">
        <f>改訂履歴!$H$11</f>
        <v>TuyenNH</v>
      </c>
      <c r="AQ2" s="188"/>
      <c r="AR2" s="188"/>
      <c r="AS2" s="189"/>
      <c r="AT2" s="194">
        <f>改訂履歴!$B$11</f>
        <v>45544</v>
      </c>
      <c r="AU2" s="195"/>
      <c r="AV2" s="195"/>
      <c r="AW2" s="195"/>
      <c r="AX2" s="196"/>
      <c r="AY2" s="190" t="str">
        <f>LOOKUP(2,1/(改訂履歴!H11:H30000&lt;&gt;""),改訂履歴!H11:H30000)</f>
        <v>TuyenNH</v>
      </c>
      <c r="AZ2" s="188"/>
      <c r="BA2" s="188"/>
      <c r="BB2" s="189"/>
      <c r="BC2" s="194">
        <f>LOOKUP(2,1/(改訂履歴!B11:B30000&lt;&gt;""),改訂履歴!B11:B30000)</f>
        <v>45596</v>
      </c>
      <c r="BD2" s="195"/>
      <c r="BE2" s="195"/>
      <c r="BF2" s="195"/>
      <c r="BG2" s="196"/>
      <c r="BH2" s="197">
        <f>LOOKUP(2,1/(改訂履歴!O11:O30000&lt;&gt;""),改訂履歴!O11:O30000)</f>
        <v>0.11</v>
      </c>
      <c r="BI2" s="198"/>
      <c r="BJ2" s="198"/>
      <c r="BK2" s="199"/>
    </row>
    <row r="3" spans="1:63" ht="15" customHeight="1" x14ac:dyDescent="0.25">
      <c r="A3" s="200"/>
      <c r="B3" s="201"/>
      <c r="C3" s="201"/>
      <c r="D3" s="201"/>
      <c r="E3" s="201"/>
      <c r="F3" s="201"/>
      <c r="G3" s="201"/>
      <c r="H3" s="201"/>
      <c r="I3" s="201"/>
      <c r="J3" s="202"/>
      <c r="K3" s="200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9"/>
      <c r="BI3" s="210"/>
      <c r="BJ3" s="210"/>
      <c r="BK3" s="211"/>
    </row>
    <row r="4" spans="1:63" ht="24.95" customHeight="1" x14ac:dyDescent="0.25">
      <c r="A4" s="181" t="s">
        <v>73</v>
      </c>
      <c r="B4" s="182"/>
      <c r="C4" s="182"/>
      <c r="D4" s="182"/>
      <c r="E4" s="182"/>
      <c r="F4" s="182"/>
      <c r="G4" s="183"/>
      <c r="H4" s="212" t="s">
        <v>55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181" t="s">
        <v>74</v>
      </c>
      <c r="V4" s="182"/>
      <c r="W4" s="182"/>
      <c r="X4" s="182"/>
      <c r="Y4" s="183"/>
      <c r="Z4" s="68" t="s">
        <v>75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表紙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 x14ac:dyDescent="0.25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7"/>
    </row>
    <row r="6" spans="1:63" ht="15" customHeight="1" x14ac:dyDescent="0.25">
      <c r="A6" s="218"/>
      <c r="BK6" s="219"/>
    </row>
    <row r="7" spans="1:63" ht="15" customHeight="1" x14ac:dyDescent="0.25">
      <c r="A7" s="218"/>
      <c r="BK7" s="219"/>
    </row>
    <row r="8" spans="1:63" ht="15" customHeight="1" x14ac:dyDescent="0.25">
      <c r="A8" s="218"/>
      <c r="BK8" s="219"/>
    </row>
    <row r="9" spans="1:63" ht="15" customHeight="1" x14ac:dyDescent="0.25">
      <c r="A9" s="218"/>
      <c r="BK9" s="219"/>
    </row>
    <row r="10" spans="1:63" ht="15" customHeight="1" x14ac:dyDescent="0.25">
      <c r="A10" s="218"/>
      <c r="BK10" s="219"/>
    </row>
    <row r="11" spans="1:63" ht="15" customHeight="1" x14ac:dyDescent="0.25">
      <c r="A11" s="218"/>
      <c r="BK11" s="219"/>
    </row>
    <row r="12" spans="1:63" ht="15" customHeight="1" x14ac:dyDescent="0.25">
      <c r="A12" s="218"/>
      <c r="BK12" s="219"/>
    </row>
    <row r="13" spans="1:63" ht="15" customHeight="1" x14ac:dyDescent="0.25">
      <c r="A13" s="218"/>
      <c r="BK13" s="219"/>
    </row>
    <row r="14" spans="1:63" ht="15" customHeight="1" thickBot="1" x14ac:dyDescent="0.3">
      <c r="A14" s="218"/>
      <c r="BK14" s="219"/>
    </row>
    <row r="15" spans="1:63" ht="15" customHeight="1" thickTop="1" x14ac:dyDescent="0.25">
      <c r="A15" s="218"/>
      <c r="K15" s="220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2"/>
      <c r="BK15" s="219"/>
    </row>
    <row r="16" spans="1:63" ht="15" customHeight="1" x14ac:dyDescent="0.25">
      <c r="A16" s="218"/>
      <c r="K16" s="223"/>
      <c r="L16" s="224" t="s">
        <v>76</v>
      </c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5"/>
      <c r="BA16" s="226"/>
      <c r="BK16" s="219"/>
    </row>
    <row r="17" spans="1:63" ht="15" customHeight="1" x14ac:dyDescent="0.25">
      <c r="A17" s="218"/>
      <c r="K17" s="223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6"/>
      <c r="BK17" s="219"/>
    </row>
    <row r="18" spans="1:63" ht="15" customHeight="1" x14ac:dyDescent="0.25">
      <c r="A18" s="218"/>
      <c r="K18" s="223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6"/>
      <c r="BK18" s="219"/>
    </row>
    <row r="19" spans="1:63" ht="15" customHeight="1" x14ac:dyDescent="0.25">
      <c r="A19" s="218"/>
      <c r="K19" s="223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6"/>
      <c r="BK19" s="219"/>
    </row>
    <row r="20" spans="1:63" ht="15" customHeight="1" x14ac:dyDescent="0.25">
      <c r="A20" s="218"/>
      <c r="K20" s="223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6"/>
      <c r="BK20" s="219"/>
    </row>
    <row r="21" spans="1:63" ht="15" customHeight="1" x14ac:dyDescent="0.25">
      <c r="A21" s="218"/>
      <c r="K21" s="223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6"/>
      <c r="BK21" s="219"/>
    </row>
    <row r="22" spans="1:63" ht="15" customHeight="1" thickBot="1" x14ac:dyDescent="0.3">
      <c r="A22" s="218"/>
      <c r="K22" s="223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7"/>
      <c r="AX22" s="227"/>
      <c r="AY22" s="227"/>
      <c r="AZ22" s="227"/>
      <c r="BA22" s="226"/>
      <c r="BK22" s="219"/>
    </row>
    <row r="23" spans="1:63" ht="15" customHeight="1" x14ac:dyDescent="0.25">
      <c r="A23" s="218"/>
      <c r="K23" s="223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226"/>
      <c r="BK23" s="219"/>
    </row>
    <row r="24" spans="1:63" ht="15" customHeight="1" x14ac:dyDescent="0.25">
      <c r="A24" s="218"/>
      <c r="K24" s="223"/>
      <c r="L24" s="225" t="str">
        <f>K2&amp;"/"&amp;H4&amp;"/"&amp;Z4</f>
        <v>POSサーバ/AP0107/API設計書</v>
      </c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6"/>
      <c r="BK24" s="219"/>
    </row>
    <row r="25" spans="1:63" ht="15" customHeight="1" x14ac:dyDescent="0.25">
      <c r="A25" s="218"/>
      <c r="K25" s="223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6"/>
      <c r="BK25" s="219"/>
    </row>
    <row r="26" spans="1:63" ht="15" customHeight="1" x14ac:dyDescent="0.25">
      <c r="A26" s="218"/>
      <c r="K26" s="223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6"/>
      <c r="BK26" s="219"/>
    </row>
    <row r="27" spans="1:63" ht="15" customHeight="1" x14ac:dyDescent="0.25">
      <c r="A27" s="218"/>
      <c r="K27" s="223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6"/>
      <c r="BK27" s="219"/>
    </row>
    <row r="28" spans="1:63" ht="15" customHeight="1" x14ac:dyDescent="0.25">
      <c r="A28" s="218"/>
      <c r="K28" s="223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6"/>
      <c r="BK28" s="219"/>
    </row>
    <row r="29" spans="1:63" ht="15" customHeight="1" x14ac:dyDescent="0.25">
      <c r="A29" s="218"/>
      <c r="K29" s="223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6"/>
      <c r="BK29" s="219"/>
    </row>
    <row r="30" spans="1:63" ht="15" customHeight="1" x14ac:dyDescent="0.25">
      <c r="A30" s="218"/>
      <c r="K30" s="223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6"/>
      <c r="BK30" s="219"/>
    </row>
    <row r="31" spans="1:63" ht="15" customHeight="1" x14ac:dyDescent="0.25">
      <c r="A31" s="218"/>
      <c r="K31" s="223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6"/>
      <c r="BK31" s="219"/>
    </row>
    <row r="32" spans="1:63" ht="15" customHeight="1" x14ac:dyDescent="0.25">
      <c r="A32" s="218"/>
      <c r="K32" s="223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6"/>
      <c r="BK32" s="219"/>
    </row>
    <row r="33" spans="1:63" ht="15" customHeight="1" x14ac:dyDescent="0.25">
      <c r="A33" s="218"/>
      <c r="K33" s="223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6"/>
      <c r="BK33" s="219"/>
    </row>
    <row r="34" spans="1:63" ht="15" customHeight="1" x14ac:dyDescent="0.25">
      <c r="A34" s="218"/>
      <c r="K34" s="223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6"/>
      <c r="BK34" s="219"/>
    </row>
    <row r="35" spans="1:63" ht="15" customHeight="1" x14ac:dyDescent="0.25">
      <c r="A35" s="218"/>
      <c r="K35" s="223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6"/>
      <c r="BK35" s="219"/>
    </row>
    <row r="36" spans="1:63" ht="15" customHeight="1" x14ac:dyDescent="0.25">
      <c r="A36" s="218"/>
      <c r="K36" s="223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6"/>
      <c r="BK36" s="219"/>
    </row>
    <row r="37" spans="1:63" ht="15" customHeight="1" thickBot="1" x14ac:dyDescent="0.3">
      <c r="A37" s="218"/>
      <c r="K37" s="229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1"/>
      <c r="BK37" s="219"/>
    </row>
    <row r="38" spans="1:63" ht="15" customHeight="1" thickTop="1" x14ac:dyDescent="0.25">
      <c r="A38" s="218"/>
      <c r="BK38" s="219"/>
    </row>
    <row r="39" spans="1:63" ht="15" customHeight="1" x14ac:dyDescent="0.25">
      <c r="A39" s="218"/>
      <c r="BK39" s="219"/>
    </row>
    <row r="40" spans="1:63" ht="15" customHeight="1" x14ac:dyDescent="0.25">
      <c r="A40" s="218"/>
      <c r="BK40" s="219"/>
    </row>
    <row r="41" spans="1:63" ht="15" customHeight="1" x14ac:dyDescent="0.25">
      <c r="A41" s="218"/>
      <c r="BK41" s="219"/>
    </row>
    <row r="42" spans="1:63" ht="15" customHeight="1" x14ac:dyDescent="0.25">
      <c r="A42" s="218"/>
      <c r="BK42" s="219"/>
    </row>
    <row r="43" spans="1:63" ht="15" customHeight="1" x14ac:dyDescent="0.25">
      <c r="A43" s="218"/>
      <c r="BK43" s="219"/>
    </row>
    <row r="44" spans="1:63" ht="15" customHeight="1" x14ac:dyDescent="0.25">
      <c r="A44" s="218"/>
      <c r="Q44" s="232" t="s">
        <v>77</v>
      </c>
      <c r="R44" s="233"/>
      <c r="S44" s="233"/>
      <c r="T44" s="233"/>
      <c r="U44" s="233"/>
      <c r="V44" s="233"/>
      <c r="W44" s="233"/>
      <c r="X44" s="233"/>
      <c r="Y44" s="233"/>
      <c r="Z44" s="234"/>
      <c r="AA44" s="232" t="s">
        <v>78</v>
      </c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4"/>
      <c r="AQ44" s="232" t="s">
        <v>71</v>
      </c>
      <c r="AR44" s="233"/>
      <c r="AS44" s="233"/>
      <c r="AT44" s="233"/>
      <c r="AU44" s="234"/>
      <c r="BK44" s="219"/>
    </row>
    <row r="45" spans="1:63" ht="15" customHeight="1" x14ac:dyDescent="0.25">
      <c r="A45" s="218"/>
      <c r="Q45" s="235"/>
      <c r="R45" s="236"/>
      <c r="S45" s="236"/>
      <c r="T45" s="236"/>
      <c r="U45" s="236"/>
      <c r="V45" s="236"/>
      <c r="W45" s="236"/>
      <c r="X45" s="236"/>
      <c r="Y45" s="236"/>
      <c r="Z45" s="237"/>
      <c r="AA45" s="235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7"/>
      <c r="AQ45" s="235"/>
      <c r="AR45" s="236"/>
      <c r="AS45" s="236"/>
      <c r="AT45" s="236"/>
      <c r="AU45" s="237"/>
      <c r="BK45" s="219"/>
    </row>
    <row r="46" spans="1:63" ht="15" customHeight="1" x14ac:dyDescent="0.25">
      <c r="A46" s="218"/>
      <c r="Q46" s="190"/>
      <c r="R46" s="188"/>
      <c r="S46" s="188"/>
      <c r="T46" s="188"/>
      <c r="U46" s="188"/>
      <c r="V46" s="188"/>
      <c r="W46" s="188"/>
      <c r="X46" s="188"/>
      <c r="Y46" s="188"/>
      <c r="Z46" s="189"/>
      <c r="AA46" s="190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9"/>
      <c r="AQ46" s="190"/>
      <c r="AR46" s="188"/>
      <c r="AS46" s="188"/>
      <c r="AT46" s="188"/>
      <c r="AU46" s="189"/>
      <c r="BK46" s="219"/>
    </row>
    <row r="47" spans="1:63" ht="15" customHeight="1" x14ac:dyDescent="0.25">
      <c r="A47" s="218"/>
      <c r="Q47" s="238"/>
      <c r="R47" s="239"/>
      <c r="S47" s="239"/>
      <c r="T47" s="239"/>
      <c r="U47" s="239"/>
      <c r="V47" s="239"/>
      <c r="W47" s="239"/>
      <c r="X47" s="239"/>
      <c r="Y47" s="239"/>
      <c r="Z47" s="240"/>
      <c r="AA47" s="238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40"/>
      <c r="AQ47" s="238"/>
      <c r="AR47" s="239"/>
      <c r="AS47" s="239"/>
      <c r="AT47" s="239"/>
      <c r="AU47" s="240"/>
      <c r="BK47" s="219"/>
    </row>
    <row r="48" spans="1:63" ht="15" customHeight="1" x14ac:dyDescent="0.25">
      <c r="A48" s="218"/>
      <c r="Q48" s="238"/>
      <c r="R48" s="239"/>
      <c r="S48" s="239"/>
      <c r="T48" s="239"/>
      <c r="U48" s="239"/>
      <c r="V48" s="239"/>
      <c r="W48" s="239"/>
      <c r="X48" s="239"/>
      <c r="Y48" s="239"/>
      <c r="Z48" s="240"/>
      <c r="AA48" s="238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40"/>
      <c r="AQ48" s="238"/>
      <c r="AR48" s="239"/>
      <c r="AS48" s="239"/>
      <c r="AT48" s="239"/>
      <c r="AU48" s="240"/>
      <c r="BK48" s="219"/>
    </row>
    <row r="49" spans="1:63" ht="15" customHeight="1" x14ac:dyDescent="0.25">
      <c r="A49" s="218"/>
      <c r="Q49" s="200"/>
      <c r="R49" s="201"/>
      <c r="S49" s="201"/>
      <c r="T49" s="201"/>
      <c r="U49" s="201"/>
      <c r="V49" s="201"/>
      <c r="W49" s="201"/>
      <c r="X49" s="201"/>
      <c r="Y49" s="201"/>
      <c r="Z49" s="202"/>
      <c r="AA49" s="200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2"/>
      <c r="AQ49" s="200"/>
      <c r="AR49" s="201"/>
      <c r="AS49" s="201"/>
      <c r="AT49" s="201"/>
      <c r="AU49" s="202"/>
      <c r="BK49" s="219"/>
    </row>
    <row r="50" spans="1:63" ht="15" customHeight="1" x14ac:dyDescent="0.25">
      <c r="A50" s="218"/>
      <c r="BK50" s="219"/>
    </row>
    <row r="51" spans="1:63" ht="15" customHeight="1" x14ac:dyDescent="0.25">
      <c r="A51" s="218"/>
      <c r="BK51" s="219"/>
    </row>
    <row r="52" spans="1:63" ht="15" customHeight="1" x14ac:dyDescent="0.25">
      <c r="A52" s="218"/>
      <c r="BK52" s="219"/>
    </row>
    <row r="53" spans="1:63" ht="15" customHeight="1" x14ac:dyDescent="0.25">
      <c r="A53" s="218"/>
      <c r="BK53" s="219"/>
    </row>
    <row r="54" spans="1:63" ht="15" customHeight="1" x14ac:dyDescent="0.25">
      <c r="A54" s="218"/>
      <c r="BK54" s="219"/>
    </row>
    <row r="55" spans="1:63" ht="15" customHeight="1" x14ac:dyDescent="0.25">
      <c r="A55" s="215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6"/>
      <c r="AT55" s="216"/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216"/>
      <c r="BK55" s="21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2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103" t="str">
        <f>IF(表紙!W1="","",表紙!W1)</f>
        <v>詳細設計書</v>
      </c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7"/>
      <c r="AP1" s="62" t="s">
        <v>3</v>
      </c>
      <c r="AQ1" s="63"/>
      <c r="AR1" s="63"/>
      <c r="AS1" s="64"/>
      <c r="AT1" s="62" t="s">
        <v>4</v>
      </c>
      <c r="AU1" s="63"/>
      <c r="AV1" s="63"/>
      <c r="AW1" s="63"/>
      <c r="AX1" s="64"/>
      <c r="AY1" s="62" t="s">
        <v>5</v>
      </c>
      <c r="AZ1" s="63"/>
      <c r="BA1" s="63"/>
      <c r="BB1" s="64"/>
      <c r="BC1" s="62" t="s">
        <v>6</v>
      </c>
      <c r="BD1" s="63"/>
      <c r="BE1" s="63"/>
      <c r="BF1" s="63"/>
      <c r="BG1" s="64"/>
      <c r="BH1" s="62" t="s">
        <v>7</v>
      </c>
      <c r="BI1" s="63"/>
      <c r="BJ1" s="63"/>
      <c r="BK1" s="64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78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80"/>
      <c r="AP2" s="6" t="str">
        <f>IF(表紙!AP2="","",表紙!AP2)</f>
        <v>TuyenNH</v>
      </c>
      <c r="AQ2" s="5"/>
      <c r="AR2" s="5"/>
      <c r="AS2" s="4"/>
      <c r="AT2" s="69">
        <f>IF(表紙!AT2="","",表紙!AT2)</f>
        <v>45544</v>
      </c>
      <c r="AU2" s="70"/>
      <c r="AV2" s="70"/>
      <c r="AW2" s="70"/>
      <c r="AX2" s="71"/>
      <c r="AY2" s="6" t="str">
        <f>IF(表紙!AY2="","",表紙!AY2)</f>
        <v>TuyenNH</v>
      </c>
      <c r="AZ2" s="5"/>
      <c r="BA2" s="5"/>
      <c r="BB2" s="4"/>
      <c r="BC2" s="69">
        <f>IF(表紙!BC2="","",表紙!BC2)</f>
        <v>45596</v>
      </c>
      <c r="BD2" s="70"/>
      <c r="BE2" s="70"/>
      <c r="BF2" s="70"/>
      <c r="BG2" s="71"/>
      <c r="BH2" s="6">
        <f>IF(表紙!BH2="","",表紙!BH2)</f>
        <v>0.11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3"/>
      <c r="AP3" s="3"/>
      <c r="AQ3" s="2"/>
      <c r="AR3" s="2"/>
      <c r="AS3" s="1"/>
      <c r="AT3" s="72"/>
      <c r="AU3" s="73"/>
      <c r="AV3" s="73"/>
      <c r="AW3" s="73"/>
      <c r="AX3" s="74"/>
      <c r="AY3" s="3"/>
      <c r="AZ3" s="2"/>
      <c r="BA3" s="2"/>
      <c r="BB3" s="1"/>
      <c r="BC3" s="72"/>
      <c r="BD3" s="73"/>
      <c r="BE3" s="73"/>
      <c r="BF3" s="73"/>
      <c r="BG3" s="74"/>
      <c r="BH3" s="3"/>
      <c r="BI3" s="2"/>
      <c r="BJ3" s="2"/>
      <c r="BK3" s="1"/>
    </row>
    <row r="4" spans="1:63" ht="24.95" customHeight="1" x14ac:dyDescent="0.25">
      <c r="A4" s="62" t="s">
        <v>1</v>
      </c>
      <c r="B4" s="63"/>
      <c r="C4" s="63"/>
      <c r="D4" s="63"/>
      <c r="E4" s="63"/>
      <c r="F4" s="63"/>
      <c r="G4" s="64"/>
      <c r="H4" s="65" t="str">
        <f>IF(表紙!H4="","",表紙!H4)</f>
        <v>AP0107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62" t="s">
        <v>8</v>
      </c>
      <c r="V4" s="63"/>
      <c r="W4" s="63"/>
      <c r="X4" s="63"/>
      <c r="Y4" s="64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5" t="str">
        <f t="array" aca="1" ref="AP4" ca="1">RIGHT(CELL("filename",$A$1),LEN(CELL("filename",$A$1))-FIND("]",CELL("filename",$A$1)))</f>
        <v>改訂履歴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96" t="s">
        <v>6</v>
      </c>
      <c r="C10" s="96"/>
      <c r="D10" s="96"/>
      <c r="E10" s="96"/>
      <c r="F10" s="96"/>
      <c r="G10" s="96"/>
      <c r="H10" s="96" t="s">
        <v>5</v>
      </c>
      <c r="I10" s="96"/>
      <c r="J10" s="96"/>
      <c r="K10" s="96"/>
      <c r="L10" s="96"/>
      <c r="M10" s="96"/>
      <c r="N10" s="96"/>
      <c r="O10" s="96" t="s">
        <v>7</v>
      </c>
      <c r="P10" s="96"/>
      <c r="Q10" s="96"/>
      <c r="R10" s="96"/>
      <c r="S10" s="96" t="s">
        <v>10</v>
      </c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 t="s">
        <v>11</v>
      </c>
      <c r="AY10" s="96"/>
      <c r="AZ10" s="96"/>
      <c r="BA10" s="96"/>
      <c r="BB10" s="96"/>
      <c r="BC10" s="96"/>
      <c r="BD10" s="96" t="s">
        <v>12</v>
      </c>
      <c r="BE10" s="96"/>
      <c r="BF10" s="96"/>
      <c r="BG10" s="96"/>
      <c r="BH10" s="96"/>
      <c r="BI10" s="96"/>
      <c r="BJ10" s="96"/>
      <c r="BK10" s="10"/>
    </row>
    <row r="11" spans="1:63" ht="15" customHeight="1" x14ac:dyDescent="0.25">
      <c r="A11" s="7"/>
      <c r="B11" s="69">
        <v>45544</v>
      </c>
      <c r="C11" s="5"/>
      <c r="D11" s="5"/>
      <c r="E11" s="5"/>
      <c r="F11" s="5"/>
      <c r="G11" s="4"/>
      <c r="H11" s="75" t="s">
        <v>62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84" t="s">
        <v>14</v>
      </c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6"/>
      <c r="AX11" s="87"/>
      <c r="AY11" s="87"/>
      <c r="AZ11" s="87"/>
      <c r="BA11" s="87"/>
      <c r="BB11" s="87"/>
      <c r="BC11" s="88"/>
      <c r="BD11" s="91"/>
      <c r="BE11" s="87"/>
      <c r="BF11" s="87"/>
      <c r="BG11" s="87"/>
      <c r="BH11" s="87"/>
      <c r="BI11" s="87"/>
      <c r="BJ11" s="88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93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5"/>
      <c r="AX12" s="89"/>
      <c r="AY12" s="89"/>
      <c r="AZ12" s="89"/>
      <c r="BA12" s="89"/>
      <c r="BB12" s="89"/>
      <c r="BC12" s="90"/>
      <c r="BD12" s="92"/>
      <c r="BE12" s="89"/>
      <c r="BF12" s="89"/>
      <c r="BG12" s="89"/>
      <c r="BH12" s="89"/>
      <c r="BI12" s="89"/>
      <c r="BJ12" s="90"/>
      <c r="BK12" s="10"/>
    </row>
    <row r="13" spans="1:63" ht="19.5" customHeight="1" x14ac:dyDescent="0.25">
      <c r="A13" s="7"/>
      <c r="B13" s="241">
        <v>45596</v>
      </c>
      <c r="C13" s="242"/>
      <c r="D13" s="242"/>
      <c r="E13" s="242"/>
      <c r="F13" s="242"/>
      <c r="G13" s="243"/>
      <c r="H13" s="244" t="s">
        <v>81</v>
      </c>
      <c r="I13" s="242"/>
      <c r="J13" s="242"/>
      <c r="K13" s="242"/>
      <c r="L13" s="242"/>
      <c r="M13" s="242"/>
      <c r="N13" s="243"/>
      <c r="O13" s="244">
        <v>0.11</v>
      </c>
      <c r="P13" s="242"/>
      <c r="Q13" s="242"/>
      <c r="R13" s="242"/>
      <c r="S13" s="245" t="s">
        <v>79</v>
      </c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7"/>
      <c r="AX13" s="98"/>
      <c r="AY13" s="98"/>
      <c r="AZ13" s="98"/>
      <c r="BA13" s="98"/>
      <c r="BB13" s="98"/>
      <c r="BC13" s="99"/>
      <c r="BD13" s="97"/>
      <c r="BE13" s="98"/>
      <c r="BF13" s="98"/>
      <c r="BG13" s="98"/>
      <c r="BH13" s="98"/>
      <c r="BI13" s="98"/>
      <c r="BJ13" s="99"/>
      <c r="BK13" s="10"/>
    </row>
    <row r="14" spans="1:63" ht="104.25" customHeight="1" x14ac:dyDescent="0.25">
      <c r="A14" s="7"/>
      <c r="B14" s="248"/>
      <c r="C14" s="249"/>
      <c r="D14" s="249"/>
      <c r="E14" s="249"/>
      <c r="F14" s="249"/>
      <c r="G14" s="250"/>
      <c r="H14" s="248"/>
      <c r="I14" s="249"/>
      <c r="J14" s="249"/>
      <c r="K14" s="249"/>
      <c r="L14" s="249"/>
      <c r="M14" s="249"/>
      <c r="N14" s="250"/>
      <c r="O14" s="248"/>
      <c r="P14" s="249"/>
      <c r="Q14" s="249"/>
      <c r="R14" s="249"/>
      <c r="S14" s="251" t="s">
        <v>80</v>
      </c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3"/>
      <c r="AX14" s="101"/>
      <c r="AY14" s="101"/>
      <c r="AZ14" s="101"/>
      <c r="BA14" s="101"/>
      <c r="BB14" s="101"/>
      <c r="BC14" s="102"/>
      <c r="BD14" s="100"/>
      <c r="BE14" s="101"/>
      <c r="BF14" s="101"/>
      <c r="BG14" s="101"/>
      <c r="BH14" s="101"/>
      <c r="BI14" s="101"/>
      <c r="BJ14" s="102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84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6"/>
      <c r="AX15" s="87"/>
      <c r="AY15" s="87"/>
      <c r="AZ15" s="87"/>
      <c r="BA15" s="87"/>
      <c r="BB15" s="87"/>
      <c r="BC15" s="88"/>
      <c r="BD15" s="91"/>
      <c r="BE15" s="87"/>
      <c r="BF15" s="87"/>
      <c r="BG15" s="87"/>
      <c r="BH15" s="87"/>
      <c r="BI15" s="87"/>
      <c r="BJ15" s="88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93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5"/>
      <c r="AX16" s="89"/>
      <c r="AY16" s="89"/>
      <c r="AZ16" s="89"/>
      <c r="BA16" s="89"/>
      <c r="BB16" s="89"/>
      <c r="BC16" s="90"/>
      <c r="BD16" s="92"/>
      <c r="BE16" s="89"/>
      <c r="BF16" s="89"/>
      <c r="BG16" s="89"/>
      <c r="BH16" s="89"/>
      <c r="BI16" s="89"/>
      <c r="BJ16" s="90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84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6"/>
      <c r="AX17" s="87"/>
      <c r="AY17" s="87"/>
      <c r="AZ17" s="87"/>
      <c r="BA17" s="87"/>
      <c r="BB17" s="87"/>
      <c r="BC17" s="88"/>
      <c r="BD17" s="91"/>
      <c r="BE17" s="87"/>
      <c r="BF17" s="87"/>
      <c r="BG17" s="87"/>
      <c r="BH17" s="87"/>
      <c r="BI17" s="87"/>
      <c r="BJ17" s="88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93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5"/>
      <c r="AX18" s="89"/>
      <c r="AY18" s="89"/>
      <c r="AZ18" s="89"/>
      <c r="BA18" s="89"/>
      <c r="BB18" s="89"/>
      <c r="BC18" s="90"/>
      <c r="BD18" s="92"/>
      <c r="BE18" s="89"/>
      <c r="BF18" s="89"/>
      <c r="BG18" s="89"/>
      <c r="BH18" s="89"/>
      <c r="BI18" s="89"/>
      <c r="BJ18" s="90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84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6"/>
      <c r="AX19" s="87"/>
      <c r="AY19" s="87"/>
      <c r="AZ19" s="87"/>
      <c r="BA19" s="87"/>
      <c r="BB19" s="87"/>
      <c r="BC19" s="88"/>
      <c r="BD19" s="91"/>
      <c r="BE19" s="87"/>
      <c r="BF19" s="87"/>
      <c r="BG19" s="87"/>
      <c r="BH19" s="87"/>
      <c r="BI19" s="87"/>
      <c r="BJ19" s="88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93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5"/>
      <c r="AX20" s="89"/>
      <c r="AY20" s="89"/>
      <c r="AZ20" s="89"/>
      <c r="BA20" s="89"/>
      <c r="BB20" s="89"/>
      <c r="BC20" s="90"/>
      <c r="BD20" s="92"/>
      <c r="BE20" s="89"/>
      <c r="BF20" s="89"/>
      <c r="BG20" s="89"/>
      <c r="BH20" s="89"/>
      <c r="BI20" s="89"/>
      <c r="BJ20" s="90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84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6"/>
      <c r="AX21" s="87"/>
      <c r="AY21" s="87"/>
      <c r="AZ21" s="87"/>
      <c r="BA21" s="87"/>
      <c r="BB21" s="87"/>
      <c r="BC21" s="88"/>
      <c r="BD21" s="91"/>
      <c r="BE21" s="87"/>
      <c r="BF21" s="87"/>
      <c r="BG21" s="87"/>
      <c r="BH21" s="87"/>
      <c r="BI21" s="87"/>
      <c r="BJ21" s="88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93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5"/>
      <c r="AX22" s="89"/>
      <c r="AY22" s="89"/>
      <c r="AZ22" s="89"/>
      <c r="BA22" s="89"/>
      <c r="BB22" s="89"/>
      <c r="BC22" s="90"/>
      <c r="BD22" s="92"/>
      <c r="BE22" s="89"/>
      <c r="BF22" s="89"/>
      <c r="BG22" s="89"/>
      <c r="BH22" s="89"/>
      <c r="BI22" s="89"/>
      <c r="BJ22" s="90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84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6"/>
      <c r="AX23" s="87"/>
      <c r="AY23" s="87"/>
      <c r="AZ23" s="87"/>
      <c r="BA23" s="87"/>
      <c r="BB23" s="87"/>
      <c r="BC23" s="88"/>
      <c r="BD23" s="91"/>
      <c r="BE23" s="87"/>
      <c r="BF23" s="87"/>
      <c r="BG23" s="87"/>
      <c r="BH23" s="87"/>
      <c r="BI23" s="87"/>
      <c r="BJ23" s="88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93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5"/>
      <c r="AX24" s="89"/>
      <c r="AY24" s="89"/>
      <c r="AZ24" s="89"/>
      <c r="BA24" s="89"/>
      <c r="BB24" s="89"/>
      <c r="BC24" s="90"/>
      <c r="BD24" s="92"/>
      <c r="BE24" s="89"/>
      <c r="BF24" s="89"/>
      <c r="BG24" s="89"/>
      <c r="BH24" s="89"/>
      <c r="BI24" s="89"/>
      <c r="BJ24" s="90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84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6"/>
      <c r="AX25" s="87"/>
      <c r="AY25" s="87"/>
      <c r="AZ25" s="87"/>
      <c r="BA25" s="87"/>
      <c r="BB25" s="87"/>
      <c r="BC25" s="88"/>
      <c r="BD25" s="91"/>
      <c r="BE25" s="87"/>
      <c r="BF25" s="87"/>
      <c r="BG25" s="87"/>
      <c r="BH25" s="87"/>
      <c r="BI25" s="87"/>
      <c r="BJ25" s="88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93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5"/>
      <c r="AX26" s="89"/>
      <c r="AY26" s="89"/>
      <c r="AZ26" s="89"/>
      <c r="BA26" s="89"/>
      <c r="BB26" s="89"/>
      <c r="BC26" s="90"/>
      <c r="BD26" s="92"/>
      <c r="BE26" s="89"/>
      <c r="BF26" s="89"/>
      <c r="BG26" s="89"/>
      <c r="BH26" s="89"/>
      <c r="BI26" s="89"/>
      <c r="BJ26" s="90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84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6"/>
      <c r="AX27" s="87"/>
      <c r="AY27" s="87"/>
      <c r="AZ27" s="87"/>
      <c r="BA27" s="87"/>
      <c r="BB27" s="87"/>
      <c r="BC27" s="88"/>
      <c r="BD27" s="91"/>
      <c r="BE27" s="87"/>
      <c r="BF27" s="87"/>
      <c r="BG27" s="87"/>
      <c r="BH27" s="87"/>
      <c r="BI27" s="87"/>
      <c r="BJ27" s="88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93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5"/>
      <c r="AX28" s="89"/>
      <c r="AY28" s="89"/>
      <c r="AZ28" s="89"/>
      <c r="BA28" s="89"/>
      <c r="BB28" s="89"/>
      <c r="BC28" s="90"/>
      <c r="BD28" s="92"/>
      <c r="BE28" s="89"/>
      <c r="BF28" s="89"/>
      <c r="BG28" s="89"/>
      <c r="BH28" s="89"/>
      <c r="BI28" s="89"/>
      <c r="BJ28" s="90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84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6"/>
      <c r="AX29" s="87"/>
      <c r="AY29" s="87"/>
      <c r="AZ29" s="87"/>
      <c r="BA29" s="87"/>
      <c r="BB29" s="87"/>
      <c r="BC29" s="88"/>
      <c r="BD29" s="91"/>
      <c r="BE29" s="87"/>
      <c r="BF29" s="87"/>
      <c r="BG29" s="87"/>
      <c r="BH29" s="87"/>
      <c r="BI29" s="87"/>
      <c r="BJ29" s="88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93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5"/>
      <c r="AX30" s="89"/>
      <c r="AY30" s="89"/>
      <c r="AZ30" s="89"/>
      <c r="BA30" s="89"/>
      <c r="BB30" s="89"/>
      <c r="BC30" s="90"/>
      <c r="BD30" s="92"/>
      <c r="BE30" s="89"/>
      <c r="BF30" s="89"/>
      <c r="BG30" s="89"/>
      <c r="BH30" s="89"/>
      <c r="BI30" s="89"/>
      <c r="BJ30" s="90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84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6"/>
      <c r="AX31" s="87"/>
      <c r="AY31" s="87"/>
      <c r="AZ31" s="87"/>
      <c r="BA31" s="87"/>
      <c r="BB31" s="87"/>
      <c r="BC31" s="88"/>
      <c r="BD31" s="91"/>
      <c r="BE31" s="87"/>
      <c r="BF31" s="87"/>
      <c r="BG31" s="87"/>
      <c r="BH31" s="87"/>
      <c r="BI31" s="87"/>
      <c r="BJ31" s="88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93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5"/>
      <c r="AX32" s="89"/>
      <c r="AY32" s="89"/>
      <c r="AZ32" s="89"/>
      <c r="BA32" s="89"/>
      <c r="BB32" s="89"/>
      <c r="BC32" s="90"/>
      <c r="BD32" s="92"/>
      <c r="BE32" s="89"/>
      <c r="BF32" s="89"/>
      <c r="BG32" s="89"/>
      <c r="BH32" s="89"/>
      <c r="BI32" s="89"/>
      <c r="BJ32" s="90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84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6"/>
      <c r="AX33" s="87"/>
      <c r="AY33" s="87"/>
      <c r="AZ33" s="87"/>
      <c r="BA33" s="87"/>
      <c r="BB33" s="87"/>
      <c r="BC33" s="88"/>
      <c r="BD33" s="91"/>
      <c r="BE33" s="87"/>
      <c r="BF33" s="87"/>
      <c r="BG33" s="87"/>
      <c r="BH33" s="87"/>
      <c r="BI33" s="87"/>
      <c r="BJ33" s="88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93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5"/>
      <c r="AX34" s="89"/>
      <c r="AY34" s="89"/>
      <c r="AZ34" s="89"/>
      <c r="BA34" s="89"/>
      <c r="BB34" s="89"/>
      <c r="BC34" s="90"/>
      <c r="BD34" s="92"/>
      <c r="BE34" s="89"/>
      <c r="BF34" s="89"/>
      <c r="BG34" s="89"/>
      <c r="BH34" s="89"/>
      <c r="BI34" s="89"/>
      <c r="BJ34" s="90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84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6"/>
      <c r="AX35" s="87"/>
      <c r="AY35" s="87"/>
      <c r="AZ35" s="87"/>
      <c r="BA35" s="87"/>
      <c r="BB35" s="87"/>
      <c r="BC35" s="88"/>
      <c r="BD35" s="91"/>
      <c r="BE35" s="87"/>
      <c r="BF35" s="87"/>
      <c r="BG35" s="87"/>
      <c r="BH35" s="87"/>
      <c r="BI35" s="87"/>
      <c r="BJ35" s="88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93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5"/>
      <c r="AX36" s="89"/>
      <c r="AY36" s="89"/>
      <c r="AZ36" s="89"/>
      <c r="BA36" s="89"/>
      <c r="BB36" s="89"/>
      <c r="BC36" s="90"/>
      <c r="BD36" s="92"/>
      <c r="BE36" s="89"/>
      <c r="BF36" s="89"/>
      <c r="BG36" s="89"/>
      <c r="BH36" s="89"/>
      <c r="BI36" s="89"/>
      <c r="BJ36" s="90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84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6"/>
      <c r="AX37" s="87"/>
      <c r="AY37" s="87"/>
      <c r="AZ37" s="87"/>
      <c r="BA37" s="87"/>
      <c r="BB37" s="87"/>
      <c r="BC37" s="88"/>
      <c r="BD37" s="91"/>
      <c r="BE37" s="87"/>
      <c r="BF37" s="87"/>
      <c r="BG37" s="87"/>
      <c r="BH37" s="87"/>
      <c r="BI37" s="87"/>
      <c r="BJ37" s="88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93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5"/>
      <c r="AX38" s="89"/>
      <c r="AY38" s="89"/>
      <c r="AZ38" s="89"/>
      <c r="BA38" s="89"/>
      <c r="BB38" s="89"/>
      <c r="BC38" s="90"/>
      <c r="BD38" s="92"/>
      <c r="BE38" s="89"/>
      <c r="BF38" s="89"/>
      <c r="BG38" s="89"/>
      <c r="BH38" s="89"/>
      <c r="BI38" s="89"/>
      <c r="BJ38" s="90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84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6"/>
      <c r="AX39" s="87"/>
      <c r="AY39" s="87"/>
      <c r="AZ39" s="87"/>
      <c r="BA39" s="87"/>
      <c r="BB39" s="87"/>
      <c r="BC39" s="88"/>
      <c r="BD39" s="91"/>
      <c r="BE39" s="87"/>
      <c r="BF39" s="87"/>
      <c r="BG39" s="87"/>
      <c r="BH39" s="87"/>
      <c r="BI39" s="87"/>
      <c r="BJ39" s="88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93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5"/>
      <c r="AX40" s="89"/>
      <c r="AY40" s="89"/>
      <c r="AZ40" s="89"/>
      <c r="BA40" s="89"/>
      <c r="BB40" s="89"/>
      <c r="BC40" s="90"/>
      <c r="BD40" s="92"/>
      <c r="BE40" s="89"/>
      <c r="BF40" s="89"/>
      <c r="BG40" s="89"/>
      <c r="BH40" s="89"/>
      <c r="BI40" s="89"/>
      <c r="BJ40" s="90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84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6"/>
      <c r="AX41" s="87"/>
      <c r="AY41" s="87"/>
      <c r="AZ41" s="87"/>
      <c r="BA41" s="87"/>
      <c r="BB41" s="87"/>
      <c r="BC41" s="88"/>
      <c r="BD41" s="91"/>
      <c r="BE41" s="87"/>
      <c r="BF41" s="87"/>
      <c r="BG41" s="87"/>
      <c r="BH41" s="87"/>
      <c r="BI41" s="87"/>
      <c r="BJ41" s="88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93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5"/>
      <c r="AX42" s="89"/>
      <c r="AY42" s="89"/>
      <c r="AZ42" s="89"/>
      <c r="BA42" s="89"/>
      <c r="BB42" s="89"/>
      <c r="BC42" s="90"/>
      <c r="BD42" s="92"/>
      <c r="BE42" s="89"/>
      <c r="BF42" s="89"/>
      <c r="BG42" s="89"/>
      <c r="BH42" s="89"/>
      <c r="BI42" s="89"/>
      <c r="BJ42" s="90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84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6"/>
      <c r="AX43" s="87"/>
      <c r="AY43" s="87"/>
      <c r="AZ43" s="87"/>
      <c r="BA43" s="87"/>
      <c r="BB43" s="87"/>
      <c r="BC43" s="88"/>
      <c r="BD43" s="91"/>
      <c r="BE43" s="87"/>
      <c r="BF43" s="87"/>
      <c r="BG43" s="87"/>
      <c r="BH43" s="87"/>
      <c r="BI43" s="87"/>
      <c r="BJ43" s="88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93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5"/>
      <c r="AX44" s="89"/>
      <c r="AY44" s="89"/>
      <c r="AZ44" s="89"/>
      <c r="BA44" s="89"/>
      <c r="BB44" s="89"/>
      <c r="BC44" s="90"/>
      <c r="BD44" s="92"/>
      <c r="BE44" s="89"/>
      <c r="BF44" s="89"/>
      <c r="BG44" s="89"/>
      <c r="BH44" s="89"/>
      <c r="BI44" s="89"/>
      <c r="BJ44" s="90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84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6"/>
      <c r="AX45" s="87"/>
      <c r="AY45" s="87"/>
      <c r="AZ45" s="87"/>
      <c r="BA45" s="87"/>
      <c r="BB45" s="87"/>
      <c r="BC45" s="88"/>
      <c r="BD45" s="91"/>
      <c r="BE45" s="87"/>
      <c r="BF45" s="87"/>
      <c r="BG45" s="87"/>
      <c r="BH45" s="87"/>
      <c r="BI45" s="87"/>
      <c r="BJ45" s="88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93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5"/>
      <c r="AX46" s="89"/>
      <c r="AY46" s="89"/>
      <c r="AZ46" s="89"/>
      <c r="BA46" s="89"/>
      <c r="BB46" s="89"/>
      <c r="BC46" s="90"/>
      <c r="BD46" s="92"/>
      <c r="BE46" s="89"/>
      <c r="BF46" s="89"/>
      <c r="BG46" s="89"/>
      <c r="BH46" s="89"/>
      <c r="BI46" s="89"/>
      <c r="BJ46" s="90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84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6"/>
      <c r="AX47" s="87"/>
      <c r="AY47" s="87"/>
      <c r="AZ47" s="87"/>
      <c r="BA47" s="87"/>
      <c r="BB47" s="87"/>
      <c r="BC47" s="88"/>
      <c r="BD47" s="91"/>
      <c r="BE47" s="87"/>
      <c r="BF47" s="87"/>
      <c r="BG47" s="87"/>
      <c r="BH47" s="87"/>
      <c r="BI47" s="87"/>
      <c r="BJ47" s="88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93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5"/>
      <c r="AX48" s="89"/>
      <c r="AY48" s="89"/>
      <c r="AZ48" s="89"/>
      <c r="BA48" s="89"/>
      <c r="BB48" s="89"/>
      <c r="BC48" s="90"/>
      <c r="BD48" s="92"/>
      <c r="BE48" s="89"/>
      <c r="BF48" s="89"/>
      <c r="BG48" s="89"/>
      <c r="BH48" s="89"/>
      <c r="BI48" s="89"/>
      <c r="BJ48" s="90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84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6"/>
      <c r="AX49" s="87"/>
      <c r="AY49" s="87"/>
      <c r="AZ49" s="87"/>
      <c r="BA49" s="87"/>
      <c r="BB49" s="87"/>
      <c r="BC49" s="88"/>
      <c r="BD49" s="91"/>
      <c r="BE49" s="87"/>
      <c r="BF49" s="87"/>
      <c r="BG49" s="87"/>
      <c r="BH49" s="87"/>
      <c r="BI49" s="87"/>
      <c r="BJ49" s="88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93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5"/>
      <c r="AX50" s="89"/>
      <c r="AY50" s="89"/>
      <c r="AZ50" s="89"/>
      <c r="BA50" s="89"/>
      <c r="BB50" s="89"/>
      <c r="BC50" s="90"/>
      <c r="BD50" s="92"/>
      <c r="BE50" s="89"/>
      <c r="BF50" s="89"/>
      <c r="BG50" s="89"/>
      <c r="BH50" s="89"/>
      <c r="BI50" s="89"/>
      <c r="BJ50" s="90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84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6"/>
      <c r="AX51" s="87"/>
      <c r="AY51" s="87"/>
      <c r="AZ51" s="87"/>
      <c r="BA51" s="87"/>
      <c r="BB51" s="87"/>
      <c r="BC51" s="88"/>
      <c r="BD51" s="91"/>
      <c r="BE51" s="87"/>
      <c r="BF51" s="87"/>
      <c r="BG51" s="87"/>
      <c r="BH51" s="87"/>
      <c r="BI51" s="87"/>
      <c r="BJ51" s="88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93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5"/>
      <c r="AX52" s="89"/>
      <c r="AY52" s="89"/>
      <c r="AZ52" s="89"/>
      <c r="BA52" s="89"/>
      <c r="BB52" s="89"/>
      <c r="BC52" s="90"/>
      <c r="BD52" s="92"/>
      <c r="BE52" s="89"/>
      <c r="BF52" s="89"/>
      <c r="BG52" s="89"/>
      <c r="BH52" s="89"/>
      <c r="BI52" s="89"/>
      <c r="BJ52" s="90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84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6"/>
      <c r="AX53" s="87"/>
      <c r="AY53" s="87"/>
      <c r="AZ53" s="87"/>
      <c r="BA53" s="87"/>
      <c r="BB53" s="87"/>
      <c r="BC53" s="88"/>
      <c r="BD53" s="91"/>
      <c r="BE53" s="87"/>
      <c r="BF53" s="87"/>
      <c r="BG53" s="87"/>
      <c r="BH53" s="87"/>
      <c r="BI53" s="87"/>
      <c r="BJ53" s="88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93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5"/>
      <c r="AX54" s="89"/>
      <c r="AY54" s="89"/>
      <c r="AZ54" s="89"/>
      <c r="BA54" s="89"/>
      <c r="BB54" s="89"/>
      <c r="BC54" s="90"/>
      <c r="BD54" s="92"/>
      <c r="BE54" s="89"/>
      <c r="BF54" s="89"/>
      <c r="BG54" s="89"/>
      <c r="BH54" s="89"/>
      <c r="BI54" s="89"/>
      <c r="BJ54" s="90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3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詳細設計書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90" t="str">
        <f>IF(表紙!AP2="","",表紙!AP2)</f>
        <v>TuyenNH</v>
      </c>
      <c r="AQ2" s="188"/>
      <c r="AR2" s="188"/>
      <c r="AS2" s="189"/>
      <c r="AT2" s="194">
        <f>IF(表紙!AT2="","",表紙!AT2)</f>
        <v>45544</v>
      </c>
      <c r="AU2" s="195"/>
      <c r="AV2" s="195"/>
      <c r="AW2" s="195"/>
      <c r="AX2" s="196"/>
      <c r="AY2" s="190" t="str">
        <f>IF(表紙!AY2="","",表紙!AY2)</f>
        <v>TuyenNH</v>
      </c>
      <c r="AZ2" s="188"/>
      <c r="BA2" s="188"/>
      <c r="BB2" s="189"/>
      <c r="BC2" s="194">
        <f>IF(表紙!BC2="","",表紙!BC2)</f>
        <v>45596</v>
      </c>
      <c r="BD2" s="195"/>
      <c r="BE2" s="195"/>
      <c r="BF2" s="195"/>
      <c r="BG2" s="196"/>
      <c r="BH2" s="190">
        <f>IF(表紙!BH2="","",表紙!BH2)</f>
        <v>0.11</v>
      </c>
      <c r="BI2" s="188"/>
      <c r="BJ2" s="188"/>
      <c r="BK2" s="189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0"/>
      <c r="BI3" s="201"/>
      <c r="BJ3" s="201"/>
      <c r="BK3" s="202"/>
    </row>
    <row r="4" spans="1:63" ht="24.95" customHeight="1" x14ac:dyDescent="0.25">
      <c r="A4" s="254" t="s">
        <v>73</v>
      </c>
      <c r="B4" s="255"/>
      <c r="C4" s="255"/>
      <c r="D4" s="255"/>
      <c r="E4" s="255"/>
      <c r="F4" s="255"/>
      <c r="G4" s="256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254" t="s">
        <v>74</v>
      </c>
      <c r="V4" s="255"/>
      <c r="W4" s="255"/>
      <c r="X4" s="255"/>
      <c r="Y4" s="256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処理フロー凡例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87" customFormat="1" ht="15" customHeight="1" x14ac:dyDescent="0.25">
      <c r="A7" s="266"/>
      <c r="B7" s="267" t="s">
        <v>82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9"/>
      <c r="AF7" s="270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9"/>
      <c r="BJ7" s="268"/>
      <c r="BK7" s="271"/>
    </row>
    <row r="8" spans="1:63" s="272" customFormat="1" ht="15" customHeight="1" x14ac:dyDescent="0.25">
      <c r="BK8" s="271"/>
    </row>
    <row r="9" spans="1:63" s="272" customFormat="1" ht="15" customHeight="1" x14ac:dyDescent="0.25">
      <c r="BK9" s="271"/>
    </row>
    <row r="10" spans="1:63" s="272" customFormat="1" ht="15" customHeight="1" x14ac:dyDescent="0.25">
      <c r="BK10" s="271"/>
    </row>
    <row r="11" spans="1:63" s="272" customFormat="1" ht="15" customHeight="1" x14ac:dyDescent="0.25">
      <c r="BK11" s="271"/>
    </row>
    <row r="12" spans="1:63" s="272" customFormat="1" ht="15" customHeight="1" x14ac:dyDescent="0.25">
      <c r="BK12" s="271"/>
    </row>
    <row r="13" spans="1:63" s="272" customFormat="1" ht="15" customHeight="1" x14ac:dyDescent="0.25">
      <c r="BK13" s="271"/>
    </row>
    <row r="14" spans="1:63" s="272" customFormat="1" ht="15" customHeight="1" x14ac:dyDescent="0.25">
      <c r="BK14" s="271"/>
    </row>
    <row r="15" spans="1:63" s="272" customFormat="1" ht="15" customHeight="1" x14ac:dyDescent="0.25">
      <c r="BK15" s="271"/>
    </row>
    <row r="16" spans="1:63" s="272" customFormat="1" ht="15" customHeight="1" x14ac:dyDescent="0.25">
      <c r="BK16" s="271"/>
    </row>
    <row r="17" spans="63:63" s="272" customFormat="1" ht="15" customHeight="1" x14ac:dyDescent="0.25">
      <c r="BK17" s="271"/>
    </row>
    <row r="18" spans="63:63" s="272" customFormat="1" ht="15" customHeight="1" x14ac:dyDescent="0.25">
      <c r="BK18" s="271"/>
    </row>
    <row r="19" spans="63:63" s="272" customFormat="1" ht="15" customHeight="1" x14ac:dyDescent="0.25">
      <c r="BK19" s="271"/>
    </row>
    <row r="20" spans="63:63" s="272" customFormat="1" ht="15" customHeight="1" x14ac:dyDescent="0.25">
      <c r="BK20" s="271"/>
    </row>
    <row r="21" spans="63:63" s="272" customFormat="1" ht="15" customHeight="1" x14ac:dyDescent="0.25">
      <c r="BK21" s="271"/>
    </row>
    <row r="22" spans="63:63" s="272" customFormat="1" ht="15" customHeight="1" x14ac:dyDescent="0.25">
      <c r="BK22" s="271"/>
    </row>
    <row r="23" spans="63:63" s="272" customFormat="1" ht="15" customHeight="1" x14ac:dyDescent="0.25">
      <c r="BK23" s="271"/>
    </row>
    <row r="24" spans="63:63" s="272" customFormat="1" ht="15" customHeight="1" x14ac:dyDescent="0.25">
      <c r="BK24" s="271"/>
    </row>
    <row r="25" spans="63:63" s="272" customFormat="1" ht="15" customHeight="1" x14ac:dyDescent="0.25">
      <c r="BK25" s="271"/>
    </row>
    <row r="26" spans="63:63" s="272" customFormat="1" ht="15" customHeight="1" x14ac:dyDescent="0.25">
      <c r="BK26" s="271"/>
    </row>
    <row r="27" spans="63:63" s="272" customFormat="1" ht="15" customHeight="1" x14ac:dyDescent="0.25">
      <c r="BK27" s="271"/>
    </row>
    <row r="28" spans="63:63" s="272" customFormat="1" ht="15" customHeight="1" x14ac:dyDescent="0.25">
      <c r="BK28" s="271"/>
    </row>
    <row r="29" spans="63:63" s="272" customFormat="1" ht="15" customHeight="1" x14ac:dyDescent="0.25">
      <c r="BK29" s="271"/>
    </row>
    <row r="30" spans="63:63" s="272" customFormat="1" ht="15" customHeight="1" x14ac:dyDescent="0.25">
      <c r="BK30" s="271"/>
    </row>
    <row r="31" spans="63:63" s="272" customFormat="1" ht="15" customHeight="1" x14ac:dyDescent="0.25">
      <c r="BK31" s="271"/>
    </row>
    <row r="32" spans="63:63" s="272" customFormat="1" ht="15" customHeight="1" x14ac:dyDescent="0.25">
      <c r="BK32" s="271"/>
    </row>
    <row r="33" spans="63:63" s="272" customFormat="1" ht="15" customHeight="1" x14ac:dyDescent="0.25">
      <c r="BK33" s="271"/>
    </row>
    <row r="34" spans="63:63" s="272" customFormat="1" ht="15" customHeight="1" x14ac:dyDescent="0.25">
      <c r="BK34" s="271"/>
    </row>
    <row r="35" spans="63:63" s="272" customFormat="1" ht="15" customHeight="1" x14ac:dyDescent="0.25">
      <c r="BK35" s="271"/>
    </row>
    <row r="36" spans="63:63" s="272" customFormat="1" ht="15" customHeight="1" x14ac:dyDescent="0.25">
      <c r="BK36" s="271"/>
    </row>
    <row r="37" spans="63:63" s="272" customFormat="1" ht="15" customHeight="1" x14ac:dyDescent="0.25">
      <c r="BK37" s="271"/>
    </row>
    <row r="38" spans="63:63" s="272" customFormat="1" ht="15" customHeight="1" x14ac:dyDescent="0.25">
      <c r="BK38" s="271"/>
    </row>
    <row r="39" spans="63:63" s="272" customFormat="1" ht="15" customHeight="1" x14ac:dyDescent="0.25">
      <c r="BK39" s="271"/>
    </row>
    <row r="40" spans="63:63" s="272" customFormat="1" ht="15" customHeight="1" x14ac:dyDescent="0.25">
      <c r="BK40" s="271"/>
    </row>
    <row r="41" spans="63:63" s="272" customFormat="1" ht="15" customHeight="1" x14ac:dyDescent="0.25">
      <c r="BK41" s="271"/>
    </row>
    <row r="42" spans="63:63" s="272" customFormat="1" ht="15" customHeight="1" x14ac:dyDescent="0.25">
      <c r="BK42" s="271"/>
    </row>
    <row r="43" spans="63:63" s="272" customFormat="1" ht="15" customHeight="1" x14ac:dyDescent="0.25">
      <c r="BK43" s="271"/>
    </row>
    <row r="44" spans="63:63" s="272" customFormat="1" ht="15" customHeight="1" x14ac:dyDescent="0.25">
      <c r="BK44" s="271"/>
    </row>
    <row r="45" spans="63:63" s="272" customFormat="1" ht="15" customHeight="1" x14ac:dyDescent="0.25">
      <c r="BK45" s="271"/>
    </row>
    <row r="46" spans="63:63" s="272" customFormat="1" ht="15" customHeight="1" x14ac:dyDescent="0.25">
      <c r="BK46" s="271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9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2" customWidth="1"/>
    <col min="43" max="62" width="3.33203125" style="12" customWidth="1"/>
    <col min="63" max="63" width="2.77734375" style="12" customWidth="1"/>
    <col min="64" max="16384" width="10.109375" style="12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詳細設計書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90" t="str">
        <f>IF(表紙!AP2="","",表紙!AP2)</f>
        <v>TuyenNH</v>
      </c>
      <c r="AQ2" s="188"/>
      <c r="AR2" s="188"/>
      <c r="AS2" s="189"/>
      <c r="AT2" s="194">
        <f>IF(表紙!AT2="","",表紙!AT2)</f>
        <v>45544</v>
      </c>
      <c r="AU2" s="195"/>
      <c r="AV2" s="195"/>
      <c r="AW2" s="195"/>
      <c r="AX2" s="196"/>
      <c r="AY2" s="190" t="str">
        <f>IF(表紙!AY2="","",表紙!AY2)</f>
        <v>TuyenNH</v>
      </c>
      <c r="AZ2" s="188"/>
      <c r="BA2" s="188"/>
      <c r="BB2" s="189"/>
      <c r="BC2" s="194">
        <f>IF(表紙!BC2="","",表紙!BC2)</f>
        <v>45596</v>
      </c>
      <c r="BD2" s="195"/>
      <c r="BE2" s="195"/>
      <c r="BF2" s="195"/>
      <c r="BG2" s="196"/>
      <c r="BH2" s="190">
        <f>IF(表紙!BH2="","",表紙!BH2)</f>
        <v>0.11</v>
      </c>
      <c r="BI2" s="188"/>
      <c r="BJ2" s="188"/>
      <c r="BK2" s="189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0"/>
      <c r="BI3" s="201"/>
      <c r="BJ3" s="201"/>
      <c r="BK3" s="202"/>
    </row>
    <row r="4" spans="1:63" ht="24.95" customHeight="1" x14ac:dyDescent="0.25">
      <c r="A4" s="254" t="s">
        <v>73</v>
      </c>
      <c r="B4" s="255"/>
      <c r="C4" s="255"/>
      <c r="D4" s="255"/>
      <c r="E4" s="255"/>
      <c r="F4" s="255"/>
      <c r="G4" s="256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254" t="s">
        <v>74</v>
      </c>
      <c r="V4" s="255"/>
      <c r="W4" s="255"/>
      <c r="X4" s="255"/>
      <c r="Y4" s="256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AP0107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31" customFormat="1" ht="15" customHeight="1" x14ac:dyDescent="0.25">
      <c r="A7" s="26"/>
      <c r="B7" s="27" t="s">
        <v>83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73"/>
      <c r="AQ7" s="273"/>
      <c r="AR7" s="273"/>
      <c r="AS7" s="273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274"/>
      <c r="AQ8" s="274"/>
      <c r="AR8" s="274"/>
      <c r="AS8" s="274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33" t="s">
        <v>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274"/>
      <c r="AQ9" s="274"/>
      <c r="AR9" s="274"/>
      <c r="AS9" s="274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2"/>
      <c r="C10" s="187" t="s">
        <v>84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74"/>
      <c r="AQ10" s="274"/>
      <c r="AR10" s="274"/>
      <c r="AS10" s="274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4"/>
      <c r="BI11" s="34"/>
      <c r="BJ11" s="34"/>
      <c r="BK11" s="30"/>
    </row>
    <row r="12" spans="1:63" s="31" customFormat="1" ht="15" customHeight="1" x14ac:dyDescent="0.25">
      <c r="A12" s="26"/>
      <c r="B12" s="35" t="s">
        <v>85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9"/>
      <c r="BI12" s="29"/>
      <c r="BJ12" s="29"/>
      <c r="BK12" s="30"/>
    </row>
    <row r="13" spans="1:63" s="31" customFormat="1" ht="15" customHeight="1" x14ac:dyDescent="0.25">
      <c r="A13" s="26"/>
      <c r="B13" s="33"/>
      <c r="C13" s="36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6" t="s">
        <v>86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4"/>
      <c r="BI15" s="34"/>
      <c r="BJ15" s="34"/>
      <c r="BK15" s="30"/>
    </row>
    <row r="16" spans="1:63" s="31" customFormat="1" ht="15" customHeight="1" x14ac:dyDescent="0.25">
      <c r="A16" s="26"/>
      <c r="B16" s="33"/>
      <c r="C16" s="141" t="s">
        <v>25</v>
      </c>
      <c r="D16" s="143"/>
      <c r="E16" s="141" t="s">
        <v>35</v>
      </c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3"/>
      <c r="AG16" s="141" t="s">
        <v>36</v>
      </c>
      <c r="AH16" s="142"/>
      <c r="AI16" s="142"/>
      <c r="AJ16" s="142"/>
      <c r="AK16" s="142"/>
      <c r="AL16" s="142"/>
      <c r="AM16" s="142"/>
      <c r="AN16" s="142"/>
      <c r="AO16" s="142"/>
      <c r="AP16" s="143"/>
      <c r="AQ16" s="141" t="s">
        <v>37</v>
      </c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3"/>
      <c r="BK16" s="30"/>
    </row>
    <row r="17" spans="1:63" s="31" customFormat="1" ht="15" customHeight="1" x14ac:dyDescent="0.25">
      <c r="A17" s="26"/>
      <c r="B17" s="33"/>
      <c r="C17" s="132">
        <v>1</v>
      </c>
      <c r="D17" s="134"/>
      <c r="E17" s="275" t="s">
        <v>61</v>
      </c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7"/>
      <c r="AG17" s="132" t="s">
        <v>42</v>
      </c>
      <c r="AH17" s="133"/>
      <c r="AI17" s="133"/>
      <c r="AJ17" s="133"/>
      <c r="AK17" s="133"/>
      <c r="AL17" s="133"/>
      <c r="AM17" s="133"/>
      <c r="AN17" s="133"/>
      <c r="AO17" s="133"/>
      <c r="AP17" s="134"/>
      <c r="AQ17" s="149" t="s">
        <v>17</v>
      </c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1"/>
      <c r="BK17" s="30"/>
    </row>
    <row r="18" spans="1:63" s="31" customFormat="1" ht="15" customHeight="1" x14ac:dyDescent="0.25">
      <c r="A18" s="26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 t="s">
        <v>87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36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4"/>
      <c r="BI20" s="34"/>
      <c r="BJ20" s="34"/>
      <c r="BK20" s="30"/>
    </row>
    <row r="21" spans="1:63" s="31" customFormat="1" ht="15" customHeight="1" x14ac:dyDescent="0.25">
      <c r="A21" s="26"/>
      <c r="B21" s="33"/>
      <c r="C21" s="138" t="s">
        <v>88</v>
      </c>
      <c r="D21" s="140"/>
      <c r="E21" s="138" t="s">
        <v>89</v>
      </c>
      <c r="F21" s="139"/>
      <c r="G21" s="139"/>
      <c r="H21" s="139"/>
      <c r="I21" s="139"/>
      <c r="J21" s="139"/>
      <c r="K21" s="140"/>
      <c r="L21" s="141" t="s">
        <v>38</v>
      </c>
      <c r="M21" s="142"/>
      <c r="N21" s="143"/>
      <c r="O21" s="141" t="s">
        <v>39</v>
      </c>
      <c r="P21" s="142"/>
      <c r="Q21" s="142"/>
      <c r="R21" s="143"/>
      <c r="S21" s="141" t="s">
        <v>40</v>
      </c>
      <c r="T21" s="142"/>
      <c r="U21" s="142"/>
      <c r="V21" s="142"/>
      <c r="W21" s="142"/>
      <c r="X21" s="142"/>
      <c r="Y21" s="143"/>
      <c r="Z21" s="138" t="s">
        <v>90</v>
      </c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40"/>
      <c r="AQ21" s="141" t="s">
        <v>37</v>
      </c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3"/>
      <c r="BK21" s="30"/>
    </row>
    <row r="22" spans="1:63" s="31" customFormat="1" ht="15" customHeight="1" x14ac:dyDescent="0.25">
      <c r="A22" s="26"/>
      <c r="B22" s="33"/>
      <c r="C22" s="158">
        <v>1</v>
      </c>
      <c r="D22" s="160"/>
      <c r="E22" s="278" t="s">
        <v>15</v>
      </c>
      <c r="F22" s="279"/>
      <c r="G22" s="279"/>
      <c r="H22" s="279"/>
      <c r="I22" s="279"/>
      <c r="J22" s="279"/>
      <c r="K22" s="280"/>
      <c r="L22" s="152" t="s">
        <v>16</v>
      </c>
      <c r="M22" s="153"/>
      <c r="N22" s="154"/>
      <c r="O22" s="158" t="s">
        <v>63</v>
      </c>
      <c r="P22" s="159"/>
      <c r="Q22" s="159"/>
      <c r="R22" s="160"/>
      <c r="S22" s="158" t="s">
        <v>17</v>
      </c>
      <c r="T22" s="159"/>
      <c r="U22" s="159"/>
      <c r="V22" s="159"/>
      <c r="W22" s="159"/>
      <c r="X22" s="159"/>
      <c r="Y22" s="160"/>
      <c r="Z22" s="278" t="s">
        <v>18</v>
      </c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80"/>
      <c r="AQ22" s="281" t="s">
        <v>91</v>
      </c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3"/>
      <c r="BK22" s="30"/>
    </row>
    <row r="23" spans="1:63" s="31" customFormat="1" ht="15" customHeight="1" x14ac:dyDescent="0.25">
      <c r="A23" s="26"/>
      <c r="B23" s="33"/>
      <c r="C23" s="161"/>
      <c r="D23" s="163"/>
      <c r="E23" s="284"/>
      <c r="F23" s="285"/>
      <c r="G23" s="285"/>
      <c r="H23" s="285"/>
      <c r="I23" s="285"/>
      <c r="J23" s="285"/>
      <c r="K23" s="286"/>
      <c r="L23" s="155"/>
      <c r="M23" s="156"/>
      <c r="N23" s="157"/>
      <c r="O23" s="161"/>
      <c r="P23" s="162"/>
      <c r="Q23" s="162"/>
      <c r="R23" s="163"/>
      <c r="S23" s="161"/>
      <c r="T23" s="162"/>
      <c r="U23" s="162"/>
      <c r="V23" s="162"/>
      <c r="W23" s="162"/>
      <c r="X23" s="162"/>
      <c r="Y23" s="163"/>
      <c r="Z23" s="284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6"/>
      <c r="AQ23" s="287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9"/>
      <c r="BK23" s="30"/>
    </row>
    <row r="24" spans="1:63" s="31" customFormat="1" ht="15" customHeight="1" x14ac:dyDescent="0.25">
      <c r="A24" s="26"/>
      <c r="B24" s="33"/>
      <c r="C24" s="132">
        <v>2</v>
      </c>
      <c r="D24" s="134"/>
      <c r="E24" s="290" t="s">
        <v>19</v>
      </c>
      <c r="F24" s="291"/>
      <c r="G24" s="291"/>
      <c r="H24" s="291"/>
      <c r="I24" s="291"/>
      <c r="J24" s="291"/>
      <c r="K24" s="292"/>
      <c r="L24" s="129" t="s">
        <v>17</v>
      </c>
      <c r="M24" s="130"/>
      <c r="N24" s="131"/>
      <c r="O24" s="132" t="s">
        <v>63</v>
      </c>
      <c r="P24" s="133"/>
      <c r="Q24" s="133"/>
      <c r="R24" s="134"/>
      <c r="S24" s="132" t="s">
        <v>17</v>
      </c>
      <c r="T24" s="133"/>
      <c r="U24" s="133"/>
      <c r="V24" s="133"/>
      <c r="W24" s="133"/>
      <c r="X24" s="133"/>
      <c r="Y24" s="134"/>
      <c r="Z24" s="290" t="s">
        <v>19</v>
      </c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2"/>
      <c r="AQ24" s="293" t="s">
        <v>20</v>
      </c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294"/>
      <c r="BF24" s="294"/>
      <c r="BG24" s="294"/>
      <c r="BH24" s="294"/>
      <c r="BI24" s="294"/>
      <c r="BJ24" s="295"/>
      <c r="BK24" s="30"/>
    </row>
    <row r="25" spans="1:63" s="31" customFormat="1" ht="15" customHeight="1" x14ac:dyDescent="0.25">
      <c r="A25" s="26"/>
      <c r="B25" s="33"/>
      <c r="C25" s="158">
        <v>3</v>
      </c>
      <c r="D25" s="160"/>
      <c r="E25" s="278" t="s">
        <v>21</v>
      </c>
      <c r="F25" s="279"/>
      <c r="G25" s="279"/>
      <c r="H25" s="279"/>
      <c r="I25" s="279"/>
      <c r="J25" s="279"/>
      <c r="K25" s="280"/>
      <c r="L25" s="296" t="s">
        <v>16</v>
      </c>
      <c r="M25" s="297"/>
      <c r="N25" s="298"/>
      <c r="O25" s="299" t="s">
        <v>63</v>
      </c>
      <c r="P25" s="300"/>
      <c r="Q25" s="300"/>
      <c r="R25" s="301"/>
      <c r="S25" s="299" t="s">
        <v>54</v>
      </c>
      <c r="T25" s="300"/>
      <c r="U25" s="300"/>
      <c r="V25" s="300"/>
      <c r="W25" s="300"/>
      <c r="X25" s="300"/>
      <c r="Y25" s="301"/>
      <c r="Z25" s="302" t="s">
        <v>21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4"/>
      <c r="AQ25" s="305" t="s">
        <v>92</v>
      </c>
      <c r="AR25" s="305"/>
      <c r="AS25" s="305"/>
      <c r="AT25" s="305"/>
      <c r="AU25" s="305"/>
      <c r="AV25" s="305"/>
      <c r="AW25" s="305"/>
      <c r="AX25" s="305"/>
      <c r="AY25" s="305"/>
      <c r="AZ25" s="305"/>
      <c r="BA25" s="305"/>
      <c r="BB25" s="305"/>
      <c r="BC25" s="305"/>
      <c r="BD25" s="305"/>
      <c r="BE25" s="305"/>
      <c r="BF25" s="305"/>
      <c r="BG25" s="305"/>
      <c r="BH25" s="305"/>
      <c r="BI25" s="305"/>
      <c r="BJ25" s="306"/>
      <c r="BK25" s="30"/>
    </row>
    <row r="26" spans="1:63" s="31" customFormat="1" ht="15" customHeight="1" x14ac:dyDescent="0.25">
      <c r="A26" s="26"/>
      <c r="B26" s="33"/>
      <c r="C26" s="179"/>
      <c r="D26" s="180"/>
      <c r="E26" s="307"/>
      <c r="F26" s="308"/>
      <c r="G26" s="308"/>
      <c r="H26" s="308"/>
      <c r="I26" s="308"/>
      <c r="J26" s="308"/>
      <c r="K26" s="309"/>
      <c r="L26" s="310"/>
      <c r="M26" s="311"/>
      <c r="N26" s="312"/>
      <c r="O26" s="313"/>
      <c r="P26" s="314"/>
      <c r="Q26" s="314"/>
      <c r="R26" s="315"/>
      <c r="S26" s="313"/>
      <c r="T26" s="314"/>
      <c r="U26" s="314"/>
      <c r="V26" s="314"/>
      <c r="W26" s="314"/>
      <c r="X26" s="314"/>
      <c r="Y26" s="315"/>
      <c r="Z26" s="316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  <c r="AL26" s="317"/>
      <c r="AM26" s="317"/>
      <c r="AN26" s="317"/>
      <c r="AO26" s="317"/>
      <c r="AP26" s="318"/>
      <c r="AQ26" s="319"/>
      <c r="AR26" s="319"/>
      <c r="AS26" s="319"/>
      <c r="AT26" s="319"/>
      <c r="AU26" s="319"/>
      <c r="AV26" s="319"/>
      <c r="AW26" s="319"/>
      <c r="AX26" s="319"/>
      <c r="AY26" s="319"/>
      <c r="AZ26" s="319"/>
      <c r="BA26" s="319"/>
      <c r="BB26" s="319"/>
      <c r="BC26" s="319"/>
      <c r="BD26" s="319"/>
      <c r="BE26" s="319"/>
      <c r="BF26" s="319"/>
      <c r="BG26" s="319"/>
      <c r="BH26" s="319"/>
      <c r="BI26" s="319"/>
      <c r="BJ26" s="320"/>
      <c r="BK26" s="30"/>
    </row>
    <row r="27" spans="1:63" s="31" customFormat="1" ht="15" customHeight="1" x14ac:dyDescent="0.25">
      <c r="A27" s="26"/>
      <c r="B27" s="33"/>
      <c r="C27" s="179"/>
      <c r="D27" s="180"/>
      <c r="E27" s="307"/>
      <c r="F27" s="308"/>
      <c r="G27" s="308"/>
      <c r="H27" s="308"/>
      <c r="I27" s="308"/>
      <c r="J27" s="308"/>
      <c r="K27" s="309"/>
      <c r="L27" s="310"/>
      <c r="M27" s="311"/>
      <c r="N27" s="312"/>
      <c r="O27" s="313"/>
      <c r="P27" s="314"/>
      <c r="Q27" s="314"/>
      <c r="R27" s="315"/>
      <c r="S27" s="313"/>
      <c r="T27" s="314"/>
      <c r="U27" s="314"/>
      <c r="V27" s="314"/>
      <c r="W27" s="314"/>
      <c r="X27" s="314"/>
      <c r="Y27" s="315"/>
      <c r="Z27" s="316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L27" s="317"/>
      <c r="AM27" s="317"/>
      <c r="AN27" s="317"/>
      <c r="AO27" s="317"/>
      <c r="AP27" s="318"/>
      <c r="AQ27" s="319"/>
      <c r="AR27" s="319"/>
      <c r="AS27" s="319"/>
      <c r="AT27" s="319"/>
      <c r="AU27" s="319"/>
      <c r="AV27" s="319"/>
      <c r="AW27" s="319"/>
      <c r="AX27" s="319"/>
      <c r="AY27" s="319"/>
      <c r="AZ27" s="319"/>
      <c r="BA27" s="319"/>
      <c r="BB27" s="319"/>
      <c r="BC27" s="319"/>
      <c r="BD27" s="319"/>
      <c r="BE27" s="319"/>
      <c r="BF27" s="319"/>
      <c r="BG27" s="319"/>
      <c r="BH27" s="319"/>
      <c r="BI27" s="319"/>
      <c r="BJ27" s="320"/>
      <c r="BK27" s="30"/>
    </row>
    <row r="28" spans="1:63" s="31" customFormat="1" ht="15" customHeight="1" x14ac:dyDescent="0.25">
      <c r="A28" s="26"/>
      <c r="B28" s="33"/>
      <c r="C28" s="179"/>
      <c r="D28" s="180"/>
      <c r="E28" s="307"/>
      <c r="F28" s="308"/>
      <c r="G28" s="308"/>
      <c r="H28" s="308"/>
      <c r="I28" s="308"/>
      <c r="J28" s="308"/>
      <c r="K28" s="309"/>
      <c r="L28" s="310"/>
      <c r="M28" s="311"/>
      <c r="N28" s="312"/>
      <c r="O28" s="313"/>
      <c r="P28" s="314"/>
      <c r="Q28" s="314"/>
      <c r="R28" s="315"/>
      <c r="S28" s="313"/>
      <c r="T28" s="314"/>
      <c r="U28" s="314"/>
      <c r="V28" s="314"/>
      <c r="W28" s="314"/>
      <c r="X28" s="314"/>
      <c r="Y28" s="315"/>
      <c r="Z28" s="316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  <c r="AL28" s="317"/>
      <c r="AM28" s="317"/>
      <c r="AN28" s="317"/>
      <c r="AO28" s="317"/>
      <c r="AP28" s="318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/>
      <c r="BD28" s="319"/>
      <c r="BE28" s="319"/>
      <c r="BF28" s="319"/>
      <c r="BG28" s="319"/>
      <c r="BH28" s="319"/>
      <c r="BI28" s="319"/>
      <c r="BJ28" s="320"/>
      <c r="BK28" s="30"/>
    </row>
    <row r="29" spans="1:63" s="31" customFormat="1" ht="9" customHeight="1" x14ac:dyDescent="0.25">
      <c r="A29" s="26"/>
      <c r="B29" s="33"/>
      <c r="C29" s="179"/>
      <c r="D29" s="180"/>
      <c r="E29" s="307"/>
      <c r="F29" s="308"/>
      <c r="G29" s="308"/>
      <c r="H29" s="308"/>
      <c r="I29" s="308"/>
      <c r="J29" s="308"/>
      <c r="K29" s="309"/>
      <c r="L29" s="310"/>
      <c r="M29" s="311"/>
      <c r="N29" s="312"/>
      <c r="O29" s="313"/>
      <c r="P29" s="314"/>
      <c r="Q29" s="314"/>
      <c r="R29" s="315"/>
      <c r="S29" s="313"/>
      <c r="T29" s="314"/>
      <c r="U29" s="314"/>
      <c r="V29" s="314"/>
      <c r="W29" s="314"/>
      <c r="X29" s="314"/>
      <c r="Y29" s="315"/>
      <c r="Z29" s="316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7"/>
      <c r="AM29" s="317"/>
      <c r="AN29" s="317"/>
      <c r="AO29" s="317"/>
      <c r="AP29" s="318"/>
      <c r="AQ29" s="319"/>
      <c r="AR29" s="319"/>
      <c r="AS29" s="319"/>
      <c r="AT29" s="319"/>
      <c r="AU29" s="319"/>
      <c r="AV29" s="319"/>
      <c r="AW29" s="319"/>
      <c r="AX29" s="319"/>
      <c r="AY29" s="319"/>
      <c r="AZ29" s="319"/>
      <c r="BA29" s="319"/>
      <c r="BB29" s="319"/>
      <c r="BC29" s="319"/>
      <c r="BD29" s="319"/>
      <c r="BE29" s="319"/>
      <c r="BF29" s="319"/>
      <c r="BG29" s="319"/>
      <c r="BH29" s="319"/>
      <c r="BI29" s="319"/>
      <c r="BJ29" s="320"/>
      <c r="BK29" s="30"/>
    </row>
    <row r="30" spans="1:63" s="31" customFormat="1" ht="9" customHeight="1" x14ac:dyDescent="0.25">
      <c r="A30" s="26"/>
      <c r="B30" s="33"/>
      <c r="C30" s="179"/>
      <c r="D30" s="180"/>
      <c r="E30" s="307"/>
      <c r="F30" s="308"/>
      <c r="G30" s="308"/>
      <c r="H30" s="308"/>
      <c r="I30" s="308"/>
      <c r="J30" s="308"/>
      <c r="K30" s="309"/>
      <c r="L30" s="310"/>
      <c r="M30" s="311"/>
      <c r="N30" s="312"/>
      <c r="O30" s="313"/>
      <c r="P30" s="314"/>
      <c r="Q30" s="314"/>
      <c r="R30" s="315"/>
      <c r="S30" s="313"/>
      <c r="T30" s="314"/>
      <c r="U30" s="314"/>
      <c r="V30" s="314"/>
      <c r="W30" s="314"/>
      <c r="X30" s="314"/>
      <c r="Y30" s="315"/>
      <c r="Z30" s="316"/>
      <c r="AA30" s="317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  <c r="AN30" s="317"/>
      <c r="AO30" s="317"/>
      <c r="AP30" s="318"/>
      <c r="AQ30" s="319"/>
      <c r="AR30" s="319"/>
      <c r="AS30" s="319"/>
      <c r="AT30" s="319"/>
      <c r="AU30" s="319"/>
      <c r="AV30" s="319"/>
      <c r="AW30" s="319"/>
      <c r="AX30" s="319"/>
      <c r="AY30" s="319"/>
      <c r="AZ30" s="319"/>
      <c r="BA30" s="319"/>
      <c r="BB30" s="319"/>
      <c r="BC30" s="319"/>
      <c r="BD30" s="319"/>
      <c r="BE30" s="319"/>
      <c r="BF30" s="319"/>
      <c r="BG30" s="319"/>
      <c r="BH30" s="319"/>
      <c r="BI30" s="319"/>
      <c r="BJ30" s="320"/>
      <c r="BK30" s="30"/>
    </row>
    <row r="31" spans="1:63" s="31" customFormat="1" ht="9" customHeight="1" x14ac:dyDescent="0.25">
      <c r="A31" s="26"/>
      <c r="B31" s="33"/>
      <c r="C31" s="161"/>
      <c r="D31" s="163"/>
      <c r="E31" s="284"/>
      <c r="F31" s="285"/>
      <c r="G31" s="285"/>
      <c r="H31" s="285"/>
      <c r="I31" s="285"/>
      <c r="J31" s="285"/>
      <c r="K31" s="286"/>
      <c r="L31" s="321"/>
      <c r="M31" s="322"/>
      <c r="N31" s="323"/>
      <c r="O31" s="324"/>
      <c r="P31" s="325"/>
      <c r="Q31" s="325"/>
      <c r="R31" s="326"/>
      <c r="S31" s="324"/>
      <c r="T31" s="325"/>
      <c r="U31" s="325"/>
      <c r="V31" s="325"/>
      <c r="W31" s="325"/>
      <c r="X31" s="325"/>
      <c r="Y31" s="326"/>
      <c r="Z31" s="327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9"/>
      <c r="AQ31" s="330"/>
      <c r="AR31" s="330"/>
      <c r="AS31" s="330"/>
      <c r="AT31" s="330"/>
      <c r="AU31" s="330"/>
      <c r="AV31" s="330"/>
      <c r="AW31" s="330"/>
      <c r="AX31" s="330"/>
      <c r="AY31" s="330"/>
      <c r="AZ31" s="330"/>
      <c r="BA31" s="330"/>
      <c r="BB31" s="330"/>
      <c r="BC31" s="330"/>
      <c r="BD31" s="330"/>
      <c r="BE31" s="330"/>
      <c r="BF31" s="330"/>
      <c r="BG31" s="330"/>
      <c r="BH31" s="330"/>
      <c r="BI31" s="330"/>
      <c r="BJ31" s="331"/>
      <c r="BK31" s="30"/>
    </row>
    <row r="32" spans="1:63" s="31" customFormat="1" ht="15" customHeight="1" x14ac:dyDescent="0.25">
      <c r="A32" s="26"/>
      <c r="B32" s="33"/>
      <c r="C32" s="132">
        <v>4</v>
      </c>
      <c r="D32" s="134"/>
      <c r="E32" s="290" t="s">
        <v>22</v>
      </c>
      <c r="F32" s="291"/>
      <c r="G32" s="291"/>
      <c r="H32" s="291"/>
      <c r="I32" s="291"/>
      <c r="J32" s="291"/>
      <c r="K32" s="292"/>
      <c r="L32" s="129" t="s">
        <v>17</v>
      </c>
      <c r="M32" s="130"/>
      <c r="N32" s="131"/>
      <c r="O32" s="132" t="s">
        <v>63</v>
      </c>
      <c r="P32" s="133"/>
      <c r="Q32" s="133"/>
      <c r="R32" s="134"/>
      <c r="S32" s="132" t="s">
        <v>17</v>
      </c>
      <c r="T32" s="133"/>
      <c r="U32" s="133"/>
      <c r="V32" s="133"/>
      <c r="W32" s="133"/>
      <c r="X32" s="133"/>
      <c r="Y32" s="134"/>
      <c r="Z32" s="290" t="s">
        <v>22</v>
      </c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2"/>
      <c r="AQ32" s="293" t="s">
        <v>23</v>
      </c>
      <c r="AR32" s="294"/>
      <c r="AS32" s="294"/>
      <c r="AT32" s="294"/>
      <c r="AU32" s="294"/>
      <c r="AV32" s="294"/>
      <c r="AW32" s="294"/>
      <c r="AX32" s="294"/>
      <c r="AY32" s="294"/>
      <c r="AZ32" s="294"/>
      <c r="BA32" s="294"/>
      <c r="BB32" s="294"/>
      <c r="BC32" s="294"/>
      <c r="BD32" s="294"/>
      <c r="BE32" s="294"/>
      <c r="BF32" s="294"/>
      <c r="BG32" s="294"/>
      <c r="BH32" s="294"/>
      <c r="BI32" s="294"/>
      <c r="BJ32" s="295"/>
      <c r="BK32" s="30"/>
    </row>
    <row r="33" spans="1:63" s="31" customFormat="1" ht="15" customHeight="1" x14ac:dyDescent="0.25">
      <c r="A33" s="26"/>
      <c r="B33" s="33"/>
      <c r="C33" s="132">
        <v>5</v>
      </c>
      <c r="D33" s="134"/>
      <c r="E33" s="290" t="s">
        <v>24</v>
      </c>
      <c r="F33" s="291"/>
      <c r="G33" s="291"/>
      <c r="H33" s="291"/>
      <c r="I33" s="291"/>
      <c r="J33" s="291"/>
      <c r="K33" s="292"/>
      <c r="L33" s="129" t="s">
        <v>17</v>
      </c>
      <c r="M33" s="130"/>
      <c r="N33" s="131"/>
      <c r="O33" s="132" t="s">
        <v>63</v>
      </c>
      <c r="P33" s="133"/>
      <c r="Q33" s="133"/>
      <c r="R33" s="134"/>
      <c r="S33" s="132" t="s">
        <v>17</v>
      </c>
      <c r="T33" s="133"/>
      <c r="U33" s="133"/>
      <c r="V33" s="133"/>
      <c r="W33" s="133"/>
      <c r="X33" s="133"/>
      <c r="Y33" s="134"/>
      <c r="Z33" s="290" t="s">
        <v>24</v>
      </c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2"/>
      <c r="AQ33" s="293" t="s">
        <v>93</v>
      </c>
      <c r="AR33" s="294"/>
      <c r="AS33" s="294"/>
      <c r="AT33" s="294"/>
      <c r="AU33" s="294"/>
      <c r="AV33" s="294"/>
      <c r="AW33" s="294"/>
      <c r="AX33" s="294"/>
      <c r="AY33" s="294"/>
      <c r="AZ33" s="294"/>
      <c r="BA33" s="294"/>
      <c r="BB33" s="294"/>
      <c r="BC33" s="294"/>
      <c r="BD33" s="294"/>
      <c r="BE33" s="294"/>
      <c r="BF33" s="294"/>
      <c r="BG33" s="294"/>
      <c r="BH33" s="294"/>
      <c r="BI33" s="294"/>
      <c r="BJ33" s="295"/>
      <c r="BK33" s="30"/>
    </row>
    <row r="34" spans="1:63" s="31" customFormat="1" ht="15" customHeight="1" x14ac:dyDescent="0.25">
      <c r="A34" s="26"/>
      <c r="B34" s="33"/>
      <c r="C34" s="33"/>
      <c r="D34" s="33"/>
      <c r="E34" s="274"/>
      <c r="F34" s="274"/>
      <c r="G34" s="274"/>
      <c r="H34" s="274"/>
      <c r="I34" s="33"/>
      <c r="J34" s="33"/>
      <c r="K34" s="33"/>
      <c r="L34" s="42"/>
      <c r="M34" s="274"/>
      <c r="N34" s="274"/>
      <c r="O34" s="274"/>
      <c r="P34" s="274"/>
      <c r="Q34" s="33"/>
      <c r="R34" s="33"/>
      <c r="S34" s="33"/>
      <c r="T34" s="33"/>
      <c r="U34" s="33"/>
      <c r="V34" s="33"/>
      <c r="W34" s="33"/>
      <c r="X34" s="33"/>
      <c r="Y34" s="33"/>
      <c r="Z34" s="40"/>
      <c r="AA34" s="33"/>
      <c r="AB34" s="33"/>
      <c r="AC34" s="33"/>
      <c r="AD34" s="33"/>
      <c r="AE34" s="33"/>
      <c r="AF34" s="33"/>
      <c r="AG34" s="274"/>
      <c r="AH34" s="274"/>
      <c r="AI34" s="274"/>
      <c r="AJ34" s="274"/>
      <c r="AK34" s="274"/>
      <c r="AL34" s="274"/>
      <c r="AM34" s="274"/>
      <c r="AN34" s="274"/>
      <c r="AO34" s="274"/>
      <c r="AP34" s="33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6" t="s">
        <v>94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3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4"/>
      <c r="BI36" s="34"/>
      <c r="BJ36" s="34"/>
      <c r="BK36" s="30"/>
    </row>
    <row r="37" spans="1:63" s="31" customFormat="1" ht="15" customHeight="1" x14ac:dyDescent="0.25">
      <c r="A37" s="26"/>
      <c r="B37" s="33"/>
      <c r="C37" s="174" t="s">
        <v>25</v>
      </c>
      <c r="D37" s="175"/>
      <c r="E37" s="138" t="s">
        <v>95</v>
      </c>
      <c r="F37" s="332"/>
      <c r="G37" s="332"/>
      <c r="H37" s="332"/>
      <c r="I37" s="332"/>
      <c r="J37" s="332"/>
      <c r="K37" s="333"/>
      <c r="L37" s="141" t="s">
        <v>38</v>
      </c>
      <c r="M37" s="142"/>
      <c r="N37" s="143"/>
      <c r="O37" s="141" t="s">
        <v>39</v>
      </c>
      <c r="P37" s="142"/>
      <c r="Q37" s="142"/>
      <c r="R37" s="143"/>
      <c r="S37" s="141" t="s">
        <v>40</v>
      </c>
      <c r="T37" s="142"/>
      <c r="U37" s="142"/>
      <c r="V37" s="142"/>
      <c r="W37" s="142"/>
      <c r="X37" s="142"/>
      <c r="Y37" s="143"/>
      <c r="Z37" s="138" t="s">
        <v>90</v>
      </c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40"/>
      <c r="AQ37" s="176" t="s">
        <v>37</v>
      </c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8"/>
      <c r="BK37" s="30"/>
    </row>
    <row r="38" spans="1:63" s="31" customFormat="1" ht="15" customHeight="1" x14ac:dyDescent="0.25">
      <c r="A38" s="26"/>
      <c r="B38" s="33"/>
      <c r="C38" s="129" t="s">
        <v>43</v>
      </c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1"/>
      <c r="BK38" s="30"/>
    </row>
    <row r="39" spans="1:63" s="31" customFormat="1" ht="15" customHeight="1" x14ac:dyDescent="0.25">
      <c r="A39" s="26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4"/>
      <c r="BI39" s="34"/>
      <c r="BJ39" s="34"/>
      <c r="BK39" s="30"/>
    </row>
    <row r="40" spans="1:63" s="31" customFormat="1" ht="15" customHeight="1" x14ac:dyDescent="0.25">
      <c r="A40" s="26"/>
      <c r="B40" s="33"/>
      <c r="C40" s="36" t="s">
        <v>96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4"/>
      <c r="BI40" s="34"/>
      <c r="BJ40" s="34"/>
      <c r="BK40" s="30"/>
    </row>
    <row r="41" spans="1:63" s="31" customFormat="1" ht="15" customHeight="1" x14ac:dyDescent="0.25">
      <c r="A41" s="26"/>
      <c r="B41" s="33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4"/>
      <c r="BI41" s="34"/>
      <c r="BJ41" s="34"/>
      <c r="BK41" s="30"/>
    </row>
    <row r="42" spans="1:63" s="31" customFormat="1" ht="15" customHeight="1" x14ac:dyDescent="0.25">
      <c r="A42" s="26"/>
      <c r="B42" s="33"/>
      <c r="C42" s="174" t="s">
        <v>25</v>
      </c>
      <c r="D42" s="175"/>
      <c r="E42" s="334" t="s">
        <v>41</v>
      </c>
      <c r="F42" s="332"/>
      <c r="G42" s="332"/>
      <c r="H42" s="332"/>
      <c r="I42" s="332"/>
      <c r="J42" s="332"/>
      <c r="K42" s="333"/>
      <c r="L42" s="141" t="s">
        <v>38</v>
      </c>
      <c r="M42" s="142"/>
      <c r="N42" s="143"/>
      <c r="O42" s="141" t="s">
        <v>39</v>
      </c>
      <c r="P42" s="142"/>
      <c r="Q42" s="142"/>
      <c r="R42" s="143"/>
      <c r="S42" s="141" t="s">
        <v>40</v>
      </c>
      <c r="T42" s="142"/>
      <c r="U42" s="142"/>
      <c r="V42" s="142"/>
      <c r="W42" s="142"/>
      <c r="X42" s="142"/>
      <c r="Y42" s="143"/>
      <c r="Z42" s="138" t="s">
        <v>90</v>
      </c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40"/>
      <c r="AQ42" s="176" t="s">
        <v>37</v>
      </c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8"/>
      <c r="BK42" s="30"/>
    </row>
    <row r="43" spans="1:63" s="31" customFormat="1" ht="15" customHeight="1" x14ac:dyDescent="0.25">
      <c r="A43" s="26"/>
      <c r="B43" s="33"/>
      <c r="C43" s="132">
        <v>1</v>
      </c>
      <c r="D43" s="134"/>
      <c r="E43" s="290" t="s">
        <v>57</v>
      </c>
      <c r="F43" s="291"/>
      <c r="G43" s="291"/>
      <c r="H43" s="291"/>
      <c r="I43" s="291"/>
      <c r="J43" s="291"/>
      <c r="K43" s="292"/>
      <c r="L43" s="129"/>
      <c r="M43" s="130"/>
      <c r="N43" s="131"/>
      <c r="O43" s="132" t="s">
        <v>44</v>
      </c>
      <c r="P43" s="133"/>
      <c r="Q43" s="133"/>
      <c r="R43" s="134"/>
      <c r="S43" s="132" t="s">
        <v>17</v>
      </c>
      <c r="T43" s="133"/>
      <c r="U43" s="133"/>
      <c r="V43" s="133"/>
      <c r="W43" s="133"/>
      <c r="X43" s="133"/>
      <c r="Y43" s="134"/>
      <c r="Z43" s="339" t="s">
        <v>17</v>
      </c>
      <c r="AA43" s="340"/>
      <c r="AB43" s="340"/>
      <c r="AC43" s="340"/>
      <c r="AD43" s="340"/>
      <c r="AE43" s="340"/>
      <c r="AF43" s="340"/>
      <c r="AG43" s="340"/>
      <c r="AH43" s="340"/>
      <c r="AI43" s="340"/>
      <c r="AJ43" s="340"/>
      <c r="AK43" s="340"/>
      <c r="AL43" s="340"/>
      <c r="AM43" s="340"/>
      <c r="AN43" s="340"/>
      <c r="AO43" s="340"/>
      <c r="AP43" s="341"/>
      <c r="AQ43" s="173" t="s">
        <v>97</v>
      </c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1"/>
      <c r="BK43" s="30"/>
    </row>
    <row r="44" spans="1:63" s="31" customFormat="1" ht="15.75" customHeight="1" x14ac:dyDescent="0.25">
      <c r="A44" s="26"/>
      <c r="B44" s="33"/>
      <c r="C44" s="158">
        <v>2</v>
      </c>
      <c r="D44" s="160"/>
      <c r="E44" s="278" t="s">
        <v>98</v>
      </c>
      <c r="F44" s="279"/>
      <c r="G44" s="279"/>
      <c r="H44" s="279"/>
      <c r="I44" s="279"/>
      <c r="J44" s="279"/>
      <c r="K44" s="280"/>
      <c r="L44" s="152" t="s">
        <v>17</v>
      </c>
      <c r="M44" s="153"/>
      <c r="N44" s="154"/>
      <c r="O44" s="158" t="s">
        <v>50</v>
      </c>
      <c r="P44" s="159"/>
      <c r="Q44" s="159"/>
      <c r="R44" s="160"/>
      <c r="S44" s="158" t="s">
        <v>17</v>
      </c>
      <c r="T44" s="159"/>
      <c r="U44" s="159"/>
      <c r="V44" s="159"/>
      <c r="W44" s="159"/>
      <c r="X44" s="159"/>
      <c r="Y44" s="160"/>
      <c r="Z44" s="342" t="s">
        <v>99</v>
      </c>
      <c r="AA44" s="343"/>
      <c r="AB44" s="343"/>
      <c r="AC44" s="343"/>
      <c r="AD44" s="343"/>
      <c r="AE44" s="343"/>
      <c r="AF44" s="343"/>
      <c r="AG44" s="343"/>
      <c r="AH44" s="343"/>
      <c r="AI44" s="343"/>
      <c r="AJ44" s="343"/>
      <c r="AK44" s="343"/>
      <c r="AL44" s="343"/>
      <c r="AM44" s="343"/>
      <c r="AN44" s="343"/>
      <c r="AO44" s="343"/>
      <c r="AP44" s="344"/>
      <c r="AQ44" s="281" t="s">
        <v>100</v>
      </c>
      <c r="AR44" s="282"/>
      <c r="AS44" s="282"/>
      <c r="AT44" s="282"/>
      <c r="AU44" s="282"/>
      <c r="AV44" s="282"/>
      <c r="AW44" s="282"/>
      <c r="AX44" s="282"/>
      <c r="AY44" s="282"/>
      <c r="AZ44" s="282"/>
      <c r="BA44" s="282"/>
      <c r="BB44" s="282"/>
      <c r="BC44" s="282"/>
      <c r="BD44" s="282"/>
      <c r="BE44" s="282"/>
      <c r="BF44" s="282"/>
      <c r="BG44" s="282"/>
      <c r="BH44" s="282"/>
      <c r="BI44" s="282"/>
      <c r="BJ44" s="283"/>
      <c r="BK44" s="30"/>
    </row>
    <row r="45" spans="1:63" s="31" customFormat="1" ht="15.75" customHeight="1" x14ac:dyDescent="0.25">
      <c r="A45" s="26"/>
      <c r="B45" s="33"/>
      <c r="C45" s="161"/>
      <c r="D45" s="163"/>
      <c r="E45" s="284"/>
      <c r="F45" s="285"/>
      <c r="G45" s="285"/>
      <c r="H45" s="285"/>
      <c r="I45" s="285"/>
      <c r="J45" s="285"/>
      <c r="K45" s="286"/>
      <c r="L45" s="155"/>
      <c r="M45" s="156"/>
      <c r="N45" s="157"/>
      <c r="O45" s="161"/>
      <c r="P45" s="162"/>
      <c r="Q45" s="162"/>
      <c r="R45" s="163"/>
      <c r="S45" s="161"/>
      <c r="T45" s="162"/>
      <c r="U45" s="162"/>
      <c r="V45" s="162"/>
      <c r="W45" s="162"/>
      <c r="X45" s="162"/>
      <c r="Y45" s="163"/>
      <c r="Z45" s="345"/>
      <c r="AA45" s="346"/>
      <c r="AB45" s="346"/>
      <c r="AC45" s="346"/>
      <c r="AD45" s="346"/>
      <c r="AE45" s="346"/>
      <c r="AF45" s="346"/>
      <c r="AG45" s="346"/>
      <c r="AH45" s="346"/>
      <c r="AI45" s="346"/>
      <c r="AJ45" s="346"/>
      <c r="AK45" s="346"/>
      <c r="AL45" s="346"/>
      <c r="AM45" s="346"/>
      <c r="AN45" s="346"/>
      <c r="AO45" s="346"/>
      <c r="AP45" s="347"/>
      <c r="AQ45" s="287"/>
      <c r="AR45" s="288"/>
      <c r="AS45" s="288"/>
      <c r="AT45" s="288"/>
      <c r="AU45" s="288"/>
      <c r="AV45" s="288"/>
      <c r="AW45" s="288"/>
      <c r="AX45" s="288"/>
      <c r="AY45" s="288"/>
      <c r="AZ45" s="288"/>
      <c r="BA45" s="288"/>
      <c r="BB45" s="288"/>
      <c r="BC45" s="288"/>
      <c r="BD45" s="288"/>
      <c r="BE45" s="288"/>
      <c r="BF45" s="288"/>
      <c r="BG45" s="288"/>
      <c r="BH45" s="288"/>
      <c r="BI45" s="288"/>
      <c r="BJ45" s="289"/>
      <c r="BK45" s="30"/>
    </row>
    <row r="46" spans="1:63" s="31" customFormat="1" x14ac:dyDescent="0.25">
      <c r="A46" s="26"/>
      <c r="B46" s="33"/>
      <c r="C46" s="132">
        <v>3</v>
      </c>
      <c r="D46" s="134"/>
      <c r="E46" s="290" t="s">
        <v>101</v>
      </c>
      <c r="F46" s="291"/>
      <c r="G46" s="291"/>
      <c r="H46" s="291"/>
      <c r="I46" s="291"/>
      <c r="J46" s="291"/>
      <c r="K46" s="292"/>
      <c r="L46" s="129" t="s">
        <v>16</v>
      </c>
      <c r="M46" s="130"/>
      <c r="N46" s="131"/>
      <c r="O46" s="132" t="s">
        <v>63</v>
      </c>
      <c r="P46" s="133"/>
      <c r="Q46" s="133"/>
      <c r="R46" s="134"/>
      <c r="S46" s="132" t="s">
        <v>17</v>
      </c>
      <c r="T46" s="133"/>
      <c r="U46" s="133"/>
      <c r="V46" s="133"/>
      <c r="W46" s="133"/>
      <c r="X46" s="133"/>
      <c r="Y46" s="134"/>
      <c r="Z46" s="339" t="s">
        <v>102</v>
      </c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  <c r="AK46" s="340"/>
      <c r="AL46" s="340"/>
      <c r="AM46" s="340"/>
      <c r="AN46" s="340"/>
      <c r="AO46" s="340"/>
      <c r="AP46" s="341"/>
      <c r="AQ46" s="135" t="s">
        <v>103</v>
      </c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5"/>
      <c r="BK46" s="30"/>
    </row>
    <row r="47" spans="1:63" s="31" customFormat="1" ht="36" customHeight="1" x14ac:dyDescent="0.25">
      <c r="A47" s="26"/>
      <c r="B47" s="33"/>
      <c r="C47" s="132">
        <v>4</v>
      </c>
      <c r="D47" s="134"/>
      <c r="E47" s="290" t="s">
        <v>104</v>
      </c>
      <c r="F47" s="291"/>
      <c r="G47" s="291"/>
      <c r="H47" s="291"/>
      <c r="I47" s="291"/>
      <c r="J47" s="291"/>
      <c r="K47" s="292"/>
      <c r="L47" s="129" t="s">
        <v>16</v>
      </c>
      <c r="M47" s="130"/>
      <c r="N47" s="131"/>
      <c r="O47" s="132" t="s">
        <v>63</v>
      </c>
      <c r="P47" s="133"/>
      <c r="Q47" s="133"/>
      <c r="R47" s="134"/>
      <c r="S47" s="132" t="s">
        <v>17</v>
      </c>
      <c r="T47" s="133"/>
      <c r="U47" s="133"/>
      <c r="V47" s="133"/>
      <c r="W47" s="133"/>
      <c r="X47" s="133"/>
      <c r="Y47" s="134"/>
      <c r="Z47" s="339" t="s">
        <v>105</v>
      </c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1"/>
      <c r="AQ47" s="135" t="s">
        <v>106</v>
      </c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7"/>
      <c r="BK47" s="30"/>
    </row>
    <row r="48" spans="1:63" s="31" customFormat="1" ht="36" customHeight="1" x14ac:dyDescent="0.25">
      <c r="A48" s="26"/>
      <c r="B48" s="33"/>
      <c r="C48" s="132">
        <v>5</v>
      </c>
      <c r="D48" s="134"/>
      <c r="E48" s="290" t="s">
        <v>107</v>
      </c>
      <c r="F48" s="291"/>
      <c r="G48" s="291"/>
      <c r="H48" s="291"/>
      <c r="I48" s="291"/>
      <c r="J48" s="291"/>
      <c r="K48" s="292"/>
      <c r="L48" s="129" t="s">
        <v>16</v>
      </c>
      <c r="M48" s="130"/>
      <c r="N48" s="131"/>
      <c r="O48" s="132" t="s">
        <v>49</v>
      </c>
      <c r="P48" s="133"/>
      <c r="Q48" s="133"/>
      <c r="R48" s="134"/>
      <c r="S48" s="132" t="s">
        <v>17</v>
      </c>
      <c r="T48" s="133"/>
      <c r="U48" s="133"/>
      <c r="V48" s="133"/>
      <c r="W48" s="133"/>
      <c r="X48" s="133"/>
      <c r="Y48" s="134"/>
      <c r="Z48" s="339" t="s">
        <v>108</v>
      </c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1"/>
      <c r="AQ48" s="335" t="s">
        <v>144</v>
      </c>
      <c r="AR48" s="294"/>
      <c r="AS48" s="294"/>
      <c r="AT48" s="294"/>
      <c r="AU48" s="294"/>
      <c r="AV48" s="294"/>
      <c r="AW48" s="294"/>
      <c r="AX48" s="294"/>
      <c r="AY48" s="294"/>
      <c r="AZ48" s="294"/>
      <c r="BA48" s="294"/>
      <c r="BB48" s="294"/>
      <c r="BC48" s="294"/>
      <c r="BD48" s="294"/>
      <c r="BE48" s="294"/>
      <c r="BF48" s="294"/>
      <c r="BG48" s="294"/>
      <c r="BH48" s="294"/>
      <c r="BI48" s="294"/>
      <c r="BJ48" s="295"/>
      <c r="BK48" s="30"/>
    </row>
    <row r="49" spans="1:63" s="31" customFormat="1" ht="51" customHeight="1" x14ac:dyDescent="0.25">
      <c r="A49" s="26"/>
      <c r="B49" s="33"/>
      <c r="C49" s="132">
        <v>6</v>
      </c>
      <c r="D49" s="134"/>
      <c r="E49" s="290" t="s">
        <v>109</v>
      </c>
      <c r="F49" s="291"/>
      <c r="G49" s="291"/>
      <c r="H49" s="291"/>
      <c r="I49" s="291"/>
      <c r="J49" s="291"/>
      <c r="K49" s="292"/>
      <c r="L49" s="129" t="s">
        <v>16</v>
      </c>
      <c r="M49" s="130"/>
      <c r="N49" s="131"/>
      <c r="O49" s="132" t="s">
        <v>63</v>
      </c>
      <c r="P49" s="133"/>
      <c r="Q49" s="133"/>
      <c r="R49" s="134"/>
      <c r="S49" s="132" t="s">
        <v>17</v>
      </c>
      <c r="T49" s="133"/>
      <c r="U49" s="133"/>
      <c r="V49" s="133"/>
      <c r="W49" s="133"/>
      <c r="X49" s="133"/>
      <c r="Y49" s="134"/>
      <c r="Z49" s="339" t="s">
        <v>110</v>
      </c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1"/>
      <c r="AQ49" s="293" t="s">
        <v>111</v>
      </c>
      <c r="AR49" s="294"/>
      <c r="AS49" s="294"/>
      <c r="AT49" s="294"/>
      <c r="AU49" s="294"/>
      <c r="AV49" s="294"/>
      <c r="AW49" s="294"/>
      <c r="AX49" s="294"/>
      <c r="AY49" s="294"/>
      <c r="AZ49" s="294"/>
      <c r="BA49" s="294"/>
      <c r="BB49" s="294"/>
      <c r="BC49" s="294"/>
      <c r="BD49" s="294"/>
      <c r="BE49" s="294"/>
      <c r="BF49" s="294"/>
      <c r="BG49" s="294"/>
      <c r="BH49" s="294"/>
      <c r="BI49" s="294"/>
      <c r="BJ49" s="295"/>
      <c r="BK49" s="30"/>
    </row>
    <row r="50" spans="1:63" s="31" customFormat="1" ht="76.5" customHeight="1" x14ac:dyDescent="0.25">
      <c r="A50" s="26"/>
      <c r="B50" s="33"/>
      <c r="C50" s="132">
        <v>7</v>
      </c>
      <c r="D50" s="134"/>
      <c r="E50" s="290" t="s">
        <v>112</v>
      </c>
      <c r="F50" s="291"/>
      <c r="G50" s="291"/>
      <c r="H50" s="291"/>
      <c r="I50" s="291"/>
      <c r="J50" s="291"/>
      <c r="K50" s="292"/>
      <c r="L50" s="129" t="s">
        <v>16</v>
      </c>
      <c r="M50" s="130"/>
      <c r="N50" s="131"/>
      <c r="O50" s="132" t="s">
        <v>58</v>
      </c>
      <c r="P50" s="133"/>
      <c r="Q50" s="133"/>
      <c r="R50" s="134"/>
      <c r="S50" s="132" t="s">
        <v>17</v>
      </c>
      <c r="T50" s="133"/>
      <c r="U50" s="133"/>
      <c r="V50" s="133"/>
      <c r="W50" s="133"/>
      <c r="X50" s="133"/>
      <c r="Y50" s="134"/>
      <c r="Z50" s="348" t="s">
        <v>113</v>
      </c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  <c r="AK50" s="340"/>
      <c r="AL50" s="340"/>
      <c r="AM50" s="340"/>
      <c r="AN50" s="340"/>
      <c r="AO50" s="340"/>
      <c r="AP50" s="341"/>
      <c r="AQ50" s="135" t="s">
        <v>145</v>
      </c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5"/>
      <c r="BK50" s="30"/>
    </row>
    <row r="51" spans="1:63" s="31" customFormat="1" ht="181.5" customHeight="1" x14ac:dyDescent="0.25">
      <c r="A51" s="26"/>
      <c r="B51" s="33"/>
      <c r="C51" s="132">
        <v>8</v>
      </c>
      <c r="D51" s="134"/>
      <c r="E51" s="290" t="s">
        <v>114</v>
      </c>
      <c r="F51" s="291"/>
      <c r="G51" s="291"/>
      <c r="H51" s="291"/>
      <c r="I51" s="291"/>
      <c r="J51" s="291"/>
      <c r="K51" s="292"/>
      <c r="L51" s="129" t="s">
        <v>16</v>
      </c>
      <c r="M51" s="130"/>
      <c r="N51" s="131"/>
      <c r="O51" s="132" t="s">
        <v>58</v>
      </c>
      <c r="P51" s="133"/>
      <c r="Q51" s="133"/>
      <c r="R51" s="134"/>
      <c r="S51" s="132" t="s">
        <v>17</v>
      </c>
      <c r="T51" s="133"/>
      <c r="U51" s="133"/>
      <c r="V51" s="133"/>
      <c r="W51" s="133"/>
      <c r="X51" s="133"/>
      <c r="Y51" s="134"/>
      <c r="Z51" s="348" t="s">
        <v>115</v>
      </c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1"/>
      <c r="AQ51" s="293" t="s">
        <v>146</v>
      </c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4"/>
      <c r="BH51" s="294"/>
      <c r="BI51" s="294"/>
      <c r="BJ51" s="295"/>
      <c r="BK51" s="30"/>
    </row>
    <row r="52" spans="1:63" s="31" customFormat="1" ht="42.75" customHeight="1" x14ac:dyDescent="0.25">
      <c r="A52" s="26"/>
      <c r="B52" s="33"/>
      <c r="C52" s="132">
        <v>9</v>
      </c>
      <c r="D52" s="134"/>
      <c r="E52" s="290" t="s">
        <v>116</v>
      </c>
      <c r="F52" s="291"/>
      <c r="G52" s="291"/>
      <c r="H52" s="291"/>
      <c r="I52" s="291"/>
      <c r="J52" s="291"/>
      <c r="K52" s="292"/>
      <c r="L52" s="129" t="s">
        <v>17</v>
      </c>
      <c r="M52" s="130"/>
      <c r="N52" s="131"/>
      <c r="O52" s="132" t="s">
        <v>63</v>
      </c>
      <c r="P52" s="133"/>
      <c r="Q52" s="133"/>
      <c r="R52" s="134"/>
      <c r="S52" s="132" t="s">
        <v>17</v>
      </c>
      <c r="T52" s="133"/>
      <c r="U52" s="133"/>
      <c r="V52" s="133"/>
      <c r="W52" s="133"/>
      <c r="X52" s="133"/>
      <c r="Y52" s="134"/>
      <c r="Z52" s="339" t="s">
        <v>117</v>
      </c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1"/>
      <c r="AQ52" s="135" t="s">
        <v>118</v>
      </c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5"/>
      <c r="BK52" s="30"/>
    </row>
    <row r="53" spans="1:63" s="31" customFormat="1" ht="124.5" customHeight="1" x14ac:dyDescent="0.25">
      <c r="A53" s="26"/>
      <c r="B53" s="33"/>
      <c r="C53" s="132">
        <v>10</v>
      </c>
      <c r="D53" s="134"/>
      <c r="E53" s="339" t="s">
        <v>119</v>
      </c>
      <c r="F53" s="340"/>
      <c r="G53" s="340"/>
      <c r="H53" s="340"/>
      <c r="I53" s="340"/>
      <c r="J53" s="340"/>
      <c r="K53" s="341"/>
      <c r="L53" s="129" t="s">
        <v>16</v>
      </c>
      <c r="M53" s="130"/>
      <c r="N53" s="131"/>
      <c r="O53" s="132" t="s">
        <v>63</v>
      </c>
      <c r="P53" s="133"/>
      <c r="Q53" s="133"/>
      <c r="R53" s="134"/>
      <c r="S53" s="132" t="s">
        <v>17</v>
      </c>
      <c r="T53" s="133"/>
      <c r="U53" s="133"/>
      <c r="V53" s="133"/>
      <c r="W53" s="133"/>
      <c r="X53" s="133"/>
      <c r="Y53" s="134"/>
      <c r="Z53" s="339" t="s">
        <v>120</v>
      </c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1"/>
      <c r="AQ53" s="135" t="s">
        <v>150</v>
      </c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5"/>
      <c r="BK53" s="30"/>
    </row>
    <row r="54" spans="1:63" s="31" customFormat="1" ht="75.75" customHeight="1" x14ac:dyDescent="0.25">
      <c r="A54" s="26"/>
      <c r="B54" s="33"/>
      <c r="C54" s="132">
        <v>11</v>
      </c>
      <c r="D54" s="134"/>
      <c r="E54" s="339" t="s">
        <v>121</v>
      </c>
      <c r="F54" s="340"/>
      <c r="G54" s="340"/>
      <c r="H54" s="340"/>
      <c r="I54" s="340"/>
      <c r="J54" s="340"/>
      <c r="K54" s="341"/>
      <c r="L54" s="129" t="s">
        <v>16</v>
      </c>
      <c r="M54" s="130"/>
      <c r="N54" s="131"/>
      <c r="O54" s="132" t="s">
        <v>63</v>
      </c>
      <c r="P54" s="133"/>
      <c r="Q54" s="133"/>
      <c r="R54" s="134"/>
      <c r="S54" s="132" t="s">
        <v>17</v>
      </c>
      <c r="T54" s="133"/>
      <c r="U54" s="133"/>
      <c r="V54" s="133"/>
      <c r="W54" s="133"/>
      <c r="X54" s="133"/>
      <c r="Y54" s="134"/>
      <c r="Z54" s="339" t="s">
        <v>122</v>
      </c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1"/>
      <c r="AQ54" s="135" t="s">
        <v>147</v>
      </c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5"/>
      <c r="BK54" s="30"/>
    </row>
    <row r="55" spans="1:63" s="60" customFormat="1" ht="48" customHeight="1" x14ac:dyDescent="0.25">
      <c r="A55" s="57"/>
      <c r="B55" s="58"/>
      <c r="C55" s="339">
        <v>12</v>
      </c>
      <c r="D55" s="341"/>
      <c r="E55" s="339" t="s">
        <v>123</v>
      </c>
      <c r="F55" s="340"/>
      <c r="G55" s="340"/>
      <c r="H55" s="340"/>
      <c r="I55" s="340"/>
      <c r="J55" s="340"/>
      <c r="K55" s="341"/>
      <c r="L55" s="349" t="s">
        <v>16</v>
      </c>
      <c r="M55" s="350"/>
      <c r="N55" s="351"/>
      <c r="O55" s="339" t="s">
        <v>124</v>
      </c>
      <c r="P55" s="340"/>
      <c r="Q55" s="340"/>
      <c r="R55" s="341"/>
      <c r="S55" s="126" t="s">
        <v>17</v>
      </c>
      <c r="T55" s="128"/>
      <c r="U55" s="128"/>
      <c r="V55" s="128"/>
      <c r="W55" s="128"/>
      <c r="X55" s="128"/>
      <c r="Y55" s="127"/>
      <c r="Z55" s="339" t="s">
        <v>120</v>
      </c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0"/>
      <c r="AM55" s="340"/>
      <c r="AN55" s="340"/>
      <c r="AO55" s="340"/>
      <c r="AP55" s="341"/>
      <c r="AQ55" s="352" t="s">
        <v>125</v>
      </c>
      <c r="AR55" s="353"/>
      <c r="AS55" s="353"/>
      <c r="AT55" s="353"/>
      <c r="AU55" s="353"/>
      <c r="AV55" s="353"/>
      <c r="AW55" s="353"/>
      <c r="AX55" s="353"/>
      <c r="AY55" s="353"/>
      <c r="AZ55" s="353"/>
      <c r="BA55" s="353"/>
      <c r="BB55" s="353"/>
      <c r="BC55" s="353"/>
      <c r="BD55" s="353"/>
      <c r="BE55" s="353"/>
      <c r="BF55" s="353"/>
      <c r="BG55" s="353"/>
      <c r="BH55" s="353"/>
      <c r="BI55" s="353"/>
      <c r="BJ55" s="354"/>
      <c r="BK55" s="59"/>
    </row>
    <row r="56" spans="1:63" s="60" customFormat="1" ht="201.75" customHeight="1" x14ac:dyDescent="0.25">
      <c r="A56" s="57"/>
      <c r="B56" s="58"/>
      <c r="C56" s="339">
        <v>13</v>
      </c>
      <c r="D56" s="341"/>
      <c r="E56" s="339" t="s">
        <v>126</v>
      </c>
      <c r="F56" s="340"/>
      <c r="G56" s="340"/>
      <c r="H56" s="340"/>
      <c r="I56" s="340"/>
      <c r="J56" s="340"/>
      <c r="K56" s="341"/>
      <c r="L56" s="349" t="s">
        <v>16</v>
      </c>
      <c r="M56" s="350"/>
      <c r="N56" s="351"/>
      <c r="O56" s="339" t="s">
        <v>124</v>
      </c>
      <c r="P56" s="340"/>
      <c r="Q56" s="340"/>
      <c r="R56" s="341"/>
      <c r="S56" s="126" t="s">
        <v>17</v>
      </c>
      <c r="T56" s="128"/>
      <c r="U56" s="128"/>
      <c r="V56" s="128"/>
      <c r="W56" s="128"/>
      <c r="X56" s="128"/>
      <c r="Y56" s="127"/>
      <c r="Z56" s="339" t="s">
        <v>122</v>
      </c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1"/>
      <c r="AQ56" s="352" t="s">
        <v>148</v>
      </c>
      <c r="AR56" s="353"/>
      <c r="AS56" s="353"/>
      <c r="AT56" s="353"/>
      <c r="AU56" s="353"/>
      <c r="AV56" s="353"/>
      <c r="AW56" s="353"/>
      <c r="AX56" s="353"/>
      <c r="AY56" s="353"/>
      <c r="AZ56" s="353"/>
      <c r="BA56" s="353"/>
      <c r="BB56" s="353"/>
      <c r="BC56" s="353"/>
      <c r="BD56" s="353"/>
      <c r="BE56" s="353"/>
      <c r="BF56" s="353"/>
      <c r="BG56" s="353"/>
      <c r="BH56" s="353"/>
      <c r="BI56" s="353"/>
      <c r="BJ56" s="354"/>
      <c r="BK56" s="59"/>
    </row>
    <row r="57" spans="1:63" s="31" customFormat="1" ht="15" customHeight="1" x14ac:dyDescent="0.25">
      <c r="A57" s="26"/>
      <c r="B57" s="33"/>
      <c r="C57" s="33"/>
      <c r="D57" s="33"/>
      <c r="E57" s="274"/>
      <c r="F57" s="274"/>
      <c r="G57" s="274"/>
      <c r="H57" s="274"/>
      <c r="I57" s="274"/>
      <c r="J57" s="274"/>
      <c r="K57" s="274"/>
      <c r="L57" s="55"/>
      <c r="M57" s="55"/>
      <c r="N57" s="55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30"/>
    </row>
    <row r="58" spans="1:63" s="31" customFormat="1" ht="15" customHeight="1" x14ac:dyDescent="0.25">
      <c r="A58" s="26"/>
      <c r="B58" s="33"/>
      <c r="C58" s="33"/>
      <c r="D58" s="33"/>
      <c r="E58" s="274"/>
      <c r="F58" s="274"/>
      <c r="G58" s="274"/>
      <c r="H58" s="274"/>
      <c r="I58" s="274"/>
      <c r="J58" s="274"/>
      <c r="K58" s="274"/>
      <c r="L58" s="55"/>
      <c r="M58" s="55"/>
      <c r="N58" s="55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30"/>
    </row>
    <row r="59" spans="1:63" s="31" customFormat="1" ht="15" customHeight="1" x14ac:dyDescent="0.25">
      <c r="A59" s="26"/>
      <c r="B59" s="33"/>
      <c r="C59" s="36" t="s">
        <v>127</v>
      </c>
      <c r="D59" s="33"/>
      <c r="E59" s="274"/>
      <c r="F59" s="33"/>
      <c r="G59" s="27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30"/>
    </row>
    <row r="60" spans="1:63" s="31" customFormat="1" ht="15" customHeight="1" x14ac:dyDescent="0.25">
      <c r="A60" s="26"/>
      <c r="B60" s="33"/>
      <c r="C60" s="36"/>
      <c r="D60" s="274"/>
      <c r="E60" s="274"/>
      <c r="F60" s="33"/>
      <c r="G60" s="274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30"/>
    </row>
    <row r="61" spans="1:63" s="31" customFormat="1" ht="15" customHeight="1" x14ac:dyDescent="0.25">
      <c r="A61" s="26"/>
      <c r="B61" s="33"/>
      <c r="C61" s="336" t="s">
        <v>59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37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30"/>
    </row>
    <row r="62" spans="1:63" s="31" customFormat="1" ht="15" customHeight="1" x14ac:dyDescent="0.25">
      <c r="A62" s="26"/>
      <c r="B62" s="33"/>
      <c r="C62" s="337" t="s">
        <v>52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8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30"/>
    </row>
    <row r="63" spans="1:63" s="31" customFormat="1" ht="15" customHeight="1" x14ac:dyDescent="0.25">
      <c r="A63" s="26"/>
      <c r="B63" s="33"/>
      <c r="C63" s="337" t="s">
        <v>128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8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30"/>
    </row>
    <row r="64" spans="1:63" s="31" customFormat="1" ht="15" customHeight="1" x14ac:dyDescent="0.25">
      <c r="A64" s="26"/>
      <c r="B64" s="33"/>
      <c r="C64" s="337" t="s">
        <v>129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8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30"/>
    </row>
    <row r="65" spans="1:63" s="31" customFormat="1" ht="15" customHeight="1" x14ac:dyDescent="0.25">
      <c r="A65" s="26"/>
      <c r="B65" s="33"/>
      <c r="C65" s="337" t="s">
        <v>130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8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30"/>
    </row>
    <row r="66" spans="1:63" s="31" customFormat="1" ht="15" customHeight="1" x14ac:dyDescent="0.25">
      <c r="A66" s="26"/>
      <c r="B66" s="33"/>
      <c r="C66" s="337" t="s">
        <v>131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8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30"/>
    </row>
    <row r="67" spans="1:63" s="31" customFormat="1" ht="15" customHeight="1" x14ac:dyDescent="0.25">
      <c r="A67" s="26"/>
      <c r="B67" s="33"/>
      <c r="C67" s="337" t="s">
        <v>132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8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30"/>
    </row>
    <row r="68" spans="1:63" s="31" customFormat="1" ht="15" customHeight="1" x14ac:dyDescent="0.25">
      <c r="A68" s="26"/>
      <c r="B68" s="33"/>
      <c r="C68" s="337" t="s">
        <v>133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8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30"/>
    </row>
    <row r="69" spans="1:63" s="31" customFormat="1" ht="15" customHeight="1" x14ac:dyDescent="0.25">
      <c r="A69" s="26"/>
      <c r="B69" s="33"/>
      <c r="C69" s="337" t="s">
        <v>134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8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30"/>
    </row>
    <row r="70" spans="1:63" s="31" customFormat="1" ht="15" customHeight="1" x14ac:dyDescent="0.25">
      <c r="A70" s="26"/>
      <c r="B70" s="33"/>
      <c r="C70" s="337" t="s">
        <v>135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8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30"/>
    </row>
    <row r="71" spans="1:63" s="31" customFormat="1" ht="15" customHeight="1" x14ac:dyDescent="0.25">
      <c r="A71" s="26"/>
      <c r="B71" s="33"/>
      <c r="C71" s="61" t="s">
        <v>149</v>
      </c>
      <c r="D71" s="45"/>
      <c r="E71" s="355"/>
      <c r="F71" s="355"/>
      <c r="G71" s="355"/>
      <c r="H71" s="355"/>
      <c r="I71" s="355"/>
      <c r="J71" s="355"/>
      <c r="K71" s="355"/>
      <c r="L71" s="355"/>
      <c r="M71" s="355"/>
      <c r="N71" s="45"/>
      <c r="O71" s="45"/>
      <c r="P71" s="45"/>
      <c r="Q71" s="45"/>
      <c r="R71" s="45"/>
      <c r="S71" s="45"/>
      <c r="T71" s="45"/>
      <c r="U71" s="45"/>
      <c r="V71" s="45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8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30"/>
    </row>
    <row r="72" spans="1:63" s="31" customFormat="1" ht="15" customHeight="1" x14ac:dyDescent="0.25">
      <c r="A72" s="26"/>
      <c r="B72" s="33"/>
      <c r="C72" s="356" t="s">
        <v>136</v>
      </c>
      <c r="D72" s="45"/>
      <c r="E72" s="355"/>
      <c r="F72" s="355"/>
      <c r="G72" s="355"/>
      <c r="H72" s="355"/>
      <c r="I72" s="355"/>
      <c r="J72" s="355"/>
      <c r="K72" s="355"/>
      <c r="L72" s="355"/>
      <c r="M72" s="355"/>
      <c r="N72" s="45"/>
      <c r="O72" s="45"/>
      <c r="P72" s="45"/>
      <c r="Q72" s="45"/>
      <c r="R72" s="45"/>
      <c r="S72" s="45"/>
      <c r="T72" s="45"/>
      <c r="U72" s="45"/>
      <c r="V72" s="45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8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30"/>
    </row>
    <row r="73" spans="1:63" s="31" customFormat="1" ht="15" customHeight="1" x14ac:dyDescent="0.25">
      <c r="A73" s="26"/>
      <c r="B73" s="33"/>
      <c r="C73" s="356" t="s">
        <v>137</v>
      </c>
      <c r="D73" s="45"/>
      <c r="E73" s="355"/>
      <c r="F73" s="355"/>
      <c r="G73" s="355"/>
      <c r="H73" s="355"/>
      <c r="I73" s="355"/>
      <c r="J73" s="355"/>
      <c r="K73" s="355"/>
      <c r="L73" s="355"/>
      <c r="M73" s="355"/>
      <c r="N73" s="45"/>
      <c r="O73" s="45"/>
      <c r="P73" s="45"/>
      <c r="Q73" s="45"/>
      <c r="R73" s="45"/>
      <c r="S73" s="45"/>
      <c r="T73" s="45"/>
      <c r="U73" s="45"/>
      <c r="V73" s="45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8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30"/>
    </row>
    <row r="74" spans="1:63" s="31" customFormat="1" ht="15" customHeight="1" x14ac:dyDescent="0.25">
      <c r="A74" s="26"/>
      <c r="B74" s="33"/>
      <c r="C74" s="356" t="s">
        <v>138</v>
      </c>
      <c r="D74" s="45"/>
      <c r="E74" s="355"/>
      <c r="F74" s="355"/>
      <c r="G74" s="355"/>
      <c r="H74" s="355"/>
      <c r="I74" s="355"/>
      <c r="J74" s="355"/>
      <c r="K74" s="355"/>
      <c r="L74" s="355"/>
      <c r="M74" s="355"/>
      <c r="N74" s="45"/>
      <c r="O74" s="45"/>
      <c r="P74" s="45"/>
      <c r="Q74" s="45"/>
      <c r="R74" s="45"/>
      <c r="S74" s="45"/>
      <c r="T74" s="45"/>
      <c r="U74" s="45"/>
      <c r="V74" s="45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8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30"/>
    </row>
    <row r="75" spans="1:63" s="31" customFormat="1" ht="15" customHeight="1" x14ac:dyDescent="0.25">
      <c r="A75" s="26"/>
      <c r="B75" s="33"/>
      <c r="C75" s="337" t="s">
        <v>60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8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30"/>
    </row>
    <row r="76" spans="1:63" s="31" customFormat="1" ht="15" customHeight="1" x14ac:dyDescent="0.25">
      <c r="A76" s="26"/>
      <c r="B76" s="33"/>
      <c r="C76" s="338" t="s">
        <v>51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39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30"/>
    </row>
    <row r="77" spans="1:63" s="31" customFormat="1" ht="15" customHeight="1" x14ac:dyDescent="0.25">
      <c r="A77" s="26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4"/>
      <c r="BI77" s="34"/>
      <c r="BJ77" s="34"/>
      <c r="BK77" s="30"/>
    </row>
    <row r="78" spans="1:63" s="31" customFormat="1" ht="15" customHeight="1" x14ac:dyDescent="0.25">
      <c r="A78" s="26"/>
      <c r="B78" s="35" t="s">
        <v>139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9"/>
      <c r="BI78" s="29"/>
      <c r="BJ78" s="29"/>
      <c r="BK78" s="30"/>
    </row>
    <row r="79" spans="1:63" s="31" customFormat="1" ht="15" customHeight="1" x14ac:dyDescent="0.25">
      <c r="A79" s="26"/>
      <c r="B79" s="32"/>
      <c r="C79" s="36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4"/>
      <c r="BI79" s="34"/>
      <c r="BJ79" s="34"/>
      <c r="BK79" s="30"/>
    </row>
    <row r="80" spans="1:63" s="31" customFormat="1" ht="15" customHeight="1" x14ac:dyDescent="0.25">
      <c r="A80" s="26"/>
      <c r="B80" s="32"/>
      <c r="C80" s="36" t="s">
        <v>140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4"/>
      <c r="BI80" s="34"/>
      <c r="BJ80" s="34"/>
      <c r="BK80" s="30"/>
    </row>
    <row r="81" spans="1:63" s="31" customFormat="1" ht="15" customHeight="1" x14ac:dyDescent="0.25">
      <c r="A81" s="26"/>
      <c r="B81" s="32"/>
      <c r="C81" s="36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4"/>
      <c r="BI81" s="34"/>
      <c r="BJ81" s="34"/>
      <c r="BK81" s="30"/>
    </row>
    <row r="82" spans="1:63" s="31" customFormat="1" ht="15" customHeight="1" x14ac:dyDescent="0.25">
      <c r="A82" s="26"/>
      <c r="B82" s="33"/>
      <c r="C82" s="141" t="s">
        <v>25</v>
      </c>
      <c r="D82" s="143"/>
      <c r="E82" s="164" t="s">
        <v>141</v>
      </c>
      <c r="F82" s="165"/>
      <c r="G82" s="165"/>
      <c r="H82" s="165"/>
      <c r="I82" s="165"/>
      <c r="J82" s="165"/>
      <c r="K82" s="165"/>
      <c r="L82" s="165"/>
      <c r="M82" s="165"/>
      <c r="N82" s="166"/>
      <c r="O82" s="167" t="s">
        <v>39</v>
      </c>
      <c r="P82" s="168"/>
      <c r="Q82" s="168"/>
      <c r="R82" s="169"/>
      <c r="S82" s="170" t="s">
        <v>90</v>
      </c>
      <c r="T82" s="171"/>
      <c r="U82" s="171"/>
      <c r="V82" s="171"/>
      <c r="W82" s="171"/>
      <c r="X82" s="171"/>
      <c r="Y82" s="171"/>
      <c r="Z82" s="171"/>
      <c r="AA82" s="171"/>
      <c r="AB82" s="172"/>
      <c r="AC82" s="141" t="s">
        <v>37</v>
      </c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4"/>
      <c r="BI82" s="34"/>
      <c r="BJ82" s="34"/>
      <c r="BK82" s="30"/>
    </row>
    <row r="83" spans="1:63" s="31" customFormat="1" ht="15" customHeight="1" x14ac:dyDescent="0.25">
      <c r="A83" s="26"/>
      <c r="B83" s="33"/>
      <c r="C83" s="132">
        <v>1</v>
      </c>
      <c r="D83" s="134"/>
      <c r="E83" s="132" t="s">
        <v>47</v>
      </c>
      <c r="F83" s="133"/>
      <c r="G83" s="133"/>
      <c r="H83" s="133"/>
      <c r="I83" s="133"/>
      <c r="J83" s="133"/>
      <c r="K83" s="133"/>
      <c r="L83" s="133"/>
      <c r="M83" s="133"/>
      <c r="N83" s="134"/>
      <c r="O83" s="132" t="s">
        <v>49</v>
      </c>
      <c r="P83" s="133"/>
      <c r="Q83" s="133"/>
      <c r="R83" s="134"/>
      <c r="S83" s="146" t="s">
        <v>17</v>
      </c>
      <c r="T83" s="147"/>
      <c r="U83" s="147"/>
      <c r="V83" s="147"/>
      <c r="W83" s="147"/>
      <c r="X83" s="147"/>
      <c r="Y83" s="147"/>
      <c r="Z83" s="147"/>
      <c r="AA83" s="147"/>
      <c r="AB83" s="148"/>
      <c r="AC83" s="132" t="s">
        <v>48</v>
      </c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4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4"/>
      <c r="BI83" s="34"/>
      <c r="BJ83" s="34"/>
      <c r="BK83" s="30"/>
    </row>
    <row r="84" spans="1:63" s="31" customFormat="1" ht="15" customHeight="1" x14ac:dyDescent="0.25">
      <c r="A84" s="26"/>
      <c r="B84" s="33"/>
      <c r="C84" s="33"/>
      <c r="D84" s="33"/>
      <c r="E84" s="274"/>
      <c r="F84" s="274"/>
      <c r="G84" s="274"/>
      <c r="H84" s="274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274"/>
      <c r="T84" s="274"/>
      <c r="U84" s="274"/>
      <c r="V84" s="274"/>
      <c r="W84" s="274"/>
      <c r="X84" s="274"/>
      <c r="Y84" s="274"/>
      <c r="Z84" s="274"/>
      <c r="AA84" s="274"/>
      <c r="AB84" s="33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4"/>
      <c r="BI84" s="34"/>
      <c r="BJ84" s="34"/>
      <c r="BK84" s="30"/>
    </row>
    <row r="85" spans="1:63" s="31" customFormat="1" ht="15" customHeight="1" x14ac:dyDescent="0.25">
      <c r="A85" s="26"/>
      <c r="B85" s="33"/>
      <c r="C85" s="36" t="s">
        <v>127</v>
      </c>
      <c r="D85" s="33"/>
      <c r="E85" s="274"/>
      <c r="F85" s="33"/>
      <c r="G85" s="274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4"/>
      <c r="BI85" s="34"/>
      <c r="BJ85" s="34"/>
      <c r="BK85" s="30"/>
    </row>
    <row r="86" spans="1:63" s="31" customFormat="1" ht="15" customHeight="1" x14ac:dyDescent="0.25">
      <c r="A86" s="26"/>
      <c r="B86" s="33"/>
      <c r="C86" s="36"/>
      <c r="D86" s="274"/>
      <c r="E86" s="274"/>
      <c r="F86" s="33"/>
      <c r="G86" s="274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4"/>
      <c r="BI86" s="34"/>
      <c r="BJ86" s="34"/>
      <c r="BK86" s="30"/>
    </row>
    <row r="87" spans="1:63" s="31" customFormat="1" ht="15" customHeight="1" x14ac:dyDescent="0.25">
      <c r="A87" s="26"/>
      <c r="B87" s="33"/>
      <c r="C87" s="336" t="s">
        <v>45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37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4"/>
      <c r="BI87" s="34"/>
      <c r="BJ87" s="34"/>
      <c r="BK87" s="30"/>
    </row>
    <row r="88" spans="1:63" s="31" customFormat="1" ht="15" customHeight="1" x14ac:dyDescent="0.25">
      <c r="A88" s="26"/>
      <c r="B88" s="33"/>
      <c r="C88" s="337" t="s">
        <v>142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8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4"/>
      <c r="BI88" s="34"/>
      <c r="BJ88" s="34"/>
      <c r="BK88" s="30"/>
    </row>
    <row r="89" spans="1:63" s="31" customFormat="1" ht="15" customHeight="1" x14ac:dyDescent="0.25">
      <c r="A89" s="26"/>
      <c r="B89" s="33"/>
      <c r="C89" s="338" t="s">
        <v>46</v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39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4"/>
      <c r="BI89" s="34"/>
      <c r="BJ89" s="34"/>
      <c r="BK89" s="30"/>
    </row>
    <row r="90" spans="1:63" s="31" customFormat="1" ht="15" customHeight="1" x14ac:dyDescent="0.25">
      <c r="A90" s="26"/>
      <c r="B90" s="33"/>
      <c r="C90" s="33"/>
      <c r="D90" s="274"/>
      <c r="E90" s="274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4"/>
      <c r="BI90" s="34"/>
      <c r="BJ90" s="34"/>
      <c r="BK90" s="30"/>
    </row>
    <row r="91" spans="1:63" s="31" customFormat="1" ht="15" customHeight="1" x14ac:dyDescent="0.25">
      <c r="A91" s="26"/>
      <c r="B91" s="33"/>
      <c r="C91" s="32" t="s">
        <v>143</v>
      </c>
      <c r="D91" s="33"/>
      <c r="E91" s="274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4"/>
      <c r="BI91" s="34"/>
      <c r="BJ91" s="34"/>
      <c r="BK91" s="30"/>
    </row>
    <row r="92" spans="1:63" s="31" customFormat="1" ht="15" customHeight="1" x14ac:dyDescent="0.25">
      <c r="A92" s="26"/>
      <c r="B92" s="33"/>
      <c r="C92" s="32"/>
      <c r="D92" s="33"/>
      <c r="E92" s="274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4"/>
      <c r="BI92" s="34"/>
      <c r="BJ92" s="34"/>
      <c r="BK92" s="30"/>
    </row>
    <row r="93" spans="1:63" s="31" customFormat="1" ht="15" customHeight="1" x14ac:dyDescent="0.25">
      <c r="A93" s="26"/>
      <c r="B93" s="33"/>
      <c r="C93" s="32"/>
      <c r="D93" s="33" t="s">
        <v>53</v>
      </c>
      <c r="E93" s="27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4"/>
      <c r="BI93" s="34"/>
      <c r="BJ93" s="34"/>
      <c r="BK93" s="30"/>
    </row>
    <row r="94" spans="1:63" s="53" customFormat="1" ht="15" customHeight="1" x14ac:dyDescent="0.25">
      <c r="A94" s="48"/>
      <c r="B94" s="49"/>
      <c r="C94" s="49"/>
      <c r="D94" s="49"/>
      <c r="E94" s="50"/>
      <c r="F94" s="50"/>
      <c r="G94" s="50"/>
      <c r="H94" s="50"/>
      <c r="I94" s="50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51"/>
      <c r="BI94" s="51"/>
      <c r="BJ94" s="51"/>
      <c r="BK94" s="52"/>
    </row>
  </sheetData>
  <mergeCells count="186">
    <mergeCell ref="C50:D50"/>
    <mergeCell ref="E50:K50"/>
    <mergeCell ref="L50:N50"/>
    <mergeCell ref="O50:R50"/>
    <mergeCell ref="S50:Y50"/>
    <mergeCell ref="Z50:AP50"/>
    <mergeCell ref="AQ50:BJ50"/>
    <mergeCell ref="Z4:AO4"/>
    <mergeCell ref="AP4:BK4"/>
    <mergeCell ref="C16:D16"/>
    <mergeCell ref="C17:D17"/>
    <mergeCell ref="E16:AF16"/>
    <mergeCell ref="C21:D21"/>
    <mergeCell ref="S21:Y21"/>
    <mergeCell ref="Z21:AP21"/>
    <mergeCell ref="AG16:AP16"/>
    <mergeCell ref="AQ16:BJ16"/>
    <mergeCell ref="E17:AF17"/>
    <mergeCell ref="C46:D46"/>
    <mergeCell ref="C24:D24"/>
    <mergeCell ref="AQ21:BJ21"/>
    <mergeCell ref="C25:D31"/>
    <mergeCell ref="AQ42:BJ42"/>
    <mergeCell ref="C42:D4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C44:D45"/>
    <mergeCell ref="C38:BJ38"/>
    <mergeCell ref="Z49:AP49"/>
    <mergeCell ref="AQ49:BJ49"/>
    <mergeCell ref="C51:D51"/>
    <mergeCell ref="C82:D82"/>
    <mergeCell ref="AG17:AP17"/>
    <mergeCell ref="O21:R21"/>
    <mergeCell ref="L21:N21"/>
    <mergeCell ref="S24:Y24"/>
    <mergeCell ref="S25:Y31"/>
    <mergeCell ref="Z25:AP31"/>
    <mergeCell ref="E43:K43"/>
    <mergeCell ref="L43:N43"/>
    <mergeCell ref="O43:R43"/>
    <mergeCell ref="S43:Y43"/>
    <mergeCell ref="Z43:AP43"/>
    <mergeCell ref="L24:N24"/>
    <mergeCell ref="L25:N31"/>
    <mergeCell ref="O22:R23"/>
    <mergeCell ref="L22:N23"/>
    <mergeCell ref="E22:K23"/>
    <mergeCell ref="S82:AB82"/>
    <mergeCell ref="E25:K31"/>
    <mergeCell ref="C43:D43"/>
    <mergeCell ref="AQ43:BJ43"/>
    <mergeCell ref="C37:D37"/>
    <mergeCell ref="O33:R33"/>
    <mergeCell ref="S33:Y33"/>
    <mergeCell ref="AQ32:BJ32"/>
    <mergeCell ref="AQ37:BJ37"/>
    <mergeCell ref="S32:Y32"/>
    <mergeCell ref="C32:D32"/>
    <mergeCell ref="Z32:AP32"/>
    <mergeCell ref="L32:N32"/>
    <mergeCell ref="E32:K32"/>
    <mergeCell ref="E42:K42"/>
    <mergeCell ref="L37:N37"/>
    <mergeCell ref="O37:R37"/>
    <mergeCell ref="Z37:AP37"/>
    <mergeCell ref="S42:Y42"/>
    <mergeCell ref="E24:K24"/>
    <mergeCell ref="C22:D23"/>
    <mergeCell ref="L42:N42"/>
    <mergeCell ref="O42:R42"/>
    <mergeCell ref="S83:AB83"/>
    <mergeCell ref="AQ17:BJ17"/>
    <mergeCell ref="AQ24:BJ24"/>
    <mergeCell ref="AQ25:BJ31"/>
    <mergeCell ref="Z24:AP24"/>
    <mergeCell ref="E21:K21"/>
    <mergeCell ref="E44:K45"/>
    <mergeCell ref="L44:N45"/>
    <mergeCell ref="O44:R45"/>
    <mergeCell ref="S44:Y45"/>
    <mergeCell ref="Z44:AP45"/>
    <mergeCell ref="AQ44:BJ45"/>
    <mergeCell ref="E37:K37"/>
    <mergeCell ref="AQ46:BJ46"/>
    <mergeCell ref="AQ22:BJ23"/>
    <mergeCell ref="Z22:AP23"/>
    <mergeCell ref="S22:Y23"/>
    <mergeCell ref="Z33:AP33"/>
    <mergeCell ref="AQ33:BJ33"/>
    <mergeCell ref="O83:R83"/>
    <mergeCell ref="E82:N82"/>
    <mergeCell ref="E83:N83"/>
    <mergeCell ref="S37:Y37"/>
    <mergeCell ref="O82:R82"/>
    <mergeCell ref="Z42:AP42"/>
    <mergeCell ref="AC82:AU82"/>
    <mergeCell ref="AC83:AU83"/>
    <mergeCell ref="C33:D33"/>
    <mergeCell ref="E33:K33"/>
    <mergeCell ref="L33:N33"/>
    <mergeCell ref="L46:N46"/>
    <mergeCell ref="O46:R46"/>
    <mergeCell ref="Z46:AP46"/>
    <mergeCell ref="E46:K46"/>
    <mergeCell ref="S46:Y46"/>
    <mergeCell ref="Z51:AP51"/>
    <mergeCell ref="AQ51:BJ51"/>
    <mergeCell ref="Z52:AP52"/>
    <mergeCell ref="AQ52:BJ52"/>
    <mergeCell ref="Z53:AP53"/>
    <mergeCell ref="AQ53:BJ53"/>
    <mergeCell ref="E54:K54"/>
    <mergeCell ref="L54:N54"/>
    <mergeCell ref="O54:R54"/>
    <mergeCell ref="S54:Y54"/>
    <mergeCell ref="Z54:AP54"/>
    <mergeCell ref="AQ54:BJ54"/>
    <mergeCell ref="C47:D47"/>
    <mergeCell ref="O24:R24"/>
    <mergeCell ref="O32:R32"/>
    <mergeCell ref="O25:R31"/>
    <mergeCell ref="C83:D83"/>
    <mergeCell ref="C49:D49"/>
    <mergeCell ref="E49:K49"/>
    <mergeCell ref="L49:N49"/>
    <mergeCell ref="O49:R49"/>
    <mergeCell ref="S49:Y49"/>
    <mergeCell ref="E51:K51"/>
    <mergeCell ref="L51:N51"/>
    <mergeCell ref="O51:R51"/>
    <mergeCell ref="S51:Y51"/>
    <mergeCell ref="C52:D52"/>
    <mergeCell ref="E52:K52"/>
    <mergeCell ref="L52:N52"/>
    <mergeCell ref="O52:R52"/>
    <mergeCell ref="S52:Y52"/>
    <mergeCell ref="C53:D53"/>
    <mergeCell ref="E53:K53"/>
    <mergeCell ref="L53:N53"/>
    <mergeCell ref="O53:R53"/>
    <mergeCell ref="S53:Y53"/>
    <mergeCell ref="C54:D54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  <mergeCell ref="C55:D55"/>
    <mergeCell ref="E55:K55"/>
    <mergeCell ref="L55:N55"/>
    <mergeCell ref="O55:R55"/>
    <mergeCell ref="S55:Y55"/>
    <mergeCell ref="Z55:AP55"/>
    <mergeCell ref="AQ55:BJ55"/>
    <mergeCell ref="C56:D56"/>
    <mergeCell ref="E56:K56"/>
    <mergeCell ref="L56:N56"/>
    <mergeCell ref="O56:R56"/>
    <mergeCell ref="S56:Y56"/>
    <mergeCell ref="Z56:AP56"/>
    <mergeCell ref="AQ56:BJ56"/>
  </mergeCells>
  <pageMargins left="0.7" right="0.7" top="0.75" bottom="0.75" header="0.3" footer="0.3"/>
  <pageSetup scale="3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9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詳細設計書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90" t="str">
        <f>IF(表紙!AP2="","",表紙!AP2)</f>
        <v>TuyenNH</v>
      </c>
      <c r="AQ2" s="188"/>
      <c r="AR2" s="188"/>
      <c r="AS2" s="189"/>
      <c r="AT2" s="194">
        <f>IF(表紙!AT2="","",表紙!AT2)</f>
        <v>45544</v>
      </c>
      <c r="AU2" s="195"/>
      <c r="AV2" s="195"/>
      <c r="AW2" s="195"/>
      <c r="AX2" s="196"/>
      <c r="AY2" s="190" t="str">
        <f>IF(表紙!AY2="","",表紙!AY2)</f>
        <v>TuyenNH</v>
      </c>
      <c r="AZ2" s="188"/>
      <c r="BA2" s="188"/>
      <c r="BB2" s="189"/>
      <c r="BC2" s="194">
        <f>IF(表紙!BC2="","",表紙!BC2)</f>
        <v>45596</v>
      </c>
      <c r="BD2" s="195"/>
      <c r="BE2" s="195"/>
      <c r="BF2" s="195"/>
      <c r="BG2" s="196"/>
      <c r="BH2" s="190">
        <f>IF(表紙!BH2="","",表紙!BH2)</f>
        <v>0.11</v>
      </c>
      <c r="BI2" s="188"/>
      <c r="BJ2" s="188"/>
      <c r="BK2" s="189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0"/>
      <c r="BI3" s="201"/>
      <c r="BJ3" s="201"/>
      <c r="BK3" s="202"/>
    </row>
    <row r="4" spans="1:63" ht="24.95" customHeight="1" x14ac:dyDescent="0.25">
      <c r="A4" s="254" t="s">
        <v>73</v>
      </c>
      <c r="B4" s="255"/>
      <c r="C4" s="255"/>
      <c r="D4" s="255"/>
      <c r="E4" s="255"/>
      <c r="F4" s="255"/>
      <c r="G4" s="256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254" t="s">
        <v>74</v>
      </c>
      <c r="V4" s="255"/>
      <c r="W4" s="255"/>
      <c r="X4" s="255"/>
      <c r="Y4" s="256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処理フロー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272" customFormat="1" ht="15" customHeight="1" x14ac:dyDescent="0.25">
      <c r="B7" s="54"/>
      <c r="C7" s="34"/>
      <c r="D7" s="34"/>
      <c r="E7" s="34"/>
      <c r="F7" s="34"/>
      <c r="G7" s="34"/>
      <c r="AI7" s="357"/>
      <c r="BJ7" s="357"/>
      <c r="BK7" s="271"/>
    </row>
    <row r="8" spans="1:63" s="272" customFormat="1" ht="15" customHeight="1" x14ac:dyDescent="0.25">
      <c r="B8" s="54"/>
      <c r="C8" s="34"/>
      <c r="D8" s="34"/>
      <c r="E8" s="34"/>
      <c r="F8" s="34"/>
      <c r="G8" s="34"/>
      <c r="AI8" s="357"/>
      <c r="BJ8" s="357"/>
      <c r="BK8" s="271"/>
    </row>
    <row r="9" spans="1:63" s="272" customFormat="1" ht="15" customHeight="1" x14ac:dyDescent="0.25">
      <c r="B9" s="54"/>
      <c r="C9" s="34"/>
      <c r="D9" s="34"/>
      <c r="E9" s="34"/>
      <c r="F9" s="34"/>
      <c r="G9" s="34"/>
      <c r="AI9" s="357"/>
      <c r="BJ9" s="357"/>
      <c r="BK9" s="271"/>
    </row>
    <row r="10" spans="1:63" s="272" customFormat="1" ht="15" customHeight="1" x14ac:dyDescent="0.25">
      <c r="B10" s="358"/>
      <c r="AI10" s="357"/>
      <c r="BJ10" s="357"/>
      <c r="BK10" s="271"/>
    </row>
    <row r="11" spans="1:63" s="272" customFormat="1" ht="15" customHeight="1" x14ac:dyDescent="0.25">
      <c r="B11" s="358"/>
      <c r="AI11" s="357"/>
      <c r="BJ11" s="357"/>
      <c r="BK11" s="271"/>
    </row>
    <row r="12" spans="1:63" s="272" customFormat="1" ht="15" customHeight="1" x14ac:dyDescent="0.25">
      <c r="B12" s="358"/>
      <c r="AI12" s="357"/>
      <c r="BJ12" s="357"/>
      <c r="BK12" s="271"/>
    </row>
    <row r="13" spans="1:63" s="272" customFormat="1" ht="15" customHeight="1" x14ac:dyDescent="0.25">
      <c r="B13" s="358"/>
      <c r="AI13" s="357"/>
      <c r="BJ13" s="357"/>
      <c r="BK13" s="271"/>
    </row>
    <row r="14" spans="1:63" s="272" customFormat="1" ht="15" customHeight="1" x14ac:dyDescent="0.25">
      <c r="B14" s="358"/>
      <c r="AI14" s="357"/>
      <c r="BJ14" s="357"/>
      <c r="BK14" s="271"/>
    </row>
    <row r="15" spans="1:63" s="272" customFormat="1" ht="15" customHeight="1" x14ac:dyDescent="0.25">
      <c r="B15" s="358"/>
      <c r="AI15" s="357"/>
      <c r="BJ15" s="357"/>
      <c r="BK15" s="271"/>
    </row>
    <row r="16" spans="1:63" s="272" customFormat="1" ht="15" customHeight="1" x14ac:dyDescent="0.25">
      <c r="B16" s="358"/>
      <c r="AI16" s="357"/>
      <c r="BJ16" s="357"/>
      <c r="BK16" s="271"/>
    </row>
    <row r="17" spans="2:63" s="272" customFormat="1" ht="15" customHeight="1" x14ac:dyDescent="0.25">
      <c r="B17" s="358"/>
      <c r="AI17" s="357"/>
      <c r="BJ17" s="357"/>
      <c r="BK17" s="271"/>
    </row>
    <row r="18" spans="2:63" s="272" customFormat="1" ht="15" customHeight="1" x14ac:dyDescent="0.25">
      <c r="B18" s="358"/>
      <c r="AI18" s="357"/>
      <c r="BJ18" s="357"/>
      <c r="BK18" s="271"/>
    </row>
    <row r="19" spans="2:63" s="272" customFormat="1" ht="15" customHeight="1" x14ac:dyDescent="0.25">
      <c r="B19" s="358"/>
      <c r="AI19" s="357"/>
      <c r="BJ19" s="357"/>
      <c r="BK19" s="271"/>
    </row>
    <row r="20" spans="2:63" s="272" customFormat="1" ht="15" customHeight="1" x14ac:dyDescent="0.25">
      <c r="B20" s="358"/>
      <c r="AI20" s="357"/>
      <c r="BJ20" s="357"/>
      <c r="BK20" s="271"/>
    </row>
    <row r="21" spans="2:63" s="272" customFormat="1" ht="15" customHeight="1" x14ac:dyDescent="0.25">
      <c r="B21" s="358"/>
      <c r="AI21" s="357"/>
      <c r="BJ21" s="357"/>
      <c r="BK21" s="271"/>
    </row>
    <row r="22" spans="2:63" s="272" customFormat="1" ht="15" customHeight="1" x14ac:dyDescent="0.25">
      <c r="B22" s="358"/>
      <c r="AI22" s="357"/>
      <c r="BJ22" s="357"/>
      <c r="BK22" s="271"/>
    </row>
    <row r="23" spans="2:63" s="272" customFormat="1" ht="15" customHeight="1" x14ac:dyDescent="0.25">
      <c r="B23" s="358"/>
      <c r="AI23" s="357"/>
      <c r="BJ23" s="357"/>
      <c r="BK23" s="271"/>
    </row>
    <row r="24" spans="2:63" s="272" customFormat="1" ht="15" customHeight="1" x14ac:dyDescent="0.25">
      <c r="B24" s="358"/>
      <c r="AI24" s="357"/>
      <c r="BJ24" s="357"/>
      <c r="BK24" s="271"/>
    </row>
    <row r="25" spans="2:63" s="272" customFormat="1" ht="15" customHeight="1" x14ac:dyDescent="0.25">
      <c r="B25" s="358"/>
      <c r="AI25" s="357"/>
      <c r="BJ25" s="357"/>
      <c r="BK25" s="271"/>
    </row>
    <row r="26" spans="2:63" s="272" customFormat="1" ht="15" customHeight="1" x14ac:dyDescent="0.25">
      <c r="B26" s="358"/>
      <c r="AI26" s="357"/>
      <c r="BJ26" s="357"/>
      <c r="BK26" s="271"/>
    </row>
    <row r="27" spans="2:63" s="272" customFormat="1" ht="15" customHeight="1" x14ac:dyDescent="0.25">
      <c r="B27" s="358"/>
      <c r="AI27" s="357"/>
      <c r="BJ27" s="357"/>
      <c r="BK27" s="271"/>
    </row>
    <row r="28" spans="2:63" s="272" customFormat="1" ht="15" customHeight="1" x14ac:dyDescent="0.25">
      <c r="B28" s="358"/>
      <c r="AI28" s="357"/>
      <c r="BJ28" s="357"/>
      <c r="BK28" s="271"/>
    </row>
    <row r="29" spans="2:63" s="272" customFormat="1" ht="15" customHeight="1" x14ac:dyDescent="0.25">
      <c r="B29" s="358"/>
      <c r="AI29" s="357"/>
      <c r="BJ29" s="357"/>
      <c r="BK29" s="271"/>
    </row>
    <row r="30" spans="2:63" s="272" customFormat="1" ht="15" customHeight="1" x14ac:dyDescent="0.25">
      <c r="B30" s="358"/>
      <c r="AI30" s="357"/>
      <c r="BJ30" s="357"/>
      <c r="BK30" s="271"/>
    </row>
    <row r="31" spans="2:63" s="272" customFormat="1" ht="15" customHeight="1" x14ac:dyDescent="0.25">
      <c r="B31" s="358"/>
      <c r="AI31" s="357"/>
      <c r="BJ31" s="357"/>
      <c r="BK31" s="271"/>
    </row>
    <row r="32" spans="2:63" s="272" customFormat="1" ht="15" customHeight="1" x14ac:dyDescent="0.25">
      <c r="B32" s="358"/>
      <c r="AI32" s="357"/>
      <c r="BJ32" s="357"/>
      <c r="BK32" s="271"/>
    </row>
    <row r="33" spans="2:63" s="272" customFormat="1" ht="15" customHeight="1" x14ac:dyDescent="0.25">
      <c r="B33" s="358"/>
      <c r="AI33" s="357"/>
      <c r="BJ33" s="357"/>
      <c r="BK33" s="271"/>
    </row>
    <row r="34" spans="2:63" s="272" customFormat="1" ht="15" customHeight="1" x14ac:dyDescent="0.25">
      <c r="B34" s="358"/>
      <c r="AI34" s="357"/>
      <c r="BJ34" s="357"/>
      <c r="BK34" s="271"/>
    </row>
    <row r="35" spans="2:63" s="272" customFormat="1" ht="15" customHeight="1" x14ac:dyDescent="0.25">
      <c r="B35" s="358"/>
      <c r="AI35" s="357"/>
      <c r="BJ35" s="357"/>
      <c r="BK35" s="271"/>
    </row>
    <row r="36" spans="2:63" s="272" customFormat="1" ht="15" customHeight="1" x14ac:dyDescent="0.25">
      <c r="B36" s="358"/>
      <c r="AI36" s="357"/>
      <c r="BJ36" s="357"/>
      <c r="BK36" s="271"/>
    </row>
    <row r="37" spans="2:63" s="272" customFormat="1" ht="15" customHeight="1" x14ac:dyDescent="0.25">
      <c r="B37" s="358"/>
      <c r="AI37" s="357"/>
      <c r="BJ37" s="357"/>
      <c r="BK37" s="271"/>
    </row>
    <row r="38" spans="2:63" s="272" customFormat="1" ht="15" customHeight="1" x14ac:dyDescent="0.25">
      <c r="B38" s="358"/>
      <c r="AI38" s="357"/>
      <c r="BJ38" s="357"/>
      <c r="BK38" s="271"/>
    </row>
    <row r="39" spans="2:63" s="272" customFormat="1" ht="15" customHeight="1" x14ac:dyDescent="0.25">
      <c r="B39" s="358"/>
      <c r="AI39" s="357"/>
      <c r="BJ39" s="357"/>
      <c r="BK39" s="271"/>
    </row>
    <row r="40" spans="2:63" s="272" customFormat="1" ht="15" customHeight="1" x14ac:dyDescent="0.25">
      <c r="B40" s="358"/>
      <c r="AI40" s="357"/>
      <c r="BJ40" s="357"/>
      <c r="BK40" s="271"/>
    </row>
    <row r="41" spans="2:63" s="272" customFormat="1" ht="15" customHeight="1" x14ac:dyDescent="0.25">
      <c r="B41" s="358"/>
      <c r="AI41" s="357"/>
      <c r="BJ41" s="357"/>
      <c r="BK41" s="271"/>
    </row>
    <row r="42" spans="2:63" s="272" customFormat="1" ht="15" customHeight="1" x14ac:dyDescent="0.25">
      <c r="B42" s="358"/>
      <c r="AI42" s="357"/>
      <c r="BJ42" s="357"/>
      <c r="BK42" s="271"/>
    </row>
    <row r="43" spans="2:63" s="272" customFormat="1" ht="15" customHeight="1" x14ac:dyDescent="0.25">
      <c r="B43" s="358"/>
      <c r="AI43" s="357"/>
      <c r="BJ43" s="357"/>
      <c r="BK43" s="271"/>
    </row>
    <row r="44" spans="2:63" s="272" customFormat="1" ht="15" customHeight="1" x14ac:dyDescent="0.25">
      <c r="B44" s="358"/>
      <c r="AI44" s="357"/>
      <c r="BJ44" s="357"/>
      <c r="BK44" s="271"/>
    </row>
    <row r="45" spans="2:63" s="272" customFormat="1" ht="15" customHeight="1" x14ac:dyDescent="0.25">
      <c r="B45" s="358"/>
      <c r="AI45" s="357"/>
      <c r="BJ45" s="357"/>
      <c r="BK45" s="271"/>
    </row>
    <row r="46" spans="2:63" s="272" customFormat="1" ht="15" customHeight="1" x14ac:dyDescent="0.25">
      <c r="B46" s="358"/>
      <c r="AI46" s="357"/>
      <c r="BJ46" s="357"/>
      <c r="BK46" s="271"/>
    </row>
    <row r="47" spans="2:63" s="272" customFormat="1" ht="15" customHeight="1" x14ac:dyDescent="0.25">
      <c r="B47" s="358"/>
      <c r="AI47" s="357"/>
      <c r="BJ47" s="357"/>
      <c r="BK47" s="271"/>
    </row>
    <row r="48" spans="2:63" s="272" customFormat="1" ht="15" customHeight="1" x14ac:dyDescent="0.25">
      <c r="B48" s="358"/>
      <c r="AI48" s="357"/>
      <c r="BJ48" s="357"/>
      <c r="BK48" s="271"/>
    </row>
    <row r="49" spans="2:63" s="272" customFormat="1" ht="15" customHeight="1" x14ac:dyDescent="0.25">
      <c r="B49" s="358"/>
      <c r="AI49" s="357"/>
      <c r="BJ49" s="357"/>
      <c r="BK49" s="271"/>
    </row>
    <row r="50" spans="2:63" s="272" customFormat="1" ht="15" customHeight="1" x14ac:dyDescent="0.25">
      <c r="B50" s="358"/>
      <c r="AI50" s="357"/>
      <c r="BJ50" s="357"/>
      <c r="BK50" s="271"/>
    </row>
    <row r="51" spans="2:63" s="272" customFormat="1" ht="15" customHeight="1" x14ac:dyDescent="0.25">
      <c r="B51" s="358"/>
      <c r="AI51" s="357"/>
      <c r="BJ51" s="357"/>
      <c r="BK51" s="271"/>
    </row>
    <row r="52" spans="2:63" s="272" customFormat="1" ht="15" customHeight="1" x14ac:dyDescent="0.25">
      <c r="B52" s="358"/>
      <c r="AI52" s="357"/>
      <c r="BJ52" s="357"/>
      <c r="BK52" s="271"/>
    </row>
    <row r="53" spans="2:63" s="272" customFormat="1" ht="15" customHeight="1" x14ac:dyDescent="0.25">
      <c r="B53" s="358"/>
      <c r="AI53" s="357"/>
      <c r="BJ53" s="357"/>
      <c r="BK53" s="271"/>
    </row>
    <row r="54" spans="2:63" s="272" customFormat="1" ht="15" customHeight="1" x14ac:dyDescent="0.25">
      <c r="B54" s="358"/>
      <c r="AI54" s="357"/>
      <c r="BJ54" s="357"/>
      <c r="BK54" s="271"/>
    </row>
    <row r="55" spans="2:63" s="272" customFormat="1" ht="15" customHeight="1" x14ac:dyDescent="0.25">
      <c r="B55" s="358"/>
      <c r="AI55" s="357"/>
      <c r="BJ55" s="357"/>
      <c r="BK55" s="271"/>
    </row>
    <row r="56" spans="2:63" s="272" customFormat="1" ht="15" customHeight="1" x14ac:dyDescent="0.25">
      <c r="B56" s="358"/>
      <c r="AI56" s="357"/>
      <c r="BJ56" s="357"/>
      <c r="BK56" s="271"/>
    </row>
    <row r="57" spans="2:63" s="272" customFormat="1" ht="15" customHeight="1" x14ac:dyDescent="0.25">
      <c r="B57" s="358"/>
      <c r="AI57" s="357"/>
      <c r="BJ57" s="357"/>
      <c r="BK57" s="271"/>
    </row>
    <row r="58" spans="2:63" s="272" customFormat="1" ht="15" customHeight="1" x14ac:dyDescent="0.25">
      <c r="B58" s="358"/>
      <c r="AI58" s="357"/>
      <c r="BJ58" s="357"/>
      <c r="BK58" s="271"/>
    </row>
    <row r="59" spans="2:63" s="272" customFormat="1" ht="15" customHeight="1" x14ac:dyDescent="0.25">
      <c r="B59" s="358"/>
      <c r="AI59" s="357"/>
      <c r="BJ59" s="357"/>
      <c r="BK59" s="271"/>
    </row>
    <row r="60" spans="2:63" s="272" customFormat="1" ht="15" customHeight="1" x14ac:dyDescent="0.25">
      <c r="B60" s="358"/>
      <c r="AI60" s="357"/>
      <c r="BJ60" s="357"/>
      <c r="BK60" s="271"/>
    </row>
    <row r="61" spans="2:63" s="272" customFormat="1" ht="15" customHeight="1" x14ac:dyDescent="0.25">
      <c r="B61" s="358"/>
      <c r="AI61" s="357"/>
      <c r="BJ61" s="357"/>
      <c r="BK61" s="271"/>
    </row>
    <row r="62" spans="2:63" s="272" customFormat="1" ht="15" customHeight="1" x14ac:dyDescent="0.25">
      <c r="B62" s="358"/>
      <c r="AI62" s="357"/>
      <c r="BJ62" s="357"/>
      <c r="BK62" s="271"/>
    </row>
    <row r="63" spans="2:63" s="272" customFormat="1" ht="15" customHeight="1" x14ac:dyDescent="0.25">
      <c r="B63" s="358"/>
      <c r="AI63" s="357"/>
      <c r="BJ63" s="357"/>
      <c r="BK63" s="271"/>
    </row>
    <row r="64" spans="2:63" s="272" customFormat="1" ht="15" customHeight="1" x14ac:dyDescent="0.25">
      <c r="B64" s="358"/>
      <c r="AI64" s="357"/>
      <c r="BJ64" s="357"/>
      <c r="BK64" s="271"/>
    </row>
    <row r="65" spans="2:63" s="272" customFormat="1" ht="15" customHeight="1" x14ac:dyDescent="0.25">
      <c r="B65" s="358"/>
      <c r="AI65" s="357"/>
      <c r="BJ65" s="357"/>
      <c r="BK65" s="271"/>
    </row>
    <row r="66" spans="2:63" s="272" customFormat="1" ht="15" customHeight="1" x14ac:dyDescent="0.25">
      <c r="B66" s="358"/>
      <c r="AI66" s="357"/>
      <c r="BJ66" s="357"/>
      <c r="BK66" s="271"/>
    </row>
    <row r="67" spans="2:63" s="272" customFormat="1" ht="15" customHeight="1" x14ac:dyDescent="0.25">
      <c r="B67" s="358"/>
      <c r="AI67" s="357"/>
      <c r="BJ67" s="357"/>
      <c r="BK67" s="271"/>
    </row>
    <row r="68" spans="2:63" s="272" customFormat="1" ht="15" customHeight="1" x14ac:dyDescent="0.25">
      <c r="B68" s="358"/>
      <c r="AI68" s="357"/>
      <c r="BJ68" s="357"/>
      <c r="BK68" s="271"/>
    </row>
    <row r="69" spans="2:63" ht="15" customHeight="1" x14ac:dyDescent="0.25">
      <c r="B69" s="22"/>
      <c r="AI69" s="24"/>
      <c r="BJ69" s="24"/>
      <c r="BK69" s="16"/>
    </row>
    <row r="70" spans="2:63" ht="15" customHeight="1" x14ac:dyDescent="0.25">
      <c r="B70" s="22"/>
      <c r="AI70" s="24"/>
      <c r="BJ70" s="24"/>
      <c r="BK70" s="16"/>
    </row>
    <row r="71" spans="2:63" ht="15" customHeight="1" x14ac:dyDescent="0.25">
      <c r="B71" s="22"/>
      <c r="AI71" s="24"/>
      <c r="BJ71" s="24"/>
      <c r="BK71" s="16"/>
    </row>
    <row r="72" spans="2:63" ht="15" customHeight="1" x14ac:dyDescent="0.25">
      <c r="B72" s="22"/>
      <c r="AI72" s="24"/>
      <c r="BJ72" s="24"/>
      <c r="BK72" s="16"/>
    </row>
    <row r="73" spans="2:63" ht="15" customHeight="1" x14ac:dyDescent="0.25">
      <c r="B73" s="22"/>
      <c r="AI73" s="24"/>
      <c r="BJ73" s="24"/>
      <c r="BK73" s="16"/>
    </row>
    <row r="74" spans="2:63" ht="15" customHeight="1" x14ac:dyDescent="0.25">
      <c r="B74" s="22"/>
      <c r="AI74" s="24"/>
      <c r="BJ74" s="24"/>
      <c r="BK74" s="16"/>
    </row>
    <row r="75" spans="2:63" ht="15" customHeight="1" x14ac:dyDescent="0.25">
      <c r="B75" s="22"/>
      <c r="AI75" s="24"/>
      <c r="BJ75" s="24"/>
      <c r="BK75" s="16"/>
    </row>
    <row r="76" spans="2:63" ht="15" customHeight="1" x14ac:dyDescent="0.25">
      <c r="B76" s="22"/>
      <c r="AI76" s="24"/>
      <c r="BJ76" s="24"/>
      <c r="BK76" s="16"/>
    </row>
    <row r="77" spans="2:63" ht="15" customHeight="1" x14ac:dyDescent="0.25">
      <c r="B77" s="22"/>
      <c r="AI77" s="24"/>
      <c r="BJ77" s="24"/>
      <c r="BK77" s="16"/>
    </row>
    <row r="78" spans="2:63" ht="15" customHeight="1" x14ac:dyDescent="0.25">
      <c r="B78" s="22"/>
      <c r="AI78" s="24"/>
      <c r="BJ78" s="24"/>
      <c r="BK78" s="16"/>
    </row>
    <row r="79" spans="2:63" ht="15" customHeight="1" x14ac:dyDescent="0.25">
      <c r="B79" s="22"/>
      <c r="AI79" s="24"/>
      <c r="BJ79" s="24"/>
      <c r="BK79" s="16"/>
    </row>
    <row r="80" spans="2:63" ht="15" customHeight="1" x14ac:dyDescent="0.25">
      <c r="B80" s="22"/>
      <c r="AI80" s="24"/>
      <c r="BJ80" s="24"/>
      <c r="BK80" s="16"/>
    </row>
    <row r="81" spans="1:63" ht="15" customHeight="1" x14ac:dyDescent="0.25">
      <c r="B81" s="22"/>
      <c r="AI81" s="24"/>
      <c r="BJ81" s="24"/>
      <c r="BK81" s="16"/>
    </row>
    <row r="82" spans="1:63" ht="15" customHeight="1" x14ac:dyDescent="0.25">
      <c r="B82" s="22"/>
      <c r="AI82" s="24"/>
      <c r="BJ82" s="24"/>
      <c r="BK82" s="16"/>
    </row>
    <row r="83" spans="1:63" ht="15" customHeight="1" x14ac:dyDescent="0.25">
      <c r="B83" s="22"/>
      <c r="AI83" s="24"/>
      <c r="BJ83" s="24"/>
      <c r="BK83" s="16"/>
    </row>
    <row r="84" spans="1:63" ht="15" customHeight="1" x14ac:dyDescent="0.25">
      <c r="B84" s="22"/>
      <c r="AI84" s="24"/>
      <c r="BJ84" s="24"/>
      <c r="BK84" s="16"/>
    </row>
    <row r="85" spans="1:63" ht="15" customHeight="1" x14ac:dyDescent="0.25">
      <c r="B85" s="22"/>
      <c r="AI85" s="24"/>
      <c r="BJ85" s="24"/>
      <c r="BK85" s="16"/>
    </row>
    <row r="86" spans="1:63" ht="15" customHeight="1" x14ac:dyDescent="0.25">
      <c r="B86" s="22"/>
      <c r="AI86" s="24"/>
      <c r="BJ86" s="24"/>
      <c r="BK86" s="16"/>
    </row>
    <row r="87" spans="1:63" ht="15" customHeight="1" x14ac:dyDescent="0.25">
      <c r="B87" s="22"/>
      <c r="AI87" s="24"/>
      <c r="BJ87" s="24"/>
      <c r="BK87" s="16"/>
    </row>
    <row r="88" spans="1:63" ht="15" customHeight="1" x14ac:dyDescent="0.25">
      <c r="B88" s="22"/>
      <c r="AI88" s="24"/>
      <c r="BJ88" s="24"/>
      <c r="BK88" s="16"/>
    </row>
    <row r="89" spans="1:63" ht="15" customHeight="1" x14ac:dyDescent="0.25">
      <c r="B89" s="22"/>
      <c r="AI89" s="24"/>
      <c r="BJ89" s="24"/>
      <c r="BK89" s="16"/>
    </row>
    <row r="90" spans="1:63" ht="15" customHeight="1" x14ac:dyDescent="0.25">
      <c r="B90" s="22"/>
      <c r="AI90" s="24"/>
      <c r="BJ90" s="24"/>
      <c r="BK90" s="16"/>
    </row>
    <row r="91" spans="1:63" ht="15" customHeight="1" x14ac:dyDescent="0.25">
      <c r="B91" s="22"/>
      <c r="AI91" s="24"/>
      <c r="BJ91" s="24"/>
      <c r="BK91" s="16"/>
    </row>
    <row r="92" spans="1:63" ht="15" customHeight="1" x14ac:dyDescent="0.25">
      <c r="B92" s="22"/>
      <c r="AI92" s="24"/>
      <c r="BJ92" s="24"/>
      <c r="BK92" s="16"/>
    </row>
    <row r="93" spans="1:63" ht="15" customHeight="1" x14ac:dyDescent="0.25">
      <c r="B93" s="22"/>
      <c r="AI93" s="24"/>
      <c r="BJ93" s="24"/>
      <c r="BK93" s="16"/>
    </row>
    <row r="94" spans="1:63" ht="15" customHeight="1" x14ac:dyDescent="0.25">
      <c r="B94" s="22"/>
      <c r="AI94" s="24"/>
      <c r="BJ94" s="24"/>
      <c r="BK94" s="16"/>
    </row>
    <row r="95" spans="1:63" ht="15" customHeight="1" x14ac:dyDescent="0.25">
      <c r="A95" s="14"/>
      <c r="B95" s="2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25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25"/>
      <c r="BK95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10" t="s">
        <v>26</v>
      </c>
      <c r="B1" s="111"/>
      <c r="C1" s="111"/>
      <c r="D1" s="111"/>
      <c r="E1" s="111"/>
      <c r="F1" s="111"/>
      <c r="G1" s="111"/>
      <c r="H1" s="111"/>
      <c r="I1" s="111"/>
      <c r="J1" s="112"/>
      <c r="K1" s="110" t="s">
        <v>27</v>
      </c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2"/>
      <c r="W1" s="113" t="str">
        <f>IF(表紙!W1="","",表紙!W1)</f>
        <v>詳細設計書</v>
      </c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5"/>
      <c r="AP1" s="62" t="s">
        <v>28</v>
      </c>
      <c r="AQ1" s="63"/>
      <c r="AR1" s="63"/>
      <c r="AS1" s="64"/>
      <c r="AT1" s="62" t="s">
        <v>29</v>
      </c>
      <c r="AU1" s="63"/>
      <c r="AV1" s="63"/>
      <c r="AW1" s="63"/>
      <c r="AX1" s="64"/>
      <c r="AY1" s="62" t="s">
        <v>30</v>
      </c>
      <c r="AZ1" s="63"/>
      <c r="BA1" s="63"/>
      <c r="BB1" s="64"/>
      <c r="BC1" s="62" t="s">
        <v>31</v>
      </c>
      <c r="BD1" s="63"/>
      <c r="BE1" s="63"/>
      <c r="BF1" s="63"/>
      <c r="BG1" s="64"/>
      <c r="BH1" s="62" t="s">
        <v>32</v>
      </c>
      <c r="BI1" s="63"/>
      <c r="BJ1" s="63"/>
      <c r="BK1" s="64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116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8"/>
      <c r="AP2" s="6" t="str">
        <f>IF(表紙!AP2="","",表紙!AP2)</f>
        <v>TuyenNH</v>
      </c>
      <c r="AQ2" s="5"/>
      <c r="AR2" s="5"/>
      <c r="AS2" s="4"/>
      <c r="AT2" s="69">
        <f>IF(表紙!AT2="","",表紙!AT2)</f>
        <v>45544</v>
      </c>
      <c r="AU2" s="70"/>
      <c r="AV2" s="70"/>
      <c r="AW2" s="70"/>
      <c r="AX2" s="71"/>
      <c r="AY2" s="6" t="str">
        <f>IF(表紙!AY2="","",表紙!AY2)</f>
        <v>TuyenNH</v>
      </c>
      <c r="AZ2" s="5"/>
      <c r="BA2" s="5"/>
      <c r="BB2" s="4"/>
      <c r="BC2" s="69">
        <f>IF(表紙!BC2="","",表紙!BC2)</f>
        <v>45596</v>
      </c>
      <c r="BD2" s="70"/>
      <c r="BE2" s="70"/>
      <c r="BF2" s="70"/>
      <c r="BG2" s="71"/>
      <c r="BH2" s="6">
        <f>IF(表紙!BH2="","",表紙!BH2)</f>
        <v>0.11</v>
      </c>
      <c r="BI2" s="5"/>
      <c r="BJ2" s="5"/>
      <c r="BK2" s="4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119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1"/>
      <c r="AP3" s="3"/>
      <c r="AQ3" s="2"/>
      <c r="AR3" s="2"/>
      <c r="AS3" s="1"/>
      <c r="AT3" s="72"/>
      <c r="AU3" s="73"/>
      <c r="AV3" s="73"/>
      <c r="AW3" s="73"/>
      <c r="AX3" s="74"/>
      <c r="AY3" s="3"/>
      <c r="AZ3" s="2"/>
      <c r="BA3" s="2"/>
      <c r="BB3" s="1"/>
      <c r="BC3" s="72"/>
      <c r="BD3" s="73"/>
      <c r="BE3" s="73"/>
      <c r="BF3" s="73"/>
      <c r="BG3" s="74"/>
      <c r="BH3" s="3"/>
      <c r="BI3" s="2"/>
      <c r="BJ3" s="2"/>
      <c r="BK3" s="1"/>
    </row>
    <row r="4" spans="1:63" ht="24.95" customHeight="1" x14ac:dyDescent="0.25">
      <c r="A4" s="110" t="s">
        <v>33</v>
      </c>
      <c r="B4" s="111"/>
      <c r="C4" s="111"/>
      <c r="D4" s="111"/>
      <c r="E4" s="111"/>
      <c r="F4" s="111"/>
      <c r="G4" s="112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0" t="s">
        <v>34</v>
      </c>
      <c r="V4" s="111"/>
      <c r="W4" s="111"/>
      <c r="X4" s="111"/>
      <c r="Y4" s="112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テンプレート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7" customFormat="1" ht="15" customHeight="1" x14ac:dyDescent="0.25">
      <c r="BK7" s="21"/>
    </row>
    <row r="8" spans="1:63" s="17" customFormat="1" ht="15" customHeight="1" x14ac:dyDescent="0.25">
      <c r="BK8" s="21"/>
    </row>
    <row r="9" spans="1:63" s="17" customFormat="1" ht="15" customHeight="1" x14ac:dyDescent="0.25">
      <c r="BK9" s="21"/>
    </row>
    <row r="10" spans="1:63" s="17" customFormat="1" ht="15" customHeight="1" x14ac:dyDescent="0.25">
      <c r="BK10" s="21"/>
    </row>
    <row r="11" spans="1:63" s="17" customFormat="1" ht="15" customHeight="1" x14ac:dyDescent="0.25">
      <c r="BK11" s="21"/>
    </row>
    <row r="12" spans="1:63" s="17" customFormat="1" ht="15" customHeight="1" x14ac:dyDescent="0.25">
      <c r="BK12" s="21"/>
    </row>
    <row r="13" spans="1:63" s="17" customFormat="1" ht="15" customHeight="1" x14ac:dyDescent="0.25">
      <c r="BK13" s="21"/>
    </row>
    <row r="14" spans="1:63" s="17" customFormat="1" ht="15" customHeight="1" x14ac:dyDescent="0.25">
      <c r="BK14" s="21"/>
    </row>
    <row r="15" spans="1:63" s="17" customFormat="1" ht="15" customHeight="1" x14ac:dyDescent="0.25">
      <c r="BK15" s="21"/>
    </row>
    <row r="16" spans="1:63" s="17" customFormat="1" ht="15" customHeight="1" x14ac:dyDescent="0.25">
      <c r="BK16" s="21"/>
    </row>
    <row r="17" spans="63:63" s="17" customFormat="1" ht="15" customHeight="1" x14ac:dyDescent="0.25">
      <c r="BK17" s="21"/>
    </row>
    <row r="18" spans="63:63" s="17" customFormat="1" ht="15" customHeight="1" x14ac:dyDescent="0.25">
      <c r="BK18" s="21"/>
    </row>
    <row r="19" spans="63:63" s="17" customFormat="1" ht="15" customHeight="1" x14ac:dyDescent="0.25">
      <c r="BK19" s="21"/>
    </row>
    <row r="20" spans="63:63" s="17" customFormat="1" ht="15" customHeight="1" x14ac:dyDescent="0.25">
      <c r="BK20" s="21"/>
    </row>
    <row r="21" spans="63:63" s="17" customFormat="1" ht="15" customHeight="1" x14ac:dyDescent="0.25">
      <c r="BK21" s="21"/>
    </row>
    <row r="22" spans="63:63" s="17" customFormat="1" ht="15" customHeight="1" x14ac:dyDescent="0.25">
      <c r="BK22" s="21"/>
    </row>
    <row r="23" spans="63:63" s="17" customFormat="1" ht="15" customHeight="1" x14ac:dyDescent="0.25">
      <c r="BK23" s="21"/>
    </row>
    <row r="24" spans="63:63" s="17" customFormat="1" ht="15" customHeight="1" x14ac:dyDescent="0.25">
      <c r="BK24" s="21"/>
    </row>
    <row r="25" spans="63:63" s="17" customFormat="1" ht="15" customHeight="1" x14ac:dyDescent="0.25">
      <c r="BK25" s="21"/>
    </row>
    <row r="26" spans="63:63" s="17" customFormat="1" ht="15" customHeight="1" x14ac:dyDescent="0.25">
      <c r="BK26" s="21"/>
    </row>
    <row r="27" spans="63:63" s="17" customFormat="1" ht="15" customHeight="1" x14ac:dyDescent="0.25">
      <c r="BK27" s="21"/>
    </row>
    <row r="28" spans="63:63" s="17" customFormat="1" ht="15" customHeight="1" x14ac:dyDescent="0.25">
      <c r="BK28" s="21"/>
    </row>
    <row r="29" spans="63:63" s="17" customFormat="1" ht="15" customHeight="1" x14ac:dyDescent="0.25">
      <c r="BK29" s="21"/>
    </row>
    <row r="30" spans="63:63" s="17" customFormat="1" ht="15" customHeight="1" x14ac:dyDescent="0.25">
      <c r="BK30" s="21"/>
    </row>
    <row r="31" spans="63:63" s="17" customFormat="1" ht="15" customHeight="1" x14ac:dyDescent="0.25">
      <c r="BK31" s="21"/>
    </row>
    <row r="32" spans="63:63" s="17" customFormat="1" ht="15" customHeight="1" x14ac:dyDescent="0.25">
      <c r="BK32" s="21"/>
    </row>
    <row r="33" spans="63:63" s="17" customFormat="1" ht="15" customHeight="1" x14ac:dyDescent="0.25">
      <c r="BK33" s="21"/>
    </row>
    <row r="34" spans="63:63" s="17" customFormat="1" ht="15" customHeight="1" x14ac:dyDescent="0.25">
      <c r="BK34" s="21"/>
    </row>
    <row r="35" spans="63:63" s="17" customFormat="1" ht="15" customHeight="1" x14ac:dyDescent="0.25">
      <c r="BK35" s="21"/>
    </row>
    <row r="36" spans="63:63" s="17" customFormat="1" ht="15" customHeight="1" x14ac:dyDescent="0.25">
      <c r="BK36" s="21"/>
    </row>
    <row r="37" spans="63:63" s="17" customFormat="1" ht="15" customHeight="1" x14ac:dyDescent="0.25">
      <c r="BK37" s="21"/>
    </row>
    <row r="38" spans="63:63" s="17" customFormat="1" ht="15" customHeight="1" x14ac:dyDescent="0.25">
      <c r="BK38" s="21"/>
    </row>
    <row r="39" spans="63:63" s="17" customFormat="1" ht="15" customHeight="1" x14ac:dyDescent="0.25">
      <c r="BK39" s="21"/>
    </row>
    <row r="40" spans="63:63" s="17" customFormat="1" ht="15" customHeight="1" x14ac:dyDescent="0.25">
      <c r="BK40" s="21"/>
    </row>
    <row r="41" spans="63:63" s="17" customFormat="1" ht="15" customHeight="1" x14ac:dyDescent="0.25">
      <c r="BK41" s="21"/>
    </row>
    <row r="42" spans="63:63" s="17" customFormat="1" ht="15" customHeight="1" x14ac:dyDescent="0.25">
      <c r="BK42" s="21"/>
    </row>
    <row r="43" spans="63:63" s="17" customFormat="1" ht="15" customHeight="1" x14ac:dyDescent="0.25">
      <c r="BK43" s="21"/>
    </row>
    <row r="44" spans="63:63" s="17" customFormat="1" ht="15" customHeight="1" x14ac:dyDescent="0.25">
      <c r="BK44" s="21"/>
    </row>
    <row r="45" spans="63:63" s="17" customFormat="1" ht="15" customHeight="1" x14ac:dyDescent="0.25">
      <c r="BK45" s="21"/>
    </row>
    <row r="46" spans="63:63" s="17" customFormat="1" ht="15" customHeight="1" x14ac:dyDescent="0.25">
      <c r="BK46" s="21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E0D66C-2D26-40BA-81E9-D3169F39B935}"/>
</file>

<file path=customXml/itemProps2.xml><?xml version="1.0" encoding="utf-8"?>
<ds:datastoreItem xmlns:ds="http://schemas.openxmlformats.org/officeDocument/2006/customXml" ds:itemID="{51571160-4396-44C0-8EEF-0DED372D124C}"/>
</file>

<file path=customXml/itemProps3.xml><?xml version="1.0" encoding="utf-8"?>
<ds:datastoreItem xmlns:ds="http://schemas.openxmlformats.org/officeDocument/2006/customXml" ds:itemID="{77FD5CF1-F409-447F-856D-882D8468E93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AP0107</vt:lpstr>
      <vt:lpstr>処理フロー</vt:lpstr>
      <vt:lpstr>テンプレート</vt:lpstr>
      <vt:lpstr>'AP0107'!Print_Area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2024-11-14T07:22:38Z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