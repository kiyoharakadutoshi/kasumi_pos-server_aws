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40_API設計\API_02_緊急売価変更\"/>
    </mc:Choice>
  </mc:AlternateContent>
  <xr:revisionPtr revIDLastSave="0" documentId="13_ncr:1_{B3C3218A-FBC0-497C-B2B8-9FBB46F249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処理フロー!$A$1:$BK$67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AP2" i="9"/>
  <c r="K2" i="9"/>
  <c r="A2" i="9"/>
  <c r="W1" i="9"/>
  <c r="C65" i="8"/>
  <c r="C66" i="8" s="1"/>
  <c r="C67" i="8" s="1"/>
  <c r="C68" i="8" s="1"/>
  <c r="C69" i="8" s="1"/>
  <c r="C64" i="8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7" s="1"/>
  <c r="AP2" i="4"/>
  <c r="AP2" i="7" s="1"/>
  <c r="BC2" i="3" l="1"/>
  <c r="BC2" i="10"/>
  <c r="AP2" i="8"/>
  <c r="BH2" i="8"/>
  <c r="BC2" i="9"/>
  <c r="BH2" i="7"/>
  <c r="BH2" i="3"/>
  <c r="BH2" i="10"/>
  <c r="AY2" i="8"/>
  <c r="AY2" i="7"/>
  <c r="AY2" i="3"/>
  <c r="AY2" i="10"/>
  <c r="BC2" i="8"/>
</calcChain>
</file>

<file path=xl/sharedStrings.xml><?xml version="1.0" encoding="utf-8"?>
<sst xmlns="http://schemas.openxmlformats.org/spreadsheetml/2006/main" count="262" uniqueCount="154">
  <si>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</si>
  <si>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</si>
  <si>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</si>
  <si>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</si>
  <si>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</si>
  <si>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</si>
  <si>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</si>
  <si>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</si>
  <si>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</si>
  <si>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</si>
  <si>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</si>
  <si>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</si>
  <si>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</si>
  <si>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</si>
  <si>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</si>
  <si>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</si>
  <si>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</si>
  <si>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</si>
  <si>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</si>
  <si>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</si>
  <si>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</si>
  <si>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</si>
  <si>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</si>
  <si>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</si>
  <si>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</si>
  <si>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</si>
  <si>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</si>
  <si>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</si>
  <si>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</si>
  <si>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</si>
  <si>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</si>
  <si>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</si>
  <si>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</si>
  <si>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</si>
  <si>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</si>
  <si>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</si>
  <si>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</si>
  <si>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</si>
  <si>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</si>
  <si>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</si>
  <si>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</si>
  <si>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</si>
  <si>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</si>
  <si>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</si>
  <si>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</si>
  <si>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</si>
  <si>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</si>
  <si>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</si>
  <si>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</si>
  <si>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</si>
  <si>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商品の緊急売価一覧を取得する。</t>
    </r>
  </si>
  <si>
    <r>
      <rPr>
        <sz val="11"/>
        <color rgb="FF000000"/>
        <rFont val="Meiryo UI"/>
        <family val="2"/>
      </rPr>
      <t>AP0201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</si>
  <si>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</si>
  <si>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</si>
  <si>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</si>
  <si>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</si>
  <si>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</si>
  <si>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</si>
  <si>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</si>
  <si>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</si>
  <si>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</si>
  <si>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</si>
  <si>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</si>
  <si>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</si>
  <si>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force_prices</t>
    </r>
  </si>
  <si>
    <r>
      <rPr>
        <sz val="11"/>
        <color rgb="FF000000"/>
        <rFont val="Meiryo UI"/>
        <family val="2"/>
      </rPr>
      <t>緊急売価データリスト</t>
    </r>
  </si>
  <si>
    <r>
      <rPr>
        <sz val="11"/>
        <color rgb="FF000000"/>
        <rFont val="Meiryo UI"/>
        <family val="2"/>
      </rPr>
      <t>force_price_master.company_code</t>
    </r>
  </si>
  <si>
    <r>
      <rPr>
        <sz val="11"/>
        <color rgb="FF000000"/>
        <rFont val="Meiryo UI"/>
        <family val="2"/>
      </rPr>
      <t>force_price_master.store_code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</si>
  <si>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</si>
  <si>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</si>
  <si>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force_price_master.schedule_no</t>
    </r>
  </si>
  <si>
    <r>
      <rPr>
        <sz val="11"/>
        <color rgb="FF000000"/>
        <rFont val="Meiryo UI"/>
        <family val="2"/>
      </rPr>
      <t>force_price_master.item_code</t>
    </r>
  </si>
  <si>
    <r>
      <rPr>
        <sz val="11"/>
        <color rgb="FF000000"/>
        <rFont val="Meiryo UI"/>
        <family val="2"/>
      </rPr>
      <t>force_price_master.force_price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</si>
  <si>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</si>
  <si>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</si>
  <si>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</si>
  <si>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item_master.my_company_code</t>
    </r>
  </si>
  <si>
    <r>
      <rPr>
        <sz val="11"/>
        <color rgb="FF000000"/>
        <rFont val="Meiryo UI"/>
        <family val="2"/>
      </rPr>
      <t>item_master.long_description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</si>
  <si>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</si>
  <si>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item_master.unit_price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</si>
  <si>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</si>
  <si>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現在売価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</si>
  <si>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</si>
  <si>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</si>
  <si>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</si>
  <si>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</si>
  <si>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api/v1/force-price/list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</si>
  <si>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</si>
  <si>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</si>
  <si>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</si>
  <si>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</si>
  <si>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</si>
  <si>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</si>
  <si>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</si>
  <si>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</si>
  <si>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</si>
  <si>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</si>
  <si>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</si>
  <si>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</si>
  <si>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</si>
  <si>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</si>
  <si>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</si>
  <si>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</si>
  <si>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</si>
  <si>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</si>
  <si>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</si>
  <si>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</si>
  <si>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</si>
  <si>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</si>
  <si>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</si>
  <si>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</si>
  <si>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</si>
  <si>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</si>
  <si>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</si>
  <si>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</si>
  <si>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</si>
  <si>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t>1ページあたりの件数：14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</si>
  <si>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</si>
  <si>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</si>
  <si>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</si>
  <si>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</si>
  <si>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</si>
  <si>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"page_number": 1,</t>
    </r>
  </si>
  <si>
    <r>
      <rPr>
        <sz val="11"/>
        <color rgb="FF000000"/>
        <rFont val="Meiryo UI"/>
        <family val="2"/>
      </rPr>
      <t xml:space="preserve">    "limit": 18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</si>
  <si>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</si>
  <si>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</si>
  <si>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</si>
  <si>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</si>
  <si>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</si>
  <si>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</si>
  <si>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my_company_code</t>
    </r>
  </si>
  <si>
    <r>
      <rPr>
        <sz val="11"/>
        <color rgb="FF000000"/>
        <rFont val="Meiryo UI"/>
        <family val="2"/>
      </rPr>
      <t xml:space="preserve">    schedule_no</t>
    </r>
  </si>
  <si>
    <r>
      <rPr>
        <sz val="11"/>
        <color rgb="FF000000"/>
        <rFont val="Meiryo UI"/>
        <family val="2"/>
      </rPr>
      <t xml:space="preserve">    item_code</t>
    </r>
  </si>
  <si>
    <r>
      <rPr>
        <sz val="11"/>
        <color rgb="FF000000"/>
        <rFont val="Meiryo UI"/>
        <family val="2"/>
      </rPr>
      <t xml:space="preserve">    item_name</t>
    </r>
  </si>
  <si>
    <r>
      <rPr>
        <sz val="11"/>
        <color rgb="FF000000"/>
        <rFont val="Meiryo UI"/>
        <family val="2"/>
      </rPr>
      <t xml:space="preserve">    unit_price</t>
    </r>
  </si>
  <si>
    <r>
      <rPr>
        <sz val="11"/>
        <color rgb="FF000000"/>
        <rFont val="Meiryo UI"/>
        <family val="2"/>
      </rPr>
      <t xml:space="preserve">    force_price</t>
    </r>
  </si>
  <si>
    <r>
      <rPr>
        <sz val="11"/>
        <color rgb="FF000000"/>
        <rFont val="Meiryo UI"/>
        <family val="2"/>
      </rPr>
      <t xml:space="preserve">    current_price</t>
    </r>
  </si>
  <si>
    <r>
      <rPr>
        <sz val="11"/>
        <color rgb="FF000000"/>
        <rFont val="Meiryo UI"/>
        <family val="2"/>
      </rPr>
      <t xml:space="preserve">    "status_code": 200,</t>
    </r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</si>
  <si>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</si>
  <si>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</si>
  <si>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</si>
  <si>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r>
      <rPr>
        <sz val="11"/>
        <color rgb="FF000000"/>
        <rFont val="Meiryo UI"/>
        <family val="2"/>
      </rPr>
      <t xml:space="preserve">    "force_prices": [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</si>
  <si>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</si>
  <si>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</si>
  <si>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</si>
  <si>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</si>
  <si>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"schedule_no":"",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</si>
  <si>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</si>
  <si>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</si>
  <si>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</si>
  <si>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"force_price":269,</t>
    </r>
  </si>
  <si>
    <r>
      <rPr>
        <sz val="11"/>
        <color rgb="FF000000"/>
        <rFont val="Meiryo UI"/>
        <family val="2"/>
      </rPr>
      <t xml:space="preserve">            "current_price":269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</si>
  <si>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</si>
  <si>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・バリデーションチェック：不正な日付の形式（メッセージ = MSG_VAL_003）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</si>
</sst>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9" fillId="4" borderId="0" xfId="0" applyFont="1" applyFill="1"/>
    <xf numFmtId="14" fontId="22" fillId="0" borderId="16" xfId="0" applyNumberFormat="1" applyFont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8" fillId="0" borderId="23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2667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param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63</xdr:row>
      <xdr:rowOff>22412</xdr:rowOff>
    </xdr:from>
    <xdr:to>
      <xdr:col>7</xdr:col>
      <xdr:colOff>235322</xdr:colOff>
      <xdr:row>65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2134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37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16383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25</xdr:row>
      <xdr:rowOff>84043</xdr:rowOff>
    </xdr:from>
    <xdr:to>
      <xdr:col>10</xdr:col>
      <xdr:colOff>235323</xdr:colOff>
      <xdr:row>63</xdr:row>
      <xdr:rowOff>22412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571625" y="4962525"/>
          <a:ext cx="1333500" cy="7172325"/>
        </a:xfrm>
        <a:prstGeom prst="bentConnector4">
          <a:avLst>
            <a:gd name="adj1" fmla="val -59429"/>
            <a:gd name="adj2" fmla="val 93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952500"/>
        </a:xfrm>
        <a:prstGeom prst="borderCallout1">
          <a:avLst>
            <a:gd name="adj1" fmla="val 33259"/>
            <a:gd name="adj2" fmla="val 117"/>
            <a:gd name="adj3" fmla="val 32451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▪レコードが存在していない場合、正常なレスポンスを返す（緊急売価一覧：空の配列（force_prices = []））</a:t>
          </a: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9</xdr:col>
      <xdr:colOff>0</xdr:colOff>
      <xdr:row>41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53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33" idx="0"/>
        </xdr:cNvCxnSpPr>
      </xdr:nvCxnSpPr>
      <xdr:spPr>
        <a:xfrm>
          <a:off x="1600200" y="79248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179294</xdr:rowOff>
    </xdr:from>
    <xdr:to>
      <xdr:col>62</xdr:col>
      <xdr:colOff>0</xdr:colOff>
      <xdr:row>44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6581775"/>
          <a:ext cx="7200900" cy="1914525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に基づいて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9</xdr:col>
      <xdr:colOff>0</xdr:colOff>
      <xdr:row>58</xdr:row>
      <xdr:rowOff>0</xdr:rowOff>
    </xdr:to>
    <xdr:sp macro="" textlink="" fLocksText="0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00100" y="10210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0</xdr:rowOff>
    </xdr:from>
    <xdr:to>
      <xdr:col>7</xdr:col>
      <xdr:colOff>0</xdr:colOff>
      <xdr:row>59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333500" y="1116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224118</xdr:colOff>
      <xdr:row>55</xdr:row>
      <xdr:rowOff>0</xdr:rowOff>
    </xdr:from>
    <xdr:to>
      <xdr:col>10</xdr:col>
      <xdr:colOff>224118</xdr:colOff>
      <xdr:row>56</xdr:row>
      <xdr:rowOff>0</xdr:rowOff>
    </xdr:to>
    <xdr:sp macro="" textlink="" fLocksText="0">
      <xdr:nvSpPr>
        <xdr:cNvPr id="35" name="Flowchart: Proces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362200" y="1059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5</xdr:col>
      <xdr:colOff>235322</xdr:colOff>
      <xdr:row>59</xdr:row>
      <xdr:rowOff>0</xdr:rowOff>
    </xdr:from>
    <xdr:to>
      <xdr:col>6</xdr:col>
      <xdr:colOff>1</xdr:colOff>
      <xdr:row>63</xdr:row>
      <xdr:rowOff>22412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4" idx="2"/>
          <a:endCxn id="4" idx="0"/>
        </xdr:cNvCxnSpPr>
      </xdr:nvCxnSpPr>
      <xdr:spPr>
        <a:xfrm flipH="1">
          <a:off x="1571625" y="11353800"/>
          <a:ext cx="28575" cy="781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55</xdr:row>
      <xdr:rowOff>95250</xdr:rowOff>
    </xdr:from>
    <xdr:to>
      <xdr:col>10</xdr:col>
      <xdr:colOff>224118</xdr:colOff>
      <xdr:row>63</xdr:row>
      <xdr:rowOff>22412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5" idx="3"/>
          <a:endCxn id="4" idx="0"/>
        </xdr:cNvCxnSpPr>
      </xdr:nvCxnSpPr>
      <xdr:spPr>
        <a:xfrm flipH="1">
          <a:off x="1571625" y="10687050"/>
          <a:ext cx="1323975" cy="1447800"/>
        </a:xfrm>
        <a:prstGeom prst="bentConnector4">
          <a:avLst>
            <a:gd name="adj1" fmla="val -19615"/>
            <a:gd name="adj2" fmla="val 6718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66</xdr:row>
      <xdr:rowOff>11206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9258300"/>
          <a:ext cx="7200900" cy="3438525"/>
        </a:xfrm>
        <a:prstGeom prst="borderCallout1">
          <a:avLst>
            <a:gd name="adj1" fmla="val 50036"/>
            <a:gd name="adj2" fmla="val 117"/>
            <a:gd name="adj3" fmla="val 50229"/>
            <a:gd name="adj4" fmla="val -1055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品種の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品群の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がない、部門の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がある場合：ステップ2で取得された緊急売価 - 部門の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カテゴリ値引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▪正常なレスポンスを返す（AP0201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「3.レスポンス」の「3.1. 正常の場合のレスポンスフォーマット」をご参照ください。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92" t="s">
        <v>1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4"/>
      <c r="W1" s="114" t="s">
        <v>16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92" t="s">
        <v>2</v>
      </c>
      <c r="AQ1" s="93"/>
      <c r="AR1" s="93"/>
      <c r="AS1" s="94"/>
      <c r="AT1" s="92" t="s">
        <v>3</v>
      </c>
      <c r="AU1" s="93"/>
      <c r="AV1" s="93"/>
      <c r="AW1" s="93"/>
      <c r="AX1" s="94"/>
      <c r="AY1" s="92" t="s">
        <v>4</v>
      </c>
      <c r="AZ1" s="93"/>
      <c r="BA1" s="93"/>
      <c r="BB1" s="94"/>
      <c r="BC1" s="92" t="s">
        <v>5</v>
      </c>
      <c r="BD1" s="93"/>
      <c r="BE1" s="93"/>
      <c r="BF1" s="93"/>
      <c r="BG1" s="94"/>
      <c r="BH1" s="92" t="s">
        <v>6</v>
      </c>
      <c r="BI1" s="93"/>
      <c r="BJ1" s="93"/>
      <c r="BK1" s="94"/>
    </row>
    <row r="2" spans="1:63" ht="15" customHeight="1" x14ac:dyDescent="0.25">
      <c r="A2" s="113" t="s">
        <v>13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11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117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9"/>
      <c r="AP2" s="77" t="str">
        <f>改訂履歴!$H$11</f>
        <v>TuyenNH</v>
      </c>
      <c r="AQ2" s="78"/>
      <c r="AR2" s="78"/>
      <c r="AS2" s="79"/>
      <c r="AT2" s="107">
        <f>改訂履歴!$B$11</f>
        <v>45516</v>
      </c>
      <c r="AU2" s="108"/>
      <c r="AV2" s="108"/>
      <c r="AW2" s="108"/>
      <c r="AX2" s="109"/>
      <c r="AY2" s="77" t="str">
        <f>LOOKUP(2,1/(改訂履歴!H11:H30000&lt;&gt;""),改訂履歴!H11:H30000)</f>
        <v>TuyenNH</v>
      </c>
      <c r="AZ2" s="78"/>
      <c r="BA2" s="78"/>
      <c r="BB2" s="79"/>
      <c r="BC2" s="107">
        <f>LOOKUP(2,1/(改訂履歴!B11:B30000&lt;&gt;""),改訂履歴!B11:B30000)</f>
        <v>45516</v>
      </c>
      <c r="BD2" s="108"/>
      <c r="BE2" s="108"/>
      <c r="BF2" s="108"/>
      <c r="BG2" s="109"/>
      <c r="BH2" s="101">
        <f>LOOKUP(2,1/(改訂履歴!O11:O30000&lt;&gt;""),改訂履歴!O11:O30000)</f>
        <v>0.1</v>
      </c>
      <c r="BI2" s="102"/>
      <c r="BJ2" s="102"/>
      <c r="BK2" s="103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120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2"/>
      <c r="AP3" s="83"/>
      <c r="AQ3" s="84"/>
      <c r="AR3" s="84"/>
      <c r="AS3" s="85"/>
      <c r="AT3" s="110"/>
      <c r="AU3" s="111"/>
      <c r="AV3" s="111"/>
      <c r="AW3" s="111"/>
      <c r="AX3" s="112"/>
      <c r="AY3" s="83"/>
      <c r="AZ3" s="84"/>
      <c r="BA3" s="84"/>
      <c r="BB3" s="85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92" t="s">
        <v>29</v>
      </c>
      <c r="B4" s="93"/>
      <c r="C4" s="93"/>
      <c r="D4" s="93"/>
      <c r="E4" s="93"/>
      <c r="F4" s="93"/>
      <c r="G4" s="94"/>
      <c r="H4" s="97" t="s">
        <v>51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2" t="s">
        <v>7</v>
      </c>
      <c r="V4" s="93"/>
      <c r="W4" s="93"/>
      <c r="X4" s="93"/>
      <c r="Y4" s="94"/>
      <c r="Z4" s="100" t="s">
        <v>15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5" t="s">
        <v>14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12"/>
      <c r="BK16" s="4"/>
    </row>
    <row r="17" spans="1:63" ht="15" customHeight="1" x14ac:dyDescent="0.25">
      <c r="A17" s="1"/>
      <c r="K17" s="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12"/>
      <c r="BK17" s="4"/>
    </row>
    <row r="18" spans="1:63" ht="15" customHeight="1" x14ac:dyDescent="0.25">
      <c r="A18" s="1"/>
      <c r="K18" s="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12"/>
      <c r="BK18" s="4"/>
    </row>
    <row r="19" spans="1:63" ht="15" customHeight="1" x14ac:dyDescent="0.25">
      <c r="A19" s="1"/>
      <c r="K19" s="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12"/>
      <c r="BK19" s="4"/>
    </row>
    <row r="20" spans="1:63" ht="15" customHeight="1" x14ac:dyDescent="0.25">
      <c r="A20" s="1"/>
      <c r="K20" s="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12"/>
      <c r="BK20" s="4"/>
    </row>
    <row r="21" spans="1:63" ht="15" customHeight="1" x14ac:dyDescent="0.25">
      <c r="A21" s="1"/>
      <c r="K21" s="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6" t="str">
        <f>K2&amp;"/"&amp;H4&amp;"/"&amp;Z4</f>
        <v>POSサーバ/AP0201/API設計書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12"/>
      <c r="BK24" s="4"/>
    </row>
    <row r="25" spans="1:63" ht="15" customHeight="1" x14ac:dyDescent="0.25">
      <c r="A25" s="1"/>
      <c r="K25" s="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12"/>
      <c r="BK25" s="4"/>
    </row>
    <row r="26" spans="1:63" ht="15" customHeight="1" x14ac:dyDescent="0.25">
      <c r="A26" s="1"/>
      <c r="K26" s="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12"/>
      <c r="BK26" s="4"/>
    </row>
    <row r="27" spans="1:63" ht="15" customHeight="1" x14ac:dyDescent="0.25">
      <c r="A27" s="1"/>
      <c r="K27" s="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12"/>
      <c r="BK27" s="4"/>
    </row>
    <row r="28" spans="1:63" ht="15" customHeight="1" x14ac:dyDescent="0.25">
      <c r="A28" s="1"/>
      <c r="K28" s="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12"/>
      <c r="BK28" s="4"/>
    </row>
    <row r="29" spans="1:63" ht="15" customHeight="1" x14ac:dyDescent="0.25">
      <c r="A29" s="1"/>
      <c r="K29" s="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12"/>
      <c r="BK29" s="4"/>
    </row>
    <row r="30" spans="1:63" ht="15" customHeight="1" x14ac:dyDescent="0.25">
      <c r="A30" s="1"/>
      <c r="K30" s="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12"/>
      <c r="BK30" s="4"/>
    </row>
    <row r="31" spans="1:63" ht="15" customHeight="1" x14ac:dyDescent="0.25">
      <c r="A31" s="1"/>
      <c r="K31" s="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12"/>
      <c r="BK31" s="4"/>
    </row>
    <row r="32" spans="1:63" ht="15" customHeight="1" x14ac:dyDescent="0.25">
      <c r="A32" s="1"/>
      <c r="K32" s="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12"/>
      <c r="BK32" s="4"/>
    </row>
    <row r="33" spans="1:63" ht="15" customHeight="1" x14ac:dyDescent="0.25">
      <c r="A33" s="1"/>
      <c r="K33" s="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12"/>
      <c r="BK33" s="4"/>
    </row>
    <row r="34" spans="1:63" ht="15" customHeight="1" x14ac:dyDescent="0.25">
      <c r="A34" s="1"/>
      <c r="K34" s="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12"/>
      <c r="BK34" s="4"/>
    </row>
    <row r="35" spans="1:63" ht="15" customHeight="1" x14ac:dyDescent="0.25">
      <c r="A35" s="1"/>
      <c r="K35" s="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12"/>
      <c r="BK35" s="4"/>
    </row>
    <row r="36" spans="1:63" ht="15" customHeight="1" x14ac:dyDescent="0.25">
      <c r="A36" s="1"/>
      <c r="K36" s="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86" t="s">
        <v>9</v>
      </c>
      <c r="R44" s="87"/>
      <c r="S44" s="87"/>
      <c r="T44" s="87"/>
      <c r="U44" s="87"/>
      <c r="V44" s="87"/>
      <c r="W44" s="87"/>
      <c r="X44" s="87"/>
      <c r="Y44" s="87"/>
      <c r="Z44" s="88"/>
      <c r="AA44" s="86" t="s">
        <v>10</v>
      </c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8"/>
      <c r="AQ44" s="86" t="s">
        <v>6</v>
      </c>
      <c r="AR44" s="87"/>
      <c r="AS44" s="87"/>
      <c r="AT44" s="87"/>
      <c r="AU44" s="88"/>
      <c r="BK44" s="4"/>
    </row>
    <row r="45" spans="1:63" ht="15" customHeight="1" x14ac:dyDescent="0.25">
      <c r="A45" s="1"/>
      <c r="Q45" s="89"/>
      <c r="R45" s="90"/>
      <c r="S45" s="90"/>
      <c r="T45" s="90"/>
      <c r="U45" s="90"/>
      <c r="V45" s="90"/>
      <c r="W45" s="90"/>
      <c r="X45" s="90"/>
      <c r="Y45" s="90"/>
      <c r="Z45" s="91"/>
      <c r="AA45" s="89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1"/>
      <c r="AQ45" s="89"/>
      <c r="AR45" s="90"/>
      <c r="AS45" s="90"/>
      <c r="AT45" s="90"/>
      <c r="AU45" s="91"/>
      <c r="BK45" s="4"/>
    </row>
    <row r="46" spans="1:63" ht="15" customHeight="1" x14ac:dyDescent="0.25">
      <c r="A46" s="1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4"/>
    </row>
    <row r="47" spans="1:63" ht="15" customHeight="1" x14ac:dyDescent="0.25">
      <c r="A47" s="1"/>
      <c r="Q47" s="80"/>
      <c r="R47" s="81"/>
      <c r="S47" s="81"/>
      <c r="T47" s="81"/>
      <c r="U47" s="81"/>
      <c r="V47" s="81"/>
      <c r="W47" s="81"/>
      <c r="X47" s="81"/>
      <c r="Y47" s="81"/>
      <c r="Z47" s="82"/>
      <c r="AA47" s="80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2"/>
      <c r="AQ47" s="80"/>
      <c r="AR47" s="81"/>
      <c r="AS47" s="81"/>
      <c r="AT47" s="81"/>
      <c r="AU47" s="82"/>
      <c r="BK47" s="4"/>
    </row>
    <row r="48" spans="1:63" ht="15" customHeight="1" x14ac:dyDescent="0.25">
      <c r="A48" s="1"/>
      <c r="Q48" s="80"/>
      <c r="R48" s="81"/>
      <c r="S48" s="81"/>
      <c r="T48" s="81"/>
      <c r="U48" s="81"/>
      <c r="V48" s="81"/>
      <c r="W48" s="81"/>
      <c r="X48" s="81"/>
      <c r="Y48" s="81"/>
      <c r="Z48" s="82"/>
      <c r="AA48" s="80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2"/>
      <c r="AQ48" s="80"/>
      <c r="AR48" s="81"/>
      <c r="AS48" s="81"/>
      <c r="AT48" s="81"/>
      <c r="AU48" s="82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7" customWidth="1"/>
    <col min="61" max="16384" width="2.77734375" style="57"/>
  </cols>
  <sheetData>
    <row r="1" spans="1:63" ht="24.95" customHeight="1" x14ac:dyDescent="0.25">
      <c r="A1" s="143" t="s">
        <v>88</v>
      </c>
      <c r="B1" s="144"/>
      <c r="C1" s="144"/>
      <c r="D1" s="144"/>
      <c r="E1" s="144"/>
      <c r="F1" s="144"/>
      <c r="G1" s="144"/>
      <c r="H1" s="144"/>
      <c r="I1" s="144"/>
      <c r="J1" s="145"/>
      <c r="K1" s="143" t="s">
        <v>89</v>
      </c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23" t="str">
        <f>IF(表紙!A2="","",表紙!A2)</f>
        <v>POSサーバー</v>
      </c>
      <c r="B2" s="124"/>
      <c r="C2" s="124"/>
      <c r="D2" s="124"/>
      <c r="E2" s="124"/>
      <c r="F2" s="124"/>
      <c r="G2" s="124"/>
      <c r="H2" s="124"/>
      <c r="I2" s="124"/>
      <c r="J2" s="125"/>
      <c r="K2" s="123" t="str">
        <f>IF(表紙!K2="","",表紙!K2)</f>
        <v>POSサーバ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5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8"/>
      <c r="K3" s="126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43" t="s">
        <v>95</v>
      </c>
      <c r="B4" s="144"/>
      <c r="C4" s="144"/>
      <c r="D4" s="144"/>
      <c r="E4" s="144"/>
      <c r="F4" s="144"/>
      <c r="G4" s="145"/>
      <c r="H4" s="155" t="str">
        <f>IF(表紙!H4="","",表紙!H4)</f>
        <v>AP0201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43" t="s">
        <v>96</v>
      </c>
      <c r="V4" s="144"/>
      <c r="W4" s="144"/>
      <c r="X4" s="144"/>
      <c r="Y4" s="145"/>
      <c r="Z4" s="155" t="str">
        <f>IF(表紙!Z4="","",表紙!Z4)</f>
        <v>API設計書</v>
      </c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7"/>
      <c r="AP4" s="155" t="str">
        <f t="array" aca="1" ref="AP4" ca="1">RIGHT(CELL("filename",$A$1),LEN(CELL("filename",$A$1))-FIND("]",CELL("filename",$A$1)))</f>
        <v>改訂履歴</v>
      </c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7"/>
    </row>
    <row r="5" spans="1:63" ht="5.0999999999999996" customHeight="1" x14ac:dyDescent="0.25">
      <c r="A5" s="5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60"/>
    </row>
    <row r="6" spans="1:63" ht="15" customHeight="1" x14ac:dyDescent="0.25">
      <c r="A6" s="61"/>
      <c r="BK6" s="62"/>
    </row>
    <row r="7" spans="1:63" ht="15" customHeight="1" x14ac:dyDescent="0.25">
      <c r="A7" s="61"/>
      <c r="BK7" s="62"/>
    </row>
    <row r="8" spans="1:63" ht="15" customHeight="1" x14ac:dyDescent="0.25">
      <c r="A8" s="61"/>
      <c r="B8" s="57" t="s">
        <v>8</v>
      </c>
      <c r="BK8" s="62"/>
    </row>
    <row r="9" spans="1:63" ht="15" customHeight="1" x14ac:dyDescent="0.25">
      <c r="A9" s="61"/>
      <c r="BK9" s="62"/>
    </row>
    <row r="10" spans="1:63" ht="15" customHeight="1" x14ac:dyDescent="0.25">
      <c r="A10" s="61"/>
      <c r="B10" s="141" t="s">
        <v>93</v>
      </c>
      <c r="C10" s="141"/>
      <c r="D10" s="141"/>
      <c r="E10" s="141"/>
      <c r="F10" s="141"/>
      <c r="G10" s="141"/>
      <c r="H10" s="141" t="s">
        <v>92</v>
      </c>
      <c r="I10" s="141"/>
      <c r="J10" s="141"/>
      <c r="K10" s="141"/>
      <c r="L10" s="141"/>
      <c r="M10" s="141"/>
      <c r="N10" s="141"/>
      <c r="O10" s="141" t="s">
        <v>94</v>
      </c>
      <c r="P10" s="141"/>
      <c r="Q10" s="141"/>
      <c r="R10" s="141"/>
      <c r="S10" s="141" t="s">
        <v>97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 t="s">
        <v>98</v>
      </c>
      <c r="AY10" s="141"/>
      <c r="AZ10" s="141"/>
      <c r="BA10" s="141"/>
      <c r="BB10" s="141"/>
      <c r="BC10" s="141"/>
      <c r="BD10" s="141" t="s">
        <v>99</v>
      </c>
      <c r="BE10" s="141"/>
      <c r="BF10" s="141"/>
      <c r="BG10" s="141"/>
      <c r="BH10" s="141"/>
      <c r="BI10" s="141"/>
      <c r="BJ10" s="141"/>
      <c r="BK10" s="62"/>
    </row>
    <row r="11" spans="1:63" ht="15" customHeight="1" x14ac:dyDescent="0.25">
      <c r="A11" s="61"/>
      <c r="B11" s="142">
        <v>45516</v>
      </c>
      <c r="C11" s="124"/>
      <c r="D11" s="124"/>
      <c r="E11" s="124"/>
      <c r="F11" s="124"/>
      <c r="G11" s="125"/>
      <c r="H11" s="113" t="s">
        <v>100</v>
      </c>
      <c r="I11" s="124"/>
      <c r="J11" s="124"/>
      <c r="K11" s="124"/>
      <c r="L11" s="124"/>
      <c r="M11" s="124"/>
      <c r="N11" s="125"/>
      <c r="O11" s="123">
        <v>0.1</v>
      </c>
      <c r="P11" s="124"/>
      <c r="Q11" s="124"/>
      <c r="R11" s="124"/>
      <c r="S11" s="129" t="s">
        <v>12</v>
      </c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1"/>
      <c r="AX11" s="132"/>
      <c r="AY11" s="132"/>
      <c r="AZ11" s="132"/>
      <c r="BA11" s="132"/>
      <c r="BB11" s="132"/>
      <c r="BC11" s="133"/>
      <c r="BD11" s="136"/>
      <c r="BE11" s="132"/>
      <c r="BF11" s="132"/>
      <c r="BG11" s="132"/>
      <c r="BH11" s="132"/>
      <c r="BI11" s="132"/>
      <c r="BJ11" s="133"/>
      <c r="BK11" s="62"/>
    </row>
    <row r="12" spans="1:63" ht="15" customHeight="1" x14ac:dyDescent="0.25">
      <c r="A12" s="61"/>
      <c r="B12" s="126"/>
      <c r="C12" s="127"/>
      <c r="D12" s="127"/>
      <c r="E12" s="127"/>
      <c r="F12" s="127"/>
      <c r="G12" s="128"/>
      <c r="H12" s="126"/>
      <c r="I12" s="127"/>
      <c r="J12" s="127"/>
      <c r="K12" s="127"/>
      <c r="L12" s="127"/>
      <c r="M12" s="127"/>
      <c r="N12" s="128"/>
      <c r="O12" s="126"/>
      <c r="P12" s="127"/>
      <c r="Q12" s="127"/>
      <c r="R12" s="127"/>
      <c r="S12" s="138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40"/>
      <c r="AX12" s="134"/>
      <c r="AY12" s="134"/>
      <c r="AZ12" s="134"/>
      <c r="BA12" s="134"/>
      <c r="BB12" s="134"/>
      <c r="BC12" s="135"/>
      <c r="BD12" s="137"/>
      <c r="BE12" s="134"/>
      <c r="BF12" s="134"/>
      <c r="BG12" s="134"/>
      <c r="BH12" s="134"/>
      <c r="BI12" s="134"/>
      <c r="BJ12" s="135"/>
      <c r="BK12" s="62"/>
    </row>
    <row r="13" spans="1:63" ht="15" customHeight="1" x14ac:dyDescent="0.25">
      <c r="A13" s="61"/>
      <c r="B13" s="142"/>
      <c r="C13" s="124"/>
      <c r="D13" s="124"/>
      <c r="E13" s="124"/>
      <c r="F13" s="124"/>
      <c r="G13" s="125"/>
      <c r="H13" s="123"/>
      <c r="I13" s="124"/>
      <c r="J13" s="124"/>
      <c r="K13" s="124"/>
      <c r="L13" s="124"/>
      <c r="M13" s="124"/>
      <c r="N13" s="125"/>
      <c r="O13" s="123"/>
      <c r="P13" s="124"/>
      <c r="Q13" s="124"/>
      <c r="R13" s="124"/>
      <c r="S13" s="129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1"/>
      <c r="AX13" s="132"/>
      <c r="AY13" s="132"/>
      <c r="AZ13" s="132"/>
      <c r="BA13" s="132"/>
      <c r="BB13" s="132"/>
      <c r="BC13" s="133"/>
      <c r="BD13" s="136"/>
      <c r="BE13" s="132"/>
      <c r="BF13" s="132"/>
      <c r="BG13" s="132"/>
      <c r="BH13" s="132"/>
      <c r="BI13" s="132"/>
      <c r="BJ13" s="133"/>
      <c r="BK13" s="62"/>
    </row>
    <row r="14" spans="1:63" ht="15" customHeight="1" x14ac:dyDescent="0.25">
      <c r="A14" s="61"/>
      <c r="B14" s="126"/>
      <c r="C14" s="127"/>
      <c r="D14" s="127"/>
      <c r="E14" s="127"/>
      <c r="F14" s="127"/>
      <c r="G14" s="128"/>
      <c r="H14" s="126"/>
      <c r="I14" s="127"/>
      <c r="J14" s="127"/>
      <c r="K14" s="127"/>
      <c r="L14" s="127"/>
      <c r="M14" s="127"/>
      <c r="N14" s="128"/>
      <c r="O14" s="126"/>
      <c r="P14" s="127"/>
      <c r="Q14" s="127"/>
      <c r="R14" s="127"/>
      <c r="S14" s="138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40"/>
      <c r="AX14" s="134"/>
      <c r="AY14" s="134"/>
      <c r="AZ14" s="134"/>
      <c r="BA14" s="134"/>
      <c r="BB14" s="134"/>
      <c r="BC14" s="135"/>
      <c r="BD14" s="137"/>
      <c r="BE14" s="134"/>
      <c r="BF14" s="134"/>
      <c r="BG14" s="134"/>
      <c r="BH14" s="134"/>
      <c r="BI14" s="134"/>
      <c r="BJ14" s="135"/>
      <c r="BK14" s="62"/>
    </row>
    <row r="15" spans="1:63" ht="15" customHeight="1" x14ac:dyDescent="0.25">
      <c r="A15" s="61"/>
      <c r="B15" s="142"/>
      <c r="C15" s="124"/>
      <c r="D15" s="124"/>
      <c r="E15" s="124"/>
      <c r="F15" s="124"/>
      <c r="G15" s="125"/>
      <c r="H15" s="123"/>
      <c r="I15" s="124"/>
      <c r="J15" s="124"/>
      <c r="K15" s="124"/>
      <c r="L15" s="124"/>
      <c r="M15" s="124"/>
      <c r="N15" s="125"/>
      <c r="O15" s="123"/>
      <c r="P15" s="124"/>
      <c r="Q15" s="124"/>
      <c r="R15" s="124"/>
      <c r="S15" s="129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1"/>
      <c r="AX15" s="132"/>
      <c r="AY15" s="132"/>
      <c r="AZ15" s="132"/>
      <c r="BA15" s="132"/>
      <c r="BB15" s="132"/>
      <c r="BC15" s="133"/>
      <c r="BD15" s="136"/>
      <c r="BE15" s="132"/>
      <c r="BF15" s="132"/>
      <c r="BG15" s="132"/>
      <c r="BH15" s="132"/>
      <c r="BI15" s="132"/>
      <c r="BJ15" s="133"/>
      <c r="BK15" s="62"/>
    </row>
    <row r="16" spans="1:63" ht="15" customHeight="1" x14ac:dyDescent="0.25">
      <c r="A16" s="61"/>
      <c r="B16" s="126"/>
      <c r="C16" s="127"/>
      <c r="D16" s="127"/>
      <c r="E16" s="127"/>
      <c r="F16" s="127"/>
      <c r="G16" s="128"/>
      <c r="H16" s="126"/>
      <c r="I16" s="127"/>
      <c r="J16" s="127"/>
      <c r="K16" s="127"/>
      <c r="L16" s="127"/>
      <c r="M16" s="127"/>
      <c r="N16" s="128"/>
      <c r="O16" s="126"/>
      <c r="P16" s="127"/>
      <c r="Q16" s="127"/>
      <c r="R16" s="127"/>
      <c r="S16" s="138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40"/>
      <c r="AX16" s="134"/>
      <c r="AY16" s="134"/>
      <c r="AZ16" s="134"/>
      <c r="BA16" s="134"/>
      <c r="BB16" s="134"/>
      <c r="BC16" s="135"/>
      <c r="BD16" s="137"/>
      <c r="BE16" s="134"/>
      <c r="BF16" s="134"/>
      <c r="BG16" s="134"/>
      <c r="BH16" s="134"/>
      <c r="BI16" s="134"/>
      <c r="BJ16" s="135"/>
      <c r="BK16" s="62"/>
    </row>
    <row r="17" spans="1:63" ht="15" customHeight="1" x14ac:dyDescent="0.25">
      <c r="A17" s="61"/>
      <c r="B17" s="123"/>
      <c r="C17" s="124"/>
      <c r="D17" s="124"/>
      <c r="E17" s="124"/>
      <c r="F17" s="124"/>
      <c r="G17" s="125"/>
      <c r="H17" s="123"/>
      <c r="I17" s="124"/>
      <c r="J17" s="124"/>
      <c r="K17" s="124"/>
      <c r="L17" s="124"/>
      <c r="M17" s="124"/>
      <c r="N17" s="125"/>
      <c r="O17" s="123"/>
      <c r="P17" s="124"/>
      <c r="Q17" s="124"/>
      <c r="R17" s="124"/>
      <c r="S17" s="129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1"/>
      <c r="AX17" s="132"/>
      <c r="AY17" s="132"/>
      <c r="AZ17" s="132"/>
      <c r="BA17" s="132"/>
      <c r="BB17" s="132"/>
      <c r="BC17" s="133"/>
      <c r="BD17" s="136"/>
      <c r="BE17" s="132"/>
      <c r="BF17" s="132"/>
      <c r="BG17" s="132"/>
      <c r="BH17" s="132"/>
      <c r="BI17" s="132"/>
      <c r="BJ17" s="133"/>
      <c r="BK17" s="62"/>
    </row>
    <row r="18" spans="1:63" ht="15" customHeight="1" x14ac:dyDescent="0.25">
      <c r="A18" s="61"/>
      <c r="B18" s="126"/>
      <c r="C18" s="127"/>
      <c r="D18" s="127"/>
      <c r="E18" s="127"/>
      <c r="F18" s="127"/>
      <c r="G18" s="128"/>
      <c r="H18" s="126"/>
      <c r="I18" s="127"/>
      <c r="J18" s="127"/>
      <c r="K18" s="127"/>
      <c r="L18" s="127"/>
      <c r="M18" s="127"/>
      <c r="N18" s="128"/>
      <c r="O18" s="126"/>
      <c r="P18" s="127"/>
      <c r="Q18" s="127"/>
      <c r="R18" s="127"/>
      <c r="S18" s="138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40"/>
      <c r="AX18" s="134"/>
      <c r="AY18" s="134"/>
      <c r="AZ18" s="134"/>
      <c r="BA18" s="134"/>
      <c r="BB18" s="134"/>
      <c r="BC18" s="135"/>
      <c r="BD18" s="137"/>
      <c r="BE18" s="134"/>
      <c r="BF18" s="134"/>
      <c r="BG18" s="134"/>
      <c r="BH18" s="134"/>
      <c r="BI18" s="134"/>
      <c r="BJ18" s="135"/>
      <c r="BK18" s="62"/>
    </row>
    <row r="19" spans="1:63" ht="15" customHeight="1" x14ac:dyDescent="0.25">
      <c r="A19" s="61"/>
      <c r="B19" s="123"/>
      <c r="C19" s="124"/>
      <c r="D19" s="124"/>
      <c r="E19" s="124"/>
      <c r="F19" s="124"/>
      <c r="G19" s="125"/>
      <c r="H19" s="123"/>
      <c r="I19" s="124"/>
      <c r="J19" s="124"/>
      <c r="K19" s="124"/>
      <c r="L19" s="124"/>
      <c r="M19" s="124"/>
      <c r="N19" s="125"/>
      <c r="O19" s="123"/>
      <c r="P19" s="124"/>
      <c r="Q19" s="124"/>
      <c r="R19" s="124"/>
      <c r="S19" s="129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1"/>
      <c r="AX19" s="132"/>
      <c r="AY19" s="132"/>
      <c r="AZ19" s="132"/>
      <c r="BA19" s="132"/>
      <c r="BB19" s="132"/>
      <c r="BC19" s="133"/>
      <c r="BD19" s="136"/>
      <c r="BE19" s="132"/>
      <c r="BF19" s="132"/>
      <c r="BG19" s="132"/>
      <c r="BH19" s="132"/>
      <c r="BI19" s="132"/>
      <c r="BJ19" s="133"/>
      <c r="BK19" s="62"/>
    </row>
    <row r="20" spans="1:63" ht="15" customHeight="1" x14ac:dyDescent="0.25">
      <c r="A20" s="61"/>
      <c r="B20" s="126"/>
      <c r="C20" s="127"/>
      <c r="D20" s="127"/>
      <c r="E20" s="127"/>
      <c r="F20" s="127"/>
      <c r="G20" s="128"/>
      <c r="H20" s="126"/>
      <c r="I20" s="127"/>
      <c r="J20" s="127"/>
      <c r="K20" s="127"/>
      <c r="L20" s="127"/>
      <c r="M20" s="127"/>
      <c r="N20" s="128"/>
      <c r="O20" s="126"/>
      <c r="P20" s="127"/>
      <c r="Q20" s="127"/>
      <c r="R20" s="127"/>
      <c r="S20" s="138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40"/>
      <c r="AX20" s="134"/>
      <c r="AY20" s="134"/>
      <c r="AZ20" s="134"/>
      <c r="BA20" s="134"/>
      <c r="BB20" s="134"/>
      <c r="BC20" s="135"/>
      <c r="BD20" s="137"/>
      <c r="BE20" s="134"/>
      <c r="BF20" s="134"/>
      <c r="BG20" s="134"/>
      <c r="BH20" s="134"/>
      <c r="BI20" s="134"/>
      <c r="BJ20" s="135"/>
      <c r="BK20" s="62"/>
    </row>
    <row r="21" spans="1:63" ht="15" customHeight="1" x14ac:dyDescent="0.25">
      <c r="A21" s="61"/>
      <c r="B21" s="123"/>
      <c r="C21" s="124"/>
      <c r="D21" s="124"/>
      <c r="E21" s="124"/>
      <c r="F21" s="124"/>
      <c r="G21" s="125"/>
      <c r="H21" s="123"/>
      <c r="I21" s="124"/>
      <c r="J21" s="124"/>
      <c r="K21" s="124"/>
      <c r="L21" s="124"/>
      <c r="M21" s="124"/>
      <c r="N21" s="125"/>
      <c r="O21" s="123"/>
      <c r="P21" s="124"/>
      <c r="Q21" s="124"/>
      <c r="R21" s="124"/>
      <c r="S21" s="129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1"/>
      <c r="AX21" s="132"/>
      <c r="AY21" s="132"/>
      <c r="AZ21" s="132"/>
      <c r="BA21" s="132"/>
      <c r="BB21" s="132"/>
      <c r="BC21" s="133"/>
      <c r="BD21" s="136"/>
      <c r="BE21" s="132"/>
      <c r="BF21" s="132"/>
      <c r="BG21" s="132"/>
      <c r="BH21" s="132"/>
      <c r="BI21" s="132"/>
      <c r="BJ21" s="133"/>
      <c r="BK21" s="62"/>
    </row>
    <row r="22" spans="1:63" ht="15" customHeight="1" x14ac:dyDescent="0.25">
      <c r="A22" s="61"/>
      <c r="B22" s="126"/>
      <c r="C22" s="127"/>
      <c r="D22" s="127"/>
      <c r="E22" s="127"/>
      <c r="F22" s="127"/>
      <c r="G22" s="128"/>
      <c r="H22" s="126"/>
      <c r="I22" s="127"/>
      <c r="J22" s="127"/>
      <c r="K22" s="127"/>
      <c r="L22" s="127"/>
      <c r="M22" s="127"/>
      <c r="N22" s="128"/>
      <c r="O22" s="126"/>
      <c r="P22" s="127"/>
      <c r="Q22" s="127"/>
      <c r="R22" s="127"/>
      <c r="S22" s="138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  <c r="AR22" s="139"/>
      <c r="AS22" s="139"/>
      <c r="AT22" s="139"/>
      <c r="AU22" s="139"/>
      <c r="AV22" s="139"/>
      <c r="AW22" s="140"/>
      <c r="AX22" s="134"/>
      <c r="AY22" s="134"/>
      <c r="AZ22" s="134"/>
      <c r="BA22" s="134"/>
      <c r="BB22" s="134"/>
      <c r="BC22" s="135"/>
      <c r="BD22" s="137"/>
      <c r="BE22" s="134"/>
      <c r="BF22" s="134"/>
      <c r="BG22" s="134"/>
      <c r="BH22" s="134"/>
      <c r="BI22" s="134"/>
      <c r="BJ22" s="135"/>
      <c r="BK22" s="62"/>
    </row>
    <row r="23" spans="1:63" ht="15" customHeight="1" x14ac:dyDescent="0.25">
      <c r="A23" s="61"/>
      <c r="B23" s="123"/>
      <c r="C23" s="124"/>
      <c r="D23" s="124"/>
      <c r="E23" s="124"/>
      <c r="F23" s="124"/>
      <c r="G23" s="125"/>
      <c r="H23" s="123"/>
      <c r="I23" s="124"/>
      <c r="J23" s="124"/>
      <c r="K23" s="124"/>
      <c r="L23" s="124"/>
      <c r="M23" s="124"/>
      <c r="N23" s="125"/>
      <c r="O23" s="123"/>
      <c r="P23" s="124"/>
      <c r="Q23" s="124"/>
      <c r="R23" s="124"/>
      <c r="S23" s="129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1"/>
      <c r="AX23" s="132"/>
      <c r="AY23" s="132"/>
      <c r="AZ23" s="132"/>
      <c r="BA23" s="132"/>
      <c r="BB23" s="132"/>
      <c r="BC23" s="133"/>
      <c r="BD23" s="136"/>
      <c r="BE23" s="132"/>
      <c r="BF23" s="132"/>
      <c r="BG23" s="132"/>
      <c r="BH23" s="132"/>
      <c r="BI23" s="132"/>
      <c r="BJ23" s="133"/>
      <c r="BK23" s="62"/>
    </row>
    <row r="24" spans="1:63" ht="15" customHeight="1" x14ac:dyDescent="0.25">
      <c r="A24" s="61"/>
      <c r="B24" s="126"/>
      <c r="C24" s="127"/>
      <c r="D24" s="127"/>
      <c r="E24" s="127"/>
      <c r="F24" s="127"/>
      <c r="G24" s="128"/>
      <c r="H24" s="126"/>
      <c r="I24" s="127"/>
      <c r="J24" s="127"/>
      <c r="K24" s="127"/>
      <c r="L24" s="127"/>
      <c r="M24" s="127"/>
      <c r="N24" s="128"/>
      <c r="O24" s="126"/>
      <c r="P24" s="127"/>
      <c r="Q24" s="127"/>
      <c r="R24" s="127"/>
      <c r="S24" s="138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40"/>
      <c r="AX24" s="134"/>
      <c r="AY24" s="134"/>
      <c r="AZ24" s="134"/>
      <c r="BA24" s="134"/>
      <c r="BB24" s="134"/>
      <c r="BC24" s="135"/>
      <c r="BD24" s="137"/>
      <c r="BE24" s="134"/>
      <c r="BF24" s="134"/>
      <c r="BG24" s="134"/>
      <c r="BH24" s="134"/>
      <c r="BI24" s="134"/>
      <c r="BJ24" s="135"/>
      <c r="BK24" s="62"/>
    </row>
    <row r="25" spans="1:63" ht="15" customHeight="1" x14ac:dyDescent="0.25">
      <c r="A25" s="61"/>
      <c r="B25" s="123"/>
      <c r="C25" s="124"/>
      <c r="D25" s="124"/>
      <c r="E25" s="124"/>
      <c r="F25" s="124"/>
      <c r="G25" s="125"/>
      <c r="H25" s="123"/>
      <c r="I25" s="124"/>
      <c r="J25" s="124"/>
      <c r="K25" s="124"/>
      <c r="L25" s="124"/>
      <c r="M25" s="124"/>
      <c r="N25" s="125"/>
      <c r="O25" s="123"/>
      <c r="P25" s="124"/>
      <c r="Q25" s="124"/>
      <c r="R25" s="124"/>
      <c r="S25" s="129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1"/>
      <c r="AX25" s="132"/>
      <c r="AY25" s="132"/>
      <c r="AZ25" s="132"/>
      <c r="BA25" s="132"/>
      <c r="BB25" s="132"/>
      <c r="BC25" s="133"/>
      <c r="BD25" s="136"/>
      <c r="BE25" s="132"/>
      <c r="BF25" s="132"/>
      <c r="BG25" s="132"/>
      <c r="BH25" s="132"/>
      <c r="BI25" s="132"/>
      <c r="BJ25" s="133"/>
      <c r="BK25" s="62"/>
    </row>
    <row r="26" spans="1:63" ht="15" customHeight="1" x14ac:dyDescent="0.25">
      <c r="A26" s="61"/>
      <c r="B26" s="126"/>
      <c r="C26" s="127"/>
      <c r="D26" s="127"/>
      <c r="E26" s="127"/>
      <c r="F26" s="127"/>
      <c r="G26" s="128"/>
      <c r="H26" s="126"/>
      <c r="I26" s="127"/>
      <c r="J26" s="127"/>
      <c r="K26" s="127"/>
      <c r="L26" s="127"/>
      <c r="M26" s="127"/>
      <c r="N26" s="128"/>
      <c r="O26" s="126"/>
      <c r="P26" s="127"/>
      <c r="Q26" s="127"/>
      <c r="R26" s="127"/>
      <c r="S26" s="138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40"/>
      <c r="AX26" s="134"/>
      <c r="AY26" s="134"/>
      <c r="AZ26" s="134"/>
      <c r="BA26" s="134"/>
      <c r="BB26" s="134"/>
      <c r="BC26" s="135"/>
      <c r="BD26" s="137"/>
      <c r="BE26" s="134"/>
      <c r="BF26" s="134"/>
      <c r="BG26" s="134"/>
      <c r="BH26" s="134"/>
      <c r="BI26" s="134"/>
      <c r="BJ26" s="135"/>
      <c r="BK26" s="62"/>
    </row>
    <row r="27" spans="1:63" ht="15" customHeight="1" x14ac:dyDescent="0.25">
      <c r="A27" s="61"/>
      <c r="B27" s="123"/>
      <c r="C27" s="124"/>
      <c r="D27" s="124"/>
      <c r="E27" s="124"/>
      <c r="F27" s="124"/>
      <c r="G27" s="125"/>
      <c r="H27" s="123"/>
      <c r="I27" s="124"/>
      <c r="J27" s="124"/>
      <c r="K27" s="124"/>
      <c r="L27" s="124"/>
      <c r="M27" s="124"/>
      <c r="N27" s="125"/>
      <c r="O27" s="123"/>
      <c r="P27" s="124"/>
      <c r="Q27" s="124"/>
      <c r="R27" s="124"/>
      <c r="S27" s="129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1"/>
      <c r="AX27" s="132"/>
      <c r="AY27" s="132"/>
      <c r="AZ27" s="132"/>
      <c r="BA27" s="132"/>
      <c r="BB27" s="132"/>
      <c r="BC27" s="133"/>
      <c r="BD27" s="136"/>
      <c r="BE27" s="132"/>
      <c r="BF27" s="132"/>
      <c r="BG27" s="132"/>
      <c r="BH27" s="132"/>
      <c r="BI27" s="132"/>
      <c r="BJ27" s="133"/>
      <c r="BK27" s="62"/>
    </row>
    <row r="28" spans="1:63" ht="15" customHeight="1" x14ac:dyDescent="0.25">
      <c r="A28" s="61"/>
      <c r="B28" s="126"/>
      <c r="C28" s="127"/>
      <c r="D28" s="127"/>
      <c r="E28" s="127"/>
      <c r="F28" s="127"/>
      <c r="G28" s="128"/>
      <c r="H28" s="126"/>
      <c r="I28" s="127"/>
      <c r="J28" s="127"/>
      <c r="K28" s="127"/>
      <c r="L28" s="127"/>
      <c r="M28" s="127"/>
      <c r="N28" s="128"/>
      <c r="O28" s="126"/>
      <c r="P28" s="127"/>
      <c r="Q28" s="127"/>
      <c r="R28" s="127"/>
      <c r="S28" s="138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40"/>
      <c r="AX28" s="134"/>
      <c r="AY28" s="134"/>
      <c r="AZ28" s="134"/>
      <c r="BA28" s="134"/>
      <c r="BB28" s="134"/>
      <c r="BC28" s="135"/>
      <c r="BD28" s="137"/>
      <c r="BE28" s="134"/>
      <c r="BF28" s="134"/>
      <c r="BG28" s="134"/>
      <c r="BH28" s="134"/>
      <c r="BI28" s="134"/>
      <c r="BJ28" s="135"/>
      <c r="BK28" s="62"/>
    </row>
    <row r="29" spans="1:63" ht="15" customHeight="1" x14ac:dyDescent="0.25">
      <c r="A29" s="61"/>
      <c r="B29" s="123"/>
      <c r="C29" s="124"/>
      <c r="D29" s="124"/>
      <c r="E29" s="124"/>
      <c r="F29" s="124"/>
      <c r="G29" s="125"/>
      <c r="H29" s="123"/>
      <c r="I29" s="124"/>
      <c r="J29" s="124"/>
      <c r="K29" s="124"/>
      <c r="L29" s="124"/>
      <c r="M29" s="124"/>
      <c r="N29" s="125"/>
      <c r="O29" s="123"/>
      <c r="P29" s="124"/>
      <c r="Q29" s="124"/>
      <c r="R29" s="124"/>
      <c r="S29" s="129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1"/>
      <c r="AX29" s="132"/>
      <c r="AY29" s="132"/>
      <c r="AZ29" s="132"/>
      <c r="BA29" s="132"/>
      <c r="BB29" s="132"/>
      <c r="BC29" s="133"/>
      <c r="BD29" s="136"/>
      <c r="BE29" s="132"/>
      <c r="BF29" s="132"/>
      <c r="BG29" s="132"/>
      <c r="BH29" s="132"/>
      <c r="BI29" s="132"/>
      <c r="BJ29" s="133"/>
      <c r="BK29" s="62"/>
    </row>
    <row r="30" spans="1:63" ht="15" customHeight="1" x14ac:dyDescent="0.25">
      <c r="A30" s="61"/>
      <c r="B30" s="126"/>
      <c r="C30" s="127"/>
      <c r="D30" s="127"/>
      <c r="E30" s="127"/>
      <c r="F30" s="127"/>
      <c r="G30" s="128"/>
      <c r="H30" s="126"/>
      <c r="I30" s="127"/>
      <c r="J30" s="127"/>
      <c r="K30" s="127"/>
      <c r="L30" s="127"/>
      <c r="M30" s="127"/>
      <c r="N30" s="128"/>
      <c r="O30" s="126"/>
      <c r="P30" s="127"/>
      <c r="Q30" s="127"/>
      <c r="R30" s="127"/>
      <c r="S30" s="138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40"/>
      <c r="AX30" s="134"/>
      <c r="AY30" s="134"/>
      <c r="AZ30" s="134"/>
      <c r="BA30" s="134"/>
      <c r="BB30" s="134"/>
      <c r="BC30" s="135"/>
      <c r="BD30" s="137"/>
      <c r="BE30" s="134"/>
      <c r="BF30" s="134"/>
      <c r="BG30" s="134"/>
      <c r="BH30" s="134"/>
      <c r="BI30" s="134"/>
      <c r="BJ30" s="135"/>
      <c r="BK30" s="62"/>
    </row>
    <row r="31" spans="1:63" ht="15" customHeight="1" x14ac:dyDescent="0.25">
      <c r="A31" s="61"/>
      <c r="B31" s="123"/>
      <c r="C31" s="124"/>
      <c r="D31" s="124"/>
      <c r="E31" s="124"/>
      <c r="F31" s="124"/>
      <c r="G31" s="125"/>
      <c r="H31" s="123"/>
      <c r="I31" s="124"/>
      <c r="J31" s="124"/>
      <c r="K31" s="124"/>
      <c r="L31" s="124"/>
      <c r="M31" s="124"/>
      <c r="N31" s="125"/>
      <c r="O31" s="123"/>
      <c r="P31" s="124"/>
      <c r="Q31" s="124"/>
      <c r="R31" s="124"/>
      <c r="S31" s="129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1"/>
      <c r="AX31" s="132"/>
      <c r="AY31" s="132"/>
      <c r="AZ31" s="132"/>
      <c r="BA31" s="132"/>
      <c r="BB31" s="132"/>
      <c r="BC31" s="133"/>
      <c r="BD31" s="136"/>
      <c r="BE31" s="132"/>
      <c r="BF31" s="132"/>
      <c r="BG31" s="132"/>
      <c r="BH31" s="132"/>
      <c r="BI31" s="132"/>
      <c r="BJ31" s="133"/>
      <c r="BK31" s="62"/>
    </row>
    <row r="32" spans="1:63" ht="15" customHeight="1" x14ac:dyDescent="0.25">
      <c r="A32" s="61"/>
      <c r="B32" s="126"/>
      <c r="C32" s="127"/>
      <c r="D32" s="127"/>
      <c r="E32" s="127"/>
      <c r="F32" s="127"/>
      <c r="G32" s="128"/>
      <c r="H32" s="126"/>
      <c r="I32" s="127"/>
      <c r="J32" s="127"/>
      <c r="K32" s="127"/>
      <c r="L32" s="127"/>
      <c r="M32" s="127"/>
      <c r="N32" s="128"/>
      <c r="O32" s="126"/>
      <c r="P32" s="127"/>
      <c r="Q32" s="127"/>
      <c r="R32" s="127"/>
      <c r="S32" s="138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40"/>
      <c r="AX32" s="134"/>
      <c r="AY32" s="134"/>
      <c r="AZ32" s="134"/>
      <c r="BA32" s="134"/>
      <c r="BB32" s="134"/>
      <c r="BC32" s="135"/>
      <c r="BD32" s="137"/>
      <c r="BE32" s="134"/>
      <c r="BF32" s="134"/>
      <c r="BG32" s="134"/>
      <c r="BH32" s="134"/>
      <c r="BI32" s="134"/>
      <c r="BJ32" s="135"/>
      <c r="BK32" s="62"/>
    </row>
    <row r="33" spans="1:63" ht="15" customHeight="1" x14ac:dyDescent="0.25">
      <c r="A33" s="61"/>
      <c r="B33" s="123"/>
      <c r="C33" s="124"/>
      <c r="D33" s="124"/>
      <c r="E33" s="124"/>
      <c r="F33" s="124"/>
      <c r="G33" s="125"/>
      <c r="H33" s="123"/>
      <c r="I33" s="124"/>
      <c r="J33" s="124"/>
      <c r="K33" s="124"/>
      <c r="L33" s="124"/>
      <c r="M33" s="124"/>
      <c r="N33" s="125"/>
      <c r="O33" s="123"/>
      <c r="P33" s="124"/>
      <c r="Q33" s="124"/>
      <c r="R33" s="124"/>
      <c r="S33" s="129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1"/>
      <c r="AX33" s="132"/>
      <c r="AY33" s="132"/>
      <c r="AZ33" s="132"/>
      <c r="BA33" s="132"/>
      <c r="BB33" s="132"/>
      <c r="BC33" s="133"/>
      <c r="BD33" s="136"/>
      <c r="BE33" s="132"/>
      <c r="BF33" s="132"/>
      <c r="BG33" s="132"/>
      <c r="BH33" s="132"/>
      <c r="BI33" s="132"/>
      <c r="BJ33" s="133"/>
      <c r="BK33" s="62"/>
    </row>
    <row r="34" spans="1:63" ht="15" customHeight="1" x14ac:dyDescent="0.25">
      <c r="A34" s="61"/>
      <c r="B34" s="126"/>
      <c r="C34" s="127"/>
      <c r="D34" s="127"/>
      <c r="E34" s="127"/>
      <c r="F34" s="127"/>
      <c r="G34" s="128"/>
      <c r="H34" s="126"/>
      <c r="I34" s="127"/>
      <c r="J34" s="127"/>
      <c r="K34" s="127"/>
      <c r="L34" s="127"/>
      <c r="M34" s="127"/>
      <c r="N34" s="128"/>
      <c r="O34" s="126"/>
      <c r="P34" s="127"/>
      <c r="Q34" s="127"/>
      <c r="R34" s="127"/>
      <c r="S34" s="138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40"/>
      <c r="AX34" s="134"/>
      <c r="AY34" s="134"/>
      <c r="AZ34" s="134"/>
      <c r="BA34" s="134"/>
      <c r="BB34" s="134"/>
      <c r="BC34" s="135"/>
      <c r="BD34" s="137"/>
      <c r="BE34" s="134"/>
      <c r="BF34" s="134"/>
      <c r="BG34" s="134"/>
      <c r="BH34" s="134"/>
      <c r="BI34" s="134"/>
      <c r="BJ34" s="135"/>
      <c r="BK34" s="62"/>
    </row>
    <row r="35" spans="1:63" ht="15" customHeight="1" x14ac:dyDescent="0.25">
      <c r="A35" s="61"/>
      <c r="B35" s="123"/>
      <c r="C35" s="124"/>
      <c r="D35" s="124"/>
      <c r="E35" s="124"/>
      <c r="F35" s="124"/>
      <c r="G35" s="125"/>
      <c r="H35" s="123"/>
      <c r="I35" s="124"/>
      <c r="J35" s="124"/>
      <c r="K35" s="124"/>
      <c r="L35" s="124"/>
      <c r="M35" s="124"/>
      <c r="N35" s="125"/>
      <c r="O35" s="123"/>
      <c r="P35" s="124"/>
      <c r="Q35" s="124"/>
      <c r="R35" s="124"/>
      <c r="S35" s="129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1"/>
      <c r="AX35" s="132"/>
      <c r="AY35" s="132"/>
      <c r="AZ35" s="132"/>
      <c r="BA35" s="132"/>
      <c r="BB35" s="132"/>
      <c r="BC35" s="133"/>
      <c r="BD35" s="136"/>
      <c r="BE35" s="132"/>
      <c r="BF35" s="132"/>
      <c r="BG35" s="132"/>
      <c r="BH35" s="132"/>
      <c r="BI35" s="132"/>
      <c r="BJ35" s="133"/>
      <c r="BK35" s="62"/>
    </row>
    <row r="36" spans="1:63" ht="15" customHeight="1" x14ac:dyDescent="0.25">
      <c r="A36" s="61"/>
      <c r="B36" s="126"/>
      <c r="C36" s="127"/>
      <c r="D36" s="127"/>
      <c r="E36" s="127"/>
      <c r="F36" s="127"/>
      <c r="G36" s="128"/>
      <c r="H36" s="126"/>
      <c r="I36" s="127"/>
      <c r="J36" s="127"/>
      <c r="K36" s="127"/>
      <c r="L36" s="127"/>
      <c r="M36" s="127"/>
      <c r="N36" s="128"/>
      <c r="O36" s="126"/>
      <c r="P36" s="127"/>
      <c r="Q36" s="127"/>
      <c r="R36" s="127"/>
      <c r="S36" s="138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40"/>
      <c r="AX36" s="134"/>
      <c r="AY36" s="134"/>
      <c r="AZ36" s="134"/>
      <c r="BA36" s="134"/>
      <c r="BB36" s="134"/>
      <c r="BC36" s="135"/>
      <c r="BD36" s="137"/>
      <c r="BE36" s="134"/>
      <c r="BF36" s="134"/>
      <c r="BG36" s="134"/>
      <c r="BH36" s="134"/>
      <c r="BI36" s="134"/>
      <c r="BJ36" s="135"/>
      <c r="BK36" s="62"/>
    </row>
    <row r="37" spans="1:63" ht="15" customHeight="1" x14ac:dyDescent="0.25">
      <c r="A37" s="61"/>
      <c r="B37" s="123"/>
      <c r="C37" s="124"/>
      <c r="D37" s="124"/>
      <c r="E37" s="124"/>
      <c r="F37" s="124"/>
      <c r="G37" s="125"/>
      <c r="H37" s="123"/>
      <c r="I37" s="124"/>
      <c r="J37" s="124"/>
      <c r="K37" s="124"/>
      <c r="L37" s="124"/>
      <c r="M37" s="124"/>
      <c r="N37" s="125"/>
      <c r="O37" s="123"/>
      <c r="P37" s="124"/>
      <c r="Q37" s="124"/>
      <c r="R37" s="124"/>
      <c r="S37" s="129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1"/>
      <c r="AX37" s="132"/>
      <c r="AY37" s="132"/>
      <c r="AZ37" s="132"/>
      <c r="BA37" s="132"/>
      <c r="BB37" s="132"/>
      <c r="BC37" s="133"/>
      <c r="BD37" s="136"/>
      <c r="BE37" s="132"/>
      <c r="BF37" s="132"/>
      <c r="BG37" s="132"/>
      <c r="BH37" s="132"/>
      <c r="BI37" s="132"/>
      <c r="BJ37" s="133"/>
      <c r="BK37" s="62"/>
    </row>
    <row r="38" spans="1:63" ht="15" customHeight="1" x14ac:dyDescent="0.25">
      <c r="A38" s="61"/>
      <c r="B38" s="126"/>
      <c r="C38" s="127"/>
      <c r="D38" s="127"/>
      <c r="E38" s="127"/>
      <c r="F38" s="127"/>
      <c r="G38" s="128"/>
      <c r="H38" s="126"/>
      <c r="I38" s="127"/>
      <c r="J38" s="127"/>
      <c r="K38" s="127"/>
      <c r="L38" s="127"/>
      <c r="M38" s="127"/>
      <c r="N38" s="128"/>
      <c r="O38" s="126"/>
      <c r="P38" s="127"/>
      <c r="Q38" s="127"/>
      <c r="R38" s="127"/>
      <c r="S38" s="138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40"/>
      <c r="AX38" s="134"/>
      <c r="AY38" s="134"/>
      <c r="AZ38" s="134"/>
      <c r="BA38" s="134"/>
      <c r="BB38" s="134"/>
      <c r="BC38" s="135"/>
      <c r="BD38" s="137"/>
      <c r="BE38" s="134"/>
      <c r="BF38" s="134"/>
      <c r="BG38" s="134"/>
      <c r="BH38" s="134"/>
      <c r="BI38" s="134"/>
      <c r="BJ38" s="135"/>
      <c r="BK38" s="62"/>
    </row>
    <row r="39" spans="1:63" ht="15" customHeight="1" x14ac:dyDescent="0.25">
      <c r="A39" s="61"/>
      <c r="B39" s="123"/>
      <c r="C39" s="124"/>
      <c r="D39" s="124"/>
      <c r="E39" s="124"/>
      <c r="F39" s="124"/>
      <c r="G39" s="125"/>
      <c r="H39" s="123"/>
      <c r="I39" s="124"/>
      <c r="J39" s="124"/>
      <c r="K39" s="124"/>
      <c r="L39" s="124"/>
      <c r="M39" s="124"/>
      <c r="N39" s="125"/>
      <c r="O39" s="123"/>
      <c r="P39" s="124"/>
      <c r="Q39" s="124"/>
      <c r="R39" s="124"/>
      <c r="S39" s="129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1"/>
      <c r="AX39" s="132"/>
      <c r="AY39" s="132"/>
      <c r="AZ39" s="132"/>
      <c r="BA39" s="132"/>
      <c r="BB39" s="132"/>
      <c r="BC39" s="133"/>
      <c r="BD39" s="136"/>
      <c r="BE39" s="132"/>
      <c r="BF39" s="132"/>
      <c r="BG39" s="132"/>
      <c r="BH39" s="132"/>
      <c r="BI39" s="132"/>
      <c r="BJ39" s="133"/>
      <c r="BK39" s="62"/>
    </row>
    <row r="40" spans="1:63" ht="15" customHeight="1" x14ac:dyDescent="0.25">
      <c r="A40" s="61"/>
      <c r="B40" s="126"/>
      <c r="C40" s="127"/>
      <c r="D40" s="127"/>
      <c r="E40" s="127"/>
      <c r="F40" s="127"/>
      <c r="G40" s="128"/>
      <c r="H40" s="126"/>
      <c r="I40" s="127"/>
      <c r="J40" s="127"/>
      <c r="K40" s="127"/>
      <c r="L40" s="127"/>
      <c r="M40" s="127"/>
      <c r="N40" s="128"/>
      <c r="O40" s="126"/>
      <c r="P40" s="127"/>
      <c r="Q40" s="127"/>
      <c r="R40" s="127"/>
      <c r="S40" s="138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40"/>
      <c r="AX40" s="134"/>
      <c r="AY40" s="134"/>
      <c r="AZ40" s="134"/>
      <c r="BA40" s="134"/>
      <c r="BB40" s="134"/>
      <c r="BC40" s="135"/>
      <c r="BD40" s="137"/>
      <c r="BE40" s="134"/>
      <c r="BF40" s="134"/>
      <c r="BG40" s="134"/>
      <c r="BH40" s="134"/>
      <c r="BI40" s="134"/>
      <c r="BJ40" s="135"/>
      <c r="BK40" s="62"/>
    </row>
    <row r="41" spans="1:63" ht="15" customHeight="1" x14ac:dyDescent="0.25">
      <c r="A41" s="61"/>
      <c r="B41" s="123"/>
      <c r="C41" s="124"/>
      <c r="D41" s="124"/>
      <c r="E41" s="124"/>
      <c r="F41" s="124"/>
      <c r="G41" s="125"/>
      <c r="H41" s="123"/>
      <c r="I41" s="124"/>
      <c r="J41" s="124"/>
      <c r="K41" s="124"/>
      <c r="L41" s="124"/>
      <c r="M41" s="124"/>
      <c r="N41" s="125"/>
      <c r="O41" s="123"/>
      <c r="P41" s="124"/>
      <c r="Q41" s="124"/>
      <c r="R41" s="124"/>
      <c r="S41" s="129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1"/>
      <c r="AX41" s="132"/>
      <c r="AY41" s="132"/>
      <c r="AZ41" s="132"/>
      <c r="BA41" s="132"/>
      <c r="BB41" s="132"/>
      <c r="BC41" s="133"/>
      <c r="BD41" s="136"/>
      <c r="BE41" s="132"/>
      <c r="BF41" s="132"/>
      <c r="BG41" s="132"/>
      <c r="BH41" s="132"/>
      <c r="BI41" s="132"/>
      <c r="BJ41" s="133"/>
      <c r="BK41" s="62"/>
    </row>
    <row r="42" spans="1:63" ht="15" customHeight="1" x14ac:dyDescent="0.25">
      <c r="A42" s="61"/>
      <c r="B42" s="126"/>
      <c r="C42" s="127"/>
      <c r="D42" s="127"/>
      <c r="E42" s="127"/>
      <c r="F42" s="127"/>
      <c r="G42" s="128"/>
      <c r="H42" s="126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38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40"/>
      <c r="AX42" s="134"/>
      <c r="AY42" s="134"/>
      <c r="AZ42" s="134"/>
      <c r="BA42" s="134"/>
      <c r="BB42" s="134"/>
      <c r="BC42" s="135"/>
      <c r="BD42" s="137"/>
      <c r="BE42" s="134"/>
      <c r="BF42" s="134"/>
      <c r="BG42" s="134"/>
      <c r="BH42" s="134"/>
      <c r="BI42" s="134"/>
      <c r="BJ42" s="135"/>
      <c r="BK42" s="62"/>
    </row>
    <row r="43" spans="1:63" ht="15" customHeight="1" x14ac:dyDescent="0.25">
      <c r="A43" s="61"/>
      <c r="B43" s="123"/>
      <c r="C43" s="124"/>
      <c r="D43" s="124"/>
      <c r="E43" s="124"/>
      <c r="F43" s="124"/>
      <c r="G43" s="125"/>
      <c r="H43" s="123"/>
      <c r="I43" s="124"/>
      <c r="J43" s="124"/>
      <c r="K43" s="124"/>
      <c r="L43" s="124"/>
      <c r="M43" s="124"/>
      <c r="N43" s="125"/>
      <c r="O43" s="123"/>
      <c r="P43" s="124"/>
      <c r="Q43" s="124"/>
      <c r="R43" s="124"/>
      <c r="S43" s="129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1"/>
      <c r="AX43" s="132"/>
      <c r="AY43" s="132"/>
      <c r="AZ43" s="132"/>
      <c r="BA43" s="132"/>
      <c r="BB43" s="132"/>
      <c r="BC43" s="133"/>
      <c r="BD43" s="136"/>
      <c r="BE43" s="132"/>
      <c r="BF43" s="132"/>
      <c r="BG43" s="132"/>
      <c r="BH43" s="132"/>
      <c r="BI43" s="132"/>
      <c r="BJ43" s="133"/>
      <c r="BK43" s="62"/>
    </row>
    <row r="44" spans="1:63" ht="15" customHeight="1" x14ac:dyDescent="0.25">
      <c r="A44" s="61"/>
      <c r="B44" s="126"/>
      <c r="C44" s="127"/>
      <c r="D44" s="127"/>
      <c r="E44" s="127"/>
      <c r="F44" s="127"/>
      <c r="G44" s="128"/>
      <c r="H44" s="126"/>
      <c r="I44" s="127"/>
      <c r="J44" s="127"/>
      <c r="K44" s="127"/>
      <c r="L44" s="127"/>
      <c r="M44" s="127"/>
      <c r="N44" s="128"/>
      <c r="O44" s="126"/>
      <c r="P44" s="127"/>
      <c r="Q44" s="127"/>
      <c r="R44" s="127"/>
      <c r="S44" s="138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40"/>
      <c r="AX44" s="134"/>
      <c r="AY44" s="134"/>
      <c r="AZ44" s="134"/>
      <c r="BA44" s="134"/>
      <c r="BB44" s="134"/>
      <c r="BC44" s="135"/>
      <c r="BD44" s="137"/>
      <c r="BE44" s="134"/>
      <c r="BF44" s="134"/>
      <c r="BG44" s="134"/>
      <c r="BH44" s="134"/>
      <c r="BI44" s="134"/>
      <c r="BJ44" s="135"/>
      <c r="BK44" s="62"/>
    </row>
    <row r="45" spans="1:63" ht="15" customHeight="1" x14ac:dyDescent="0.25">
      <c r="A45" s="61"/>
      <c r="B45" s="123"/>
      <c r="C45" s="124"/>
      <c r="D45" s="124"/>
      <c r="E45" s="124"/>
      <c r="F45" s="124"/>
      <c r="G45" s="125"/>
      <c r="H45" s="123"/>
      <c r="I45" s="124"/>
      <c r="J45" s="124"/>
      <c r="K45" s="124"/>
      <c r="L45" s="124"/>
      <c r="M45" s="124"/>
      <c r="N45" s="125"/>
      <c r="O45" s="123"/>
      <c r="P45" s="124"/>
      <c r="Q45" s="124"/>
      <c r="R45" s="124"/>
      <c r="S45" s="129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1"/>
      <c r="AX45" s="132"/>
      <c r="AY45" s="132"/>
      <c r="AZ45" s="132"/>
      <c r="BA45" s="132"/>
      <c r="BB45" s="132"/>
      <c r="BC45" s="133"/>
      <c r="BD45" s="136"/>
      <c r="BE45" s="132"/>
      <c r="BF45" s="132"/>
      <c r="BG45" s="132"/>
      <c r="BH45" s="132"/>
      <c r="BI45" s="132"/>
      <c r="BJ45" s="133"/>
      <c r="BK45" s="62"/>
    </row>
    <row r="46" spans="1:63" ht="15" customHeight="1" x14ac:dyDescent="0.25">
      <c r="A46" s="61"/>
      <c r="B46" s="126"/>
      <c r="C46" s="127"/>
      <c r="D46" s="127"/>
      <c r="E46" s="127"/>
      <c r="F46" s="127"/>
      <c r="G46" s="128"/>
      <c r="H46" s="126"/>
      <c r="I46" s="127"/>
      <c r="J46" s="127"/>
      <c r="K46" s="127"/>
      <c r="L46" s="127"/>
      <c r="M46" s="127"/>
      <c r="N46" s="128"/>
      <c r="O46" s="126"/>
      <c r="P46" s="127"/>
      <c r="Q46" s="127"/>
      <c r="R46" s="127"/>
      <c r="S46" s="138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40"/>
      <c r="AX46" s="134"/>
      <c r="AY46" s="134"/>
      <c r="AZ46" s="134"/>
      <c r="BA46" s="134"/>
      <c r="BB46" s="134"/>
      <c r="BC46" s="135"/>
      <c r="BD46" s="137"/>
      <c r="BE46" s="134"/>
      <c r="BF46" s="134"/>
      <c r="BG46" s="134"/>
      <c r="BH46" s="134"/>
      <c r="BI46" s="134"/>
      <c r="BJ46" s="135"/>
      <c r="BK46" s="62"/>
    </row>
    <row r="47" spans="1:63" ht="15" customHeight="1" x14ac:dyDescent="0.25">
      <c r="A47" s="61"/>
      <c r="B47" s="123"/>
      <c r="C47" s="124"/>
      <c r="D47" s="124"/>
      <c r="E47" s="124"/>
      <c r="F47" s="124"/>
      <c r="G47" s="125"/>
      <c r="H47" s="123"/>
      <c r="I47" s="124"/>
      <c r="J47" s="124"/>
      <c r="K47" s="124"/>
      <c r="L47" s="124"/>
      <c r="M47" s="124"/>
      <c r="N47" s="125"/>
      <c r="O47" s="123"/>
      <c r="P47" s="124"/>
      <c r="Q47" s="124"/>
      <c r="R47" s="124"/>
      <c r="S47" s="129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1"/>
      <c r="AX47" s="132"/>
      <c r="AY47" s="132"/>
      <c r="AZ47" s="132"/>
      <c r="BA47" s="132"/>
      <c r="BB47" s="132"/>
      <c r="BC47" s="133"/>
      <c r="BD47" s="136"/>
      <c r="BE47" s="132"/>
      <c r="BF47" s="132"/>
      <c r="BG47" s="132"/>
      <c r="BH47" s="132"/>
      <c r="BI47" s="132"/>
      <c r="BJ47" s="133"/>
      <c r="BK47" s="62"/>
    </row>
    <row r="48" spans="1:63" ht="15" customHeight="1" x14ac:dyDescent="0.25">
      <c r="A48" s="61"/>
      <c r="B48" s="126"/>
      <c r="C48" s="127"/>
      <c r="D48" s="127"/>
      <c r="E48" s="127"/>
      <c r="F48" s="127"/>
      <c r="G48" s="128"/>
      <c r="H48" s="126"/>
      <c r="I48" s="127"/>
      <c r="J48" s="127"/>
      <c r="K48" s="127"/>
      <c r="L48" s="127"/>
      <c r="M48" s="127"/>
      <c r="N48" s="128"/>
      <c r="O48" s="126"/>
      <c r="P48" s="127"/>
      <c r="Q48" s="127"/>
      <c r="R48" s="127"/>
      <c r="S48" s="138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40"/>
      <c r="AX48" s="134"/>
      <c r="AY48" s="134"/>
      <c r="AZ48" s="134"/>
      <c r="BA48" s="134"/>
      <c r="BB48" s="134"/>
      <c r="BC48" s="135"/>
      <c r="BD48" s="137"/>
      <c r="BE48" s="134"/>
      <c r="BF48" s="134"/>
      <c r="BG48" s="134"/>
      <c r="BH48" s="134"/>
      <c r="BI48" s="134"/>
      <c r="BJ48" s="135"/>
      <c r="BK48" s="62"/>
    </row>
    <row r="49" spans="1:63" ht="15" customHeight="1" x14ac:dyDescent="0.25">
      <c r="A49" s="61"/>
      <c r="B49" s="123"/>
      <c r="C49" s="124"/>
      <c r="D49" s="124"/>
      <c r="E49" s="124"/>
      <c r="F49" s="124"/>
      <c r="G49" s="125"/>
      <c r="H49" s="123"/>
      <c r="I49" s="124"/>
      <c r="J49" s="124"/>
      <c r="K49" s="124"/>
      <c r="L49" s="124"/>
      <c r="M49" s="124"/>
      <c r="N49" s="125"/>
      <c r="O49" s="123"/>
      <c r="P49" s="124"/>
      <c r="Q49" s="124"/>
      <c r="R49" s="124"/>
      <c r="S49" s="129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1"/>
      <c r="AX49" s="132"/>
      <c r="AY49" s="132"/>
      <c r="AZ49" s="132"/>
      <c r="BA49" s="132"/>
      <c r="BB49" s="132"/>
      <c r="BC49" s="133"/>
      <c r="BD49" s="136"/>
      <c r="BE49" s="132"/>
      <c r="BF49" s="132"/>
      <c r="BG49" s="132"/>
      <c r="BH49" s="132"/>
      <c r="BI49" s="132"/>
      <c r="BJ49" s="133"/>
      <c r="BK49" s="62"/>
    </row>
    <row r="50" spans="1:63" ht="15" customHeight="1" x14ac:dyDescent="0.25">
      <c r="A50" s="61"/>
      <c r="B50" s="126"/>
      <c r="C50" s="127"/>
      <c r="D50" s="127"/>
      <c r="E50" s="127"/>
      <c r="F50" s="127"/>
      <c r="G50" s="128"/>
      <c r="H50" s="126"/>
      <c r="I50" s="127"/>
      <c r="J50" s="127"/>
      <c r="K50" s="127"/>
      <c r="L50" s="127"/>
      <c r="M50" s="127"/>
      <c r="N50" s="128"/>
      <c r="O50" s="126"/>
      <c r="P50" s="127"/>
      <c r="Q50" s="127"/>
      <c r="R50" s="127"/>
      <c r="S50" s="138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40"/>
      <c r="AX50" s="134"/>
      <c r="AY50" s="134"/>
      <c r="AZ50" s="134"/>
      <c r="BA50" s="134"/>
      <c r="BB50" s="134"/>
      <c r="BC50" s="135"/>
      <c r="BD50" s="137"/>
      <c r="BE50" s="134"/>
      <c r="BF50" s="134"/>
      <c r="BG50" s="134"/>
      <c r="BH50" s="134"/>
      <c r="BI50" s="134"/>
      <c r="BJ50" s="135"/>
      <c r="BK50" s="62"/>
    </row>
    <row r="51" spans="1:63" ht="15" customHeight="1" x14ac:dyDescent="0.25">
      <c r="A51" s="61"/>
      <c r="B51" s="123"/>
      <c r="C51" s="124"/>
      <c r="D51" s="124"/>
      <c r="E51" s="124"/>
      <c r="F51" s="124"/>
      <c r="G51" s="125"/>
      <c r="H51" s="123"/>
      <c r="I51" s="124"/>
      <c r="J51" s="124"/>
      <c r="K51" s="124"/>
      <c r="L51" s="124"/>
      <c r="M51" s="124"/>
      <c r="N51" s="125"/>
      <c r="O51" s="123"/>
      <c r="P51" s="124"/>
      <c r="Q51" s="124"/>
      <c r="R51" s="124"/>
      <c r="S51" s="129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1"/>
      <c r="AX51" s="132"/>
      <c r="AY51" s="132"/>
      <c r="AZ51" s="132"/>
      <c r="BA51" s="132"/>
      <c r="BB51" s="132"/>
      <c r="BC51" s="133"/>
      <c r="BD51" s="136"/>
      <c r="BE51" s="132"/>
      <c r="BF51" s="132"/>
      <c r="BG51" s="132"/>
      <c r="BH51" s="132"/>
      <c r="BI51" s="132"/>
      <c r="BJ51" s="133"/>
      <c r="BK51" s="62"/>
    </row>
    <row r="52" spans="1:63" ht="15" customHeight="1" x14ac:dyDescent="0.25">
      <c r="A52" s="61"/>
      <c r="B52" s="126"/>
      <c r="C52" s="127"/>
      <c r="D52" s="127"/>
      <c r="E52" s="127"/>
      <c r="F52" s="127"/>
      <c r="G52" s="128"/>
      <c r="H52" s="126"/>
      <c r="I52" s="127"/>
      <c r="J52" s="127"/>
      <c r="K52" s="127"/>
      <c r="L52" s="127"/>
      <c r="M52" s="127"/>
      <c r="N52" s="128"/>
      <c r="O52" s="126"/>
      <c r="P52" s="127"/>
      <c r="Q52" s="127"/>
      <c r="R52" s="127"/>
      <c r="S52" s="138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40"/>
      <c r="AX52" s="134"/>
      <c r="AY52" s="134"/>
      <c r="AZ52" s="134"/>
      <c r="BA52" s="134"/>
      <c r="BB52" s="134"/>
      <c r="BC52" s="135"/>
      <c r="BD52" s="137"/>
      <c r="BE52" s="134"/>
      <c r="BF52" s="134"/>
      <c r="BG52" s="134"/>
      <c r="BH52" s="134"/>
      <c r="BI52" s="134"/>
      <c r="BJ52" s="135"/>
      <c r="BK52" s="62"/>
    </row>
    <row r="53" spans="1:63" ht="15" customHeight="1" x14ac:dyDescent="0.25">
      <c r="A53" s="61"/>
      <c r="B53" s="123"/>
      <c r="C53" s="124"/>
      <c r="D53" s="124"/>
      <c r="E53" s="124"/>
      <c r="F53" s="124"/>
      <c r="G53" s="125"/>
      <c r="H53" s="123"/>
      <c r="I53" s="124"/>
      <c r="J53" s="124"/>
      <c r="K53" s="124"/>
      <c r="L53" s="124"/>
      <c r="M53" s="124"/>
      <c r="N53" s="125"/>
      <c r="O53" s="123"/>
      <c r="P53" s="124"/>
      <c r="Q53" s="124"/>
      <c r="R53" s="124"/>
      <c r="S53" s="129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1"/>
      <c r="AX53" s="132"/>
      <c r="AY53" s="132"/>
      <c r="AZ53" s="132"/>
      <c r="BA53" s="132"/>
      <c r="BB53" s="132"/>
      <c r="BC53" s="133"/>
      <c r="BD53" s="136"/>
      <c r="BE53" s="132"/>
      <c r="BF53" s="132"/>
      <c r="BG53" s="132"/>
      <c r="BH53" s="132"/>
      <c r="BI53" s="132"/>
      <c r="BJ53" s="133"/>
      <c r="BK53" s="62"/>
    </row>
    <row r="54" spans="1:63" ht="15" customHeight="1" x14ac:dyDescent="0.25">
      <c r="A54" s="61"/>
      <c r="B54" s="126"/>
      <c r="C54" s="127"/>
      <c r="D54" s="127"/>
      <c r="E54" s="127"/>
      <c r="F54" s="127"/>
      <c r="G54" s="128"/>
      <c r="H54" s="126"/>
      <c r="I54" s="127"/>
      <c r="J54" s="127"/>
      <c r="K54" s="127"/>
      <c r="L54" s="127"/>
      <c r="M54" s="127"/>
      <c r="N54" s="128"/>
      <c r="O54" s="126"/>
      <c r="P54" s="127"/>
      <c r="Q54" s="127"/>
      <c r="R54" s="127"/>
      <c r="S54" s="138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40"/>
      <c r="AX54" s="134"/>
      <c r="AY54" s="134"/>
      <c r="AZ54" s="134"/>
      <c r="BA54" s="134"/>
      <c r="BB54" s="134"/>
      <c r="BC54" s="135"/>
      <c r="BD54" s="137"/>
      <c r="BE54" s="134"/>
      <c r="BF54" s="134"/>
      <c r="BG54" s="134"/>
      <c r="BH54" s="134"/>
      <c r="BI54" s="134"/>
      <c r="BJ54" s="135"/>
      <c r="BK54" s="62"/>
    </row>
    <row r="55" spans="1:63" ht="15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6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処理フロー凡例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57" customFormat="1" ht="15" customHeight="1" x14ac:dyDescent="0.25">
      <c r="A7" s="63"/>
      <c r="B7" s="64" t="s">
        <v>102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6"/>
      <c r="AF7" s="67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6"/>
      <c r="BJ7" s="65"/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0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6" customWidth="1"/>
    <col min="43" max="62" width="3.109375" style="16" customWidth="1"/>
    <col min="63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AP0201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31" customFormat="1" ht="15" customHeight="1" x14ac:dyDescent="0.25">
      <c r="A7" s="26"/>
      <c r="B7" s="27" t="s">
        <v>103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70"/>
      <c r="AQ7" s="70"/>
      <c r="AR7" s="70"/>
      <c r="AS7" s="70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9"/>
      <c r="BI7" s="29"/>
      <c r="BJ7" s="29"/>
      <c r="BK7" s="30"/>
    </row>
    <row r="8" spans="1:63" s="31" customFormat="1" ht="15" customHeight="1" x14ac:dyDescent="0.25">
      <c r="A8" s="26"/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71"/>
      <c r="AQ8" s="71"/>
      <c r="AR8" s="71"/>
      <c r="AS8" s="71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4"/>
      <c r="BI8" s="34"/>
      <c r="BJ8" s="34"/>
      <c r="BK8" s="30"/>
    </row>
    <row r="9" spans="1:63" s="31" customFormat="1" ht="15" customHeight="1" x14ac:dyDescent="0.25">
      <c r="A9" s="26"/>
      <c r="B9" s="32"/>
      <c r="C9" s="33" t="s">
        <v>50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71"/>
      <c r="AQ9" s="71"/>
      <c r="AR9" s="71"/>
      <c r="AS9" s="71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4"/>
      <c r="BI9" s="34"/>
      <c r="BJ9" s="34"/>
      <c r="BK9" s="30"/>
    </row>
    <row r="10" spans="1:63" s="31" customFormat="1" ht="15" customHeight="1" x14ac:dyDescent="0.25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4"/>
      <c r="BI10" s="34"/>
      <c r="BJ10" s="34"/>
      <c r="BK10" s="30"/>
    </row>
    <row r="11" spans="1:63" s="31" customFormat="1" ht="15" customHeight="1" x14ac:dyDescent="0.25">
      <c r="A11" s="26"/>
      <c r="B11" s="35" t="s">
        <v>104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30"/>
    </row>
    <row r="12" spans="1:63" s="31" customFormat="1" ht="15" customHeight="1" x14ac:dyDescent="0.25">
      <c r="A12" s="26"/>
      <c r="B12" s="33"/>
      <c r="C12" s="36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4"/>
      <c r="BI12" s="34"/>
      <c r="BJ12" s="34"/>
      <c r="BK12" s="30"/>
    </row>
    <row r="13" spans="1:63" s="31" customFormat="1" ht="15" customHeight="1" x14ac:dyDescent="0.25">
      <c r="A13" s="26"/>
      <c r="B13" s="33"/>
      <c r="C13" s="36" t="s">
        <v>105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4"/>
      <c r="BI13" s="34"/>
      <c r="BJ13" s="34"/>
      <c r="BK13" s="30"/>
    </row>
    <row r="14" spans="1:63" s="31" customFormat="1" ht="15" customHeight="1" x14ac:dyDescent="0.25">
      <c r="A14" s="26"/>
      <c r="B14" s="33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4"/>
      <c r="BI14" s="34"/>
      <c r="BJ14" s="34"/>
      <c r="BK14" s="30"/>
    </row>
    <row r="15" spans="1:63" s="31" customFormat="1" ht="15" customHeight="1" x14ac:dyDescent="0.25">
      <c r="A15" s="26"/>
      <c r="B15" s="33"/>
      <c r="C15" s="191" t="s">
        <v>28</v>
      </c>
      <c r="D15" s="193"/>
      <c r="E15" s="191" t="s">
        <v>30</v>
      </c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3"/>
      <c r="AG15" s="191" t="s">
        <v>31</v>
      </c>
      <c r="AH15" s="192"/>
      <c r="AI15" s="192"/>
      <c r="AJ15" s="192"/>
      <c r="AK15" s="192"/>
      <c r="AL15" s="192"/>
      <c r="AM15" s="192"/>
      <c r="AN15" s="192"/>
      <c r="AO15" s="192"/>
      <c r="AP15" s="193"/>
      <c r="AQ15" s="191" t="s">
        <v>32</v>
      </c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3"/>
      <c r="BK15" s="30"/>
    </row>
    <row r="16" spans="1:63" s="31" customFormat="1" ht="15" customHeight="1" x14ac:dyDescent="0.25">
      <c r="A16" s="26"/>
      <c r="B16" s="33"/>
      <c r="C16" s="185">
        <v>1</v>
      </c>
      <c r="D16" s="187"/>
      <c r="E16" s="279" t="s">
        <v>86</v>
      </c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1"/>
      <c r="AG16" s="185" t="s">
        <v>37</v>
      </c>
      <c r="AH16" s="186"/>
      <c r="AI16" s="186"/>
      <c r="AJ16" s="186"/>
      <c r="AK16" s="186"/>
      <c r="AL16" s="186"/>
      <c r="AM16" s="186"/>
      <c r="AN16" s="186"/>
      <c r="AO16" s="186"/>
      <c r="AP16" s="187"/>
      <c r="AQ16" s="282" t="s">
        <v>20</v>
      </c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4"/>
      <c r="BK16" s="30"/>
    </row>
    <row r="17" spans="1:63" s="31" customFormat="1" ht="15" customHeight="1" x14ac:dyDescent="0.25">
      <c r="A17" s="2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4"/>
      <c r="BI17" s="34"/>
      <c r="BJ17" s="34"/>
      <c r="BK17" s="30"/>
    </row>
    <row r="18" spans="1:63" s="31" customFormat="1" ht="15" customHeight="1" x14ac:dyDescent="0.25">
      <c r="A18" s="26"/>
      <c r="B18" s="33"/>
      <c r="C18" s="36" t="s">
        <v>106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4"/>
      <c r="BI18" s="34"/>
      <c r="BJ18" s="34"/>
      <c r="BK18" s="30"/>
    </row>
    <row r="19" spans="1:63" s="31" customFormat="1" ht="15" customHeight="1" x14ac:dyDescent="0.25">
      <c r="A19" s="26"/>
      <c r="B19" s="33"/>
      <c r="C19" s="3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4"/>
      <c r="BI19" s="34"/>
      <c r="BJ19" s="34"/>
      <c r="BK19" s="30"/>
    </row>
    <row r="20" spans="1:63" s="31" customFormat="1" ht="15" customHeight="1" x14ac:dyDescent="0.25">
      <c r="A20" s="26"/>
      <c r="B20" s="33"/>
      <c r="C20" s="194" t="s">
        <v>107</v>
      </c>
      <c r="D20" s="196"/>
      <c r="E20" s="194" t="s">
        <v>108</v>
      </c>
      <c r="F20" s="195"/>
      <c r="G20" s="195"/>
      <c r="H20" s="195"/>
      <c r="I20" s="195"/>
      <c r="J20" s="195"/>
      <c r="K20" s="196"/>
      <c r="L20" s="191" t="s">
        <v>33</v>
      </c>
      <c r="M20" s="192"/>
      <c r="N20" s="193"/>
      <c r="O20" s="191" t="s">
        <v>34</v>
      </c>
      <c r="P20" s="192"/>
      <c r="Q20" s="192"/>
      <c r="R20" s="193"/>
      <c r="S20" s="191" t="s">
        <v>35</v>
      </c>
      <c r="T20" s="192"/>
      <c r="U20" s="192"/>
      <c r="V20" s="192"/>
      <c r="W20" s="192"/>
      <c r="X20" s="192"/>
      <c r="Y20" s="193"/>
      <c r="Z20" s="194" t="s">
        <v>109</v>
      </c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6"/>
      <c r="AQ20" s="191" t="s">
        <v>32</v>
      </c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3"/>
      <c r="BK20" s="30"/>
    </row>
    <row r="21" spans="1:63" s="31" customFormat="1" ht="15" customHeight="1" x14ac:dyDescent="0.25">
      <c r="A21" s="26"/>
      <c r="B21" s="33"/>
      <c r="C21" s="205">
        <v>1</v>
      </c>
      <c r="D21" s="207"/>
      <c r="E21" s="217" t="s">
        <v>17</v>
      </c>
      <c r="F21" s="218"/>
      <c r="G21" s="218"/>
      <c r="H21" s="218"/>
      <c r="I21" s="218"/>
      <c r="J21" s="218"/>
      <c r="K21" s="219"/>
      <c r="L21" s="211" t="s">
        <v>18</v>
      </c>
      <c r="M21" s="212"/>
      <c r="N21" s="213"/>
      <c r="O21" s="205" t="s">
        <v>19</v>
      </c>
      <c r="P21" s="206"/>
      <c r="Q21" s="206"/>
      <c r="R21" s="207"/>
      <c r="S21" s="205" t="s">
        <v>20</v>
      </c>
      <c r="T21" s="206"/>
      <c r="U21" s="206"/>
      <c r="V21" s="206"/>
      <c r="W21" s="206"/>
      <c r="X21" s="206"/>
      <c r="Y21" s="207"/>
      <c r="Z21" s="217" t="s">
        <v>21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199" t="s">
        <v>110</v>
      </c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1"/>
      <c r="BK21" s="30"/>
    </row>
    <row r="22" spans="1:63" s="31" customFormat="1" ht="15" customHeight="1" x14ac:dyDescent="0.25">
      <c r="A22" s="26"/>
      <c r="B22" s="33"/>
      <c r="C22" s="208"/>
      <c r="D22" s="210"/>
      <c r="E22" s="220"/>
      <c r="F22" s="221"/>
      <c r="G22" s="221"/>
      <c r="H22" s="221"/>
      <c r="I22" s="221"/>
      <c r="J22" s="221"/>
      <c r="K22" s="222"/>
      <c r="L22" s="214"/>
      <c r="M22" s="215"/>
      <c r="N22" s="216"/>
      <c r="O22" s="208"/>
      <c r="P22" s="209"/>
      <c r="Q22" s="209"/>
      <c r="R22" s="210"/>
      <c r="S22" s="208"/>
      <c r="T22" s="209"/>
      <c r="U22" s="209"/>
      <c r="V22" s="209"/>
      <c r="W22" s="209"/>
      <c r="X22" s="209"/>
      <c r="Y22" s="210"/>
      <c r="Z22" s="220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2"/>
      <c r="AQ22" s="202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4"/>
      <c r="BK22" s="30"/>
    </row>
    <row r="23" spans="1:63" s="31" customFormat="1" ht="15" customHeight="1" x14ac:dyDescent="0.25">
      <c r="A23" s="26"/>
      <c r="B23" s="33"/>
      <c r="C23" s="185">
        <v>2</v>
      </c>
      <c r="D23" s="187"/>
      <c r="E23" s="229" t="s">
        <v>22</v>
      </c>
      <c r="F23" s="230"/>
      <c r="G23" s="230"/>
      <c r="H23" s="230"/>
      <c r="I23" s="230"/>
      <c r="J23" s="230"/>
      <c r="K23" s="231"/>
      <c r="L23" s="244" t="s">
        <v>20</v>
      </c>
      <c r="M23" s="245"/>
      <c r="N23" s="246"/>
      <c r="O23" s="185" t="s">
        <v>19</v>
      </c>
      <c r="P23" s="186"/>
      <c r="Q23" s="186"/>
      <c r="R23" s="187"/>
      <c r="S23" s="185" t="s">
        <v>20</v>
      </c>
      <c r="T23" s="186"/>
      <c r="U23" s="186"/>
      <c r="V23" s="186"/>
      <c r="W23" s="186"/>
      <c r="X23" s="186"/>
      <c r="Y23" s="187"/>
      <c r="Z23" s="229" t="s">
        <v>22</v>
      </c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1"/>
      <c r="AQ23" s="232" t="s">
        <v>23</v>
      </c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4"/>
      <c r="BK23" s="30"/>
    </row>
    <row r="24" spans="1:63" s="31" customFormat="1" ht="9" customHeight="1" x14ac:dyDescent="0.25">
      <c r="A24" s="26"/>
      <c r="B24" s="33"/>
      <c r="C24" s="205">
        <v>3</v>
      </c>
      <c r="D24" s="207"/>
      <c r="E24" s="217" t="s">
        <v>24</v>
      </c>
      <c r="F24" s="218"/>
      <c r="G24" s="218"/>
      <c r="H24" s="218"/>
      <c r="I24" s="218"/>
      <c r="J24" s="218"/>
      <c r="K24" s="219"/>
      <c r="L24" s="270" t="s">
        <v>18</v>
      </c>
      <c r="M24" s="271"/>
      <c r="N24" s="272"/>
      <c r="O24" s="247" t="s">
        <v>19</v>
      </c>
      <c r="P24" s="248"/>
      <c r="Q24" s="248"/>
      <c r="R24" s="249"/>
      <c r="S24" s="247" t="s">
        <v>87</v>
      </c>
      <c r="T24" s="248"/>
      <c r="U24" s="248"/>
      <c r="V24" s="248"/>
      <c r="W24" s="248"/>
      <c r="X24" s="248"/>
      <c r="Y24" s="249"/>
      <c r="Z24" s="256" t="s">
        <v>24</v>
      </c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8"/>
      <c r="AQ24" s="285" t="s">
        <v>111</v>
      </c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  <c r="BE24" s="285"/>
      <c r="BF24" s="285"/>
      <c r="BG24" s="285"/>
      <c r="BH24" s="285"/>
      <c r="BI24" s="285"/>
      <c r="BJ24" s="286"/>
      <c r="BK24" s="30"/>
    </row>
    <row r="25" spans="1:63" s="31" customFormat="1" ht="9" customHeight="1" x14ac:dyDescent="0.25">
      <c r="A25" s="26"/>
      <c r="B25" s="33"/>
      <c r="C25" s="265"/>
      <c r="D25" s="266"/>
      <c r="E25" s="267"/>
      <c r="F25" s="268"/>
      <c r="G25" s="268"/>
      <c r="H25" s="268"/>
      <c r="I25" s="268"/>
      <c r="J25" s="268"/>
      <c r="K25" s="269"/>
      <c r="L25" s="273"/>
      <c r="M25" s="274"/>
      <c r="N25" s="275"/>
      <c r="O25" s="250"/>
      <c r="P25" s="251"/>
      <c r="Q25" s="251"/>
      <c r="R25" s="252"/>
      <c r="S25" s="250"/>
      <c r="T25" s="251"/>
      <c r="U25" s="251"/>
      <c r="V25" s="251"/>
      <c r="W25" s="251"/>
      <c r="X25" s="251"/>
      <c r="Y25" s="252"/>
      <c r="Z25" s="259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1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8"/>
      <c r="BK25" s="30"/>
    </row>
    <row r="26" spans="1:63" s="31" customFormat="1" ht="9" customHeight="1" x14ac:dyDescent="0.25">
      <c r="A26" s="26"/>
      <c r="B26" s="33"/>
      <c r="C26" s="265"/>
      <c r="D26" s="266"/>
      <c r="E26" s="267"/>
      <c r="F26" s="268"/>
      <c r="G26" s="268"/>
      <c r="H26" s="268"/>
      <c r="I26" s="268"/>
      <c r="J26" s="268"/>
      <c r="K26" s="269"/>
      <c r="L26" s="273"/>
      <c r="M26" s="274"/>
      <c r="N26" s="275"/>
      <c r="O26" s="250"/>
      <c r="P26" s="251"/>
      <c r="Q26" s="251"/>
      <c r="R26" s="252"/>
      <c r="S26" s="250"/>
      <c r="T26" s="251"/>
      <c r="U26" s="251"/>
      <c r="V26" s="251"/>
      <c r="W26" s="251"/>
      <c r="X26" s="251"/>
      <c r="Y26" s="252"/>
      <c r="Z26" s="259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1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8"/>
      <c r="BK26" s="30"/>
    </row>
    <row r="27" spans="1:63" s="31" customFormat="1" ht="9" customHeight="1" x14ac:dyDescent="0.25">
      <c r="A27" s="26"/>
      <c r="B27" s="33"/>
      <c r="C27" s="265"/>
      <c r="D27" s="266"/>
      <c r="E27" s="267"/>
      <c r="F27" s="268"/>
      <c r="G27" s="268"/>
      <c r="H27" s="268"/>
      <c r="I27" s="268"/>
      <c r="J27" s="268"/>
      <c r="K27" s="269"/>
      <c r="L27" s="273"/>
      <c r="M27" s="274"/>
      <c r="N27" s="275"/>
      <c r="O27" s="250"/>
      <c r="P27" s="251"/>
      <c r="Q27" s="251"/>
      <c r="R27" s="252"/>
      <c r="S27" s="250"/>
      <c r="T27" s="251"/>
      <c r="U27" s="251"/>
      <c r="V27" s="251"/>
      <c r="W27" s="251"/>
      <c r="X27" s="251"/>
      <c r="Y27" s="252"/>
      <c r="Z27" s="259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1"/>
      <c r="AQ27" s="287"/>
      <c r="AR27" s="287"/>
      <c r="AS27" s="287"/>
      <c r="AT27" s="287"/>
      <c r="AU27" s="287"/>
      <c r="AV27" s="287"/>
      <c r="AW27" s="287"/>
      <c r="AX27" s="287"/>
      <c r="AY27" s="287"/>
      <c r="AZ27" s="287"/>
      <c r="BA27" s="287"/>
      <c r="BB27" s="287"/>
      <c r="BC27" s="287"/>
      <c r="BD27" s="287"/>
      <c r="BE27" s="287"/>
      <c r="BF27" s="287"/>
      <c r="BG27" s="287"/>
      <c r="BH27" s="287"/>
      <c r="BI27" s="287"/>
      <c r="BJ27" s="288"/>
      <c r="BK27" s="30"/>
    </row>
    <row r="28" spans="1:63" s="31" customFormat="1" ht="9" customHeight="1" x14ac:dyDescent="0.25">
      <c r="A28" s="26"/>
      <c r="B28" s="33"/>
      <c r="C28" s="265"/>
      <c r="D28" s="266"/>
      <c r="E28" s="267"/>
      <c r="F28" s="268"/>
      <c r="G28" s="268"/>
      <c r="H28" s="268"/>
      <c r="I28" s="268"/>
      <c r="J28" s="268"/>
      <c r="K28" s="269"/>
      <c r="L28" s="273"/>
      <c r="M28" s="274"/>
      <c r="N28" s="275"/>
      <c r="O28" s="250"/>
      <c r="P28" s="251"/>
      <c r="Q28" s="251"/>
      <c r="R28" s="252"/>
      <c r="S28" s="250"/>
      <c r="T28" s="251"/>
      <c r="U28" s="251"/>
      <c r="V28" s="251"/>
      <c r="W28" s="251"/>
      <c r="X28" s="251"/>
      <c r="Y28" s="252"/>
      <c r="Z28" s="259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1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7"/>
      <c r="BJ28" s="288"/>
      <c r="BK28" s="30"/>
    </row>
    <row r="29" spans="1:63" s="31" customFormat="1" ht="9" customHeight="1" x14ac:dyDescent="0.25">
      <c r="A29" s="26"/>
      <c r="B29" s="33"/>
      <c r="C29" s="265"/>
      <c r="D29" s="266"/>
      <c r="E29" s="267"/>
      <c r="F29" s="268"/>
      <c r="G29" s="268"/>
      <c r="H29" s="268"/>
      <c r="I29" s="268"/>
      <c r="J29" s="268"/>
      <c r="K29" s="269"/>
      <c r="L29" s="273"/>
      <c r="M29" s="274"/>
      <c r="N29" s="275"/>
      <c r="O29" s="250"/>
      <c r="P29" s="251"/>
      <c r="Q29" s="251"/>
      <c r="R29" s="252"/>
      <c r="S29" s="250"/>
      <c r="T29" s="251"/>
      <c r="U29" s="251"/>
      <c r="V29" s="251"/>
      <c r="W29" s="251"/>
      <c r="X29" s="251"/>
      <c r="Y29" s="252"/>
      <c r="Z29" s="259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1"/>
      <c r="AQ29" s="287"/>
      <c r="AR29" s="287"/>
      <c r="AS29" s="287"/>
      <c r="AT29" s="287"/>
      <c r="AU29" s="287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7"/>
      <c r="BH29" s="287"/>
      <c r="BI29" s="287"/>
      <c r="BJ29" s="288"/>
      <c r="BK29" s="30"/>
    </row>
    <row r="30" spans="1:63" s="31" customFormat="1" ht="9" customHeight="1" x14ac:dyDescent="0.25">
      <c r="A30" s="26"/>
      <c r="B30" s="33"/>
      <c r="C30" s="208"/>
      <c r="D30" s="210"/>
      <c r="E30" s="220"/>
      <c r="F30" s="221"/>
      <c r="G30" s="221"/>
      <c r="H30" s="221"/>
      <c r="I30" s="221"/>
      <c r="J30" s="221"/>
      <c r="K30" s="222"/>
      <c r="L30" s="276"/>
      <c r="M30" s="277"/>
      <c r="N30" s="278"/>
      <c r="O30" s="253"/>
      <c r="P30" s="254"/>
      <c r="Q30" s="254"/>
      <c r="R30" s="255"/>
      <c r="S30" s="253"/>
      <c r="T30" s="254"/>
      <c r="U30" s="254"/>
      <c r="V30" s="254"/>
      <c r="W30" s="254"/>
      <c r="X30" s="254"/>
      <c r="Y30" s="255"/>
      <c r="Z30" s="262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4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90"/>
      <c r="BK30" s="30"/>
    </row>
    <row r="31" spans="1:63" s="31" customFormat="1" ht="15" customHeight="1" x14ac:dyDescent="0.25">
      <c r="A31" s="26"/>
      <c r="B31" s="33"/>
      <c r="C31" s="185">
        <v>4</v>
      </c>
      <c r="D31" s="187"/>
      <c r="E31" s="229" t="s">
        <v>25</v>
      </c>
      <c r="F31" s="230"/>
      <c r="G31" s="230"/>
      <c r="H31" s="230"/>
      <c r="I31" s="230"/>
      <c r="J31" s="230"/>
      <c r="K31" s="231"/>
      <c r="L31" s="244" t="s">
        <v>20</v>
      </c>
      <c r="M31" s="245"/>
      <c r="N31" s="246"/>
      <c r="O31" s="185" t="s">
        <v>19</v>
      </c>
      <c r="P31" s="186"/>
      <c r="Q31" s="186"/>
      <c r="R31" s="187"/>
      <c r="S31" s="185" t="s">
        <v>20</v>
      </c>
      <c r="T31" s="186"/>
      <c r="U31" s="186"/>
      <c r="V31" s="186"/>
      <c r="W31" s="186"/>
      <c r="X31" s="186"/>
      <c r="Y31" s="187"/>
      <c r="Z31" s="229" t="s">
        <v>25</v>
      </c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1"/>
      <c r="AQ31" s="232" t="s">
        <v>26</v>
      </c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4"/>
      <c r="BK31" s="30"/>
    </row>
    <row r="32" spans="1:63" s="31" customFormat="1" ht="15" customHeight="1" x14ac:dyDescent="0.25">
      <c r="A32" s="26"/>
      <c r="B32" s="33"/>
      <c r="C32" s="185">
        <v>5</v>
      </c>
      <c r="D32" s="187"/>
      <c r="E32" s="229" t="s">
        <v>27</v>
      </c>
      <c r="F32" s="230"/>
      <c r="G32" s="230"/>
      <c r="H32" s="230"/>
      <c r="I32" s="230"/>
      <c r="J32" s="230"/>
      <c r="K32" s="231"/>
      <c r="L32" s="244" t="s">
        <v>20</v>
      </c>
      <c r="M32" s="245"/>
      <c r="N32" s="246"/>
      <c r="O32" s="185" t="s">
        <v>19</v>
      </c>
      <c r="P32" s="186"/>
      <c r="Q32" s="186"/>
      <c r="R32" s="187"/>
      <c r="S32" s="185" t="s">
        <v>20</v>
      </c>
      <c r="T32" s="186"/>
      <c r="U32" s="186"/>
      <c r="V32" s="186"/>
      <c r="W32" s="186"/>
      <c r="X32" s="186"/>
      <c r="Y32" s="187"/>
      <c r="Z32" s="229" t="s">
        <v>27</v>
      </c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1"/>
      <c r="AQ32" s="232" t="s">
        <v>112</v>
      </c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4"/>
      <c r="BK32" s="30"/>
    </row>
    <row r="33" spans="1:63" s="31" customFormat="1" ht="15" customHeight="1" x14ac:dyDescent="0.25">
      <c r="A33" s="26"/>
      <c r="B33" s="33"/>
      <c r="C33" s="33"/>
      <c r="D33" s="33"/>
      <c r="E33" s="71"/>
      <c r="F33" s="71"/>
      <c r="G33" s="71"/>
      <c r="H33" s="71"/>
      <c r="I33" s="33"/>
      <c r="J33" s="33"/>
      <c r="K33" s="33"/>
      <c r="L33" s="42"/>
      <c r="M33" s="71"/>
      <c r="N33" s="71"/>
      <c r="O33" s="71"/>
      <c r="P33" s="71"/>
      <c r="Q33" s="33"/>
      <c r="R33" s="33"/>
      <c r="S33" s="33"/>
      <c r="T33" s="33"/>
      <c r="U33" s="33"/>
      <c r="V33" s="33"/>
      <c r="W33" s="33"/>
      <c r="X33" s="33"/>
      <c r="Y33" s="33"/>
      <c r="Z33" s="40"/>
      <c r="AA33" s="33"/>
      <c r="AB33" s="33"/>
      <c r="AC33" s="33"/>
      <c r="AD33" s="33"/>
      <c r="AE33" s="33"/>
      <c r="AF33" s="33"/>
      <c r="AG33" s="71"/>
      <c r="AH33" s="71"/>
      <c r="AI33" s="71"/>
      <c r="AJ33" s="71"/>
      <c r="AK33" s="71"/>
      <c r="AL33" s="71"/>
      <c r="AM33" s="71"/>
      <c r="AN33" s="71"/>
      <c r="AO33" s="71"/>
      <c r="AP33" s="33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34"/>
      <c r="BI33" s="34"/>
      <c r="BJ33" s="34"/>
      <c r="BK33" s="30"/>
    </row>
    <row r="34" spans="1:63" s="31" customFormat="1" ht="15" customHeight="1" x14ac:dyDescent="0.25">
      <c r="A34" s="26"/>
      <c r="B34" s="33"/>
      <c r="C34" s="36" t="s">
        <v>113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4"/>
      <c r="BI34" s="34"/>
      <c r="BJ34" s="34"/>
      <c r="BK34" s="30"/>
    </row>
    <row r="35" spans="1:63" s="31" customFormat="1" ht="15" customHeight="1" x14ac:dyDescent="0.25">
      <c r="A35" s="26"/>
      <c r="B35" s="33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4"/>
      <c r="BI35" s="34"/>
      <c r="BJ35" s="34"/>
      <c r="BK35" s="30"/>
    </row>
    <row r="36" spans="1:63" s="31" customFormat="1" ht="15" customHeight="1" x14ac:dyDescent="0.25">
      <c r="A36" s="26"/>
      <c r="B36" s="33"/>
      <c r="C36" s="197" t="s">
        <v>28</v>
      </c>
      <c r="D36" s="198"/>
      <c r="E36" s="194" t="s">
        <v>114</v>
      </c>
      <c r="F36" s="241"/>
      <c r="G36" s="241"/>
      <c r="H36" s="241"/>
      <c r="I36" s="241"/>
      <c r="J36" s="241"/>
      <c r="K36" s="242"/>
      <c r="L36" s="191" t="s">
        <v>33</v>
      </c>
      <c r="M36" s="192"/>
      <c r="N36" s="193"/>
      <c r="O36" s="191" t="s">
        <v>34</v>
      </c>
      <c r="P36" s="192"/>
      <c r="Q36" s="192"/>
      <c r="R36" s="193"/>
      <c r="S36" s="191" t="s">
        <v>35</v>
      </c>
      <c r="T36" s="192"/>
      <c r="U36" s="192"/>
      <c r="V36" s="192"/>
      <c r="W36" s="192"/>
      <c r="X36" s="192"/>
      <c r="Y36" s="193"/>
      <c r="Z36" s="194" t="s">
        <v>109</v>
      </c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6"/>
      <c r="AQ36" s="238" t="s">
        <v>32</v>
      </c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39"/>
      <c r="BD36" s="239"/>
      <c r="BE36" s="239"/>
      <c r="BF36" s="239"/>
      <c r="BG36" s="239"/>
      <c r="BH36" s="239"/>
      <c r="BI36" s="239"/>
      <c r="BJ36" s="240"/>
      <c r="BK36" s="30"/>
    </row>
    <row r="37" spans="1:63" s="31" customFormat="1" ht="15" customHeight="1" x14ac:dyDescent="0.25">
      <c r="A37" s="26"/>
      <c r="B37" s="33"/>
      <c r="C37" s="185">
        <v>1</v>
      </c>
      <c r="D37" s="187"/>
      <c r="E37" s="229" t="s">
        <v>52</v>
      </c>
      <c r="F37" s="230"/>
      <c r="G37" s="230"/>
      <c r="H37" s="230"/>
      <c r="I37" s="230"/>
      <c r="J37" s="230"/>
      <c r="K37" s="231"/>
      <c r="L37" s="244" t="s">
        <v>18</v>
      </c>
      <c r="M37" s="245"/>
      <c r="N37" s="246"/>
      <c r="O37" s="185" t="s">
        <v>19</v>
      </c>
      <c r="P37" s="186"/>
      <c r="Q37" s="186"/>
      <c r="R37" s="187"/>
      <c r="S37" s="185" t="s">
        <v>20</v>
      </c>
      <c r="T37" s="186"/>
      <c r="U37" s="186"/>
      <c r="V37" s="186"/>
      <c r="W37" s="186"/>
      <c r="X37" s="186"/>
      <c r="Y37" s="187"/>
      <c r="Z37" s="229" t="s">
        <v>55</v>
      </c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1"/>
      <c r="AQ37" s="282" t="s">
        <v>115</v>
      </c>
      <c r="AR37" s="283"/>
      <c r="AS37" s="283"/>
      <c r="AT37" s="283"/>
      <c r="AU37" s="283"/>
      <c r="AV37" s="283"/>
      <c r="AW37" s="283"/>
      <c r="AX37" s="283"/>
      <c r="AY37" s="283"/>
      <c r="AZ37" s="283"/>
      <c r="BA37" s="283"/>
      <c r="BB37" s="283"/>
      <c r="BC37" s="283"/>
      <c r="BD37" s="283"/>
      <c r="BE37" s="283"/>
      <c r="BF37" s="283"/>
      <c r="BG37" s="283"/>
      <c r="BH37" s="283"/>
      <c r="BI37" s="283"/>
      <c r="BJ37" s="284"/>
      <c r="BK37" s="30"/>
    </row>
    <row r="38" spans="1:63" s="31" customFormat="1" ht="35.25" customHeight="1" x14ac:dyDescent="0.25">
      <c r="A38" s="26"/>
      <c r="B38" s="33"/>
      <c r="C38" s="185">
        <v>2</v>
      </c>
      <c r="D38" s="187"/>
      <c r="E38" s="229" t="s">
        <v>54</v>
      </c>
      <c r="F38" s="230"/>
      <c r="G38" s="230"/>
      <c r="H38" s="230"/>
      <c r="I38" s="230"/>
      <c r="J38" s="230"/>
      <c r="K38" s="231"/>
      <c r="L38" s="244" t="s">
        <v>18</v>
      </c>
      <c r="M38" s="245"/>
      <c r="N38" s="246"/>
      <c r="O38" s="185" t="s">
        <v>19</v>
      </c>
      <c r="P38" s="186"/>
      <c r="Q38" s="186"/>
      <c r="R38" s="187"/>
      <c r="S38" s="185" t="s">
        <v>20</v>
      </c>
      <c r="T38" s="186"/>
      <c r="U38" s="186"/>
      <c r="V38" s="186"/>
      <c r="W38" s="186"/>
      <c r="X38" s="186"/>
      <c r="Y38" s="187"/>
      <c r="Z38" s="229" t="s">
        <v>56</v>
      </c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1"/>
      <c r="AQ38" s="291" t="s">
        <v>153</v>
      </c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4"/>
      <c r="BK38" s="30"/>
    </row>
    <row r="39" spans="1:63" s="31" customFormat="1" ht="15" customHeight="1" x14ac:dyDescent="0.25">
      <c r="A39" s="26"/>
      <c r="B39" s="33"/>
      <c r="C39" s="185">
        <v>3</v>
      </c>
      <c r="D39" s="187"/>
      <c r="E39" s="229" t="s">
        <v>57</v>
      </c>
      <c r="F39" s="230"/>
      <c r="G39" s="230"/>
      <c r="H39" s="230"/>
      <c r="I39" s="230"/>
      <c r="J39" s="230"/>
      <c r="K39" s="231"/>
      <c r="L39" s="244" t="s">
        <v>20</v>
      </c>
      <c r="M39" s="245"/>
      <c r="N39" s="246"/>
      <c r="O39" s="185" t="s">
        <v>19</v>
      </c>
      <c r="P39" s="186"/>
      <c r="Q39" s="186"/>
      <c r="R39" s="187"/>
      <c r="S39" s="185" t="s">
        <v>20</v>
      </c>
      <c r="T39" s="186"/>
      <c r="U39" s="186"/>
      <c r="V39" s="186"/>
      <c r="W39" s="186"/>
      <c r="X39" s="186"/>
      <c r="Y39" s="187"/>
      <c r="Z39" s="229" t="s">
        <v>58</v>
      </c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1"/>
      <c r="AQ39" s="279" t="s">
        <v>82</v>
      </c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1"/>
      <c r="BK39" s="30"/>
    </row>
    <row r="40" spans="1:63" s="31" customFormat="1" ht="15" customHeight="1" x14ac:dyDescent="0.25">
      <c r="A40" s="26"/>
      <c r="B40" s="33"/>
      <c r="C40" s="185">
        <v>4</v>
      </c>
      <c r="D40" s="187"/>
      <c r="E40" s="229" t="s">
        <v>59</v>
      </c>
      <c r="F40" s="230"/>
      <c r="G40" s="230"/>
      <c r="H40" s="230"/>
      <c r="I40" s="230"/>
      <c r="J40" s="230"/>
      <c r="K40" s="231"/>
      <c r="L40" s="244" t="s">
        <v>20</v>
      </c>
      <c r="M40" s="245"/>
      <c r="N40" s="246"/>
      <c r="O40" s="185" t="s">
        <v>69</v>
      </c>
      <c r="P40" s="186"/>
      <c r="Q40" s="186"/>
      <c r="R40" s="187"/>
      <c r="S40" s="185">
        <v>1</v>
      </c>
      <c r="T40" s="186"/>
      <c r="U40" s="186"/>
      <c r="V40" s="186"/>
      <c r="W40" s="186"/>
      <c r="X40" s="186"/>
      <c r="Y40" s="187"/>
      <c r="Z40" s="229" t="s">
        <v>60</v>
      </c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1"/>
      <c r="AQ40" s="282" t="s">
        <v>20</v>
      </c>
      <c r="AR40" s="283"/>
      <c r="AS40" s="283"/>
      <c r="AT40" s="283"/>
      <c r="AU40" s="283"/>
      <c r="AV40" s="283"/>
      <c r="AW40" s="283"/>
      <c r="AX40" s="283"/>
      <c r="AY40" s="283"/>
      <c r="AZ40" s="283"/>
      <c r="BA40" s="283"/>
      <c r="BB40" s="283"/>
      <c r="BC40" s="283"/>
      <c r="BD40" s="283"/>
      <c r="BE40" s="283"/>
      <c r="BF40" s="283"/>
      <c r="BG40" s="283"/>
      <c r="BH40" s="283"/>
      <c r="BI40" s="283"/>
      <c r="BJ40" s="284"/>
      <c r="BK40" s="30"/>
    </row>
    <row r="41" spans="1:63" s="31" customFormat="1" ht="15" customHeight="1" x14ac:dyDescent="0.25">
      <c r="A41" s="26"/>
      <c r="B41" s="33"/>
      <c r="C41" s="185">
        <v>5</v>
      </c>
      <c r="D41" s="187"/>
      <c r="E41" s="229" t="s">
        <v>68</v>
      </c>
      <c r="F41" s="230"/>
      <c r="G41" s="230"/>
      <c r="H41" s="230"/>
      <c r="I41" s="230"/>
      <c r="J41" s="230"/>
      <c r="K41" s="231"/>
      <c r="L41" s="244" t="s">
        <v>20</v>
      </c>
      <c r="M41" s="245"/>
      <c r="N41" s="246"/>
      <c r="O41" s="185" t="s">
        <v>69</v>
      </c>
      <c r="P41" s="186"/>
      <c r="Q41" s="186"/>
      <c r="R41" s="187"/>
      <c r="S41" s="185" t="s">
        <v>20</v>
      </c>
      <c r="T41" s="186"/>
      <c r="U41" s="186"/>
      <c r="V41" s="186"/>
      <c r="W41" s="186"/>
      <c r="X41" s="186"/>
      <c r="Y41" s="187"/>
      <c r="Z41" s="229" t="s">
        <v>75</v>
      </c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1"/>
      <c r="AQ41" s="282" t="s">
        <v>116</v>
      </c>
      <c r="AR41" s="283"/>
      <c r="AS41" s="283"/>
      <c r="AT41" s="283"/>
      <c r="AU41" s="283"/>
      <c r="AV41" s="283"/>
      <c r="AW41" s="283"/>
      <c r="AX41" s="283"/>
      <c r="AY41" s="283"/>
      <c r="AZ41" s="283"/>
      <c r="BA41" s="283"/>
      <c r="BB41" s="283"/>
      <c r="BC41" s="283"/>
      <c r="BD41" s="283"/>
      <c r="BE41" s="283"/>
      <c r="BF41" s="283"/>
      <c r="BG41" s="283"/>
      <c r="BH41" s="283"/>
      <c r="BI41" s="283"/>
      <c r="BJ41" s="284"/>
      <c r="BK41" s="30"/>
    </row>
    <row r="42" spans="1:63" s="31" customFormat="1" ht="15" customHeight="1" x14ac:dyDescent="0.25">
      <c r="A42" s="26"/>
      <c r="B42" s="33"/>
      <c r="C42" s="33"/>
      <c r="D42" s="33"/>
      <c r="E42" s="71"/>
      <c r="F42" s="71"/>
      <c r="G42" s="71"/>
      <c r="H42" s="71"/>
      <c r="I42" s="71"/>
      <c r="J42" s="71"/>
      <c r="K42" s="71"/>
      <c r="L42" s="55"/>
      <c r="M42" s="55"/>
      <c r="N42" s="55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30"/>
    </row>
    <row r="43" spans="1:63" s="31" customFormat="1" ht="15" customHeight="1" x14ac:dyDescent="0.25">
      <c r="A43" s="26"/>
      <c r="B43" s="33"/>
      <c r="C43" s="36" t="s">
        <v>117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4"/>
      <c r="BI43" s="34"/>
      <c r="BJ43" s="34"/>
      <c r="BK43" s="30"/>
    </row>
    <row r="44" spans="1:63" s="31" customFormat="1" ht="15" customHeight="1" x14ac:dyDescent="0.25">
      <c r="A44" s="26"/>
      <c r="B44" s="33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4"/>
      <c r="BI44" s="34"/>
      <c r="BJ44" s="34"/>
      <c r="BK44" s="30"/>
    </row>
    <row r="45" spans="1:63" s="31" customFormat="1" ht="15" customHeight="1" x14ac:dyDescent="0.25">
      <c r="A45" s="26"/>
      <c r="B45" s="33"/>
      <c r="C45" s="197" t="s">
        <v>28</v>
      </c>
      <c r="D45" s="198"/>
      <c r="E45" s="243" t="s">
        <v>36</v>
      </c>
      <c r="F45" s="241"/>
      <c r="G45" s="241"/>
      <c r="H45" s="241"/>
      <c r="I45" s="241"/>
      <c r="J45" s="241"/>
      <c r="K45" s="242"/>
      <c r="L45" s="191" t="s">
        <v>33</v>
      </c>
      <c r="M45" s="192"/>
      <c r="N45" s="193"/>
      <c r="O45" s="191" t="s">
        <v>34</v>
      </c>
      <c r="P45" s="192"/>
      <c r="Q45" s="192"/>
      <c r="R45" s="193"/>
      <c r="S45" s="191" t="s">
        <v>35</v>
      </c>
      <c r="T45" s="192"/>
      <c r="U45" s="192"/>
      <c r="V45" s="192"/>
      <c r="W45" s="192"/>
      <c r="X45" s="192"/>
      <c r="Y45" s="193"/>
      <c r="Z45" s="194" t="s">
        <v>109</v>
      </c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6"/>
      <c r="AQ45" s="238" t="s">
        <v>32</v>
      </c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40"/>
      <c r="BK45" s="30"/>
    </row>
    <row r="46" spans="1:63" s="31" customFormat="1" ht="15" customHeight="1" x14ac:dyDescent="0.25">
      <c r="A46" s="26"/>
      <c r="B46" s="33"/>
      <c r="C46" s="244" t="s">
        <v>61</v>
      </c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245"/>
      <c r="AZ46" s="245"/>
      <c r="BA46" s="245"/>
      <c r="BB46" s="245"/>
      <c r="BC46" s="245"/>
      <c r="BD46" s="245"/>
      <c r="BE46" s="245"/>
      <c r="BF46" s="245"/>
      <c r="BG46" s="245"/>
      <c r="BH46" s="245"/>
      <c r="BI46" s="245"/>
      <c r="BJ46" s="246"/>
      <c r="BK46" s="30"/>
    </row>
    <row r="47" spans="1:63" s="31" customFormat="1" ht="15" customHeight="1" x14ac:dyDescent="0.25">
      <c r="A47" s="26"/>
      <c r="B47" s="33"/>
      <c r="C47" s="33"/>
      <c r="D47" s="33"/>
      <c r="E47" s="71"/>
      <c r="F47" s="71"/>
      <c r="G47" s="71"/>
      <c r="H47" s="71"/>
      <c r="I47" s="71"/>
      <c r="J47" s="71"/>
      <c r="K47" s="71"/>
      <c r="L47" s="55"/>
      <c r="M47" s="55"/>
      <c r="N47" s="55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30"/>
    </row>
    <row r="48" spans="1:63" s="31" customFormat="1" ht="15" customHeight="1" x14ac:dyDescent="0.25">
      <c r="A48" s="26"/>
      <c r="B48" s="33"/>
      <c r="C48" s="36" t="s">
        <v>118</v>
      </c>
      <c r="D48" s="33"/>
      <c r="E48" s="71"/>
      <c r="F48" s="33"/>
      <c r="G48" s="7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30"/>
    </row>
    <row r="49" spans="1:63" s="31" customFormat="1" ht="15" customHeight="1" x14ac:dyDescent="0.25">
      <c r="A49" s="26"/>
      <c r="B49" s="33"/>
      <c r="C49" s="36"/>
      <c r="D49" s="71"/>
      <c r="E49" s="71"/>
      <c r="F49" s="33"/>
      <c r="G49" s="7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30"/>
    </row>
    <row r="50" spans="1:63" s="31" customFormat="1" ht="15" customHeight="1" x14ac:dyDescent="0.25">
      <c r="A50" s="26"/>
      <c r="B50" s="33"/>
      <c r="C50" s="72" t="s">
        <v>39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37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30"/>
    </row>
    <row r="51" spans="1:63" s="31" customFormat="1" ht="15" customHeight="1" x14ac:dyDescent="0.25">
      <c r="A51" s="26"/>
      <c r="B51" s="33"/>
      <c r="C51" s="74" t="s">
        <v>119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8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30"/>
    </row>
    <row r="52" spans="1:63" s="31" customFormat="1" ht="15" customHeight="1" x14ac:dyDescent="0.25">
      <c r="A52" s="26"/>
      <c r="B52" s="33"/>
      <c r="C52" s="74" t="s">
        <v>120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8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30"/>
    </row>
    <row r="53" spans="1:63" s="31" customFormat="1" ht="15" customHeight="1" x14ac:dyDescent="0.25">
      <c r="A53" s="26"/>
      <c r="B53" s="33"/>
      <c r="C53" s="74" t="s">
        <v>121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8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30"/>
    </row>
    <row r="54" spans="1:63" s="31" customFormat="1" ht="15" customHeight="1" x14ac:dyDescent="0.25">
      <c r="A54" s="26"/>
      <c r="B54" s="33"/>
      <c r="C54" s="74" t="s">
        <v>122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8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30"/>
    </row>
    <row r="55" spans="1:63" s="31" customFormat="1" ht="15" customHeight="1" x14ac:dyDescent="0.25">
      <c r="A55" s="26"/>
      <c r="B55" s="33"/>
      <c r="C55" s="74" t="s">
        <v>123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8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30"/>
    </row>
    <row r="56" spans="1:63" s="31" customFormat="1" ht="15" customHeight="1" x14ac:dyDescent="0.25">
      <c r="A56" s="26"/>
      <c r="B56" s="33"/>
      <c r="C56" s="73" t="s">
        <v>40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39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30"/>
    </row>
    <row r="57" spans="1:63" s="31" customFormat="1" ht="15" customHeight="1" x14ac:dyDescent="0.25">
      <c r="A57" s="2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4"/>
      <c r="BI57" s="34"/>
      <c r="BJ57" s="34"/>
      <c r="BK57" s="30"/>
    </row>
    <row r="58" spans="1:63" s="31" customFormat="1" ht="15" customHeight="1" x14ac:dyDescent="0.25">
      <c r="A58" s="26"/>
      <c r="B58" s="35" t="s">
        <v>124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30"/>
    </row>
    <row r="59" spans="1:63" s="31" customFormat="1" ht="15" customHeight="1" x14ac:dyDescent="0.25">
      <c r="A59" s="26"/>
      <c r="B59" s="32"/>
      <c r="C59" s="36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4"/>
      <c r="BI59" s="34"/>
      <c r="BJ59" s="34"/>
      <c r="BK59" s="30"/>
    </row>
    <row r="60" spans="1:63" s="31" customFormat="1" ht="15" customHeight="1" x14ac:dyDescent="0.25">
      <c r="A60" s="26"/>
      <c r="B60" s="32"/>
      <c r="C60" s="36" t="s">
        <v>125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4"/>
      <c r="BI60" s="34"/>
      <c r="BJ60" s="34"/>
      <c r="BK60" s="30"/>
    </row>
    <row r="61" spans="1:63" s="31" customFormat="1" ht="15" customHeight="1" x14ac:dyDescent="0.25">
      <c r="A61" s="26"/>
      <c r="B61" s="32"/>
      <c r="C61" s="36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4"/>
      <c r="BI61" s="34"/>
      <c r="BJ61" s="34"/>
      <c r="BK61" s="30"/>
    </row>
    <row r="62" spans="1:63" s="31" customFormat="1" ht="15" customHeight="1" x14ac:dyDescent="0.25">
      <c r="A62" s="26"/>
      <c r="B62" s="33"/>
      <c r="C62" s="191" t="s">
        <v>28</v>
      </c>
      <c r="D62" s="193"/>
      <c r="E62" s="235" t="s">
        <v>126</v>
      </c>
      <c r="F62" s="236"/>
      <c r="G62" s="236"/>
      <c r="H62" s="236"/>
      <c r="I62" s="236"/>
      <c r="J62" s="236"/>
      <c r="K62" s="236"/>
      <c r="L62" s="236"/>
      <c r="M62" s="236"/>
      <c r="N62" s="237"/>
      <c r="O62" s="223" t="s">
        <v>34</v>
      </c>
      <c r="P62" s="224"/>
      <c r="Q62" s="224"/>
      <c r="R62" s="225"/>
      <c r="S62" s="226" t="s">
        <v>109</v>
      </c>
      <c r="T62" s="227"/>
      <c r="U62" s="227"/>
      <c r="V62" s="227"/>
      <c r="W62" s="227"/>
      <c r="X62" s="227"/>
      <c r="Y62" s="227"/>
      <c r="Z62" s="227"/>
      <c r="AA62" s="227"/>
      <c r="AB62" s="228"/>
      <c r="AC62" s="191" t="s">
        <v>32</v>
      </c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4"/>
      <c r="BI62" s="34"/>
      <c r="BJ62" s="34"/>
      <c r="BK62" s="30"/>
    </row>
    <row r="63" spans="1:63" s="31" customFormat="1" ht="15" customHeight="1" x14ac:dyDescent="0.25">
      <c r="A63" s="26"/>
      <c r="B63" s="33"/>
      <c r="C63" s="185">
        <v>1</v>
      </c>
      <c r="D63" s="187"/>
      <c r="E63" s="185" t="s">
        <v>41</v>
      </c>
      <c r="F63" s="186"/>
      <c r="G63" s="186"/>
      <c r="H63" s="186"/>
      <c r="I63" s="186"/>
      <c r="J63" s="186"/>
      <c r="K63" s="186"/>
      <c r="L63" s="186"/>
      <c r="M63" s="186"/>
      <c r="N63" s="187"/>
      <c r="O63" s="185" t="s">
        <v>46</v>
      </c>
      <c r="P63" s="186"/>
      <c r="Q63" s="186"/>
      <c r="R63" s="187"/>
      <c r="S63" s="188" t="s">
        <v>20</v>
      </c>
      <c r="T63" s="189"/>
      <c r="U63" s="189"/>
      <c r="V63" s="189"/>
      <c r="W63" s="189"/>
      <c r="X63" s="189"/>
      <c r="Y63" s="189"/>
      <c r="Z63" s="189"/>
      <c r="AA63" s="189"/>
      <c r="AB63" s="190"/>
      <c r="AC63" s="185" t="s">
        <v>42</v>
      </c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7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4"/>
      <c r="BI63" s="34"/>
      <c r="BJ63" s="34"/>
      <c r="BK63" s="30"/>
    </row>
    <row r="64" spans="1:63" s="31" customFormat="1" ht="15" customHeight="1" x14ac:dyDescent="0.25">
      <c r="A64" s="26"/>
      <c r="B64" s="33"/>
      <c r="C64" s="185">
        <f>C63+1</f>
        <v>2</v>
      </c>
      <c r="D64" s="187"/>
      <c r="E64" s="185" t="s">
        <v>83</v>
      </c>
      <c r="F64" s="186"/>
      <c r="G64" s="186"/>
      <c r="H64" s="186"/>
      <c r="I64" s="186"/>
      <c r="J64" s="186"/>
      <c r="K64" s="186"/>
      <c r="L64" s="186"/>
      <c r="M64" s="186"/>
      <c r="N64" s="187"/>
      <c r="O64" s="185" t="s">
        <v>47</v>
      </c>
      <c r="P64" s="186"/>
      <c r="Q64" s="186"/>
      <c r="R64" s="187"/>
      <c r="S64" s="188" t="s">
        <v>20</v>
      </c>
      <c r="T64" s="189"/>
      <c r="U64" s="189"/>
      <c r="V64" s="189"/>
      <c r="W64" s="189"/>
      <c r="X64" s="189"/>
      <c r="Y64" s="189"/>
      <c r="Z64" s="189"/>
      <c r="AA64" s="189"/>
      <c r="AB64" s="190"/>
      <c r="AC64" s="185" t="s">
        <v>48</v>
      </c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7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4"/>
      <c r="BI64" s="34"/>
      <c r="BJ64" s="34"/>
      <c r="BK64" s="30"/>
    </row>
    <row r="65" spans="1:63" s="31" customFormat="1" ht="15" customHeight="1" x14ac:dyDescent="0.25">
      <c r="A65" s="26"/>
      <c r="B65" s="33"/>
      <c r="C65" s="185">
        <f>C64+1</f>
        <v>3</v>
      </c>
      <c r="D65" s="187"/>
      <c r="E65" s="185" t="s">
        <v>84</v>
      </c>
      <c r="F65" s="186"/>
      <c r="G65" s="186"/>
      <c r="H65" s="186"/>
      <c r="I65" s="186"/>
      <c r="J65" s="186"/>
      <c r="K65" s="186"/>
      <c r="L65" s="186"/>
      <c r="M65" s="186"/>
      <c r="N65" s="187"/>
      <c r="O65" s="185" t="s">
        <v>47</v>
      </c>
      <c r="P65" s="186"/>
      <c r="Q65" s="186"/>
      <c r="R65" s="187"/>
      <c r="S65" s="188" t="s">
        <v>20</v>
      </c>
      <c r="T65" s="189"/>
      <c r="U65" s="189"/>
      <c r="V65" s="189"/>
      <c r="W65" s="189"/>
      <c r="X65" s="189"/>
      <c r="Y65" s="189"/>
      <c r="Z65" s="189"/>
      <c r="AA65" s="189"/>
      <c r="AB65" s="190"/>
      <c r="AC65" s="185" t="s">
        <v>85</v>
      </c>
      <c r="AD65" s="186"/>
      <c r="AE65" s="186"/>
      <c r="AF65" s="186"/>
      <c r="AG65" s="186"/>
      <c r="AH65" s="186"/>
      <c r="AI65" s="186"/>
      <c r="AJ65" s="186"/>
      <c r="AK65" s="186"/>
      <c r="AL65" s="186"/>
      <c r="AM65" s="186"/>
      <c r="AN65" s="186"/>
      <c r="AO65" s="186"/>
      <c r="AP65" s="186"/>
      <c r="AQ65" s="186"/>
      <c r="AR65" s="186"/>
      <c r="AS65" s="186"/>
      <c r="AT65" s="186"/>
      <c r="AU65" s="187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4"/>
      <c r="BI65" s="34"/>
      <c r="BJ65" s="34"/>
      <c r="BK65" s="30"/>
    </row>
    <row r="66" spans="1:63" s="31" customFormat="1" ht="15" customHeight="1" x14ac:dyDescent="0.25">
      <c r="A66" s="26"/>
      <c r="B66" s="33"/>
      <c r="C66" s="185">
        <f>C65+1</f>
        <v>4</v>
      </c>
      <c r="D66" s="187"/>
      <c r="E66" s="185" t="s">
        <v>62</v>
      </c>
      <c r="F66" s="186"/>
      <c r="G66" s="186"/>
      <c r="H66" s="186"/>
      <c r="I66" s="186"/>
      <c r="J66" s="186"/>
      <c r="K66" s="186"/>
      <c r="L66" s="186"/>
      <c r="M66" s="186"/>
      <c r="N66" s="187"/>
      <c r="O66" s="185" t="s">
        <v>47</v>
      </c>
      <c r="P66" s="186"/>
      <c r="Q66" s="186"/>
      <c r="R66" s="187"/>
      <c r="S66" s="188" t="s">
        <v>20</v>
      </c>
      <c r="T66" s="189"/>
      <c r="U66" s="189"/>
      <c r="V66" s="189"/>
      <c r="W66" s="189"/>
      <c r="X66" s="189"/>
      <c r="Y66" s="189"/>
      <c r="Z66" s="189"/>
      <c r="AA66" s="189"/>
      <c r="AB66" s="190"/>
      <c r="AC66" s="185" t="s">
        <v>63</v>
      </c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7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4"/>
      <c r="BI66" s="34"/>
      <c r="BJ66" s="34"/>
      <c r="BK66" s="30"/>
    </row>
    <row r="67" spans="1:63" s="31" customFormat="1" ht="15" customHeight="1" x14ac:dyDescent="0.25">
      <c r="A67" s="26"/>
      <c r="B67" s="33"/>
      <c r="C67" s="185">
        <f>C66+1</f>
        <v>5</v>
      </c>
      <c r="D67" s="187"/>
      <c r="E67" s="185" t="s">
        <v>64</v>
      </c>
      <c r="F67" s="186"/>
      <c r="G67" s="186"/>
      <c r="H67" s="186"/>
      <c r="I67" s="186"/>
      <c r="J67" s="186"/>
      <c r="K67" s="186"/>
      <c r="L67" s="186"/>
      <c r="M67" s="186"/>
      <c r="N67" s="187"/>
      <c r="O67" s="185" t="s">
        <v>38</v>
      </c>
      <c r="P67" s="186"/>
      <c r="Q67" s="186"/>
      <c r="R67" s="187"/>
      <c r="S67" s="188" t="s">
        <v>20</v>
      </c>
      <c r="T67" s="189"/>
      <c r="U67" s="189"/>
      <c r="V67" s="189"/>
      <c r="W67" s="189"/>
      <c r="X67" s="189"/>
      <c r="Y67" s="189"/>
      <c r="Z67" s="189"/>
      <c r="AA67" s="189"/>
      <c r="AB67" s="190"/>
      <c r="AC67" s="185" t="s">
        <v>65</v>
      </c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7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4"/>
      <c r="BI67" s="34"/>
      <c r="BJ67" s="34"/>
      <c r="BK67" s="30"/>
    </row>
    <row r="68" spans="1:63" s="31" customFormat="1" ht="15" customHeight="1" x14ac:dyDescent="0.25">
      <c r="A68" s="26"/>
      <c r="B68" s="33"/>
      <c r="C68" s="185">
        <f t="shared" ref="C68:C69" si="0">C67+1</f>
        <v>6</v>
      </c>
      <c r="D68" s="187"/>
      <c r="E68" s="185" t="s">
        <v>127</v>
      </c>
      <c r="F68" s="186"/>
      <c r="G68" s="186"/>
      <c r="H68" s="186"/>
      <c r="I68" s="186"/>
      <c r="J68" s="186"/>
      <c r="K68" s="186"/>
      <c r="L68" s="186"/>
      <c r="M68" s="186"/>
      <c r="N68" s="187"/>
      <c r="O68" s="185" t="s">
        <v>19</v>
      </c>
      <c r="P68" s="186"/>
      <c r="Q68" s="186"/>
      <c r="R68" s="187"/>
      <c r="S68" s="188" t="s">
        <v>66</v>
      </c>
      <c r="T68" s="189"/>
      <c r="U68" s="189"/>
      <c r="V68" s="189"/>
      <c r="W68" s="189"/>
      <c r="X68" s="189"/>
      <c r="Y68" s="189"/>
      <c r="Z68" s="189"/>
      <c r="AA68" s="189"/>
      <c r="AB68" s="190"/>
      <c r="AC68" s="185" t="s">
        <v>128</v>
      </c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7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4"/>
      <c r="BI68" s="34"/>
      <c r="BJ68" s="34"/>
      <c r="BK68" s="30"/>
    </row>
    <row r="69" spans="1:63" s="31" customFormat="1" ht="15" customHeight="1" x14ac:dyDescent="0.25">
      <c r="A69" s="26"/>
      <c r="B69" s="33"/>
      <c r="C69" s="185">
        <f t="shared" si="0"/>
        <v>7</v>
      </c>
      <c r="D69" s="187"/>
      <c r="E69" s="185" t="s">
        <v>129</v>
      </c>
      <c r="F69" s="186"/>
      <c r="G69" s="186"/>
      <c r="H69" s="186"/>
      <c r="I69" s="186"/>
      <c r="J69" s="186"/>
      <c r="K69" s="186"/>
      <c r="L69" s="186"/>
      <c r="M69" s="186"/>
      <c r="N69" s="187"/>
      <c r="O69" s="185" t="s">
        <v>19</v>
      </c>
      <c r="P69" s="186"/>
      <c r="Q69" s="186"/>
      <c r="R69" s="187"/>
      <c r="S69" s="188" t="s">
        <v>67</v>
      </c>
      <c r="T69" s="189"/>
      <c r="U69" s="189"/>
      <c r="V69" s="189"/>
      <c r="W69" s="189"/>
      <c r="X69" s="189"/>
      <c r="Y69" s="189"/>
      <c r="Z69" s="189"/>
      <c r="AA69" s="189"/>
      <c r="AB69" s="190"/>
      <c r="AC69" s="185" t="s">
        <v>53</v>
      </c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7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4"/>
      <c r="BI69" s="34"/>
      <c r="BJ69" s="34"/>
      <c r="BK69" s="30"/>
    </row>
    <row r="70" spans="1:63" s="31" customFormat="1" ht="15" customHeight="1" x14ac:dyDescent="0.25">
      <c r="A70" s="26"/>
      <c r="B70" s="33"/>
      <c r="C70" s="185">
        <v>6</v>
      </c>
      <c r="D70" s="187"/>
      <c r="E70" s="185" t="s">
        <v>130</v>
      </c>
      <c r="F70" s="186"/>
      <c r="G70" s="186"/>
      <c r="H70" s="186"/>
      <c r="I70" s="186"/>
      <c r="J70" s="186"/>
      <c r="K70" s="186"/>
      <c r="L70" s="186"/>
      <c r="M70" s="186"/>
      <c r="N70" s="187"/>
      <c r="O70" s="185" t="s">
        <v>19</v>
      </c>
      <c r="P70" s="186"/>
      <c r="Q70" s="186"/>
      <c r="R70" s="187"/>
      <c r="S70" s="188" t="s">
        <v>76</v>
      </c>
      <c r="T70" s="189"/>
      <c r="U70" s="189"/>
      <c r="V70" s="189"/>
      <c r="W70" s="189"/>
      <c r="X70" s="189"/>
      <c r="Y70" s="189"/>
      <c r="Z70" s="189"/>
      <c r="AA70" s="189"/>
      <c r="AB70" s="190"/>
      <c r="AC70" s="185" t="s">
        <v>73</v>
      </c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7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4"/>
      <c r="BI70" s="34"/>
      <c r="BJ70" s="34"/>
      <c r="BK70" s="30"/>
    </row>
    <row r="71" spans="1:63" s="31" customFormat="1" ht="15" customHeight="1" x14ac:dyDescent="0.25">
      <c r="A71" s="26"/>
      <c r="B71" s="33"/>
      <c r="C71" s="185">
        <v>7</v>
      </c>
      <c r="D71" s="187"/>
      <c r="E71" s="185" t="s">
        <v>131</v>
      </c>
      <c r="F71" s="186"/>
      <c r="G71" s="186"/>
      <c r="H71" s="186"/>
      <c r="I71" s="186"/>
      <c r="J71" s="186"/>
      <c r="K71" s="186"/>
      <c r="L71" s="186"/>
      <c r="M71" s="186"/>
      <c r="N71" s="187"/>
      <c r="O71" s="185" t="s">
        <v>19</v>
      </c>
      <c r="P71" s="186"/>
      <c r="Q71" s="186"/>
      <c r="R71" s="187"/>
      <c r="S71" s="188" t="s">
        <v>70</v>
      </c>
      <c r="T71" s="189"/>
      <c r="U71" s="189"/>
      <c r="V71" s="189"/>
      <c r="W71" s="189"/>
      <c r="X71" s="189"/>
      <c r="Y71" s="189"/>
      <c r="Z71" s="189"/>
      <c r="AA71" s="189"/>
      <c r="AB71" s="190"/>
      <c r="AC71" s="185" t="s">
        <v>20</v>
      </c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7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4"/>
      <c r="BI71" s="34"/>
      <c r="BJ71" s="34"/>
      <c r="BK71" s="30"/>
    </row>
    <row r="72" spans="1:63" s="31" customFormat="1" ht="15" customHeight="1" x14ac:dyDescent="0.25">
      <c r="A72" s="26"/>
      <c r="B72" s="33"/>
      <c r="C72" s="185">
        <v>8</v>
      </c>
      <c r="D72" s="187"/>
      <c r="E72" s="185" t="s">
        <v>132</v>
      </c>
      <c r="F72" s="186"/>
      <c r="G72" s="186"/>
      <c r="H72" s="186"/>
      <c r="I72" s="186"/>
      <c r="J72" s="186"/>
      <c r="K72" s="186"/>
      <c r="L72" s="186"/>
      <c r="M72" s="186"/>
      <c r="N72" s="187"/>
      <c r="O72" s="185" t="s">
        <v>19</v>
      </c>
      <c r="P72" s="186"/>
      <c r="Q72" s="186"/>
      <c r="R72" s="187"/>
      <c r="S72" s="188" t="s">
        <v>71</v>
      </c>
      <c r="T72" s="189"/>
      <c r="U72" s="189"/>
      <c r="V72" s="189"/>
      <c r="W72" s="189"/>
      <c r="X72" s="189"/>
      <c r="Y72" s="189"/>
      <c r="Z72" s="189"/>
      <c r="AA72" s="189"/>
      <c r="AB72" s="190"/>
      <c r="AC72" s="185" t="s">
        <v>73</v>
      </c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7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4"/>
      <c r="BI72" s="34"/>
      <c r="BJ72" s="34"/>
      <c r="BK72" s="30"/>
    </row>
    <row r="73" spans="1:63" s="31" customFormat="1" ht="15" customHeight="1" x14ac:dyDescent="0.25">
      <c r="A73" s="26"/>
      <c r="B73" s="33"/>
      <c r="C73" s="185">
        <v>9</v>
      </c>
      <c r="D73" s="187"/>
      <c r="E73" s="185" t="s">
        <v>133</v>
      </c>
      <c r="F73" s="186"/>
      <c r="G73" s="186"/>
      <c r="H73" s="186"/>
      <c r="I73" s="186"/>
      <c r="J73" s="186"/>
      <c r="K73" s="186"/>
      <c r="L73" s="186"/>
      <c r="M73" s="186"/>
      <c r="N73" s="187"/>
      <c r="O73" s="185" t="s">
        <v>19</v>
      </c>
      <c r="P73" s="186"/>
      <c r="Q73" s="186"/>
      <c r="R73" s="187"/>
      <c r="S73" s="188" t="s">
        <v>77</v>
      </c>
      <c r="T73" s="189"/>
      <c r="U73" s="189"/>
      <c r="V73" s="189"/>
      <c r="W73" s="189"/>
      <c r="X73" s="189"/>
      <c r="Y73" s="189"/>
      <c r="Z73" s="189"/>
      <c r="AA73" s="189"/>
      <c r="AB73" s="190"/>
      <c r="AC73" s="185" t="s">
        <v>78</v>
      </c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7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4"/>
      <c r="BI73" s="34"/>
      <c r="BJ73" s="34"/>
      <c r="BK73" s="30"/>
    </row>
    <row r="74" spans="1:63" s="31" customFormat="1" ht="15" customHeight="1" x14ac:dyDescent="0.25">
      <c r="A74" s="26"/>
      <c r="B74" s="33"/>
      <c r="C74" s="185">
        <v>10</v>
      </c>
      <c r="D74" s="187"/>
      <c r="E74" s="185" t="s">
        <v>134</v>
      </c>
      <c r="F74" s="186"/>
      <c r="G74" s="186"/>
      <c r="H74" s="186"/>
      <c r="I74" s="186"/>
      <c r="J74" s="186"/>
      <c r="K74" s="186"/>
      <c r="L74" s="186"/>
      <c r="M74" s="186"/>
      <c r="N74" s="187"/>
      <c r="O74" s="185" t="s">
        <v>19</v>
      </c>
      <c r="P74" s="186"/>
      <c r="Q74" s="186"/>
      <c r="R74" s="187"/>
      <c r="S74" s="188" t="s">
        <v>79</v>
      </c>
      <c r="T74" s="189"/>
      <c r="U74" s="189"/>
      <c r="V74" s="189"/>
      <c r="W74" s="189"/>
      <c r="X74" s="189"/>
      <c r="Y74" s="189"/>
      <c r="Z74" s="189"/>
      <c r="AA74" s="189"/>
      <c r="AB74" s="190"/>
      <c r="AC74" s="185" t="s">
        <v>80</v>
      </c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7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4"/>
      <c r="BI74" s="34"/>
      <c r="BJ74" s="34"/>
      <c r="BK74" s="30"/>
    </row>
    <row r="75" spans="1:63" s="31" customFormat="1" ht="15" customHeight="1" x14ac:dyDescent="0.25">
      <c r="A75" s="26"/>
      <c r="B75" s="33"/>
      <c r="C75" s="185">
        <v>11</v>
      </c>
      <c r="D75" s="187"/>
      <c r="E75" s="185" t="s">
        <v>135</v>
      </c>
      <c r="F75" s="186"/>
      <c r="G75" s="186"/>
      <c r="H75" s="186"/>
      <c r="I75" s="186"/>
      <c r="J75" s="186"/>
      <c r="K75" s="186"/>
      <c r="L75" s="186"/>
      <c r="M75" s="186"/>
      <c r="N75" s="187"/>
      <c r="O75" s="185" t="s">
        <v>19</v>
      </c>
      <c r="P75" s="186"/>
      <c r="Q75" s="186"/>
      <c r="R75" s="187"/>
      <c r="S75" s="188" t="s">
        <v>72</v>
      </c>
      <c r="T75" s="189"/>
      <c r="U75" s="189"/>
      <c r="V75" s="189"/>
      <c r="W75" s="189"/>
      <c r="X75" s="189"/>
      <c r="Y75" s="189"/>
      <c r="Z75" s="189"/>
      <c r="AA75" s="189"/>
      <c r="AB75" s="190"/>
      <c r="AC75" s="185" t="s">
        <v>74</v>
      </c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7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4"/>
      <c r="BI75" s="34"/>
      <c r="BJ75" s="34"/>
      <c r="BK75" s="30"/>
    </row>
    <row r="76" spans="1:63" s="31" customFormat="1" x14ac:dyDescent="0.25">
      <c r="A76" s="26"/>
      <c r="B76" s="33"/>
      <c r="C76" s="185">
        <v>12</v>
      </c>
      <c r="D76" s="187"/>
      <c r="E76" s="185" t="s">
        <v>136</v>
      </c>
      <c r="F76" s="186"/>
      <c r="G76" s="186"/>
      <c r="H76" s="186"/>
      <c r="I76" s="186"/>
      <c r="J76" s="186"/>
      <c r="K76" s="186"/>
      <c r="L76" s="186"/>
      <c r="M76" s="186"/>
      <c r="N76" s="187"/>
      <c r="O76" s="185" t="s">
        <v>19</v>
      </c>
      <c r="P76" s="186"/>
      <c r="Q76" s="186"/>
      <c r="R76" s="187"/>
      <c r="S76" s="188" t="s">
        <v>79</v>
      </c>
      <c r="T76" s="189"/>
      <c r="U76" s="189"/>
      <c r="V76" s="189"/>
      <c r="W76" s="189"/>
      <c r="X76" s="189"/>
      <c r="Y76" s="189"/>
      <c r="Z76" s="189"/>
      <c r="AA76" s="189"/>
      <c r="AB76" s="190"/>
      <c r="AC76" s="185" t="s">
        <v>81</v>
      </c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7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4"/>
      <c r="BI76" s="34"/>
      <c r="BJ76" s="34"/>
      <c r="BK76" s="30"/>
    </row>
    <row r="77" spans="1:63" s="31" customFormat="1" ht="15" customHeight="1" x14ac:dyDescent="0.25">
      <c r="A77" s="26"/>
      <c r="B77" s="33"/>
      <c r="C77" s="33"/>
      <c r="D77" s="33"/>
      <c r="E77" s="71"/>
      <c r="F77" s="71"/>
      <c r="G77" s="71"/>
      <c r="H77" s="7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71"/>
      <c r="T77" s="71"/>
      <c r="U77" s="71"/>
      <c r="V77" s="71"/>
      <c r="W77" s="71"/>
      <c r="X77" s="71"/>
      <c r="Y77" s="71"/>
      <c r="Z77" s="71"/>
      <c r="AA77" s="71"/>
      <c r="AB77" s="33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4"/>
      <c r="BI77" s="34"/>
      <c r="BJ77" s="34"/>
      <c r="BK77" s="30"/>
    </row>
    <row r="78" spans="1:63" s="31" customFormat="1" ht="15" customHeight="1" x14ac:dyDescent="0.25">
      <c r="A78" s="26"/>
      <c r="B78" s="33"/>
      <c r="C78" s="36" t="s">
        <v>118</v>
      </c>
      <c r="D78" s="33"/>
      <c r="E78" s="71"/>
      <c r="F78" s="33"/>
      <c r="G78" s="7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4"/>
      <c r="BI78" s="34"/>
      <c r="BJ78" s="34"/>
      <c r="BK78" s="30"/>
    </row>
    <row r="79" spans="1:63" s="31" customFormat="1" ht="15" customHeight="1" x14ac:dyDescent="0.25">
      <c r="A79" s="26"/>
      <c r="B79" s="33"/>
      <c r="C79" s="36"/>
      <c r="D79" s="71"/>
      <c r="E79" s="71"/>
      <c r="F79" s="33"/>
      <c r="G79" s="7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4"/>
      <c r="BI79" s="34"/>
      <c r="BJ79" s="34"/>
      <c r="BK79" s="30"/>
    </row>
    <row r="80" spans="1:63" s="31" customFormat="1" ht="15" customHeight="1" x14ac:dyDescent="0.25">
      <c r="A80" s="26"/>
      <c r="B80" s="33"/>
      <c r="C80" s="72" t="s">
        <v>39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37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4"/>
      <c r="BI80" s="34"/>
      <c r="BJ80" s="34"/>
      <c r="BK80" s="30"/>
    </row>
    <row r="81" spans="1:63" s="31" customFormat="1" ht="15" customHeight="1" x14ac:dyDescent="0.25">
      <c r="A81" s="26"/>
      <c r="B81" s="33"/>
      <c r="C81" s="74" t="s">
        <v>137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8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4"/>
      <c r="BI81" s="34"/>
      <c r="BJ81" s="34"/>
      <c r="BK81" s="30"/>
    </row>
    <row r="82" spans="1:63" s="31" customFormat="1" ht="15" customHeight="1" x14ac:dyDescent="0.25">
      <c r="A82" s="26"/>
      <c r="B82" s="33"/>
      <c r="C82" s="74" t="s">
        <v>138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8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4"/>
      <c r="BI82" s="34"/>
      <c r="BJ82" s="34"/>
      <c r="BK82" s="30"/>
    </row>
    <row r="83" spans="1:63" s="31" customFormat="1" ht="15" customHeight="1" x14ac:dyDescent="0.25">
      <c r="A83" s="26"/>
      <c r="B83" s="33"/>
      <c r="C83" s="74" t="s">
        <v>139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8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4"/>
      <c r="BI83" s="34"/>
      <c r="BJ83" s="34"/>
      <c r="BK83" s="30"/>
    </row>
    <row r="84" spans="1:63" s="31" customFormat="1" ht="15" customHeight="1" x14ac:dyDescent="0.25">
      <c r="A84" s="26"/>
      <c r="B84" s="33"/>
      <c r="C84" s="74" t="s">
        <v>140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8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4"/>
      <c r="BI84" s="34"/>
      <c r="BJ84" s="34"/>
      <c r="BK84" s="30"/>
    </row>
    <row r="85" spans="1:63" s="31" customFormat="1" ht="15" customHeight="1" x14ac:dyDescent="0.25">
      <c r="A85" s="26"/>
      <c r="B85" s="33"/>
      <c r="C85" s="74" t="s">
        <v>141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8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4"/>
      <c r="BI85" s="34"/>
      <c r="BJ85" s="34"/>
      <c r="BK85" s="30"/>
    </row>
    <row r="86" spans="1:63" s="31" customFormat="1" ht="15" customHeight="1" x14ac:dyDescent="0.25">
      <c r="A86" s="26"/>
      <c r="B86" s="33"/>
      <c r="C86" s="74" t="s">
        <v>43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8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4"/>
      <c r="BI86" s="34"/>
      <c r="BJ86" s="34"/>
      <c r="BK86" s="30"/>
    </row>
    <row r="87" spans="1:63" s="31" customFormat="1" ht="15" customHeight="1" x14ac:dyDescent="0.25">
      <c r="A87" s="26"/>
      <c r="B87" s="33"/>
      <c r="C87" s="74" t="s">
        <v>142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8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4"/>
      <c r="BI87" s="34"/>
      <c r="BJ87" s="34"/>
      <c r="BK87" s="30"/>
    </row>
    <row r="88" spans="1:63" s="31" customFormat="1" ht="15" customHeight="1" x14ac:dyDescent="0.25">
      <c r="A88" s="26"/>
      <c r="B88" s="33"/>
      <c r="C88" s="74" t="s">
        <v>143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8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4"/>
      <c r="BI88" s="34"/>
      <c r="BJ88" s="34"/>
      <c r="BK88" s="30"/>
    </row>
    <row r="89" spans="1:63" s="31" customFormat="1" ht="15" customHeight="1" x14ac:dyDescent="0.25">
      <c r="A89" s="26"/>
      <c r="B89" s="33"/>
      <c r="C89" s="74" t="s">
        <v>144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8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4"/>
      <c r="BI89" s="34"/>
      <c r="BJ89" s="34"/>
      <c r="BK89" s="30"/>
    </row>
    <row r="90" spans="1:63" s="31" customFormat="1" ht="15" customHeight="1" x14ac:dyDescent="0.25">
      <c r="A90" s="26"/>
      <c r="B90" s="33"/>
      <c r="C90" s="74" t="s">
        <v>145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8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4"/>
      <c r="BI90" s="34"/>
      <c r="BJ90" s="34"/>
      <c r="BK90" s="30"/>
    </row>
    <row r="91" spans="1:63" s="31" customFormat="1" ht="15" customHeight="1" x14ac:dyDescent="0.25">
      <c r="A91" s="26"/>
      <c r="B91" s="33"/>
      <c r="C91" s="74" t="s">
        <v>146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8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4"/>
      <c r="BI91" s="34"/>
      <c r="BJ91" s="34"/>
      <c r="BK91" s="30"/>
    </row>
    <row r="92" spans="1:63" s="31" customFormat="1" ht="15" customHeight="1" x14ac:dyDescent="0.25">
      <c r="A92" s="26"/>
      <c r="B92" s="33"/>
      <c r="C92" s="74" t="s">
        <v>147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8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4"/>
      <c r="BI92" s="34"/>
      <c r="BJ92" s="34"/>
      <c r="BK92" s="30"/>
    </row>
    <row r="93" spans="1:63" s="31" customFormat="1" ht="15" customHeight="1" x14ac:dyDescent="0.25">
      <c r="A93" s="26"/>
      <c r="B93" s="33"/>
      <c r="C93" s="74" t="s">
        <v>148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8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4"/>
      <c r="BI93" s="34"/>
      <c r="BJ93" s="34"/>
      <c r="BK93" s="30"/>
    </row>
    <row r="94" spans="1:63" s="31" customFormat="1" ht="15" customHeight="1" x14ac:dyDescent="0.25">
      <c r="A94" s="26"/>
      <c r="B94" s="33"/>
      <c r="C94" s="74" t="s">
        <v>149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8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4"/>
      <c r="BI94" s="34"/>
      <c r="BJ94" s="34"/>
      <c r="BK94" s="30"/>
    </row>
    <row r="95" spans="1:63" s="31" customFormat="1" ht="15" customHeight="1" x14ac:dyDescent="0.25">
      <c r="A95" s="26"/>
      <c r="B95" s="33"/>
      <c r="C95" s="74" t="s">
        <v>150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8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4"/>
      <c r="BI95" s="34"/>
      <c r="BJ95" s="34"/>
      <c r="BK95" s="30"/>
    </row>
    <row r="96" spans="1:63" s="31" customFormat="1" ht="15" customHeight="1" x14ac:dyDescent="0.25">
      <c r="A96" s="26"/>
      <c r="B96" s="33"/>
      <c r="C96" s="74" t="s">
        <v>151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8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4"/>
      <c r="BI96" s="34"/>
      <c r="BJ96" s="34"/>
      <c r="BK96" s="30"/>
    </row>
    <row r="97" spans="1:63" s="31" customFormat="1" ht="15" customHeight="1" x14ac:dyDescent="0.25">
      <c r="A97" s="26"/>
      <c r="B97" s="33"/>
      <c r="C97" s="74" t="s">
        <v>44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8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4"/>
      <c r="BI97" s="34"/>
      <c r="BJ97" s="34"/>
      <c r="BK97" s="30"/>
    </row>
    <row r="98" spans="1:63" s="31" customFormat="1" ht="15" customHeight="1" x14ac:dyDescent="0.25">
      <c r="A98" s="26"/>
      <c r="B98" s="33"/>
      <c r="C98" s="74" t="s">
        <v>45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8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4"/>
      <c r="BI98" s="34"/>
      <c r="BJ98" s="34"/>
      <c r="BK98" s="30"/>
    </row>
    <row r="99" spans="1:63" s="31" customFormat="1" ht="15" customHeight="1" x14ac:dyDescent="0.25">
      <c r="A99" s="26"/>
      <c r="B99" s="33"/>
      <c r="C99" s="73" t="s">
        <v>40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39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4"/>
      <c r="BI99" s="34"/>
      <c r="BJ99" s="34"/>
      <c r="BK99" s="30"/>
    </row>
    <row r="100" spans="1:63" s="31" customFormat="1" ht="15" customHeight="1" x14ac:dyDescent="0.25">
      <c r="A100" s="26"/>
      <c r="B100" s="33"/>
      <c r="C100" s="33"/>
      <c r="D100" s="71"/>
      <c r="E100" s="71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4"/>
      <c r="BI100" s="34"/>
      <c r="BJ100" s="34"/>
      <c r="BK100" s="30"/>
    </row>
    <row r="101" spans="1:63" s="31" customFormat="1" ht="15" customHeight="1" x14ac:dyDescent="0.25">
      <c r="A101" s="26"/>
      <c r="B101" s="33"/>
      <c r="C101" s="32" t="s">
        <v>152</v>
      </c>
      <c r="D101" s="33"/>
      <c r="E101" s="71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4"/>
      <c r="BI101" s="34"/>
      <c r="BJ101" s="34"/>
      <c r="BK101" s="30"/>
    </row>
    <row r="102" spans="1:63" s="31" customFormat="1" ht="15" customHeight="1" x14ac:dyDescent="0.25">
      <c r="A102" s="26"/>
      <c r="B102" s="33"/>
      <c r="C102" s="32"/>
      <c r="D102" s="33"/>
      <c r="E102" s="71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4"/>
      <c r="BI102" s="34"/>
      <c r="BJ102" s="34"/>
      <c r="BK102" s="30"/>
    </row>
    <row r="103" spans="1:63" s="31" customFormat="1" ht="15" customHeight="1" x14ac:dyDescent="0.25">
      <c r="A103" s="26"/>
      <c r="B103" s="33"/>
      <c r="C103" s="32"/>
      <c r="D103" s="33" t="s">
        <v>49</v>
      </c>
      <c r="E103" s="71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4"/>
      <c r="BI103" s="34"/>
      <c r="BJ103" s="34"/>
      <c r="BK103" s="30"/>
    </row>
    <row r="104" spans="1:63" s="53" customFormat="1" ht="15" customHeight="1" x14ac:dyDescent="0.25">
      <c r="A104" s="48"/>
      <c r="B104" s="49"/>
      <c r="C104" s="49"/>
      <c r="D104" s="49"/>
      <c r="E104" s="50"/>
      <c r="F104" s="50"/>
      <c r="G104" s="50"/>
      <c r="H104" s="50"/>
      <c r="I104" s="50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51"/>
      <c r="BI104" s="51"/>
      <c r="BJ104" s="51"/>
      <c r="BK104" s="52"/>
    </row>
  </sheetData>
  <mergeCells count="195">
    <mergeCell ref="C76:D76"/>
    <mergeCell ref="E76:N76"/>
    <mergeCell ref="O76:R76"/>
    <mergeCell ref="S76:AB76"/>
    <mergeCell ref="AC76:AU76"/>
    <mergeCell ref="C74:D74"/>
    <mergeCell ref="E74:N74"/>
    <mergeCell ref="O74:R74"/>
    <mergeCell ref="S74:AB74"/>
    <mergeCell ref="AC74:AU74"/>
    <mergeCell ref="C41:D41"/>
    <mergeCell ref="E41:K41"/>
    <mergeCell ref="L41:N41"/>
    <mergeCell ref="O41:R41"/>
    <mergeCell ref="S41:Y41"/>
    <mergeCell ref="Z41:AP41"/>
    <mergeCell ref="AQ41:BJ41"/>
    <mergeCell ref="C46:BJ46"/>
    <mergeCell ref="C66:D66"/>
    <mergeCell ref="E66:N66"/>
    <mergeCell ref="O66:R66"/>
    <mergeCell ref="S66:AB66"/>
    <mergeCell ref="AC66:AU66"/>
    <mergeCell ref="C64:D64"/>
    <mergeCell ref="E64:N64"/>
    <mergeCell ref="O64:R64"/>
    <mergeCell ref="S64:AB64"/>
    <mergeCell ref="AC64:AU64"/>
    <mergeCell ref="C65:D65"/>
    <mergeCell ref="E65:N65"/>
    <mergeCell ref="O65:R65"/>
    <mergeCell ref="S65:AB65"/>
    <mergeCell ref="AC65:AU65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A4:G4"/>
    <mergeCell ref="H4:T4"/>
    <mergeCell ref="U4:Y4"/>
    <mergeCell ref="Z4:AO4"/>
    <mergeCell ref="AP4:BK4"/>
    <mergeCell ref="C62:D62"/>
    <mergeCell ref="C63:D63"/>
    <mergeCell ref="C67:D6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E20:K20"/>
    <mergeCell ref="E36:K36"/>
    <mergeCell ref="C23:D23"/>
    <mergeCell ref="Z31:AP31"/>
    <mergeCell ref="E45:K45"/>
    <mergeCell ref="S45:Y45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36:D36"/>
    <mergeCell ref="AQ21:BJ22"/>
    <mergeCell ref="O21:R22"/>
    <mergeCell ref="L21:N22"/>
    <mergeCell ref="E21:K22"/>
    <mergeCell ref="C21:D22"/>
    <mergeCell ref="O32:R32"/>
    <mergeCell ref="S32:Y32"/>
    <mergeCell ref="C71:D71"/>
    <mergeCell ref="O62:R62"/>
    <mergeCell ref="O63:R63"/>
    <mergeCell ref="O67:R67"/>
    <mergeCell ref="O68:R68"/>
    <mergeCell ref="S62:AB62"/>
    <mergeCell ref="S63:AB63"/>
    <mergeCell ref="Z32:AP32"/>
    <mergeCell ref="AQ32:BJ32"/>
    <mergeCell ref="E62:N62"/>
    <mergeCell ref="E63:N63"/>
    <mergeCell ref="E67:N67"/>
    <mergeCell ref="E68:N68"/>
    <mergeCell ref="C68:D68"/>
    <mergeCell ref="AQ45:BJ45"/>
    <mergeCell ref="C45:D45"/>
    <mergeCell ref="C72:D72"/>
    <mergeCell ref="C75:D75"/>
    <mergeCell ref="C73:D73"/>
    <mergeCell ref="AC72:AU72"/>
    <mergeCell ref="AC75:AU75"/>
    <mergeCell ref="AC73:AU73"/>
    <mergeCell ref="AC69:AU69"/>
    <mergeCell ref="AC71:AU71"/>
    <mergeCell ref="S73:AB73"/>
    <mergeCell ref="O73:R73"/>
    <mergeCell ref="S69:AB69"/>
    <mergeCell ref="S71:AB71"/>
    <mergeCell ref="C70:D70"/>
    <mergeCell ref="E70:N70"/>
    <mergeCell ref="O70:R70"/>
    <mergeCell ref="C69:D69"/>
    <mergeCell ref="S70:AB70"/>
    <mergeCell ref="AC70:AU70"/>
    <mergeCell ref="S72:AB72"/>
    <mergeCell ref="S75:AB75"/>
    <mergeCell ref="O69:R69"/>
    <mergeCell ref="O71:R71"/>
    <mergeCell ref="O72:R72"/>
    <mergeCell ref="O75:R75"/>
    <mergeCell ref="E69:N69"/>
    <mergeCell ref="E71:N71"/>
    <mergeCell ref="E72:N72"/>
    <mergeCell ref="E75:N75"/>
    <mergeCell ref="E73:N73"/>
    <mergeCell ref="S67:AB67"/>
    <mergeCell ref="S68:AB68"/>
    <mergeCell ref="L45:N45"/>
    <mergeCell ref="O45:R45"/>
    <mergeCell ref="Z45:AP45"/>
    <mergeCell ref="AC62:AU62"/>
    <mergeCell ref="AC63:AU63"/>
    <mergeCell ref="AC67:AU67"/>
    <mergeCell ref="AC68:AU68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処理フロー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7" s="54"/>
      <c r="C7" s="34"/>
      <c r="D7" s="34"/>
      <c r="E7" s="34"/>
      <c r="F7" s="34"/>
      <c r="G7" s="34"/>
      <c r="AI7" s="75"/>
      <c r="BJ7" s="75"/>
      <c r="BK7" s="68"/>
    </row>
    <row r="8" spans="1:63" s="69" customFormat="1" ht="15" customHeight="1" x14ac:dyDescent="0.25">
      <c r="B8" s="54"/>
      <c r="C8" s="34"/>
      <c r="D8" s="34"/>
      <c r="E8" s="34"/>
      <c r="F8" s="34"/>
      <c r="G8" s="34"/>
      <c r="AI8" s="75"/>
      <c r="BJ8" s="75"/>
      <c r="BK8" s="68"/>
    </row>
    <row r="9" spans="1:63" s="69" customFormat="1" ht="15" customHeight="1" x14ac:dyDescent="0.25">
      <c r="B9" s="54"/>
      <c r="C9" s="34"/>
      <c r="D9" s="34"/>
      <c r="E9" s="34"/>
      <c r="F9" s="34"/>
      <c r="G9" s="34"/>
      <c r="AI9" s="75"/>
      <c r="BJ9" s="75"/>
      <c r="BK9" s="68"/>
    </row>
    <row r="10" spans="1:63" s="69" customFormat="1" ht="15" customHeight="1" x14ac:dyDescent="0.25">
      <c r="B10" s="54"/>
      <c r="C10" s="34"/>
      <c r="D10" s="34"/>
      <c r="E10" s="34"/>
      <c r="F10" s="34"/>
      <c r="G10" s="34"/>
      <c r="AI10" s="75"/>
      <c r="BJ10" s="75"/>
      <c r="BK10" s="68"/>
    </row>
    <row r="11" spans="1:63" s="69" customFormat="1" ht="15" customHeight="1" x14ac:dyDescent="0.25">
      <c r="B11" s="76"/>
      <c r="AI11" s="75"/>
      <c r="BJ11" s="75"/>
      <c r="BK11" s="68"/>
    </row>
    <row r="12" spans="1:63" s="69" customFormat="1" ht="15" customHeight="1" x14ac:dyDescent="0.25">
      <c r="B12" s="76"/>
      <c r="AI12" s="75"/>
      <c r="BJ12" s="75"/>
      <c r="BK12" s="68"/>
    </row>
    <row r="13" spans="1:63" s="69" customFormat="1" ht="15" customHeight="1" x14ac:dyDescent="0.25">
      <c r="B13" s="76"/>
      <c r="AI13" s="75"/>
      <c r="BJ13" s="75"/>
      <c r="BK13" s="68"/>
    </row>
    <row r="14" spans="1:63" s="69" customFormat="1" ht="15" customHeight="1" x14ac:dyDescent="0.25">
      <c r="B14" s="76"/>
      <c r="AI14" s="75"/>
      <c r="BJ14" s="75"/>
      <c r="BK14" s="68"/>
    </row>
    <row r="15" spans="1:63" s="69" customFormat="1" ht="15" customHeight="1" x14ac:dyDescent="0.25">
      <c r="B15" s="76"/>
      <c r="AI15" s="75"/>
      <c r="BJ15" s="75"/>
      <c r="BK15" s="68"/>
    </row>
    <row r="16" spans="1:63" s="69" customFormat="1" ht="15" customHeight="1" x14ac:dyDescent="0.25">
      <c r="B16" s="76"/>
      <c r="AI16" s="75"/>
      <c r="BJ16" s="75"/>
      <c r="BK16" s="68"/>
    </row>
    <row r="17" spans="2:63" s="69" customFormat="1" ht="15" customHeight="1" x14ac:dyDescent="0.25">
      <c r="B17" s="76"/>
      <c r="AI17" s="75"/>
      <c r="BJ17" s="75"/>
      <c r="BK17" s="68"/>
    </row>
    <row r="18" spans="2:63" s="69" customFormat="1" ht="15" customHeight="1" x14ac:dyDescent="0.25">
      <c r="B18" s="76"/>
      <c r="AI18" s="75"/>
      <c r="BJ18" s="75"/>
      <c r="BK18" s="68"/>
    </row>
    <row r="19" spans="2:63" s="69" customFormat="1" ht="15" customHeight="1" x14ac:dyDescent="0.25">
      <c r="B19" s="76"/>
      <c r="AI19" s="75"/>
      <c r="BJ19" s="75"/>
      <c r="BK19" s="68"/>
    </row>
    <row r="20" spans="2:63" s="69" customFormat="1" ht="15" customHeight="1" x14ac:dyDescent="0.25">
      <c r="B20" s="76"/>
      <c r="AI20" s="75"/>
      <c r="BJ20" s="75"/>
      <c r="BK20" s="68"/>
    </row>
    <row r="21" spans="2:63" s="69" customFormat="1" ht="15" customHeight="1" x14ac:dyDescent="0.25">
      <c r="B21" s="76"/>
      <c r="AI21" s="75"/>
      <c r="BJ21" s="75"/>
      <c r="BK21" s="68"/>
    </row>
    <row r="22" spans="2:63" s="69" customFormat="1" ht="15" customHeight="1" x14ac:dyDescent="0.25">
      <c r="B22" s="76"/>
      <c r="AI22" s="75"/>
      <c r="BJ22" s="75"/>
      <c r="BK22" s="68"/>
    </row>
    <row r="23" spans="2:63" s="69" customFormat="1" ht="15" customHeight="1" x14ac:dyDescent="0.25">
      <c r="B23" s="76"/>
      <c r="AI23" s="75"/>
      <c r="BJ23" s="75"/>
      <c r="BK23" s="68"/>
    </row>
    <row r="24" spans="2:63" s="69" customFormat="1" ht="15" customHeight="1" x14ac:dyDescent="0.25">
      <c r="B24" s="76"/>
      <c r="AI24" s="75"/>
      <c r="BJ24" s="75"/>
      <c r="BK24" s="68"/>
    </row>
    <row r="25" spans="2:63" s="69" customFormat="1" ht="15" customHeight="1" x14ac:dyDescent="0.25">
      <c r="B25" s="76"/>
      <c r="AI25" s="75"/>
      <c r="BJ25" s="75"/>
      <c r="BK25" s="68"/>
    </row>
    <row r="26" spans="2:63" s="69" customFormat="1" ht="15" customHeight="1" x14ac:dyDescent="0.25">
      <c r="B26" s="76"/>
      <c r="AI26" s="75"/>
      <c r="BJ26" s="75"/>
      <c r="BK26" s="68"/>
    </row>
    <row r="27" spans="2:63" s="69" customFormat="1" ht="15" customHeight="1" x14ac:dyDescent="0.25">
      <c r="B27" s="76"/>
      <c r="AI27" s="75"/>
      <c r="BJ27" s="75"/>
      <c r="BK27" s="68"/>
    </row>
    <row r="28" spans="2:63" s="69" customFormat="1" ht="15" customHeight="1" x14ac:dyDescent="0.25">
      <c r="B28" s="76"/>
      <c r="AI28" s="75"/>
      <c r="BJ28" s="75"/>
      <c r="BK28" s="68"/>
    </row>
    <row r="29" spans="2:63" s="69" customFormat="1" ht="15" customHeight="1" x14ac:dyDescent="0.25">
      <c r="B29" s="76"/>
      <c r="AI29" s="75"/>
      <c r="BJ29" s="75"/>
      <c r="BK29" s="68"/>
    </row>
    <row r="30" spans="2:63" s="69" customFormat="1" ht="15" customHeight="1" x14ac:dyDescent="0.25">
      <c r="B30" s="76"/>
      <c r="AI30" s="75"/>
      <c r="BJ30" s="75"/>
      <c r="BK30" s="68"/>
    </row>
    <row r="31" spans="2:63" s="69" customFormat="1" ht="15" customHeight="1" x14ac:dyDescent="0.25">
      <c r="B31" s="76"/>
      <c r="AI31" s="75"/>
      <c r="BJ31" s="75"/>
      <c r="BK31" s="68"/>
    </row>
    <row r="32" spans="2:63" s="69" customFormat="1" ht="15" customHeight="1" x14ac:dyDescent="0.25">
      <c r="B32" s="76"/>
      <c r="AI32" s="75"/>
      <c r="BJ32" s="75"/>
      <c r="BK32" s="68"/>
    </row>
    <row r="33" spans="2:63" s="69" customFormat="1" ht="15" customHeight="1" x14ac:dyDescent="0.25">
      <c r="B33" s="76"/>
      <c r="AI33" s="75"/>
      <c r="BJ33" s="75"/>
      <c r="BK33" s="68"/>
    </row>
    <row r="34" spans="2:63" s="69" customFormat="1" ht="15" customHeight="1" x14ac:dyDescent="0.25">
      <c r="B34" s="76"/>
      <c r="AI34" s="75"/>
      <c r="BJ34" s="75"/>
      <c r="BK34" s="68"/>
    </row>
    <row r="35" spans="2:63" s="69" customFormat="1" ht="15" customHeight="1" x14ac:dyDescent="0.25">
      <c r="B35" s="76"/>
      <c r="AI35" s="75"/>
      <c r="BJ35" s="75"/>
      <c r="BK35" s="68"/>
    </row>
    <row r="36" spans="2:63" s="69" customFormat="1" ht="15" customHeight="1" x14ac:dyDescent="0.25">
      <c r="B36" s="76"/>
      <c r="AI36" s="75"/>
      <c r="BJ36" s="75"/>
      <c r="BK36" s="68"/>
    </row>
    <row r="37" spans="2:63" s="69" customFormat="1" ht="15" customHeight="1" x14ac:dyDescent="0.25">
      <c r="B37" s="76"/>
      <c r="AI37" s="75"/>
      <c r="BJ37" s="75"/>
      <c r="BK37" s="68"/>
    </row>
    <row r="38" spans="2:63" s="69" customFormat="1" ht="15" customHeight="1" x14ac:dyDescent="0.25">
      <c r="B38" s="76"/>
      <c r="AI38" s="75"/>
      <c r="BJ38" s="75"/>
      <c r="BK38" s="68"/>
    </row>
    <row r="39" spans="2:63" s="69" customFormat="1" ht="15" customHeight="1" x14ac:dyDescent="0.25">
      <c r="B39" s="76"/>
      <c r="AI39" s="75"/>
      <c r="BJ39" s="75"/>
      <c r="BK39" s="68"/>
    </row>
    <row r="40" spans="2:63" s="69" customFormat="1" ht="15" customHeight="1" x14ac:dyDescent="0.25">
      <c r="B40" s="76"/>
      <c r="AI40" s="75"/>
      <c r="BJ40" s="75"/>
      <c r="BK40" s="68"/>
    </row>
    <row r="41" spans="2:63" s="69" customFormat="1" ht="15" customHeight="1" x14ac:dyDescent="0.25">
      <c r="B41" s="76"/>
      <c r="AI41" s="75"/>
      <c r="BJ41" s="75"/>
      <c r="BK41" s="68"/>
    </row>
    <row r="42" spans="2:63" s="69" customFormat="1" ht="15" customHeight="1" x14ac:dyDescent="0.25">
      <c r="B42" s="76"/>
      <c r="AI42" s="75"/>
      <c r="BJ42" s="75"/>
      <c r="BK42" s="68"/>
    </row>
    <row r="43" spans="2:63" s="69" customFormat="1" ht="15" customHeight="1" x14ac:dyDescent="0.25">
      <c r="B43" s="76"/>
      <c r="AI43" s="75"/>
      <c r="BJ43" s="75"/>
      <c r="BK43" s="68"/>
    </row>
    <row r="44" spans="2:63" s="69" customFormat="1" ht="15" customHeight="1" x14ac:dyDescent="0.25">
      <c r="B44" s="76"/>
      <c r="AI44" s="75"/>
      <c r="BJ44" s="75"/>
      <c r="BK44" s="68"/>
    </row>
    <row r="45" spans="2:63" s="69" customFormat="1" ht="15" customHeight="1" x14ac:dyDescent="0.25">
      <c r="B45" s="76"/>
      <c r="AI45" s="75"/>
      <c r="BJ45" s="75"/>
      <c r="BK45" s="68"/>
    </row>
    <row r="46" spans="2:63" s="69" customFormat="1" ht="15" customHeight="1" x14ac:dyDescent="0.25">
      <c r="B46" s="76"/>
      <c r="AI46" s="75"/>
      <c r="BJ46" s="75"/>
      <c r="BK46" s="68"/>
    </row>
    <row r="47" spans="2:63" s="69" customFormat="1" ht="15" customHeight="1" x14ac:dyDescent="0.25">
      <c r="B47" s="76"/>
      <c r="AI47" s="75"/>
      <c r="BJ47" s="75"/>
      <c r="BK47" s="68"/>
    </row>
    <row r="48" spans="2:63" s="69" customFormat="1" ht="15" customHeight="1" x14ac:dyDescent="0.25">
      <c r="B48" s="76"/>
      <c r="AI48" s="75"/>
      <c r="BJ48" s="75"/>
      <c r="BK48" s="68"/>
    </row>
    <row r="49" spans="2:63" s="69" customFormat="1" ht="15" customHeight="1" x14ac:dyDescent="0.25">
      <c r="B49" s="76"/>
      <c r="AI49" s="75"/>
      <c r="BJ49" s="75"/>
      <c r="BK49" s="68"/>
    </row>
    <row r="50" spans="2:63" s="69" customFormat="1" ht="15" customHeight="1" x14ac:dyDescent="0.25">
      <c r="B50" s="76"/>
      <c r="AI50" s="75"/>
      <c r="BJ50" s="75"/>
      <c r="BK50" s="68"/>
    </row>
    <row r="51" spans="2:63" s="69" customFormat="1" ht="15" customHeight="1" x14ac:dyDescent="0.25">
      <c r="B51" s="76"/>
      <c r="AI51" s="75"/>
      <c r="BJ51" s="75"/>
      <c r="BK51" s="68"/>
    </row>
    <row r="52" spans="2:63" s="69" customFormat="1" ht="15" customHeight="1" x14ac:dyDescent="0.25">
      <c r="B52" s="76"/>
      <c r="AI52" s="75"/>
      <c r="BJ52" s="75"/>
      <c r="BK52" s="68"/>
    </row>
    <row r="53" spans="2:63" s="69" customFormat="1" ht="15" customHeight="1" x14ac:dyDescent="0.25">
      <c r="B53" s="76"/>
      <c r="AI53" s="75"/>
      <c r="BJ53" s="75"/>
      <c r="BK53" s="68"/>
    </row>
    <row r="54" spans="2:63" s="69" customFormat="1" ht="15" customHeight="1" x14ac:dyDescent="0.25">
      <c r="B54" s="76"/>
      <c r="AI54" s="75"/>
      <c r="BJ54" s="75"/>
      <c r="BK54" s="68"/>
    </row>
    <row r="55" spans="2:63" s="69" customFormat="1" ht="15" customHeight="1" x14ac:dyDescent="0.25">
      <c r="B55" s="76"/>
      <c r="AI55" s="75"/>
      <c r="BJ55" s="75"/>
      <c r="BK55" s="68"/>
    </row>
    <row r="56" spans="2:63" s="69" customFormat="1" ht="15" customHeight="1" x14ac:dyDescent="0.25">
      <c r="B56" s="76"/>
      <c r="AI56" s="75"/>
      <c r="BJ56" s="75"/>
      <c r="BK56" s="68"/>
    </row>
    <row r="57" spans="2:63" s="69" customFormat="1" ht="15" customHeight="1" x14ac:dyDescent="0.25">
      <c r="B57" s="76"/>
      <c r="AI57" s="75"/>
      <c r="BJ57" s="75"/>
      <c r="BK57" s="68"/>
    </row>
    <row r="58" spans="2:63" s="69" customFormat="1" ht="15" customHeight="1" x14ac:dyDescent="0.25">
      <c r="B58" s="76"/>
      <c r="AI58" s="75"/>
      <c r="BJ58" s="75"/>
      <c r="BK58" s="68"/>
    </row>
    <row r="59" spans="2:63" s="69" customFormat="1" ht="15" customHeight="1" x14ac:dyDescent="0.25">
      <c r="B59" s="76"/>
      <c r="AI59" s="75"/>
      <c r="BJ59" s="75"/>
      <c r="BK59" s="68"/>
    </row>
    <row r="60" spans="2:63" s="69" customFormat="1" ht="15" customHeight="1" x14ac:dyDescent="0.25">
      <c r="B60" s="76"/>
      <c r="AI60" s="75"/>
      <c r="BJ60" s="75"/>
      <c r="BK60" s="68"/>
    </row>
    <row r="61" spans="2:63" s="69" customFormat="1" ht="15" customHeight="1" x14ac:dyDescent="0.25">
      <c r="B61" s="76"/>
      <c r="AI61" s="75"/>
      <c r="BJ61" s="75"/>
      <c r="BK61" s="68"/>
    </row>
    <row r="62" spans="2:63" s="69" customFormat="1" ht="15" customHeight="1" x14ac:dyDescent="0.25">
      <c r="B62" s="76"/>
      <c r="AI62" s="75"/>
      <c r="BJ62" s="75"/>
      <c r="BK62" s="68"/>
    </row>
    <row r="63" spans="2:63" s="69" customFormat="1" ht="15" customHeight="1" x14ac:dyDescent="0.25">
      <c r="B63" s="76"/>
      <c r="AI63" s="75"/>
      <c r="BJ63" s="75"/>
      <c r="BK63" s="68"/>
    </row>
    <row r="64" spans="2:63" s="69" customFormat="1" ht="15" customHeight="1" x14ac:dyDescent="0.25">
      <c r="B64" s="76"/>
      <c r="AI64" s="75"/>
      <c r="BJ64" s="75"/>
      <c r="BK64" s="68"/>
    </row>
    <row r="65" spans="1:63" s="69" customFormat="1" ht="15" customHeight="1" x14ac:dyDescent="0.25">
      <c r="B65" s="76"/>
      <c r="AI65" s="75"/>
      <c r="BJ65" s="75"/>
      <c r="BK65" s="68"/>
    </row>
    <row r="66" spans="1:63" s="69" customFormat="1" ht="15" customHeight="1" x14ac:dyDescent="0.25">
      <c r="B66" s="76"/>
      <c r="AI66" s="75"/>
      <c r="BJ66" s="75"/>
      <c r="BK66" s="68"/>
    </row>
    <row r="67" spans="1:63" ht="15" customHeight="1" x14ac:dyDescent="0.25">
      <c r="A67" s="18"/>
      <c r="B67" s="24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25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5"/>
      <c r="BK67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W45" sqref="W45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9" t="s">
        <v>88</v>
      </c>
      <c r="B1" s="170"/>
      <c r="C1" s="170"/>
      <c r="D1" s="170"/>
      <c r="E1" s="170"/>
      <c r="F1" s="170"/>
      <c r="G1" s="170"/>
      <c r="H1" s="170"/>
      <c r="I1" s="170"/>
      <c r="J1" s="171"/>
      <c r="K1" s="169" t="s">
        <v>89</v>
      </c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1"/>
      <c r="W1" s="172" t="str">
        <f>IF(表紙!W1="","",表紙!W1)</f>
        <v>詳細設計書</v>
      </c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4"/>
      <c r="AP1" s="143" t="s">
        <v>90</v>
      </c>
      <c r="AQ1" s="144"/>
      <c r="AR1" s="144"/>
      <c r="AS1" s="145"/>
      <c r="AT1" s="143" t="s">
        <v>91</v>
      </c>
      <c r="AU1" s="144"/>
      <c r="AV1" s="144"/>
      <c r="AW1" s="144"/>
      <c r="AX1" s="145"/>
      <c r="AY1" s="143" t="s">
        <v>92</v>
      </c>
      <c r="AZ1" s="144"/>
      <c r="BA1" s="144"/>
      <c r="BB1" s="145"/>
      <c r="BC1" s="143" t="s">
        <v>93</v>
      </c>
      <c r="BD1" s="144"/>
      <c r="BE1" s="144"/>
      <c r="BF1" s="144"/>
      <c r="BG1" s="145"/>
      <c r="BH1" s="143" t="s">
        <v>94</v>
      </c>
      <c r="BI1" s="144"/>
      <c r="BJ1" s="144"/>
      <c r="BK1" s="145"/>
    </row>
    <row r="2" spans="1:63" ht="15" customHeight="1" x14ac:dyDescent="0.25">
      <c r="A2" s="163" t="str">
        <f>IF(表紙!A2="","",表紙!A2)</f>
        <v>POSサーバー</v>
      </c>
      <c r="B2" s="164"/>
      <c r="C2" s="164"/>
      <c r="D2" s="164"/>
      <c r="E2" s="164"/>
      <c r="F2" s="164"/>
      <c r="G2" s="164"/>
      <c r="H2" s="164"/>
      <c r="I2" s="164"/>
      <c r="J2" s="165"/>
      <c r="K2" s="163" t="str">
        <f>IF(表紙!K2="","",表紙!K2)</f>
        <v>POSサーバ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5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23" t="str">
        <f>IF(表紙!AP2="","",表紙!AP2)</f>
        <v>TuyenNH</v>
      </c>
      <c r="AQ2" s="124"/>
      <c r="AR2" s="124"/>
      <c r="AS2" s="125"/>
      <c r="AT2" s="142">
        <f>IF(表紙!AT2="","",表紙!AT2)</f>
        <v>45516</v>
      </c>
      <c r="AU2" s="158"/>
      <c r="AV2" s="158"/>
      <c r="AW2" s="158"/>
      <c r="AX2" s="159"/>
      <c r="AY2" s="123" t="str">
        <f>IF(表紙!AY2="","",表紙!AY2)</f>
        <v>TuyenNH</v>
      </c>
      <c r="AZ2" s="124"/>
      <c r="BA2" s="124"/>
      <c r="BB2" s="125"/>
      <c r="BC2" s="142">
        <f>IF(表紙!BC2="","",表紙!BC2)</f>
        <v>45516</v>
      </c>
      <c r="BD2" s="158"/>
      <c r="BE2" s="158"/>
      <c r="BF2" s="158"/>
      <c r="BG2" s="159"/>
      <c r="BH2" s="123">
        <f>IF(表紙!BH2="","",表紙!BH2)</f>
        <v>0.1</v>
      </c>
      <c r="BI2" s="124"/>
      <c r="BJ2" s="124"/>
      <c r="BK2" s="125"/>
    </row>
    <row r="3" spans="1:63" ht="15" customHeight="1" x14ac:dyDescent="0.25">
      <c r="A3" s="166"/>
      <c r="B3" s="167"/>
      <c r="C3" s="167"/>
      <c r="D3" s="167"/>
      <c r="E3" s="167"/>
      <c r="F3" s="167"/>
      <c r="G3" s="167"/>
      <c r="H3" s="167"/>
      <c r="I3" s="167"/>
      <c r="J3" s="168"/>
      <c r="K3" s="166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8"/>
      <c r="W3" s="178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80"/>
      <c r="AP3" s="126"/>
      <c r="AQ3" s="127"/>
      <c r="AR3" s="127"/>
      <c r="AS3" s="128"/>
      <c r="AT3" s="160"/>
      <c r="AU3" s="161"/>
      <c r="AV3" s="161"/>
      <c r="AW3" s="161"/>
      <c r="AX3" s="162"/>
      <c r="AY3" s="126"/>
      <c r="AZ3" s="127"/>
      <c r="BA3" s="127"/>
      <c r="BB3" s="128"/>
      <c r="BC3" s="160"/>
      <c r="BD3" s="161"/>
      <c r="BE3" s="161"/>
      <c r="BF3" s="161"/>
      <c r="BG3" s="162"/>
      <c r="BH3" s="126"/>
      <c r="BI3" s="127"/>
      <c r="BJ3" s="127"/>
      <c r="BK3" s="128"/>
    </row>
    <row r="4" spans="1:63" ht="24.95" customHeight="1" x14ac:dyDescent="0.25">
      <c r="A4" s="169" t="s">
        <v>101</v>
      </c>
      <c r="B4" s="170"/>
      <c r="C4" s="170"/>
      <c r="D4" s="170"/>
      <c r="E4" s="170"/>
      <c r="F4" s="170"/>
      <c r="G4" s="171"/>
      <c r="H4" s="181" t="str">
        <f>IF(表紙!H4="","",表紙!H4)</f>
        <v>AP0201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69" t="s">
        <v>96</v>
      </c>
      <c r="V4" s="170"/>
      <c r="W4" s="170"/>
      <c r="X4" s="170"/>
      <c r="Y4" s="171"/>
      <c r="Z4" s="181" t="str">
        <f>IF(表紙!Z4="","",表紙!Z4)</f>
        <v>API設計書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4" t="str">
        <f ca="1">MID(CELL("filename",A1),FIND("]",CELL("filename",A1))+1,255)</f>
        <v>テンプレート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</row>
    <row r="7" spans="1:63" s="69" customFormat="1" ht="15" customHeight="1" x14ac:dyDescent="0.25">
      <c r="BK7" s="68"/>
    </row>
    <row r="8" spans="1:63" s="69" customFormat="1" ht="15" customHeight="1" x14ac:dyDescent="0.25">
      <c r="BK8" s="68"/>
    </row>
    <row r="9" spans="1:63" s="69" customFormat="1" ht="15" customHeight="1" x14ac:dyDescent="0.25">
      <c r="BK9" s="68"/>
    </row>
    <row r="10" spans="1:63" s="69" customFormat="1" ht="15" customHeight="1" x14ac:dyDescent="0.25">
      <c r="BK10" s="68"/>
    </row>
    <row r="11" spans="1:63" s="69" customFormat="1" ht="15" customHeight="1" x14ac:dyDescent="0.25">
      <c r="BK11" s="68"/>
    </row>
    <row r="12" spans="1:63" s="69" customFormat="1" ht="15" customHeight="1" x14ac:dyDescent="0.25">
      <c r="BK12" s="68"/>
    </row>
    <row r="13" spans="1:63" s="69" customFormat="1" ht="15" customHeight="1" x14ac:dyDescent="0.25">
      <c r="BK13" s="68"/>
    </row>
    <row r="14" spans="1:63" s="69" customFormat="1" ht="15" customHeight="1" x14ac:dyDescent="0.25">
      <c r="BK14" s="68"/>
    </row>
    <row r="15" spans="1:63" s="69" customFormat="1" ht="15" customHeight="1" x14ac:dyDescent="0.25">
      <c r="BK15" s="68"/>
    </row>
    <row r="16" spans="1:63" s="69" customFormat="1" ht="15" customHeight="1" x14ac:dyDescent="0.25">
      <c r="BK16" s="68"/>
    </row>
    <row r="17" spans="63:63" s="69" customFormat="1" ht="15" customHeight="1" x14ac:dyDescent="0.25">
      <c r="BK17" s="68"/>
    </row>
    <row r="18" spans="63:63" s="69" customFormat="1" ht="15" customHeight="1" x14ac:dyDescent="0.25">
      <c r="BK18" s="68"/>
    </row>
    <row r="19" spans="63:63" s="69" customFormat="1" ht="15" customHeight="1" x14ac:dyDescent="0.25">
      <c r="BK19" s="68"/>
    </row>
    <row r="20" spans="63:63" s="69" customFormat="1" ht="15" customHeight="1" x14ac:dyDescent="0.25">
      <c r="BK20" s="68"/>
    </row>
    <row r="21" spans="63:63" s="69" customFormat="1" ht="15" customHeight="1" x14ac:dyDescent="0.25">
      <c r="BK21" s="68"/>
    </row>
    <row r="22" spans="63:63" s="69" customFormat="1" ht="15" customHeight="1" x14ac:dyDescent="0.25">
      <c r="BK22" s="68"/>
    </row>
    <row r="23" spans="63:63" s="69" customFormat="1" ht="15" customHeight="1" x14ac:dyDescent="0.25">
      <c r="BK23" s="68"/>
    </row>
    <row r="24" spans="63:63" s="69" customFormat="1" ht="15" customHeight="1" x14ac:dyDescent="0.25">
      <c r="BK24" s="68"/>
    </row>
    <row r="25" spans="63:63" s="69" customFormat="1" ht="15" customHeight="1" x14ac:dyDescent="0.25">
      <c r="BK25" s="68"/>
    </row>
    <row r="26" spans="63:63" s="69" customFormat="1" ht="15" customHeight="1" x14ac:dyDescent="0.25">
      <c r="BK26" s="68"/>
    </row>
    <row r="27" spans="63:63" s="69" customFormat="1" ht="15" customHeight="1" x14ac:dyDescent="0.25">
      <c r="BK27" s="68"/>
    </row>
    <row r="28" spans="63:63" s="69" customFormat="1" ht="15" customHeight="1" x14ac:dyDescent="0.25">
      <c r="BK28" s="68"/>
    </row>
    <row r="29" spans="63:63" s="69" customFormat="1" ht="15" customHeight="1" x14ac:dyDescent="0.25">
      <c r="BK29" s="68"/>
    </row>
    <row r="30" spans="63:63" s="69" customFormat="1" ht="15" customHeight="1" x14ac:dyDescent="0.25">
      <c r="BK30" s="68"/>
    </row>
    <row r="31" spans="63:63" s="69" customFormat="1" ht="15" customHeight="1" x14ac:dyDescent="0.25">
      <c r="BK31" s="68"/>
    </row>
    <row r="32" spans="63:63" s="69" customFormat="1" ht="15" customHeight="1" x14ac:dyDescent="0.25">
      <c r="BK32" s="68"/>
    </row>
    <row r="33" spans="63:63" s="69" customFormat="1" ht="15" customHeight="1" x14ac:dyDescent="0.25">
      <c r="BK33" s="68"/>
    </row>
    <row r="34" spans="63:63" s="69" customFormat="1" ht="15" customHeight="1" x14ac:dyDescent="0.25">
      <c r="BK34" s="68"/>
    </row>
    <row r="35" spans="63:63" s="69" customFormat="1" ht="15" customHeight="1" x14ac:dyDescent="0.25">
      <c r="BK35" s="68"/>
    </row>
    <row r="36" spans="63:63" s="69" customFormat="1" ht="15" customHeight="1" x14ac:dyDescent="0.25">
      <c r="BK36" s="68"/>
    </row>
    <row r="37" spans="63:63" s="69" customFormat="1" ht="15" customHeight="1" x14ac:dyDescent="0.25">
      <c r="BK37" s="68"/>
    </row>
    <row r="38" spans="63:63" s="69" customFormat="1" ht="15" customHeight="1" x14ac:dyDescent="0.25">
      <c r="BK38" s="68"/>
    </row>
    <row r="39" spans="63:63" s="69" customFormat="1" ht="15" customHeight="1" x14ac:dyDescent="0.25">
      <c r="BK39" s="68"/>
    </row>
    <row r="40" spans="63:63" s="69" customFormat="1" ht="15" customHeight="1" x14ac:dyDescent="0.25">
      <c r="BK40" s="68"/>
    </row>
    <row r="41" spans="63:63" s="69" customFormat="1" ht="15" customHeight="1" x14ac:dyDescent="0.25">
      <c r="BK41" s="68"/>
    </row>
    <row r="42" spans="63:63" s="69" customFormat="1" ht="15" customHeight="1" x14ac:dyDescent="0.25">
      <c r="BK42" s="68"/>
    </row>
    <row r="43" spans="63:63" s="69" customFormat="1" ht="15" customHeight="1" x14ac:dyDescent="0.25">
      <c r="BK43" s="68"/>
    </row>
    <row r="44" spans="63:63" s="69" customFormat="1" ht="15" customHeight="1" x14ac:dyDescent="0.25">
      <c r="BK44" s="68"/>
    </row>
    <row r="45" spans="63:63" s="69" customFormat="1" ht="15" customHeight="1" x14ac:dyDescent="0.25">
      <c r="BK45" s="68"/>
    </row>
    <row r="46" spans="63:63" s="69" customFormat="1" ht="15" customHeight="1" x14ac:dyDescent="0.25">
      <c r="BK46" s="68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EF970-C54A-4281-B04A-42C1EBA9D3B0}"/>
</file>

<file path=customXml/itemProps2.xml><?xml version="1.0" encoding="utf-8"?>
<ds:datastoreItem xmlns:ds="http://schemas.openxmlformats.org/officeDocument/2006/customXml" ds:itemID="{E5652C18-DDB8-49A1-9A0D-2135B9A1BF6A}"/>
</file>

<file path=customXml/itemProps3.xml><?xml version="1.0" encoding="utf-8"?>
<ds:datastoreItem xmlns:ds="http://schemas.openxmlformats.org/officeDocument/2006/customXml" ds:itemID="{389BB792-ED55-49BE-BCBC-C1BBB636F7A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2024-08-26T04:49:45Z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