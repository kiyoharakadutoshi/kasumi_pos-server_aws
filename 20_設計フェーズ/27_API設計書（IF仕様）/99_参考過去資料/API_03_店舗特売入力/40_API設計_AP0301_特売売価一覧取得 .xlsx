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E7E0CA7-C2C0-4E11-B3DA-27FF471BAB1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3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処理フロー!$A$1:$BK$128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<sst xmlns="http://schemas.openxmlformats.org/spreadsheetml/2006/main" count="320" uniqueCount="200">
  <si>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</si>
  <si>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</si>
  <si>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</si>
  <si>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</si>
  <si>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</si>
  <si>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</si>
  <si>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</si>
  <si>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</si>
  <si>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</si>
  <si>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</si>
  <si>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</si>
  <si>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</si>
  <si>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</si>
  <si>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</si>
  <si>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</si>
  <si>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</si>
  <si>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</si>
  <si>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</si>
  <si>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</si>
  <si>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</si>
  <si>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</si>
  <si>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</si>
  <si>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</si>
  <si>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</si>
  <si>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</si>
  <si>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</si>
  <si>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</si>
  <si>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</si>
  <si>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</si>
  <si>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</si>
  <si>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</si>
  <si>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</si>
  <si>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</si>
  <si>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</si>
  <si>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</si>
  <si>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</si>
  <si>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</si>
  <si>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</si>
  <si>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</si>
  <si>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総件数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</si>
  <si>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</si>
  <si>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</si>
  <si>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</si>
  <si>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</si>
  <si>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</si>
  <si>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</si>
  <si>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現在ページ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</si>
  <si>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</si>
  <si>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current_page</t>
    </r>
  </si>
  <si>
    <r>
      <rPr>
        <sz val="11"/>
        <color rgb="FF000000"/>
        <rFont val="Meiryo UI"/>
        <family val="2"/>
      </rPr>
      <t>現在頁</t>
    </r>
  </si>
  <si>
    <r>
      <rPr>
        <sz val="11"/>
        <color rgb="FF000000"/>
        <rFont val="Meiryo UI"/>
        <family val="2"/>
      </rPr>
      <t>limit</t>
    </r>
  </si>
  <si>
    <r>
      <rPr>
        <sz val="11"/>
        <color rgb="FF000000"/>
        <rFont val="Meiryo UI"/>
        <family val="2"/>
      </rPr>
      <t>Integer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</si>
  <si>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</si>
  <si>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000000"/>
        <rFont val="Meiryo UI"/>
        <family val="2"/>
      </rPr>
      <t>1ページあたりの件数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</si>
  <si>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</si>
  <si>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</si>
  <si>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・バリデーションチェック：2桁未満の場合、 エラーメッセージ = MSG_VAL_002</t>
    </r>
  </si>
  <si>
    <r>
      <rPr>
        <sz val="11"/>
        <color rgb="FF000000"/>
        <rFont val="Meiryo UI"/>
        <family val="2"/>
      </rPr>
      <t>total_item</t>
    </r>
  </si>
  <si>
    <r>
      <rPr>
        <sz val="11"/>
        <color rgb="FF000000"/>
        <rFont val="Meiryo UI"/>
        <family val="2"/>
      </rPr>
      <t>total_page</t>
    </r>
  </si>
  <si>
    <r>
      <rPr>
        <sz val="11"/>
        <color rgb="FF000000"/>
        <rFont val="Meiryo UI"/>
        <family val="2"/>
      </rPr>
      <t>総頁数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</si>
  <si>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</si>
  <si>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AP0301</t>
    </r>
  </si>
  <si>
    <r>
      <rPr>
        <sz val="11"/>
        <color rgb="FF000000"/>
        <rFont val="Meiryo UI"/>
        <family val="2"/>
      </rPr>
      <t>商品の特売売価一覧を取得する。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</si>
  <si>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</si>
  <si>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</si>
  <si>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・バリデーションチェック：4桁未満の場合、 エラーメッセージ = MSG_VAL_002</t>
    </r>
  </si>
  <si>
    <r>
      <rPr>
        <sz val="11"/>
        <color rgb="FF000000"/>
        <rFont val="Meiryo UI"/>
        <family val="2"/>
      </rPr>
      <t>特売売価</t>
    </r>
  </si>
  <si>
    <r>
      <rPr>
        <sz val="11"/>
        <color rgb="FF000000"/>
        <rFont val="Meiryo UI"/>
        <family val="2"/>
      </rPr>
      <t>discount_method_code</t>
    </r>
  </si>
  <si>
    <r>
      <rPr>
        <sz val="11"/>
        <color rgb="FF000000"/>
        <rFont val="Meiryo UI"/>
        <family val="2"/>
      </rPr>
      <t>03</t>
    </r>
  </si>
  <si>
    <r>
      <rPr>
        <sz val="11"/>
        <color rgb="FF000000"/>
        <rFont val="Meiryo UI"/>
        <family val="2"/>
      </rPr>
      <t>特売割引設定・特売売価設定</t>
    </r>
  </si>
  <si>
    <r>
      <rPr>
        <sz val="11"/>
        <color rgb="FF000000"/>
        <rFont val="Meiryo UI"/>
        <family val="2"/>
      </rPr>
      <t>商品単位あたりの値引額・割引率・控除金額</t>
    </r>
  </si>
  <si>
    <r>
      <rPr>
        <sz val="11"/>
        <color rgb="FF000000"/>
        <rFont val="Meiryo UI"/>
        <family val="2"/>
      </rPr>
      <t>現在売価、計算詳細は[処理フロー]シートをご参照ください。</t>
    </r>
  </si>
  <si>
    <r>
      <rPr>
        <sz val="11"/>
        <color rgb="FF000000"/>
        <rFont val="Meiryo UI"/>
        <family val="2"/>
      </rPr>
      <t>特売売価の状態</t>
    </r>
  </si>
  <si>
    <r>
      <rPr>
        <sz val="11"/>
        <color rgb="FF000000"/>
        <rFont val="Meiryo UI"/>
        <family val="2"/>
      </rPr>
      <t>特売売価データ一覧</t>
    </r>
  </si>
  <si>
    <r>
      <rPr>
        <sz val="11"/>
        <color rgb="FF000000"/>
        <rFont val="Meiryo UI"/>
        <family val="2"/>
      </rPr>
      <t>タイムサービス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</si>
  <si>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</si>
  <si>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api/v1/special-prices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</si>
  <si>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</si>
  <si>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</si>
  <si>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</si>
  <si>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</si>
  <si>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</si>
  <si>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</si>
  <si>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</si>
  <si>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</si>
  <si>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</si>
  <si>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</si>
  <si>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</si>
  <si>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</si>
  <si>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</si>
  <si>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</si>
  <si>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</si>
  <si>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</si>
  <si>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</si>
  <si>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</si>
  <si>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DuNT</t>
  </si>
  <si>
    <t>AP0301: マッピングDBの更新</t>
  </si>
  <si>
    <t>処理フロー：レスポンス内の有効フィールドである計算値を追加で説明</t>
  </si>
  <si>
    <t>・パラメータ名の更新
・パラメータ「discount_method_code」の値の更新
・レスポンスからunit_member_price項目を削除
・新しいDB構造に基づいてフィールド名とテーブル名を変更
・商品コード（部門コード＋商品コード）と開始日でソートのロジックを追加
・現在売価を計算するロジックを更新</t>
  </si>
  <si>
    <t>シート：[AP0301]、[処理フロー]</t>
  </si>
  <si>
    <t>AnhDD</t>
  </si>
  <si>
    <t>設計レビューのバグを修正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</si>
  <si>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</si>
  <si>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</si>
  <si>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</si>
  <si>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</si>
  <si>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</si>
  <si>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</si>
  <si>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</si>
  <si>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</si>
  <si>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</si>
  <si>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</si>
  <si>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</si>
  <si>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</si>
  <si>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</si>
  <si>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・バリデーションチェック：数字であること（メッセージ = MSG_VAL_006）
・バリデーションチェック：5桁未満の場合、 エラーメッセージ = MSG_VAL_002</t>
  </si>
  <si>
    <t>md_hierarchy_code_level_one</t>
  </si>
  <si>
    <t>ページあたりの件数：16</t>
  </si>
  <si>
    <t>sort_column</t>
  </si>
  <si>
    <t>String</t>
  </si>
  <si>
    <t>my_company_code</t>
  </si>
  <si>
    <t>列のソート</t>
  </si>
  <si>
    <t>・値がmy_company_codeの場合、M_Item.MyCompanyCodeでソートする。
・値がstart_dateの場合、M_SpecialPrice.StartDateTimeでソートする。</t>
  </si>
  <si>
    <t>sort_value</t>
  </si>
  <si>
    <t>ASC</t>
  </si>
  <si>
    <t>値のソート</t>
  </si>
  <si>
    <t>ASC又はDESC</t>
  </si>
  <si>
    <t>2.4 Request Body</t>
  </si>
  <si>
    <t>※サンプル</t>
  </si>
  <si>
    <t>3. レスポンス</t>
  </si>
  <si>
    <t>3.1. 正常の場合のレスポンスフォーマット</t>
  </si>
  <si>
    <t>JSON name</t>
  </si>
  <si>
    <t>items</t>
  </si>
  <si>
    <r>
      <rPr>
        <sz val="11"/>
        <color rgb="FF000000"/>
        <rFont val="Meiryo UI"/>
        <family val="2"/>
      </rPr>
      <t xml:space="preserve">    company_code</t>
    </r>
  </si>
  <si>
    <t>M_SpecialPrice.CompanyCode</t>
  </si>
  <si>
    <r>
      <rPr>
        <sz val="11"/>
        <color rgb="FF000000"/>
        <rFont val="Meiryo UI"/>
        <family val="2"/>
      </rPr>
      <t>企業コード カスミ =100、いなげや=800</t>
    </r>
  </si>
  <si>
    <r>
      <rPr>
        <sz val="11"/>
        <color rgb="FF000000"/>
        <rFont val="Meiryo UI"/>
        <family val="2"/>
      </rPr>
      <t xml:space="preserve">    store_code</t>
    </r>
  </si>
  <si>
    <t>M_SpecialPrice.StoreCode</t>
  </si>
  <si>
    <r>
      <rPr>
        <sz val="11"/>
        <color rgb="FF000000"/>
        <rFont val="Meiryo UI"/>
        <family val="2"/>
      </rPr>
      <t xml:space="preserve">    valid</t>
    </r>
  </si>
  <si>
    <r>
      <rPr>
        <sz val="11"/>
        <color rgb="FF000000"/>
        <rFont val="Meiryo UI"/>
        <family val="2"/>
      </rPr>
      <t>特売売価の有効性：
  0: 実施中 In progress
  1: 終了: Ended
  2: 未実施: Not implemented
  3: 中止: Cancelled
  4: NG
詳細は[処理フロー]シートをご参照ください。</t>
    </r>
  </si>
  <si>
    <r>
      <rPr>
        <sz val="11"/>
        <color rgb="FF000000"/>
        <rFont val="Meiryo UI"/>
        <family val="2"/>
      </rPr>
      <t xml:space="preserve">    status</t>
    </r>
  </si>
  <si>
    <t>M_SpecialPrice.Status</t>
  </si>
  <si>
    <r>
      <rPr>
        <sz val="11"/>
        <color rgb="FF000000"/>
        <rFont val="Meiryo UI"/>
        <family val="2"/>
      </rPr>
      <t xml:space="preserve">    my_company_code</t>
    </r>
  </si>
  <si>
    <t>M_Item.MyCompanyCode</t>
  </si>
  <si>
    <r>
      <rPr>
        <sz val="11"/>
        <color rgb="FF000000"/>
        <rFont val="Meiryo UI"/>
        <family val="2"/>
      </rPr>
      <t xml:space="preserve">    item_code</t>
    </r>
  </si>
  <si>
    <t>M_SpecialPrice.ItemCode</t>
  </si>
  <si>
    <r>
      <rPr>
        <sz val="11"/>
        <color rgb="FF000000"/>
        <rFont val="Meiryo UI"/>
        <family val="2"/>
      </rPr>
      <t xml:space="preserve">    item_name</t>
    </r>
  </si>
  <si>
    <t>M_Item.long_description</t>
  </si>
  <si>
    <r>
      <rPr>
        <sz val="11"/>
        <color rgb="FF000000"/>
        <rFont val="Meiryo UI"/>
        <family val="2"/>
      </rPr>
      <t xml:space="preserve">    discount_method_code</t>
    </r>
  </si>
  <si>
    <t>M_SpecialPrice.DiscountMethodCode</t>
  </si>
  <si>
    <r>
      <rPr>
        <sz val="11"/>
        <color rgb="FF000000"/>
        <rFont val="Meiryo UI"/>
        <family val="2"/>
      </rPr>
      <t xml:space="preserve">    discount_value</t>
    </r>
  </si>
  <si>
    <t>M_SpecialPrice.DiscountValue</t>
  </si>
  <si>
    <r>
      <rPr>
        <sz val="11"/>
        <color rgb="FF000000"/>
        <rFont val="Meiryo UI"/>
        <family val="2"/>
      </rPr>
      <t xml:space="preserve">    special_price</t>
    </r>
  </si>
  <si>
    <t>M_SpecialPrice.SpecialPrice</t>
  </si>
  <si>
    <r>
      <rPr>
        <sz val="11"/>
        <color rgb="FF000000"/>
        <rFont val="Meiryo UI"/>
        <family val="2"/>
      </rPr>
      <t xml:space="preserve">    unit_price</t>
    </r>
  </si>
  <si>
    <t>M_Item.UnitPrice</t>
  </si>
  <si>
    <r>
      <rPr>
        <sz val="11"/>
        <color rgb="FF000000"/>
        <rFont val="Meiryo UI"/>
        <family val="2"/>
      </rPr>
      <t xml:space="preserve">    current_price</t>
    </r>
  </si>
  <si>
    <t>M_Item.UnitPrice
M_ForcePrice.ForcePrice
M_SpecialPrice.SpecialPrice</t>
  </si>
  <si>
    <t xml:space="preserve">    unit_member_price</t>
  </si>
  <si>
    <t>decimal</t>
  </si>
  <si>
    <t>item_master.member_price</t>
  </si>
  <si>
    <t>会員売価</t>
  </si>
  <si>
    <r>
      <rPr>
        <sz val="11"/>
        <color rgb="FF000000"/>
        <rFont val="Meiryo UI"/>
        <family val="2"/>
      </rPr>
      <t xml:space="preserve">    type_code</t>
    </r>
  </si>
  <si>
    <t>M_SpecialPrice.TypeCode</t>
  </si>
  <si>
    <t xml:space="preserve">    start_date</t>
  </si>
  <si>
    <t>date</t>
  </si>
  <si>
    <t>M_SpecialPrice.StartDateTime</t>
  </si>
  <si>
    <t>開始日</t>
  </si>
  <si>
    <t xml:space="preserve">    end_date</t>
  </si>
  <si>
    <t>M_SpecialPrice.EndDateTime</t>
  </si>
  <si>
    <t>終了日</t>
  </si>
  <si>
    <t xml:space="preserve">    start_time</t>
  </si>
  <si>
    <t>time</t>
  </si>
  <si>
    <t>開始時刻</t>
  </si>
  <si>
    <t xml:space="preserve">    end_time</t>
  </si>
  <si>
    <t>終了時刻</t>
  </si>
  <si>
    <r>
      <rPr>
        <sz val="11"/>
        <color rgb="FF000000"/>
        <rFont val="Meiryo UI"/>
        <family val="2"/>
      </rPr>
      <t xml:space="preserve">    "total_item": 36,</t>
    </r>
  </si>
  <si>
    <r>
      <rPr>
        <sz val="11"/>
        <color rgb="FF000000"/>
        <rFont val="Meiryo UI"/>
        <family val="2"/>
      </rPr>
      <t xml:space="preserve">    "total_page": 2,</t>
    </r>
  </si>
  <si>
    <r>
      <rPr>
        <sz val="11"/>
        <color rgb="FF000000"/>
        <rFont val="Meiryo UI"/>
        <family val="2"/>
      </rPr>
      <t xml:space="preserve">    "current_page": 2,</t>
    </r>
  </si>
  <si>
    <t xml:space="preserve">    "items": [</t>
  </si>
  <si>
    <r>
      <rPr>
        <sz val="11"/>
        <color rgb="FF000000"/>
        <rFont val="Meiryo UI"/>
        <family val="2"/>
      </rPr>
      <t xml:space="preserve">            "company_code":"100",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</si>
  <si>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</si>
  <si>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"valid":" 実施中",</t>
    </r>
  </si>
  <si>
    <r>
      <rPr>
        <sz val="11"/>
        <color rgb="FF000000"/>
        <rFont val="Meiryo UI"/>
        <family val="2"/>
      </rPr>
      <t xml:space="preserve">            "status":"0",</t>
    </r>
  </si>
  <si>
    <r>
      <rPr>
        <sz val="11"/>
        <color rgb="FF000000"/>
        <rFont val="Meiryo UI"/>
        <family val="2"/>
      </rPr>
      <t xml:space="preserve">            "my_company_code":"07796735",</t>
    </r>
  </si>
  <si>
    <r>
      <rPr>
        <sz val="11"/>
        <color rgb="FF000000"/>
        <rFont val="Meiryo UI"/>
        <family val="2"/>
      </rPr>
      <t xml:space="preserve">            "item_code":"0000000000017",</t>
    </r>
  </si>
  <si>
    <r>
      <rPr>
        <sz val="11"/>
        <color rgb="FF000000"/>
        <rFont val="Meiryo UI"/>
        <family val="2"/>
      </rPr>
      <t xml:space="preserve">            "item_name":"Test_Luvina",</t>
    </r>
  </si>
  <si>
    <r>
      <rPr>
        <sz val="11"/>
        <color rgb="FF000000"/>
        <rFont val="Meiryo UI"/>
        <family val="2"/>
      </rPr>
      <t xml:space="preserve">            "discount_method_code":"03",</t>
    </r>
  </si>
  <si>
    <r>
      <rPr>
        <sz val="11"/>
        <color rgb="FF000000"/>
        <rFont val="Meiryo UI"/>
        <family val="2"/>
      </rPr>
      <t xml:space="preserve">            "discount_value":0,</t>
    </r>
  </si>
  <si>
    <r>
      <rPr>
        <sz val="11"/>
        <color rgb="FF000000"/>
        <rFont val="Meiryo UI"/>
        <family val="2"/>
      </rPr>
      <t xml:space="preserve">            "special_price":269,</t>
    </r>
  </si>
  <si>
    <r>
      <rPr>
        <sz val="11"/>
        <color rgb="FF000000"/>
        <rFont val="Meiryo UI"/>
        <family val="2"/>
      </rPr>
      <t xml:space="preserve">            "unit_price":300,</t>
    </r>
  </si>
  <si>
    <r>
      <rPr>
        <sz val="11"/>
        <color rgb="FF000000"/>
        <rFont val="Meiryo UI"/>
        <family val="2"/>
      </rPr>
      <t xml:space="preserve">            "current_price":269,</t>
    </r>
  </si>
  <si>
    <r>
      <rPr>
        <sz val="11"/>
        <color rgb="FF000000"/>
        <rFont val="Meiryo UI"/>
        <family val="2"/>
      </rPr>
      <t xml:space="preserve">            "unit_member_price":155,</t>
    </r>
  </si>
  <si>
    <r>
      <rPr>
        <sz val="11"/>
        <color rgb="FF000000"/>
        <rFont val="Meiryo UI"/>
        <family val="2"/>
      </rPr>
      <t xml:space="preserve">            "type_code":"0",</t>
    </r>
  </si>
  <si>
    <t xml:space="preserve">     "start_date":"2024/09/09",</t>
  </si>
  <si>
    <t xml:space="preserve">     "start_time":"02:00"</t>
  </si>
  <si>
    <t xml:space="preserve">     "end_date":"2024/09/09",</t>
  </si>
  <si>
    <t xml:space="preserve">     "end_time":"02:00"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</si>
  <si>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</si>
  <si>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 xml:space="preserve">・割引タイプ：
</t>
    </r>
    <r>
      <rPr>
        <strike/>
        <sz val="11"/>
        <color rgb="FF0000FF"/>
        <rFont val="Meiryo UI"/>
        <family val="2"/>
      </rPr>
      <t>　01：値引</t>
    </r>
    <r>
      <rPr>
        <sz val="11"/>
        <color rgb="FFFF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  02：割引
  03：金額指定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</si>
</sst>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46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17" xfId="0" applyFont="1" applyBorder="1"/>
    <xf numFmtId="0" fontId="11" fillId="0" borderId="18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2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 wrapText="1"/>
    </xf>
    <xf numFmtId="0" fontId="7" fillId="0" borderId="24" xfId="0" quotePrefix="1" applyFont="1" applyBorder="1" applyAlignment="1">
      <alignment horizontal="left" vertical="center" wrapText="1"/>
    </xf>
    <xf numFmtId="0" fontId="7" fillId="0" borderId="25" xfId="0" quotePrefix="1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3" xfId="0" quotePrefix="1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23" fillId="0" borderId="26" xfId="0" quotePrefix="1" applyFont="1" applyBorder="1" applyAlignment="1">
      <alignment horizontal="left" vertical="top" wrapText="1"/>
    </xf>
    <xf numFmtId="0" fontId="23" fillId="0" borderId="27" xfId="0" applyFont="1" applyBorder="1" applyAlignment="1">
      <alignment horizontal="left" vertical="top"/>
    </xf>
    <xf numFmtId="0" fontId="23" fillId="0" borderId="28" xfId="0" applyFont="1" applyBorder="1" applyAlignment="1">
      <alignment horizontal="left" vertical="top"/>
    </xf>
    <xf numFmtId="0" fontId="23" fillId="0" borderId="29" xfId="0" applyFont="1" applyBorder="1" applyAlignment="1">
      <alignment vertical="top" wrapText="1"/>
    </xf>
    <xf numFmtId="0" fontId="23" fillId="0" borderId="30" xfId="0" applyFont="1" applyBorder="1" applyAlignment="1">
      <alignment vertical="top"/>
    </xf>
    <xf numFmtId="0" fontId="23" fillId="0" borderId="31" xfId="0" applyFont="1" applyBorder="1" applyAlignment="1">
      <alignment vertical="top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 wrapText="1"/>
    </xf>
    <xf numFmtId="0" fontId="23" fillId="0" borderId="24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25" xfId="0" applyFont="1" applyBorder="1" applyAlignment="1">
      <alignment vertical="center"/>
    </xf>
    <xf numFmtId="0" fontId="23" fillId="0" borderId="23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4" xfId="0" applyFont="1" applyBorder="1" applyAlignment="1">
      <alignment vertical="center"/>
    </xf>
    <xf numFmtId="0" fontId="23" fillId="3" borderId="0" xfId="0" applyFont="1" applyFill="1" applyAlignment="1">
      <alignment vertical="center"/>
    </xf>
    <xf numFmtId="0" fontId="23" fillId="0" borderId="1" xfId="0" applyFont="1" applyBorder="1" applyAlignment="1">
      <alignment horizontal="left" vertical="center" indent="2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7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47800"/>
          <a:ext cx="7200900" cy="3048000"/>
        </a:xfrm>
        <a:prstGeom prst="borderCallout1">
          <a:avLst>
            <a:gd name="adj1" fmla="val 56106"/>
            <a:gd name="adj2" fmla="val -236"/>
            <a:gd name="adj3" fmla="val 56404"/>
            <a:gd name="adj4" fmla="val -961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M_SpecialPriceテブール内で、以下の条件を満たすレコード一覧を取得する。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▪ INNER JOIN M_Item ON M_Item.ItemCode = M_SpecialPrice.ItemCode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param {md_hierarchy_code_level_one}に値がある場合：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AND M_Item.SUBSTR(MyCompanyCode, -8, 2) = param {md_hierarchy_code_level_one}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LEFT JOIN M_ForcePrice ON M_ForcePrice.ItemCode = M_Item.ItemCode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AND M_ForcePrice.StartDateTime &lt;= NOW()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AND M_ForcePrice.EndDateTime &gt;= NOW()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M_SpecialPrice.CompanyCode = 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M_SpecialPrice.StoreCode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M_SpecialPrice.PromotionCode = param {promotion_code}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M_SpecialPrice.DiscountMethodCode = param {discount_method_code}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LIMIT =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OFFSET (param {page_number} - 1) * param {limit}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ORDER BY param {sort_colum} param {sort_value} </a:t>
          </a:r>
        </a:p>
      </xdr:txBody>
    </xdr:sp>
    <xdr:clientData/>
  </xdr:twoCellAnchor>
  <xdr:twoCellAnchor>
    <xdr:from>
      <xdr:col>3</xdr:col>
      <xdr:colOff>235322</xdr:colOff>
      <xdr:row>9</xdr:row>
      <xdr:rowOff>11206</xdr:rowOff>
    </xdr:from>
    <xdr:to>
      <xdr:col>7</xdr:col>
      <xdr:colOff>235322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112</xdr:row>
      <xdr:rowOff>100853</xdr:rowOff>
    </xdr:from>
    <xdr:to>
      <xdr:col>8</xdr:col>
      <xdr:colOff>0</xdr:colOff>
      <xdr:row>114</xdr:row>
      <xdr:rowOff>78441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21555075"/>
          <a:ext cx="1066800" cy="35242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28</xdr:row>
      <xdr:rowOff>78444</xdr:rowOff>
    </xdr:from>
    <xdr:to>
      <xdr:col>6</xdr:col>
      <xdr:colOff>1</xdr:colOff>
      <xdr:row>42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5" idx="0"/>
        </xdr:cNvCxnSpPr>
      </xdr:nvCxnSpPr>
      <xdr:spPr>
        <a:xfrm>
          <a:off x="1600200" y="5524500"/>
          <a:ext cx="0" cy="2590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190499</xdr:rowOff>
    </xdr:from>
    <xdr:to>
      <xdr:col>8</xdr:col>
      <xdr:colOff>235323</xdr:colOff>
      <xdr:row>27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44958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27</xdr:row>
      <xdr:rowOff>179293</xdr:rowOff>
    </xdr:from>
    <xdr:to>
      <xdr:col>6</xdr:col>
      <xdr:colOff>235323</xdr:colOff>
      <xdr:row>28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5438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24</xdr:row>
      <xdr:rowOff>179293</xdr:rowOff>
    </xdr:from>
    <xdr:to>
      <xdr:col>10</xdr:col>
      <xdr:colOff>235323</xdr:colOff>
      <xdr:row>25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22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7" idx="0"/>
        </xdr:cNvCxnSpPr>
      </xdr:nvCxnSpPr>
      <xdr:spPr>
        <a:xfrm>
          <a:off x="1600200" y="3533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特売売価一覧取得</a:t>
          </a: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84043</xdr:rowOff>
    </xdr:from>
    <xdr:to>
      <xdr:col>10</xdr:col>
      <xdr:colOff>235323</xdr:colOff>
      <xdr:row>112</xdr:row>
      <xdr:rowOff>100853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4" idx="0"/>
        </xdr:cNvCxnSpPr>
      </xdr:nvCxnSpPr>
      <xdr:spPr>
        <a:xfrm flipH="1">
          <a:off x="1600200" y="4962525"/>
          <a:ext cx="1304925" cy="16592550"/>
        </a:xfrm>
        <a:prstGeom prst="bentConnector4">
          <a:avLst>
            <a:gd name="adj1" fmla="val -19429"/>
            <a:gd name="adj2" fmla="val 9627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25</xdr:row>
      <xdr:rowOff>0</xdr:rowOff>
    </xdr:from>
    <xdr:to>
      <xdr:col>62</xdr:col>
      <xdr:colOff>0</xdr:colOff>
      <xdr:row>36</xdr:row>
      <xdr:rowOff>11206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876800"/>
          <a:ext cx="7200900" cy="2105025"/>
        </a:xfrm>
        <a:prstGeom prst="borderCallout1">
          <a:avLst>
            <a:gd name="adj1" fmla="val 17833"/>
            <a:gd name="adj2" fmla="val 470"/>
            <a:gd name="adj3" fmla="val 18089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▪レコードが存在している場合、ステップ3「現在売価情報取得」を処理する。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▪特売売価の計算方法：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・M_SpecialPrice.DiscountMethodCode = 03の場合、特売売価 =  M_SpecialPrice.SpecialPrice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M_SpecialPrice.DiscountMethodCode = 02の場合、特売売価 =  M_Item.UnitPrice - (M_Item.UnitPrice * M_SpecialPrice.DiscountValue)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▪レコードが存在していない場合、正常なレスポンスを返す（特売売価一覧：空の配列（special_prices = []））</a:t>
          </a:r>
        </a:p>
      </xdr:txBody>
    </xdr:sp>
    <xdr:clientData/>
  </xdr:twoCellAnchor>
  <xdr:twoCellAnchor>
    <xdr:from>
      <xdr:col>3</xdr:col>
      <xdr:colOff>0</xdr:colOff>
      <xdr:row>42</xdr:row>
      <xdr:rowOff>0</xdr:rowOff>
    </xdr:from>
    <xdr:to>
      <xdr:col>9</xdr:col>
      <xdr:colOff>0</xdr:colOff>
      <xdr:row>46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8115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3. カテゴリに基づいて値引情報を取得する。</a:t>
          </a:r>
          <a:endParaRPr lang="en-US" sz="9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46</xdr:row>
      <xdr:rowOff>0</xdr:rowOff>
    </xdr:from>
    <xdr:to>
      <xdr:col>6</xdr:col>
      <xdr:colOff>1</xdr:colOff>
      <xdr:row>58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2"/>
          <a:endCxn id="6" idx="0"/>
        </xdr:cNvCxnSpPr>
      </xdr:nvCxnSpPr>
      <xdr:spPr>
        <a:xfrm>
          <a:off x="1600200" y="8877300"/>
          <a:ext cx="0" cy="2286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38</xdr:row>
      <xdr:rowOff>179294</xdr:rowOff>
    </xdr:from>
    <xdr:to>
      <xdr:col>62</xdr:col>
      <xdr:colOff>0</xdr:colOff>
      <xdr:row>50</xdr:row>
      <xdr:rowOff>11206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334500" y="7534275"/>
          <a:ext cx="7200900" cy="2114550"/>
        </a:xfrm>
        <a:prstGeom prst="borderCallout1">
          <a:avLst>
            <a:gd name="adj1" fmla="val 49958"/>
            <a:gd name="adj2" fmla="val 116"/>
            <a:gd name="adj3" fmla="val 50020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3. M_DiscountMDHierarchyテーブルのカテゴリ値引に基づいて値引情報を取得する。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 panose="020B0604030504040204" pitchFamily="34" charset="-128"/>
          </a:endParaRPr>
        </a:p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LEFT JOIN M_MDHierarchy ON M_MDHierarchy.MDHierarchyCode = M_DiscountMDHierarchy.MDHierarchyCode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M_DiscountMDHierarchy.CompanyCode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M_DiscountMDHierarchy.StoreCode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▪param {md_hierarchy_code_level_one}に値がある場合、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M_DiscountMDHierarchy.MDHierarchyCode = param {md_hierarchy_code_level_one}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M_DiscountMDHierarchy.MDHierarchyLevel 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M_DiscountMDHierarchy.StartDateTime &lt;= NOW()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M_DiscountMDHierarchy.EndDateTime &gt;= NOW()</a:t>
          </a:r>
        </a:p>
      </xdr:txBody>
    </xdr:sp>
    <xdr:clientData/>
  </xdr:twoCellAnchor>
  <xdr:twoCellAnchor>
    <xdr:from>
      <xdr:col>6</xdr:col>
      <xdr:colOff>1</xdr:colOff>
      <xdr:row>62</xdr:row>
      <xdr:rowOff>0</xdr:rowOff>
    </xdr:from>
    <xdr:to>
      <xdr:col>6</xdr:col>
      <xdr:colOff>1</xdr:colOff>
      <xdr:row>104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6" idx="2"/>
          <a:endCxn id="7" idx="0"/>
        </xdr:cNvCxnSpPr>
      </xdr:nvCxnSpPr>
      <xdr:spPr>
        <a:xfrm>
          <a:off x="1600200" y="11925300"/>
          <a:ext cx="0" cy="800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52</xdr:row>
      <xdr:rowOff>0</xdr:rowOff>
    </xdr:from>
    <xdr:to>
      <xdr:col>62</xdr:col>
      <xdr:colOff>0</xdr:colOff>
      <xdr:row>91</xdr:row>
      <xdr:rowOff>0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10020300"/>
          <a:ext cx="7200900" cy="7429500"/>
        </a:xfrm>
        <a:prstGeom prst="borderCallout1">
          <a:avLst>
            <a:gd name="adj1" fmla="val 20716"/>
            <a:gd name="adj2" fmla="val 117"/>
            <a:gd name="adj3" fmla="val 20307"/>
            <a:gd name="adj4" fmla="val -9618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商品の現在売価を計算する。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▪M_ForcePrice.ForcePrice = "" ,M_SpecialPrice.SpecialPrice = ""の場合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  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&gt; カテゴリ値引がない場合：以下のようにセットする。current_price = M_Item.UnitPrice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&gt; カテゴリ値引がある場合、最も低いレベルのカテゴリ値引を優先する。具体的には: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+分類のカテゴリ値引がある場合：ステップ2で取得された定番売価 - 分類のカテゴリ値引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+ 分類のカテゴリ値引がない、品種のカテゴリ値引がある場合：ステップ2で取得された定番売価 - 品種のカテゴリ値引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+ 品種、分類のカテゴリ値引がない、品群のカテゴリ値引がある場合：ステップ2で取得された定番売価 - 品群のカテゴリ値引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+ 品群、品種、分類のカテゴリ値引がない、部門のカテゴリ値引がある場合：ステップ2で取得された定番売価 - 部門のカテゴリ値引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 M_ForcePrice.ForcePriceに値がある場合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&gt; カテゴリ値引がない場合、以下のようにセットする。current_price = M_ForcePrice.ForcePrice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&gt; カテゴリ値引がある場合、最も低いレベルのカテゴリ値引を優先する。具体的には: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+分類のカテゴリ値引がある場合：ステップ2で取得された緊急売価 - 分類のカテゴリ値引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分類のカテゴリ値引がない、品種のカテゴリ値引がある場合：ステップ2で取得された緊急売価 - 品種のカテゴリ値引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品種、分類のカテゴリ値引がない、品群のカテゴリ値引がある場合：ステップ2で取得された緊急売価 - 品群のカテゴリ値引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品群、品種、分類のカテゴリ値引がない、部門のカテゴリ値引がある場合：ステップ2で取得された緊急売価- 部門のカテゴリ値引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 M_ForcePrice.ForcePriceに値がなく、M_SpecialPrice.SpecialPriceに値がある場合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&gt; カテゴリ値引がない場合、以下のようにセットする。current_price = M_SpecialPrice.SpecialPrice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&gt; カテゴリ値引がある場合、最も低いレベルのカテゴリ値引を優先する。具体的には: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+分類のカテゴリ値引がある場合：ステップ2で取得された特売売価 - 分類のカテゴリ値引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+ 分類のカテゴリ値引がない、品種のカテゴリ値引がある場合：ステップ2で取得された特売売価 - 品種のカテゴリ値引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品種、分類のカテゴリ値引がない、品群のカテゴリ値引がある場合：ステップ2で取得された特売売価 - 品群のカテゴリ値引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品群、品種、分類のカテゴリ値引がない、部門のカテゴリ値引がある場合：ステップ2で取得された特売売価 - 部門のカテゴリ値引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58</xdr:row>
      <xdr:rowOff>0</xdr:rowOff>
    </xdr:from>
    <xdr:to>
      <xdr:col>9</xdr:col>
      <xdr:colOff>0</xdr:colOff>
      <xdr:row>62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0100" y="1116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商品の現在売価を計算する。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104</xdr:row>
      <xdr:rowOff>0</xdr:rowOff>
    </xdr:from>
    <xdr:to>
      <xdr:col>9</xdr:col>
      <xdr:colOff>0</xdr:colOff>
      <xdr:row>108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1992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特売売価の有効性を判定する。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93</xdr:row>
      <xdr:rowOff>0</xdr:rowOff>
    </xdr:from>
    <xdr:to>
      <xdr:col>62</xdr:col>
      <xdr:colOff>0</xdr:colOff>
      <xdr:row>124</xdr:row>
      <xdr:rowOff>179294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236324" y="17828559"/>
          <a:ext cx="6353735" cy="6084794"/>
        </a:xfrm>
        <a:prstGeom prst="borderCallout1">
          <a:avLst>
            <a:gd name="adj1" fmla="val 40945"/>
            <a:gd name="adj2" fmla="val -60"/>
            <a:gd name="adj3" fmla="val 40823"/>
            <a:gd name="adj4" fmla="val -958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5. 特売売価の有効を判定する（レスポンスの有効なフィールドの値)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M_SpecialPrice.Status = 1（中止）の場合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・特売売価の有効を中止（3）にセットする。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▪ M_SpecialPrice.Status = 0 (有効)の場合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・M_SpecialPrice.StartDateTime &gt; NOW()の場合：特売売価の有効を未実施（2）にセットする。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・M_SpecialPrice.EndDateTime &lt; NOW()の場合、特売売価の有効を終了(1）にセットする。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・現在売価 &lt; 特売売価の場合、特売売価の有効をNG（4）にセットする。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・現在売価 &gt;= 特売売価の場合、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+1つの商品に異なるM_SpecialPrice.TypeCodeの特売売価が2つ存在している場合、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　　　　</a:t>
          </a: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* M_SpecialPrice.StartDateTime が異なるレコード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現在日に最も近い M_SpecialPrice.StartDateTimeを持つレコードの場合、特売売価の有効を実施中（0 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上記以外レコードの場合、特売売価の有効をNG（4）にセットする。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* M_SpecialPrice.StartDateTime が同じで、M_SpecialPrice.EndDateTime が異なるレコード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特売売価が同じ場合、現在日に最も近いM_SpecialPrice.EndDateTimeを持つレコードの場合、特売売価の有効を実施中（0 ）にセットする。上記以外レコードの場合、特売売価の有効をNG（4）にセットする。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特売売価が異なる場合、より小さい特売売価のレコードの場合、特売売価の有効を実施中（0)にセットする。上記以外レコードの場合、特売売価の有効をNG（4）にセットする。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* 同じM_SpecialPrice.StartDateTimeとM_SpecialPrice.EndDateTimeを持つレコード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特売売価が同じ場合、現在日に最も近いM_SpecialPrice.record_update_dateを持つレコードの場合、特売売価の有効を実施中（0 ）にセットする。上記以外レコードの場合、特売売価の有効をNG（4）にセットする。</a:t>
          </a:r>
        </a:p>
        <a:p>
          <a:pPr>
            <a:defRPr lang="vi-VN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          &gt; 特売売価が異なる場合、より小さい特売売価のレコードの場合、特売売価の有効を実施中（0)にセットする。上記以外レコードの場合、特売売価の有効をNG（4）にセットする。</a:t>
          </a:r>
        </a:p>
      </xdr:txBody>
    </xdr:sp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</xdr:colOff>
      <xdr:row>112</xdr:row>
      <xdr:rowOff>100853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7" idx="2"/>
          <a:endCxn id="4" idx="0"/>
        </xdr:cNvCxnSpPr>
      </xdr:nvCxnSpPr>
      <xdr:spPr>
        <a:xfrm flipH="1">
          <a:off x="1600200" y="20688300"/>
          <a:ext cx="0" cy="8667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6" customWidth="1"/>
    <col min="61" max="16384" width="2.77734375" style="146"/>
  </cols>
  <sheetData>
    <row r="1" spans="1:63" ht="24.95" customHeight="1" x14ac:dyDescent="0.25">
      <c r="A1" s="140" t="s">
        <v>78</v>
      </c>
      <c r="B1" s="141"/>
      <c r="C1" s="141"/>
      <c r="D1" s="141"/>
      <c r="E1" s="141"/>
      <c r="F1" s="141"/>
      <c r="G1" s="141"/>
      <c r="H1" s="141"/>
      <c r="I1" s="141"/>
      <c r="J1" s="142"/>
      <c r="K1" s="140" t="s">
        <v>79</v>
      </c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143" t="s">
        <v>80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60" t="s">
        <v>86</v>
      </c>
      <c r="B2" s="147"/>
      <c r="C2" s="147"/>
      <c r="D2" s="147"/>
      <c r="E2" s="147"/>
      <c r="F2" s="147"/>
      <c r="G2" s="147"/>
      <c r="H2" s="147"/>
      <c r="I2" s="147"/>
      <c r="J2" s="148"/>
      <c r="K2" s="149" t="s">
        <v>1</v>
      </c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8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49" t="str">
        <f>改訂履歴!$H$11</f>
        <v>TuyenNH</v>
      </c>
      <c r="AQ2" s="147"/>
      <c r="AR2" s="147"/>
      <c r="AS2" s="148"/>
      <c r="AT2" s="153">
        <f>改訂履歴!$B$11</f>
        <v>45544</v>
      </c>
      <c r="AU2" s="154"/>
      <c r="AV2" s="154"/>
      <c r="AW2" s="154"/>
      <c r="AX2" s="155"/>
      <c r="AY2" s="149" t="str">
        <f>LOOKUP(2,1/(改訂履歴!H11:H30000&lt;&gt;""),改訂履歴!H11:H30000)</f>
        <v>TuyenNH</v>
      </c>
      <c r="AZ2" s="147"/>
      <c r="BA2" s="147"/>
      <c r="BB2" s="148"/>
      <c r="BC2" s="153">
        <f>LOOKUP(2,1/(改訂履歴!B11:B30000&lt;&gt;""),改訂履歴!B11:B30000)</f>
        <v>45596</v>
      </c>
      <c r="BD2" s="154"/>
      <c r="BE2" s="154"/>
      <c r="BF2" s="154"/>
      <c r="BG2" s="155"/>
      <c r="BH2" s="156">
        <f>LOOKUP(2,1/(改訂履歴!O11:O30000&lt;&gt;""),改訂履歴!O11:O30000)</f>
        <v>0.13</v>
      </c>
      <c r="BI2" s="157"/>
      <c r="BJ2" s="157"/>
      <c r="BK2" s="158"/>
    </row>
    <row r="3" spans="1:63" ht="15" customHeight="1" x14ac:dyDescent="0.25">
      <c r="A3" s="159"/>
      <c r="B3" s="160"/>
      <c r="C3" s="160"/>
      <c r="D3" s="160"/>
      <c r="E3" s="160"/>
      <c r="F3" s="160"/>
      <c r="G3" s="160"/>
      <c r="H3" s="160"/>
      <c r="I3" s="160"/>
      <c r="J3" s="161"/>
      <c r="K3" s="159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1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68"/>
      <c r="BI3" s="169"/>
      <c r="BJ3" s="169"/>
      <c r="BK3" s="170"/>
    </row>
    <row r="4" spans="1:63" ht="24.95" customHeight="1" x14ac:dyDescent="0.25">
      <c r="A4" s="140" t="s">
        <v>87</v>
      </c>
      <c r="B4" s="141"/>
      <c r="C4" s="141"/>
      <c r="D4" s="141"/>
      <c r="E4" s="141"/>
      <c r="F4" s="141"/>
      <c r="G4" s="142"/>
      <c r="H4" s="171" t="s">
        <v>61</v>
      </c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40" t="s">
        <v>88</v>
      </c>
      <c r="V4" s="141"/>
      <c r="W4" s="141"/>
      <c r="X4" s="141"/>
      <c r="Y4" s="142"/>
      <c r="Z4" s="53" t="s">
        <v>89</v>
      </c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3"/>
      <c r="AP4" s="171" t="str">
        <f t="array" aca="1" ref="AP4" ca="1">RIGHT(CELL("filename",$A$1),LEN(CELL("filename",$A$1))-FIND("]",CELL("filename",$A$1)))</f>
        <v>表紙</v>
      </c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3"/>
    </row>
    <row r="5" spans="1:63" ht="5.0999999999999996" customHeight="1" x14ac:dyDescent="0.25">
      <c r="A5" s="174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6"/>
    </row>
    <row r="6" spans="1:63" ht="15" customHeight="1" x14ac:dyDescent="0.25">
      <c r="A6" s="177"/>
      <c r="BK6" s="178"/>
    </row>
    <row r="7" spans="1:63" ht="15" customHeight="1" x14ac:dyDescent="0.25">
      <c r="A7" s="177"/>
      <c r="BK7" s="178"/>
    </row>
    <row r="8" spans="1:63" ht="15" customHeight="1" x14ac:dyDescent="0.25">
      <c r="A8" s="177"/>
      <c r="BK8" s="178"/>
    </row>
    <row r="9" spans="1:63" ht="15" customHeight="1" x14ac:dyDescent="0.25">
      <c r="A9" s="177"/>
      <c r="BK9" s="178"/>
    </row>
    <row r="10" spans="1:63" ht="15" customHeight="1" x14ac:dyDescent="0.25">
      <c r="A10" s="177"/>
      <c r="BK10" s="178"/>
    </row>
    <row r="11" spans="1:63" ht="15" customHeight="1" x14ac:dyDescent="0.25">
      <c r="A11" s="177"/>
      <c r="BK11" s="178"/>
    </row>
    <row r="12" spans="1:63" ht="15" customHeight="1" x14ac:dyDescent="0.25">
      <c r="A12" s="177"/>
      <c r="BK12" s="178"/>
    </row>
    <row r="13" spans="1:63" ht="15" customHeight="1" x14ac:dyDescent="0.25">
      <c r="A13" s="177"/>
      <c r="BK13" s="178"/>
    </row>
    <row r="14" spans="1:63" ht="15" customHeight="1" thickBot="1" x14ac:dyDescent="0.3">
      <c r="A14" s="177"/>
      <c r="BK14" s="178"/>
    </row>
    <row r="15" spans="1:63" ht="15" customHeight="1" thickTop="1" x14ac:dyDescent="0.25">
      <c r="A15" s="177"/>
      <c r="K15" s="179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1"/>
      <c r="BK15" s="178"/>
    </row>
    <row r="16" spans="1:63" ht="15" customHeight="1" x14ac:dyDescent="0.25">
      <c r="A16" s="177"/>
      <c r="K16" s="182"/>
      <c r="L16" s="183" t="s">
        <v>90</v>
      </c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5"/>
      <c r="BK16" s="178"/>
    </row>
    <row r="17" spans="1:63" ht="15" customHeight="1" x14ac:dyDescent="0.25">
      <c r="A17" s="177"/>
      <c r="K17" s="182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5"/>
      <c r="BK17" s="178"/>
    </row>
    <row r="18" spans="1:63" ht="15" customHeight="1" x14ac:dyDescent="0.25">
      <c r="A18" s="177"/>
      <c r="K18" s="182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5"/>
      <c r="BK18" s="178"/>
    </row>
    <row r="19" spans="1:63" ht="15" customHeight="1" x14ac:dyDescent="0.25">
      <c r="A19" s="177"/>
      <c r="K19" s="182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5"/>
      <c r="BK19" s="178"/>
    </row>
    <row r="20" spans="1:63" ht="15" customHeight="1" x14ac:dyDescent="0.25">
      <c r="A20" s="177"/>
      <c r="K20" s="182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5"/>
      <c r="BK20" s="178"/>
    </row>
    <row r="21" spans="1:63" ht="15" customHeight="1" x14ac:dyDescent="0.25">
      <c r="A21" s="177"/>
      <c r="K21" s="182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5"/>
      <c r="BK21" s="178"/>
    </row>
    <row r="22" spans="1:63" ht="15" customHeight="1" thickBot="1" x14ac:dyDescent="0.3">
      <c r="A22" s="177"/>
      <c r="K22" s="182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5"/>
      <c r="BK22" s="178"/>
    </row>
    <row r="23" spans="1:63" ht="15" customHeight="1" x14ac:dyDescent="0.25">
      <c r="A23" s="177"/>
      <c r="K23" s="182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  <c r="AU23" s="187"/>
      <c r="AV23" s="187"/>
      <c r="AW23" s="187"/>
      <c r="AX23" s="187"/>
      <c r="AY23" s="187"/>
      <c r="AZ23" s="187"/>
      <c r="BA23" s="185"/>
      <c r="BK23" s="178"/>
    </row>
    <row r="24" spans="1:63" ht="15" customHeight="1" x14ac:dyDescent="0.25">
      <c r="A24" s="177"/>
      <c r="K24" s="182"/>
      <c r="L24" s="184" t="str">
        <f>K2&amp;"/"&amp;H4&amp;"/"&amp;Z4</f>
        <v>POSサーバ/AP0301/API設計書</v>
      </c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5"/>
      <c r="BK24" s="178"/>
    </row>
    <row r="25" spans="1:63" ht="15" customHeight="1" x14ac:dyDescent="0.25">
      <c r="A25" s="177"/>
      <c r="K25" s="182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5"/>
      <c r="BK25" s="178"/>
    </row>
    <row r="26" spans="1:63" ht="15" customHeight="1" x14ac:dyDescent="0.25">
      <c r="A26" s="177"/>
      <c r="K26" s="182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5"/>
      <c r="BK26" s="178"/>
    </row>
    <row r="27" spans="1:63" ht="15" customHeight="1" x14ac:dyDescent="0.25">
      <c r="A27" s="177"/>
      <c r="K27" s="182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5"/>
      <c r="BK27" s="178"/>
    </row>
    <row r="28" spans="1:63" ht="15" customHeight="1" x14ac:dyDescent="0.25">
      <c r="A28" s="177"/>
      <c r="K28" s="182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5"/>
      <c r="BK28" s="178"/>
    </row>
    <row r="29" spans="1:63" ht="15" customHeight="1" x14ac:dyDescent="0.25">
      <c r="A29" s="177"/>
      <c r="K29" s="182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5"/>
      <c r="BK29" s="178"/>
    </row>
    <row r="30" spans="1:63" ht="15" customHeight="1" x14ac:dyDescent="0.25">
      <c r="A30" s="177"/>
      <c r="K30" s="182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5"/>
      <c r="BK30" s="178"/>
    </row>
    <row r="31" spans="1:63" ht="15" customHeight="1" x14ac:dyDescent="0.25">
      <c r="A31" s="177"/>
      <c r="K31" s="182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5"/>
      <c r="BK31" s="178"/>
    </row>
    <row r="32" spans="1:63" ht="15" customHeight="1" x14ac:dyDescent="0.25">
      <c r="A32" s="177"/>
      <c r="K32" s="182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5"/>
      <c r="BK32" s="178"/>
    </row>
    <row r="33" spans="1:63" ht="15" customHeight="1" x14ac:dyDescent="0.25">
      <c r="A33" s="177"/>
      <c r="K33" s="182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5"/>
      <c r="BK33" s="178"/>
    </row>
    <row r="34" spans="1:63" ht="15" customHeight="1" x14ac:dyDescent="0.25">
      <c r="A34" s="177"/>
      <c r="K34" s="182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5"/>
      <c r="BK34" s="178"/>
    </row>
    <row r="35" spans="1:63" ht="15" customHeight="1" x14ac:dyDescent="0.25">
      <c r="A35" s="177"/>
      <c r="K35" s="182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5"/>
      <c r="BK35" s="178"/>
    </row>
    <row r="36" spans="1:63" ht="15" customHeight="1" x14ac:dyDescent="0.25">
      <c r="A36" s="177"/>
      <c r="K36" s="182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5"/>
      <c r="BK36" s="178"/>
    </row>
    <row r="37" spans="1:63" ht="15" customHeight="1" thickBot="1" x14ac:dyDescent="0.3">
      <c r="A37" s="177"/>
      <c r="K37" s="188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90"/>
      <c r="BK37" s="178"/>
    </row>
    <row r="38" spans="1:63" ht="15" customHeight="1" thickTop="1" x14ac:dyDescent="0.25">
      <c r="A38" s="177"/>
      <c r="BK38" s="178"/>
    </row>
    <row r="39" spans="1:63" ht="15" customHeight="1" x14ac:dyDescent="0.25">
      <c r="A39" s="177"/>
      <c r="BK39" s="178"/>
    </row>
    <row r="40" spans="1:63" ht="15" customHeight="1" x14ac:dyDescent="0.25">
      <c r="A40" s="177"/>
      <c r="BK40" s="178"/>
    </row>
    <row r="41" spans="1:63" ht="15" customHeight="1" x14ac:dyDescent="0.25">
      <c r="A41" s="177"/>
      <c r="BK41" s="178"/>
    </row>
    <row r="42" spans="1:63" ht="15" customHeight="1" x14ac:dyDescent="0.25">
      <c r="A42" s="177"/>
      <c r="BK42" s="178"/>
    </row>
    <row r="43" spans="1:63" ht="15" customHeight="1" x14ac:dyDescent="0.25">
      <c r="A43" s="177"/>
      <c r="BK43" s="178"/>
    </row>
    <row r="44" spans="1:63" ht="15" customHeight="1" x14ac:dyDescent="0.25">
      <c r="A44" s="177"/>
      <c r="Q44" s="191" t="s">
        <v>91</v>
      </c>
      <c r="R44" s="192"/>
      <c r="S44" s="192"/>
      <c r="T44" s="192"/>
      <c r="U44" s="192"/>
      <c r="V44" s="192"/>
      <c r="W44" s="192"/>
      <c r="X44" s="192"/>
      <c r="Y44" s="192"/>
      <c r="Z44" s="193"/>
      <c r="AA44" s="191" t="s">
        <v>92</v>
      </c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3"/>
      <c r="AQ44" s="191" t="s">
        <v>85</v>
      </c>
      <c r="AR44" s="192"/>
      <c r="AS44" s="192"/>
      <c r="AT44" s="192"/>
      <c r="AU44" s="193"/>
      <c r="BK44" s="178"/>
    </row>
    <row r="45" spans="1:63" ht="15" customHeight="1" x14ac:dyDescent="0.25">
      <c r="A45" s="177"/>
      <c r="Q45" s="194"/>
      <c r="R45" s="195"/>
      <c r="S45" s="195"/>
      <c r="T45" s="195"/>
      <c r="U45" s="195"/>
      <c r="V45" s="195"/>
      <c r="W45" s="195"/>
      <c r="X45" s="195"/>
      <c r="Y45" s="195"/>
      <c r="Z45" s="196"/>
      <c r="AA45" s="194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6"/>
      <c r="AQ45" s="194"/>
      <c r="AR45" s="195"/>
      <c r="AS45" s="195"/>
      <c r="AT45" s="195"/>
      <c r="AU45" s="196"/>
      <c r="BK45" s="178"/>
    </row>
    <row r="46" spans="1:63" ht="15" customHeight="1" x14ac:dyDescent="0.25">
      <c r="A46" s="177"/>
      <c r="Q46" s="149"/>
      <c r="R46" s="147"/>
      <c r="S46" s="147"/>
      <c r="T46" s="147"/>
      <c r="U46" s="147"/>
      <c r="V46" s="147"/>
      <c r="W46" s="147"/>
      <c r="X46" s="147"/>
      <c r="Y46" s="147"/>
      <c r="Z46" s="148"/>
      <c r="AA46" s="149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8"/>
      <c r="AQ46" s="149"/>
      <c r="AR46" s="147"/>
      <c r="AS46" s="147"/>
      <c r="AT46" s="147"/>
      <c r="AU46" s="148"/>
      <c r="BK46" s="178"/>
    </row>
    <row r="47" spans="1:63" ht="15" customHeight="1" x14ac:dyDescent="0.25">
      <c r="A47" s="177"/>
      <c r="Q47" s="197"/>
      <c r="R47" s="198"/>
      <c r="S47" s="198"/>
      <c r="T47" s="198"/>
      <c r="U47" s="198"/>
      <c r="V47" s="198"/>
      <c r="W47" s="198"/>
      <c r="X47" s="198"/>
      <c r="Y47" s="198"/>
      <c r="Z47" s="199"/>
      <c r="AA47" s="197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9"/>
      <c r="AQ47" s="197"/>
      <c r="AR47" s="198"/>
      <c r="AS47" s="198"/>
      <c r="AT47" s="198"/>
      <c r="AU47" s="199"/>
      <c r="BK47" s="178"/>
    </row>
    <row r="48" spans="1:63" ht="15" customHeight="1" x14ac:dyDescent="0.25">
      <c r="A48" s="177"/>
      <c r="Q48" s="197"/>
      <c r="R48" s="198"/>
      <c r="S48" s="198"/>
      <c r="T48" s="198"/>
      <c r="U48" s="198"/>
      <c r="V48" s="198"/>
      <c r="W48" s="198"/>
      <c r="X48" s="198"/>
      <c r="Y48" s="198"/>
      <c r="Z48" s="199"/>
      <c r="AA48" s="197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9"/>
      <c r="AQ48" s="197"/>
      <c r="AR48" s="198"/>
      <c r="AS48" s="198"/>
      <c r="AT48" s="198"/>
      <c r="AU48" s="199"/>
      <c r="BK48" s="178"/>
    </row>
    <row r="49" spans="1:63" ht="15" customHeight="1" x14ac:dyDescent="0.25">
      <c r="A49" s="177"/>
      <c r="Q49" s="159"/>
      <c r="R49" s="160"/>
      <c r="S49" s="160"/>
      <c r="T49" s="160"/>
      <c r="U49" s="160"/>
      <c r="V49" s="160"/>
      <c r="W49" s="160"/>
      <c r="X49" s="160"/>
      <c r="Y49" s="160"/>
      <c r="Z49" s="161"/>
      <c r="AA49" s="159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1"/>
      <c r="AQ49" s="159"/>
      <c r="AR49" s="160"/>
      <c r="AS49" s="160"/>
      <c r="AT49" s="160"/>
      <c r="AU49" s="161"/>
      <c r="BK49" s="178"/>
    </row>
    <row r="50" spans="1:63" ht="15" customHeight="1" x14ac:dyDescent="0.25">
      <c r="A50" s="177"/>
      <c r="BK50" s="178"/>
    </row>
    <row r="51" spans="1:63" ht="15" customHeight="1" x14ac:dyDescent="0.25">
      <c r="A51" s="177"/>
      <c r="BK51" s="178"/>
    </row>
    <row r="52" spans="1:63" ht="15" customHeight="1" x14ac:dyDescent="0.25">
      <c r="A52" s="177"/>
      <c r="BK52" s="178"/>
    </row>
    <row r="53" spans="1:63" ht="15" customHeight="1" x14ac:dyDescent="0.25">
      <c r="A53" s="177"/>
      <c r="BK53" s="178"/>
    </row>
    <row r="54" spans="1:63" ht="15" customHeight="1" x14ac:dyDescent="0.25">
      <c r="A54" s="177"/>
      <c r="BK54" s="178"/>
    </row>
    <row r="55" spans="1:63" ht="15" customHeight="1" x14ac:dyDescent="0.25">
      <c r="A55" s="174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6" customWidth="1"/>
    <col min="61" max="16384" width="2.77734375" style="146"/>
  </cols>
  <sheetData>
    <row r="1" spans="1:63" ht="24.95" customHeight="1" x14ac:dyDescent="0.25">
      <c r="A1" s="140" t="s">
        <v>78</v>
      </c>
      <c r="B1" s="141"/>
      <c r="C1" s="141"/>
      <c r="D1" s="141"/>
      <c r="E1" s="141"/>
      <c r="F1" s="141"/>
      <c r="G1" s="141"/>
      <c r="H1" s="141"/>
      <c r="I1" s="141"/>
      <c r="J1" s="142"/>
      <c r="K1" s="140" t="s">
        <v>79</v>
      </c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200" t="str">
        <f>IF(表紙!W1="","",表紙!W1)</f>
        <v>詳細設計書</v>
      </c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5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149" t="str">
        <f>IF(表紙!A2="","",表紙!A2)</f>
        <v>POSサーバー</v>
      </c>
      <c r="B2" s="147"/>
      <c r="C2" s="147"/>
      <c r="D2" s="147"/>
      <c r="E2" s="147"/>
      <c r="F2" s="147"/>
      <c r="G2" s="147"/>
      <c r="H2" s="147"/>
      <c r="I2" s="147"/>
      <c r="J2" s="148"/>
      <c r="K2" s="149" t="str">
        <f>IF(表紙!K2="","",表紙!K2)</f>
        <v>POSサーバ</v>
      </c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8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49" t="str">
        <f>IF(表紙!AP2="","",表紙!AP2)</f>
        <v>TuyenNH</v>
      </c>
      <c r="AQ2" s="147"/>
      <c r="AR2" s="147"/>
      <c r="AS2" s="148"/>
      <c r="AT2" s="153">
        <f>IF(表紙!AT2="","",表紙!AT2)</f>
        <v>45544</v>
      </c>
      <c r="AU2" s="154"/>
      <c r="AV2" s="154"/>
      <c r="AW2" s="154"/>
      <c r="AX2" s="155"/>
      <c r="AY2" s="149" t="str">
        <f>IF(表紙!AY2="","",表紙!AY2)</f>
        <v>TuyenNH</v>
      </c>
      <c r="AZ2" s="147"/>
      <c r="BA2" s="147"/>
      <c r="BB2" s="148"/>
      <c r="BC2" s="153">
        <f>IF(表紙!BC2="","",表紙!BC2)</f>
        <v>45596</v>
      </c>
      <c r="BD2" s="154"/>
      <c r="BE2" s="154"/>
      <c r="BF2" s="154"/>
      <c r="BG2" s="155"/>
      <c r="BH2" s="149">
        <f>IF(表紙!BH2="","",表紙!BH2)</f>
        <v>0.13</v>
      </c>
      <c r="BI2" s="147"/>
      <c r="BJ2" s="147"/>
      <c r="BK2" s="148"/>
    </row>
    <row r="3" spans="1:63" ht="15" customHeight="1" x14ac:dyDescent="0.25">
      <c r="A3" s="159"/>
      <c r="B3" s="160"/>
      <c r="C3" s="160"/>
      <c r="D3" s="160"/>
      <c r="E3" s="160"/>
      <c r="F3" s="160"/>
      <c r="G3" s="160"/>
      <c r="H3" s="160"/>
      <c r="I3" s="160"/>
      <c r="J3" s="161"/>
      <c r="K3" s="159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1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140" t="s">
        <v>87</v>
      </c>
      <c r="B4" s="141"/>
      <c r="C4" s="141"/>
      <c r="D4" s="141"/>
      <c r="E4" s="141"/>
      <c r="F4" s="141"/>
      <c r="G4" s="142"/>
      <c r="H4" s="171" t="str">
        <f>IF(表紙!H4="","",表紙!H4)</f>
        <v>AP0301</v>
      </c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3"/>
      <c r="U4" s="140" t="s">
        <v>88</v>
      </c>
      <c r="V4" s="141"/>
      <c r="W4" s="141"/>
      <c r="X4" s="141"/>
      <c r="Y4" s="142"/>
      <c r="Z4" s="171" t="str">
        <f>IF(表紙!Z4="","",表紙!Z4)</f>
        <v>API設計書</v>
      </c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3"/>
      <c r="AP4" s="171" t="str">
        <f t="array" aca="1" ref="AP4" ca="1">RIGHT(CELL("filename",$A$1),LEN(CELL("filename",$A$1))-FIND("]",CELL("filename",$A$1)))</f>
        <v>改訂履歴</v>
      </c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3"/>
    </row>
    <row r="5" spans="1:63" ht="5.0999999999999996" customHeight="1" x14ac:dyDescent="0.25">
      <c r="A5" s="174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6"/>
    </row>
    <row r="6" spans="1:63" ht="15" customHeight="1" x14ac:dyDescent="0.25">
      <c r="A6" s="177"/>
      <c r="BK6" s="178"/>
    </row>
    <row r="7" spans="1:63" ht="15" customHeight="1" x14ac:dyDescent="0.25">
      <c r="A7" s="177"/>
      <c r="BK7" s="178"/>
    </row>
    <row r="8" spans="1:63" ht="15" customHeight="1" x14ac:dyDescent="0.25">
      <c r="A8" s="177"/>
      <c r="B8" s="146" t="s">
        <v>0</v>
      </c>
      <c r="BK8" s="178"/>
    </row>
    <row r="9" spans="1:63" ht="15" customHeight="1" x14ac:dyDescent="0.25">
      <c r="A9" s="177"/>
      <c r="BK9" s="178"/>
    </row>
    <row r="10" spans="1:63" ht="15" customHeight="1" x14ac:dyDescent="0.25">
      <c r="A10" s="177"/>
      <c r="B10" s="201" t="s">
        <v>84</v>
      </c>
      <c r="C10" s="201"/>
      <c r="D10" s="201"/>
      <c r="E10" s="201"/>
      <c r="F10" s="201"/>
      <c r="G10" s="201"/>
      <c r="H10" s="201" t="s">
        <v>83</v>
      </c>
      <c r="I10" s="201"/>
      <c r="J10" s="201"/>
      <c r="K10" s="201"/>
      <c r="L10" s="201"/>
      <c r="M10" s="201"/>
      <c r="N10" s="201"/>
      <c r="O10" s="201" t="s">
        <v>85</v>
      </c>
      <c r="P10" s="201"/>
      <c r="Q10" s="201"/>
      <c r="R10" s="201"/>
      <c r="S10" s="201" t="s">
        <v>93</v>
      </c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 t="s">
        <v>91</v>
      </c>
      <c r="AY10" s="201"/>
      <c r="AZ10" s="201"/>
      <c r="BA10" s="201"/>
      <c r="BB10" s="201"/>
      <c r="BC10" s="201"/>
      <c r="BD10" s="201" t="s">
        <v>92</v>
      </c>
      <c r="BE10" s="201"/>
      <c r="BF10" s="201"/>
      <c r="BG10" s="201"/>
      <c r="BH10" s="201"/>
      <c r="BI10" s="201"/>
      <c r="BJ10" s="201"/>
      <c r="BK10" s="178"/>
    </row>
    <row r="11" spans="1:63" ht="15" customHeight="1" x14ac:dyDescent="0.25">
      <c r="A11" s="177"/>
      <c r="B11" s="153">
        <v>45544</v>
      </c>
      <c r="C11" s="147"/>
      <c r="D11" s="147"/>
      <c r="E11" s="147"/>
      <c r="F11" s="147"/>
      <c r="G11" s="148"/>
      <c r="H11" s="60" t="s">
        <v>94</v>
      </c>
      <c r="I11" s="147"/>
      <c r="J11" s="147"/>
      <c r="K11" s="147"/>
      <c r="L11" s="147"/>
      <c r="M11" s="147"/>
      <c r="N11" s="148"/>
      <c r="O11" s="149">
        <v>0.1</v>
      </c>
      <c r="P11" s="147"/>
      <c r="Q11" s="147"/>
      <c r="R11" s="147"/>
      <c r="S11" s="202" t="s">
        <v>2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78"/>
    </row>
    <row r="12" spans="1:63" ht="15" customHeight="1" x14ac:dyDescent="0.25">
      <c r="A12" s="177"/>
      <c r="B12" s="159"/>
      <c r="C12" s="160"/>
      <c r="D12" s="160"/>
      <c r="E12" s="160"/>
      <c r="F12" s="160"/>
      <c r="G12" s="161"/>
      <c r="H12" s="159"/>
      <c r="I12" s="160"/>
      <c r="J12" s="160"/>
      <c r="K12" s="160"/>
      <c r="L12" s="160"/>
      <c r="M12" s="160"/>
      <c r="N12" s="161"/>
      <c r="O12" s="159"/>
      <c r="P12" s="160"/>
      <c r="Q12" s="160"/>
      <c r="R12" s="160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78"/>
    </row>
    <row r="13" spans="1:63" ht="15" customHeight="1" x14ac:dyDescent="0.25">
      <c r="A13" s="177"/>
      <c r="B13" s="214">
        <v>45587</v>
      </c>
      <c r="C13" s="215"/>
      <c r="D13" s="215"/>
      <c r="E13" s="215"/>
      <c r="F13" s="215"/>
      <c r="G13" s="216"/>
      <c r="H13" s="217" t="s">
        <v>95</v>
      </c>
      <c r="I13" s="215"/>
      <c r="J13" s="215"/>
      <c r="K13" s="215"/>
      <c r="L13" s="215"/>
      <c r="M13" s="215"/>
      <c r="N13" s="216"/>
      <c r="O13" s="217">
        <v>0.11</v>
      </c>
      <c r="P13" s="215"/>
      <c r="Q13" s="215"/>
      <c r="R13" s="215"/>
      <c r="S13" s="218" t="s">
        <v>96</v>
      </c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19"/>
      <c r="AU13" s="219"/>
      <c r="AV13" s="219"/>
      <c r="AW13" s="220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78"/>
    </row>
    <row r="14" spans="1:63" ht="15" customHeight="1" x14ac:dyDescent="0.25">
      <c r="A14" s="177"/>
      <c r="B14" s="221"/>
      <c r="C14" s="222"/>
      <c r="D14" s="222"/>
      <c r="E14" s="222"/>
      <c r="F14" s="222"/>
      <c r="G14" s="223"/>
      <c r="H14" s="221"/>
      <c r="I14" s="222"/>
      <c r="J14" s="222"/>
      <c r="K14" s="222"/>
      <c r="L14" s="222"/>
      <c r="M14" s="222"/>
      <c r="N14" s="223"/>
      <c r="O14" s="221"/>
      <c r="P14" s="222"/>
      <c r="Q14" s="222"/>
      <c r="R14" s="222"/>
      <c r="S14" s="224" t="s">
        <v>97</v>
      </c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6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78"/>
    </row>
    <row r="15" spans="1:63" ht="15" customHeight="1" x14ac:dyDescent="0.25">
      <c r="A15" s="177"/>
      <c r="B15" s="214">
        <v>45589</v>
      </c>
      <c r="C15" s="215"/>
      <c r="D15" s="215"/>
      <c r="E15" s="215"/>
      <c r="F15" s="215"/>
      <c r="G15" s="216"/>
      <c r="H15" s="217" t="s">
        <v>100</v>
      </c>
      <c r="I15" s="215"/>
      <c r="J15" s="215"/>
      <c r="K15" s="215"/>
      <c r="L15" s="215"/>
      <c r="M15" s="215"/>
      <c r="N15" s="216"/>
      <c r="O15" s="217">
        <v>0.12</v>
      </c>
      <c r="P15" s="215"/>
      <c r="Q15" s="215"/>
      <c r="R15" s="215"/>
      <c r="S15" s="218" t="s">
        <v>101</v>
      </c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19"/>
      <c r="AK15" s="219"/>
      <c r="AL15" s="219"/>
      <c r="AM15" s="219"/>
      <c r="AN15" s="219"/>
      <c r="AO15" s="219"/>
      <c r="AP15" s="219"/>
      <c r="AQ15" s="219"/>
      <c r="AR15" s="219"/>
      <c r="AS15" s="219"/>
      <c r="AT15" s="219"/>
      <c r="AU15" s="219"/>
      <c r="AV15" s="219"/>
      <c r="AW15" s="220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78"/>
    </row>
    <row r="16" spans="1:63" ht="15" customHeight="1" x14ac:dyDescent="0.25">
      <c r="A16" s="177"/>
      <c r="B16" s="221"/>
      <c r="C16" s="222"/>
      <c r="D16" s="222"/>
      <c r="E16" s="222"/>
      <c r="F16" s="222"/>
      <c r="G16" s="223"/>
      <c r="H16" s="221"/>
      <c r="I16" s="222"/>
      <c r="J16" s="222"/>
      <c r="K16" s="222"/>
      <c r="L16" s="222"/>
      <c r="M16" s="222"/>
      <c r="N16" s="223"/>
      <c r="O16" s="221"/>
      <c r="P16" s="222"/>
      <c r="Q16" s="222"/>
      <c r="R16" s="222"/>
      <c r="S16" s="224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5"/>
      <c r="AW16" s="226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78"/>
    </row>
    <row r="17" spans="1:63" ht="22.5" customHeight="1" x14ac:dyDescent="0.25">
      <c r="A17" s="177"/>
      <c r="B17" s="214">
        <v>45596</v>
      </c>
      <c r="C17" s="215"/>
      <c r="D17" s="215"/>
      <c r="E17" s="215"/>
      <c r="F17" s="215"/>
      <c r="G17" s="216"/>
      <c r="H17" s="217" t="s">
        <v>94</v>
      </c>
      <c r="I17" s="215"/>
      <c r="J17" s="215"/>
      <c r="K17" s="215"/>
      <c r="L17" s="215"/>
      <c r="M17" s="215"/>
      <c r="N17" s="216"/>
      <c r="O17" s="217">
        <v>0.13</v>
      </c>
      <c r="P17" s="215"/>
      <c r="Q17" s="215"/>
      <c r="R17" s="215"/>
      <c r="S17" s="227" t="s">
        <v>99</v>
      </c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9"/>
      <c r="AX17" s="61"/>
      <c r="AY17" s="61"/>
      <c r="AZ17" s="61"/>
      <c r="BA17" s="61"/>
      <c r="BB17" s="61"/>
      <c r="BC17" s="62"/>
      <c r="BD17" s="65"/>
      <c r="BE17" s="61"/>
      <c r="BF17" s="61"/>
      <c r="BG17" s="61"/>
      <c r="BH17" s="61"/>
      <c r="BI17" s="61"/>
      <c r="BJ17" s="62"/>
      <c r="BK17" s="178"/>
    </row>
    <row r="18" spans="1:63" ht="99.75" customHeight="1" x14ac:dyDescent="0.25">
      <c r="A18" s="177"/>
      <c r="B18" s="221"/>
      <c r="C18" s="222"/>
      <c r="D18" s="222"/>
      <c r="E18" s="222"/>
      <c r="F18" s="222"/>
      <c r="G18" s="223"/>
      <c r="H18" s="221"/>
      <c r="I18" s="222"/>
      <c r="J18" s="222"/>
      <c r="K18" s="222"/>
      <c r="L18" s="222"/>
      <c r="M18" s="222"/>
      <c r="N18" s="223"/>
      <c r="O18" s="221"/>
      <c r="P18" s="222"/>
      <c r="Q18" s="222"/>
      <c r="R18" s="222"/>
      <c r="S18" s="230" t="s">
        <v>98</v>
      </c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2"/>
      <c r="AX18" s="63"/>
      <c r="AY18" s="63"/>
      <c r="AZ18" s="63"/>
      <c r="BA18" s="63"/>
      <c r="BB18" s="63"/>
      <c r="BC18" s="64"/>
      <c r="BD18" s="66"/>
      <c r="BE18" s="63"/>
      <c r="BF18" s="63"/>
      <c r="BG18" s="63"/>
      <c r="BH18" s="63"/>
      <c r="BI18" s="63"/>
      <c r="BJ18" s="64"/>
      <c r="BK18" s="178"/>
    </row>
    <row r="19" spans="1:63" ht="15" customHeight="1" x14ac:dyDescent="0.25">
      <c r="A19" s="177"/>
      <c r="B19" s="149"/>
      <c r="C19" s="147"/>
      <c r="D19" s="147"/>
      <c r="E19" s="147"/>
      <c r="F19" s="147"/>
      <c r="G19" s="148"/>
      <c r="H19" s="149"/>
      <c r="I19" s="147"/>
      <c r="J19" s="147"/>
      <c r="K19" s="147"/>
      <c r="L19" s="147"/>
      <c r="M19" s="147"/>
      <c r="N19" s="148"/>
      <c r="O19" s="149"/>
      <c r="P19" s="147"/>
      <c r="Q19" s="147"/>
      <c r="R19" s="147"/>
      <c r="S19" s="202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78"/>
    </row>
    <row r="20" spans="1:63" ht="15" customHeight="1" x14ac:dyDescent="0.25">
      <c r="A20" s="177"/>
      <c r="B20" s="159"/>
      <c r="C20" s="160"/>
      <c r="D20" s="160"/>
      <c r="E20" s="160"/>
      <c r="F20" s="160"/>
      <c r="G20" s="161"/>
      <c r="H20" s="159"/>
      <c r="I20" s="160"/>
      <c r="J20" s="160"/>
      <c r="K20" s="160"/>
      <c r="L20" s="160"/>
      <c r="M20" s="160"/>
      <c r="N20" s="161"/>
      <c r="O20" s="159"/>
      <c r="P20" s="160"/>
      <c r="Q20" s="160"/>
      <c r="R20" s="160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78"/>
    </row>
    <row r="21" spans="1:63" ht="15" customHeight="1" x14ac:dyDescent="0.25">
      <c r="A21" s="177"/>
      <c r="B21" s="149"/>
      <c r="C21" s="147"/>
      <c r="D21" s="147"/>
      <c r="E21" s="147"/>
      <c r="F21" s="147"/>
      <c r="G21" s="148"/>
      <c r="H21" s="149"/>
      <c r="I21" s="147"/>
      <c r="J21" s="147"/>
      <c r="K21" s="147"/>
      <c r="L21" s="147"/>
      <c r="M21" s="147"/>
      <c r="N21" s="148"/>
      <c r="O21" s="149"/>
      <c r="P21" s="147"/>
      <c r="Q21" s="147"/>
      <c r="R21" s="147"/>
      <c r="S21" s="202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78"/>
    </row>
    <row r="22" spans="1:63" ht="15" customHeight="1" x14ac:dyDescent="0.25">
      <c r="A22" s="177"/>
      <c r="B22" s="159"/>
      <c r="C22" s="160"/>
      <c r="D22" s="160"/>
      <c r="E22" s="160"/>
      <c r="F22" s="160"/>
      <c r="G22" s="161"/>
      <c r="H22" s="159"/>
      <c r="I22" s="160"/>
      <c r="J22" s="160"/>
      <c r="K22" s="160"/>
      <c r="L22" s="160"/>
      <c r="M22" s="160"/>
      <c r="N22" s="161"/>
      <c r="O22" s="159"/>
      <c r="P22" s="160"/>
      <c r="Q22" s="160"/>
      <c r="R22" s="160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78"/>
    </row>
    <row r="23" spans="1:63" ht="15" customHeight="1" x14ac:dyDescent="0.25">
      <c r="A23" s="177"/>
      <c r="B23" s="149"/>
      <c r="C23" s="147"/>
      <c r="D23" s="147"/>
      <c r="E23" s="147"/>
      <c r="F23" s="147"/>
      <c r="G23" s="148"/>
      <c r="H23" s="149"/>
      <c r="I23" s="147"/>
      <c r="J23" s="147"/>
      <c r="K23" s="147"/>
      <c r="L23" s="147"/>
      <c r="M23" s="147"/>
      <c r="N23" s="148"/>
      <c r="O23" s="149"/>
      <c r="P23" s="147"/>
      <c r="Q23" s="147"/>
      <c r="R23" s="147"/>
      <c r="S23" s="202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78"/>
    </row>
    <row r="24" spans="1:63" ht="15" customHeight="1" x14ac:dyDescent="0.25">
      <c r="A24" s="177"/>
      <c r="B24" s="159"/>
      <c r="C24" s="160"/>
      <c r="D24" s="160"/>
      <c r="E24" s="160"/>
      <c r="F24" s="160"/>
      <c r="G24" s="161"/>
      <c r="H24" s="159"/>
      <c r="I24" s="160"/>
      <c r="J24" s="160"/>
      <c r="K24" s="160"/>
      <c r="L24" s="160"/>
      <c r="M24" s="160"/>
      <c r="N24" s="161"/>
      <c r="O24" s="159"/>
      <c r="P24" s="160"/>
      <c r="Q24" s="160"/>
      <c r="R24" s="160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78"/>
    </row>
    <row r="25" spans="1:63" ht="15" customHeight="1" x14ac:dyDescent="0.25">
      <c r="A25" s="177"/>
      <c r="B25" s="149"/>
      <c r="C25" s="147"/>
      <c r="D25" s="147"/>
      <c r="E25" s="147"/>
      <c r="F25" s="147"/>
      <c r="G25" s="148"/>
      <c r="H25" s="149"/>
      <c r="I25" s="147"/>
      <c r="J25" s="147"/>
      <c r="K25" s="147"/>
      <c r="L25" s="147"/>
      <c r="M25" s="147"/>
      <c r="N25" s="148"/>
      <c r="O25" s="149"/>
      <c r="P25" s="147"/>
      <c r="Q25" s="147"/>
      <c r="R25" s="147"/>
      <c r="S25" s="202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78"/>
    </row>
    <row r="26" spans="1:63" ht="15" customHeight="1" x14ac:dyDescent="0.25">
      <c r="A26" s="177"/>
      <c r="B26" s="159"/>
      <c r="C26" s="160"/>
      <c r="D26" s="160"/>
      <c r="E26" s="160"/>
      <c r="F26" s="160"/>
      <c r="G26" s="161"/>
      <c r="H26" s="159"/>
      <c r="I26" s="160"/>
      <c r="J26" s="160"/>
      <c r="K26" s="160"/>
      <c r="L26" s="160"/>
      <c r="M26" s="160"/>
      <c r="N26" s="161"/>
      <c r="O26" s="159"/>
      <c r="P26" s="160"/>
      <c r="Q26" s="160"/>
      <c r="R26" s="160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78"/>
    </row>
    <row r="27" spans="1:63" ht="15" customHeight="1" x14ac:dyDescent="0.25">
      <c r="A27" s="177"/>
      <c r="B27" s="149"/>
      <c r="C27" s="147"/>
      <c r="D27" s="147"/>
      <c r="E27" s="147"/>
      <c r="F27" s="147"/>
      <c r="G27" s="148"/>
      <c r="H27" s="149"/>
      <c r="I27" s="147"/>
      <c r="J27" s="147"/>
      <c r="K27" s="147"/>
      <c r="L27" s="147"/>
      <c r="M27" s="147"/>
      <c r="N27" s="148"/>
      <c r="O27" s="149"/>
      <c r="P27" s="147"/>
      <c r="Q27" s="147"/>
      <c r="R27" s="147"/>
      <c r="S27" s="202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78"/>
    </row>
    <row r="28" spans="1:63" ht="15" customHeight="1" x14ac:dyDescent="0.25">
      <c r="A28" s="177"/>
      <c r="B28" s="159"/>
      <c r="C28" s="160"/>
      <c r="D28" s="160"/>
      <c r="E28" s="160"/>
      <c r="F28" s="160"/>
      <c r="G28" s="161"/>
      <c r="H28" s="159"/>
      <c r="I28" s="160"/>
      <c r="J28" s="160"/>
      <c r="K28" s="160"/>
      <c r="L28" s="160"/>
      <c r="M28" s="160"/>
      <c r="N28" s="161"/>
      <c r="O28" s="159"/>
      <c r="P28" s="160"/>
      <c r="Q28" s="160"/>
      <c r="R28" s="160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78"/>
    </row>
    <row r="29" spans="1:63" ht="15" customHeight="1" x14ac:dyDescent="0.25">
      <c r="A29" s="177"/>
      <c r="B29" s="149"/>
      <c r="C29" s="147"/>
      <c r="D29" s="147"/>
      <c r="E29" s="147"/>
      <c r="F29" s="147"/>
      <c r="G29" s="148"/>
      <c r="H29" s="149"/>
      <c r="I29" s="147"/>
      <c r="J29" s="147"/>
      <c r="K29" s="147"/>
      <c r="L29" s="147"/>
      <c r="M29" s="147"/>
      <c r="N29" s="148"/>
      <c r="O29" s="149"/>
      <c r="P29" s="147"/>
      <c r="Q29" s="147"/>
      <c r="R29" s="147"/>
      <c r="S29" s="202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78"/>
    </row>
    <row r="30" spans="1:63" ht="15" customHeight="1" x14ac:dyDescent="0.25">
      <c r="A30" s="177"/>
      <c r="B30" s="159"/>
      <c r="C30" s="160"/>
      <c r="D30" s="160"/>
      <c r="E30" s="160"/>
      <c r="F30" s="160"/>
      <c r="G30" s="161"/>
      <c r="H30" s="159"/>
      <c r="I30" s="160"/>
      <c r="J30" s="160"/>
      <c r="K30" s="160"/>
      <c r="L30" s="160"/>
      <c r="M30" s="160"/>
      <c r="N30" s="161"/>
      <c r="O30" s="159"/>
      <c r="P30" s="160"/>
      <c r="Q30" s="160"/>
      <c r="R30" s="160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78"/>
    </row>
    <row r="31" spans="1:63" ht="15" customHeight="1" x14ac:dyDescent="0.25">
      <c r="A31" s="177"/>
      <c r="B31" s="149"/>
      <c r="C31" s="147"/>
      <c r="D31" s="147"/>
      <c r="E31" s="147"/>
      <c r="F31" s="147"/>
      <c r="G31" s="148"/>
      <c r="H31" s="149"/>
      <c r="I31" s="147"/>
      <c r="J31" s="147"/>
      <c r="K31" s="147"/>
      <c r="L31" s="147"/>
      <c r="M31" s="147"/>
      <c r="N31" s="148"/>
      <c r="O31" s="149"/>
      <c r="P31" s="147"/>
      <c r="Q31" s="147"/>
      <c r="R31" s="147"/>
      <c r="S31" s="202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78"/>
    </row>
    <row r="32" spans="1:63" ht="15" customHeight="1" x14ac:dyDescent="0.25">
      <c r="A32" s="177"/>
      <c r="B32" s="159"/>
      <c r="C32" s="160"/>
      <c r="D32" s="160"/>
      <c r="E32" s="160"/>
      <c r="F32" s="160"/>
      <c r="G32" s="161"/>
      <c r="H32" s="159"/>
      <c r="I32" s="160"/>
      <c r="J32" s="160"/>
      <c r="K32" s="160"/>
      <c r="L32" s="160"/>
      <c r="M32" s="160"/>
      <c r="N32" s="161"/>
      <c r="O32" s="159"/>
      <c r="P32" s="160"/>
      <c r="Q32" s="160"/>
      <c r="R32" s="160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78"/>
    </row>
    <row r="33" spans="1:63" ht="15" customHeight="1" x14ac:dyDescent="0.25">
      <c r="A33" s="177"/>
      <c r="B33" s="149"/>
      <c r="C33" s="147"/>
      <c r="D33" s="147"/>
      <c r="E33" s="147"/>
      <c r="F33" s="147"/>
      <c r="G33" s="148"/>
      <c r="H33" s="149"/>
      <c r="I33" s="147"/>
      <c r="J33" s="147"/>
      <c r="K33" s="147"/>
      <c r="L33" s="147"/>
      <c r="M33" s="147"/>
      <c r="N33" s="148"/>
      <c r="O33" s="149"/>
      <c r="P33" s="147"/>
      <c r="Q33" s="147"/>
      <c r="R33" s="147"/>
      <c r="S33" s="202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78"/>
    </row>
    <row r="34" spans="1:63" ht="15" customHeight="1" x14ac:dyDescent="0.25">
      <c r="A34" s="177"/>
      <c r="B34" s="159"/>
      <c r="C34" s="160"/>
      <c r="D34" s="160"/>
      <c r="E34" s="160"/>
      <c r="F34" s="160"/>
      <c r="G34" s="161"/>
      <c r="H34" s="159"/>
      <c r="I34" s="160"/>
      <c r="J34" s="160"/>
      <c r="K34" s="160"/>
      <c r="L34" s="160"/>
      <c r="M34" s="160"/>
      <c r="N34" s="161"/>
      <c r="O34" s="159"/>
      <c r="P34" s="160"/>
      <c r="Q34" s="160"/>
      <c r="R34" s="160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78"/>
    </row>
    <row r="35" spans="1:63" ht="15" customHeight="1" x14ac:dyDescent="0.25">
      <c r="A35" s="177"/>
      <c r="B35" s="149"/>
      <c r="C35" s="147"/>
      <c r="D35" s="147"/>
      <c r="E35" s="147"/>
      <c r="F35" s="147"/>
      <c r="G35" s="148"/>
      <c r="H35" s="149"/>
      <c r="I35" s="147"/>
      <c r="J35" s="147"/>
      <c r="K35" s="147"/>
      <c r="L35" s="147"/>
      <c r="M35" s="147"/>
      <c r="N35" s="148"/>
      <c r="O35" s="149"/>
      <c r="P35" s="147"/>
      <c r="Q35" s="147"/>
      <c r="R35" s="147"/>
      <c r="S35" s="202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78"/>
    </row>
    <row r="36" spans="1:63" ht="15" customHeight="1" x14ac:dyDescent="0.25">
      <c r="A36" s="177"/>
      <c r="B36" s="159"/>
      <c r="C36" s="160"/>
      <c r="D36" s="160"/>
      <c r="E36" s="160"/>
      <c r="F36" s="160"/>
      <c r="G36" s="161"/>
      <c r="H36" s="159"/>
      <c r="I36" s="160"/>
      <c r="J36" s="160"/>
      <c r="K36" s="160"/>
      <c r="L36" s="160"/>
      <c r="M36" s="160"/>
      <c r="N36" s="161"/>
      <c r="O36" s="159"/>
      <c r="P36" s="160"/>
      <c r="Q36" s="160"/>
      <c r="R36" s="160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78"/>
    </row>
    <row r="37" spans="1:63" ht="15" customHeight="1" x14ac:dyDescent="0.25">
      <c r="A37" s="177"/>
      <c r="B37" s="149"/>
      <c r="C37" s="147"/>
      <c r="D37" s="147"/>
      <c r="E37" s="147"/>
      <c r="F37" s="147"/>
      <c r="G37" s="148"/>
      <c r="H37" s="149"/>
      <c r="I37" s="147"/>
      <c r="J37" s="147"/>
      <c r="K37" s="147"/>
      <c r="L37" s="147"/>
      <c r="M37" s="147"/>
      <c r="N37" s="148"/>
      <c r="O37" s="149"/>
      <c r="P37" s="147"/>
      <c r="Q37" s="147"/>
      <c r="R37" s="147"/>
      <c r="S37" s="202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78"/>
    </row>
    <row r="38" spans="1:63" ht="15" customHeight="1" x14ac:dyDescent="0.25">
      <c r="A38" s="177"/>
      <c r="B38" s="159"/>
      <c r="C38" s="160"/>
      <c r="D38" s="160"/>
      <c r="E38" s="160"/>
      <c r="F38" s="160"/>
      <c r="G38" s="161"/>
      <c r="H38" s="159"/>
      <c r="I38" s="160"/>
      <c r="J38" s="160"/>
      <c r="K38" s="160"/>
      <c r="L38" s="160"/>
      <c r="M38" s="160"/>
      <c r="N38" s="161"/>
      <c r="O38" s="159"/>
      <c r="P38" s="160"/>
      <c r="Q38" s="160"/>
      <c r="R38" s="160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78"/>
    </row>
    <row r="39" spans="1:63" ht="15" customHeight="1" x14ac:dyDescent="0.25">
      <c r="A39" s="177"/>
      <c r="B39" s="149"/>
      <c r="C39" s="147"/>
      <c r="D39" s="147"/>
      <c r="E39" s="147"/>
      <c r="F39" s="147"/>
      <c r="G39" s="148"/>
      <c r="H39" s="149"/>
      <c r="I39" s="147"/>
      <c r="J39" s="147"/>
      <c r="K39" s="147"/>
      <c r="L39" s="147"/>
      <c r="M39" s="147"/>
      <c r="N39" s="148"/>
      <c r="O39" s="149"/>
      <c r="P39" s="147"/>
      <c r="Q39" s="147"/>
      <c r="R39" s="147"/>
      <c r="S39" s="202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78"/>
    </row>
    <row r="40" spans="1:63" ht="15" customHeight="1" x14ac:dyDescent="0.25">
      <c r="A40" s="177"/>
      <c r="B40" s="159"/>
      <c r="C40" s="160"/>
      <c r="D40" s="160"/>
      <c r="E40" s="160"/>
      <c r="F40" s="160"/>
      <c r="G40" s="161"/>
      <c r="H40" s="159"/>
      <c r="I40" s="160"/>
      <c r="J40" s="160"/>
      <c r="K40" s="160"/>
      <c r="L40" s="160"/>
      <c r="M40" s="160"/>
      <c r="N40" s="161"/>
      <c r="O40" s="159"/>
      <c r="P40" s="160"/>
      <c r="Q40" s="160"/>
      <c r="R40" s="160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78"/>
    </row>
    <row r="41" spans="1:63" ht="15" customHeight="1" x14ac:dyDescent="0.25">
      <c r="A41" s="177"/>
      <c r="B41" s="149"/>
      <c r="C41" s="147"/>
      <c r="D41" s="147"/>
      <c r="E41" s="147"/>
      <c r="F41" s="147"/>
      <c r="G41" s="148"/>
      <c r="H41" s="149"/>
      <c r="I41" s="147"/>
      <c r="J41" s="147"/>
      <c r="K41" s="147"/>
      <c r="L41" s="147"/>
      <c r="M41" s="147"/>
      <c r="N41" s="148"/>
      <c r="O41" s="149"/>
      <c r="P41" s="147"/>
      <c r="Q41" s="147"/>
      <c r="R41" s="147"/>
      <c r="S41" s="202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78"/>
    </row>
    <row r="42" spans="1:63" ht="15" customHeight="1" x14ac:dyDescent="0.25">
      <c r="A42" s="177"/>
      <c r="B42" s="159"/>
      <c r="C42" s="160"/>
      <c r="D42" s="160"/>
      <c r="E42" s="160"/>
      <c r="F42" s="160"/>
      <c r="G42" s="161"/>
      <c r="H42" s="159"/>
      <c r="I42" s="160"/>
      <c r="J42" s="160"/>
      <c r="K42" s="160"/>
      <c r="L42" s="160"/>
      <c r="M42" s="160"/>
      <c r="N42" s="161"/>
      <c r="O42" s="159"/>
      <c r="P42" s="160"/>
      <c r="Q42" s="160"/>
      <c r="R42" s="160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78"/>
    </row>
    <row r="43" spans="1:63" ht="15" customHeight="1" x14ac:dyDescent="0.25">
      <c r="A43" s="177"/>
      <c r="B43" s="149"/>
      <c r="C43" s="147"/>
      <c r="D43" s="147"/>
      <c r="E43" s="147"/>
      <c r="F43" s="147"/>
      <c r="G43" s="148"/>
      <c r="H43" s="149"/>
      <c r="I43" s="147"/>
      <c r="J43" s="147"/>
      <c r="K43" s="147"/>
      <c r="L43" s="147"/>
      <c r="M43" s="147"/>
      <c r="N43" s="148"/>
      <c r="O43" s="149"/>
      <c r="P43" s="147"/>
      <c r="Q43" s="147"/>
      <c r="R43" s="147"/>
      <c r="S43" s="202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78"/>
    </row>
    <row r="44" spans="1:63" ht="15" customHeight="1" x14ac:dyDescent="0.25">
      <c r="A44" s="177"/>
      <c r="B44" s="159"/>
      <c r="C44" s="160"/>
      <c r="D44" s="160"/>
      <c r="E44" s="160"/>
      <c r="F44" s="160"/>
      <c r="G44" s="161"/>
      <c r="H44" s="159"/>
      <c r="I44" s="160"/>
      <c r="J44" s="160"/>
      <c r="K44" s="160"/>
      <c r="L44" s="160"/>
      <c r="M44" s="160"/>
      <c r="N44" s="161"/>
      <c r="O44" s="159"/>
      <c r="P44" s="160"/>
      <c r="Q44" s="160"/>
      <c r="R44" s="160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78"/>
    </row>
    <row r="45" spans="1:63" ht="15" customHeight="1" x14ac:dyDescent="0.25">
      <c r="A45" s="177"/>
      <c r="B45" s="149"/>
      <c r="C45" s="147"/>
      <c r="D45" s="147"/>
      <c r="E45" s="147"/>
      <c r="F45" s="147"/>
      <c r="G45" s="148"/>
      <c r="H45" s="149"/>
      <c r="I45" s="147"/>
      <c r="J45" s="147"/>
      <c r="K45" s="147"/>
      <c r="L45" s="147"/>
      <c r="M45" s="147"/>
      <c r="N45" s="148"/>
      <c r="O45" s="149"/>
      <c r="P45" s="147"/>
      <c r="Q45" s="147"/>
      <c r="R45" s="147"/>
      <c r="S45" s="202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78"/>
    </row>
    <row r="46" spans="1:63" ht="15" customHeight="1" x14ac:dyDescent="0.25">
      <c r="A46" s="177"/>
      <c r="B46" s="159"/>
      <c r="C46" s="160"/>
      <c r="D46" s="160"/>
      <c r="E46" s="160"/>
      <c r="F46" s="160"/>
      <c r="G46" s="161"/>
      <c r="H46" s="159"/>
      <c r="I46" s="160"/>
      <c r="J46" s="160"/>
      <c r="K46" s="160"/>
      <c r="L46" s="160"/>
      <c r="M46" s="160"/>
      <c r="N46" s="161"/>
      <c r="O46" s="159"/>
      <c r="P46" s="160"/>
      <c r="Q46" s="160"/>
      <c r="R46" s="160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78"/>
    </row>
    <row r="47" spans="1:63" ht="15" customHeight="1" x14ac:dyDescent="0.25">
      <c r="A47" s="177"/>
      <c r="B47" s="149"/>
      <c r="C47" s="147"/>
      <c r="D47" s="147"/>
      <c r="E47" s="147"/>
      <c r="F47" s="147"/>
      <c r="G47" s="148"/>
      <c r="H47" s="149"/>
      <c r="I47" s="147"/>
      <c r="J47" s="147"/>
      <c r="K47" s="147"/>
      <c r="L47" s="147"/>
      <c r="M47" s="147"/>
      <c r="N47" s="148"/>
      <c r="O47" s="149"/>
      <c r="P47" s="147"/>
      <c r="Q47" s="147"/>
      <c r="R47" s="147"/>
      <c r="S47" s="202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78"/>
    </row>
    <row r="48" spans="1:63" ht="15" customHeight="1" x14ac:dyDescent="0.25">
      <c r="A48" s="177"/>
      <c r="B48" s="159"/>
      <c r="C48" s="160"/>
      <c r="D48" s="160"/>
      <c r="E48" s="160"/>
      <c r="F48" s="160"/>
      <c r="G48" s="161"/>
      <c r="H48" s="159"/>
      <c r="I48" s="160"/>
      <c r="J48" s="160"/>
      <c r="K48" s="160"/>
      <c r="L48" s="160"/>
      <c r="M48" s="160"/>
      <c r="N48" s="161"/>
      <c r="O48" s="159"/>
      <c r="P48" s="160"/>
      <c r="Q48" s="160"/>
      <c r="R48" s="160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78"/>
    </row>
    <row r="49" spans="1:63" ht="15" customHeight="1" x14ac:dyDescent="0.25">
      <c r="A49" s="177"/>
      <c r="B49" s="149"/>
      <c r="C49" s="147"/>
      <c r="D49" s="147"/>
      <c r="E49" s="147"/>
      <c r="F49" s="147"/>
      <c r="G49" s="148"/>
      <c r="H49" s="149"/>
      <c r="I49" s="147"/>
      <c r="J49" s="147"/>
      <c r="K49" s="147"/>
      <c r="L49" s="147"/>
      <c r="M49" s="147"/>
      <c r="N49" s="148"/>
      <c r="O49" s="149"/>
      <c r="P49" s="147"/>
      <c r="Q49" s="147"/>
      <c r="R49" s="147"/>
      <c r="S49" s="202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78"/>
    </row>
    <row r="50" spans="1:63" ht="15" customHeight="1" x14ac:dyDescent="0.25">
      <c r="A50" s="177"/>
      <c r="B50" s="159"/>
      <c r="C50" s="160"/>
      <c r="D50" s="160"/>
      <c r="E50" s="160"/>
      <c r="F50" s="160"/>
      <c r="G50" s="161"/>
      <c r="H50" s="159"/>
      <c r="I50" s="160"/>
      <c r="J50" s="160"/>
      <c r="K50" s="160"/>
      <c r="L50" s="160"/>
      <c r="M50" s="160"/>
      <c r="N50" s="161"/>
      <c r="O50" s="159"/>
      <c r="P50" s="160"/>
      <c r="Q50" s="160"/>
      <c r="R50" s="160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78"/>
    </row>
    <row r="51" spans="1:63" ht="15" customHeight="1" x14ac:dyDescent="0.25">
      <c r="A51" s="177"/>
      <c r="B51" s="149"/>
      <c r="C51" s="147"/>
      <c r="D51" s="147"/>
      <c r="E51" s="147"/>
      <c r="F51" s="147"/>
      <c r="G51" s="148"/>
      <c r="H51" s="149"/>
      <c r="I51" s="147"/>
      <c r="J51" s="147"/>
      <c r="K51" s="147"/>
      <c r="L51" s="147"/>
      <c r="M51" s="147"/>
      <c r="N51" s="148"/>
      <c r="O51" s="149"/>
      <c r="P51" s="147"/>
      <c r="Q51" s="147"/>
      <c r="R51" s="147"/>
      <c r="S51" s="202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78"/>
    </row>
    <row r="52" spans="1:63" ht="15" customHeight="1" x14ac:dyDescent="0.25">
      <c r="A52" s="177"/>
      <c r="B52" s="159"/>
      <c r="C52" s="160"/>
      <c r="D52" s="160"/>
      <c r="E52" s="160"/>
      <c r="F52" s="160"/>
      <c r="G52" s="161"/>
      <c r="H52" s="159"/>
      <c r="I52" s="160"/>
      <c r="J52" s="160"/>
      <c r="K52" s="160"/>
      <c r="L52" s="160"/>
      <c r="M52" s="160"/>
      <c r="N52" s="161"/>
      <c r="O52" s="159"/>
      <c r="P52" s="160"/>
      <c r="Q52" s="160"/>
      <c r="R52" s="160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78"/>
    </row>
    <row r="53" spans="1:63" ht="15" customHeight="1" x14ac:dyDescent="0.25">
      <c r="A53" s="177"/>
      <c r="B53" s="149"/>
      <c r="C53" s="147"/>
      <c r="D53" s="147"/>
      <c r="E53" s="147"/>
      <c r="F53" s="147"/>
      <c r="G53" s="148"/>
      <c r="H53" s="149"/>
      <c r="I53" s="147"/>
      <c r="J53" s="147"/>
      <c r="K53" s="147"/>
      <c r="L53" s="147"/>
      <c r="M53" s="147"/>
      <c r="N53" s="148"/>
      <c r="O53" s="149"/>
      <c r="P53" s="147"/>
      <c r="Q53" s="147"/>
      <c r="R53" s="147"/>
      <c r="S53" s="202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78"/>
    </row>
    <row r="54" spans="1:63" ht="15" customHeight="1" x14ac:dyDescent="0.25">
      <c r="A54" s="177"/>
      <c r="B54" s="159"/>
      <c r="C54" s="160"/>
      <c r="D54" s="160"/>
      <c r="E54" s="160"/>
      <c r="F54" s="160"/>
      <c r="G54" s="161"/>
      <c r="H54" s="159"/>
      <c r="I54" s="160"/>
      <c r="J54" s="160"/>
      <c r="K54" s="160"/>
      <c r="L54" s="160"/>
      <c r="M54" s="160"/>
      <c r="N54" s="161"/>
      <c r="O54" s="159"/>
      <c r="P54" s="160"/>
      <c r="Q54" s="160"/>
      <c r="R54" s="160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78"/>
    </row>
    <row r="55" spans="1:63" ht="15" customHeight="1" x14ac:dyDescent="0.25">
      <c r="A55" s="174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3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3" t="s">
        <v>78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79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36" t="str">
        <f>IF(表紙!W1="","",表紙!W1)</f>
        <v>詳細設計書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239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1"/>
      <c r="AP2" s="149" t="str">
        <f>IF(表紙!AP2="","",表紙!AP2)</f>
        <v>TuyenNH</v>
      </c>
      <c r="AQ2" s="147"/>
      <c r="AR2" s="147"/>
      <c r="AS2" s="148"/>
      <c r="AT2" s="153">
        <f>IF(表紙!AT2="","",表紙!AT2)</f>
        <v>45544</v>
      </c>
      <c r="AU2" s="154"/>
      <c r="AV2" s="154"/>
      <c r="AW2" s="154"/>
      <c r="AX2" s="155"/>
      <c r="AY2" s="149" t="str">
        <f>IF(表紙!AY2="","",表紙!AY2)</f>
        <v>TuyenNH</v>
      </c>
      <c r="AZ2" s="147"/>
      <c r="BA2" s="147"/>
      <c r="BB2" s="148"/>
      <c r="BC2" s="153">
        <f>IF(表紙!BC2="","",表紙!BC2)</f>
        <v>45596</v>
      </c>
      <c r="BD2" s="154"/>
      <c r="BE2" s="154"/>
      <c r="BF2" s="154"/>
      <c r="BG2" s="155"/>
      <c r="BH2" s="149">
        <f>IF(表紙!BH2="","",表紙!BH2)</f>
        <v>0.13</v>
      </c>
      <c r="BI2" s="147"/>
      <c r="BJ2" s="147"/>
      <c r="BK2" s="148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233" t="s">
        <v>87</v>
      </c>
      <c r="B4" s="234"/>
      <c r="C4" s="234"/>
      <c r="D4" s="234"/>
      <c r="E4" s="234"/>
      <c r="F4" s="234"/>
      <c r="G4" s="235"/>
      <c r="H4" s="85" t="str">
        <f>IF(表紙!H4="","",表紙!H4)</f>
        <v>AP0301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233" t="s">
        <v>88</v>
      </c>
      <c r="V4" s="234"/>
      <c r="W4" s="234"/>
      <c r="X4" s="234"/>
      <c r="Y4" s="235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処理フロー凡例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46" customFormat="1" ht="15" customHeight="1" x14ac:dyDescent="0.25">
      <c r="A7" s="245"/>
      <c r="B7" s="246" t="s">
        <v>102</v>
      </c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8"/>
      <c r="AF7" s="249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  <c r="AZ7" s="247"/>
      <c r="BA7" s="247"/>
      <c r="BB7" s="247"/>
      <c r="BC7" s="247"/>
      <c r="BD7" s="247"/>
      <c r="BE7" s="247"/>
      <c r="BF7" s="247"/>
      <c r="BG7" s="247"/>
      <c r="BH7" s="247"/>
      <c r="BI7" s="248"/>
      <c r="BJ7" s="247"/>
      <c r="BK7" s="250"/>
    </row>
    <row r="8" spans="1:63" s="251" customFormat="1" ht="15" customHeight="1" x14ac:dyDescent="0.25">
      <c r="BK8" s="250"/>
    </row>
    <row r="9" spans="1:63" s="251" customFormat="1" ht="15" customHeight="1" x14ac:dyDescent="0.25">
      <c r="BK9" s="250"/>
    </row>
    <row r="10" spans="1:63" s="251" customFormat="1" ht="15" customHeight="1" x14ac:dyDescent="0.25">
      <c r="BK10" s="250"/>
    </row>
    <row r="11" spans="1:63" s="251" customFormat="1" ht="15" customHeight="1" x14ac:dyDescent="0.25">
      <c r="BK11" s="250"/>
    </row>
    <row r="12" spans="1:63" s="251" customFormat="1" ht="15" customHeight="1" x14ac:dyDescent="0.25">
      <c r="BK12" s="250"/>
    </row>
    <row r="13" spans="1:63" s="251" customFormat="1" ht="15" customHeight="1" x14ac:dyDescent="0.25">
      <c r="BK13" s="250"/>
    </row>
    <row r="14" spans="1:63" s="251" customFormat="1" ht="15" customHeight="1" x14ac:dyDescent="0.25">
      <c r="BK14" s="250"/>
    </row>
    <row r="15" spans="1:63" s="251" customFormat="1" ht="15" customHeight="1" x14ac:dyDescent="0.25">
      <c r="BK15" s="250"/>
    </row>
    <row r="16" spans="1:63" s="251" customFormat="1" ht="15" customHeight="1" x14ac:dyDescent="0.25">
      <c r="BK16" s="250"/>
    </row>
    <row r="17" spans="63:63" s="251" customFormat="1" ht="15" customHeight="1" x14ac:dyDescent="0.25">
      <c r="BK17" s="250"/>
    </row>
    <row r="18" spans="63:63" s="251" customFormat="1" ht="15" customHeight="1" x14ac:dyDescent="0.25">
      <c r="BK18" s="250"/>
    </row>
    <row r="19" spans="63:63" s="251" customFormat="1" ht="15" customHeight="1" x14ac:dyDescent="0.25">
      <c r="BK19" s="250"/>
    </row>
    <row r="20" spans="63:63" s="251" customFormat="1" ht="15" customHeight="1" x14ac:dyDescent="0.25">
      <c r="BK20" s="250"/>
    </row>
    <row r="21" spans="63:63" s="251" customFormat="1" ht="15" customHeight="1" x14ac:dyDescent="0.25">
      <c r="BK21" s="250"/>
    </row>
    <row r="22" spans="63:63" s="251" customFormat="1" ht="15" customHeight="1" x14ac:dyDescent="0.25">
      <c r="BK22" s="250"/>
    </row>
    <row r="23" spans="63:63" s="251" customFormat="1" ht="15" customHeight="1" x14ac:dyDescent="0.25">
      <c r="BK23" s="250"/>
    </row>
    <row r="24" spans="63:63" s="251" customFormat="1" ht="15" customHeight="1" x14ac:dyDescent="0.25">
      <c r="BK24" s="250"/>
    </row>
    <row r="25" spans="63:63" s="251" customFormat="1" ht="15" customHeight="1" x14ac:dyDescent="0.25">
      <c r="BK25" s="250"/>
    </row>
    <row r="26" spans="63:63" s="251" customFormat="1" ht="15" customHeight="1" x14ac:dyDescent="0.25">
      <c r="BK26" s="250"/>
    </row>
    <row r="27" spans="63:63" s="251" customFormat="1" ht="15" customHeight="1" x14ac:dyDescent="0.25">
      <c r="BK27" s="250"/>
    </row>
    <row r="28" spans="63:63" s="251" customFormat="1" ht="15" customHeight="1" x14ac:dyDescent="0.25">
      <c r="BK28" s="250"/>
    </row>
    <row r="29" spans="63:63" s="251" customFormat="1" ht="15" customHeight="1" x14ac:dyDescent="0.25">
      <c r="BK29" s="250"/>
    </row>
    <row r="30" spans="63:63" s="251" customFormat="1" ht="15" customHeight="1" x14ac:dyDescent="0.25">
      <c r="BK30" s="250"/>
    </row>
    <row r="31" spans="63:63" s="251" customFormat="1" ht="15" customHeight="1" x14ac:dyDescent="0.25">
      <c r="BK31" s="250"/>
    </row>
    <row r="32" spans="63:63" s="251" customFormat="1" ht="15" customHeight="1" x14ac:dyDescent="0.25">
      <c r="BK32" s="250"/>
    </row>
    <row r="33" spans="63:63" s="251" customFormat="1" ht="15" customHeight="1" x14ac:dyDescent="0.25">
      <c r="BK33" s="250"/>
    </row>
    <row r="34" spans="63:63" s="251" customFormat="1" ht="15" customHeight="1" x14ac:dyDescent="0.25">
      <c r="BK34" s="250"/>
    </row>
    <row r="35" spans="63:63" s="251" customFormat="1" ht="15" customHeight="1" x14ac:dyDescent="0.25">
      <c r="BK35" s="250"/>
    </row>
    <row r="36" spans="63:63" s="251" customFormat="1" ht="15" customHeight="1" x14ac:dyDescent="0.25">
      <c r="BK36" s="250"/>
    </row>
    <row r="37" spans="63:63" s="251" customFormat="1" ht="15" customHeight="1" x14ac:dyDescent="0.25">
      <c r="BK37" s="250"/>
    </row>
    <row r="38" spans="63:63" s="251" customFormat="1" ht="15" customHeight="1" x14ac:dyDescent="0.25">
      <c r="BK38" s="250"/>
    </row>
    <row r="39" spans="63:63" s="251" customFormat="1" ht="15" customHeight="1" x14ac:dyDescent="0.25">
      <c r="BK39" s="250"/>
    </row>
    <row r="40" spans="63:63" s="251" customFormat="1" ht="15" customHeight="1" x14ac:dyDescent="0.25">
      <c r="BK40" s="250"/>
    </row>
    <row r="41" spans="63:63" s="251" customFormat="1" ht="15" customHeight="1" x14ac:dyDescent="0.25">
      <c r="BK41" s="250"/>
    </row>
    <row r="42" spans="63:63" s="251" customFormat="1" ht="15" customHeight="1" x14ac:dyDescent="0.25">
      <c r="BK42" s="250"/>
    </row>
    <row r="43" spans="63:63" s="251" customFormat="1" ht="15" customHeight="1" x14ac:dyDescent="0.25">
      <c r="BK43" s="250"/>
    </row>
    <row r="44" spans="63:63" s="251" customFormat="1" ht="15" customHeight="1" x14ac:dyDescent="0.25">
      <c r="BK44" s="250"/>
    </row>
    <row r="45" spans="63:63" s="251" customFormat="1" ht="15" customHeight="1" x14ac:dyDescent="0.25">
      <c r="BK45" s="250"/>
    </row>
    <row r="46" spans="63:63" s="251" customFormat="1" ht="15" customHeight="1" x14ac:dyDescent="0.25">
      <c r="BK46" s="250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11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7" customWidth="1"/>
    <col min="43" max="62" width="3.21875" style="7" customWidth="1"/>
    <col min="63" max="63" width="2.77734375" style="7" customWidth="1"/>
    <col min="64" max="16384" width="10.109375" style="7"/>
  </cols>
  <sheetData>
    <row r="1" spans="1:63" ht="24.95" customHeight="1" x14ac:dyDescent="0.25">
      <c r="A1" s="233" t="s">
        <v>78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79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36" t="str">
        <f>IF(表紙!W1="","",表紙!W1)</f>
        <v>詳細設計書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239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1"/>
      <c r="AP2" s="149" t="str">
        <f>IF(表紙!AP2="","",表紙!AP2)</f>
        <v>TuyenNH</v>
      </c>
      <c r="AQ2" s="147"/>
      <c r="AR2" s="147"/>
      <c r="AS2" s="148"/>
      <c r="AT2" s="153">
        <f>IF(表紙!AT2="","",表紙!AT2)</f>
        <v>45544</v>
      </c>
      <c r="AU2" s="154"/>
      <c r="AV2" s="154"/>
      <c r="AW2" s="154"/>
      <c r="AX2" s="155"/>
      <c r="AY2" s="149" t="str">
        <f>IF(表紙!AY2="","",表紙!AY2)</f>
        <v>TuyenNH</v>
      </c>
      <c r="AZ2" s="147"/>
      <c r="BA2" s="147"/>
      <c r="BB2" s="148"/>
      <c r="BC2" s="153">
        <f>IF(表紙!BC2="","",表紙!BC2)</f>
        <v>45596</v>
      </c>
      <c r="BD2" s="154"/>
      <c r="BE2" s="154"/>
      <c r="BF2" s="154"/>
      <c r="BG2" s="155"/>
      <c r="BH2" s="149">
        <f>IF(表紙!BH2="","",表紙!BH2)</f>
        <v>0.13</v>
      </c>
      <c r="BI2" s="147"/>
      <c r="BJ2" s="147"/>
      <c r="BK2" s="148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233" t="s">
        <v>87</v>
      </c>
      <c r="B4" s="234"/>
      <c r="C4" s="234"/>
      <c r="D4" s="234"/>
      <c r="E4" s="234"/>
      <c r="F4" s="234"/>
      <c r="G4" s="235"/>
      <c r="H4" s="85" t="str">
        <f>IF(表紙!H4="","",表紙!H4)</f>
        <v>AP0301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233" t="s">
        <v>88</v>
      </c>
      <c r="V4" s="234"/>
      <c r="W4" s="234"/>
      <c r="X4" s="234"/>
      <c r="Y4" s="235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AP0301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4" customFormat="1" ht="15" customHeight="1" x14ac:dyDescent="0.25">
      <c r="A7" s="19"/>
      <c r="B7" s="20" t="s">
        <v>103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52"/>
      <c r="AQ7" s="252"/>
      <c r="AR7" s="252"/>
      <c r="AS7" s="252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2"/>
      <c r="BI7" s="22"/>
      <c r="BJ7" s="22"/>
      <c r="BK7" s="23"/>
    </row>
    <row r="8" spans="1:63" s="24" customFormat="1" ht="15" customHeight="1" x14ac:dyDescent="0.25">
      <c r="A8" s="19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53"/>
      <c r="AQ8" s="253"/>
      <c r="AR8" s="253"/>
      <c r="AS8" s="253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7"/>
      <c r="BI8" s="27"/>
      <c r="BJ8" s="27"/>
      <c r="BK8" s="23"/>
    </row>
    <row r="9" spans="1:63" s="24" customFormat="1" ht="15" customHeight="1" x14ac:dyDescent="0.25">
      <c r="A9" s="19"/>
      <c r="B9" s="25"/>
      <c r="C9" s="26" t="s">
        <v>62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53"/>
      <c r="AQ9" s="253"/>
      <c r="AR9" s="253"/>
      <c r="AS9" s="253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7"/>
      <c r="BI9" s="27"/>
      <c r="BJ9" s="27"/>
      <c r="BK9" s="23"/>
    </row>
    <row r="10" spans="1:63" s="24" customFormat="1" ht="15" customHeight="1" x14ac:dyDescent="0.25">
      <c r="A10" s="19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7"/>
      <c r="BI10" s="27"/>
      <c r="BJ10" s="27"/>
      <c r="BK10" s="23"/>
    </row>
    <row r="11" spans="1:63" s="24" customFormat="1" ht="15" customHeight="1" x14ac:dyDescent="0.25">
      <c r="A11" s="19"/>
      <c r="B11" s="28" t="s">
        <v>104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2"/>
      <c r="BI11" s="22"/>
      <c r="BJ11" s="22"/>
      <c r="BK11" s="23"/>
    </row>
    <row r="12" spans="1:63" s="24" customFormat="1" ht="15" customHeight="1" x14ac:dyDescent="0.25">
      <c r="A12" s="19"/>
      <c r="B12" s="26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7"/>
      <c r="BI12" s="27"/>
      <c r="BJ12" s="27"/>
      <c r="BK12" s="23"/>
    </row>
    <row r="13" spans="1:63" s="24" customFormat="1" ht="15" customHeight="1" x14ac:dyDescent="0.25">
      <c r="A13" s="19"/>
      <c r="B13" s="26"/>
      <c r="C13" s="29" t="s">
        <v>105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7"/>
      <c r="BI13" s="27"/>
      <c r="BJ13" s="27"/>
      <c r="BK13" s="23"/>
    </row>
    <row r="14" spans="1:63" s="24" customFormat="1" ht="15" customHeight="1" x14ac:dyDescent="0.25">
      <c r="A14" s="19"/>
      <c r="B14" s="26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7"/>
      <c r="BI14" s="27"/>
      <c r="BJ14" s="27"/>
      <c r="BK14" s="23"/>
    </row>
    <row r="15" spans="1:63" s="24" customFormat="1" ht="15" customHeight="1" x14ac:dyDescent="0.25">
      <c r="A15" s="19"/>
      <c r="B15" s="26"/>
      <c r="C15" s="95" t="s">
        <v>14</v>
      </c>
      <c r="D15" s="97"/>
      <c r="E15" s="95" t="s">
        <v>24</v>
      </c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7"/>
      <c r="AG15" s="95" t="s">
        <v>25</v>
      </c>
      <c r="AH15" s="96"/>
      <c r="AI15" s="96"/>
      <c r="AJ15" s="96"/>
      <c r="AK15" s="96"/>
      <c r="AL15" s="96"/>
      <c r="AM15" s="96"/>
      <c r="AN15" s="96"/>
      <c r="AO15" s="96"/>
      <c r="AP15" s="97"/>
      <c r="AQ15" s="95" t="s">
        <v>26</v>
      </c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7"/>
      <c r="BK15" s="23"/>
    </row>
    <row r="16" spans="1:63" s="24" customFormat="1" ht="15" customHeight="1" x14ac:dyDescent="0.25">
      <c r="A16" s="19"/>
      <c r="B16" s="26"/>
      <c r="C16" s="89">
        <v>1</v>
      </c>
      <c r="D16" s="91"/>
      <c r="E16" s="254" t="s">
        <v>76</v>
      </c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6"/>
      <c r="AG16" s="89" t="s">
        <v>75</v>
      </c>
      <c r="AH16" s="90"/>
      <c r="AI16" s="90"/>
      <c r="AJ16" s="90"/>
      <c r="AK16" s="90"/>
      <c r="AL16" s="90"/>
      <c r="AM16" s="90"/>
      <c r="AN16" s="90"/>
      <c r="AO16" s="90"/>
      <c r="AP16" s="91"/>
      <c r="AQ16" s="130" t="s">
        <v>6</v>
      </c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2"/>
      <c r="BK16" s="23"/>
    </row>
    <row r="17" spans="1:63" s="24" customFormat="1" ht="15" customHeight="1" x14ac:dyDescent="0.25">
      <c r="A17" s="19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7"/>
      <c r="BI17" s="27"/>
      <c r="BJ17" s="27"/>
      <c r="BK17" s="23"/>
    </row>
    <row r="18" spans="1:63" s="24" customFormat="1" ht="15" customHeight="1" x14ac:dyDescent="0.25">
      <c r="A18" s="19"/>
      <c r="B18" s="26"/>
      <c r="C18" s="29" t="s">
        <v>106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7"/>
      <c r="BI18" s="27"/>
      <c r="BJ18" s="27"/>
      <c r="BK18" s="23"/>
    </row>
    <row r="19" spans="1:63" s="24" customFormat="1" ht="15" customHeight="1" x14ac:dyDescent="0.25">
      <c r="A19" s="19"/>
      <c r="B19" s="26"/>
      <c r="C19" s="29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7"/>
      <c r="BI19" s="27"/>
      <c r="BJ19" s="27"/>
      <c r="BK19" s="23"/>
    </row>
    <row r="20" spans="1:63" s="24" customFormat="1" ht="15" customHeight="1" x14ac:dyDescent="0.25">
      <c r="A20" s="19"/>
      <c r="B20" s="26"/>
      <c r="C20" s="98" t="s">
        <v>107</v>
      </c>
      <c r="D20" s="100"/>
      <c r="E20" s="98" t="s">
        <v>108</v>
      </c>
      <c r="F20" s="99"/>
      <c r="G20" s="99"/>
      <c r="H20" s="99"/>
      <c r="I20" s="99"/>
      <c r="J20" s="99"/>
      <c r="K20" s="100"/>
      <c r="L20" s="95" t="s">
        <v>27</v>
      </c>
      <c r="M20" s="96"/>
      <c r="N20" s="97"/>
      <c r="O20" s="95" t="s">
        <v>28</v>
      </c>
      <c r="P20" s="96"/>
      <c r="Q20" s="96"/>
      <c r="R20" s="97"/>
      <c r="S20" s="95" t="s">
        <v>29</v>
      </c>
      <c r="T20" s="96"/>
      <c r="U20" s="96"/>
      <c r="V20" s="96"/>
      <c r="W20" s="96"/>
      <c r="X20" s="96"/>
      <c r="Y20" s="97"/>
      <c r="Z20" s="98" t="s">
        <v>109</v>
      </c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95" t="s">
        <v>26</v>
      </c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7"/>
      <c r="BK20" s="23"/>
    </row>
    <row r="21" spans="1:63" s="24" customFormat="1" ht="15" customHeight="1" x14ac:dyDescent="0.25">
      <c r="A21" s="19"/>
      <c r="B21" s="26"/>
      <c r="C21" s="115">
        <v>1</v>
      </c>
      <c r="D21" s="117"/>
      <c r="E21" s="257" t="s">
        <v>3</v>
      </c>
      <c r="F21" s="258"/>
      <c r="G21" s="258"/>
      <c r="H21" s="258"/>
      <c r="I21" s="258"/>
      <c r="J21" s="258"/>
      <c r="K21" s="259"/>
      <c r="L21" s="121" t="s">
        <v>4</v>
      </c>
      <c r="M21" s="122"/>
      <c r="N21" s="123"/>
      <c r="O21" s="115" t="s">
        <v>5</v>
      </c>
      <c r="P21" s="116"/>
      <c r="Q21" s="116"/>
      <c r="R21" s="117"/>
      <c r="S21" s="115" t="s">
        <v>6</v>
      </c>
      <c r="T21" s="116"/>
      <c r="U21" s="116"/>
      <c r="V21" s="116"/>
      <c r="W21" s="116"/>
      <c r="X21" s="116"/>
      <c r="Y21" s="117"/>
      <c r="Z21" s="257" t="s">
        <v>7</v>
      </c>
      <c r="AA21" s="258"/>
      <c r="AB21" s="258"/>
      <c r="AC21" s="258"/>
      <c r="AD21" s="258"/>
      <c r="AE21" s="258"/>
      <c r="AF21" s="258"/>
      <c r="AG21" s="258"/>
      <c r="AH21" s="258"/>
      <c r="AI21" s="258"/>
      <c r="AJ21" s="258"/>
      <c r="AK21" s="258"/>
      <c r="AL21" s="258"/>
      <c r="AM21" s="258"/>
      <c r="AN21" s="258"/>
      <c r="AO21" s="258"/>
      <c r="AP21" s="259"/>
      <c r="AQ21" s="260" t="s">
        <v>110</v>
      </c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  <c r="BI21" s="261"/>
      <c r="BJ21" s="262"/>
      <c r="BK21" s="23"/>
    </row>
    <row r="22" spans="1:63" s="24" customFormat="1" ht="15" customHeight="1" x14ac:dyDescent="0.25">
      <c r="A22" s="19"/>
      <c r="B22" s="26"/>
      <c r="C22" s="118"/>
      <c r="D22" s="120"/>
      <c r="E22" s="263"/>
      <c r="F22" s="264"/>
      <c r="G22" s="264"/>
      <c r="H22" s="264"/>
      <c r="I22" s="264"/>
      <c r="J22" s="264"/>
      <c r="K22" s="265"/>
      <c r="L22" s="124"/>
      <c r="M22" s="125"/>
      <c r="N22" s="126"/>
      <c r="O22" s="118"/>
      <c r="P22" s="119"/>
      <c r="Q22" s="119"/>
      <c r="R22" s="120"/>
      <c r="S22" s="118"/>
      <c r="T22" s="119"/>
      <c r="U22" s="119"/>
      <c r="V22" s="119"/>
      <c r="W22" s="119"/>
      <c r="X22" s="119"/>
      <c r="Y22" s="120"/>
      <c r="Z22" s="263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  <c r="AM22" s="264"/>
      <c r="AN22" s="264"/>
      <c r="AO22" s="264"/>
      <c r="AP22" s="265"/>
      <c r="AQ22" s="266"/>
      <c r="AR22" s="267"/>
      <c r="AS22" s="267"/>
      <c r="AT22" s="267"/>
      <c r="AU22" s="267"/>
      <c r="AV22" s="267"/>
      <c r="AW22" s="267"/>
      <c r="AX22" s="267"/>
      <c r="AY22" s="267"/>
      <c r="AZ22" s="267"/>
      <c r="BA22" s="267"/>
      <c r="BB22" s="267"/>
      <c r="BC22" s="267"/>
      <c r="BD22" s="267"/>
      <c r="BE22" s="267"/>
      <c r="BF22" s="267"/>
      <c r="BG22" s="267"/>
      <c r="BH22" s="267"/>
      <c r="BI22" s="267"/>
      <c r="BJ22" s="268"/>
      <c r="BK22" s="23"/>
    </row>
    <row r="23" spans="1:63" s="24" customFormat="1" ht="15" customHeight="1" x14ac:dyDescent="0.25">
      <c r="A23" s="19"/>
      <c r="B23" s="26"/>
      <c r="C23" s="89">
        <v>2</v>
      </c>
      <c r="D23" s="91"/>
      <c r="E23" s="269" t="s">
        <v>8</v>
      </c>
      <c r="F23" s="270"/>
      <c r="G23" s="270"/>
      <c r="H23" s="270"/>
      <c r="I23" s="270"/>
      <c r="J23" s="270"/>
      <c r="K23" s="271"/>
      <c r="L23" s="104" t="s">
        <v>6</v>
      </c>
      <c r="M23" s="105"/>
      <c r="N23" s="106"/>
      <c r="O23" s="89" t="s">
        <v>5</v>
      </c>
      <c r="P23" s="90"/>
      <c r="Q23" s="90"/>
      <c r="R23" s="91"/>
      <c r="S23" s="89" t="s">
        <v>6</v>
      </c>
      <c r="T23" s="90"/>
      <c r="U23" s="90"/>
      <c r="V23" s="90"/>
      <c r="W23" s="90"/>
      <c r="X23" s="90"/>
      <c r="Y23" s="91"/>
      <c r="Z23" s="269" t="s">
        <v>8</v>
      </c>
      <c r="AA23" s="270"/>
      <c r="AB23" s="270"/>
      <c r="AC23" s="270"/>
      <c r="AD23" s="270"/>
      <c r="AE23" s="270"/>
      <c r="AF23" s="270"/>
      <c r="AG23" s="270"/>
      <c r="AH23" s="270"/>
      <c r="AI23" s="270"/>
      <c r="AJ23" s="270"/>
      <c r="AK23" s="270"/>
      <c r="AL23" s="270"/>
      <c r="AM23" s="270"/>
      <c r="AN23" s="270"/>
      <c r="AO23" s="270"/>
      <c r="AP23" s="271"/>
      <c r="AQ23" s="272" t="s">
        <v>9</v>
      </c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4"/>
      <c r="BK23" s="23"/>
    </row>
    <row r="24" spans="1:63" s="24" customFormat="1" ht="15" customHeight="1" x14ac:dyDescent="0.25">
      <c r="A24" s="19"/>
      <c r="B24" s="26"/>
      <c r="C24" s="115">
        <v>3</v>
      </c>
      <c r="D24" s="117"/>
      <c r="E24" s="257" t="s">
        <v>10</v>
      </c>
      <c r="F24" s="258"/>
      <c r="G24" s="258"/>
      <c r="H24" s="258"/>
      <c r="I24" s="258"/>
      <c r="J24" s="258"/>
      <c r="K24" s="259"/>
      <c r="L24" s="275" t="s">
        <v>4</v>
      </c>
      <c r="M24" s="276"/>
      <c r="N24" s="277"/>
      <c r="O24" s="278" t="s">
        <v>5</v>
      </c>
      <c r="P24" s="279"/>
      <c r="Q24" s="279"/>
      <c r="R24" s="280"/>
      <c r="S24" s="278" t="s">
        <v>60</v>
      </c>
      <c r="T24" s="279"/>
      <c r="U24" s="279"/>
      <c r="V24" s="279"/>
      <c r="W24" s="279"/>
      <c r="X24" s="279"/>
      <c r="Y24" s="280"/>
      <c r="Z24" s="281" t="s">
        <v>10</v>
      </c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3"/>
      <c r="AQ24" s="284" t="s">
        <v>111</v>
      </c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5"/>
      <c r="BK24" s="23"/>
    </row>
    <row r="25" spans="1:63" s="24" customFormat="1" ht="15" customHeight="1" x14ac:dyDescent="0.25">
      <c r="A25" s="19"/>
      <c r="B25" s="26"/>
      <c r="C25" s="133"/>
      <c r="D25" s="134"/>
      <c r="E25" s="286"/>
      <c r="F25" s="287"/>
      <c r="G25" s="287"/>
      <c r="H25" s="287"/>
      <c r="I25" s="287"/>
      <c r="J25" s="287"/>
      <c r="K25" s="288"/>
      <c r="L25" s="289"/>
      <c r="M25" s="290"/>
      <c r="N25" s="291"/>
      <c r="O25" s="292"/>
      <c r="P25" s="293"/>
      <c r="Q25" s="293"/>
      <c r="R25" s="294"/>
      <c r="S25" s="292"/>
      <c r="T25" s="293"/>
      <c r="U25" s="293"/>
      <c r="V25" s="293"/>
      <c r="W25" s="293"/>
      <c r="X25" s="293"/>
      <c r="Y25" s="294"/>
      <c r="Z25" s="295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7"/>
      <c r="AQ25" s="298"/>
      <c r="AR25" s="298"/>
      <c r="AS25" s="298"/>
      <c r="AT25" s="298"/>
      <c r="AU25" s="298"/>
      <c r="AV25" s="298"/>
      <c r="AW25" s="298"/>
      <c r="AX25" s="298"/>
      <c r="AY25" s="298"/>
      <c r="AZ25" s="298"/>
      <c r="BA25" s="298"/>
      <c r="BB25" s="298"/>
      <c r="BC25" s="298"/>
      <c r="BD25" s="298"/>
      <c r="BE25" s="298"/>
      <c r="BF25" s="298"/>
      <c r="BG25" s="298"/>
      <c r="BH25" s="298"/>
      <c r="BI25" s="298"/>
      <c r="BJ25" s="299"/>
      <c r="BK25" s="23"/>
    </row>
    <row r="26" spans="1:63" s="24" customFormat="1" ht="15" customHeight="1" x14ac:dyDescent="0.25">
      <c r="A26" s="19"/>
      <c r="B26" s="26"/>
      <c r="C26" s="133"/>
      <c r="D26" s="134"/>
      <c r="E26" s="286"/>
      <c r="F26" s="287"/>
      <c r="G26" s="287"/>
      <c r="H26" s="287"/>
      <c r="I26" s="287"/>
      <c r="J26" s="287"/>
      <c r="K26" s="288"/>
      <c r="L26" s="289"/>
      <c r="M26" s="290"/>
      <c r="N26" s="291"/>
      <c r="O26" s="292"/>
      <c r="P26" s="293"/>
      <c r="Q26" s="293"/>
      <c r="R26" s="294"/>
      <c r="S26" s="292"/>
      <c r="T26" s="293"/>
      <c r="U26" s="293"/>
      <c r="V26" s="293"/>
      <c r="W26" s="293"/>
      <c r="X26" s="293"/>
      <c r="Y26" s="294"/>
      <c r="Z26" s="295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7"/>
      <c r="AQ26" s="298"/>
      <c r="AR26" s="298"/>
      <c r="AS26" s="298"/>
      <c r="AT26" s="298"/>
      <c r="AU26" s="298"/>
      <c r="AV26" s="298"/>
      <c r="AW26" s="298"/>
      <c r="AX26" s="298"/>
      <c r="AY26" s="298"/>
      <c r="AZ26" s="298"/>
      <c r="BA26" s="298"/>
      <c r="BB26" s="298"/>
      <c r="BC26" s="298"/>
      <c r="BD26" s="298"/>
      <c r="BE26" s="298"/>
      <c r="BF26" s="298"/>
      <c r="BG26" s="298"/>
      <c r="BH26" s="298"/>
      <c r="BI26" s="298"/>
      <c r="BJ26" s="299"/>
      <c r="BK26" s="23"/>
    </row>
    <row r="27" spans="1:63" s="24" customFormat="1" ht="8.25" customHeight="1" x14ac:dyDescent="0.25">
      <c r="A27" s="19"/>
      <c r="B27" s="26"/>
      <c r="C27" s="133"/>
      <c r="D27" s="134"/>
      <c r="E27" s="286"/>
      <c r="F27" s="287"/>
      <c r="G27" s="287"/>
      <c r="H27" s="287"/>
      <c r="I27" s="287"/>
      <c r="J27" s="287"/>
      <c r="K27" s="288"/>
      <c r="L27" s="289"/>
      <c r="M27" s="290"/>
      <c r="N27" s="291"/>
      <c r="O27" s="292"/>
      <c r="P27" s="293"/>
      <c r="Q27" s="293"/>
      <c r="R27" s="294"/>
      <c r="S27" s="292"/>
      <c r="T27" s="293"/>
      <c r="U27" s="293"/>
      <c r="V27" s="293"/>
      <c r="W27" s="293"/>
      <c r="X27" s="293"/>
      <c r="Y27" s="294"/>
      <c r="Z27" s="295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7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8"/>
      <c r="BJ27" s="299"/>
      <c r="BK27" s="23"/>
    </row>
    <row r="28" spans="1:63" s="24" customFormat="1" ht="8.25" customHeight="1" x14ac:dyDescent="0.25">
      <c r="A28" s="19"/>
      <c r="B28" s="26"/>
      <c r="C28" s="133"/>
      <c r="D28" s="134"/>
      <c r="E28" s="286"/>
      <c r="F28" s="287"/>
      <c r="G28" s="287"/>
      <c r="H28" s="287"/>
      <c r="I28" s="287"/>
      <c r="J28" s="287"/>
      <c r="K28" s="288"/>
      <c r="L28" s="289"/>
      <c r="M28" s="290"/>
      <c r="N28" s="291"/>
      <c r="O28" s="292"/>
      <c r="P28" s="293"/>
      <c r="Q28" s="293"/>
      <c r="R28" s="294"/>
      <c r="S28" s="292"/>
      <c r="T28" s="293"/>
      <c r="U28" s="293"/>
      <c r="V28" s="293"/>
      <c r="W28" s="293"/>
      <c r="X28" s="293"/>
      <c r="Y28" s="294"/>
      <c r="Z28" s="295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7"/>
      <c r="AQ28" s="298"/>
      <c r="AR28" s="298"/>
      <c r="AS28" s="298"/>
      <c r="AT28" s="298"/>
      <c r="AU28" s="298"/>
      <c r="AV28" s="298"/>
      <c r="AW28" s="298"/>
      <c r="AX28" s="298"/>
      <c r="AY28" s="298"/>
      <c r="AZ28" s="298"/>
      <c r="BA28" s="298"/>
      <c r="BB28" s="298"/>
      <c r="BC28" s="298"/>
      <c r="BD28" s="298"/>
      <c r="BE28" s="298"/>
      <c r="BF28" s="298"/>
      <c r="BG28" s="298"/>
      <c r="BH28" s="298"/>
      <c r="BI28" s="298"/>
      <c r="BJ28" s="299"/>
      <c r="BK28" s="23"/>
    </row>
    <row r="29" spans="1:63" s="24" customFormat="1" ht="8.25" customHeight="1" x14ac:dyDescent="0.25">
      <c r="A29" s="19"/>
      <c r="B29" s="26"/>
      <c r="C29" s="133"/>
      <c r="D29" s="134"/>
      <c r="E29" s="286"/>
      <c r="F29" s="287"/>
      <c r="G29" s="287"/>
      <c r="H29" s="287"/>
      <c r="I29" s="287"/>
      <c r="J29" s="287"/>
      <c r="K29" s="288"/>
      <c r="L29" s="289"/>
      <c r="M29" s="290"/>
      <c r="N29" s="291"/>
      <c r="O29" s="292"/>
      <c r="P29" s="293"/>
      <c r="Q29" s="293"/>
      <c r="R29" s="294"/>
      <c r="S29" s="292"/>
      <c r="T29" s="293"/>
      <c r="U29" s="293"/>
      <c r="V29" s="293"/>
      <c r="W29" s="293"/>
      <c r="X29" s="293"/>
      <c r="Y29" s="294"/>
      <c r="Z29" s="295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7"/>
      <c r="AQ29" s="298"/>
      <c r="AR29" s="298"/>
      <c r="AS29" s="298"/>
      <c r="AT29" s="298"/>
      <c r="AU29" s="298"/>
      <c r="AV29" s="298"/>
      <c r="AW29" s="298"/>
      <c r="AX29" s="298"/>
      <c r="AY29" s="298"/>
      <c r="AZ29" s="298"/>
      <c r="BA29" s="298"/>
      <c r="BB29" s="298"/>
      <c r="BC29" s="298"/>
      <c r="BD29" s="298"/>
      <c r="BE29" s="298"/>
      <c r="BF29" s="298"/>
      <c r="BG29" s="298"/>
      <c r="BH29" s="298"/>
      <c r="BI29" s="298"/>
      <c r="BJ29" s="299"/>
      <c r="BK29" s="23"/>
    </row>
    <row r="30" spans="1:63" s="24" customFormat="1" ht="8.25" customHeight="1" x14ac:dyDescent="0.25">
      <c r="A30" s="19"/>
      <c r="B30" s="26"/>
      <c r="C30" s="118"/>
      <c r="D30" s="120"/>
      <c r="E30" s="263"/>
      <c r="F30" s="264"/>
      <c r="G30" s="264"/>
      <c r="H30" s="264"/>
      <c r="I30" s="264"/>
      <c r="J30" s="264"/>
      <c r="K30" s="265"/>
      <c r="L30" s="300"/>
      <c r="M30" s="301"/>
      <c r="N30" s="302"/>
      <c r="O30" s="303"/>
      <c r="P30" s="304"/>
      <c r="Q30" s="304"/>
      <c r="R30" s="305"/>
      <c r="S30" s="303"/>
      <c r="T30" s="304"/>
      <c r="U30" s="304"/>
      <c r="V30" s="304"/>
      <c r="W30" s="304"/>
      <c r="X30" s="304"/>
      <c r="Y30" s="305"/>
      <c r="Z30" s="306"/>
      <c r="AA30" s="307"/>
      <c r="AB30" s="307"/>
      <c r="AC30" s="307"/>
      <c r="AD30" s="307"/>
      <c r="AE30" s="307"/>
      <c r="AF30" s="307"/>
      <c r="AG30" s="307"/>
      <c r="AH30" s="307"/>
      <c r="AI30" s="307"/>
      <c r="AJ30" s="307"/>
      <c r="AK30" s="307"/>
      <c r="AL30" s="307"/>
      <c r="AM30" s="307"/>
      <c r="AN30" s="307"/>
      <c r="AO30" s="307"/>
      <c r="AP30" s="308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309"/>
      <c r="BI30" s="309"/>
      <c r="BJ30" s="310"/>
      <c r="BK30" s="23"/>
    </row>
    <row r="31" spans="1:63" s="24" customFormat="1" ht="15" customHeight="1" x14ac:dyDescent="0.25">
      <c r="A31" s="19"/>
      <c r="B31" s="26"/>
      <c r="C31" s="89">
        <v>4</v>
      </c>
      <c r="D31" s="91"/>
      <c r="E31" s="269" t="s">
        <v>11</v>
      </c>
      <c r="F31" s="270"/>
      <c r="G31" s="270"/>
      <c r="H31" s="270"/>
      <c r="I31" s="270"/>
      <c r="J31" s="270"/>
      <c r="K31" s="271"/>
      <c r="L31" s="104" t="s">
        <v>6</v>
      </c>
      <c r="M31" s="105"/>
      <c r="N31" s="106"/>
      <c r="O31" s="89" t="s">
        <v>5</v>
      </c>
      <c r="P31" s="90"/>
      <c r="Q31" s="90"/>
      <c r="R31" s="91"/>
      <c r="S31" s="89" t="s">
        <v>6</v>
      </c>
      <c r="T31" s="90"/>
      <c r="U31" s="90"/>
      <c r="V31" s="90"/>
      <c r="W31" s="90"/>
      <c r="X31" s="90"/>
      <c r="Y31" s="91"/>
      <c r="Z31" s="269" t="s">
        <v>11</v>
      </c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70"/>
      <c r="AL31" s="270"/>
      <c r="AM31" s="270"/>
      <c r="AN31" s="270"/>
      <c r="AO31" s="270"/>
      <c r="AP31" s="271"/>
      <c r="AQ31" s="272" t="s">
        <v>12</v>
      </c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4"/>
      <c r="BK31" s="23"/>
    </row>
    <row r="32" spans="1:63" s="24" customFormat="1" ht="15" customHeight="1" x14ac:dyDescent="0.25">
      <c r="A32" s="19"/>
      <c r="B32" s="26"/>
      <c r="C32" s="89">
        <v>5</v>
      </c>
      <c r="D32" s="91"/>
      <c r="E32" s="269" t="s">
        <v>13</v>
      </c>
      <c r="F32" s="270"/>
      <c r="G32" s="270"/>
      <c r="H32" s="270"/>
      <c r="I32" s="270"/>
      <c r="J32" s="270"/>
      <c r="K32" s="271"/>
      <c r="L32" s="104" t="s">
        <v>6</v>
      </c>
      <c r="M32" s="105"/>
      <c r="N32" s="106"/>
      <c r="O32" s="89" t="s">
        <v>5</v>
      </c>
      <c r="P32" s="90"/>
      <c r="Q32" s="90"/>
      <c r="R32" s="91"/>
      <c r="S32" s="89" t="s">
        <v>6</v>
      </c>
      <c r="T32" s="90"/>
      <c r="U32" s="90"/>
      <c r="V32" s="90"/>
      <c r="W32" s="90"/>
      <c r="X32" s="90"/>
      <c r="Y32" s="91"/>
      <c r="Z32" s="269" t="s">
        <v>13</v>
      </c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0"/>
      <c r="AM32" s="270"/>
      <c r="AN32" s="270"/>
      <c r="AO32" s="270"/>
      <c r="AP32" s="271"/>
      <c r="AQ32" s="272" t="s">
        <v>112</v>
      </c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4"/>
      <c r="BK32" s="23"/>
    </row>
    <row r="33" spans="1:63" s="24" customFormat="1" ht="15" customHeight="1" x14ac:dyDescent="0.25">
      <c r="A33" s="19"/>
      <c r="B33" s="26"/>
      <c r="C33" s="26"/>
      <c r="D33" s="26"/>
      <c r="E33" s="253"/>
      <c r="F33" s="253"/>
      <c r="G33" s="253"/>
      <c r="H33" s="253"/>
      <c r="I33" s="26"/>
      <c r="J33" s="26"/>
      <c r="K33" s="26"/>
      <c r="L33" s="35"/>
      <c r="M33" s="253"/>
      <c r="N33" s="253"/>
      <c r="O33" s="253"/>
      <c r="P33" s="253"/>
      <c r="Q33" s="26"/>
      <c r="R33" s="26"/>
      <c r="S33" s="26"/>
      <c r="T33" s="26"/>
      <c r="U33" s="26"/>
      <c r="V33" s="26"/>
      <c r="W33" s="26"/>
      <c r="X33" s="26"/>
      <c r="Y33" s="26"/>
      <c r="Z33" s="33"/>
      <c r="AA33" s="26"/>
      <c r="AB33" s="26"/>
      <c r="AC33" s="26"/>
      <c r="AD33" s="26"/>
      <c r="AE33" s="26"/>
      <c r="AF33" s="26"/>
      <c r="AG33" s="253"/>
      <c r="AH33" s="253"/>
      <c r="AI33" s="253"/>
      <c r="AJ33" s="253"/>
      <c r="AK33" s="253"/>
      <c r="AL33" s="253"/>
      <c r="AM33" s="253"/>
      <c r="AN33" s="253"/>
      <c r="AO33" s="253"/>
      <c r="AP33" s="26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27"/>
      <c r="BI33" s="27"/>
      <c r="BJ33" s="27"/>
      <c r="BK33" s="23"/>
    </row>
    <row r="34" spans="1:63" s="24" customFormat="1" ht="15" customHeight="1" x14ac:dyDescent="0.25">
      <c r="A34" s="19"/>
      <c r="B34" s="26"/>
      <c r="C34" s="29" t="s">
        <v>113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7"/>
      <c r="BI34" s="27"/>
      <c r="BJ34" s="27"/>
      <c r="BK34" s="23"/>
    </row>
    <row r="35" spans="1:63" s="24" customFormat="1" ht="15" customHeight="1" x14ac:dyDescent="0.25">
      <c r="A35" s="19"/>
      <c r="B35" s="26"/>
      <c r="C35" s="25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7"/>
      <c r="BI35" s="27"/>
      <c r="BJ35" s="27"/>
      <c r="BK35" s="23"/>
    </row>
    <row r="36" spans="1:63" s="24" customFormat="1" ht="15" customHeight="1" x14ac:dyDescent="0.25">
      <c r="A36" s="19"/>
      <c r="B36" s="26"/>
      <c r="C36" s="110" t="s">
        <v>14</v>
      </c>
      <c r="D36" s="111"/>
      <c r="E36" s="98" t="s">
        <v>114</v>
      </c>
      <c r="F36" s="311"/>
      <c r="G36" s="311"/>
      <c r="H36" s="311"/>
      <c r="I36" s="311"/>
      <c r="J36" s="311"/>
      <c r="K36" s="312"/>
      <c r="L36" s="95" t="s">
        <v>27</v>
      </c>
      <c r="M36" s="96"/>
      <c r="N36" s="97"/>
      <c r="O36" s="95" t="s">
        <v>28</v>
      </c>
      <c r="P36" s="96"/>
      <c r="Q36" s="96"/>
      <c r="R36" s="97"/>
      <c r="S36" s="95" t="s">
        <v>29</v>
      </c>
      <c r="T36" s="96"/>
      <c r="U36" s="96"/>
      <c r="V36" s="96"/>
      <c r="W36" s="96"/>
      <c r="X36" s="96"/>
      <c r="Y36" s="97"/>
      <c r="Z36" s="98" t="s">
        <v>109</v>
      </c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100"/>
      <c r="AQ36" s="107" t="s">
        <v>26</v>
      </c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9"/>
      <c r="BK36" s="23"/>
    </row>
    <row r="37" spans="1:63" s="24" customFormat="1" ht="15" customHeight="1" x14ac:dyDescent="0.25">
      <c r="A37" s="19"/>
      <c r="B37" s="26"/>
      <c r="C37" s="89">
        <v>1</v>
      </c>
      <c r="D37" s="91"/>
      <c r="E37" s="269" t="s">
        <v>41</v>
      </c>
      <c r="F37" s="270"/>
      <c r="G37" s="270"/>
      <c r="H37" s="270"/>
      <c r="I37" s="270"/>
      <c r="J37" s="270"/>
      <c r="K37" s="271"/>
      <c r="L37" s="104" t="s">
        <v>4</v>
      </c>
      <c r="M37" s="105"/>
      <c r="N37" s="106"/>
      <c r="O37" s="89" t="s">
        <v>5</v>
      </c>
      <c r="P37" s="90"/>
      <c r="Q37" s="90"/>
      <c r="R37" s="91"/>
      <c r="S37" s="89" t="s">
        <v>6</v>
      </c>
      <c r="T37" s="90"/>
      <c r="U37" s="90"/>
      <c r="V37" s="90"/>
      <c r="W37" s="90"/>
      <c r="X37" s="90"/>
      <c r="Y37" s="91"/>
      <c r="Z37" s="269" t="s">
        <v>43</v>
      </c>
      <c r="AA37" s="270"/>
      <c r="AB37" s="270"/>
      <c r="AC37" s="270"/>
      <c r="AD37" s="270"/>
      <c r="AE37" s="270"/>
      <c r="AF37" s="270"/>
      <c r="AG37" s="270"/>
      <c r="AH37" s="270"/>
      <c r="AI37" s="270"/>
      <c r="AJ37" s="270"/>
      <c r="AK37" s="270"/>
      <c r="AL37" s="270"/>
      <c r="AM37" s="270"/>
      <c r="AN37" s="270"/>
      <c r="AO37" s="270"/>
      <c r="AP37" s="271"/>
      <c r="AQ37" s="254" t="s">
        <v>65</v>
      </c>
      <c r="AR37" s="270"/>
      <c r="AS37" s="270"/>
      <c r="AT37" s="270"/>
      <c r="AU37" s="270"/>
      <c r="AV37" s="270"/>
      <c r="AW37" s="270"/>
      <c r="AX37" s="270"/>
      <c r="AY37" s="270"/>
      <c r="AZ37" s="270"/>
      <c r="BA37" s="270"/>
      <c r="BB37" s="270"/>
      <c r="BC37" s="270"/>
      <c r="BD37" s="270"/>
      <c r="BE37" s="270"/>
      <c r="BF37" s="270"/>
      <c r="BG37" s="270"/>
      <c r="BH37" s="270"/>
      <c r="BI37" s="270"/>
      <c r="BJ37" s="271"/>
      <c r="BK37" s="23"/>
    </row>
    <row r="38" spans="1:63" s="24" customFormat="1" ht="35.25" customHeight="1" x14ac:dyDescent="0.25">
      <c r="A38" s="19"/>
      <c r="B38" s="26"/>
      <c r="C38" s="89">
        <v>2</v>
      </c>
      <c r="D38" s="91"/>
      <c r="E38" s="269" t="s">
        <v>63</v>
      </c>
      <c r="F38" s="270"/>
      <c r="G38" s="270"/>
      <c r="H38" s="270"/>
      <c r="I38" s="270"/>
      <c r="J38" s="270"/>
      <c r="K38" s="271"/>
      <c r="L38" s="104" t="s">
        <v>4</v>
      </c>
      <c r="M38" s="105"/>
      <c r="N38" s="106"/>
      <c r="O38" s="89" t="s">
        <v>5</v>
      </c>
      <c r="P38" s="90"/>
      <c r="Q38" s="90"/>
      <c r="R38" s="91"/>
      <c r="S38" s="89" t="s">
        <v>6</v>
      </c>
      <c r="T38" s="90"/>
      <c r="U38" s="90"/>
      <c r="V38" s="90"/>
      <c r="W38" s="90"/>
      <c r="X38" s="90"/>
      <c r="Y38" s="91"/>
      <c r="Z38" s="269" t="s">
        <v>64</v>
      </c>
      <c r="AA38" s="270"/>
      <c r="AB38" s="270"/>
      <c r="AC38" s="270"/>
      <c r="AD38" s="270"/>
      <c r="AE38" s="270"/>
      <c r="AF38" s="270"/>
      <c r="AG38" s="270"/>
      <c r="AH38" s="270"/>
      <c r="AI38" s="270"/>
      <c r="AJ38" s="270"/>
      <c r="AK38" s="270"/>
      <c r="AL38" s="270"/>
      <c r="AM38" s="270"/>
      <c r="AN38" s="270"/>
      <c r="AO38" s="270"/>
      <c r="AP38" s="271"/>
      <c r="AQ38" s="135" t="s">
        <v>115</v>
      </c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7"/>
      <c r="BK38" s="23"/>
    </row>
    <row r="39" spans="1:63" s="24" customFormat="1" ht="38.25" customHeight="1" x14ac:dyDescent="0.25">
      <c r="A39" s="19"/>
      <c r="B39" s="26"/>
      <c r="C39" s="89">
        <v>3</v>
      </c>
      <c r="D39" s="91"/>
      <c r="E39" s="317" t="s">
        <v>116</v>
      </c>
      <c r="F39" s="318"/>
      <c r="G39" s="318"/>
      <c r="H39" s="318"/>
      <c r="I39" s="318"/>
      <c r="J39" s="318"/>
      <c r="K39" s="319"/>
      <c r="L39" s="104" t="s">
        <v>6</v>
      </c>
      <c r="M39" s="105"/>
      <c r="N39" s="106"/>
      <c r="O39" s="89" t="s">
        <v>5</v>
      </c>
      <c r="P39" s="90"/>
      <c r="Q39" s="90"/>
      <c r="R39" s="91"/>
      <c r="S39" s="89" t="s">
        <v>6</v>
      </c>
      <c r="T39" s="90"/>
      <c r="U39" s="90"/>
      <c r="V39" s="90"/>
      <c r="W39" s="90"/>
      <c r="X39" s="90"/>
      <c r="Y39" s="91"/>
      <c r="Z39" s="269" t="s">
        <v>44</v>
      </c>
      <c r="AA39" s="270"/>
      <c r="AB39" s="270"/>
      <c r="AC39" s="270"/>
      <c r="AD39" s="270"/>
      <c r="AE39" s="270"/>
      <c r="AF39" s="270"/>
      <c r="AG39" s="270"/>
      <c r="AH39" s="270"/>
      <c r="AI39" s="270"/>
      <c r="AJ39" s="270"/>
      <c r="AK39" s="270"/>
      <c r="AL39" s="270"/>
      <c r="AM39" s="270"/>
      <c r="AN39" s="270"/>
      <c r="AO39" s="270"/>
      <c r="AP39" s="271"/>
      <c r="AQ39" s="254" t="s">
        <v>56</v>
      </c>
      <c r="AR39" s="270"/>
      <c r="AS39" s="270"/>
      <c r="AT39" s="270"/>
      <c r="AU39" s="270"/>
      <c r="AV39" s="270"/>
      <c r="AW39" s="270"/>
      <c r="AX39" s="270"/>
      <c r="AY39" s="270"/>
      <c r="AZ39" s="270"/>
      <c r="BA39" s="270"/>
      <c r="BB39" s="270"/>
      <c r="BC39" s="270"/>
      <c r="BD39" s="270"/>
      <c r="BE39" s="270"/>
      <c r="BF39" s="270"/>
      <c r="BG39" s="270"/>
      <c r="BH39" s="270"/>
      <c r="BI39" s="270"/>
      <c r="BJ39" s="271"/>
      <c r="BK39" s="23"/>
    </row>
    <row r="40" spans="1:63" s="24" customFormat="1" ht="69" customHeight="1" x14ac:dyDescent="0.25">
      <c r="A40" s="19"/>
      <c r="B40" s="26"/>
      <c r="C40" s="89">
        <v>4</v>
      </c>
      <c r="D40" s="91"/>
      <c r="E40" s="269" t="s">
        <v>67</v>
      </c>
      <c r="F40" s="270"/>
      <c r="G40" s="270"/>
      <c r="H40" s="270"/>
      <c r="I40" s="270"/>
      <c r="J40" s="270"/>
      <c r="K40" s="271"/>
      <c r="L40" s="104" t="s">
        <v>6</v>
      </c>
      <c r="M40" s="105"/>
      <c r="N40" s="106"/>
      <c r="O40" s="89" t="s">
        <v>5</v>
      </c>
      <c r="P40" s="90"/>
      <c r="Q40" s="90"/>
      <c r="R40" s="91"/>
      <c r="S40" s="139" t="s">
        <v>68</v>
      </c>
      <c r="T40" s="90"/>
      <c r="U40" s="90"/>
      <c r="V40" s="90"/>
      <c r="W40" s="90"/>
      <c r="X40" s="90"/>
      <c r="Y40" s="91"/>
      <c r="Z40" s="269" t="s">
        <v>69</v>
      </c>
      <c r="AA40" s="270"/>
      <c r="AB40" s="270"/>
      <c r="AC40" s="270"/>
      <c r="AD40" s="270"/>
      <c r="AE40" s="270"/>
      <c r="AF40" s="270"/>
      <c r="AG40" s="270"/>
      <c r="AH40" s="270"/>
      <c r="AI40" s="270"/>
      <c r="AJ40" s="270"/>
      <c r="AK40" s="270"/>
      <c r="AL40" s="270"/>
      <c r="AM40" s="270"/>
      <c r="AN40" s="270"/>
      <c r="AO40" s="270"/>
      <c r="AP40" s="271"/>
      <c r="AQ40" s="272" t="s">
        <v>199</v>
      </c>
      <c r="AR40" s="270"/>
      <c r="AS40" s="270"/>
      <c r="AT40" s="270"/>
      <c r="AU40" s="270"/>
      <c r="AV40" s="270"/>
      <c r="AW40" s="270"/>
      <c r="AX40" s="270"/>
      <c r="AY40" s="270"/>
      <c r="AZ40" s="270"/>
      <c r="BA40" s="270"/>
      <c r="BB40" s="270"/>
      <c r="BC40" s="270"/>
      <c r="BD40" s="270"/>
      <c r="BE40" s="270"/>
      <c r="BF40" s="270"/>
      <c r="BG40" s="270"/>
      <c r="BH40" s="270"/>
      <c r="BI40" s="270"/>
      <c r="BJ40" s="271"/>
      <c r="BK40" s="23"/>
    </row>
    <row r="41" spans="1:63" s="24" customFormat="1" ht="15" customHeight="1" x14ac:dyDescent="0.25">
      <c r="A41" s="19"/>
      <c r="B41" s="26"/>
      <c r="C41" s="89">
        <v>5</v>
      </c>
      <c r="D41" s="91"/>
      <c r="E41" s="269" t="s">
        <v>45</v>
      </c>
      <c r="F41" s="270"/>
      <c r="G41" s="270"/>
      <c r="H41" s="270"/>
      <c r="I41" s="270"/>
      <c r="J41" s="270"/>
      <c r="K41" s="271"/>
      <c r="L41" s="104" t="s">
        <v>6</v>
      </c>
      <c r="M41" s="105"/>
      <c r="N41" s="106"/>
      <c r="O41" s="89" t="s">
        <v>51</v>
      </c>
      <c r="P41" s="90"/>
      <c r="Q41" s="90"/>
      <c r="R41" s="91"/>
      <c r="S41" s="89">
        <v>1</v>
      </c>
      <c r="T41" s="90"/>
      <c r="U41" s="90"/>
      <c r="V41" s="90"/>
      <c r="W41" s="90"/>
      <c r="X41" s="90"/>
      <c r="Y41" s="91"/>
      <c r="Z41" s="269" t="s">
        <v>46</v>
      </c>
      <c r="AA41" s="270"/>
      <c r="AB41" s="270"/>
      <c r="AC41" s="270"/>
      <c r="AD41" s="270"/>
      <c r="AE41" s="270"/>
      <c r="AF41" s="270"/>
      <c r="AG41" s="270"/>
      <c r="AH41" s="270"/>
      <c r="AI41" s="270"/>
      <c r="AJ41" s="270"/>
      <c r="AK41" s="270"/>
      <c r="AL41" s="270"/>
      <c r="AM41" s="270"/>
      <c r="AN41" s="270"/>
      <c r="AO41" s="270"/>
      <c r="AP41" s="271"/>
      <c r="AQ41" s="130" t="s">
        <v>6</v>
      </c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2"/>
      <c r="BK41" s="23"/>
    </row>
    <row r="42" spans="1:63" s="24" customFormat="1" ht="15" customHeight="1" x14ac:dyDescent="0.25">
      <c r="A42" s="19"/>
      <c r="B42" s="26"/>
      <c r="C42" s="89">
        <v>6</v>
      </c>
      <c r="D42" s="91"/>
      <c r="E42" s="269" t="s">
        <v>50</v>
      </c>
      <c r="F42" s="270"/>
      <c r="G42" s="270"/>
      <c r="H42" s="270"/>
      <c r="I42" s="270"/>
      <c r="J42" s="270"/>
      <c r="K42" s="271"/>
      <c r="L42" s="104" t="s">
        <v>6</v>
      </c>
      <c r="M42" s="105"/>
      <c r="N42" s="106"/>
      <c r="O42" s="89" t="s">
        <v>51</v>
      </c>
      <c r="P42" s="90"/>
      <c r="Q42" s="90"/>
      <c r="R42" s="91"/>
      <c r="S42" s="320">
        <v>11</v>
      </c>
      <c r="T42" s="321"/>
      <c r="U42" s="321"/>
      <c r="V42" s="321"/>
      <c r="W42" s="321"/>
      <c r="X42" s="321"/>
      <c r="Y42" s="322"/>
      <c r="Z42" s="269" t="s">
        <v>53</v>
      </c>
      <c r="AA42" s="270"/>
      <c r="AB42" s="270"/>
      <c r="AC42" s="270"/>
      <c r="AD42" s="270"/>
      <c r="AE42" s="270"/>
      <c r="AF42" s="270"/>
      <c r="AG42" s="270"/>
      <c r="AH42" s="270"/>
      <c r="AI42" s="270"/>
      <c r="AJ42" s="270"/>
      <c r="AK42" s="270"/>
      <c r="AL42" s="270"/>
      <c r="AM42" s="270"/>
      <c r="AN42" s="270"/>
      <c r="AO42" s="270"/>
      <c r="AP42" s="271"/>
      <c r="AQ42" s="130" t="s">
        <v>117</v>
      </c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2"/>
      <c r="BK42" s="23"/>
    </row>
    <row r="43" spans="1:63" s="24" customFormat="1" ht="60" customHeight="1" x14ac:dyDescent="0.25">
      <c r="A43" s="19"/>
      <c r="B43" s="26"/>
      <c r="C43" s="320">
        <v>7</v>
      </c>
      <c r="D43" s="322"/>
      <c r="E43" s="320" t="s">
        <v>118</v>
      </c>
      <c r="F43" s="321"/>
      <c r="G43" s="321"/>
      <c r="H43" s="321"/>
      <c r="I43" s="321"/>
      <c r="J43" s="321"/>
      <c r="K43" s="322"/>
      <c r="L43" s="323" t="s">
        <v>6</v>
      </c>
      <c r="M43" s="324"/>
      <c r="N43" s="325"/>
      <c r="O43" s="320" t="s">
        <v>119</v>
      </c>
      <c r="P43" s="321"/>
      <c r="Q43" s="321"/>
      <c r="R43" s="322"/>
      <c r="S43" s="320" t="s">
        <v>120</v>
      </c>
      <c r="T43" s="321"/>
      <c r="U43" s="321"/>
      <c r="V43" s="321"/>
      <c r="W43" s="321"/>
      <c r="X43" s="321"/>
      <c r="Y43" s="322"/>
      <c r="Z43" s="320" t="s">
        <v>121</v>
      </c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  <c r="AN43" s="321"/>
      <c r="AO43" s="321"/>
      <c r="AP43" s="322"/>
      <c r="AQ43" s="326" t="s">
        <v>122</v>
      </c>
      <c r="AR43" s="321"/>
      <c r="AS43" s="321"/>
      <c r="AT43" s="321"/>
      <c r="AU43" s="321"/>
      <c r="AV43" s="321"/>
      <c r="AW43" s="321"/>
      <c r="AX43" s="321"/>
      <c r="AY43" s="321"/>
      <c r="AZ43" s="321"/>
      <c r="BA43" s="321"/>
      <c r="BB43" s="321"/>
      <c r="BC43" s="321"/>
      <c r="BD43" s="321"/>
      <c r="BE43" s="321"/>
      <c r="BF43" s="321"/>
      <c r="BG43" s="321"/>
      <c r="BH43" s="321"/>
      <c r="BI43" s="321"/>
      <c r="BJ43" s="322"/>
      <c r="BK43" s="23"/>
    </row>
    <row r="44" spans="1:63" s="24" customFormat="1" ht="15" customHeight="1" x14ac:dyDescent="0.25">
      <c r="A44" s="19"/>
      <c r="B44" s="26"/>
      <c r="C44" s="320">
        <v>8</v>
      </c>
      <c r="D44" s="322"/>
      <c r="E44" s="320" t="s">
        <v>123</v>
      </c>
      <c r="F44" s="321"/>
      <c r="G44" s="321"/>
      <c r="H44" s="321"/>
      <c r="I44" s="321"/>
      <c r="J44" s="321"/>
      <c r="K44" s="322"/>
      <c r="L44" s="323" t="s">
        <v>6</v>
      </c>
      <c r="M44" s="324"/>
      <c r="N44" s="325"/>
      <c r="O44" s="320" t="s">
        <v>119</v>
      </c>
      <c r="P44" s="321"/>
      <c r="Q44" s="321"/>
      <c r="R44" s="322"/>
      <c r="S44" s="320" t="s">
        <v>124</v>
      </c>
      <c r="T44" s="321"/>
      <c r="U44" s="321"/>
      <c r="V44" s="321"/>
      <c r="W44" s="321"/>
      <c r="X44" s="321"/>
      <c r="Y44" s="322"/>
      <c r="Z44" s="320" t="s">
        <v>125</v>
      </c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  <c r="AN44" s="321"/>
      <c r="AO44" s="321"/>
      <c r="AP44" s="322"/>
      <c r="AQ44" s="320" t="s">
        <v>126</v>
      </c>
      <c r="AR44" s="321"/>
      <c r="AS44" s="321"/>
      <c r="AT44" s="321"/>
      <c r="AU44" s="321"/>
      <c r="AV44" s="321"/>
      <c r="AW44" s="321"/>
      <c r="AX44" s="321"/>
      <c r="AY44" s="321"/>
      <c r="AZ44" s="321"/>
      <c r="BA44" s="321"/>
      <c r="BB44" s="321"/>
      <c r="BC44" s="321"/>
      <c r="BD44" s="321"/>
      <c r="BE44" s="321"/>
      <c r="BF44" s="321"/>
      <c r="BG44" s="321"/>
      <c r="BH44" s="321"/>
      <c r="BI44" s="321"/>
      <c r="BJ44" s="322"/>
      <c r="BK44" s="23"/>
    </row>
    <row r="45" spans="1:63" s="24" customFormat="1" ht="15" customHeight="1" x14ac:dyDescent="0.25">
      <c r="A45" s="19"/>
      <c r="B45" s="26"/>
      <c r="C45" s="26"/>
      <c r="D45" s="26"/>
      <c r="E45" s="253"/>
      <c r="F45" s="253"/>
      <c r="G45" s="253"/>
      <c r="H45" s="253"/>
      <c r="I45" s="253"/>
      <c r="J45" s="253"/>
      <c r="K45" s="253"/>
      <c r="L45" s="48"/>
      <c r="M45" s="48"/>
      <c r="N45" s="48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3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23"/>
    </row>
    <row r="46" spans="1:63" s="24" customFormat="1" ht="15" customHeight="1" x14ac:dyDescent="0.25">
      <c r="A46" s="19"/>
      <c r="B46" s="26"/>
      <c r="C46" s="29" t="s">
        <v>127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7"/>
      <c r="BI46" s="27"/>
      <c r="BJ46" s="27"/>
      <c r="BK46" s="23"/>
    </row>
    <row r="47" spans="1:63" s="24" customFormat="1" ht="15" customHeight="1" x14ac:dyDescent="0.25">
      <c r="A47" s="19"/>
      <c r="B47" s="26"/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7"/>
      <c r="BI47" s="27"/>
      <c r="BJ47" s="27"/>
      <c r="BK47" s="23"/>
    </row>
    <row r="48" spans="1:63" s="24" customFormat="1" ht="15" customHeight="1" x14ac:dyDescent="0.25">
      <c r="A48" s="19"/>
      <c r="B48" s="26"/>
      <c r="C48" s="110" t="s">
        <v>14</v>
      </c>
      <c r="D48" s="111"/>
      <c r="E48" s="313" t="s">
        <v>30</v>
      </c>
      <c r="F48" s="311"/>
      <c r="G48" s="311"/>
      <c r="H48" s="311"/>
      <c r="I48" s="311"/>
      <c r="J48" s="311"/>
      <c r="K48" s="312"/>
      <c r="L48" s="95" t="s">
        <v>27</v>
      </c>
      <c r="M48" s="96"/>
      <c r="N48" s="97"/>
      <c r="O48" s="95" t="s">
        <v>28</v>
      </c>
      <c r="P48" s="96"/>
      <c r="Q48" s="96"/>
      <c r="R48" s="97"/>
      <c r="S48" s="95" t="s">
        <v>29</v>
      </c>
      <c r="T48" s="96"/>
      <c r="U48" s="96"/>
      <c r="V48" s="96"/>
      <c r="W48" s="96"/>
      <c r="X48" s="96"/>
      <c r="Y48" s="97"/>
      <c r="Z48" s="98" t="s">
        <v>109</v>
      </c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100"/>
      <c r="AQ48" s="107" t="s">
        <v>26</v>
      </c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9"/>
      <c r="BK48" s="23"/>
    </row>
    <row r="49" spans="1:63" s="24" customFormat="1" ht="15" customHeight="1" x14ac:dyDescent="0.25">
      <c r="A49" s="19"/>
      <c r="B49" s="26"/>
      <c r="C49" s="104" t="s">
        <v>47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6"/>
      <c r="BK49" s="23"/>
    </row>
    <row r="50" spans="1:63" s="24" customFormat="1" ht="15" customHeight="1" x14ac:dyDescent="0.25">
      <c r="A50" s="19"/>
      <c r="B50" s="26"/>
      <c r="C50" s="26"/>
      <c r="D50" s="26"/>
      <c r="E50" s="253"/>
      <c r="F50" s="253"/>
      <c r="G50" s="253"/>
      <c r="H50" s="253"/>
      <c r="I50" s="253"/>
      <c r="J50" s="253"/>
      <c r="K50" s="253"/>
      <c r="L50" s="48"/>
      <c r="M50" s="48"/>
      <c r="N50" s="48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53"/>
      <c r="AA50" s="253"/>
      <c r="AB50" s="253"/>
      <c r="AC50" s="253"/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53"/>
      <c r="AO50" s="253"/>
      <c r="AP50" s="253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23"/>
    </row>
    <row r="51" spans="1:63" s="24" customFormat="1" ht="15" customHeight="1" x14ac:dyDescent="0.25">
      <c r="A51" s="19"/>
      <c r="B51" s="26"/>
      <c r="C51" s="29" t="s">
        <v>128</v>
      </c>
      <c r="D51" s="26"/>
      <c r="E51" s="253"/>
      <c r="F51" s="26"/>
      <c r="G51" s="25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23"/>
    </row>
    <row r="52" spans="1:63" s="24" customFormat="1" ht="15" customHeight="1" x14ac:dyDescent="0.25">
      <c r="A52" s="19"/>
      <c r="B52" s="26"/>
      <c r="C52" s="29"/>
      <c r="D52" s="253" t="s">
        <v>47</v>
      </c>
      <c r="E52" s="253"/>
      <c r="F52" s="26"/>
      <c r="G52" s="25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23"/>
    </row>
    <row r="53" spans="1:63" s="24" customFormat="1" ht="15" customHeight="1" x14ac:dyDescent="0.25">
      <c r="A53" s="19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7"/>
      <c r="BI53" s="27"/>
      <c r="BJ53" s="27"/>
      <c r="BK53" s="23"/>
    </row>
    <row r="54" spans="1:63" s="24" customFormat="1" ht="15" customHeight="1" x14ac:dyDescent="0.25">
      <c r="A54" s="19"/>
      <c r="B54" s="28" t="s">
        <v>129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23"/>
    </row>
    <row r="55" spans="1:63" s="24" customFormat="1" ht="15" customHeight="1" x14ac:dyDescent="0.25">
      <c r="A55" s="19"/>
      <c r="B55" s="25"/>
      <c r="C55" s="29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7"/>
      <c r="BI55" s="27"/>
      <c r="BJ55" s="27"/>
      <c r="BK55" s="23"/>
    </row>
    <row r="56" spans="1:63" s="24" customFormat="1" ht="15" customHeight="1" x14ac:dyDescent="0.25">
      <c r="A56" s="19"/>
      <c r="B56" s="25"/>
      <c r="C56" s="29" t="s">
        <v>130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7"/>
      <c r="BI56" s="27"/>
      <c r="BJ56" s="27"/>
      <c r="BK56" s="23"/>
    </row>
    <row r="57" spans="1:63" s="24" customFormat="1" ht="15" customHeight="1" x14ac:dyDescent="0.25">
      <c r="A57" s="19"/>
      <c r="B57" s="25"/>
      <c r="C57" s="29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7"/>
      <c r="BI57" s="27"/>
      <c r="BJ57" s="27"/>
      <c r="BK57" s="23"/>
    </row>
    <row r="58" spans="1:63" s="24" customFormat="1" ht="15" customHeight="1" x14ac:dyDescent="0.25">
      <c r="A58" s="19"/>
      <c r="B58" s="26"/>
      <c r="C58" s="95" t="s">
        <v>14</v>
      </c>
      <c r="D58" s="97"/>
      <c r="E58" s="112" t="s">
        <v>131</v>
      </c>
      <c r="F58" s="113"/>
      <c r="G58" s="113"/>
      <c r="H58" s="113"/>
      <c r="I58" s="113"/>
      <c r="J58" s="113"/>
      <c r="K58" s="113"/>
      <c r="L58" s="113"/>
      <c r="M58" s="113"/>
      <c r="N58" s="114"/>
      <c r="O58" s="127" t="s">
        <v>28</v>
      </c>
      <c r="P58" s="128"/>
      <c r="Q58" s="128"/>
      <c r="R58" s="129"/>
      <c r="S58" s="101" t="s">
        <v>109</v>
      </c>
      <c r="T58" s="102"/>
      <c r="U58" s="102"/>
      <c r="V58" s="102"/>
      <c r="W58" s="102"/>
      <c r="X58" s="102"/>
      <c r="Y58" s="102"/>
      <c r="Z58" s="102"/>
      <c r="AA58" s="102"/>
      <c r="AB58" s="103"/>
      <c r="AC58" s="95" t="s">
        <v>26</v>
      </c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7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7"/>
      <c r="BI58" s="27"/>
      <c r="BJ58" s="27"/>
      <c r="BK58" s="23"/>
    </row>
    <row r="59" spans="1:63" s="24" customFormat="1" ht="15" customHeight="1" x14ac:dyDescent="0.25">
      <c r="A59" s="19"/>
      <c r="B59" s="26"/>
      <c r="C59" s="89">
        <v>1</v>
      </c>
      <c r="D59" s="91"/>
      <c r="E59" s="89" t="s">
        <v>57</v>
      </c>
      <c r="F59" s="90"/>
      <c r="G59" s="90"/>
      <c r="H59" s="90"/>
      <c r="I59" s="90"/>
      <c r="J59" s="90"/>
      <c r="K59" s="90"/>
      <c r="L59" s="90"/>
      <c r="M59" s="90"/>
      <c r="N59" s="91"/>
      <c r="O59" s="89" t="s">
        <v>38</v>
      </c>
      <c r="P59" s="90"/>
      <c r="Q59" s="90"/>
      <c r="R59" s="91"/>
      <c r="S59" s="92" t="s">
        <v>6</v>
      </c>
      <c r="T59" s="93"/>
      <c r="U59" s="93"/>
      <c r="V59" s="93"/>
      <c r="W59" s="93"/>
      <c r="X59" s="93"/>
      <c r="Y59" s="93"/>
      <c r="Z59" s="93"/>
      <c r="AA59" s="93"/>
      <c r="AB59" s="94"/>
      <c r="AC59" s="89" t="s">
        <v>39</v>
      </c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1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7"/>
      <c r="BI59" s="27"/>
      <c r="BJ59" s="27"/>
      <c r="BK59" s="23"/>
    </row>
    <row r="60" spans="1:63" s="24" customFormat="1" ht="15" customHeight="1" x14ac:dyDescent="0.25">
      <c r="A60" s="19"/>
      <c r="B60" s="26"/>
      <c r="C60" s="89">
        <v>2</v>
      </c>
      <c r="D60" s="91"/>
      <c r="E60" s="89" t="s">
        <v>58</v>
      </c>
      <c r="F60" s="90"/>
      <c r="G60" s="90"/>
      <c r="H60" s="90"/>
      <c r="I60" s="90"/>
      <c r="J60" s="90"/>
      <c r="K60" s="90"/>
      <c r="L60" s="90"/>
      <c r="M60" s="90"/>
      <c r="N60" s="91"/>
      <c r="O60" s="89" t="s">
        <v>38</v>
      </c>
      <c r="P60" s="90"/>
      <c r="Q60" s="90"/>
      <c r="R60" s="91"/>
      <c r="S60" s="92" t="s">
        <v>6</v>
      </c>
      <c r="T60" s="93"/>
      <c r="U60" s="93"/>
      <c r="V60" s="93"/>
      <c r="W60" s="93"/>
      <c r="X60" s="93"/>
      <c r="Y60" s="93"/>
      <c r="Z60" s="93"/>
      <c r="AA60" s="93"/>
      <c r="AB60" s="94"/>
      <c r="AC60" s="89" t="s">
        <v>59</v>
      </c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1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7"/>
      <c r="BI60" s="27"/>
      <c r="BJ60" s="27"/>
      <c r="BK60" s="23"/>
    </row>
    <row r="61" spans="1:63" s="24" customFormat="1" ht="15" customHeight="1" x14ac:dyDescent="0.25">
      <c r="A61" s="19"/>
      <c r="B61" s="26"/>
      <c r="C61" s="89">
        <v>3</v>
      </c>
      <c r="D61" s="91"/>
      <c r="E61" s="89" t="s">
        <v>48</v>
      </c>
      <c r="F61" s="90"/>
      <c r="G61" s="90"/>
      <c r="H61" s="90"/>
      <c r="I61" s="90"/>
      <c r="J61" s="90"/>
      <c r="K61" s="90"/>
      <c r="L61" s="90"/>
      <c r="M61" s="90"/>
      <c r="N61" s="91"/>
      <c r="O61" s="89" t="s">
        <v>38</v>
      </c>
      <c r="P61" s="90"/>
      <c r="Q61" s="90"/>
      <c r="R61" s="91"/>
      <c r="S61" s="92" t="s">
        <v>6</v>
      </c>
      <c r="T61" s="93"/>
      <c r="U61" s="93"/>
      <c r="V61" s="93"/>
      <c r="W61" s="93"/>
      <c r="X61" s="93"/>
      <c r="Y61" s="93"/>
      <c r="Z61" s="93"/>
      <c r="AA61" s="93"/>
      <c r="AB61" s="94"/>
      <c r="AC61" s="89" t="s">
        <v>49</v>
      </c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1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7"/>
      <c r="BI61" s="27"/>
      <c r="BJ61" s="27"/>
      <c r="BK61" s="23"/>
    </row>
    <row r="62" spans="1:63" s="24" customFormat="1" ht="15" customHeight="1" x14ac:dyDescent="0.25">
      <c r="A62" s="19"/>
      <c r="B62" s="26"/>
      <c r="C62" s="89">
        <v>4</v>
      </c>
      <c r="D62" s="91"/>
      <c r="E62" s="320" t="s">
        <v>132</v>
      </c>
      <c r="F62" s="321"/>
      <c r="G62" s="321"/>
      <c r="H62" s="321"/>
      <c r="I62" s="321"/>
      <c r="J62" s="321"/>
      <c r="K62" s="321"/>
      <c r="L62" s="321"/>
      <c r="M62" s="321"/>
      <c r="N62" s="322"/>
      <c r="O62" s="89" t="s">
        <v>31</v>
      </c>
      <c r="P62" s="90"/>
      <c r="Q62" s="90"/>
      <c r="R62" s="91"/>
      <c r="S62" s="92" t="s">
        <v>6</v>
      </c>
      <c r="T62" s="93"/>
      <c r="U62" s="93"/>
      <c r="V62" s="93"/>
      <c r="W62" s="93"/>
      <c r="X62" s="93"/>
      <c r="Y62" s="93"/>
      <c r="Z62" s="93"/>
      <c r="AA62" s="93"/>
      <c r="AB62" s="94"/>
      <c r="AC62" s="89" t="s">
        <v>73</v>
      </c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1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7"/>
      <c r="BI62" s="27"/>
      <c r="BJ62" s="27"/>
      <c r="BK62" s="23"/>
    </row>
    <row r="63" spans="1:63" s="24" customFormat="1" ht="15" customHeight="1" x14ac:dyDescent="0.25">
      <c r="A63" s="19"/>
      <c r="B63" s="26"/>
      <c r="C63" s="89">
        <v>5</v>
      </c>
      <c r="D63" s="91"/>
      <c r="E63" s="89" t="s">
        <v>133</v>
      </c>
      <c r="F63" s="90"/>
      <c r="G63" s="90"/>
      <c r="H63" s="90"/>
      <c r="I63" s="90"/>
      <c r="J63" s="90"/>
      <c r="K63" s="90"/>
      <c r="L63" s="90"/>
      <c r="M63" s="90"/>
      <c r="N63" s="91"/>
      <c r="O63" s="89" t="s">
        <v>5</v>
      </c>
      <c r="P63" s="90"/>
      <c r="Q63" s="90"/>
      <c r="R63" s="91"/>
      <c r="S63" s="333" t="s">
        <v>134</v>
      </c>
      <c r="T63" s="334"/>
      <c r="U63" s="334"/>
      <c r="V63" s="334"/>
      <c r="W63" s="334"/>
      <c r="X63" s="334"/>
      <c r="Y63" s="334"/>
      <c r="Z63" s="334"/>
      <c r="AA63" s="334"/>
      <c r="AB63" s="335"/>
      <c r="AC63" s="89" t="s">
        <v>135</v>
      </c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1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7"/>
      <c r="BI63" s="27"/>
      <c r="BJ63" s="27"/>
      <c r="BK63" s="23"/>
    </row>
    <row r="64" spans="1:63" s="24" customFormat="1" ht="15" customHeight="1" x14ac:dyDescent="0.25">
      <c r="A64" s="19"/>
      <c r="B64" s="26"/>
      <c r="C64" s="89">
        <v>6</v>
      </c>
      <c r="D64" s="91"/>
      <c r="E64" s="89" t="s">
        <v>136</v>
      </c>
      <c r="F64" s="90"/>
      <c r="G64" s="90"/>
      <c r="H64" s="90"/>
      <c r="I64" s="90"/>
      <c r="J64" s="90"/>
      <c r="K64" s="90"/>
      <c r="L64" s="90"/>
      <c r="M64" s="90"/>
      <c r="N64" s="91"/>
      <c r="O64" s="89" t="s">
        <v>5</v>
      </c>
      <c r="P64" s="90"/>
      <c r="Q64" s="90"/>
      <c r="R64" s="91"/>
      <c r="S64" s="333" t="s">
        <v>137</v>
      </c>
      <c r="T64" s="334"/>
      <c r="U64" s="334"/>
      <c r="V64" s="334"/>
      <c r="W64" s="334"/>
      <c r="X64" s="334"/>
      <c r="Y64" s="334"/>
      <c r="Z64" s="334"/>
      <c r="AA64" s="334"/>
      <c r="AB64" s="335"/>
      <c r="AC64" s="89" t="s">
        <v>42</v>
      </c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1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7"/>
      <c r="BI64" s="27"/>
      <c r="BJ64" s="27"/>
      <c r="BK64" s="23"/>
    </row>
    <row r="65" spans="1:63" s="24" customFormat="1" ht="132" customHeight="1" x14ac:dyDescent="0.25">
      <c r="A65" s="19"/>
      <c r="B65" s="26"/>
      <c r="C65" s="89">
        <v>7</v>
      </c>
      <c r="D65" s="91"/>
      <c r="E65" s="89" t="s">
        <v>138</v>
      </c>
      <c r="F65" s="90"/>
      <c r="G65" s="90"/>
      <c r="H65" s="90"/>
      <c r="I65" s="90"/>
      <c r="J65" s="90"/>
      <c r="K65" s="90"/>
      <c r="L65" s="90"/>
      <c r="M65" s="90"/>
      <c r="N65" s="91"/>
      <c r="O65" s="89" t="s">
        <v>37</v>
      </c>
      <c r="P65" s="90"/>
      <c r="Q65" s="90"/>
      <c r="R65" s="91"/>
      <c r="S65" s="333" t="s">
        <v>6</v>
      </c>
      <c r="T65" s="334"/>
      <c r="U65" s="334"/>
      <c r="V65" s="334"/>
      <c r="W65" s="334"/>
      <c r="X65" s="334"/>
      <c r="Y65" s="334"/>
      <c r="Z65" s="334"/>
      <c r="AA65" s="334"/>
      <c r="AB65" s="335"/>
      <c r="AC65" s="138" t="s">
        <v>139</v>
      </c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1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7"/>
      <c r="BI65" s="27"/>
      <c r="BJ65" s="27"/>
      <c r="BK65" s="23"/>
    </row>
    <row r="66" spans="1:63" s="24" customFormat="1" ht="15" customHeight="1" x14ac:dyDescent="0.25">
      <c r="A66" s="19"/>
      <c r="B66" s="26"/>
      <c r="C66" s="89">
        <v>8</v>
      </c>
      <c r="D66" s="91"/>
      <c r="E66" s="89" t="s">
        <v>140</v>
      </c>
      <c r="F66" s="90"/>
      <c r="G66" s="90"/>
      <c r="H66" s="90"/>
      <c r="I66" s="90"/>
      <c r="J66" s="90"/>
      <c r="K66" s="90"/>
      <c r="L66" s="90"/>
      <c r="M66" s="90"/>
      <c r="N66" s="91"/>
      <c r="O66" s="89" t="s">
        <v>5</v>
      </c>
      <c r="P66" s="90"/>
      <c r="Q66" s="90"/>
      <c r="R66" s="91"/>
      <c r="S66" s="333" t="s">
        <v>141</v>
      </c>
      <c r="T66" s="334"/>
      <c r="U66" s="334"/>
      <c r="V66" s="334"/>
      <c r="W66" s="334"/>
      <c r="X66" s="334"/>
      <c r="Y66" s="334"/>
      <c r="Z66" s="334"/>
      <c r="AA66" s="334"/>
      <c r="AB66" s="335"/>
      <c r="AC66" s="89" t="s">
        <v>72</v>
      </c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1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7"/>
      <c r="BI66" s="27"/>
      <c r="BJ66" s="27"/>
      <c r="BK66" s="23"/>
    </row>
    <row r="67" spans="1:63" s="24" customFormat="1" ht="15" customHeight="1" x14ac:dyDescent="0.25">
      <c r="A67" s="19"/>
      <c r="B67" s="26"/>
      <c r="C67" s="89">
        <v>9</v>
      </c>
      <c r="D67" s="91"/>
      <c r="E67" s="89" t="s">
        <v>142</v>
      </c>
      <c r="F67" s="90"/>
      <c r="G67" s="90"/>
      <c r="H67" s="90"/>
      <c r="I67" s="90"/>
      <c r="J67" s="90"/>
      <c r="K67" s="90"/>
      <c r="L67" s="90"/>
      <c r="M67" s="90"/>
      <c r="N67" s="91"/>
      <c r="O67" s="89" t="s">
        <v>5</v>
      </c>
      <c r="P67" s="90"/>
      <c r="Q67" s="90"/>
      <c r="R67" s="91"/>
      <c r="S67" s="333" t="s">
        <v>143</v>
      </c>
      <c r="T67" s="334"/>
      <c r="U67" s="334"/>
      <c r="V67" s="334"/>
      <c r="W67" s="334"/>
      <c r="X67" s="334"/>
      <c r="Y67" s="334"/>
      <c r="Z67" s="334"/>
      <c r="AA67" s="334"/>
      <c r="AB67" s="335"/>
      <c r="AC67" s="89" t="s">
        <v>52</v>
      </c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1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7"/>
      <c r="BI67" s="27"/>
      <c r="BJ67" s="27"/>
      <c r="BK67" s="23"/>
    </row>
    <row r="68" spans="1:63" s="24" customFormat="1" ht="15" customHeight="1" x14ac:dyDescent="0.25">
      <c r="A68" s="19"/>
      <c r="B68" s="26"/>
      <c r="C68" s="89">
        <v>10</v>
      </c>
      <c r="D68" s="91"/>
      <c r="E68" s="89" t="s">
        <v>144</v>
      </c>
      <c r="F68" s="90"/>
      <c r="G68" s="90"/>
      <c r="H68" s="90"/>
      <c r="I68" s="90"/>
      <c r="J68" s="90"/>
      <c r="K68" s="90"/>
      <c r="L68" s="90"/>
      <c r="M68" s="90"/>
      <c r="N68" s="91"/>
      <c r="O68" s="89" t="s">
        <v>5</v>
      </c>
      <c r="P68" s="90"/>
      <c r="Q68" s="90"/>
      <c r="R68" s="91"/>
      <c r="S68" s="333" t="s">
        <v>145</v>
      </c>
      <c r="T68" s="334"/>
      <c r="U68" s="334"/>
      <c r="V68" s="334"/>
      <c r="W68" s="334"/>
      <c r="X68" s="334"/>
      <c r="Y68" s="334"/>
      <c r="Z68" s="334"/>
      <c r="AA68" s="334"/>
      <c r="AB68" s="335"/>
      <c r="AC68" s="89" t="s">
        <v>52</v>
      </c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1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7"/>
      <c r="BI68" s="27"/>
      <c r="BJ68" s="27"/>
      <c r="BK68" s="23"/>
    </row>
    <row r="69" spans="1:63" s="24" customFormat="1" ht="15" customHeight="1" x14ac:dyDescent="0.25">
      <c r="A69" s="19"/>
      <c r="B69" s="26"/>
      <c r="C69" s="89">
        <v>11</v>
      </c>
      <c r="D69" s="91"/>
      <c r="E69" s="89" t="s">
        <v>146</v>
      </c>
      <c r="F69" s="90"/>
      <c r="G69" s="90"/>
      <c r="H69" s="90"/>
      <c r="I69" s="90"/>
      <c r="J69" s="90"/>
      <c r="K69" s="90"/>
      <c r="L69" s="90"/>
      <c r="M69" s="90"/>
      <c r="N69" s="91"/>
      <c r="O69" s="89" t="s">
        <v>5</v>
      </c>
      <c r="P69" s="90"/>
      <c r="Q69" s="90"/>
      <c r="R69" s="91"/>
      <c r="S69" s="333" t="s">
        <v>147</v>
      </c>
      <c r="T69" s="334"/>
      <c r="U69" s="334"/>
      <c r="V69" s="334"/>
      <c r="W69" s="334"/>
      <c r="X69" s="334"/>
      <c r="Y69" s="334"/>
      <c r="Z69" s="334"/>
      <c r="AA69" s="334"/>
      <c r="AB69" s="335"/>
      <c r="AC69" s="89" t="s">
        <v>54</v>
      </c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1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7"/>
      <c r="BI69" s="27"/>
      <c r="BJ69" s="27"/>
      <c r="BK69" s="23"/>
    </row>
    <row r="70" spans="1:63" s="24" customFormat="1" ht="15" customHeight="1" x14ac:dyDescent="0.25">
      <c r="A70" s="19"/>
      <c r="B70" s="26"/>
      <c r="C70" s="89">
        <v>12</v>
      </c>
      <c r="D70" s="91"/>
      <c r="E70" s="89" t="s">
        <v>148</v>
      </c>
      <c r="F70" s="90"/>
      <c r="G70" s="90"/>
      <c r="H70" s="90"/>
      <c r="I70" s="90"/>
      <c r="J70" s="90"/>
      <c r="K70" s="90"/>
      <c r="L70" s="90"/>
      <c r="M70" s="90"/>
      <c r="N70" s="91"/>
      <c r="O70" s="89" t="s">
        <v>5</v>
      </c>
      <c r="P70" s="90"/>
      <c r="Q70" s="90"/>
      <c r="R70" s="91"/>
      <c r="S70" s="333" t="s">
        <v>149</v>
      </c>
      <c r="T70" s="334"/>
      <c r="U70" s="334"/>
      <c r="V70" s="334"/>
      <c r="W70" s="334"/>
      <c r="X70" s="334"/>
      <c r="Y70" s="334"/>
      <c r="Z70" s="334"/>
      <c r="AA70" s="334"/>
      <c r="AB70" s="335"/>
      <c r="AC70" s="89" t="s">
        <v>69</v>
      </c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1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7"/>
      <c r="BI70" s="27"/>
      <c r="BJ70" s="27"/>
      <c r="BK70" s="23"/>
    </row>
    <row r="71" spans="1:63" s="24" customFormat="1" ht="15" customHeight="1" x14ac:dyDescent="0.25">
      <c r="A71" s="19"/>
      <c r="B71" s="26"/>
      <c r="C71" s="89">
        <v>13</v>
      </c>
      <c r="D71" s="91"/>
      <c r="E71" s="89" t="s">
        <v>150</v>
      </c>
      <c r="F71" s="90"/>
      <c r="G71" s="90"/>
      <c r="H71" s="90"/>
      <c r="I71" s="90"/>
      <c r="J71" s="90"/>
      <c r="K71" s="90"/>
      <c r="L71" s="90"/>
      <c r="M71" s="90"/>
      <c r="N71" s="91"/>
      <c r="O71" s="89" t="s">
        <v>77</v>
      </c>
      <c r="P71" s="90"/>
      <c r="Q71" s="90"/>
      <c r="R71" s="91"/>
      <c r="S71" s="333" t="s">
        <v>151</v>
      </c>
      <c r="T71" s="334"/>
      <c r="U71" s="334"/>
      <c r="V71" s="334"/>
      <c r="W71" s="334"/>
      <c r="X71" s="334"/>
      <c r="Y71" s="334"/>
      <c r="Z71" s="334"/>
      <c r="AA71" s="334"/>
      <c r="AB71" s="335"/>
      <c r="AC71" s="89" t="s">
        <v>70</v>
      </c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1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7"/>
      <c r="BI71" s="27"/>
      <c r="BJ71" s="27"/>
      <c r="BK71" s="23"/>
    </row>
    <row r="72" spans="1:63" s="24" customFormat="1" ht="15" customHeight="1" x14ac:dyDescent="0.25">
      <c r="A72" s="19"/>
      <c r="B72" s="26"/>
      <c r="C72" s="89">
        <v>14</v>
      </c>
      <c r="D72" s="91"/>
      <c r="E72" s="89" t="s">
        <v>152</v>
      </c>
      <c r="F72" s="90"/>
      <c r="G72" s="90"/>
      <c r="H72" s="90"/>
      <c r="I72" s="90"/>
      <c r="J72" s="90"/>
      <c r="K72" s="90"/>
      <c r="L72" s="90"/>
      <c r="M72" s="90"/>
      <c r="N72" s="91"/>
      <c r="O72" s="89" t="s">
        <v>77</v>
      </c>
      <c r="P72" s="90"/>
      <c r="Q72" s="90"/>
      <c r="R72" s="91"/>
      <c r="S72" s="333" t="s">
        <v>153</v>
      </c>
      <c r="T72" s="334"/>
      <c r="U72" s="334"/>
      <c r="V72" s="334"/>
      <c r="W72" s="334"/>
      <c r="X72" s="334"/>
      <c r="Y72" s="334"/>
      <c r="Z72" s="334"/>
      <c r="AA72" s="334"/>
      <c r="AB72" s="335"/>
      <c r="AC72" s="89" t="s">
        <v>66</v>
      </c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1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7"/>
      <c r="BI72" s="27"/>
      <c r="BJ72" s="27"/>
      <c r="BK72" s="23"/>
    </row>
    <row r="73" spans="1:63" s="24" customFormat="1" ht="15" customHeight="1" x14ac:dyDescent="0.25">
      <c r="A73" s="19"/>
      <c r="B73" s="26"/>
      <c r="C73" s="89">
        <v>15</v>
      </c>
      <c r="D73" s="91"/>
      <c r="E73" s="89" t="s">
        <v>154</v>
      </c>
      <c r="F73" s="90"/>
      <c r="G73" s="90"/>
      <c r="H73" s="90"/>
      <c r="I73" s="90"/>
      <c r="J73" s="90"/>
      <c r="K73" s="90"/>
      <c r="L73" s="90"/>
      <c r="M73" s="90"/>
      <c r="N73" s="91"/>
      <c r="O73" s="89" t="s">
        <v>77</v>
      </c>
      <c r="P73" s="90"/>
      <c r="Q73" s="90"/>
      <c r="R73" s="91"/>
      <c r="S73" s="333" t="s">
        <v>155</v>
      </c>
      <c r="T73" s="334"/>
      <c r="U73" s="334"/>
      <c r="V73" s="334"/>
      <c r="W73" s="334"/>
      <c r="X73" s="334"/>
      <c r="Y73" s="334"/>
      <c r="Z73" s="334"/>
      <c r="AA73" s="334"/>
      <c r="AB73" s="335"/>
      <c r="AC73" s="89" t="s">
        <v>55</v>
      </c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1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7"/>
      <c r="BI73" s="27"/>
      <c r="BJ73" s="27"/>
      <c r="BK73" s="23"/>
    </row>
    <row r="74" spans="1:63" s="24" customFormat="1" ht="51" customHeight="1" x14ac:dyDescent="0.25">
      <c r="A74" s="19"/>
      <c r="B74" s="26"/>
      <c r="C74" s="89">
        <v>16</v>
      </c>
      <c r="D74" s="91"/>
      <c r="E74" s="89" t="s">
        <v>156</v>
      </c>
      <c r="F74" s="90"/>
      <c r="G74" s="90"/>
      <c r="H74" s="90"/>
      <c r="I74" s="90"/>
      <c r="J74" s="90"/>
      <c r="K74" s="90"/>
      <c r="L74" s="90"/>
      <c r="M74" s="90"/>
      <c r="N74" s="91"/>
      <c r="O74" s="89" t="s">
        <v>77</v>
      </c>
      <c r="P74" s="90"/>
      <c r="Q74" s="90"/>
      <c r="R74" s="91"/>
      <c r="S74" s="336" t="s">
        <v>157</v>
      </c>
      <c r="T74" s="334"/>
      <c r="U74" s="334"/>
      <c r="V74" s="334"/>
      <c r="W74" s="334"/>
      <c r="X74" s="334"/>
      <c r="Y74" s="334"/>
      <c r="Z74" s="334"/>
      <c r="AA74" s="334"/>
      <c r="AB74" s="335"/>
      <c r="AC74" s="89" t="s">
        <v>71</v>
      </c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1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7"/>
      <c r="BI74" s="27"/>
      <c r="BJ74" s="27"/>
      <c r="BK74" s="23"/>
    </row>
    <row r="75" spans="1:63" s="24" customFormat="1" x14ac:dyDescent="0.25">
      <c r="A75" s="19"/>
      <c r="B75" s="26"/>
      <c r="C75" s="89">
        <v>17</v>
      </c>
      <c r="D75" s="91"/>
      <c r="E75" s="327" t="s">
        <v>158</v>
      </c>
      <c r="F75" s="328"/>
      <c r="G75" s="328"/>
      <c r="H75" s="328"/>
      <c r="I75" s="328"/>
      <c r="J75" s="328"/>
      <c r="K75" s="328"/>
      <c r="L75" s="328"/>
      <c r="M75" s="328"/>
      <c r="N75" s="329"/>
      <c r="O75" s="327" t="s">
        <v>159</v>
      </c>
      <c r="P75" s="328"/>
      <c r="Q75" s="328"/>
      <c r="R75" s="329"/>
      <c r="S75" s="330" t="s">
        <v>160</v>
      </c>
      <c r="T75" s="331"/>
      <c r="U75" s="331"/>
      <c r="V75" s="331"/>
      <c r="W75" s="331"/>
      <c r="X75" s="331"/>
      <c r="Y75" s="331"/>
      <c r="Z75" s="331"/>
      <c r="AA75" s="331"/>
      <c r="AB75" s="332"/>
      <c r="AC75" s="327" t="s">
        <v>161</v>
      </c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9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7"/>
      <c r="BI75" s="27"/>
      <c r="BJ75" s="27"/>
      <c r="BK75" s="23"/>
    </row>
    <row r="76" spans="1:63" s="24" customFormat="1" ht="15" customHeight="1" x14ac:dyDescent="0.25">
      <c r="A76" s="19"/>
      <c r="B76" s="26"/>
      <c r="C76" s="89">
        <v>18</v>
      </c>
      <c r="D76" s="91"/>
      <c r="E76" s="89" t="s">
        <v>162</v>
      </c>
      <c r="F76" s="90"/>
      <c r="G76" s="90"/>
      <c r="H76" s="90"/>
      <c r="I76" s="90"/>
      <c r="J76" s="90"/>
      <c r="K76" s="90"/>
      <c r="L76" s="90"/>
      <c r="M76" s="90"/>
      <c r="N76" s="91"/>
      <c r="O76" s="89" t="s">
        <v>5</v>
      </c>
      <c r="P76" s="90"/>
      <c r="Q76" s="90"/>
      <c r="R76" s="91"/>
      <c r="S76" s="333" t="s">
        <v>163</v>
      </c>
      <c r="T76" s="334"/>
      <c r="U76" s="334"/>
      <c r="V76" s="334"/>
      <c r="W76" s="334"/>
      <c r="X76" s="334"/>
      <c r="Y76" s="334"/>
      <c r="Z76" s="334"/>
      <c r="AA76" s="334"/>
      <c r="AB76" s="335"/>
      <c r="AC76" s="89" t="s">
        <v>74</v>
      </c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1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7"/>
      <c r="BI76" s="27"/>
      <c r="BJ76" s="27"/>
      <c r="BK76" s="23"/>
    </row>
    <row r="77" spans="1:63" s="24" customFormat="1" ht="15" customHeight="1" x14ac:dyDescent="0.25">
      <c r="A77" s="19"/>
      <c r="B77" s="26"/>
      <c r="C77" s="320">
        <v>19</v>
      </c>
      <c r="D77" s="322"/>
      <c r="E77" s="320" t="s">
        <v>164</v>
      </c>
      <c r="F77" s="321"/>
      <c r="G77" s="321"/>
      <c r="H77" s="321"/>
      <c r="I77" s="321"/>
      <c r="J77" s="321"/>
      <c r="K77" s="321"/>
      <c r="L77" s="321"/>
      <c r="M77" s="321"/>
      <c r="N77" s="322"/>
      <c r="O77" s="320" t="s">
        <v>165</v>
      </c>
      <c r="P77" s="321"/>
      <c r="Q77" s="321"/>
      <c r="R77" s="322"/>
      <c r="S77" s="333" t="s">
        <v>166</v>
      </c>
      <c r="T77" s="334"/>
      <c r="U77" s="334"/>
      <c r="V77" s="334"/>
      <c r="W77" s="334"/>
      <c r="X77" s="334"/>
      <c r="Y77" s="334"/>
      <c r="Z77" s="334"/>
      <c r="AA77" s="334"/>
      <c r="AB77" s="335"/>
      <c r="AC77" s="320" t="s">
        <v>167</v>
      </c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  <c r="AN77" s="321"/>
      <c r="AO77" s="321"/>
      <c r="AP77" s="321"/>
      <c r="AQ77" s="321"/>
      <c r="AR77" s="321"/>
      <c r="AS77" s="321"/>
      <c r="AT77" s="321"/>
      <c r="AU77" s="322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7"/>
      <c r="BI77" s="27"/>
      <c r="BJ77" s="27"/>
      <c r="BK77" s="23"/>
    </row>
    <row r="78" spans="1:63" s="24" customFormat="1" ht="15" customHeight="1" x14ac:dyDescent="0.25">
      <c r="A78" s="19"/>
      <c r="B78" s="26"/>
      <c r="C78" s="320">
        <v>20</v>
      </c>
      <c r="D78" s="322"/>
      <c r="E78" s="320" t="s">
        <v>168</v>
      </c>
      <c r="F78" s="321"/>
      <c r="G78" s="321"/>
      <c r="H78" s="321"/>
      <c r="I78" s="321"/>
      <c r="J78" s="321"/>
      <c r="K78" s="321"/>
      <c r="L78" s="321"/>
      <c r="M78" s="321"/>
      <c r="N78" s="322"/>
      <c r="O78" s="320" t="s">
        <v>165</v>
      </c>
      <c r="P78" s="321"/>
      <c r="Q78" s="321"/>
      <c r="R78" s="322"/>
      <c r="S78" s="333" t="s">
        <v>169</v>
      </c>
      <c r="T78" s="334"/>
      <c r="U78" s="334"/>
      <c r="V78" s="334"/>
      <c r="W78" s="334"/>
      <c r="X78" s="334"/>
      <c r="Y78" s="334"/>
      <c r="Z78" s="334"/>
      <c r="AA78" s="334"/>
      <c r="AB78" s="335"/>
      <c r="AC78" s="320" t="s">
        <v>170</v>
      </c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  <c r="AN78" s="321"/>
      <c r="AO78" s="321"/>
      <c r="AP78" s="321"/>
      <c r="AQ78" s="321"/>
      <c r="AR78" s="321"/>
      <c r="AS78" s="321"/>
      <c r="AT78" s="321"/>
      <c r="AU78" s="322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7"/>
      <c r="BI78" s="27"/>
      <c r="BJ78" s="27"/>
      <c r="BK78" s="23"/>
    </row>
    <row r="79" spans="1:63" s="24" customFormat="1" ht="15" customHeight="1" x14ac:dyDescent="0.25">
      <c r="A79" s="19"/>
      <c r="B79" s="26"/>
      <c r="C79" s="320">
        <v>20</v>
      </c>
      <c r="D79" s="322"/>
      <c r="E79" s="320" t="s">
        <v>171</v>
      </c>
      <c r="F79" s="321"/>
      <c r="G79" s="321"/>
      <c r="H79" s="321"/>
      <c r="I79" s="321"/>
      <c r="J79" s="321"/>
      <c r="K79" s="321"/>
      <c r="L79" s="321"/>
      <c r="M79" s="321"/>
      <c r="N79" s="322"/>
      <c r="O79" s="320" t="s">
        <v>172</v>
      </c>
      <c r="P79" s="321"/>
      <c r="Q79" s="321"/>
      <c r="R79" s="322"/>
      <c r="S79" s="333" t="s">
        <v>166</v>
      </c>
      <c r="T79" s="334"/>
      <c r="U79" s="334"/>
      <c r="V79" s="334"/>
      <c r="W79" s="334"/>
      <c r="X79" s="334"/>
      <c r="Y79" s="334"/>
      <c r="Z79" s="334"/>
      <c r="AA79" s="334"/>
      <c r="AB79" s="335"/>
      <c r="AC79" s="320" t="s">
        <v>173</v>
      </c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  <c r="AN79" s="321"/>
      <c r="AO79" s="321"/>
      <c r="AP79" s="321"/>
      <c r="AQ79" s="321"/>
      <c r="AR79" s="321"/>
      <c r="AS79" s="321"/>
      <c r="AT79" s="321"/>
      <c r="AU79" s="322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7"/>
      <c r="BI79" s="27"/>
      <c r="BJ79" s="27"/>
      <c r="BK79" s="23"/>
    </row>
    <row r="80" spans="1:63" s="24" customFormat="1" ht="15" customHeight="1" x14ac:dyDescent="0.25">
      <c r="A80" s="19"/>
      <c r="B80" s="26"/>
      <c r="C80" s="320">
        <v>21</v>
      </c>
      <c r="D80" s="322"/>
      <c r="E80" s="320" t="s">
        <v>174</v>
      </c>
      <c r="F80" s="321"/>
      <c r="G80" s="321"/>
      <c r="H80" s="321"/>
      <c r="I80" s="321"/>
      <c r="J80" s="321"/>
      <c r="K80" s="321"/>
      <c r="L80" s="321"/>
      <c r="M80" s="321"/>
      <c r="N80" s="322"/>
      <c r="O80" s="320" t="s">
        <v>172</v>
      </c>
      <c r="P80" s="321"/>
      <c r="Q80" s="321"/>
      <c r="R80" s="322"/>
      <c r="S80" s="333" t="s">
        <v>169</v>
      </c>
      <c r="T80" s="334"/>
      <c r="U80" s="334"/>
      <c r="V80" s="334"/>
      <c r="W80" s="334"/>
      <c r="X80" s="334"/>
      <c r="Y80" s="334"/>
      <c r="Z80" s="334"/>
      <c r="AA80" s="334"/>
      <c r="AB80" s="335"/>
      <c r="AC80" s="320" t="s">
        <v>175</v>
      </c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  <c r="AN80" s="321"/>
      <c r="AO80" s="321"/>
      <c r="AP80" s="321"/>
      <c r="AQ80" s="321"/>
      <c r="AR80" s="321"/>
      <c r="AS80" s="321"/>
      <c r="AT80" s="321"/>
      <c r="AU80" s="322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7"/>
      <c r="BI80" s="27"/>
      <c r="BJ80" s="27"/>
      <c r="BK80" s="23"/>
    </row>
    <row r="81" spans="1:63" s="24" customFormat="1" ht="15" customHeight="1" x14ac:dyDescent="0.25">
      <c r="A81" s="19"/>
      <c r="B81" s="26"/>
      <c r="C81" s="26"/>
      <c r="D81" s="26"/>
      <c r="E81" s="253"/>
      <c r="F81" s="253"/>
      <c r="G81" s="253"/>
      <c r="H81" s="253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53"/>
      <c r="T81" s="253"/>
      <c r="U81" s="253"/>
      <c r="V81" s="253"/>
      <c r="W81" s="253"/>
      <c r="X81" s="253"/>
      <c r="Y81" s="253"/>
      <c r="Z81" s="253"/>
      <c r="AA81" s="253"/>
      <c r="AB81" s="26"/>
      <c r="AC81" s="253"/>
      <c r="AD81" s="253"/>
      <c r="AE81" s="253"/>
      <c r="AF81" s="253"/>
      <c r="AG81" s="253"/>
      <c r="AH81" s="253"/>
      <c r="AI81" s="253"/>
      <c r="AJ81" s="253"/>
      <c r="AK81" s="253"/>
      <c r="AL81" s="253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7"/>
      <c r="BI81" s="27"/>
      <c r="BJ81" s="27"/>
      <c r="BK81" s="23"/>
    </row>
    <row r="82" spans="1:63" s="24" customFormat="1" ht="15" customHeight="1" x14ac:dyDescent="0.25">
      <c r="A82" s="19"/>
      <c r="B82" s="26"/>
      <c r="C82" s="29" t="s">
        <v>128</v>
      </c>
      <c r="D82" s="26"/>
      <c r="E82" s="253"/>
      <c r="F82" s="26"/>
      <c r="G82" s="253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7"/>
      <c r="BI82" s="27"/>
      <c r="BJ82" s="27"/>
      <c r="BK82" s="23"/>
    </row>
    <row r="83" spans="1:63" s="24" customFormat="1" ht="15" customHeight="1" x14ac:dyDescent="0.25">
      <c r="A83" s="19"/>
      <c r="B83" s="26"/>
      <c r="C83" s="29"/>
      <c r="D83" s="253"/>
      <c r="E83" s="253"/>
      <c r="F83" s="26"/>
      <c r="G83" s="253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7"/>
      <c r="BI83" s="27"/>
      <c r="BJ83" s="27"/>
      <c r="BK83" s="23"/>
    </row>
    <row r="84" spans="1:63" s="24" customFormat="1" ht="15" customHeight="1" x14ac:dyDescent="0.25">
      <c r="A84" s="19"/>
      <c r="B84" s="26"/>
      <c r="C84" s="314" t="s">
        <v>32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0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7"/>
      <c r="BI84" s="27"/>
      <c r="BJ84" s="27"/>
      <c r="BK84" s="23"/>
    </row>
    <row r="85" spans="1:63" s="24" customFormat="1" ht="15" customHeight="1" x14ac:dyDescent="0.25">
      <c r="A85" s="19"/>
      <c r="B85" s="26"/>
      <c r="C85" s="315" t="s">
        <v>176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31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7"/>
      <c r="BI85" s="27"/>
      <c r="BJ85" s="27"/>
      <c r="BK85" s="23"/>
    </row>
    <row r="86" spans="1:63" s="24" customFormat="1" ht="15" customHeight="1" x14ac:dyDescent="0.25">
      <c r="A86" s="19"/>
      <c r="B86" s="26"/>
      <c r="C86" s="315" t="s">
        <v>177</v>
      </c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31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7"/>
      <c r="BI86" s="27"/>
      <c r="BJ86" s="27"/>
      <c r="BK86" s="23"/>
    </row>
    <row r="87" spans="1:63" s="24" customFormat="1" ht="15" customHeight="1" x14ac:dyDescent="0.25">
      <c r="A87" s="19"/>
      <c r="B87" s="26"/>
      <c r="C87" s="315" t="s">
        <v>178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31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7"/>
      <c r="BI87" s="27"/>
      <c r="BJ87" s="27"/>
      <c r="BK87" s="23"/>
    </row>
    <row r="88" spans="1:63" s="342" customFormat="1" ht="15" customHeight="1" x14ac:dyDescent="0.25">
      <c r="A88" s="337"/>
      <c r="B88" s="338"/>
      <c r="C88" s="337" t="s">
        <v>179</v>
      </c>
      <c r="D88" s="338"/>
      <c r="E88" s="338"/>
      <c r="F88" s="338"/>
      <c r="G88" s="338"/>
      <c r="H88" s="338"/>
      <c r="I88" s="338"/>
      <c r="J88" s="338"/>
      <c r="K88" s="338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  <c r="W88" s="338"/>
      <c r="X88" s="338"/>
      <c r="Y88" s="338"/>
      <c r="Z88" s="338"/>
      <c r="AA88" s="338"/>
      <c r="AB88" s="338"/>
      <c r="AC88" s="338"/>
      <c r="AD88" s="338"/>
      <c r="AE88" s="338"/>
      <c r="AF88" s="338"/>
      <c r="AG88" s="338"/>
      <c r="AH88" s="338"/>
      <c r="AI88" s="338"/>
      <c r="AJ88" s="338"/>
      <c r="AK88" s="338"/>
      <c r="AL88" s="338"/>
      <c r="AM88" s="338"/>
      <c r="AN88" s="338"/>
      <c r="AO88" s="338"/>
      <c r="AP88" s="338"/>
      <c r="AQ88" s="338"/>
      <c r="AR88" s="338"/>
      <c r="AS88" s="338"/>
      <c r="AT88" s="338"/>
      <c r="AU88" s="339"/>
      <c r="AV88" s="338"/>
      <c r="AW88" s="338"/>
      <c r="AX88" s="338"/>
      <c r="AY88" s="338"/>
      <c r="AZ88" s="338"/>
      <c r="BA88" s="338"/>
      <c r="BB88" s="338"/>
      <c r="BC88" s="338"/>
      <c r="BD88" s="338"/>
      <c r="BE88" s="338"/>
      <c r="BF88" s="338"/>
      <c r="BG88" s="338"/>
      <c r="BH88" s="340"/>
      <c r="BI88" s="340"/>
      <c r="BJ88" s="340"/>
      <c r="BK88" s="341"/>
    </row>
    <row r="89" spans="1:63" s="24" customFormat="1" ht="15" customHeight="1" x14ac:dyDescent="0.25">
      <c r="A89" s="19"/>
      <c r="B89" s="26"/>
      <c r="C89" s="315" t="s">
        <v>34</v>
      </c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31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7"/>
      <c r="BI89" s="27"/>
      <c r="BJ89" s="27"/>
      <c r="BK89" s="23"/>
    </row>
    <row r="90" spans="1:63" s="24" customFormat="1" ht="15" customHeight="1" x14ac:dyDescent="0.25">
      <c r="A90" s="19"/>
      <c r="B90" s="26"/>
      <c r="C90" s="315" t="s">
        <v>180</v>
      </c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31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7"/>
      <c r="BI90" s="27"/>
      <c r="BJ90" s="27"/>
      <c r="BK90" s="23"/>
    </row>
    <row r="91" spans="1:63" s="24" customFormat="1" ht="15" customHeight="1" x14ac:dyDescent="0.25">
      <c r="A91" s="19"/>
      <c r="B91" s="26"/>
      <c r="C91" s="315" t="s">
        <v>181</v>
      </c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31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7"/>
      <c r="BI91" s="27"/>
      <c r="BJ91" s="27"/>
      <c r="BK91" s="23"/>
    </row>
    <row r="92" spans="1:63" s="24" customFormat="1" ht="15" customHeight="1" x14ac:dyDescent="0.25">
      <c r="A92" s="19"/>
      <c r="B92" s="26"/>
      <c r="C92" s="315" t="s">
        <v>182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31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7"/>
      <c r="BI92" s="27"/>
      <c r="BJ92" s="27"/>
      <c r="BK92" s="23"/>
    </row>
    <row r="93" spans="1:63" s="24" customFormat="1" ht="15" customHeight="1" x14ac:dyDescent="0.25">
      <c r="A93" s="19"/>
      <c r="B93" s="26"/>
      <c r="C93" s="315" t="s">
        <v>183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31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7"/>
      <c r="BI93" s="27"/>
      <c r="BJ93" s="27"/>
      <c r="BK93" s="23"/>
    </row>
    <row r="94" spans="1:63" s="24" customFormat="1" ht="15" customHeight="1" x14ac:dyDescent="0.25">
      <c r="A94" s="19"/>
      <c r="B94" s="26"/>
      <c r="C94" s="315" t="s">
        <v>184</v>
      </c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31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7"/>
      <c r="BI94" s="27"/>
      <c r="BJ94" s="27"/>
      <c r="BK94" s="23"/>
    </row>
    <row r="95" spans="1:63" s="24" customFormat="1" ht="15" customHeight="1" x14ac:dyDescent="0.25">
      <c r="A95" s="19"/>
      <c r="B95" s="26"/>
      <c r="C95" s="315" t="s">
        <v>185</v>
      </c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31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7"/>
      <c r="BI95" s="27"/>
      <c r="BJ95" s="27"/>
      <c r="BK95" s="23"/>
    </row>
    <row r="96" spans="1:63" s="24" customFormat="1" ht="15" customHeight="1" x14ac:dyDescent="0.25">
      <c r="A96" s="19"/>
      <c r="B96" s="26"/>
      <c r="C96" s="315" t="s">
        <v>186</v>
      </c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31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7"/>
      <c r="BI96" s="27"/>
      <c r="BJ96" s="27"/>
      <c r="BK96" s="23"/>
    </row>
    <row r="97" spans="1:63" s="24" customFormat="1" ht="15" customHeight="1" x14ac:dyDescent="0.25">
      <c r="A97" s="19"/>
      <c r="B97" s="26"/>
      <c r="C97" s="315" t="s">
        <v>187</v>
      </c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31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7"/>
      <c r="BI97" s="27"/>
      <c r="BJ97" s="27"/>
      <c r="BK97" s="23"/>
    </row>
    <row r="98" spans="1:63" s="24" customFormat="1" ht="15" customHeight="1" x14ac:dyDescent="0.25">
      <c r="A98" s="19"/>
      <c r="B98" s="26"/>
      <c r="C98" s="315" t="s">
        <v>188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31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7"/>
      <c r="BI98" s="27"/>
      <c r="BJ98" s="27"/>
      <c r="BK98" s="23"/>
    </row>
    <row r="99" spans="1:63" s="24" customFormat="1" ht="15" customHeight="1" x14ac:dyDescent="0.25">
      <c r="A99" s="19"/>
      <c r="B99" s="26"/>
      <c r="C99" s="315" t="s">
        <v>189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31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7"/>
      <c r="BI99" s="27"/>
      <c r="BJ99" s="27"/>
      <c r="BK99" s="23"/>
    </row>
    <row r="100" spans="1:63" s="24" customFormat="1" ht="15" customHeight="1" x14ac:dyDescent="0.25">
      <c r="A100" s="19"/>
      <c r="B100" s="26"/>
      <c r="C100" s="315" t="s">
        <v>190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31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7"/>
      <c r="BI100" s="27"/>
      <c r="BJ100" s="27"/>
      <c r="BK100" s="23"/>
    </row>
    <row r="101" spans="1:63" s="24" customFormat="1" ht="15" customHeight="1" x14ac:dyDescent="0.25">
      <c r="A101" s="19"/>
      <c r="B101" s="26"/>
      <c r="C101" s="315" t="s">
        <v>191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31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7"/>
      <c r="BI101" s="27"/>
      <c r="BJ101" s="27"/>
      <c r="BK101" s="23"/>
    </row>
    <row r="102" spans="1:63" s="24" customFormat="1" ht="15" customHeight="1" x14ac:dyDescent="0.25">
      <c r="A102" s="19"/>
      <c r="B102" s="26"/>
      <c r="C102" s="315" t="s">
        <v>192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31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7"/>
      <c r="BI102" s="27"/>
      <c r="BJ102" s="27"/>
      <c r="BK102" s="23"/>
    </row>
    <row r="103" spans="1:63" s="24" customFormat="1" ht="15" customHeight="1" x14ac:dyDescent="0.25">
      <c r="A103" s="19"/>
      <c r="B103" s="26"/>
      <c r="C103" s="315" t="s">
        <v>193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31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7"/>
      <c r="BI103" s="27"/>
      <c r="BJ103" s="27"/>
      <c r="BK103" s="23"/>
    </row>
    <row r="104" spans="1:63" s="342" customFormat="1" ht="15" customHeight="1" x14ac:dyDescent="0.25">
      <c r="A104" s="337"/>
      <c r="B104" s="338"/>
      <c r="C104" s="343" t="s">
        <v>194</v>
      </c>
      <c r="D104" s="338"/>
      <c r="E104" s="338"/>
      <c r="F104" s="338"/>
      <c r="G104" s="338"/>
      <c r="H104" s="338"/>
      <c r="I104" s="338"/>
      <c r="J104" s="338"/>
      <c r="K104" s="338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8"/>
      <c r="W104" s="338"/>
      <c r="X104" s="338"/>
      <c r="Y104" s="338"/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338"/>
      <c r="AJ104" s="338"/>
      <c r="AK104" s="338"/>
      <c r="AL104" s="338"/>
      <c r="AM104" s="338"/>
      <c r="AN104" s="338"/>
      <c r="AO104" s="338"/>
      <c r="AP104" s="338"/>
      <c r="AQ104" s="338"/>
      <c r="AR104" s="338"/>
      <c r="AS104" s="338"/>
      <c r="AT104" s="338"/>
      <c r="AU104" s="339"/>
      <c r="AV104" s="338"/>
      <c r="AW104" s="338"/>
      <c r="AX104" s="338"/>
      <c r="AY104" s="338"/>
      <c r="AZ104" s="338"/>
      <c r="BA104" s="338"/>
      <c r="BB104" s="338"/>
      <c r="BC104" s="338"/>
      <c r="BD104" s="338"/>
      <c r="BE104" s="338"/>
      <c r="BF104" s="338"/>
      <c r="BG104" s="338"/>
      <c r="BH104" s="340"/>
      <c r="BI104" s="340"/>
      <c r="BJ104" s="340"/>
      <c r="BK104" s="341"/>
    </row>
    <row r="105" spans="1:63" s="342" customFormat="1" ht="15" customHeight="1" x14ac:dyDescent="0.25">
      <c r="A105" s="337"/>
      <c r="B105" s="338"/>
      <c r="C105" s="343" t="s">
        <v>195</v>
      </c>
      <c r="D105" s="338"/>
      <c r="E105" s="338"/>
      <c r="F105" s="338"/>
      <c r="G105" s="338"/>
      <c r="H105" s="338"/>
      <c r="I105" s="338"/>
      <c r="J105" s="338"/>
      <c r="K105" s="338"/>
      <c r="L105" s="338"/>
      <c r="M105" s="338"/>
      <c r="N105" s="338"/>
      <c r="O105" s="338"/>
      <c r="P105" s="338"/>
      <c r="Q105" s="338"/>
      <c r="R105" s="338"/>
      <c r="S105" s="338"/>
      <c r="T105" s="338"/>
      <c r="U105" s="338"/>
      <c r="V105" s="338"/>
      <c r="W105" s="338"/>
      <c r="X105" s="338"/>
      <c r="Y105" s="338"/>
      <c r="Z105" s="338"/>
      <c r="AA105" s="338"/>
      <c r="AB105" s="338"/>
      <c r="AC105" s="338"/>
      <c r="AD105" s="338"/>
      <c r="AE105" s="338"/>
      <c r="AF105" s="338"/>
      <c r="AG105" s="338"/>
      <c r="AH105" s="338"/>
      <c r="AI105" s="338"/>
      <c r="AJ105" s="338"/>
      <c r="AK105" s="338"/>
      <c r="AL105" s="338"/>
      <c r="AM105" s="338"/>
      <c r="AN105" s="338"/>
      <c r="AO105" s="338"/>
      <c r="AP105" s="338"/>
      <c r="AQ105" s="338"/>
      <c r="AR105" s="338"/>
      <c r="AS105" s="338"/>
      <c r="AT105" s="338"/>
      <c r="AU105" s="339"/>
      <c r="AV105" s="338"/>
      <c r="AW105" s="338"/>
      <c r="AX105" s="338"/>
      <c r="AY105" s="338"/>
      <c r="AZ105" s="338"/>
      <c r="BA105" s="338"/>
      <c r="BB105" s="338"/>
      <c r="BC105" s="338"/>
      <c r="BD105" s="338"/>
      <c r="BE105" s="338"/>
      <c r="BF105" s="338"/>
      <c r="BG105" s="338"/>
      <c r="BH105" s="340"/>
      <c r="BI105" s="340"/>
      <c r="BJ105" s="340"/>
      <c r="BK105" s="341"/>
    </row>
    <row r="106" spans="1:63" s="342" customFormat="1" ht="15" customHeight="1" x14ac:dyDescent="0.25">
      <c r="A106" s="337"/>
      <c r="B106" s="338"/>
      <c r="C106" s="343" t="s">
        <v>196</v>
      </c>
      <c r="D106" s="338"/>
      <c r="E106" s="338"/>
      <c r="F106" s="338"/>
      <c r="G106" s="338"/>
      <c r="H106" s="338"/>
      <c r="I106" s="338"/>
      <c r="J106" s="338"/>
      <c r="K106" s="338"/>
      <c r="L106" s="338"/>
      <c r="M106" s="338"/>
      <c r="N106" s="338"/>
      <c r="O106" s="338"/>
      <c r="P106" s="338"/>
      <c r="Q106" s="338"/>
      <c r="R106" s="338"/>
      <c r="S106" s="338"/>
      <c r="T106" s="338"/>
      <c r="U106" s="338"/>
      <c r="V106" s="338"/>
      <c r="W106" s="338"/>
      <c r="X106" s="338"/>
      <c r="Y106" s="338"/>
      <c r="Z106" s="338"/>
      <c r="AA106" s="338"/>
      <c r="AB106" s="338"/>
      <c r="AC106" s="338"/>
      <c r="AD106" s="338"/>
      <c r="AE106" s="338"/>
      <c r="AF106" s="338"/>
      <c r="AG106" s="338"/>
      <c r="AH106" s="338"/>
      <c r="AI106" s="338"/>
      <c r="AJ106" s="338"/>
      <c r="AK106" s="338"/>
      <c r="AL106" s="338"/>
      <c r="AM106" s="338"/>
      <c r="AN106" s="338"/>
      <c r="AO106" s="338"/>
      <c r="AP106" s="338"/>
      <c r="AQ106" s="338"/>
      <c r="AR106" s="338"/>
      <c r="AS106" s="338"/>
      <c r="AT106" s="338"/>
      <c r="AU106" s="339"/>
      <c r="AV106" s="338"/>
      <c r="AW106" s="338"/>
      <c r="AX106" s="338"/>
      <c r="AY106" s="338"/>
      <c r="AZ106" s="338"/>
      <c r="BA106" s="338"/>
      <c r="BB106" s="338"/>
      <c r="BC106" s="338"/>
      <c r="BD106" s="338"/>
      <c r="BE106" s="338"/>
      <c r="BF106" s="338"/>
      <c r="BG106" s="338"/>
      <c r="BH106" s="340"/>
      <c r="BI106" s="340"/>
      <c r="BJ106" s="340"/>
      <c r="BK106" s="341"/>
    </row>
    <row r="107" spans="1:63" s="342" customFormat="1" ht="15" customHeight="1" x14ac:dyDescent="0.25">
      <c r="A107" s="337"/>
      <c r="B107" s="338"/>
      <c r="C107" s="343" t="s">
        <v>197</v>
      </c>
      <c r="D107" s="338"/>
      <c r="E107" s="338"/>
      <c r="F107" s="338"/>
      <c r="G107" s="338"/>
      <c r="H107" s="338"/>
      <c r="I107" s="338"/>
      <c r="J107" s="338"/>
      <c r="K107" s="338"/>
      <c r="L107" s="338"/>
      <c r="M107" s="338"/>
      <c r="N107" s="338"/>
      <c r="O107" s="338"/>
      <c r="P107" s="338"/>
      <c r="Q107" s="338"/>
      <c r="R107" s="338"/>
      <c r="S107" s="338"/>
      <c r="T107" s="338"/>
      <c r="U107" s="338"/>
      <c r="V107" s="338"/>
      <c r="W107" s="338"/>
      <c r="X107" s="338"/>
      <c r="Y107" s="338"/>
      <c r="Z107" s="338"/>
      <c r="AA107" s="338"/>
      <c r="AB107" s="338"/>
      <c r="AC107" s="338"/>
      <c r="AD107" s="338"/>
      <c r="AE107" s="338"/>
      <c r="AF107" s="338"/>
      <c r="AG107" s="338"/>
      <c r="AH107" s="338"/>
      <c r="AI107" s="338"/>
      <c r="AJ107" s="338"/>
      <c r="AK107" s="338"/>
      <c r="AL107" s="338"/>
      <c r="AM107" s="338"/>
      <c r="AN107" s="338"/>
      <c r="AO107" s="338"/>
      <c r="AP107" s="338"/>
      <c r="AQ107" s="338"/>
      <c r="AR107" s="338"/>
      <c r="AS107" s="338"/>
      <c r="AT107" s="338"/>
      <c r="AU107" s="339"/>
      <c r="AV107" s="338"/>
      <c r="AW107" s="338"/>
      <c r="AX107" s="338"/>
      <c r="AY107" s="338"/>
      <c r="AZ107" s="338"/>
      <c r="BA107" s="338"/>
      <c r="BB107" s="338"/>
      <c r="BC107" s="338"/>
      <c r="BD107" s="338"/>
      <c r="BE107" s="338"/>
      <c r="BF107" s="338"/>
      <c r="BG107" s="338"/>
      <c r="BH107" s="340"/>
      <c r="BI107" s="340"/>
      <c r="BJ107" s="340"/>
      <c r="BK107" s="341"/>
    </row>
    <row r="108" spans="1:63" s="24" customFormat="1" ht="15" customHeight="1" x14ac:dyDescent="0.25">
      <c r="A108" s="19"/>
      <c r="B108" s="26"/>
      <c r="C108" s="315" t="s">
        <v>35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31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7"/>
      <c r="BI108" s="27"/>
      <c r="BJ108" s="27"/>
      <c r="BK108" s="23"/>
    </row>
    <row r="109" spans="1:63" s="24" customFormat="1" ht="15" customHeight="1" x14ac:dyDescent="0.25">
      <c r="A109" s="19"/>
      <c r="B109" s="26"/>
      <c r="C109" s="315" t="s">
        <v>36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31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7"/>
      <c r="BI109" s="27"/>
      <c r="BJ109" s="27"/>
      <c r="BK109" s="23"/>
    </row>
    <row r="110" spans="1:63" s="24" customFormat="1" ht="15" customHeight="1" x14ac:dyDescent="0.25">
      <c r="A110" s="19"/>
      <c r="B110" s="26"/>
      <c r="C110" s="315" t="s">
        <v>33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31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7"/>
      <c r="BI110" s="27"/>
      <c r="BJ110" s="27"/>
      <c r="BK110" s="23"/>
    </row>
    <row r="111" spans="1:63" s="24" customFormat="1" ht="15" customHeight="1" x14ac:dyDescent="0.25">
      <c r="A111" s="19"/>
      <c r="B111" s="26"/>
      <c r="C111" s="316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32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7"/>
      <c r="BI111" s="27"/>
      <c r="BJ111" s="27"/>
      <c r="BK111" s="23"/>
    </row>
    <row r="112" spans="1:63" s="24" customFormat="1" ht="15" customHeight="1" x14ac:dyDescent="0.25">
      <c r="A112" s="19"/>
      <c r="B112" s="26"/>
      <c r="C112" s="26"/>
      <c r="D112" s="253"/>
      <c r="E112" s="253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7"/>
      <c r="BI112" s="27"/>
      <c r="BJ112" s="27"/>
      <c r="BK112" s="23"/>
    </row>
    <row r="113" spans="1:63" s="24" customFormat="1" ht="15" customHeight="1" x14ac:dyDescent="0.25">
      <c r="A113" s="19"/>
      <c r="B113" s="26"/>
      <c r="C113" s="25" t="s">
        <v>198</v>
      </c>
      <c r="D113" s="26"/>
      <c r="E113" s="253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7"/>
      <c r="BI113" s="27"/>
      <c r="BJ113" s="27"/>
      <c r="BK113" s="23"/>
    </row>
    <row r="114" spans="1:63" s="24" customFormat="1" ht="15" customHeight="1" x14ac:dyDescent="0.25">
      <c r="A114" s="19"/>
      <c r="B114" s="26"/>
      <c r="C114" s="25"/>
      <c r="D114" s="26"/>
      <c r="E114" s="253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7"/>
      <c r="BI114" s="27"/>
      <c r="BJ114" s="27"/>
      <c r="BK114" s="23"/>
    </row>
    <row r="115" spans="1:63" s="24" customFormat="1" ht="15" customHeight="1" x14ac:dyDescent="0.25">
      <c r="A115" s="19"/>
      <c r="B115" s="26"/>
      <c r="C115" s="25"/>
      <c r="D115" s="26" t="s">
        <v>40</v>
      </c>
      <c r="E115" s="253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7"/>
      <c r="BI115" s="27"/>
      <c r="BJ115" s="27"/>
      <c r="BK115" s="23"/>
    </row>
    <row r="116" spans="1:63" s="46" customFormat="1" ht="15" customHeight="1" x14ac:dyDescent="0.25">
      <c r="A116" s="41"/>
      <c r="B116" s="42"/>
      <c r="C116" s="42"/>
      <c r="D116" s="42"/>
      <c r="E116" s="43"/>
      <c r="F116" s="43"/>
      <c r="G116" s="43"/>
      <c r="H116" s="43"/>
      <c r="I116" s="43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4"/>
      <c r="BI116" s="44"/>
      <c r="BJ116" s="44"/>
      <c r="BK116" s="45"/>
    </row>
  </sheetData>
  <mergeCells count="256">
    <mergeCell ref="C80:D80"/>
    <mergeCell ref="E80:N80"/>
    <mergeCell ref="O80:R80"/>
    <mergeCell ref="S80:AB80"/>
    <mergeCell ref="AC80:AU80"/>
    <mergeCell ref="E44:K44"/>
    <mergeCell ref="L44:N44"/>
    <mergeCell ref="O44:R44"/>
    <mergeCell ref="S44:Y44"/>
    <mergeCell ref="Z44:AP44"/>
    <mergeCell ref="AQ44:BJ44"/>
    <mergeCell ref="C79:D79"/>
    <mergeCell ref="E79:N79"/>
    <mergeCell ref="O79:R79"/>
    <mergeCell ref="S79:AB79"/>
    <mergeCell ref="AC79:AU79"/>
    <mergeCell ref="C61:D61"/>
    <mergeCell ref="E61:N61"/>
    <mergeCell ref="O61:R61"/>
    <mergeCell ref="S61:AB61"/>
    <mergeCell ref="AC61:AU61"/>
    <mergeCell ref="C59:D59"/>
    <mergeCell ref="C76:D76"/>
    <mergeCell ref="E76:N76"/>
    <mergeCell ref="C40:D40"/>
    <mergeCell ref="E40:K40"/>
    <mergeCell ref="L40:N40"/>
    <mergeCell ref="O40:R40"/>
    <mergeCell ref="S40:Y40"/>
    <mergeCell ref="Z40:AP40"/>
    <mergeCell ref="AQ40:BJ40"/>
    <mergeCell ref="C42:D42"/>
    <mergeCell ref="E42:K42"/>
    <mergeCell ref="L42:N42"/>
    <mergeCell ref="O42:R42"/>
    <mergeCell ref="S42:Y42"/>
    <mergeCell ref="Z42:AP42"/>
    <mergeCell ref="C41:D41"/>
    <mergeCell ref="E41:K41"/>
    <mergeCell ref="L41:N41"/>
    <mergeCell ref="O41:R41"/>
    <mergeCell ref="S41:Y41"/>
    <mergeCell ref="AQ42:BJ42"/>
    <mergeCell ref="AC75:AU75"/>
    <mergeCell ref="C73:D73"/>
    <mergeCell ref="E73:N73"/>
    <mergeCell ref="O73:R73"/>
    <mergeCell ref="S73:AB73"/>
    <mergeCell ref="S77:AB77"/>
    <mergeCell ref="AC77:AU77"/>
    <mergeCell ref="C77:D77"/>
    <mergeCell ref="E77:N77"/>
    <mergeCell ref="O77:R77"/>
    <mergeCell ref="S74:AB74"/>
    <mergeCell ref="O74:R74"/>
    <mergeCell ref="E74:N74"/>
    <mergeCell ref="S64:AB64"/>
    <mergeCell ref="C67:D67"/>
    <mergeCell ref="E67:N67"/>
    <mergeCell ref="O67:R67"/>
    <mergeCell ref="C64:D64"/>
    <mergeCell ref="S67:AB67"/>
    <mergeCell ref="AC67:AU67"/>
    <mergeCell ref="S68:AB68"/>
    <mergeCell ref="O64:R64"/>
    <mergeCell ref="O68:R68"/>
    <mergeCell ref="E64:N64"/>
    <mergeCell ref="E68:N68"/>
    <mergeCell ref="O66:R66"/>
    <mergeCell ref="S66:AB66"/>
    <mergeCell ref="AC66:AU66"/>
    <mergeCell ref="C65:D65"/>
    <mergeCell ref="E65:N65"/>
    <mergeCell ref="O65:R65"/>
    <mergeCell ref="S65:AB65"/>
    <mergeCell ref="AC65:AU65"/>
    <mergeCell ref="C78:D78"/>
    <mergeCell ref="E78:N78"/>
    <mergeCell ref="O78:R78"/>
    <mergeCell ref="S78:AB78"/>
    <mergeCell ref="AC78:AU78"/>
    <mergeCell ref="C71:D71"/>
    <mergeCell ref="E71:N71"/>
    <mergeCell ref="O71:R71"/>
    <mergeCell ref="S71:AB71"/>
    <mergeCell ref="AC71:AU71"/>
    <mergeCell ref="C72:D72"/>
    <mergeCell ref="E72:N72"/>
    <mergeCell ref="O72:R72"/>
    <mergeCell ref="S72:AB72"/>
    <mergeCell ref="AC72:AU72"/>
    <mergeCell ref="C75:D75"/>
    <mergeCell ref="E75:N75"/>
    <mergeCell ref="O75:R75"/>
    <mergeCell ref="S75:AB75"/>
    <mergeCell ref="C74:D74"/>
    <mergeCell ref="AC74:AU74"/>
    <mergeCell ref="O76:R76"/>
    <mergeCell ref="S76:AB76"/>
    <mergeCell ref="AC76:AU76"/>
    <mergeCell ref="C43:D43"/>
    <mergeCell ref="E43:K43"/>
    <mergeCell ref="L43:N43"/>
    <mergeCell ref="O43:R43"/>
    <mergeCell ref="S43:Y43"/>
    <mergeCell ref="Z43:AP43"/>
    <mergeCell ref="AQ43:BJ43"/>
    <mergeCell ref="C44:D44"/>
    <mergeCell ref="C70:D70"/>
    <mergeCell ref="E70:N70"/>
    <mergeCell ref="O70:R70"/>
    <mergeCell ref="C60:D60"/>
    <mergeCell ref="E60:N60"/>
    <mergeCell ref="O60:R60"/>
    <mergeCell ref="S60:AB60"/>
    <mergeCell ref="AC60:AU60"/>
    <mergeCell ref="C63:D63"/>
    <mergeCell ref="C68:D68"/>
    <mergeCell ref="C69:D69"/>
    <mergeCell ref="AC68:AU68"/>
    <mergeCell ref="AC69:AU69"/>
    <mergeCell ref="AC64:AU64"/>
    <mergeCell ref="S69:AB69"/>
    <mergeCell ref="O69:R69"/>
    <mergeCell ref="L38:N38"/>
    <mergeCell ref="O38:R38"/>
    <mergeCell ref="S38:Y38"/>
    <mergeCell ref="Z38:AP38"/>
    <mergeCell ref="AQ38:BJ38"/>
    <mergeCell ref="C39:D39"/>
    <mergeCell ref="E39:K39"/>
    <mergeCell ref="L39:N39"/>
    <mergeCell ref="O39:R39"/>
    <mergeCell ref="S39:Y39"/>
    <mergeCell ref="Z39:AP39"/>
    <mergeCell ref="AQ39:BJ39"/>
    <mergeCell ref="A4:G4"/>
    <mergeCell ref="H4:T4"/>
    <mergeCell ref="U4:Y4"/>
    <mergeCell ref="Z4:AO4"/>
    <mergeCell ref="AP4:BK4"/>
    <mergeCell ref="C58:D58"/>
    <mergeCell ref="C62:D6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5:D15"/>
    <mergeCell ref="Z41:AP41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Z23:AP23"/>
    <mergeCell ref="E20:K20"/>
    <mergeCell ref="E36:K36"/>
    <mergeCell ref="C23:D23"/>
    <mergeCell ref="Z31:AP31"/>
    <mergeCell ref="E48:K48"/>
    <mergeCell ref="S48:Y48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Z32:AP32"/>
    <mergeCell ref="AQ32:BJ32"/>
    <mergeCell ref="E58:N58"/>
    <mergeCell ref="E62:N62"/>
    <mergeCell ref="E63:N63"/>
    <mergeCell ref="C36:D36"/>
    <mergeCell ref="AQ21:BJ22"/>
    <mergeCell ref="O21:R22"/>
    <mergeCell ref="L21:N22"/>
    <mergeCell ref="E21:K22"/>
    <mergeCell ref="C21:D22"/>
    <mergeCell ref="O32:R32"/>
    <mergeCell ref="S32:Y32"/>
    <mergeCell ref="O58:R58"/>
    <mergeCell ref="C37:D37"/>
    <mergeCell ref="E37:K37"/>
    <mergeCell ref="L37:N37"/>
    <mergeCell ref="O37:R37"/>
    <mergeCell ref="S37:Y37"/>
    <mergeCell ref="Z37:AP37"/>
    <mergeCell ref="AQ37:BJ37"/>
    <mergeCell ref="C38:D38"/>
    <mergeCell ref="E38:K38"/>
    <mergeCell ref="AQ41:BJ41"/>
    <mergeCell ref="E69:N69"/>
    <mergeCell ref="S70:AB70"/>
    <mergeCell ref="AC70:AU70"/>
    <mergeCell ref="AC73:AU73"/>
    <mergeCell ref="S62:AB62"/>
    <mergeCell ref="S63:AB63"/>
    <mergeCell ref="L48:N48"/>
    <mergeCell ref="O48:R48"/>
    <mergeCell ref="Z48:AP48"/>
    <mergeCell ref="AC58:AU58"/>
    <mergeCell ref="AC62:AU62"/>
    <mergeCell ref="AC63:AU63"/>
    <mergeCell ref="O62:R62"/>
    <mergeCell ref="O63:R63"/>
    <mergeCell ref="S58:AB58"/>
    <mergeCell ref="E59:N59"/>
    <mergeCell ref="O59:R59"/>
    <mergeCell ref="S59:AB59"/>
    <mergeCell ref="AC59:AU59"/>
    <mergeCell ref="C49:BJ49"/>
    <mergeCell ref="AQ48:BJ48"/>
    <mergeCell ref="C48:D48"/>
    <mergeCell ref="C66:D66"/>
    <mergeCell ref="E66:N66"/>
  </mergeCells>
  <pageMargins left="0.7" right="0.7" top="0.75" bottom="0.75" header="0.3" footer="0.3"/>
  <pageSetup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12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3" t="s">
        <v>78</v>
      </c>
      <c r="B1" s="234"/>
      <c r="C1" s="234"/>
      <c r="D1" s="234"/>
      <c r="E1" s="234"/>
      <c r="F1" s="234"/>
      <c r="G1" s="234"/>
      <c r="H1" s="234"/>
      <c r="I1" s="234"/>
      <c r="J1" s="235"/>
      <c r="K1" s="233" t="s">
        <v>79</v>
      </c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5"/>
      <c r="W1" s="236" t="str">
        <f>IF(表紙!W1="","",表紙!W1)</f>
        <v>詳細設計書</v>
      </c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7"/>
      <c r="AO1" s="238"/>
      <c r="AP1" s="140" t="s">
        <v>81</v>
      </c>
      <c r="AQ1" s="141"/>
      <c r="AR1" s="141"/>
      <c r="AS1" s="142"/>
      <c r="AT1" s="140" t="s">
        <v>82</v>
      </c>
      <c r="AU1" s="141"/>
      <c r="AV1" s="141"/>
      <c r="AW1" s="141"/>
      <c r="AX1" s="142"/>
      <c r="AY1" s="140" t="s">
        <v>83</v>
      </c>
      <c r="AZ1" s="141"/>
      <c r="BA1" s="141"/>
      <c r="BB1" s="142"/>
      <c r="BC1" s="140" t="s">
        <v>84</v>
      </c>
      <c r="BD1" s="141"/>
      <c r="BE1" s="141"/>
      <c r="BF1" s="141"/>
      <c r="BG1" s="142"/>
      <c r="BH1" s="140" t="s">
        <v>85</v>
      </c>
      <c r="BI1" s="141"/>
      <c r="BJ1" s="141"/>
      <c r="BK1" s="142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239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1"/>
      <c r="AP2" s="149" t="str">
        <f>IF(表紙!AP2="","",表紙!AP2)</f>
        <v>TuyenNH</v>
      </c>
      <c r="AQ2" s="147"/>
      <c r="AR2" s="147"/>
      <c r="AS2" s="148"/>
      <c r="AT2" s="153">
        <f>IF(表紙!AT2="","",表紙!AT2)</f>
        <v>45544</v>
      </c>
      <c r="AU2" s="154"/>
      <c r="AV2" s="154"/>
      <c r="AW2" s="154"/>
      <c r="AX2" s="155"/>
      <c r="AY2" s="149" t="str">
        <f>IF(表紙!AY2="","",表紙!AY2)</f>
        <v>TuyenNH</v>
      </c>
      <c r="AZ2" s="147"/>
      <c r="BA2" s="147"/>
      <c r="BB2" s="148"/>
      <c r="BC2" s="153">
        <f>IF(表紙!BC2="","",表紙!BC2)</f>
        <v>45596</v>
      </c>
      <c r="BD2" s="154"/>
      <c r="BE2" s="154"/>
      <c r="BF2" s="154"/>
      <c r="BG2" s="155"/>
      <c r="BH2" s="149">
        <f>IF(表紙!BH2="","",表紙!BH2)</f>
        <v>0.13</v>
      </c>
      <c r="BI2" s="147"/>
      <c r="BJ2" s="147"/>
      <c r="BK2" s="148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233" t="s">
        <v>87</v>
      </c>
      <c r="B4" s="234"/>
      <c r="C4" s="234"/>
      <c r="D4" s="234"/>
      <c r="E4" s="234"/>
      <c r="F4" s="234"/>
      <c r="G4" s="235"/>
      <c r="H4" s="85" t="str">
        <f>IF(表紙!H4="","",表紙!H4)</f>
        <v>AP0301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233" t="s">
        <v>88</v>
      </c>
      <c r="V4" s="234"/>
      <c r="W4" s="234"/>
      <c r="X4" s="234"/>
      <c r="Y4" s="235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処理フロー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51" customFormat="1" ht="15" customHeight="1" x14ac:dyDescent="0.25">
      <c r="B7" s="47"/>
      <c r="C7" s="27"/>
      <c r="D7" s="27"/>
      <c r="E7" s="27"/>
      <c r="F7" s="27"/>
      <c r="G7" s="27"/>
      <c r="AI7" s="344"/>
      <c r="BJ7" s="344"/>
      <c r="BK7" s="250"/>
    </row>
    <row r="8" spans="1:63" s="251" customFormat="1" ht="15" customHeight="1" x14ac:dyDescent="0.25">
      <c r="B8" s="47"/>
      <c r="C8" s="27"/>
      <c r="D8" s="27"/>
      <c r="E8" s="27"/>
      <c r="F8" s="27"/>
      <c r="G8" s="27"/>
      <c r="AI8" s="344"/>
      <c r="BJ8" s="344"/>
      <c r="BK8" s="250"/>
    </row>
    <row r="9" spans="1:63" s="251" customFormat="1" ht="15" customHeight="1" x14ac:dyDescent="0.25">
      <c r="B9" s="47"/>
      <c r="C9" s="27"/>
      <c r="D9" s="27"/>
      <c r="E9" s="27"/>
      <c r="F9" s="27"/>
      <c r="G9" s="27"/>
      <c r="AI9" s="344"/>
      <c r="BJ9" s="344"/>
      <c r="BK9" s="250"/>
    </row>
    <row r="10" spans="1:63" s="251" customFormat="1" ht="15" customHeight="1" x14ac:dyDescent="0.25">
      <c r="B10" s="47"/>
      <c r="C10" s="27"/>
      <c r="D10" s="27"/>
      <c r="E10" s="27"/>
      <c r="F10" s="27"/>
      <c r="G10" s="27"/>
      <c r="AI10" s="344"/>
      <c r="BJ10" s="344"/>
      <c r="BK10" s="250"/>
    </row>
    <row r="11" spans="1:63" s="251" customFormat="1" ht="15" customHeight="1" x14ac:dyDescent="0.25">
      <c r="B11" s="345"/>
      <c r="AI11" s="344"/>
      <c r="BJ11" s="344"/>
      <c r="BK11" s="250"/>
    </row>
    <row r="12" spans="1:63" s="251" customFormat="1" ht="15" customHeight="1" x14ac:dyDescent="0.25">
      <c r="B12" s="345"/>
      <c r="AI12" s="344"/>
      <c r="BJ12" s="344"/>
      <c r="BK12" s="250"/>
    </row>
    <row r="13" spans="1:63" s="251" customFormat="1" ht="15" customHeight="1" x14ac:dyDescent="0.25">
      <c r="B13" s="345"/>
      <c r="AI13" s="344"/>
      <c r="BJ13" s="344"/>
      <c r="BK13" s="250"/>
    </row>
    <row r="14" spans="1:63" s="251" customFormat="1" ht="15" customHeight="1" x14ac:dyDescent="0.25">
      <c r="B14" s="345"/>
      <c r="AI14" s="344"/>
      <c r="BJ14" s="344"/>
      <c r="BK14" s="250"/>
    </row>
    <row r="15" spans="1:63" s="251" customFormat="1" ht="15" customHeight="1" x14ac:dyDescent="0.25">
      <c r="B15" s="345"/>
      <c r="AI15" s="344"/>
      <c r="BJ15" s="344"/>
      <c r="BK15" s="250"/>
    </row>
    <row r="16" spans="1:63" s="251" customFormat="1" ht="15" customHeight="1" x14ac:dyDescent="0.25">
      <c r="B16" s="345"/>
      <c r="AI16" s="344"/>
      <c r="BJ16" s="344"/>
      <c r="BK16" s="250"/>
    </row>
    <row r="17" spans="2:63" s="251" customFormat="1" ht="15" customHeight="1" x14ac:dyDescent="0.25">
      <c r="B17" s="345"/>
      <c r="AI17" s="344"/>
      <c r="BJ17" s="344"/>
      <c r="BK17" s="250"/>
    </row>
    <row r="18" spans="2:63" s="251" customFormat="1" ht="15" customHeight="1" x14ac:dyDescent="0.25">
      <c r="B18" s="345"/>
      <c r="AI18" s="344"/>
      <c r="BJ18" s="344"/>
      <c r="BK18" s="250"/>
    </row>
    <row r="19" spans="2:63" s="251" customFormat="1" ht="15" customHeight="1" x14ac:dyDescent="0.25">
      <c r="B19" s="345"/>
      <c r="AI19" s="344"/>
      <c r="BJ19" s="344"/>
      <c r="BK19" s="250"/>
    </row>
    <row r="20" spans="2:63" s="251" customFormat="1" ht="15" customHeight="1" x14ac:dyDescent="0.25">
      <c r="B20" s="345"/>
      <c r="AI20" s="344"/>
      <c r="BJ20" s="344"/>
      <c r="BK20" s="250"/>
    </row>
    <row r="21" spans="2:63" s="251" customFormat="1" ht="15" customHeight="1" x14ac:dyDescent="0.25">
      <c r="B21" s="345"/>
      <c r="AI21" s="344"/>
      <c r="BJ21" s="344"/>
      <c r="BK21" s="250"/>
    </row>
    <row r="22" spans="2:63" s="251" customFormat="1" ht="15" customHeight="1" x14ac:dyDescent="0.25">
      <c r="B22" s="345"/>
      <c r="AI22" s="344"/>
      <c r="BJ22" s="344"/>
      <c r="BK22" s="250"/>
    </row>
    <row r="23" spans="2:63" s="251" customFormat="1" ht="15" customHeight="1" x14ac:dyDescent="0.25">
      <c r="B23" s="345"/>
      <c r="AI23" s="344"/>
      <c r="BJ23" s="344"/>
      <c r="BK23" s="250"/>
    </row>
    <row r="24" spans="2:63" s="251" customFormat="1" ht="15" customHeight="1" x14ac:dyDescent="0.25">
      <c r="B24" s="345"/>
      <c r="AI24" s="344"/>
      <c r="BJ24" s="344"/>
      <c r="BK24" s="250"/>
    </row>
    <row r="25" spans="2:63" s="251" customFormat="1" ht="15" customHeight="1" x14ac:dyDescent="0.25">
      <c r="B25" s="345"/>
      <c r="AI25" s="344"/>
      <c r="BJ25" s="344"/>
      <c r="BK25" s="250"/>
    </row>
    <row r="26" spans="2:63" s="251" customFormat="1" ht="15" customHeight="1" x14ac:dyDescent="0.25">
      <c r="B26" s="345"/>
      <c r="AI26" s="344"/>
      <c r="BJ26" s="344"/>
      <c r="BK26" s="250"/>
    </row>
    <row r="27" spans="2:63" s="251" customFormat="1" ht="15" customHeight="1" x14ac:dyDescent="0.25">
      <c r="B27" s="345"/>
      <c r="AI27" s="344"/>
      <c r="BJ27" s="344"/>
      <c r="BK27" s="250"/>
    </row>
    <row r="28" spans="2:63" s="251" customFormat="1" ht="15" customHeight="1" x14ac:dyDescent="0.25">
      <c r="B28" s="345"/>
      <c r="AI28" s="344"/>
      <c r="BJ28" s="344"/>
      <c r="BK28" s="250"/>
    </row>
    <row r="29" spans="2:63" s="251" customFormat="1" ht="15" customHeight="1" x14ac:dyDescent="0.25">
      <c r="B29" s="345"/>
      <c r="AI29" s="344"/>
      <c r="BJ29" s="344"/>
      <c r="BK29" s="250"/>
    </row>
    <row r="30" spans="2:63" s="251" customFormat="1" ht="15" customHeight="1" x14ac:dyDescent="0.25">
      <c r="B30" s="345"/>
      <c r="AI30" s="344"/>
      <c r="BJ30" s="344"/>
      <c r="BK30" s="250"/>
    </row>
    <row r="31" spans="2:63" s="251" customFormat="1" ht="15" customHeight="1" x14ac:dyDescent="0.25">
      <c r="B31" s="345"/>
      <c r="AI31" s="344"/>
      <c r="BJ31" s="344"/>
      <c r="BK31" s="250"/>
    </row>
    <row r="32" spans="2:63" s="251" customFormat="1" ht="15" customHeight="1" x14ac:dyDescent="0.25">
      <c r="B32" s="345"/>
      <c r="AI32" s="344"/>
      <c r="BJ32" s="344"/>
      <c r="BK32" s="250"/>
    </row>
    <row r="33" spans="2:63" s="251" customFormat="1" ht="15" customHeight="1" x14ac:dyDescent="0.25">
      <c r="B33" s="345"/>
      <c r="AI33" s="344"/>
      <c r="BJ33" s="344"/>
      <c r="BK33" s="250"/>
    </row>
    <row r="34" spans="2:63" s="251" customFormat="1" ht="15" customHeight="1" x14ac:dyDescent="0.25">
      <c r="B34" s="345"/>
      <c r="AI34" s="344"/>
      <c r="BJ34" s="344"/>
      <c r="BK34" s="250"/>
    </row>
    <row r="35" spans="2:63" s="251" customFormat="1" ht="15" customHeight="1" x14ac:dyDescent="0.25">
      <c r="B35" s="345"/>
      <c r="AI35" s="344"/>
      <c r="BJ35" s="344"/>
      <c r="BK35" s="250"/>
    </row>
    <row r="36" spans="2:63" s="251" customFormat="1" ht="15" customHeight="1" x14ac:dyDescent="0.25">
      <c r="B36" s="345"/>
      <c r="AI36" s="344"/>
      <c r="BJ36" s="344"/>
      <c r="BK36" s="250"/>
    </row>
    <row r="37" spans="2:63" s="251" customFormat="1" ht="15" customHeight="1" x14ac:dyDescent="0.25">
      <c r="B37" s="345"/>
      <c r="AI37" s="344"/>
      <c r="BJ37" s="344"/>
      <c r="BK37" s="250"/>
    </row>
    <row r="38" spans="2:63" s="251" customFormat="1" ht="15" customHeight="1" x14ac:dyDescent="0.25">
      <c r="B38" s="345"/>
      <c r="AI38" s="344"/>
      <c r="BJ38" s="344"/>
      <c r="BK38" s="250"/>
    </row>
    <row r="39" spans="2:63" s="251" customFormat="1" ht="15" customHeight="1" x14ac:dyDescent="0.25">
      <c r="B39" s="345"/>
      <c r="AI39" s="344"/>
      <c r="BJ39" s="344"/>
      <c r="BK39" s="250"/>
    </row>
    <row r="40" spans="2:63" s="251" customFormat="1" ht="15" customHeight="1" x14ac:dyDescent="0.25">
      <c r="B40" s="345"/>
      <c r="AI40" s="344"/>
      <c r="BJ40" s="344"/>
      <c r="BK40" s="250"/>
    </row>
    <row r="41" spans="2:63" s="251" customFormat="1" ht="15" customHeight="1" x14ac:dyDescent="0.25">
      <c r="B41" s="345"/>
      <c r="AI41" s="344"/>
      <c r="BJ41" s="344"/>
      <c r="BK41" s="250"/>
    </row>
    <row r="42" spans="2:63" s="251" customFormat="1" ht="15" customHeight="1" x14ac:dyDescent="0.25">
      <c r="B42" s="345"/>
      <c r="AI42" s="344"/>
      <c r="BJ42" s="344"/>
      <c r="BK42" s="250"/>
    </row>
    <row r="43" spans="2:63" s="251" customFormat="1" ht="15" customHeight="1" x14ac:dyDescent="0.25">
      <c r="B43" s="345"/>
      <c r="AI43" s="344"/>
      <c r="BJ43" s="344"/>
      <c r="BK43" s="250"/>
    </row>
    <row r="44" spans="2:63" s="251" customFormat="1" ht="15" customHeight="1" x14ac:dyDescent="0.25">
      <c r="B44" s="345"/>
      <c r="AI44" s="344"/>
      <c r="BJ44" s="344"/>
      <c r="BK44" s="250"/>
    </row>
    <row r="45" spans="2:63" s="251" customFormat="1" ht="15" customHeight="1" x14ac:dyDescent="0.25">
      <c r="B45" s="345"/>
      <c r="AI45" s="344"/>
      <c r="BJ45" s="344"/>
      <c r="BK45" s="250"/>
    </row>
    <row r="46" spans="2:63" s="251" customFormat="1" ht="15" customHeight="1" x14ac:dyDescent="0.25">
      <c r="B46" s="345"/>
      <c r="AI46" s="344"/>
      <c r="BJ46" s="344"/>
      <c r="BK46" s="250"/>
    </row>
    <row r="47" spans="2:63" s="251" customFormat="1" ht="15" customHeight="1" x14ac:dyDescent="0.25">
      <c r="B47" s="345"/>
      <c r="AI47" s="344"/>
      <c r="BJ47" s="344"/>
      <c r="BK47" s="250"/>
    </row>
    <row r="48" spans="2:63" s="251" customFormat="1" ht="15" customHeight="1" x14ac:dyDescent="0.25">
      <c r="B48" s="345"/>
      <c r="AI48" s="344"/>
      <c r="BJ48" s="344"/>
      <c r="BK48" s="250"/>
    </row>
    <row r="49" spans="2:63" s="251" customFormat="1" ht="15" customHeight="1" x14ac:dyDescent="0.25">
      <c r="B49" s="345"/>
      <c r="AI49" s="344"/>
      <c r="BJ49" s="344"/>
      <c r="BK49" s="250"/>
    </row>
    <row r="50" spans="2:63" s="251" customFormat="1" ht="15" customHeight="1" x14ac:dyDescent="0.25">
      <c r="B50" s="345"/>
      <c r="AI50" s="344"/>
      <c r="BJ50" s="344"/>
      <c r="BK50" s="250"/>
    </row>
    <row r="51" spans="2:63" s="251" customFormat="1" ht="15" customHeight="1" x14ac:dyDescent="0.25">
      <c r="B51" s="345"/>
      <c r="AI51" s="344"/>
      <c r="BJ51" s="344"/>
      <c r="BK51" s="250"/>
    </row>
    <row r="52" spans="2:63" s="251" customFormat="1" ht="15" customHeight="1" x14ac:dyDescent="0.25">
      <c r="B52" s="345"/>
      <c r="AI52" s="344"/>
      <c r="BJ52" s="344"/>
      <c r="BK52" s="250"/>
    </row>
    <row r="53" spans="2:63" s="251" customFormat="1" ht="15" customHeight="1" x14ac:dyDescent="0.25">
      <c r="B53" s="345"/>
      <c r="AI53" s="344"/>
      <c r="BJ53" s="344"/>
      <c r="BK53" s="250"/>
    </row>
    <row r="54" spans="2:63" s="251" customFormat="1" ht="15" customHeight="1" x14ac:dyDescent="0.25">
      <c r="B54" s="345"/>
      <c r="AI54" s="344"/>
      <c r="BJ54" s="344"/>
      <c r="BK54" s="250"/>
    </row>
    <row r="55" spans="2:63" s="251" customFormat="1" ht="15" customHeight="1" x14ac:dyDescent="0.25">
      <c r="B55" s="345"/>
      <c r="AI55" s="344"/>
      <c r="BJ55" s="344"/>
      <c r="BK55" s="250"/>
    </row>
    <row r="56" spans="2:63" s="251" customFormat="1" ht="15" customHeight="1" x14ac:dyDescent="0.25">
      <c r="B56" s="345"/>
      <c r="AI56" s="344"/>
      <c r="BJ56" s="344"/>
      <c r="BK56" s="250"/>
    </row>
    <row r="57" spans="2:63" s="251" customFormat="1" ht="15" customHeight="1" x14ac:dyDescent="0.25">
      <c r="B57" s="345"/>
      <c r="AI57" s="344"/>
      <c r="BJ57" s="344"/>
      <c r="BK57" s="250"/>
    </row>
    <row r="58" spans="2:63" s="251" customFormat="1" ht="15" customHeight="1" x14ac:dyDescent="0.25">
      <c r="B58" s="345"/>
      <c r="AI58" s="344"/>
      <c r="BJ58" s="344"/>
      <c r="BK58" s="250"/>
    </row>
    <row r="59" spans="2:63" s="251" customFormat="1" ht="15" customHeight="1" x14ac:dyDescent="0.25">
      <c r="B59" s="345"/>
      <c r="AI59" s="344"/>
      <c r="BJ59" s="344"/>
      <c r="BK59" s="250"/>
    </row>
    <row r="60" spans="2:63" s="251" customFormat="1" ht="15" customHeight="1" x14ac:dyDescent="0.25">
      <c r="B60" s="345"/>
      <c r="AI60" s="344"/>
      <c r="BJ60" s="344"/>
      <c r="BK60" s="250"/>
    </row>
    <row r="61" spans="2:63" s="251" customFormat="1" ht="15" customHeight="1" x14ac:dyDescent="0.25">
      <c r="B61" s="345"/>
      <c r="AI61" s="344"/>
      <c r="BJ61" s="344"/>
      <c r="BK61" s="250"/>
    </row>
    <row r="62" spans="2:63" s="251" customFormat="1" ht="15" customHeight="1" x14ac:dyDescent="0.25">
      <c r="B62" s="345"/>
      <c r="AI62" s="344"/>
      <c r="BJ62" s="344"/>
      <c r="BK62" s="250"/>
    </row>
    <row r="63" spans="2:63" s="251" customFormat="1" ht="15" customHeight="1" x14ac:dyDescent="0.25">
      <c r="B63" s="345"/>
      <c r="AI63" s="344"/>
      <c r="BJ63" s="344"/>
      <c r="BK63" s="250"/>
    </row>
    <row r="64" spans="2:63" s="251" customFormat="1" ht="15" customHeight="1" x14ac:dyDescent="0.25">
      <c r="B64" s="345"/>
      <c r="AI64" s="344"/>
      <c r="BJ64" s="344"/>
      <c r="BK64" s="250"/>
    </row>
    <row r="65" spans="2:63" s="251" customFormat="1" ht="15" customHeight="1" x14ac:dyDescent="0.25">
      <c r="B65" s="345"/>
      <c r="AI65" s="344"/>
      <c r="BJ65" s="344"/>
      <c r="BK65" s="250"/>
    </row>
    <row r="66" spans="2:63" s="251" customFormat="1" ht="15" customHeight="1" x14ac:dyDescent="0.25">
      <c r="B66" s="345"/>
      <c r="AI66" s="344"/>
      <c r="BJ66" s="344"/>
      <c r="BK66" s="250"/>
    </row>
    <row r="67" spans="2:63" s="251" customFormat="1" ht="15" customHeight="1" x14ac:dyDescent="0.25">
      <c r="B67" s="345"/>
      <c r="AI67" s="344"/>
      <c r="BJ67" s="344"/>
      <c r="BK67" s="250"/>
    </row>
    <row r="68" spans="2:63" s="251" customFormat="1" ht="15" customHeight="1" x14ac:dyDescent="0.25">
      <c r="B68" s="345"/>
      <c r="AI68" s="344"/>
      <c r="BJ68" s="344"/>
      <c r="BK68" s="250"/>
    </row>
    <row r="69" spans="2:63" s="251" customFormat="1" ht="15" customHeight="1" x14ac:dyDescent="0.25">
      <c r="B69" s="345"/>
      <c r="AI69" s="344"/>
      <c r="BJ69" s="344"/>
      <c r="BK69" s="250"/>
    </row>
    <row r="70" spans="2:63" s="251" customFormat="1" ht="15" customHeight="1" x14ac:dyDescent="0.25">
      <c r="B70" s="345"/>
      <c r="AI70" s="344"/>
      <c r="BJ70" s="344"/>
      <c r="BK70" s="250"/>
    </row>
    <row r="71" spans="2:63" s="251" customFormat="1" ht="15" customHeight="1" x14ac:dyDescent="0.25">
      <c r="B71" s="345"/>
      <c r="AI71" s="344"/>
      <c r="BJ71" s="344"/>
      <c r="BK71" s="250"/>
    </row>
    <row r="72" spans="2:63" s="251" customFormat="1" ht="15" customHeight="1" x14ac:dyDescent="0.25">
      <c r="B72" s="345"/>
      <c r="AI72" s="344"/>
      <c r="BJ72" s="344"/>
      <c r="BK72" s="250"/>
    </row>
    <row r="73" spans="2:63" s="251" customFormat="1" ht="15" customHeight="1" x14ac:dyDescent="0.25">
      <c r="B73" s="345"/>
      <c r="AI73" s="344"/>
      <c r="BJ73" s="344"/>
      <c r="BK73" s="250"/>
    </row>
    <row r="74" spans="2:63" s="251" customFormat="1" ht="15" customHeight="1" x14ac:dyDescent="0.25">
      <c r="B74" s="345"/>
      <c r="AI74" s="344"/>
      <c r="BJ74" s="344"/>
      <c r="BK74" s="250"/>
    </row>
    <row r="75" spans="2:63" s="251" customFormat="1" ht="15" customHeight="1" x14ac:dyDescent="0.25">
      <c r="B75" s="345"/>
      <c r="AI75" s="344"/>
      <c r="BJ75" s="344"/>
      <c r="BK75" s="250"/>
    </row>
    <row r="76" spans="2:63" s="251" customFormat="1" ht="15" customHeight="1" x14ac:dyDescent="0.25">
      <c r="B76" s="345"/>
      <c r="AI76" s="344"/>
      <c r="BJ76" s="344"/>
      <c r="BK76" s="250"/>
    </row>
    <row r="77" spans="2:63" s="251" customFormat="1" ht="15" customHeight="1" x14ac:dyDescent="0.25">
      <c r="B77" s="345"/>
      <c r="AI77" s="344"/>
      <c r="BJ77" s="344"/>
      <c r="BK77" s="250"/>
    </row>
    <row r="78" spans="2:63" s="251" customFormat="1" ht="15" customHeight="1" x14ac:dyDescent="0.25">
      <c r="B78" s="345"/>
      <c r="AI78" s="344"/>
      <c r="BJ78" s="344"/>
      <c r="BK78" s="250"/>
    </row>
    <row r="79" spans="2:63" s="251" customFormat="1" ht="15" customHeight="1" x14ac:dyDescent="0.25">
      <c r="B79" s="345"/>
      <c r="AI79" s="344"/>
      <c r="BJ79" s="344"/>
      <c r="BK79" s="250"/>
    </row>
    <row r="80" spans="2:63" s="251" customFormat="1" ht="15" customHeight="1" x14ac:dyDescent="0.25">
      <c r="B80" s="345"/>
      <c r="AI80" s="344"/>
      <c r="BJ80" s="344"/>
      <c r="BK80" s="250"/>
    </row>
    <row r="81" spans="2:63" s="251" customFormat="1" ht="15" customHeight="1" x14ac:dyDescent="0.25">
      <c r="B81" s="345"/>
      <c r="AI81" s="344"/>
      <c r="BJ81" s="344"/>
      <c r="BK81" s="250"/>
    </row>
    <row r="82" spans="2:63" s="251" customFormat="1" ht="15" customHeight="1" x14ac:dyDescent="0.25">
      <c r="B82" s="345"/>
      <c r="AI82" s="344"/>
      <c r="BJ82" s="344"/>
      <c r="BK82" s="250"/>
    </row>
    <row r="83" spans="2:63" s="251" customFormat="1" ht="15" customHeight="1" x14ac:dyDescent="0.25">
      <c r="B83" s="345"/>
      <c r="AI83" s="344"/>
      <c r="BJ83" s="344"/>
      <c r="BK83" s="250"/>
    </row>
    <row r="84" spans="2:63" s="251" customFormat="1" ht="15" customHeight="1" x14ac:dyDescent="0.25">
      <c r="B84" s="345"/>
      <c r="AI84" s="344"/>
      <c r="BJ84" s="344"/>
      <c r="BK84" s="250"/>
    </row>
    <row r="85" spans="2:63" s="251" customFormat="1" ht="15" customHeight="1" x14ac:dyDescent="0.25">
      <c r="B85" s="345"/>
      <c r="AI85" s="344"/>
      <c r="BJ85" s="344"/>
      <c r="BK85" s="250"/>
    </row>
    <row r="86" spans="2:63" s="251" customFormat="1" ht="15" customHeight="1" x14ac:dyDescent="0.25">
      <c r="B86" s="345"/>
      <c r="AI86" s="344"/>
      <c r="BJ86" s="344"/>
      <c r="BK86" s="250"/>
    </row>
    <row r="87" spans="2:63" s="251" customFormat="1" ht="15" customHeight="1" x14ac:dyDescent="0.25">
      <c r="B87" s="345"/>
      <c r="AI87" s="344"/>
      <c r="BJ87" s="344"/>
      <c r="BK87" s="250"/>
    </row>
    <row r="88" spans="2:63" s="251" customFormat="1" ht="15" customHeight="1" x14ac:dyDescent="0.25">
      <c r="B88" s="345"/>
      <c r="AI88" s="344"/>
      <c r="BJ88" s="344"/>
      <c r="BK88" s="250"/>
    </row>
    <row r="89" spans="2:63" s="251" customFormat="1" ht="15" customHeight="1" x14ac:dyDescent="0.25">
      <c r="B89" s="345"/>
      <c r="AI89" s="344"/>
      <c r="BJ89" s="344"/>
      <c r="BK89" s="250"/>
    </row>
    <row r="90" spans="2:63" s="251" customFormat="1" ht="15" customHeight="1" x14ac:dyDescent="0.25">
      <c r="B90" s="345"/>
      <c r="AI90" s="344"/>
      <c r="BJ90" s="344"/>
      <c r="BK90" s="250"/>
    </row>
    <row r="91" spans="2:63" s="251" customFormat="1" ht="15" customHeight="1" x14ac:dyDescent="0.25">
      <c r="B91" s="345"/>
      <c r="AI91" s="344"/>
      <c r="BJ91" s="344"/>
      <c r="BK91" s="250"/>
    </row>
    <row r="92" spans="2:63" s="251" customFormat="1" ht="15" customHeight="1" x14ac:dyDescent="0.25">
      <c r="B92" s="345"/>
      <c r="AI92" s="344"/>
      <c r="BJ92" s="344"/>
      <c r="BK92" s="250"/>
    </row>
    <row r="93" spans="2:63" s="251" customFormat="1" ht="15" customHeight="1" x14ac:dyDescent="0.25">
      <c r="B93" s="345"/>
      <c r="AI93" s="344"/>
      <c r="BJ93" s="344"/>
      <c r="BK93" s="250"/>
    </row>
    <row r="94" spans="2:63" s="251" customFormat="1" ht="15" customHeight="1" x14ac:dyDescent="0.25">
      <c r="B94" s="345"/>
      <c r="AI94" s="344"/>
      <c r="BJ94" s="344"/>
      <c r="BK94" s="250"/>
    </row>
    <row r="95" spans="2:63" s="251" customFormat="1" ht="15" customHeight="1" x14ac:dyDescent="0.25">
      <c r="B95" s="345"/>
      <c r="AI95" s="344"/>
      <c r="BJ95" s="344"/>
      <c r="BK95" s="250"/>
    </row>
    <row r="96" spans="2:63" s="251" customFormat="1" ht="15" customHeight="1" x14ac:dyDescent="0.25">
      <c r="B96" s="345"/>
      <c r="AI96" s="344"/>
      <c r="BJ96" s="344"/>
      <c r="BK96" s="250"/>
    </row>
    <row r="97" spans="2:63" s="251" customFormat="1" ht="15" customHeight="1" x14ac:dyDescent="0.25">
      <c r="B97" s="345"/>
      <c r="AI97" s="344"/>
      <c r="BJ97" s="344"/>
      <c r="BK97" s="250"/>
    </row>
    <row r="98" spans="2:63" s="251" customFormat="1" ht="15" customHeight="1" x14ac:dyDescent="0.25">
      <c r="B98" s="345"/>
      <c r="AI98" s="344"/>
      <c r="BJ98" s="344"/>
      <c r="BK98" s="250"/>
    </row>
    <row r="99" spans="2:63" s="251" customFormat="1" ht="15" customHeight="1" x14ac:dyDescent="0.25">
      <c r="B99" s="345"/>
      <c r="AI99" s="344"/>
      <c r="BJ99" s="344"/>
      <c r="BK99" s="250"/>
    </row>
    <row r="100" spans="2:63" s="251" customFormat="1" ht="15" customHeight="1" x14ac:dyDescent="0.25">
      <c r="B100" s="345"/>
      <c r="AI100" s="344"/>
      <c r="BJ100" s="344"/>
      <c r="BK100" s="250"/>
    </row>
    <row r="101" spans="2:63" s="251" customFormat="1" ht="15" customHeight="1" x14ac:dyDescent="0.25">
      <c r="B101" s="345"/>
      <c r="AI101" s="344"/>
      <c r="BJ101" s="344"/>
      <c r="BK101" s="250"/>
    </row>
    <row r="102" spans="2:63" s="251" customFormat="1" ht="15" customHeight="1" x14ac:dyDescent="0.25">
      <c r="B102" s="345"/>
      <c r="AI102" s="344"/>
      <c r="BJ102" s="344"/>
      <c r="BK102" s="250"/>
    </row>
    <row r="103" spans="2:63" s="251" customFormat="1" ht="15" customHeight="1" x14ac:dyDescent="0.25">
      <c r="B103" s="345"/>
      <c r="AI103" s="344"/>
      <c r="BJ103" s="344"/>
      <c r="BK103" s="250"/>
    </row>
    <row r="104" spans="2:63" s="251" customFormat="1" ht="15" customHeight="1" x14ac:dyDescent="0.25">
      <c r="B104" s="345"/>
      <c r="AI104" s="344"/>
      <c r="BJ104" s="344"/>
      <c r="BK104" s="250"/>
    </row>
    <row r="105" spans="2:63" s="251" customFormat="1" ht="15" customHeight="1" x14ac:dyDescent="0.25">
      <c r="B105" s="345"/>
      <c r="AI105" s="344"/>
      <c r="BJ105" s="344"/>
      <c r="BK105" s="250"/>
    </row>
    <row r="106" spans="2:63" s="251" customFormat="1" ht="15" customHeight="1" x14ac:dyDescent="0.25">
      <c r="B106" s="345"/>
      <c r="AI106" s="344"/>
      <c r="BJ106" s="344"/>
      <c r="BK106" s="250"/>
    </row>
    <row r="107" spans="2:63" s="251" customFormat="1" ht="15" customHeight="1" x14ac:dyDescent="0.25">
      <c r="B107" s="345"/>
      <c r="AI107" s="344"/>
      <c r="BJ107" s="344"/>
      <c r="BK107" s="250"/>
    </row>
    <row r="108" spans="2:63" s="251" customFormat="1" ht="15" customHeight="1" x14ac:dyDescent="0.25">
      <c r="B108" s="345"/>
      <c r="AI108" s="344"/>
      <c r="BJ108" s="344"/>
      <c r="BK108" s="250"/>
    </row>
    <row r="109" spans="2:63" s="251" customFormat="1" ht="15" customHeight="1" x14ac:dyDescent="0.25">
      <c r="B109" s="345"/>
      <c r="AI109" s="344"/>
      <c r="BJ109" s="344"/>
      <c r="BK109" s="250"/>
    </row>
    <row r="110" spans="2:63" s="251" customFormat="1" ht="15" customHeight="1" x14ac:dyDescent="0.25">
      <c r="B110" s="345"/>
      <c r="AI110" s="344"/>
      <c r="BJ110" s="344"/>
      <c r="BK110" s="250"/>
    </row>
    <row r="111" spans="2:63" s="251" customFormat="1" ht="15" customHeight="1" x14ac:dyDescent="0.25">
      <c r="B111" s="345"/>
      <c r="AI111" s="344"/>
      <c r="BJ111" s="344"/>
      <c r="BK111" s="250"/>
    </row>
    <row r="112" spans="2:63" s="251" customFormat="1" ht="15" customHeight="1" x14ac:dyDescent="0.25">
      <c r="B112" s="345"/>
      <c r="AI112" s="344"/>
      <c r="BJ112" s="344"/>
      <c r="BK112" s="250"/>
    </row>
    <row r="113" spans="1:63" s="251" customFormat="1" ht="15" customHeight="1" x14ac:dyDescent="0.25">
      <c r="B113" s="345"/>
      <c r="AI113" s="344"/>
      <c r="BJ113" s="344"/>
      <c r="BK113" s="250"/>
    </row>
    <row r="114" spans="1:63" s="251" customFormat="1" ht="15" customHeight="1" x14ac:dyDescent="0.25">
      <c r="B114" s="345"/>
      <c r="AI114" s="344"/>
      <c r="BJ114" s="344"/>
      <c r="BK114" s="250"/>
    </row>
    <row r="115" spans="1:63" s="251" customFormat="1" ht="15" customHeight="1" x14ac:dyDescent="0.25">
      <c r="B115" s="345"/>
      <c r="AI115" s="344"/>
      <c r="BJ115" s="344"/>
      <c r="BK115" s="250"/>
    </row>
    <row r="116" spans="1:63" s="251" customFormat="1" ht="15" customHeight="1" x14ac:dyDescent="0.25">
      <c r="B116" s="345"/>
      <c r="AI116" s="344"/>
      <c r="BJ116" s="344"/>
      <c r="BK116" s="250"/>
    </row>
    <row r="117" spans="1:63" s="251" customFormat="1" ht="15" customHeight="1" x14ac:dyDescent="0.25">
      <c r="B117" s="345"/>
      <c r="AI117" s="344"/>
      <c r="BJ117" s="344"/>
      <c r="BK117" s="250"/>
    </row>
    <row r="118" spans="1:63" s="251" customFormat="1" ht="15" customHeight="1" x14ac:dyDescent="0.25">
      <c r="B118" s="345"/>
      <c r="AI118" s="344"/>
      <c r="BJ118" s="344"/>
      <c r="BK118" s="250"/>
    </row>
    <row r="119" spans="1:63" s="251" customFormat="1" ht="15" customHeight="1" x14ac:dyDescent="0.25">
      <c r="B119" s="345"/>
      <c r="AI119" s="344"/>
      <c r="BJ119" s="344"/>
      <c r="BK119" s="250"/>
    </row>
    <row r="120" spans="1:63" s="251" customFormat="1" ht="15" customHeight="1" x14ac:dyDescent="0.25">
      <c r="B120" s="345"/>
      <c r="AI120" s="344"/>
      <c r="BJ120" s="344"/>
      <c r="BK120" s="250"/>
    </row>
    <row r="121" spans="1:63" s="251" customFormat="1" ht="15" customHeight="1" x14ac:dyDescent="0.25">
      <c r="B121" s="345"/>
      <c r="AI121" s="344"/>
      <c r="BJ121" s="344"/>
      <c r="BK121" s="250"/>
    </row>
    <row r="122" spans="1:63" s="251" customFormat="1" ht="15" customHeight="1" x14ac:dyDescent="0.25">
      <c r="B122" s="345"/>
      <c r="AI122" s="344"/>
      <c r="BJ122" s="344"/>
      <c r="BK122" s="250"/>
    </row>
    <row r="123" spans="1:63" s="251" customFormat="1" ht="15" customHeight="1" x14ac:dyDescent="0.25">
      <c r="B123" s="345"/>
      <c r="AI123" s="344"/>
      <c r="BJ123" s="344"/>
      <c r="BK123" s="250"/>
    </row>
    <row r="124" spans="1:63" s="251" customFormat="1" ht="15" customHeight="1" x14ac:dyDescent="0.25">
      <c r="B124" s="345"/>
      <c r="AI124" s="344"/>
      <c r="BJ124" s="344"/>
      <c r="BK124" s="250"/>
    </row>
    <row r="125" spans="1:63" s="251" customFormat="1" ht="15" customHeight="1" x14ac:dyDescent="0.25">
      <c r="B125" s="345"/>
      <c r="AI125" s="344"/>
      <c r="BJ125" s="344"/>
      <c r="BK125" s="250"/>
    </row>
    <row r="126" spans="1:63" s="251" customFormat="1" ht="15" customHeight="1" x14ac:dyDescent="0.25">
      <c r="B126" s="345"/>
      <c r="AI126" s="344"/>
      <c r="BJ126" s="344"/>
      <c r="BK126" s="250"/>
    </row>
    <row r="127" spans="1:63" s="251" customFormat="1" ht="15" customHeight="1" x14ac:dyDescent="0.25">
      <c r="B127" s="345"/>
      <c r="AI127" s="344"/>
      <c r="BJ127" s="344"/>
      <c r="BK127" s="250"/>
    </row>
    <row r="128" spans="1:63" ht="15" customHeight="1" x14ac:dyDescent="0.25">
      <c r="A128" s="9"/>
      <c r="B128" s="17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18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18"/>
      <c r="BK128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3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73" t="s">
        <v>15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16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76" t="str">
        <f>IF(表紙!W1="","",表紙!W1)</f>
        <v>詳細設計書</v>
      </c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8"/>
      <c r="AP1" s="50" t="s">
        <v>17</v>
      </c>
      <c r="AQ1" s="51"/>
      <c r="AR1" s="51"/>
      <c r="AS1" s="52"/>
      <c r="AT1" s="50" t="s">
        <v>18</v>
      </c>
      <c r="AU1" s="51"/>
      <c r="AV1" s="51"/>
      <c r="AW1" s="51"/>
      <c r="AX1" s="52"/>
      <c r="AY1" s="50" t="s">
        <v>19</v>
      </c>
      <c r="AZ1" s="51"/>
      <c r="BA1" s="51"/>
      <c r="BB1" s="52"/>
      <c r="BC1" s="50" t="s">
        <v>20</v>
      </c>
      <c r="BD1" s="51"/>
      <c r="BE1" s="51"/>
      <c r="BF1" s="51"/>
      <c r="BG1" s="52"/>
      <c r="BH1" s="50" t="s">
        <v>21</v>
      </c>
      <c r="BI1" s="51"/>
      <c r="BJ1" s="51"/>
      <c r="BK1" s="52"/>
    </row>
    <row r="2" spans="1:63" ht="15" customHeight="1" x14ac:dyDescent="0.25">
      <c r="A2" s="67" t="str">
        <f>IF(表紙!A2="","",表紙!A2)</f>
        <v>POSサーバー</v>
      </c>
      <c r="B2" s="68"/>
      <c r="C2" s="68"/>
      <c r="D2" s="68"/>
      <c r="E2" s="68"/>
      <c r="F2" s="68"/>
      <c r="G2" s="68"/>
      <c r="H2" s="68"/>
      <c r="I2" s="68"/>
      <c r="J2" s="69"/>
      <c r="K2" s="67" t="str">
        <f>IF(表紙!K2="","",表紙!K2)</f>
        <v>POSサーバ</v>
      </c>
      <c r="L2" s="68"/>
      <c r="M2" s="68"/>
      <c r="N2" s="68"/>
      <c r="O2" s="68"/>
      <c r="P2" s="68"/>
      <c r="Q2" s="68"/>
      <c r="R2" s="68"/>
      <c r="S2" s="68"/>
      <c r="T2" s="68"/>
      <c r="U2" s="68"/>
      <c r="V2" s="69"/>
      <c r="W2" s="79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1"/>
      <c r="AP2" s="6" t="str">
        <f>IF(表紙!AP2="","",表紙!AP2)</f>
        <v>TuyenNH</v>
      </c>
      <c r="AQ2" s="5"/>
      <c r="AR2" s="5"/>
      <c r="AS2" s="4"/>
      <c r="AT2" s="54">
        <f>IF(表紙!AT2="","",表紙!AT2)</f>
        <v>45544</v>
      </c>
      <c r="AU2" s="55"/>
      <c r="AV2" s="55"/>
      <c r="AW2" s="55"/>
      <c r="AX2" s="56"/>
      <c r="AY2" s="6" t="str">
        <f>IF(表紙!AY2="","",表紙!AY2)</f>
        <v>TuyenNH</v>
      </c>
      <c r="AZ2" s="5"/>
      <c r="BA2" s="5"/>
      <c r="BB2" s="4"/>
      <c r="BC2" s="54">
        <f>IF(表紙!BC2="","",表紙!BC2)</f>
        <v>45596</v>
      </c>
      <c r="BD2" s="55"/>
      <c r="BE2" s="55"/>
      <c r="BF2" s="55"/>
      <c r="BG2" s="56"/>
      <c r="BH2" s="6">
        <f>IF(表紙!BH2="","",表紙!BH2)</f>
        <v>0.13</v>
      </c>
      <c r="BI2" s="5"/>
      <c r="BJ2" s="5"/>
      <c r="BK2" s="4"/>
    </row>
    <row r="3" spans="1:63" ht="15" customHeight="1" x14ac:dyDescent="0.25">
      <c r="A3" s="70"/>
      <c r="B3" s="71"/>
      <c r="C3" s="71"/>
      <c r="D3" s="71"/>
      <c r="E3" s="71"/>
      <c r="F3" s="71"/>
      <c r="G3" s="71"/>
      <c r="H3" s="71"/>
      <c r="I3" s="71"/>
      <c r="J3" s="72"/>
      <c r="K3" s="70"/>
      <c r="L3" s="71"/>
      <c r="M3" s="71"/>
      <c r="N3" s="71"/>
      <c r="O3" s="71"/>
      <c r="P3" s="71"/>
      <c r="Q3" s="71"/>
      <c r="R3" s="71"/>
      <c r="S3" s="71"/>
      <c r="T3" s="71"/>
      <c r="U3" s="71"/>
      <c r="V3" s="72"/>
      <c r="W3" s="82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4"/>
      <c r="AP3" s="3"/>
      <c r="AQ3" s="2"/>
      <c r="AR3" s="2"/>
      <c r="AS3" s="1"/>
      <c r="AT3" s="57"/>
      <c r="AU3" s="58"/>
      <c r="AV3" s="58"/>
      <c r="AW3" s="58"/>
      <c r="AX3" s="59"/>
      <c r="AY3" s="3"/>
      <c r="AZ3" s="2"/>
      <c r="BA3" s="2"/>
      <c r="BB3" s="1"/>
      <c r="BC3" s="57"/>
      <c r="BD3" s="58"/>
      <c r="BE3" s="58"/>
      <c r="BF3" s="58"/>
      <c r="BG3" s="59"/>
      <c r="BH3" s="3"/>
      <c r="BI3" s="2"/>
      <c r="BJ3" s="2"/>
      <c r="BK3" s="1"/>
    </row>
    <row r="4" spans="1:63" ht="24.95" customHeight="1" x14ac:dyDescent="0.25">
      <c r="A4" s="73" t="s">
        <v>22</v>
      </c>
      <c r="B4" s="74"/>
      <c r="C4" s="74"/>
      <c r="D4" s="74"/>
      <c r="E4" s="74"/>
      <c r="F4" s="74"/>
      <c r="G4" s="75"/>
      <c r="H4" s="85" t="str">
        <f>IF(表紙!H4="","",表紙!H4)</f>
        <v>AP0301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73" t="s">
        <v>23</v>
      </c>
      <c r="V4" s="74"/>
      <c r="W4" s="74"/>
      <c r="X4" s="74"/>
      <c r="Y4" s="75"/>
      <c r="Z4" s="85" t="str">
        <f>IF(表紙!Z4="","",表紙!Z4)</f>
        <v>API設計書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8" t="str">
        <f ca="1">MID(CELL("filename",A1),FIND("]",CELL("filename",A1))+1,255)</f>
        <v>テンプレート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K7" s="16"/>
    </row>
    <row r="8" spans="1:63" s="12" customFormat="1" ht="15" customHeight="1" x14ac:dyDescent="0.25">
      <c r="BK8" s="16"/>
    </row>
    <row r="9" spans="1:63" s="12" customFormat="1" ht="15" customHeight="1" x14ac:dyDescent="0.25">
      <c r="BK9" s="16"/>
    </row>
    <row r="10" spans="1:63" s="12" customFormat="1" ht="15" customHeight="1" x14ac:dyDescent="0.25">
      <c r="BK10" s="16"/>
    </row>
    <row r="11" spans="1:63" s="12" customFormat="1" ht="15" customHeight="1" x14ac:dyDescent="0.25">
      <c r="BK11" s="16"/>
    </row>
    <row r="12" spans="1:63" s="12" customFormat="1" ht="15" customHeight="1" x14ac:dyDescent="0.25">
      <c r="BK12" s="16"/>
    </row>
    <row r="13" spans="1:63" s="12" customFormat="1" ht="15" customHeight="1" x14ac:dyDescent="0.25">
      <c r="BK13" s="16"/>
    </row>
    <row r="14" spans="1:63" s="12" customFormat="1" ht="15" customHeight="1" x14ac:dyDescent="0.25">
      <c r="BK14" s="16"/>
    </row>
    <row r="15" spans="1:63" s="12" customFormat="1" ht="15" customHeight="1" x14ac:dyDescent="0.25">
      <c r="BK15" s="16"/>
    </row>
    <row r="16" spans="1:63" s="12" customFormat="1" ht="15" customHeight="1" x14ac:dyDescent="0.25">
      <c r="BK16" s="16"/>
    </row>
    <row r="17" spans="63:63" s="12" customFormat="1" ht="15" customHeight="1" x14ac:dyDescent="0.25">
      <c r="BK17" s="16"/>
    </row>
    <row r="18" spans="63:63" s="12" customFormat="1" ht="15" customHeight="1" x14ac:dyDescent="0.25">
      <c r="BK18" s="16"/>
    </row>
    <row r="19" spans="63:63" s="12" customFormat="1" ht="15" customHeight="1" x14ac:dyDescent="0.25">
      <c r="BK19" s="16"/>
    </row>
    <row r="20" spans="63:63" s="12" customFormat="1" ht="15" customHeight="1" x14ac:dyDescent="0.25">
      <c r="BK20" s="16"/>
    </row>
    <row r="21" spans="63:63" s="12" customFormat="1" ht="15" customHeight="1" x14ac:dyDescent="0.25">
      <c r="BK21" s="16"/>
    </row>
    <row r="22" spans="63:63" s="12" customFormat="1" ht="15" customHeight="1" x14ac:dyDescent="0.25">
      <c r="BK22" s="16"/>
    </row>
    <row r="23" spans="63:63" s="12" customFormat="1" ht="15" customHeight="1" x14ac:dyDescent="0.25">
      <c r="BK23" s="16"/>
    </row>
    <row r="24" spans="63:63" s="12" customFormat="1" ht="15" customHeight="1" x14ac:dyDescent="0.25">
      <c r="BK24" s="16"/>
    </row>
    <row r="25" spans="63:63" s="12" customFormat="1" ht="15" customHeight="1" x14ac:dyDescent="0.25">
      <c r="BK25" s="16"/>
    </row>
    <row r="26" spans="63:63" s="12" customFormat="1" ht="15" customHeight="1" x14ac:dyDescent="0.25">
      <c r="BK26" s="16"/>
    </row>
    <row r="27" spans="63:63" s="12" customFormat="1" ht="15" customHeight="1" x14ac:dyDescent="0.25">
      <c r="BK27" s="16"/>
    </row>
    <row r="28" spans="63:63" s="12" customFormat="1" ht="15" customHeight="1" x14ac:dyDescent="0.25">
      <c r="BK28" s="16"/>
    </row>
    <row r="29" spans="63:63" s="12" customFormat="1" ht="15" customHeight="1" x14ac:dyDescent="0.25">
      <c r="BK29" s="16"/>
    </row>
    <row r="30" spans="63:63" s="12" customFormat="1" ht="15" customHeight="1" x14ac:dyDescent="0.25">
      <c r="BK30" s="16"/>
    </row>
    <row r="31" spans="63:63" s="12" customFormat="1" ht="15" customHeight="1" x14ac:dyDescent="0.25">
      <c r="BK31" s="16"/>
    </row>
    <row r="32" spans="63:63" s="12" customFormat="1" ht="15" customHeight="1" x14ac:dyDescent="0.25">
      <c r="BK32" s="16"/>
    </row>
    <row r="33" spans="63:63" s="12" customFormat="1" ht="15" customHeight="1" x14ac:dyDescent="0.25">
      <c r="BK33" s="16"/>
    </row>
    <row r="34" spans="63:63" s="12" customFormat="1" ht="15" customHeight="1" x14ac:dyDescent="0.25">
      <c r="BK34" s="16"/>
    </row>
    <row r="35" spans="63:63" s="12" customFormat="1" ht="15" customHeight="1" x14ac:dyDescent="0.25">
      <c r="BK35" s="16"/>
    </row>
    <row r="36" spans="63:63" s="12" customFormat="1" ht="15" customHeight="1" x14ac:dyDescent="0.25">
      <c r="BK36" s="16"/>
    </row>
    <row r="37" spans="63:63" s="12" customFormat="1" ht="15" customHeight="1" x14ac:dyDescent="0.25">
      <c r="BK37" s="16"/>
    </row>
    <row r="38" spans="63:63" s="12" customFormat="1" ht="15" customHeight="1" x14ac:dyDescent="0.25">
      <c r="BK38" s="16"/>
    </row>
    <row r="39" spans="63:63" s="12" customFormat="1" ht="15" customHeight="1" x14ac:dyDescent="0.25">
      <c r="BK39" s="16"/>
    </row>
    <row r="40" spans="63:63" s="12" customFormat="1" ht="15" customHeight="1" x14ac:dyDescent="0.25">
      <c r="BK40" s="16"/>
    </row>
    <row r="41" spans="63:63" s="12" customFormat="1" ht="15" customHeight="1" x14ac:dyDescent="0.25">
      <c r="BK41" s="16"/>
    </row>
    <row r="42" spans="63:63" s="12" customFormat="1" ht="15" customHeight="1" x14ac:dyDescent="0.25">
      <c r="BK42" s="16"/>
    </row>
    <row r="43" spans="63:63" s="12" customFormat="1" ht="15" customHeight="1" x14ac:dyDescent="0.25">
      <c r="BK43" s="16"/>
    </row>
    <row r="44" spans="63:63" s="12" customFormat="1" ht="15" customHeight="1" x14ac:dyDescent="0.25">
      <c r="BK44" s="16"/>
    </row>
    <row r="45" spans="63:63" s="12" customFormat="1" ht="15" customHeight="1" x14ac:dyDescent="0.25">
      <c r="BK45" s="16"/>
    </row>
    <row r="46" spans="63:63" s="12" customFormat="1" ht="15" customHeight="1" x14ac:dyDescent="0.25">
      <c r="BK46" s="16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D3B813-5444-4C79-8B3B-6F1AF5FE3EB7}"/>
</file>

<file path=customXml/itemProps2.xml><?xml version="1.0" encoding="utf-8"?>
<ds:datastoreItem xmlns:ds="http://schemas.openxmlformats.org/officeDocument/2006/customXml" ds:itemID="{3ACB715D-9B9A-4B63-9878-23C315C9888B}"/>
</file>

<file path=customXml/itemProps3.xml><?xml version="1.0" encoding="utf-8"?>
<ds:datastoreItem xmlns:ds="http://schemas.openxmlformats.org/officeDocument/2006/customXml" ds:itemID="{9ACDDBA2-0455-47BE-8A3C-F7E0152238A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AP0301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2024-11-14T04:43:54Z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