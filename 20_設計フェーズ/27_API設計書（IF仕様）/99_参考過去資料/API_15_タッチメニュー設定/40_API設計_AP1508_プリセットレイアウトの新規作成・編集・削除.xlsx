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81083A5-8643-4447-955C-6AF4B3F5CE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8" sheetId="8" r:id="rId4"/>
    <sheet name="処理フロー" sheetId="9" r:id="rId5"/>
    <sheet name="テンプレート" sheetId="7" r:id="rId6"/>
  </sheets>
  <definedNames>
    <definedName name="_xlnm.Print_Area" localSheetId="3">'AP1508'!$A$1:$BK$128</definedName>
    <definedName name="_xlnm.Print_Area" localSheetId="5">テンプレート!$A$1:$BK$54</definedName>
    <definedName name="_xlnm.Print_Area" localSheetId="4">処理フロー!$A$1:$BK$168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<sst xmlns="http://schemas.openxmlformats.org/spreadsheetml/2006/main" count="368" uniqueCount="190">
  <si>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</si>
  <si>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</si>
  <si>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</si>
  <si>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</si>
  <si>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</si>
  <si>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</si>
  <si>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</si>
  <si>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</si>
  <si>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</si>
  <si>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</si>
  <si>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</si>
  <si>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</si>
  <si>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</si>
  <si>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</si>
  <si>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</si>
  <si>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</si>
  <si>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</si>
  <si>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</si>
  <si>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</si>
  <si>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</si>
  <si>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</si>
  <si>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</si>
  <si>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</si>
  <si>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</si>
  <si>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</si>
  <si>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</si>
  <si>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</si>
  <si>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</si>
  <si>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</si>
  <si>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</si>
  <si>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</si>
  <si>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</si>
  <si>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</si>
  <si>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</si>
  <si>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</si>
  <si>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</si>
  <si>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</si>
  <si>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</si>
  <si>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</si>
  <si>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</si>
  <si>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</si>
  <si>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</si>
  <si>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</si>
  <si>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</si>
  <si>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</si>
  <si>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</si>
  <si>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</si>
  <si>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</si>
  <si>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</si>
  <si>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</si>
  <si>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</si>
  <si>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</si>
  <si>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</si>
  <si>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</si>
  <si>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</si>
  <si>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プリセットレイアウトを新規作成、編集、削除する。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</si>
  <si>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</si>
  <si>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PresetMenuMaster.StoreCode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</si>
  <si>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</si>
  <si>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</si>
  <si>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</si>
  <si>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</si>
  <si>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</si>
  <si>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</si>
  <si>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</si>
  <si>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PresetMenuMaster.ID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</si>
  <si>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</si>
  <si>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</si>
  <si>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</si>
  <si>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button_column_count</t>
    </r>
  </si>
  <si>
    <r>
      <rPr>
        <sz val="11"/>
        <color rgb="FF000000"/>
        <rFont val="Meiryo UI"/>
        <family val="2"/>
      </rPr>
      <t>PresetMenuMaster.ButtonColumnCount</t>
    </r>
  </si>
  <si>
    <r>
      <rPr>
        <sz val="11"/>
        <color rgb="FF000000"/>
        <rFont val="Meiryo UI"/>
        <family val="2"/>
      </rPr>
      <t>PresetMenuMaster.Description</t>
    </r>
  </si>
  <si>
    <r>
      <rPr>
        <sz val="11"/>
        <color rgb="FF000000"/>
        <rFont val="Meiryo UI"/>
        <family val="2"/>
      </rPr>
      <t>PresetMenuMaster.PageNumber</t>
    </r>
  </si>
  <si>
    <r>
      <rPr>
        <sz val="11"/>
        <color rgb="FF000000"/>
        <rFont val="Meiryo UI"/>
        <family val="2"/>
      </rPr>
      <t>button_row_span</t>
    </r>
  </si>
  <si>
    <r>
      <rPr>
        <sz val="11"/>
        <color rgb="FF000000"/>
        <rFont val="Meiryo UI"/>
        <family val="2"/>
      </rPr>
      <t>button_row_count</t>
    </r>
  </si>
  <si>
    <r>
      <rPr>
        <sz val="11"/>
        <color rgb="FF000000"/>
        <rFont val="Meiryo UI"/>
        <family val="2"/>
      </rPr>
      <t>PresetMenuMaster.ButtonRowCount</t>
    </r>
  </si>
  <si>
    <r>
      <rPr>
        <sz val="11"/>
        <color rgb="FF000000"/>
        <rFont val="Meiryo UI"/>
        <family val="2"/>
      </rPr>
      <t>style_key</t>
    </r>
  </si>
  <si>
    <r>
      <rPr>
        <sz val="11"/>
        <color rgb="FF000000"/>
        <rFont val="Meiryo UI"/>
        <family val="2"/>
      </rPr>
      <t>PresetMenuMaster.StyleKey</t>
    </r>
  </si>
  <si>
    <r>
      <rPr>
        <sz val="11"/>
        <color rgb="FF000000"/>
        <rFont val="Meiryo UI"/>
        <family val="2"/>
      </rPr>
      <t>preset_menu_button</t>
    </r>
  </si>
  <si>
    <r>
      <rPr>
        <sz val="11"/>
        <color rgb="FF000000"/>
        <rFont val="Meiryo UI"/>
        <family val="2"/>
      </rPr>
      <t>PresetMenuButtonMaster.ID</t>
    </r>
  </si>
  <si>
    <r>
      <rPr>
        <sz val="11"/>
        <color rgb="FF000000"/>
        <rFont val="Meiryo UI"/>
        <family val="2"/>
      </rPr>
      <t>PresetMenuButtonMaster.StoreCode</t>
    </r>
  </si>
  <si>
    <r>
      <rPr>
        <sz val="11"/>
        <color rgb="FF000000"/>
        <rFont val="Meiryo UI"/>
        <family val="2"/>
      </rPr>
      <t>PresetMenuButtonMaster.ButtonLayoutCode</t>
    </r>
  </si>
  <si>
    <r>
      <rPr>
        <sz val="11"/>
        <color rgb="FF000000"/>
        <rFont val="Meiryo UI"/>
        <family val="2"/>
      </rPr>
      <t>PresetMenuButtonMaster.ApplyDate</t>
    </r>
  </si>
  <si>
    <r>
      <rPr>
        <sz val="11"/>
        <color rgb="FF000000"/>
        <rFont val="Meiryo UI"/>
        <family val="2"/>
      </rPr>
      <t>PresetMenuButtonMaster.PageNumber</t>
    </r>
  </si>
  <si>
    <r>
      <rPr>
        <sz val="11"/>
        <color rgb="FF000000"/>
        <rFont val="Meiryo UI"/>
        <family val="2"/>
      </rPr>
      <t>button_column_number</t>
    </r>
  </si>
  <si>
    <r>
      <rPr>
        <sz val="11"/>
        <color rgb="FF000000"/>
        <rFont val="Meiryo UI"/>
        <family val="2"/>
      </rPr>
      <t>PresetMenuButtonMaster.ButtonColumnNumber</t>
    </r>
  </si>
  <si>
    <r>
      <rPr>
        <sz val="11"/>
        <color rgb="FF000000"/>
        <rFont val="Meiryo UI"/>
        <family val="2"/>
      </rPr>
      <t>button_row_number</t>
    </r>
  </si>
  <si>
    <r>
      <rPr>
        <sz val="11"/>
        <color rgb="FF000000"/>
        <rFont val="Meiryo UI"/>
        <family val="2"/>
      </rPr>
      <t>PresetMenuButtonMaster.ButtonRowNumber</t>
    </r>
  </si>
  <si>
    <r>
      <rPr>
        <sz val="11"/>
        <color rgb="FF000000"/>
        <rFont val="Meiryo UI"/>
        <family val="2"/>
      </rPr>
      <t>button_column_span</t>
    </r>
  </si>
  <si>
    <r>
      <rPr>
        <sz val="11"/>
        <color rgb="FF000000"/>
        <rFont val="Meiryo UI"/>
        <family val="2"/>
      </rPr>
      <t>PresetMenuButtonMaster.ButtonColumnSpan</t>
    </r>
  </si>
  <si>
    <r>
      <rPr>
        <sz val="11"/>
        <color rgb="FF000000"/>
        <rFont val="Meiryo UI"/>
        <family val="2"/>
      </rPr>
      <t>PresetMenuButtonMaster.ButtonRowSpan</t>
    </r>
  </si>
  <si>
    <r>
      <rPr>
        <sz val="11"/>
        <color rgb="FF000000"/>
        <rFont val="Meiryo UI"/>
        <family val="2"/>
      </rPr>
      <t>PresetMenuButtonMaster.Description</t>
    </r>
  </si>
  <si>
    <r>
      <rPr>
        <sz val="11"/>
        <color rgb="FF000000"/>
        <rFont val="Meiryo UI"/>
        <family val="2"/>
      </rPr>
      <t>PresetMenuButtonMaster.StyleKey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</si>
  <si>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</si>
  <si>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PresetMenuButtonMaster.EventGroupCode</t>
    </r>
  </si>
  <si>
    <r>
      <rPr>
        <sz val="11"/>
        <color rgb="FF000000"/>
        <rFont val="Meiryo UI"/>
        <family val="2"/>
      </rPr>
      <t>PresetMenuButtonMaster.SettingData</t>
    </r>
  </si>
  <si>
    <r>
      <rPr>
        <sz val="11"/>
        <color rgb="FF000000"/>
        <rFont val="Meiryo UI"/>
        <family val="2"/>
      </rPr>
      <t>setting_data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</si>
  <si>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</si>
  <si>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</si>
  <si>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</si>
  <si>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List&lt;MenuButton&gt;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</si>
  <si>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</si>
  <si>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</si>
  <si>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"page_number: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</si>
  <si>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</si>
  <si>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"button_column_number: "",</t>
    </r>
  </si>
  <si>
    <r>
      <rPr>
        <sz val="11"/>
        <color rgb="FF000000"/>
        <rFont val="Meiryo UI"/>
        <family val="2"/>
      </rPr>
      <t>"button_row_number: "",</t>
    </r>
  </si>
  <si>
    <r>
      <rPr>
        <sz val="11"/>
        <color rgb="FF000000"/>
        <rFont val="Meiryo UI"/>
        <family val="2"/>
      </rPr>
      <t>"button_column_span: "",</t>
    </r>
  </si>
  <si>
    <r>
      <rPr>
        <sz val="11"/>
        <color rgb="FF000000"/>
        <rFont val="Meiryo UI"/>
        <family val="2"/>
      </rPr>
      <t>"button_row_span: "",</t>
    </r>
  </si>
  <si>
    <r>
      <rPr>
        <sz val="11"/>
        <color rgb="FF000000"/>
        <rFont val="Meiryo UI"/>
        <family val="2"/>
      </rPr>
      <t>"description: "",</t>
    </r>
  </si>
  <si>
    <r>
      <rPr>
        <sz val="11"/>
        <color rgb="FF000000"/>
        <rFont val="Meiryo UI"/>
        <family val="2"/>
      </rPr>
      <t>"style_key: "",</t>
    </r>
  </si>
  <si>
    <r>
      <rPr>
        <sz val="11"/>
        <color rgb="FF000000"/>
        <rFont val="Meiryo UI"/>
        <family val="2"/>
      </rPr>
      <t>"event_group_code: "",</t>
    </r>
  </si>
  <si>
    <r>
      <rPr>
        <sz val="11"/>
        <color rgb="FF000000"/>
        <rFont val="Meiryo UI"/>
        <family val="2"/>
      </rPr>
      <t>"setting_data: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</si>
  <si>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</si>
  <si>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</si>
  <si>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</si>
  <si>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</si>
  <si>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</si>
  <si>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sz val="11"/>
        <color rgb="FF000000"/>
        <rFont val="Meiryo UI"/>
        <family val="2"/>
      </rPr>
      <t>"button_column_count: "",</t>
    </r>
  </si>
  <si>
    <r>
      <rPr>
        <sz val="11"/>
        <color rgb="FF000000"/>
        <rFont val="Meiryo UI"/>
        <family val="2"/>
      </rPr>
      <t>"button_row_count: "",</t>
    </r>
  </si>
  <si>
    <r>
      <rPr>
        <sz val="11"/>
        <color rgb="FF000000"/>
        <rFont val="Meiryo UI"/>
        <family val="2"/>
      </rPr>
      <t>"preset_menu_button: [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</si>
  <si>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</si>
  <si>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PresetMenuButtonMaster.GroupCode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</si>
  <si>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</si>
  <si>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style_info</t>
    </r>
  </si>
  <si>
    <r>
      <rPr>
        <sz val="11"/>
        <color rgb="FF000000"/>
        <rFont val="Meiryo UI"/>
        <family val="2"/>
      </rPr>
      <t>PresetMenuButtonMaster.StyleInfo</t>
    </r>
  </si>
  <si>
    <r>
      <rPr>
        <sz val="11"/>
        <color rgb="FF000000"/>
        <rFont val="Meiryo UI"/>
        <family val="2"/>
      </rPr>
      <t>ボタンのイメージ</t>
    </r>
  </si>
  <si>
    <r>
      <rPr>
        <sz val="11"/>
        <color rgb="FF000000"/>
        <rFont val="Meiryo UI"/>
        <family val="2"/>
      </rPr>
      <t>display_status</t>
    </r>
  </si>
  <si>
    <r>
      <rPr>
        <sz val="11"/>
        <color rgb="FF000000"/>
        <rFont val="Meiryo UI"/>
        <family val="2"/>
      </rPr>
      <t>PresetMenuButtonMaster.DisplayStatus</t>
    </r>
  </si>
  <si>
    <r>
      <rPr>
        <sz val="11"/>
        <color rgb="FF000000"/>
        <rFont val="Meiryo UI"/>
        <family val="2"/>
      </rPr>
      <t>"style_info: "",</t>
    </r>
  </si>
  <si>
    <r>
      <rPr>
        <sz val="11"/>
        <color rgb="FF000000"/>
        <rFont val="Meiryo UI"/>
        <family val="2"/>
      </rPr>
      <t>SmallInt</t>
    </r>
  </si>
  <si>
    <t xml:space="preserve">・api urlを修正する。
・is_display_on_cash_machine、is_display_on_customer_screenのフィールドを追加する。	 </t>
  </si>
  <si>
    <t>AP1508シート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</si>
  <si>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</si>
  <si>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</si>
  <si>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</si>
  <si>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</si>
  <si>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</si>
  <si>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</si>
  <si>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</si>
  <si>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</si>
  <si>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</si>
  <si>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</si>
  <si>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</si>
  <si>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</si>
  <si>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</si>
  <si>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</t>
    </r>
  </si>
  <si>
    <t>●API処理フロー</t>
  </si>
  <si>
    <t>2. リクエスト</t>
  </si>
  <si>
    <t>2.1 Request URL</t>
  </si>
  <si>
    <t>2. 2 Request Header</t>
  </si>
  <si>
    <t>ヘッダー</t>
  </si>
  <si>
    <t>項目説明</t>
  </si>
  <si>
    <t>2.3 Query Parameter/ path parameter</t>
  </si>
  <si>
    <t>パラメータ</t>
  </si>
  <si>
    <t>2.4 Request Body</t>
  </si>
  <si>
    <t>・新規作成の場合、operation_typeを「1」として渡す。
・編集の場合、operation_type を「2」として渡す。
・削除の場合、operation_typeを「3」として渡す。
上記以外の場合、エラーメッセージ = MSG_VAL_019</t>
  </si>
  <si>
    <t>・プリセットレイアウトを新規作成する場合、record_idをnullとして渡す。
・プリセットレイアウトを編集する場合、該当するrecord_idを渡す。</t>
  </si>
  <si>
    <t>バリデーションチェック：数字、4桁 バリデーションチェックNGの場合、エラーメッセージ = MSG_VAL_019</t>
  </si>
  <si>
    <t xml:space="preserve">バリデーションチェックの新規作成の場合：
・数字4桁 -&gt; 数字ではない場合、エラーメッセージ = MSG_VAL_026、長さが4桁以外の場合、エラーメッセージ= MSG_VAL_002
・プリセットレイアウトを新規作成する前に存在を確認する。存在した場合、エラーメッセージ = MSG_ERR_003
</t>
  </si>
  <si>
    <t>最大半角50文字（全角25文字）。文字数 &gt; 50の場合、 エラーメッセージ = MSG_VAL_002</t>
  </si>
  <si>
    <t>バリデーションチェック：過去日不許可。フォーマット: yyyy/mm/dd 過去日の場合、エラーメッセージ = MSG_VAL_022</t>
  </si>
  <si>
    <t xml:space="preserve">最大半角50文字（全角25文字）。文字数 &gt; 50の場合、 エラーメッセージ = MSG_VAL_002 </t>
  </si>
  <si>
    <t>is_display_on_cash_machine</t>
  </si>
  <si>
    <t>Boolean</t>
  </si>
  <si>
    <t>PresetMenuMaster.IsDisplayOnCashMachine</t>
  </si>
  <si>
    <t>is_display_on_customer_screen</t>
  </si>
  <si>
    <t>PresetMenuMaster.IsDisplayOnCustomerScreen</t>
  </si>
  <si>
    <t>・プリセットメニューボタンの新規作成の場合、record_idをnullとして渡す。
・プリセットメニューボタンの編集の場合、該当するrecord_idを渡す。</t>
  </si>
  <si>
    <t>・1: 商品
・2：品種
・3: 機能
上記以外の場合、エラーメッセージ = MSG_VAL_019</t>
  </si>
  <si>
    <t>PresetMenuButtonMaster.Amount</t>
  </si>
  <si>
    <t>※サンプル</t>
  </si>
  <si>
    <t>3. レスポンス</t>
  </si>
  <si>
    <t>3.1. 正常の場合のレスポンスフォーマット</t>
  </si>
  <si>
    <t>JSON name</t>
  </si>
  <si>
    <r>
      <rPr>
        <b/>
        <sz val="11"/>
        <color rgb="FF000000"/>
        <rFont val="Meiryo UI"/>
        <family val="2"/>
      </rPr>
      <t>1. 概要</t>
    </r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</si>
  <si>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</si>
  <si>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</si>
  <si>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 xml:space="preserve">        "operation_type": 1</t>
    </r>
  </si>
  <si>
    <r>
      <rPr>
        <sz val="11"/>
        <color rgb="FF000000"/>
        <rFont val="Meiryo UI"/>
        <family val="2"/>
      </rPr>
      <t>"preset_layout_name: "",</t>
    </r>
  </si>
  <si>
    <r>
      <rPr>
        <sz val="11"/>
        <color rgb="FF000000"/>
        <rFont val="Meiryo UI"/>
        <family val="2"/>
      </rPr>
      <t>"group_code": 1</t>
    </r>
  </si>
  <si>
    <r>
      <rPr>
        <sz val="11"/>
        <color rgb="FF000000"/>
        <rFont val="Meiryo UI"/>
        <family val="2"/>
      </rPr>
      <t>"display_status": 1,</t>
    </r>
  </si>
  <si>
    <r>
      <rPr>
        <sz val="11"/>
        <color rgb="FF000000"/>
        <rFont val="Meiryo UI"/>
        <family val="2"/>
      </rPr>
      <t>"amount": 100</t>
    </r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</si>
  <si>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</si>
  <si>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</si>
  <si>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プリセットメニューボタン表示状態: 1- 表示、0 - 非表示。上記以外の場合、エラーメッセージ = MSG_VAL_019</t>
  </si>
  <si>
    <r>
      <rPr>
        <sz val="11"/>
        <color rgb="FF0000FF"/>
        <rFont val="Meiryo UI"/>
        <family val="2"/>
      </rPr>
      <t>api/v1/preset/maintenance</t>
    </r>
  </si>
  <si>
    <r>
      <t xml:space="preserve">       </t>
    </r>
    <r>
      <rPr>
        <sz val="11"/>
        <color rgb="FF0000FF"/>
        <rFont val="Meiryo UI"/>
        <family val="2"/>
      </rPr>
      <t xml:space="preserve">  "is_display_on_cash_machine":true,</t>
    </r>
  </si>
  <si>
    <r>
      <t xml:space="preserve">        </t>
    </r>
    <r>
      <rPr>
        <sz val="11"/>
        <color rgb="FF0000FF"/>
        <rFont val="Meiryo UI"/>
        <family val="2"/>
      </rPr>
      <t xml:space="preserve"> "is_display_on_customer_screen": true,</t>
    </r>
  </si>
  <si>
    <r>
      <rPr>
        <sz val="11"/>
        <color rgb="FF000000"/>
        <rFont val="Meiryo UI"/>
        <family val="2"/>
      </rPr>
      <t>▪ 7. プリセットメニューボタンの追加・更新・削除処理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</si>
</sst>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4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3"/>
    </xf>
    <xf numFmtId="0" fontId="7" fillId="0" borderId="4" xfId="0" applyFont="1" applyBorder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7" fillId="3" borderId="0" xfId="0" applyFont="1" applyFill="1" applyAlignment="1">
      <alignment horizontal="left" vertical="center" indent="3"/>
    </xf>
    <xf numFmtId="0" fontId="1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4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7" fillId="0" borderId="23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indent="1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left" vertical="top" wrapText="1"/>
    </xf>
    <xf numFmtId="0" fontId="8" fillId="0" borderId="24" xfId="0" quotePrefix="1" applyFont="1" applyBorder="1" applyAlignment="1">
      <alignment horizontal="left" vertical="top" wrapText="1"/>
    </xf>
    <xf numFmtId="0" fontId="8" fillId="0" borderId="25" xfId="0" quotePrefix="1" applyFont="1" applyBorder="1" applyAlignment="1">
      <alignment horizontal="left" vertical="top" wrapText="1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9" xfId="0" applyFont="1" applyBorder="1" applyAlignment="1">
      <alignment vertical="top" wrapText="1"/>
    </xf>
    <xf numFmtId="0" fontId="19" fillId="0" borderId="30" xfId="0" applyFont="1" applyBorder="1" applyAlignment="1">
      <alignment vertical="top"/>
    </xf>
    <xf numFmtId="0" fontId="19" fillId="0" borderId="31" xfId="0" applyFont="1" applyBorder="1" applyAlignment="1">
      <alignment vertical="top"/>
    </xf>
    <xf numFmtId="0" fontId="20" fillId="4" borderId="23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0" xfId="0" applyFont="1"/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0" fillId="4" borderId="0" xfId="0" applyFont="1" applyFill="1"/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17" xfId="0" applyFont="1" applyBorder="1"/>
    <xf numFmtId="0" fontId="23" fillId="0" borderId="18" xfId="0" applyFont="1" applyBorder="1"/>
    <xf numFmtId="0" fontId="23" fillId="0" borderId="16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2" xfId="0" applyFont="1" applyBorder="1"/>
    <xf numFmtId="0" fontId="20" fillId="4" borderId="23" xfId="6" applyFont="1" applyFill="1" applyBorder="1" applyAlignment="1">
      <alignment horizontal="center" vertical="center"/>
    </xf>
    <xf numFmtId="0" fontId="20" fillId="4" borderId="24" xfId="6" applyFont="1" applyFill="1" applyBorder="1" applyAlignment="1">
      <alignment horizontal="center" vertical="center"/>
    </xf>
    <xf numFmtId="0" fontId="20" fillId="4" borderId="25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1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left" vertical="center" wrapText="1"/>
    </xf>
    <xf numFmtId="0" fontId="23" fillId="0" borderId="17" xfId="0" quotePrefix="1" applyFont="1" applyBorder="1" applyAlignment="1">
      <alignment horizontal="left" vertical="center" wrapText="1"/>
    </xf>
    <xf numFmtId="0" fontId="23" fillId="0" borderId="18" xfId="0" quotePrefix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 wrapText="1"/>
    </xf>
    <xf numFmtId="0" fontId="23" fillId="0" borderId="3" xfId="0" quotePrefix="1" applyFont="1" applyBorder="1" applyAlignment="1">
      <alignment horizontal="left" vertical="center" wrapText="1"/>
    </xf>
    <xf numFmtId="0" fontId="23" fillId="0" borderId="5" xfId="0" quotePrefix="1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 wrapText="1"/>
    </xf>
    <xf numFmtId="0" fontId="23" fillId="0" borderId="24" xfId="0" quotePrefix="1" applyFont="1" applyBorder="1" applyAlignment="1">
      <alignment horizontal="left" vertical="center" wrapText="1"/>
    </xf>
    <xf numFmtId="0" fontId="23" fillId="0" borderId="25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3" borderId="16" xfId="0" quotePrefix="1" applyFont="1" applyFill="1" applyBorder="1" applyAlignment="1">
      <alignment vertical="center"/>
    </xf>
    <xf numFmtId="0" fontId="23" fillId="3" borderId="17" xfId="0" quotePrefix="1" applyFont="1" applyFill="1" applyBorder="1" applyAlignment="1">
      <alignment vertical="center"/>
    </xf>
    <xf numFmtId="0" fontId="23" fillId="3" borderId="18" xfId="0" quotePrefix="1" applyFont="1" applyFill="1" applyBorder="1" applyAlignment="1">
      <alignment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5" borderId="24" xfId="0" applyFont="1" applyFill="1" applyBorder="1" applyAlignment="1">
      <alignment horizontal="left" vertical="center"/>
    </xf>
    <xf numFmtId="0" fontId="23" fillId="5" borderId="25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3" xfId="0" applyFont="1" applyBorder="1" applyAlignment="1">
      <alignment horizontal="left" vertical="center" indent="1"/>
    </xf>
    <xf numFmtId="0" fontId="23" fillId="0" borderId="24" xfId="0" applyFont="1" applyBorder="1" applyAlignment="1">
      <alignment horizontal="left" vertical="center" indent="1"/>
    </xf>
    <xf numFmtId="0" fontId="23" fillId="0" borderId="25" xfId="0" applyFont="1" applyBorder="1" applyAlignment="1">
      <alignment horizontal="left" vertical="center" indent="1"/>
    </xf>
    <xf numFmtId="0" fontId="23" fillId="0" borderId="23" xfId="0" applyFont="1" applyBorder="1" applyAlignment="1">
      <alignment horizontal="left" vertical="center" indent="2"/>
    </xf>
    <xf numFmtId="0" fontId="23" fillId="0" borderId="24" xfId="0" applyFont="1" applyBorder="1" applyAlignment="1">
      <alignment horizontal="left" vertical="center" indent="2"/>
    </xf>
    <xf numFmtId="0" fontId="23" fillId="0" borderId="25" xfId="0" applyFont="1" applyBorder="1" applyAlignment="1">
      <alignment horizontal="left" vertical="center" indent="2"/>
    </xf>
    <xf numFmtId="0" fontId="23" fillId="0" borderId="1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 indent="1"/>
    </xf>
    <xf numFmtId="0" fontId="23" fillId="0" borderId="1" xfId="0" applyFont="1" applyBorder="1" applyAlignment="1">
      <alignment horizontal="left" vertical="center" indent="3"/>
    </xf>
    <xf numFmtId="0" fontId="23" fillId="0" borderId="0" xfId="0" applyFont="1" applyAlignment="1">
      <alignment horizontal="left" vertical="center" indent="3"/>
    </xf>
    <xf numFmtId="0" fontId="23" fillId="0" borderId="0" xfId="0" applyFont="1" applyAlignment="1">
      <alignment horizontal="left" vertical="center" indent="2"/>
    </xf>
    <xf numFmtId="0" fontId="23" fillId="0" borderId="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 indent="1"/>
    </xf>
    <xf numFmtId="0" fontId="19" fillId="0" borderId="24" xfId="0" applyFont="1" applyBorder="1" applyAlignment="1">
      <alignment horizontal="left" vertical="center" indent="1"/>
    </xf>
    <xf numFmtId="0" fontId="19" fillId="0" borderId="25" xfId="0" applyFont="1" applyBorder="1" applyAlignment="1">
      <alignment horizontal="left" vertical="center" indent="1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 indent="2"/>
    </xf>
    <xf numFmtId="0" fontId="19" fillId="0" borderId="24" xfId="0" applyFont="1" applyBorder="1" applyAlignment="1">
      <alignment horizontal="left" vertical="center" indent="2"/>
    </xf>
    <xf numFmtId="0" fontId="19" fillId="0" borderId="25" xfId="0" applyFont="1" applyBorder="1" applyAlignment="1">
      <alignment horizontal="left" vertical="center" indent="2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23" fillId="0" borderId="21" xfId="0" applyFont="1" applyBorder="1" applyAlignment="1">
      <alignment vertical="center"/>
    </xf>
    <xf numFmtId="0" fontId="23" fillId="2" borderId="19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21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137</xdr:row>
      <xdr:rowOff>0</xdr:rowOff>
    </xdr:from>
    <xdr:to>
      <xdr:col>62</xdr:col>
      <xdr:colOff>0</xdr:colOff>
      <xdr:row>143</xdr:row>
      <xdr:rowOff>190499</xdr:rowOff>
    </xdr:to>
    <xdr:sp macro="" textlink="" fLocksText="0">
      <xdr:nvSpPr>
        <xdr:cNvPr id="457" name="吹き出し: 線 2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9334500" y="26222325"/>
          <a:ext cx="7200900" cy="1333500"/>
        </a:xfrm>
        <a:prstGeom prst="borderCallout1">
          <a:avLst>
            <a:gd name="adj1" fmla="val 20319"/>
            <a:gd name="adj2" fmla="val -58"/>
            <a:gd name="adj3" fmla="val 35733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プリセットメニューの新規作成・編集・削除 (メニューボタンのデータの代わりにメニューのpage_number、store_code、preset_layout_code、booking_dateデータを使用)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▪レコードが存在していない場合、レコードを新規作成する。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▪operation_typeの値が「1」と「2」以外の対象レコードを削除する。</a:t>
          </a:r>
        </a:p>
      </xdr:txBody>
    </xdr:sp>
    <xdr:clientData/>
  </xdr:twoCellAnchor>
  <xdr:twoCellAnchor>
    <xdr:from>
      <xdr:col>35</xdr:col>
      <xdr:colOff>0</xdr:colOff>
      <xdr:row>122</xdr:row>
      <xdr:rowOff>0</xdr:rowOff>
    </xdr:from>
    <xdr:to>
      <xdr:col>62</xdr:col>
      <xdr:colOff>0</xdr:colOff>
      <xdr:row>127</xdr:row>
      <xdr:rowOff>0</xdr:rowOff>
    </xdr:to>
    <xdr:sp macro="" textlink="" fLocksText="0">
      <xdr:nvSpPr>
        <xdr:cNvPr id="329" name="吹き出し: 線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9334500" y="23364825"/>
          <a:ext cx="7200900" cy="952500"/>
        </a:xfrm>
        <a:prstGeom prst="borderCallout1">
          <a:avLst>
            <a:gd name="adj1" fmla="val 49926"/>
            <a:gd name="adj2" fmla="val -59"/>
            <a:gd name="adj3" fmla="val 96359"/>
            <a:gd name="adj4" fmla="val -392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[4.プリセットメニューボタン情報の新規作成・編集・削除]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(レコード削除)の場合：[4.プリセットメニュー削除]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50</xdr:row>
      <xdr:rowOff>1</xdr:rowOff>
    </xdr:from>
    <xdr:to>
      <xdr:col>62</xdr:col>
      <xdr:colOff>0</xdr:colOff>
      <xdr:row>56</xdr:row>
      <xdr:rowOff>179295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9639300"/>
          <a:ext cx="7200900" cy="1323975"/>
        </a:xfrm>
        <a:prstGeom prst="borderCallout1">
          <a:avLst>
            <a:gd name="adj1" fmla="val 20319"/>
            <a:gd name="adj2" fmla="val -58"/>
            <a:gd name="adj3" fmla="val 19497"/>
            <a:gd name="adj4" fmla="val -778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プリセットメニューを新規作成・編集・削除する。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▪レコードが存在していない場合、レコードを新規作成する。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▪operation_typeの値が「1」と「2」以外の対象レコードとその子レコードを削除する。(結合条件: PresetMenuMaster.CompanyCode, PresetMenuMaster.StoreCode, PresetMenuMaster.ButtonLayoutCode)</a:t>
          </a: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718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99</xdr:row>
      <xdr:rowOff>22412</xdr:rowOff>
    </xdr:from>
    <xdr:to>
      <xdr:col>16</xdr:col>
      <xdr:colOff>0</xdr:colOff>
      <xdr:row>101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190023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182213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6723</xdr:colOff>
      <xdr:row>26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4114800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2.preset_menu.operation_type = 1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23</xdr:row>
      <xdr:rowOff>95250</xdr:rowOff>
    </xdr:from>
    <xdr:to>
      <xdr:col>24</xdr:col>
      <xdr:colOff>0</xdr:colOff>
      <xdr:row>28</xdr:row>
      <xdr:rowOff>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96" idx="3"/>
          <a:endCxn id="97" idx="0"/>
        </xdr:cNvCxnSpPr>
      </xdr:nvCxnSpPr>
      <xdr:spPr>
        <a:xfrm>
          <a:off x="5334000" y="4591050"/>
          <a:ext cx="10668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1 (レコード新規作成)の場合：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[2.1.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適用日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&gt;=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現在日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operation_typeが1以外の場合：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対象レコードが編集又は削除されているかを確認する。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17</xdr:col>
      <xdr:colOff>0</xdr:colOff>
      <xdr:row>55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8" idx="2"/>
          <a:endCxn id="128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132" idx="2"/>
          <a:endCxn id="43" idx="0"/>
        </xdr:cNvCxnSpPr>
      </xdr:nvCxnSpPr>
      <xdr:spPr>
        <a:xfrm>
          <a:off x="3733800" y="8867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30</xdr:row>
      <xdr:rowOff>100853</xdr:rowOff>
    </xdr:from>
    <xdr:to>
      <xdr:col>31</xdr:col>
      <xdr:colOff>0</xdr:colOff>
      <xdr:row>42</xdr:row>
      <xdr:rowOff>11207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368" idx="0"/>
        </xdr:cNvCxnSpPr>
      </xdr:nvCxnSpPr>
      <xdr:spPr>
        <a:xfrm>
          <a:off x="8001000" y="5934075"/>
          <a:ext cx="266700" cy="2190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20</xdr:col>
      <xdr:colOff>0</xdr:colOff>
      <xdr:row>24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8006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28</xdr:row>
      <xdr:rowOff>1</xdr:rowOff>
    </xdr:from>
    <xdr:to>
      <xdr:col>28</xdr:col>
      <xdr:colOff>0</xdr:colOff>
      <xdr:row>33</xdr:row>
      <xdr:rowOff>0</xdr:rowOff>
    </xdr:to>
    <xdr:sp macro="" textlink="" fLocksText="0">
      <xdr:nvSpPr>
        <xdr:cNvPr id="97" name="Flowchart: Decision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5334000" y="5448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3.preset_menu.operation_type= 2</a:t>
          </a:r>
        </a:p>
      </xdr:txBody>
    </xdr:sp>
    <xdr:clientData/>
  </xdr:twoCellAnchor>
  <xdr:twoCellAnchor>
    <xdr:from>
      <xdr:col>22</xdr:col>
      <xdr:colOff>238124</xdr:colOff>
      <xdr:row>33</xdr:row>
      <xdr:rowOff>0</xdr:rowOff>
    </xdr:from>
    <xdr:to>
      <xdr:col>25</xdr:col>
      <xdr:colOff>0</xdr:colOff>
      <xdr:row>34</xdr:row>
      <xdr:rowOff>0</xdr:rowOff>
    </xdr:to>
    <xdr:sp macro="" textlink="" fLocksText="0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6105525" y="6400800"/>
          <a:ext cx="5619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30</xdr:row>
      <xdr:rowOff>0</xdr:rowOff>
    </xdr:from>
    <xdr:to>
      <xdr:col>30</xdr:col>
      <xdr:colOff>0</xdr:colOff>
      <xdr:row>31</xdr:row>
      <xdr:rowOff>11206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74676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0</xdr:colOff>
      <xdr:row>21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17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70</xdr:row>
      <xdr:rowOff>0</xdr:rowOff>
    </xdr:from>
    <xdr:to>
      <xdr:col>18</xdr:col>
      <xdr:colOff>1</xdr:colOff>
      <xdr:row>75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667000" y="13449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6.プリセットメニューボタンデータがある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かを確認する。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74</xdr:row>
      <xdr:rowOff>180975</xdr:rowOff>
    </xdr:from>
    <xdr:to>
      <xdr:col>15</xdr:col>
      <xdr:colOff>238124</xdr:colOff>
      <xdr:row>76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3200400" y="14392275"/>
          <a:ext cx="10382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72</xdr:row>
      <xdr:rowOff>0</xdr:rowOff>
    </xdr:from>
    <xdr:to>
      <xdr:col>10</xdr:col>
      <xdr:colOff>0</xdr:colOff>
      <xdr:row>73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600200" y="13830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238124</xdr:colOff>
      <xdr:row>16</xdr:row>
      <xdr:rowOff>1</xdr:rowOff>
    </xdr:from>
    <xdr:to>
      <xdr:col>11</xdr:col>
      <xdr:colOff>0</xdr:colOff>
      <xdr:row>88</xdr:row>
      <xdr:rowOff>95251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05025" y="3162300"/>
          <a:ext cx="828675" cy="13820775"/>
        </a:xfrm>
        <a:prstGeom prst="bentConnector3">
          <a:avLst>
            <a:gd name="adj1" fmla="val -2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55</xdr:row>
      <xdr:rowOff>0</xdr:rowOff>
    </xdr:from>
    <xdr:to>
      <xdr:col>14</xdr:col>
      <xdr:colOff>1</xdr:colOff>
      <xdr:row>58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1059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40</xdr:row>
      <xdr:rowOff>0</xdr:rowOff>
    </xdr:from>
    <xdr:to>
      <xdr:col>18</xdr:col>
      <xdr:colOff>0</xdr:colOff>
      <xdr:row>45</xdr:row>
      <xdr:rowOff>0</xdr:rowOff>
    </xdr:to>
    <xdr:sp macro="" textlink="" fLocksText="0">
      <xdr:nvSpPr>
        <xdr:cNvPr id="128" name="Flowchart: Decision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2667000" y="773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</a:t>
          </a:r>
          <a:endParaRPr lang="en-US" sz="11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22412</xdr:colOff>
      <xdr:row>42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36" name="Connector: Elbow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33" idx="3"/>
          <a:endCxn id="12" idx="0"/>
        </xdr:cNvCxnSpPr>
      </xdr:nvCxnSpPr>
      <xdr:spPr>
        <a:xfrm>
          <a:off x="6153150" y="8210550"/>
          <a:ext cx="781050" cy="7162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58</xdr:row>
      <xdr:rowOff>0</xdr:rowOff>
    </xdr:from>
    <xdr:to>
      <xdr:col>18</xdr:col>
      <xdr:colOff>0</xdr:colOff>
      <xdr:row>63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11163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60</xdr:row>
      <xdr:rowOff>0</xdr:rowOff>
    </xdr:from>
    <xdr:to>
      <xdr:col>20</xdr:col>
      <xdr:colOff>0</xdr:colOff>
      <xdr:row>61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60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11639550"/>
          <a:ext cx="1600200" cy="3733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</xdr:colOff>
      <xdr:row>70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3733800" y="1230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</xdr:row>
      <xdr:rowOff>8404</xdr:rowOff>
    </xdr:from>
    <xdr:to>
      <xdr:col>62</xdr:col>
      <xdr:colOff>0</xdr:colOff>
      <xdr:row>31</xdr:row>
      <xdr:rowOff>190499</xdr:rowOff>
    </xdr:to>
    <xdr:sp macro="" textlink="" fLocksText="0">
      <xdr:nvSpPr>
        <xdr:cNvPr id="184" name="吹き出し: 線 2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8236324" y="5263963"/>
          <a:ext cx="6353735" cy="944095"/>
        </a:xfrm>
        <a:prstGeom prst="borderCallout1">
          <a:avLst>
            <a:gd name="adj1" fmla="val 49926"/>
            <a:gd name="adj2" fmla="val -59"/>
            <a:gd name="adj3" fmla="val 79485"/>
            <a:gd name="adj4" fmla="val -3403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[2.1.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適用日の確認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(レコード削除)の場合: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プリセットメニュー削除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</a:p>
      </xdr:txBody>
    </xdr:sp>
    <xdr:clientData/>
  </xdr:twoCellAnchor>
  <xdr:twoCellAnchor>
    <xdr:from>
      <xdr:col>35</xdr:col>
      <xdr:colOff>0</xdr:colOff>
      <xdr:row>58</xdr:row>
      <xdr:rowOff>190499</xdr:rowOff>
    </xdr:from>
    <xdr:to>
      <xdr:col>62</xdr:col>
      <xdr:colOff>0</xdr:colOff>
      <xdr:row>65</xdr:row>
      <xdr:rowOff>100852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8236324" y="11351558"/>
          <a:ext cx="6353735" cy="1243853"/>
        </a:xfrm>
        <a:prstGeom prst="borderCallout1">
          <a:avLst>
            <a:gd name="adj1" fmla="val 20319"/>
            <a:gd name="adj2" fmla="val -58"/>
            <a:gd name="adj3" fmla="val 17144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[6.プリセットメニューボタンデータがあるかを確認する]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500、メッセージ = MSG_ERR_SERVER。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プログラムを停止する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87</xdr:row>
      <xdr:rowOff>0</xdr:rowOff>
    </xdr:from>
    <xdr:to>
      <xdr:col>62</xdr:col>
      <xdr:colOff>0</xdr:colOff>
      <xdr:row>90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66973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0</xdr:colOff>
      <xdr:row>37</xdr:row>
      <xdr:rowOff>100853</xdr:rowOff>
    </xdr:from>
    <xdr:to>
      <xdr:col>62</xdr:col>
      <xdr:colOff>0</xdr:colOff>
      <xdr:row>46</xdr:row>
      <xdr:rowOff>0</xdr:rowOff>
    </xdr:to>
    <xdr:sp macro="" textlink="" fLocksText="0">
      <xdr:nvSpPr>
        <xdr:cNvPr id="236" name="吹き出し: 線 2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8236324" y="7261412"/>
          <a:ext cx="6353735" cy="1613647"/>
        </a:xfrm>
        <a:prstGeom prst="borderCallout1">
          <a:avLst>
            <a:gd name="adj1" fmla="val 49926"/>
            <a:gd name="adj2" fmla="val -59"/>
            <a:gd name="adj3" fmla="val 58387"/>
            <a:gd name="adj4" fmla="val -6801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バリデーションチェックを行う。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・preset_menu.operation_type = 1 (新規)の場合、適用日が現在日または未来日であるかを確認する。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▪現在日または未来日の場合、以下のステップを実行する。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[4.プリセットメニュー情報の新規作成・編集・削除]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▪過去日の場合、以下のように返す。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422、メッセージ = MSG_VAL_022 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76</xdr:row>
      <xdr:rowOff>0</xdr:rowOff>
    </xdr:to>
    <xdr:sp macro="" textlink="" fLocksText="0">
      <xdr:nvSpPr>
        <xdr:cNvPr id="258" name="吹き出し: 線 2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9334500" y="13258800"/>
          <a:ext cx="7200900" cy="1333500"/>
        </a:xfrm>
        <a:prstGeom prst="borderCallout1">
          <a:avLst>
            <a:gd name="adj1" fmla="val 51201"/>
            <a:gd name="adj2" fmla="val -58"/>
            <a:gd name="adj3" fmla="val 47834"/>
            <a:gd name="adj4" fmla="val -681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preset_menu_button配列にデータがあるかを確認する。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▪preset_menu_buttonデータがない場合：以下のステップを実行する。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[8.プリセットメニュー配列の最後の要素であるかを確認する]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▪preset_menu_buttonデータがある場合：[7.プリセットメニューボタンの追加・更新・削除処理]のステップを実行する。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228600</xdr:colOff>
      <xdr:row>79</xdr:row>
      <xdr:rowOff>0</xdr:rowOff>
    </xdr:from>
    <xdr:to>
      <xdr:col>16</xdr:col>
      <xdr:colOff>228600</xdr:colOff>
      <xdr:row>83</xdr:row>
      <xdr:rowOff>0</xdr:rowOff>
    </xdr:to>
    <xdr:sp macro="" textlink="" fLocksText="0">
      <xdr:nvSpPr>
        <xdr:cNvPr id="264" name="Rectangle: Rounded Corners 263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2895600" y="15173325"/>
          <a:ext cx="1600200" cy="7620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7.プリセットメニューボタンの追加・更新・削除処理</a:t>
          </a:r>
        </a:p>
      </xdr:txBody>
    </xdr:sp>
    <xdr:clientData/>
  </xdr:twoCellAnchor>
  <xdr:twoCellAnchor>
    <xdr:from>
      <xdr:col>13</xdr:col>
      <xdr:colOff>228600</xdr:colOff>
      <xdr:row>76</xdr:row>
      <xdr:rowOff>0</xdr:rowOff>
    </xdr:from>
    <xdr:to>
      <xdr:col>14</xdr:col>
      <xdr:colOff>0</xdr:colOff>
      <xdr:row>79</xdr:row>
      <xdr:rowOff>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CxnSpPr>
          <a:stCxn id="110" idx="2"/>
          <a:endCxn id="264" idx="0"/>
        </xdr:cNvCxnSpPr>
      </xdr:nvCxnSpPr>
      <xdr:spPr>
        <a:xfrm flipH="1">
          <a:off x="3695700" y="14592300"/>
          <a:ext cx="3810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18</xdr:col>
      <xdr:colOff>0</xdr:colOff>
      <xdr:row>91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650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90</xdr:row>
      <xdr:rowOff>180975</xdr:rowOff>
    </xdr:from>
    <xdr:to>
      <xdr:col>14</xdr:col>
      <xdr:colOff>238124</xdr:colOff>
      <xdr:row>92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17449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88</xdr:row>
      <xdr:rowOff>0</xdr:rowOff>
    </xdr:from>
    <xdr:to>
      <xdr:col>9</xdr:col>
      <xdr:colOff>238124</xdr:colOff>
      <xdr:row>89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688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228600</xdr:colOff>
      <xdr:row>83</xdr:row>
      <xdr:rowOff>0</xdr:rowOff>
    </xdr:from>
    <xdr:to>
      <xdr:col>14</xdr:col>
      <xdr:colOff>0</xdr:colOff>
      <xdr:row>86</xdr:row>
      <xdr:rowOff>0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CxnSpPr>
          <a:stCxn id="264" idx="2"/>
          <a:endCxn id="278" idx="0"/>
        </xdr:cNvCxnSpPr>
      </xdr:nvCxnSpPr>
      <xdr:spPr>
        <a:xfrm>
          <a:off x="3695700" y="15935325"/>
          <a:ext cx="3810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92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176498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95249</xdr:rowOff>
    </xdr:from>
    <xdr:to>
      <xdr:col>14</xdr:col>
      <xdr:colOff>0</xdr:colOff>
      <xdr:row>85</xdr:row>
      <xdr:rowOff>190499</xdr:rowOff>
    </xdr:to>
    <xdr:cxnSp macro="">
      <xdr:nvCxnSpPr>
        <xdr:cNvPr id="294" name="Connector: Elbow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CxnSpPr>
          <a:stCxn id="111" idx="1"/>
          <a:endCxn id="278" idx="0"/>
        </xdr:cNvCxnSpPr>
      </xdr:nvCxnSpPr>
      <xdr:spPr>
        <a:xfrm rot="10800000" flipH="1" flipV="1">
          <a:off x="1600200" y="13925550"/>
          <a:ext cx="2133600" cy="2581275"/>
        </a:xfrm>
        <a:prstGeom prst="bentConnector4">
          <a:avLst>
            <a:gd name="adj1" fmla="val -12000"/>
            <a:gd name="adj2" fmla="val 883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79</xdr:row>
      <xdr:rowOff>1</xdr:rowOff>
    </xdr:from>
    <xdr:to>
      <xdr:col>62</xdr:col>
      <xdr:colOff>0</xdr:colOff>
      <xdr:row>81</xdr:row>
      <xdr:rowOff>1</xdr:rowOff>
    </xdr:to>
    <xdr:sp macro="" textlink="" fLocksText="0">
      <xdr:nvSpPr>
        <xdr:cNvPr id="301" name="吹き出し: 線 2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9334500" y="1517332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プリセットメニューボタンの追加・更新・削除処理を実行する。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109</xdr:row>
      <xdr:rowOff>0</xdr:rowOff>
    </xdr:from>
    <xdr:to>
      <xdr:col>62</xdr:col>
      <xdr:colOff>0</xdr:colOff>
      <xdr:row>111</xdr:row>
      <xdr:rowOff>0</xdr:rowOff>
    </xdr:to>
    <xdr:sp macro="" textlink="" fLocksText="0">
      <xdr:nvSpPr>
        <xdr:cNvPr id="304" name="吹き出し: 線 2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9334500" y="20888325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preset_menu_buttonリクエストデータ配列の各プリセットメニューボタンレコードをループする。</a:t>
          </a:r>
        </a:p>
      </xdr:txBody>
    </xdr:sp>
    <xdr:clientData/>
  </xdr:twoCellAnchor>
  <xdr:twoCellAnchor>
    <xdr:from>
      <xdr:col>10</xdr:col>
      <xdr:colOff>0</xdr:colOff>
      <xdr:row>115</xdr:row>
      <xdr:rowOff>0</xdr:rowOff>
    </xdr:from>
    <xdr:to>
      <xdr:col>18</xdr:col>
      <xdr:colOff>6723</xdr:colOff>
      <xdr:row>120</xdr:row>
      <xdr:rowOff>0</xdr:rowOff>
    </xdr:to>
    <xdr:sp macro="" textlink="" fLocksText="0">
      <xdr:nvSpPr>
        <xdr:cNvPr id="305" name="Flowchart: Decision 304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2667000" y="22031325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2.preset_menu_button.operation_type = 1</a:t>
          </a:r>
        </a:p>
      </xdr:txBody>
    </xdr:sp>
    <xdr:clientData/>
  </xdr:twoCellAnchor>
  <xdr:twoCellAnchor>
    <xdr:from>
      <xdr:col>13</xdr:col>
      <xdr:colOff>0</xdr:colOff>
      <xdr:row>120</xdr:row>
      <xdr:rowOff>0</xdr:rowOff>
    </xdr:from>
    <xdr:to>
      <xdr:col>15</xdr:col>
      <xdr:colOff>1</xdr:colOff>
      <xdr:row>121</xdr:row>
      <xdr:rowOff>0</xdr:rowOff>
    </xdr:to>
    <xdr:sp macro="" textlink="" fLocksText="0">
      <xdr:nvSpPr>
        <xdr:cNvPr id="306" name="Flowchart: Process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3467100" y="2298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20</xdr:col>
      <xdr:colOff>0</xdr:colOff>
      <xdr:row>117</xdr:row>
      <xdr:rowOff>95250</xdr:rowOff>
    </xdr:from>
    <xdr:to>
      <xdr:col>24</xdr:col>
      <xdr:colOff>0</xdr:colOff>
      <xdr:row>124</xdr:row>
      <xdr:rowOff>1</xdr:rowOff>
    </xdr:to>
    <xdr:cxnSp macro="">
      <xdr:nvCxnSpPr>
        <xdr:cNvPr id="307" name="Connector: Elbow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314" idx="3"/>
          <a:endCxn id="315" idx="0"/>
        </xdr:cNvCxnSpPr>
      </xdr:nvCxnSpPr>
      <xdr:spPr>
        <a:xfrm>
          <a:off x="5334000" y="22507575"/>
          <a:ext cx="1066800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113</xdr:row>
      <xdr:rowOff>0</xdr:rowOff>
    </xdr:from>
    <xdr:to>
      <xdr:col>62</xdr:col>
      <xdr:colOff>0</xdr:colOff>
      <xdr:row>119</xdr:row>
      <xdr:rowOff>0</xdr:rowOff>
    </xdr:to>
    <xdr:sp macro="" textlink="" fLocksText="0">
      <xdr:nvSpPr>
        <xdr:cNvPr id="308" name="吹き出し: 線 2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/>
      </xdr:nvSpPr>
      <xdr:spPr>
        <a:xfrm>
          <a:off x="9334500" y="21650325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1 (レコード新規作成)の場合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：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[4.プリセットメニューボタン情報の新規作成・編集・削除]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operation_typeが1以外の場合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[3.対象レコードが編集又は削除されているかを確認する。]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108</xdr:row>
      <xdr:rowOff>0</xdr:rowOff>
    </xdr:from>
    <xdr:to>
      <xdr:col>17</xdr:col>
      <xdr:colOff>0</xdr:colOff>
      <xdr:row>112</xdr:row>
      <xdr:rowOff>0</xdr:rowOff>
    </xdr:to>
    <xdr:sp macro="" textlink="" fLocksText="0">
      <xdr:nvSpPr>
        <xdr:cNvPr id="313" name="Rectangle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2933700" y="20697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プリセットメニューボタンデータ配列ループ</a:t>
          </a:r>
        </a:p>
      </xdr:txBody>
    </xdr:sp>
    <xdr:clientData/>
  </xdr:twoCellAnchor>
  <xdr:twoCellAnchor>
    <xdr:from>
      <xdr:col>18</xdr:col>
      <xdr:colOff>0</xdr:colOff>
      <xdr:row>117</xdr:row>
      <xdr:rowOff>0</xdr:rowOff>
    </xdr:from>
    <xdr:to>
      <xdr:col>20</xdr:col>
      <xdr:colOff>0</xdr:colOff>
      <xdr:row>118</xdr:row>
      <xdr:rowOff>0</xdr:rowOff>
    </xdr:to>
    <xdr:sp macro="" textlink="" fLocksText="0">
      <xdr:nvSpPr>
        <xdr:cNvPr id="314" name="Flowchart: Process 313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4800600" y="2241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20</xdr:col>
      <xdr:colOff>0</xdr:colOff>
      <xdr:row>124</xdr:row>
      <xdr:rowOff>1</xdr:rowOff>
    </xdr:from>
    <xdr:to>
      <xdr:col>28</xdr:col>
      <xdr:colOff>0</xdr:colOff>
      <xdr:row>129</xdr:row>
      <xdr:rowOff>0</xdr:rowOff>
    </xdr:to>
    <xdr:sp macro="" textlink="" fLocksText="0">
      <xdr:nvSpPr>
        <xdr:cNvPr id="315" name="Flowchart: Decision 314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/>
      </xdr:nvSpPr>
      <xdr:spPr>
        <a:xfrm>
          <a:off x="5334000" y="23745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3.preset_menu_button.operation_type= 2</a:t>
          </a:r>
        </a:p>
      </xdr:txBody>
    </xdr:sp>
    <xdr:clientData/>
  </xdr:twoCellAnchor>
  <xdr:twoCellAnchor>
    <xdr:from>
      <xdr:col>23</xdr:col>
      <xdr:colOff>0</xdr:colOff>
      <xdr:row>129</xdr:row>
      <xdr:rowOff>0</xdr:rowOff>
    </xdr:from>
    <xdr:to>
      <xdr:col>25</xdr:col>
      <xdr:colOff>0</xdr:colOff>
      <xdr:row>130</xdr:row>
      <xdr:rowOff>0</xdr:rowOff>
    </xdr:to>
    <xdr:sp macro="" textlink="" fLocksText="0">
      <xdr:nvSpPr>
        <xdr:cNvPr id="316" name="Flowchart: Process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/>
      </xdr:nvSpPr>
      <xdr:spPr>
        <a:xfrm>
          <a:off x="6134100" y="24698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126</xdr:row>
      <xdr:rowOff>0</xdr:rowOff>
    </xdr:from>
    <xdr:to>
      <xdr:col>30</xdr:col>
      <xdr:colOff>0</xdr:colOff>
      <xdr:row>127</xdr:row>
      <xdr:rowOff>11206</xdr:rowOff>
    </xdr:to>
    <xdr:sp macro="" textlink="" fLocksText="0">
      <xdr:nvSpPr>
        <xdr:cNvPr id="317" name="Flowchart: Process 316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7467600" y="2412682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0</xdr:colOff>
      <xdr:row>115</xdr:row>
      <xdr:rowOff>0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CxnSpPr>
          <a:stCxn id="313" idx="2"/>
          <a:endCxn id="305" idx="0"/>
        </xdr:cNvCxnSpPr>
      </xdr:nvCxnSpPr>
      <xdr:spPr>
        <a:xfrm>
          <a:off x="3733800" y="2145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0</xdr:colOff>
      <xdr:row>146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CxnSpPr>
          <a:stCxn id="431" idx="2"/>
          <a:endCxn id="326" idx="0"/>
        </xdr:cNvCxnSpPr>
      </xdr:nvCxnSpPr>
      <xdr:spPr>
        <a:xfrm>
          <a:off x="3733800" y="271748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146</xdr:row>
      <xdr:rowOff>0</xdr:rowOff>
    </xdr:from>
    <xdr:to>
      <xdr:col>18</xdr:col>
      <xdr:colOff>0</xdr:colOff>
      <xdr:row>151</xdr:row>
      <xdr:rowOff>0</xdr:rowOff>
    </xdr:to>
    <xdr:sp macro="" textlink="" fLocksText="0">
      <xdr:nvSpPr>
        <xdr:cNvPr id="326" name="Flowchart: Decision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>
          <a:off x="2667000" y="2793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</a:t>
          </a:r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15</xdr:col>
      <xdr:colOff>0</xdr:colOff>
      <xdr:row>152</xdr:row>
      <xdr:rowOff>0</xdr:rowOff>
    </xdr:to>
    <xdr:sp macro="" textlink="" fLocksText="0">
      <xdr:nvSpPr>
        <xdr:cNvPr id="327" name="Flowchart: Process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467100" y="28889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148</xdr:row>
      <xdr:rowOff>0</xdr:rowOff>
    </xdr:from>
    <xdr:to>
      <xdr:col>20</xdr:col>
      <xdr:colOff>0</xdr:colOff>
      <xdr:row>149</xdr:row>
      <xdr:rowOff>0</xdr:rowOff>
    </xdr:to>
    <xdr:sp macro="" textlink="" fLocksText="0">
      <xdr:nvSpPr>
        <xdr:cNvPr id="328" name="Flowchart: Process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4800600" y="2831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147</xdr:row>
      <xdr:rowOff>9524</xdr:rowOff>
    </xdr:from>
    <xdr:to>
      <xdr:col>62</xdr:col>
      <xdr:colOff>0</xdr:colOff>
      <xdr:row>152</xdr:row>
      <xdr:rowOff>168087</xdr:rowOff>
    </xdr:to>
    <xdr:sp macro="" textlink="" fLocksText="0">
      <xdr:nvSpPr>
        <xdr:cNvPr id="334" name="吹き出し: 線 2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8236324" y="28136289"/>
          <a:ext cx="6353735" cy="1111063"/>
        </a:xfrm>
        <a:prstGeom prst="borderCallout1">
          <a:avLst>
            <a:gd name="adj1" fmla="val 20319"/>
            <a:gd name="adj2" fmla="val -58"/>
            <a:gd name="adj3" fmla="val 17144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プリセットメニューボタン新規作成・編集・削除の状態確認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▪成功の場合、[6.プリセットメニューボタンデータがあるかを確認する]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500、メッセージ = MSG_ERR_SERVER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プログラムを停止する</a:t>
          </a:r>
        </a:p>
      </xdr:txBody>
    </xdr:sp>
    <xdr:clientData/>
  </xdr:twoCellAnchor>
  <xdr:twoCellAnchor>
    <xdr:from>
      <xdr:col>14</xdr:col>
      <xdr:colOff>1</xdr:colOff>
      <xdr:row>34</xdr:row>
      <xdr:rowOff>1</xdr:rowOff>
    </xdr:from>
    <xdr:to>
      <xdr:col>24</xdr:col>
      <xdr:colOff>1400</xdr:colOff>
      <xdr:row>40</xdr:row>
      <xdr:rowOff>1</xdr:rowOff>
    </xdr:to>
    <xdr:cxnSp macro="">
      <xdr:nvCxnSpPr>
        <xdr:cNvPr id="360" name="Connector: Elbow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CxnSpPr>
          <a:stCxn id="100" idx="2"/>
          <a:endCxn id="128" idx="0"/>
        </xdr:cNvCxnSpPr>
      </xdr:nvCxnSpPr>
      <xdr:spPr>
        <a:xfrm rot="5400000">
          <a:off x="3733800" y="6591300"/>
          <a:ext cx="2667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42</xdr:row>
      <xdr:rowOff>11207</xdr:rowOff>
    </xdr:from>
    <xdr:to>
      <xdr:col>32</xdr:col>
      <xdr:colOff>0</xdr:colOff>
      <xdr:row>43</xdr:row>
      <xdr:rowOff>0</xdr:rowOff>
    </xdr:to>
    <xdr:sp macro="" textlink="" fLocksText="0">
      <xdr:nvSpPr>
        <xdr:cNvPr id="368" name="Flowchart: Process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8001000" y="8124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43</xdr:row>
      <xdr:rowOff>1</xdr:rowOff>
    </xdr:from>
    <xdr:to>
      <xdr:col>31</xdr:col>
      <xdr:colOff>0</xdr:colOff>
      <xdr:row>51</xdr:row>
      <xdr:rowOff>1</xdr:rowOff>
    </xdr:to>
    <xdr:cxnSp macro="">
      <xdr:nvCxnSpPr>
        <xdr:cNvPr id="371" name="Connector: Elbow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CxnSpPr>
          <a:stCxn id="368" idx="2"/>
          <a:endCxn id="43" idx="0"/>
        </xdr:cNvCxnSpPr>
      </xdr:nvCxnSpPr>
      <xdr:spPr>
        <a:xfrm rot="5400000">
          <a:off x="3733800" y="8305800"/>
          <a:ext cx="45339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138</xdr:row>
      <xdr:rowOff>0</xdr:rowOff>
    </xdr:from>
    <xdr:to>
      <xdr:col>17</xdr:col>
      <xdr:colOff>0</xdr:colOff>
      <xdr:row>142</xdr:row>
      <xdr:rowOff>0</xdr:rowOff>
    </xdr:to>
    <xdr:sp macro="" textlink="" fLocksText="0">
      <xdr:nvSpPr>
        <xdr:cNvPr id="431" name="Rectangle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2933700" y="26412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プリセットメニューボタン情報の新規作成・編集・削除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132</xdr:row>
      <xdr:rowOff>0</xdr:rowOff>
    </xdr:from>
    <xdr:to>
      <xdr:col>32</xdr:col>
      <xdr:colOff>0</xdr:colOff>
      <xdr:row>132</xdr:row>
      <xdr:rowOff>179293</xdr:rowOff>
    </xdr:to>
    <xdr:sp macro="" textlink="" fLocksText="0">
      <xdr:nvSpPr>
        <xdr:cNvPr id="441" name="Flowchart: Process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8001000" y="25269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132</xdr:row>
      <xdr:rowOff>179293</xdr:rowOff>
    </xdr:from>
    <xdr:to>
      <xdr:col>31</xdr:col>
      <xdr:colOff>1</xdr:colOff>
      <xdr:row>138</xdr:row>
      <xdr:rowOff>0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CxnSpPr>
          <a:stCxn id="441" idx="2"/>
          <a:endCxn id="431" idx="0"/>
        </xdr:cNvCxnSpPr>
      </xdr:nvCxnSpPr>
      <xdr:spPr>
        <a:xfrm rot="5400000">
          <a:off x="3733800" y="25450800"/>
          <a:ext cx="4533900" cy="962025"/>
        </a:xfrm>
        <a:prstGeom prst="bentConnector3">
          <a:avLst>
            <a:gd name="adj1" fmla="val 604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</xdr:colOff>
      <xdr:row>138</xdr:row>
      <xdr:rowOff>0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CxnSpPr>
          <a:stCxn id="306" idx="2"/>
          <a:endCxn id="431" idx="0"/>
        </xdr:cNvCxnSpPr>
      </xdr:nvCxnSpPr>
      <xdr:spPr>
        <a:xfrm flipH="1">
          <a:off x="3733800" y="23174325"/>
          <a:ext cx="0" cy="3238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126</xdr:row>
      <xdr:rowOff>100853</xdr:rowOff>
    </xdr:from>
    <xdr:to>
      <xdr:col>31</xdr:col>
      <xdr:colOff>0</xdr:colOff>
      <xdr:row>132</xdr:row>
      <xdr:rowOff>0</xdr:rowOff>
    </xdr:to>
    <xdr:cxnSp macro="">
      <xdr:nvCxnSpPr>
        <xdr:cNvPr id="452" name="Connector: Elbow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CxnSpPr>
          <a:stCxn id="317" idx="3"/>
          <a:endCxn id="441" idx="0"/>
        </xdr:cNvCxnSpPr>
      </xdr:nvCxnSpPr>
      <xdr:spPr>
        <a:xfrm>
          <a:off x="8001000" y="24231600"/>
          <a:ext cx="266700" cy="1038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154</xdr:row>
      <xdr:rowOff>200024</xdr:rowOff>
    </xdr:from>
    <xdr:to>
      <xdr:col>18</xdr:col>
      <xdr:colOff>0</xdr:colOff>
      <xdr:row>159</xdr:row>
      <xdr:rowOff>200024</xdr:rowOff>
    </xdr:to>
    <xdr:sp macro="" textlink="" fLocksText="0">
      <xdr:nvSpPr>
        <xdr:cNvPr id="458" name="Flowchart: Decision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667000" y="29651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プリセットメニューボタン配列の最後の要素であるかを確認する</a:t>
          </a:r>
        </a:p>
      </xdr:txBody>
    </xdr:sp>
    <xdr:clientData/>
  </xdr:twoCellAnchor>
  <xdr:twoCellAnchor>
    <xdr:from>
      <xdr:col>13</xdr:col>
      <xdr:colOff>0</xdr:colOff>
      <xdr:row>160</xdr:row>
      <xdr:rowOff>0</xdr:rowOff>
    </xdr:from>
    <xdr:to>
      <xdr:col>15</xdr:col>
      <xdr:colOff>0</xdr:colOff>
      <xdr:row>161</xdr:row>
      <xdr:rowOff>0</xdr:rowOff>
    </xdr:to>
    <xdr:sp macro="" textlink="" fLocksText="0">
      <xdr:nvSpPr>
        <xdr:cNvPr id="459" name="Flowchart: Process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467100" y="3060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0</xdr:colOff>
      <xdr:row>157</xdr:row>
      <xdr:rowOff>0</xdr:rowOff>
    </xdr:from>
    <xdr:to>
      <xdr:col>10</xdr:col>
      <xdr:colOff>0</xdr:colOff>
      <xdr:row>157</xdr:row>
      <xdr:rowOff>190500</xdr:rowOff>
    </xdr:to>
    <xdr:sp macro="" textlink="" fLocksText="0">
      <xdr:nvSpPr>
        <xdr:cNvPr id="460" name="Flowchart: Process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2133600" y="3003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0</xdr:colOff>
      <xdr:row>154</xdr:row>
      <xdr:rowOff>200024</xdr:rowOff>
    </xdr:to>
    <xdr:cxnSp macro="">
      <xdr:nvCxnSpPr>
        <xdr:cNvPr id="461" name="Straight Arrow Connector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CxnSpPr>
          <a:stCxn id="327" idx="2"/>
          <a:endCxn id="458" idx="0"/>
        </xdr:cNvCxnSpPr>
      </xdr:nvCxnSpPr>
      <xdr:spPr>
        <a:xfrm>
          <a:off x="3733800" y="2907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156</xdr:row>
      <xdr:rowOff>0</xdr:rowOff>
    </xdr:from>
    <xdr:to>
      <xdr:col>62</xdr:col>
      <xdr:colOff>0</xdr:colOff>
      <xdr:row>161</xdr:row>
      <xdr:rowOff>0</xdr:rowOff>
    </xdr:to>
    <xdr:sp macro="" textlink="" fLocksText="0">
      <xdr:nvSpPr>
        <xdr:cNvPr id="464" name="吹き出し: 線 2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9334500" y="29841825"/>
          <a:ext cx="7200900" cy="9525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リクエストホディのpreset_menu_button配列の最後の要素であるかを確認する。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▪最後の要素の場合、プリセットメニューの追加・更新・削除処理の次のステップを実行する。</a:t>
          </a:r>
        </a:p>
      </xdr:txBody>
    </xdr:sp>
    <xdr:clientData/>
  </xdr:twoCellAnchor>
  <xdr:twoCellAnchor>
    <xdr:from>
      <xdr:col>12</xdr:col>
      <xdr:colOff>0</xdr:colOff>
      <xdr:row>163</xdr:row>
      <xdr:rowOff>0</xdr:rowOff>
    </xdr:from>
    <xdr:to>
      <xdr:col>15</xdr:col>
      <xdr:colOff>238124</xdr:colOff>
      <xdr:row>164</xdr:row>
      <xdr:rowOff>0</xdr:rowOff>
    </xdr:to>
    <xdr:sp macro="" textlink="" fLocksText="0">
      <xdr:nvSpPr>
        <xdr:cNvPr id="466" name="Flowchart: Process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3200400" y="31175325"/>
          <a:ext cx="1038225" cy="190500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続行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0</xdr:colOff>
      <xdr:row>163</xdr:row>
      <xdr:rowOff>0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CxnSpPr>
          <a:stCxn id="459" idx="2"/>
          <a:endCxn id="466" idx="0"/>
        </xdr:cNvCxnSpPr>
      </xdr:nvCxnSpPr>
      <xdr:spPr>
        <a:xfrm>
          <a:off x="3733800" y="30794325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238124</xdr:colOff>
      <xdr:row>110</xdr:row>
      <xdr:rowOff>1</xdr:rowOff>
    </xdr:from>
    <xdr:to>
      <xdr:col>10</xdr:col>
      <xdr:colOff>238124</xdr:colOff>
      <xdr:row>157</xdr:row>
      <xdr:rowOff>95251</xdr:rowOff>
    </xdr:to>
    <xdr:cxnSp macro="">
      <xdr:nvCxnSpPr>
        <xdr:cNvPr id="474" name="Connector: Elbow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CxnSpPr>
          <a:stCxn id="460" idx="1"/>
          <a:endCxn id="313" idx="1"/>
        </xdr:cNvCxnSpPr>
      </xdr:nvCxnSpPr>
      <xdr:spPr>
        <a:xfrm rot="10800000" flipH="1">
          <a:off x="2105025" y="21078825"/>
          <a:ext cx="800100" cy="9048750"/>
        </a:xfrm>
        <a:prstGeom prst="bentConnector3">
          <a:avLst>
            <a:gd name="adj1" fmla="val -32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80</xdr:row>
      <xdr:rowOff>11205</xdr:rowOff>
    </xdr:from>
    <xdr:to>
      <xdr:col>27</xdr:col>
      <xdr:colOff>1</xdr:colOff>
      <xdr:row>80</xdr:row>
      <xdr:rowOff>190498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667500" y="1537335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17</xdr:col>
      <xdr:colOff>224117</xdr:colOff>
      <xdr:row>42</xdr:row>
      <xdr:rowOff>0</xdr:rowOff>
    </xdr:from>
    <xdr:to>
      <xdr:col>23</xdr:col>
      <xdr:colOff>22412</xdr:colOff>
      <xdr:row>43</xdr:row>
      <xdr:rowOff>0</xdr:rowOff>
    </xdr:to>
    <xdr:sp macro="" textlink="" fLocksText="0">
      <xdr:nvSpPr>
        <xdr:cNvPr id="133" name="Flowchart: Process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4762500" y="8115300"/>
          <a:ext cx="139065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80</xdr:row>
      <xdr:rowOff>190498</xdr:rowOff>
    </xdr:from>
    <xdr:to>
      <xdr:col>26</xdr:col>
      <xdr:colOff>1</xdr:colOff>
      <xdr:row>99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15554325"/>
          <a:ext cx="3200400" cy="3448050"/>
        </a:xfrm>
        <a:prstGeom prst="bentConnector3">
          <a:avLst>
            <a:gd name="adj1" fmla="val 772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130</xdr:row>
      <xdr:rowOff>0</xdr:rowOff>
    </xdr:from>
    <xdr:to>
      <xdr:col>23</xdr:col>
      <xdr:colOff>235323</xdr:colOff>
      <xdr:row>138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316" idx="2"/>
          <a:endCxn id="431" idx="0"/>
        </xdr:cNvCxnSpPr>
      </xdr:nvCxnSpPr>
      <xdr:spPr>
        <a:xfrm rot="5400000">
          <a:off x="3733800" y="24888825"/>
          <a:ext cx="2638425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5" t="s">
        <v>13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11" t="str">
        <f>改訂履歴!$H$11</f>
        <v>DuNT</v>
      </c>
      <c r="AQ2" s="10"/>
      <c r="AR2" s="10"/>
      <c r="AS2" s="9"/>
      <c r="AT2" s="99">
        <f>改訂履歴!$B$11</f>
        <v>45477</v>
      </c>
      <c r="AU2" s="100"/>
      <c r="AV2" s="100"/>
      <c r="AW2" s="100"/>
      <c r="AX2" s="101"/>
      <c r="AY2" s="11" t="str">
        <f>LOOKUP(2,1/(改訂履歴!H11:H30000&lt;&gt;""),改訂履歴!H11:H30000)</f>
        <v>DuNT</v>
      </c>
      <c r="AZ2" s="10"/>
      <c r="BA2" s="10"/>
      <c r="BB2" s="9"/>
      <c r="BC2" s="99">
        <f>LOOKUP(2,1/(改訂履歴!B11:B30000&lt;&gt;""),改訂履歴!B11:B30000)</f>
        <v>45504</v>
      </c>
      <c r="BD2" s="100"/>
      <c r="BE2" s="100"/>
      <c r="BF2" s="100"/>
      <c r="BG2" s="101"/>
      <c r="BH2" s="93">
        <f>LOOKUP(2,1/(改訂履歴!O11:O30000&lt;&gt;""),改訂履歴!O11:O30000)</f>
        <v>0.2</v>
      </c>
      <c r="BI2" s="94"/>
      <c r="BJ2" s="94"/>
      <c r="BK2" s="9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8"/>
      <c r="AQ3" s="7"/>
      <c r="AR3" s="7"/>
      <c r="AS3" s="6"/>
      <c r="AT3" s="102"/>
      <c r="AU3" s="103"/>
      <c r="AV3" s="103"/>
      <c r="AW3" s="103"/>
      <c r="AX3" s="104"/>
      <c r="AY3" s="8"/>
      <c r="AZ3" s="7"/>
      <c r="BA3" s="7"/>
      <c r="BB3" s="6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4" t="s">
        <v>34</v>
      </c>
      <c r="B4" s="13"/>
      <c r="C4" s="13"/>
      <c r="D4" s="13"/>
      <c r="E4" s="13"/>
      <c r="F4" s="13"/>
      <c r="G4" s="12"/>
      <c r="H4" s="89" t="s">
        <v>54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14" t="s">
        <v>7</v>
      </c>
      <c r="V4" s="13"/>
      <c r="W4" s="13"/>
      <c r="X4" s="13"/>
      <c r="Y4" s="12"/>
      <c r="Z4" s="92" t="s">
        <v>15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89" t="str">
        <f t="array" aca="1" ref="AP4" ca="1">RIGHT(CELL("filename",$A$1),LEN(CELL("filename",$A$1))-FIND("]",CELL("filename",$A$1)))</f>
        <v>表紙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7" t="s">
        <v>14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26"/>
      <c r="BK16" s="18"/>
    </row>
    <row r="17" spans="1:63" ht="15" customHeight="1" x14ac:dyDescent="0.25">
      <c r="A17" s="15"/>
      <c r="K17" s="20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26"/>
      <c r="BK17" s="18"/>
    </row>
    <row r="18" spans="1:63" ht="15" customHeight="1" x14ac:dyDescent="0.25">
      <c r="A18" s="15"/>
      <c r="K18" s="20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26"/>
      <c r="BK18" s="18"/>
    </row>
    <row r="19" spans="1:63" ht="15" customHeight="1" x14ac:dyDescent="0.25">
      <c r="A19" s="15"/>
      <c r="K19" s="20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26"/>
      <c r="BK19" s="18"/>
    </row>
    <row r="20" spans="1:63" ht="15" customHeight="1" x14ac:dyDescent="0.25">
      <c r="A20" s="15"/>
      <c r="K20" s="20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26"/>
      <c r="BK20" s="18"/>
    </row>
    <row r="21" spans="1:63" ht="15" customHeight="1" x14ac:dyDescent="0.25">
      <c r="A21" s="15"/>
      <c r="K21" s="20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8" t="str">
        <f>K2&amp;"/"&amp;H4&amp;"/"&amp;Z4</f>
        <v>POSサーバ/AP1508/API設計書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26"/>
      <c r="BK24" s="18"/>
    </row>
    <row r="25" spans="1:63" ht="15" customHeight="1" x14ac:dyDescent="0.25">
      <c r="A25" s="15"/>
      <c r="K25" s="20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26"/>
      <c r="BK25" s="18"/>
    </row>
    <row r="26" spans="1:63" ht="15" customHeight="1" x14ac:dyDescent="0.25">
      <c r="A26" s="15"/>
      <c r="K26" s="20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26"/>
      <c r="BK26" s="18"/>
    </row>
    <row r="27" spans="1:63" ht="15" customHeight="1" x14ac:dyDescent="0.25">
      <c r="A27" s="15"/>
      <c r="K27" s="20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26"/>
      <c r="BK27" s="18"/>
    </row>
    <row r="28" spans="1:63" ht="15" customHeight="1" x14ac:dyDescent="0.25">
      <c r="A28" s="15"/>
      <c r="K28" s="20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26"/>
      <c r="BK28" s="18"/>
    </row>
    <row r="29" spans="1:63" ht="15" customHeight="1" x14ac:dyDescent="0.25">
      <c r="A29" s="15"/>
      <c r="K29" s="20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26"/>
      <c r="BK29" s="18"/>
    </row>
    <row r="30" spans="1:63" ht="15" customHeight="1" x14ac:dyDescent="0.25">
      <c r="A30" s="15"/>
      <c r="K30" s="20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26"/>
      <c r="BK30" s="18"/>
    </row>
    <row r="31" spans="1:63" ht="15" customHeight="1" x14ac:dyDescent="0.25">
      <c r="A31" s="15"/>
      <c r="K31" s="20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26"/>
      <c r="BK31" s="18"/>
    </row>
    <row r="32" spans="1:63" ht="15" customHeight="1" x14ac:dyDescent="0.25">
      <c r="A32" s="15"/>
      <c r="K32" s="20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26"/>
      <c r="BK32" s="18"/>
    </row>
    <row r="33" spans="1:63" ht="15" customHeight="1" x14ac:dyDescent="0.25">
      <c r="A33" s="15"/>
      <c r="K33" s="20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26"/>
      <c r="BK33" s="18"/>
    </row>
    <row r="34" spans="1:63" ht="15" customHeight="1" x14ac:dyDescent="0.25">
      <c r="A34" s="15"/>
      <c r="K34" s="20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26"/>
      <c r="BK34" s="18"/>
    </row>
    <row r="35" spans="1:63" ht="15" customHeight="1" x14ac:dyDescent="0.25">
      <c r="A35" s="15"/>
      <c r="K35" s="20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26"/>
      <c r="BK35" s="18"/>
    </row>
    <row r="36" spans="1:63" ht="15" customHeight="1" x14ac:dyDescent="0.25">
      <c r="A36" s="15"/>
      <c r="K36" s="20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108" t="s">
        <v>9</v>
      </c>
      <c r="R44" s="109"/>
      <c r="S44" s="109"/>
      <c r="T44" s="109"/>
      <c r="U44" s="109"/>
      <c r="V44" s="109"/>
      <c r="W44" s="109"/>
      <c r="X44" s="109"/>
      <c r="Y44" s="109"/>
      <c r="Z44" s="110"/>
      <c r="AA44" s="108" t="s">
        <v>10</v>
      </c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10"/>
      <c r="AQ44" s="108" t="s">
        <v>6</v>
      </c>
      <c r="AR44" s="109"/>
      <c r="AS44" s="109"/>
      <c r="AT44" s="109"/>
      <c r="AU44" s="110"/>
      <c r="BK44" s="18"/>
    </row>
    <row r="45" spans="1:63" ht="15" customHeight="1" x14ac:dyDescent="0.25">
      <c r="A45" s="15"/>
      <c r="Q45" s="111"/>
      <c r="R45" s="112"/>
      <c r="S45" s="112"/>
      <c r="T45" s="112"/>
      <c r="U45" s="112"/>
      <c r="V45" s="112"/>
      <c r="W45" s="112"/>
      <c r="X45" s="112"/>
      <c r="Y45" s="112"/>
      <c r="Z45" s="113"/>
      <c r="AA45" s="111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3"/>
      <c r="AQ45" s="111"/>
      <c r="AR45" s="112"/>
      <c r="AS45" s="112"/>
      <c r="AT45" s="112"/>
      <c r="AU45" s="11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105"/>
      <c r="R47" s="106"/>
      <c r="S47" s="106"/>
      <c r="T47" s="106"/>
      <c r="U47" s="106"/>
      <c r="V47" s="106"/>
      <c r="W47" s="106"/>
      <c r="X47" s="106"/>
      <c r="Y47" s="106"/>
      <c r="Z47" s="107"/>
      <c r="AA47" s="105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7"/>
      <c r="AQ47" s="105"/>
      <c r="AR47" s="106"/>
      <c r="AS47" s="106"/>
      <c r="AT47" s="106"/>
      <c r="AU47" s="107"/>
      <c r="BK47" s="18"/>
    </row>
    <row r="48" spans="1:63" ht="15" customHeight="1" x14ac:dyDescent="0.25">
      <c r="A48" s="15"/>
      <c r="Q48" s="105"/>
      <c r="R48" s="106"/>
      <c r="S48" s="106"/>
      <c r="T48" s="106"/>
      <c r="U48" s="106"/>
      <c r="V48" s="106"/>
      <c r="W48" s="106"/>
      <c r="X48" s="106"/>
      <c r="Y48" s="106"/>
      <c r="Z48" s="107"/>
      <c r="AA48" s="105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7"/>
      <c r="AQ48" s="105"/>
      <c r="AR48" s="106"/>
      <c r="AS48" s="106"/>
      <c r="AT48" s="106"/>
      <c r="AU48" s="10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19" customWidth="1"/>
    <col min="61" max="16384" width="2.77734375" style="219"/>
  </cols>
  <sheetData>
    <row r="1" spans="1:63" ht="24.95" customHeight="1" x14ac:dyDescent="0.25">
      <c r="A1" s="213" t="s">
        <v>134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135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tr">
        <f>IF(表紙!W1="","",表紙!W1)</f>
        <v>詳細設計書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220" t="str">
        <f>IF(表紙!A2="","",表紙!A2)</f>
        <v>POSサーバー</v>
      </c>
      <c r="B2" s="221"/>
      <c r="C2" s="221"/>
      <c r="D2" s="221"/>
      <c r="E2" s="221"/>
      <c r="F2" s="221"/>
      <c r="G2" s="221"/>
      <c r="H2" s="221"/>
      <c r="I2" s="221"/>
      <c r="J2" s="222"/>
      <c r="K2" s="220" t="str">
        <f>IF(表紙!K2="","",表紙!K2)</f>
        <v>POSサーバ</v>
      </c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2"/>
      <c r="W2" s="223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5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229"/>
      <c r="B3" s="230"/>
      <c r="C3" s="230"/>
      <c r="D3" s="230"/>
      <c r="E3" s="230"/>
      <c r="F3" s="230"/>
      <c r="G3" s="230"/>
      <c r="H3" s="230"/>
      <c r="I3" s="230"/>
      <c r="J3" s="231"/>
      <c r="K3" s="229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1"/>
      <c r="W3" s="232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4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13" t="s">
        <v>141</v>
      </c>
      <c r="B4" s="214"/>
      <c r="C4" s="214"/>
      <c r="D4" s="214"/>
      <c r="E4" s="214"/>
      <c r="F4" s="214"/>
      <c r="G4" s="215"/>
      <c r="H4" s="238" t="str">
        <f>IF(表紙!H4="","",表紙!H4)</f>
        <v>AP1508</v>
      </c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40"/>
      <c r="U4" s="213" t="s">
        <v>142</v>
      </c>
      <c r="V4" s="214"/>
      <c r="W4" s="214"/>
      <c r="X4" s="214"/>
      <c r="Y4" s="215"/>
      <c r="Z4" s="238" t="str">
        <f>IF(表紙!Z4="","",表紙!Z4)</f>
        <v>API設計書</v>
      </c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40"/>
      <c r="AP4" s="238" t="str">
        <f t="array" aca="1" ref="AP4" ca="1">RIGHT(CELL("filename",$A$1),LEN(CELL("filename",$A$1))-FIND("]",CELL("filename",$A$1)))</f>
        <v>改訂履歴</v>
      </c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40"/>
    </row>
    <row r="5" spans="1:63" ht="5.0999999999999996" customHeight="1" x14ac:dyDescent="0.25">
      <c r="A5" s="241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3"/>
    </row>
    <row r="6" spans="1:63" ht="15" customHeight="1" x14ac:dyDescent="0.25">
      <c r="A6" s="244"/>
      <c r="BK6" s="245"/>
    </row>
    <row r="7" spans="1:63" ht="15" customHeight="1" x14ac:dyDescent="0.25">
      <c r="A7" s="244"/>
      <c r="BK7" s="245"/>
    </row>
    <row r="8" spans="1:63" ht="15" customHeight="1" x14ac:dyDescent="0.25">
      <c r="A8" s="244"/>
      <c r="B8" s="219" t="s">
        <v>8</v>
      </c>
      <c r="BK8" s="245"/>
    </row>
    <row r="9" spans="1:63" ht="15" customHeight="1" x14ac:dyDescent="0.25">
      <c r="A9" s="244"/>
      <c r="BK9" s="245"/>
    </row>
    <row r="10" spans="1:63" ht="15" customHeight="1" x14ac:dyDescent="0.25">
      <c r="A10" s="244"/>
      <c r="B10" s="246" t="s">
        <v>139</v>
      </c>
      <c r="C10" s="246"/>
      <c r="D10" s="246"/>
      <c r="E10" s="246"/>
      <c r="F10" s="246"/>
      <c r="G10" s="246"/>
      <c r="H10" s="246" t="s">
        <v>138</v>
      </c>
      <c r="I10" s="246"/>
      <c r="J10" s="246"/>
      <c r="K10" s="246"/>
      <c r="L10" s="246"/>
      <c r="M10" s="246"/>
      <c r="N10" s="246"/>
      <c r="O10" s="246" t="s">
        <v>140</v>
      </c>
      <c r="P10" s="246"/>
      <c r="Q10" s="246"/>
      <c r="R10" s="246"/>
      <c r="S10" s="246" t="s">
        <v>143</v>
      </c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 t="s">
        <v>144</v>
      </c>
      <c r="AY10" s="246"/>
      <c r="AZ10" s="246"/>
      <c r="BA10" s="246"/>
      <c r="BB10" s="246"/>
      <c r="BC10" s="246"/>
      <c r="BD10" s="246" t="s">
        <v>145</v>
      </c>
      <c r="BE10" s="246"/>
      <c r="BF10" s="246"/>
      <c r="BG10" s="246"/>
      <c r="BH10" s="246"/>
      <c r="BI10" s="246"/>
      <c r="BJ10" s="246"/>
      <c r="BK10" s="245"/>
    </row>
    <row r="11" spans="1:63" ht="15" customHeight="1" x14ac:dyDescent="0.25">
      <c r="A11" s="244"/>
      <c r="B11" s="226">
        <v>45477</v>
      </c>
      <c r="C11" s="221"/>
      <c r="D11" s="221"/>
      <c r="E11" s="221"/>
      <c r="F11" s="221"/>
      <c r="G11" s="222"/>
      <c r="H11" s="5" t="s">
        <v>133</v>
      </c>
      <c r="I11" s="221"/>
      <c r="J11" s="221"/>
      <c r="K11" s="221"/>
      <c r="L11" s="221"/>
      <c r="M11" s="221"/>
      <c r="N11" s="222"/>
      <c r="O11" s="220">
        <v>0.1</v>
      </c>
      <c r="P11" s="221"/>
      <c r="Q11" s="221"/>
      <c r="R11" s="221"/>
      <c r="S11" s="247" t="s">
        <v>12</v>
      </c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9"/>
      <c r="AX11" s="250"/>
      <c r="AY11" s="250"/>
      <c r="AZ11" s="250"/>
      <c r="BA11" s="250"/>
      <c r="BB11" s="250"/>
      <c r="BC11" s="251"/>
      <c r="BD11" s="252"/>
      <c r="BE11" s="250"/>
      <c r="BF11" s="250"/>
      <c r="BG11" s="250"/>
      <c r="BH11" s="250"/>
      <c r="BI11" s="250"/>
      <c r="BJ11" s="251"/>
      <c r="BK11" s="245"/>
    </row>
    <row r="12" spans="1:63" ht="15" customHeight="1" x14ac:dyDescent="0.25">
      <c r="A12" s="244"/>
      <c r="B12" s="229"/>
      <c r="C12" s="230"/>
      <c r="D12" s="230"/>
      <c r="E12" s="230"/>
      <c r="F12" s="230"/>
      <c r="G12" s="231"/>
      <c r="H12" s="229"/>
      <c r="I12" s="230"/>
      <c r="J12" s="230"/>
      <c r="K12" s="230"/>
      <c r="L12" s="230"/>
      <c r="M12" s="230"/>
      <c r="N12" s="231"/>
      <c r="O12" s="229"/>
      <c r="P12" s="230"/>
      <c r="Q12" s="230"/>
      <c r="R12" s="230"/>
      <c r="S12" s="253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5"/>
      <c r="AX12" s="256"/>
      <c r="AY12" s="256"/>
      <c r="AZ12" s="256"/>
      <c r="BA12" s="256"/>
      <c r="BB12" s="256"/>
      <c r="BC12" s="257"/>
      <c r="BD12" s="258"/>
      <c r="BE12" s="256"/>
      <c r="BF12" s="256"/>
      <c r="BG12" s="256"/>
      <c r="BH12" s="256"/>
      <c r="BI12" s="256"/>
      <c r="BJ12" s="257"/>
      <c r="BK12" s="245"/>
    </row>
    <row r="13" spans="1:63" ht="15" customHeight="1" x14ac:dyDescent="0.25">
      <c r="A13" s="244"/>
      <c r="B13" s="200">
        <v>45504</v>
      </c>
      <c r="C13" s="201"/>
      <c r="D13" s="201"/>
      <c r="E13" s="201"/>
      <c r="F13" s="201"/>
      <c r="G13" s="202"/>
      <c r="H13" s="203" t="s">
        <v>133</v>
      </c>
      <c r="I13" s="201"/>
      <c r="J13" s="201"/>
      <c r="K13" s="201"/>
      <c r="L13" s="201"/>
      <c r="M13" s="201"/>
      <c r="N13" s="202"/>
      <c r="O13" s="203">
        <v>0.2</v>
      </c>
      <c r="P13" s="201"/>
      <c r="Q13" s="201"/>
      <c r="R13" s="201"/>
      <c r="S13" s="204" t="s">
        <v>132</v>
      </c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6"/>
      <c r="AX13" s="250"/>
      <c r="AY13" s="250"/>
      <c r="AZ13" s="250"/>
      <c r="BA13" s="250"/>
      <c r="BB13" s="250"/>
      <c r="BC13" s="251"/>
      <c r="BD13" s="252"/>
      <c r="BE13" s="250"/>
      <c r="BF13" s="250"/>
      <c r="BG13" s="250"/>
      <c r="BH13" s="250"/>
      <c r="BI13" s="250"/>
      <c r="BJ13" s="251"/>
      <c r="BK13" s="245"/>
    </row>
    <row r="14" spans="1:63" ht="31.5" customHeight="1" x14ac:dyDescent="0.25">
      <c r="A14" s="244"/>
      <c r="B14" s="207"/>
      <c r="C14" s="208"/>
      <c r="D14" s="208"/>
      <c r="E14" s="208"/>
      <c r="F14" s="208"/>
      <c r="G14" s="209"/>
      <c r="H14" s="207"/>
      <c r="I14" s="208"/>
      <c r="J14" s="208"/>
      <c r="K14" s="208"/>
      <c r="L14" s="208"/>
      <c r="M14" s="208"/>
      <c r="N14" s="209"/>
      <c r="O14" s="207"/>
      <c r="P14" s="208"/>
      <c r="Q14" s="208"/>
      <c r="R14" s="208"/>
      <c r="S14" s="210" t="s">
        <v>131</v>
      </c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2"/>
      <c r="AX14" s="256"/>
      <c r="AY14" s="256"/>
      <c r="AZ14" s="256"/>
      <c r="BA14" s="256"/>
      <c r="BB14" s="256"/>
      <c r="BC14" s="257"/>
      <c r="BD14" s="258"/>
      <c r="BE14" s="256"/>
      <c r="BF14" s="256"/>
      <c r="BG14" s="256"/>
      <c r="BH14" s="256"/>
      <c r="BI14" s="256"/>
      <c r="BJ14" s="257"/>
      <c r="BK14" s="245"/>
    </row>
    <row r="15" spans="1:63" ht="15" customHeight="1" x14ac:dyDescent="0.25">
      <c r="A15" s="244"/>
      <c r="B15" s="220"/>
      <c r="C15" s="221"/>
      <c r="D15" s="221"/>
      <c r="E15" s="221"/>
      <c r="F15" s="221"/>
      <c r="G15" s="222"/>
      <c r="H15" s="220"/>
      <c r="I15" s="221"/>
      <c r="J15" s="221"/>
      <c r="K15" s="221"/>
      <c r="L15" s="221"/>
      <c r="M15" s="221"/>
      <c r="N15" s="222"/>
      <c r="O15" s="220"/>
      <c r="P15" s="221"/>
      <c r="Q15" s="221"/>
      <c r="R15" s="221"/>
      <c r="S15" s="247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9"/>
      <c r="AX15" s="250"/>
      <c r="AY15" s="250"/>
      <c r="AZ15" s="250"/>
      <c r="BA15" s="250"/>
      <c r="BB15" s="250"/>
      <c r="BC15" s="251"/>
      <c r="BD15" s="252"/>
      <c r="BE15" s="250"/>
      <c r="BF15" s="250"/>
      <c r="BG15" s="250"/>
      <c r="BH15" s="250"/>
      <c r="BI15" s="250"/>
      <c r="BJ15" s="251"/>
      <c r="BK15" s="245"/>
    </row>
    <row r="16" spans="1:63" ht="15" customHeight="1" x14ac:dyDescent="0.25">
      <c r="A16" s="244"/>
      <c r="B16" s="229"/>
      <c r="C16" s="230"/>
      <c r="D16" s="230"/>
      <c r="E16" s="230"/>
      <c r="F16" s="230"/>
      <c r="G16" s="231"/>
      <c r="H16" s="229"/>
      <c r="I16" s="230"/>
      <c r="J16" s="230"/>
      <c r="K16" s="230"/>
      <c r="L16" s="230"/>
      <c r="M16" s="230"/>
      <c r="N16" s="231"/>
      <c r="O16" s="229"/>
      <c r="P16" s="230"/>
      <c r="Q16" s="230"/>
      <c r="R16" s="230"/>
      <c r="S16" s="253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5"/>
      <c r="AX16" s="256"/>
      <c r="AY16" s="256"/>
      <c r="AZ16" s="256"/>
      <c r="BA16" s="256"/>
      <c r="BB16" s="256"/>
      <c r="BC16" s="257"/>
      <c r="BD16" s="258"/>
      <c r="BE16" s="256"/>
      <c r="BF16" s="256"/>
      <c r="BG16" s="256"/>
      <c r="BH16" s="256"/>
      <c r="BI16" s="256"/>
      <c r="BJ16" s="257"/>
      <c r="BK16" s="245"/>
    </row>
    <row r="17" spans="1:63" ht="15" customHeight="1" x14ac:dyDescent="0.25">
      <c r="A17" s="244"/>
      <c r="B17" s="220"/>
      <c r="C17" s="221"/>
      <c r="D17" s="221"/>
      <c r="E17" s="221"/>
      <c r="F17" s="221"/>
      <c r="G17" s="222"/>
      <c r="H17" s="220"/>
      <c r="I17" s="221"/>
      <c r="J17" s="221"/>
      <c r="K17" s="221"/>
      <c r="L17" s="221"/>
      <c r="M17" s="221"/>
      <c r="N17" s="222"/>
      <c r="O17" s="220"/>
      <c r="P17" s="221"/>
      <c r="Q17" s="221"/>
      <c r="R17" s="221"/>
      <c r="S17" s="247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9"/>
      <c r="AX17" s="250"/>
      <c r="AY17" s="250"/>
      <c r="AZ17" s="250"/>
      <c r="BA17" s="250"/>
      <c r="BB17" s="250"/>
      <c r="BC17" s="251"/>
      <c r="BD17" s="252"/>
      <c r="BE17" s="250"/>
      <c r="BF17" s="250"/>
      <c r="BG17" s="250"/>
      <c r="BH17" s="250"/>
      <c r="BI17" s="250"/>
      <c r="BJ17" s="251"/>
      <c r="BK17" s="245"/>
    </row>
    <row r="18" spans="1:63" ht="15" customHeight="1" x14ac:dyDescent="0.25">
      <c r="A18" s="244"/>
      <c r="B18" s="229"/>
      <c r="C18" s="230"/>
      <c r="D18" s="230"/>
      <c r="E18" s="230"/>
      <c r="F18" s="230"/>
      <c r="G18" s="231"/>
      <c r="H18" s="229"/>
      <c r="I18" s="230"/>
      <c r="J18" s="230"/>
      <c r="K18" s="230"/>
      <c r="L18" s="230"/>
      <c r="M18" s="230"/>
      <c r="N18" s="231"/>
      <c r="O18" s="229"/>
      <c r="P18" s="230"/>
      <c r="Q18" s="230"/>
      <c r="R18" s="230"/>
      <c r="S18" s="253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5"/>
      <c r="AX18" s="256"/>
      <c r="AY18" s="256"/>
      <c r="AZ18" s="256"/>
      <c r="BA18" s="256"/>
      <c r="BB18" s="256"/>
      <c r="BC18" s="257"/>
      <c r="BD18" s="258"/>
      <c r="BE18" s="256"/>
      <c r="BF18" s="256"/>
      <c r="BG18" s="256"/>
      <c r="BH18" s="256"/>
      <c r="BI18" s="256"/>
      <c r="BJ18" s="257"/>
      <c r="BK18" s="245"/>
    </row>
    <row r="19" spans="1:63" ht="15" customHeight="1" x14ac:dyDescent="0.25">
      <c r="A19" s="244"/>
      <c r="B19" s="220"/>
      <c r="C19" s="221"/>
      <c r="D19" s="221"/>
      <c r="E19" s="221"/>
      <c r="F19" s="221"/>
      <c r="G19" s="222"/>
      <c r="H19" s="220"/>
      <c r="I19" s="221"/>
      <c r="J19" s="221"/>
      <c r="K19" s="221"/>
      <c r="L19" s="221"/>
      <c r="M19" s="221"/>
      <c r="N19" s="222"/>
      <c r="O19" s="220"/>
      <c r="P19" s="221"/>
      <c r="Q19" s="221"/>
      <c r="R19" s="221"/>
      <c r="S19" s="247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9"/>
      <c r="AX19" s="250"/>
      <c r="AY19" s="250"/>
      <c r="AZ19" s="250"/>
      <c r="BA19" s="250"/>
      <c r="BB19" s="250"/>
      <c r="BC19" s="251"/>
      <c r="BD19" s="252"/>
      <c r="BE19" s="250"/>
      <c r="BF19" s="250"/>
      <c r="BG19" s="250"/>
      <c r="BH19" s="250"/>
      <c r="BI19" s="250"/>
      <c r="BJ19" s="251"/>
      <c r="BK19" s="245"/>
    </row>
    <row r="20" spans="1:63" ht="15" customHeight="1" x14ac:dyDescent="0.25">
      <c r="A20" s="244"/>
      <c r="B20" s="229"/>
      <c r="C20" s="230"/>
      <c r="D20" s="230"/>
      <c r="E20" s="230"/>
      <c r="F20" s="230"/>
      <c r="G20" s="231"/>
      <c r="H20" s="229"/>
      <c r="I20" s="230"/>
      <c r="J20" s="230"/>
      <c r="K20" s="230"/>
      <c r="L20" s="230"/>
      <c r="M20" s="230"/>
      <c r="N20" s="231"/>
      <c r="O20" s="229"/>
      <c r="P20" s="230"/>
      <c r="Q20" s="230"/>
      <c r="R20" s="230"/>
      <c r="S20" s="253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5"/>
      <c r="AX20" s="256"/>
      <c r="AY20" s="256"/>
      <c r="AZ20" s="256"/>
      <c r="BA20" s="256"/>
      <c r="BB20" s="256"/>
      <c r="BC20" s="257"/>
      <c r="BD20" s="258"/>
      <c r="BE20" s="256"/>
      <c r="BF20" s="256"/>
      <c r="BG20" s="256"/>
      <c r="BH20" s="256"/>
      <c r="BI20" s="256"/>
      <c r="BJ20" s="257"/>
      <c r="BK20" s="245"/>
    </row>
    <row r="21" spans="1:63" ht="15" customHeight="1" x14ac:dyDescent="0.25">
      <c r="A21" s="244"/>
      <c r="B21" s="220"/>
      <c r="C21" s="221"/>
      <c r="D21" s="221"/>
      <c r="E21" s="221"/>
      <c r="F21" s="221"/>
      <c r="G21" s="222"/>
      <c r="H21" s="220"/>
      <c r="I21" s="221"/>
      <c r="J21" s="221"/>
      <c r="K21" s="221"/>
      <c r="L21" s="221"/>
      <c r="M21" s="221"/>
      <c r="N21" s="222"/>
      <c r="O21" s="220"/>
      <c r="P21" s="221"/>
      <c r="Q21" s="221"/>
      <c r="R21" s="221"/>
      <c r="S21" s="247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9"/>
      <c r="AX21" s="250"/>
      <c r="AY21" s="250"/>
      <c r="AZ21" s="250"/>
      <c r="BA21" s="250"/>
      <c r="BB21" s="250"/>
      <c r="BC21" s="251"/>
      <c r="BD21" s="252"/>
      <c r="BE21" s="250"/>
      <c r="BF21" s="250"/>
      <c r="BG21" s="250"/>
      <c r="BH21" s="250"/>
      <c r="BI21" s="250"/>
      <c r="BJ21" s="251"/>
      <c r="BK21" s="245"/>
    </row>
    <row r="22" spans="1:63" ht="15" customHeight="1" x14ac:dyDescent="0.25">
      <c r="A22" s="244"/>
      <c r="B22" s="229"/>
      <c r="C22" s="230"/>
      <c r="D22" s="230"/>
      <c r="E22" s="230"/>
      <c r="F22" s="230"/>
      <c r="G22" s="231"/>
      <c r="H22" s="229"/>
      <c r="I22" s="230"/>
      <c r="J22" s="230"/>
      <c r="K22" s="230"/>
      <c r="L22" s="230"/>
      <c r="M22" s="230"/>
      <c r="N22" s="231"/>
      <c r="O22" s="229"/>
      <c r="P22" s="230"/>
      <c r="Q22" s="230"/>
      <c r="R22" s="230"/>
      <c r="S22" s="253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5"/>
      <c r="AX22" s="256"/>
      <c r="AY22" s="256"/>
      <c r="AZ22" s="256"/>
      <c r="BA22" s="256"/>
      <c r="BB22" s="256"/>
      <c r="BC22" s="257"/>
      <c r="BD22" s="258"/>
      <c r="BE22" s="256"/>
      <c r="BF22" s="256"/>
      <c r="BG22" s="256"/>
      <c r="BH22" s="256"/>
      <c r="BI22" s="256"/>
      <c r="BJ22" s="257"/>
      <c r="BK22" s="245"/>
    </row>
    <row r="23" spans="1:63" ht="15" customHeight="1" x14ac:dyDescent="0.25">
      <c r="A23" s="244"/>
      <c r="B23" s="220"/>
      <c r="C23" s="221"/>
      <c r="D23" s="221"/>
      <c r="E23" s="221"/>
      <c r="F23" s="221"/>
      <c r="G23" s="222"/>
      <c r="H23" s="220"/>
      <c r="I23" s="221"/>
      <c r="J23" s="221"/>
      <c r="K23" s="221"/>
      <c r="L23" s="221"/>
      <c r="M23" s="221"/>
      <c r="N23" s="222"/>
      <c r="O23" s="220"/>
      <c r="P23" s="221"/>
      <c r="Q23" s="221"/>
      <c r="R23" s="221"/>
      <c r="S23" s="247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9"/>
      <c r="AX23" s="250"/>
      <c r="AY23" s="250"/>
      <c r="AZ23" s="250"/>
      <c r="BA23" s="250"/>
      <c r="BB23" s="250"/>
      <c r="BC23" s="251"/>
      <c r="BD23" s="252"/>
      <c r="BE23" s="250"/>
      <c r="BF23" s="250"/>
      <c r="BG23" s="250"/>
      <c r="BH23" s="250"/>
      <c r="BI23" s="250"/>
      <c r="BJ23" s="251"/>
      <c r="BK23" s="245"/>
    </row>
    <row r="24" spans="1:63" ht="15" customHeight="1" x14ac:dyDescent="0.25">
      <c r="A24" s="244"/>
      <c r="B24" s="229"/>
      <c r="C24" s="230"/>
      <c r="D24" s="230"/>
      <c r="E24" s="230"/>
      <c r="F24" s="230"/>
      <c r="G24" s="231"/>
      <c r="H24" s="229"/>
      <c r="I24" s="230"/>
      <c r="J24" s="230"/>
      <c r="K24" s="230"/>
      <c r="L24" s="230"/>
      <c r="M24" s="230"/>
      <c r="N24" s="231"/>
      <c r="O24" s="229"/>
      <c r="P24" s="230"/>
      <c r="Q24" s="230"/>
      <c r="R24" s="230"/>
      <c r="S24" s="253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5"/>
      <c r="AX24" s="256"/>
      <c r="AY24" s="256"/>
      <c r="AZ24" s="256"/>
      <c r="BA24" s="256"/>
      <c r="BB24" s="256"/>
      <c r="BC24" s="257"/>
      <c r="BD24" s="258"/>
      <c r="BE24" s="256"/>
      <c r="BF24" s="256"/>
      <c r="BG24" s="256"/>
      <c r="BH24" s="256"/>
      <c r="BI24" s="256"/>
      <c r="BJ24" s="257"/>
      <c r="BK24" s="245"/>
    </row>
    <row r="25" spans="1:63" ht="15" customHeight="1" x14ac:dyDescent="0.25">
      <c r="A25" s="244"/>
      <c r="B25" s="220"/>
      <c r="C25" s="221"/>
      <c r="D25" s="221"/>
      <c r="E25" s="221"/>
      <c r="F25" s="221"/>
      <c r="G25" s="222"/>
      <c r="H25" s="220"/>
      <c r="I25" s="221"/>
      <c r="J25" s="221"/>
      <c r="K25" s="221"/>
      <c r="L25" s="221"/>
      <c r="M25" s="221"/>
      <c r="N25" s="222"/>
      <c r="O25" s="220"/>
      <c r="P25" s="221"/>
      <c r="Q25" s="221"/>
      <c r="R25" s="221"/>
      <c r="S25" s="247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9"/>
      <c r="AX25" s="250"/>
      <c r="AY25" s="250"/>
      <c r="AZ25" s="250"/>
      <c r="BA25" s="250"/>
      <c r="BB25" s="250"/>
      <c r="BC25" s="251"/>
      <c r="BD25" s="252"/>
      <c r="BE25" s="250"/>
      <c r="BF25" s="250"/>
      <c r="BG25" s="250"/>
      <c r="BH25" s="250"/>
      <c r="BI25" s="250"/>
      <c r="BJ25" s="251"/>
      <c r="BK25" s="245"/>
    </row>
    <row r="26" spans="1:63" ht="15" customHeight="1" x14ac:dyDescent="0.25">
      <c r="A26" s="244"/>
      <c r="B26" s="229"/>
      <c r="C26" s="230"/>
      <c r="D26" s="230"/>
      <c r="E26" s="230"/>
      <c r="F26" s="230"/>
      <c r="G26" s="231"/>
      <c r="H26" s="229"/>
      <c r="I26" s="230"/>
      <c r="J26" s="230"/>
      <c r="K26" s="230"/>
      <c r="L26" s="230"/>
      <c r="M26" s="230"/>
      <c r="N26" s="231"/>
      <c r="O26" s="229"/>
      <c r="P26" s="230"/>
      <c r="Q26" s="230"/>
      <c r="R26" s="230"/>
      <c r="S26" s="253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  <c r="AT26" s="254"/>
      <c r="AU26" s="254"/>
      <c r="AV26" s="254"/>
      <c r="AW26" s="255"/>
      <c r="AX26" s="256"/>
      <c r="AY26" s="256"/>
      <c r="AZ26" s="256"/>
      <c r="BA26" s="256"/>
      <c r="BB26" s="256"/>
      <c r="BC26" s="257"/>
      <c r="BD26" s="258"/>
      <c r="BE26" s="256"/>
      <c r="BF26" s="256"/>
      <c r="BG26" s="256"/>
      <c r="BH26" s="256"/>
      <c r="BI26" s="256"/>
      <c r="BJ26" s="257"/>
      <c r="BK26" s="245"/>
    </row>
    <row r="27" spans="1:63" ht="15" customHeight="1" x14ac:dyDescent="0.25">
      <c r="A27" s="244"/>
      <c r="B27" s="220"/>
      <c r="C27" s="221"/>
      <c r="D27" s="221"/>
      <c r="E27" s="221"/>
      <c r="F27" s="221"/>
      <c r="G27" s="222"/>
      <c r="H27" s="220"/>
      <c r="I27" s="221"/>
      <c r="J27" s="221"/>
      <c r="K27" s="221"/>
      <c r="L27" s="221"/>
      <c r="M27" s="221"/>
      <c r="N27" s="222"/>
      <c r="O27" s="220"/>
      <c r="P27" s="221"/>
      <c r="Q27" s="221"/>
      <c r="R27" s="221"/>
      <c r="S27" s="247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9"/>
      <c r="AX27" s="250"/>
      <c r="AY27" s="250"/>
      <c r="AZ27" s="250"/>
      <c r="BA27" s="250"/>
      <c r="BB27" s="250"/>
      <c r="BC27" s="251"/>
      <c r="BD27" s="252"/>
      <c r="BE27" s="250"/>
      <c r="BF27" s="250"/>
      <c r="BG27" s="250"/>
      <c r="BH27" s="250"/>
      <c r="BI27" s="250"/>
      <c r="BJ27" s="251"/>
      <c r="BK27" s="245"/>
    </row>
    <row r="28" spans="1:63" ht="15" customHeight="1" x14ac:dyDescent="0.25">
      <c r="A28" s="244"/>
      <c r="B28" s="229"/>
      <c r="C28" s="230"/>
      <c r="D28" s="230"/>
      <c r="E28" s="230"/>
      <c r="F28" s="230"/>
      <c r="G28" s="231"/>
      <c r="H28" s="229"/>
      <c r="I28" s="230"/>
      <c r="J28" s="230"/>
      <c r="K28" s="230"/>
      <c r="L28" s="230"/>
      <c r="M28" s="230"/>
      <c r="N28" s="231"/>
      <c r="O28" s="229"/>
      <c r="P28" s="230"/>
      <c r="Q28" s="230"/>
      <c r="R28" s="230"/>
      <c r="S28" s="253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  <c r="AT28" s="254"/>
      <c r="AU28" s="254"/>
      <c r="AV28" s="254"/>
      <c r="AW28" s="255"/>
      <c r="AX28" s="256"/>
      <c r="AY28" s="256"/>
      <c r="AZ28" s="256"/>
      <c r="BA28" s="256"/>
      <c r="BB28" s="256"/>
      <c r="BC28" s="257"/>
      <c r="BD28" s="258"/>
      <c r="BE28" s="256"/>
      <c r="BF28" s="256"/>
      <c r="BG28" s="256"/>
      <c r="BH28" s="256"/>
      <c r="BI28" s="256"/>
      <c r="BJ28" s="257"/>
      <c r="BK28" s="245"/>
    </row>
    <row r="29" spans="1:63" ht="15" customHeight="1" x14ac:dyDescent="0.25">
      <c r="A29" s="244"/>
      <c r="B29" s="220"/>
      <c r="C29" s="221"/>
      <c r="D29" s="221"/>
      <c r="E29" s="221"/>
      <c r="F29" s="221"/>
      <c r="G29" s="222"/>
      <c r="H29" s="220"/>
      <c r="I29" s="221"/>
      <c r="J29" s="221"/>
      <c r="K29" s="221"/>
      <c r="L29" s="221"/>
      <c r="M29" s="221"/>
      <c r="N29" s="222"/>
      <c r="O29" s="220"/>
      <c r="P29" s="221"/>
      <c r="Q29" s="221"/>
      <c r="R29" s="221"/>
      <c r="S29" s="247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9"/>
      <c r="AX29" s="250"/>
      <c r="AY29" s="250"/>
      <c r="AZ29" s="250"/>
      <c r="BA29" s="250"/>
      <c r="BB29" s="250"/>
      <c r="BC29" s="251"/>
      <c r="BD29" s="252"/>
      <c r="BE29" s="250"/>
      <c r="BF29" s="250"/>
      <c r="BG29" s="250"/>
      <c r="BH29" s="250"/>
      <c r="BI29" s="250"/>
      <c r="BJ29" s="251"/>
      <c r="BK29" s="245"/>
    </row>
    <row r="30" spans="1:63" ht="15" customHeight="1" x14ac:dyDescent="0.25">
      <c r="A30" s="244"/>
      <c r="B30" s="229"/>
      <c r="C30" s="230"/>
      <c r="D30" s="230"/>
      <c r="E30" s="230"/>
      <c r="F30" s="230"/>
      <c r="G30" s="231"/>
      <c r="H30" s="229"/>
      <c r="I30" s="230"/>
      <c r="J30" s="230"/>
      <c r="K30" s="230"/>
      <c r="L30" s="230"/>
      <c r="M30" s="230"/>
      <c r="N30" s="231"/>
      <c r="O30" s="229"/>
      <c r="P30" s="230"/>
      <c r="Q30" s="230"/>
      <c r="R30" s="230"/>
      <c r="S30" s="253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5"/>
      <c r="AX30" s="256"/>
      <c r="AY30" s="256"/>
      <c r="AZ30" s="256"/>
      <c r="BA30" s="256"/>
      <c r="BB30" s="256"/>
      <c r="BC30" s="257"/>
      <c r="BD30" s="258"/>
      <c r="BE30" s="256"/>
      <c r="BF30" s="256"/>
      <c r="BG30" s="256"/>
      <c r="BH30" s="256"/>
      <c r="BI30" s="256"/>
      <c r="BJ30" s="257"/>
      <c r="BK30" s="245"/>
    </row>
    <row r="31" spans="1:63" ht="15" customHeight="1" x14ac:dyDescent="0.25">
      <c r="A31" s="244"/>
      <c r="B31" s="220"/>
      <c r="C31" s="221"/>
      <c r="D31" s="221"/>
      <c r="E31" s="221"/>
      <c r="F31" s="221"/>
      <c r="G31" s="222"/>
      <c r="H31" s="220"/>
      <c r="I31" s="221"/>
      <c r="J31" s="221"/>
      <c r="K31" s="221"/>
      <c r="L31" s="221"/>
      <c r="M31" s="221"/>
      <c r="N31" s="222"/>
      <c r="O31" s="220"/>
      <c r="P31" s="221"/>
      <c r="Q31" s="221"/>
      <c r="R31" s="221"/>
      <c r="S31" s="247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9"/>
      <c r="AX31" s="250"/>
      <c r="AY31" s="250"/>
      <c r="AZ31" s="250"/>
      <c r="BA31" s="250"/>
      <c r="BB31" s="250"/>
      <c r="BC31" s="251"/>
      <c r="BD31" s="252"/>
      <c r="BE31" s="250"/>
      <c r="BF31" s="250"/>
      <c r="BG31" s="250"/>
      <c r="BH31" s="250"/>
      <c r="BI31" s="250"/>
      <c r="BJ31" s="251"/>
      <c r="BK31" s="245"/>
    </row>
    <row r="32" spans="1:63" ht="15" customHeight="1" x14ac:dyDescent="0.25">
      <c r="A32" s="244"/>
      <c r="B32" s="229"/>
      <c r="C32" s="230"/>
      <c r="D32" s="230"/>
      <c r="E32" s="230"/>
      <c r="F32" s="230"/>
      <c r="G32" s="231"/>
      <c r="H32" s="229"/>
      <c r="I32" s="230"/>
      <c r="J32" s="230"/>
      <c r="K32" s="230"/>
      <c r="L32" s="230"/>
      <c r="M32" s="230"/>
      <c r="N32" s="231"/>
      <c r="O32" s="229"/>
      <c r="P32" s="230"/>
      <c r="Q32" s="230"/>
      <c r="R32" s="230"/>
      <c r="S32" s="253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5"/>
      <c r="AX32" s="256"/>
      <c r="AY32" s="256"/>
      <c r="AZ32" s="256"/>
      <c r="BA32" s="256"/>
      <c r="BB32" s="256"/>
      <c r="BC32" s="257"/>
      <c r="BD32" s="258"/>
      <c r="BE32" s="256"/>
      <c r="BF32" s="256"/>
      <c r="BG32" s="256"/>
      <c r="BH32" s="256"/>
      <c r="BI32" s="256"/>
      <c r="BJ32" s="257"/>
      <c r="BK32" s="245"/>
    </row>
    <row r="33" spans="1:63" ht="15" customHeight="1" x14ac:dyDescent="0.25">
      <c r="A33" s="244"/>
      <c r="B33" s="220"/>
      <c r="C33" s="221"/>
      <c r="D33" s="221"/>
      <c r="E33" s="221"/>
      <c r="F33" s="221"/>
      <c r="G33" s="222"/>
      <c r="H33" s="220"/>
      <c r="I33" s="221"/>
      <c r="J33" s="221"/>
      <c r="K33" s="221"/>
      <c r="L33" s="221"/>
      <c r="M33" s="221"/>
      <c r="N33" s="222"/>
      <c r="O33" s="220"/>
      <c r="P33" s="221"/>
      <c r="Q33" s="221"/>
      <c r="R33" s="221"/>
      <c r="S33" s="247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9"/>
      <c r="AX33" s="250"/>
      <c r="AY33" s="250"/>
      <c r="AZ33" s="250"/>
      <c r="BA33" s="250"/>
      <c r="BB33" s="250"/>
      <c r="BC33" s="251"/>
      <c r="BD33" s="252"/>
      <c r="BE33" s="250"/>
      <c r="BF33" s="250"/>
      <c r="BG33" s="250"/>
      <c r="BH33" s="250"/>
      <c r="BI33" s="250"/>
      <c r="BJ33" s="251"/>
      <c r="BK33" s="245"/>
    </row>
    <row r="34" spans="1:63" ht="15" customHeight="1" x14ac:dyDescent="0.25">
      <c r="A34" s="244"/>
      <c r="B34" s="229"/>
      <c r="C34" s="230"/>
      <c r="D34" s="230"/>
      <c r="E34" s="230"/>
      <c r="F34" s="230"/>
      <c r="G34" s="231"/>
      <c r="H34" s="229"/>
      <c r="I34" s="230"/>
      <c r="J34" s="230"/>
      <c r="K34" s="230"/>
      <c r="L34" s="230"/>
      <c r="M34" s="230"/>
      <c r="N34" s="231"/>
      <c r="O34" s="229"/>
      <c r="P34" s="230"/>
      <c r="Q34" s="230"/>
      <c r="R34" s="230"/>
      <c r="S34" s="253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5"/>
      <c r="AX34" s="256"/>
      <c r="AY34" s="256"/>
      <c r="AZ34" s="256"/>
      <c r="BA34" s="256"/>
      <c r="BB34" s="256"/>
      <c r="BC34" s="257"/>
      <c r="BD34" s="258"/>
      <c r="BE34" s="256"/>
      <c r="BF34" s="256"/>
      <c r="BG34" s="256"/>
      <c r="BH34" s="256"/>
      <c r="BI34" s="256"/>
      <c r="BJ34" s="257"/>
      <c r="BK34" s="245"/>
    </row>
    <row r="35" spans="1:63" ht="15" customHeight="1" x14ac:dyDescent="0.25">
      <c r="A35" s="244"/>
      <c r="B35" s="220"/>
      <c r="C35" s="221"/>
      <c r="D35" s="221"/>
      <c r="E35" s="221"/>
      <c r="F35" s="221"/>
      <c r="G35" s="222"/>
      <c r="H35" s="220"/>
      <c r="I35" s="221"/>
      <c r="J35" s="221"/>
      <c r="K35" s="221"/>
      <c r="L35" s="221"/>
      <c r="M35" s="221"/>
      <c r="N35" s="222"/>
      <c r="O35" s="220"/>
      <c r="P35" s="221"/>
      <c r="Q35" s="221"/>
      <c r="R35" s="221"/>
      <c r="S35" s="247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9"/>
      <c r="AX35" s="250"/>
      <c r="AY35" s="250"/>
      <c r="AZ35" s="250"/>
      <c r="BA35" s="250"/>
      <c r="BB35" s="250"/>
      <c r="BC35" s="251"/>
      <c r="BD35" s="252"/>
      <c r="BE35" s="250"/>
      <c r="BF35" s="250"/>
      <c r="BG35" s="250"/>
      <c r="BH35" s="250"/>
      <c r="BI35" s="250"/>
      <c r="BJ35" s="251"/>
      <c r="BK35" s="245"/>
    </row>
    <row r="36" spans="1:63" ht="15" customHeight="1" x14ac:dyDescent="0.25">
      <c r="A36" s="244"/>
      <c r="B36" s="229"/>
      <c r="C36" s="230"/>
      <c r="D36" s="230"/>
      <c r="E36" s="230"/>
      <c r="F36" s="230"/>
      <c r="G36" s="231"/>
      <c r="H36" s="229"/>
      <c r="I36" s="230"/>
      <c r="J36" s="230"/>
      <c r="K36" s="230"/>
      <c r="L36" s="230"/>
      <c r="M36" s="230"/>
      <c r="N36" s="231"/>
      <c r="O36" s="229"/>
      <c r="P36" s="230"/>
      <c r="Q36" s="230"/>
      <c r="R36" s="230"/>
      <c r="S36" s="253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5"/>
      <c r="AX36" s="256"/>
      <c r="AY36" s="256"/>
      <c r="AZ36" s="256"/>
      <c r="BA36" s="256"/>
      <c r="BB36" s="256"/>
      <c r="BC36" s="257"/>
      <c r="BD36" s="258"/>
      <c r="BE36" s="256"/>
      <c r="BF36" s="256"/>
      <c r="BG36" s="256"/>
      <c r="BH36" s="256"/>
      <c r="BI36" s="256"/>
      <c r="BJ36" s="257"/>
      <c r="BK36" s="245"/>
    </row>
    <row r="37" spans="1:63" ht="15" customHeight="1" x14ac:dyDescent="0.25">
      <c r="A37" s="244"/>
      <c r="B37" s="220"/>
      <c r="C37" s="221"/>
      <c r="D37" s="221"/>
      <c r="E37" s="221"/>
      <c r="F37" s="221"/>
      <c r="G37" s="222"/>
      <c r="H37" s="220"/>
      <c r="I37" s="221"/>
      <c r="J37" s="221"/>
      <c r="K37" s="221"/>
      <c r="L37" s="221"/>
      <c r="M37" s="221"/>
      <c r="N37" s="222"/>
      <c r="O37" s="220"/>
      <c r="P37" s="221"/>
      <c r="Q37" s="221"/>
      <c r="R37" s="221"/>
      <c r="S37" s="247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9"/>
      <c r="AX37" s="250"/>
      <c r="AY37" s="250"/>
      <c r="AZ37" s="250"/>
      <c r="BA37" s="250"/>
      <c r="BB37" s="250"/>
      <c r="BC37" s="251"/>
      <c r="BD37" s="252"/>
      <c r="BE37" s="250"/>
      <c r="BF37" s="250"/>
      <c r="BG37" s="250"/>
      <c r="BH37" s="250"/>
      <c r="BI37" s="250"/>
      <c r="BJ37" s="251"/>
      <c r="BK37" s="245"/>
    </row>
    <row r="38" spans="1:63" ht="15" customHeight="1" x14ac:dyDescent="0.25">
      <c r="A38" s="244"/>
      <c r="B38" s="229"/>
      <c r="C38" s="230"/>
      <c r="D38" s="230"/>
      <c r="E38" s="230"/>
      <c r="F38" s="230"/>
      <c r="G38" s="231"/>
      <c r="H38" s="229"/>
      <c r="I38" s="230"/>
      <c r="J38" s="230"/>
      <c r="K38" s="230"/>
      <c r="L38" s="230"/>
      <c r="M38" s="230"/>
      <c r="N38" s="231"/>
      <c r="O38" s="229"/>
      <c r="P38" s="230"/>
      <c r="Q38" s="230"/>
      <c r="R38" s="230"/>
      <c r="S38" s="253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5"/>
      <c r="AX38" s="256"/>
      <c r="AY38" s="256"/>
      <c r="AZ38" s="256"/>
      <c r="BA38" s="256"/>
      <c r="BB38" s="256"/>
      <c r="BC38" s="257"/>
      <c r="BD38" s="258"/>
      <c r="BE38" s="256"/>
      <c r="BF38" s="256"/>
      <c r="BG38" s="256"/>
      <c r="BH38" s="256"/>
      <c r="BI38" s="256"/>
      <c r="BJ38" s="257"/>
      <c r="BK38" s="245"/>
    </row>
    <row r="39" spans="1:63" ht="15" customHeight="1" x14ac:dyDescent="0.25">
      <c r="A39" s="244"/>
      <c r="B39" s="220"/>
      <c r="C39" s="221"/>
      <c r="D39" s="221"/>
      <c r="E39" s="221"/>
      <c r="F39" s="221"/>
      <c r="G39" s="222"/>
      <c r="H39" s="220"/>
      <c r="I39" s="221"/>
      <c r="J39" s="221"/>
      <c r="K39" s="221"/>
      <c r="L39" s="221"/>
      <c r="M39" s="221"/>
      <c r="N39" s="222"/>
      <c r="O39" s="220"/>
      <c r="P39" s="221"/>
      <c r="Q39" s="221"/>
      <c r="R39" s="221"/>
      <c r="S39" s="247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9"/>
      <c r="AX39" s="250"/>
      <c r="AY39" s="250"/>
      <c r="AZ39" s="250"/>
      <c r="BA39" s="250"/>
      <c r="BB39" s="250"/>
      <c r="BC39" s="251"/>
      <c r="BD39" s="252"/>
      <c r="BE39" s="250"/>
      <c r="BF39" s="250"/>
      <c r="BG39" s="250"/>
      <c r="BH39" s="250"/>
      <c r="BI39" s="250"/>
      <c r="BJ39" s="251"/>
      <c r="BK39" s="245"/>
    </row>
    <row r="40" spans="1:63" ht="15" customHeight="1" x14ac:dyDescent="0.25">
      <c r="A40" s="244"/>
      <c r="B40" s="229"/>
      <c r="C40" s="230"/>
      <c r="D40" s="230"/>
      <c r="E40" s="230"/>
      <c r="F40" s="230"/>
      <c r="G40" s="231"/>
      <c r="H40" s="229"/>
      <c r="I40" s="230"/>
      <c r="J40" s="230"/>
      <c r="K40" s="230"/>
      <c r="L40" s="230"/>
      <c r="M40" s="230"/>
      <c r="N40" s="231"/>
      <c r="O40" s="229"/>
      <c r="P40" s="230"/>
      <c r="Q40" s="230"/>
      <c r="R40" s="230"/>
      <c r="S40" s="253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5"/>
      <c r="AX40" s="256"/>
      <c r="AY40" s="256"/>
      <c r="AZ40" s="256"/>
      <c r="BA40" s="256"/>
      <c r="BB40" s="256"/>
      <c r="BC40" s="257"/>
      <c r="BD40" s="258"/>
      <c r="BE40" s="256"/>
      <c r="BF40" s="256"/>
      <c r="BG40" s="256"/>
      <c r="BH40" s="256"/>
      <c r="BI40" s="256"/>
      <c r="BJ40" s="257"/>
      <c r="BK40" s="245"/>
    </row>
    <row r="41" spans="1:63" ht="15" customHeight="1" x14ac:dyDescent="0.25">
      <c r="A41" s="244"/>
      <c r="B41" s="220"/>
      <c r="C41" s="221"/>
      <c r="D41" s="221"/>
      <c r="E41" s="221"/>
      <c r="F41" s="221"/>
      <c r="G41" s="222"/>
      <c r="H41" s="220"/>
      <c r="I41" s="221"/>
      <c r="J41" s="221"/>
      <c r="K41" s="221"/>
      <c r="L41" s="221"/>
      <c r="M41" s="221"/>
      <c r="N41" s="222"/>
      <c r="O41" s="220"/>
      <c r="P41" s="221"/>
      <c r="Q41" s="221"/>
      <c r="R41" s="221"/>
      <c r="S41" s="247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9"/>
      <c r="AX41" s="250"/>
      <c r="AY41" s="250"/>
      <c r="AZ41" s="250"/>
      <c r="BA41" s="250"/>
      <c r="BB41" s="250"/>
      <c r="BC41" s="251"/>
      <c r="BD41" s="252"/>
      <c r="BE41" s="250"/>
      <c r="BF41" s="250"/>
      <c r="BG41" s="250"/>
      <c r="BH41" s="250"/>
      <c r="BI41" s="250"/>
      <c r="BJ41" s="251"/>
      <c r="BK41" s="245"/>
    </row>
    <row r="42" spans="1:63" ht="15" customHeight="1" x14ac:dyDescent="0.25">
      <c r="A42" s="244"/>
      <c r="B42" s="229"/>
      <c r="C42" s="230"/>
      <c r="D42" s="230"/>
      <c r="E42" s="230"/>
      <c r="F42" s="230"/>
      <c r="G42" s="231"/>
      <c r="H42" s="229"/>
      <c r="I42" s="230"/>
      <c r="J42" s="230"/>
      <c r="K42" s="230"/>
      <c r="L42" s="230"/>
      <c r="M42" s="230"/>
      <c r="N42" s="231"/>
      <c r="O42" s="229"/>
      <c r="P42" s="230"/>
      <c r="Q42" s="230"/>
      <c r="R42" s="230"/>
      <c r="S42" s="253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5"/>
      <c r="AX42" s="256"/>
      <c r="AY42" s="256"/>
      <c r="AZ42" s="256"/>
      <c r="BA42" s="256"/>
      <c r="BB42" s="256"/>
      <c r="BC42" s="257"/>
      <c r="BD42" s="258"/>
      <c r="BE42" s="256"/>
      <c r="BF42" s="256"/>
      <c r="BG42" s="256"/>
      <c r="BH42" s="256"/>
      <c r="BI42" s="256"/>
      <c r="BJ42" s="257"/>
      <c r="BK42" s="245"/>
    </row>
    <row r="43" spans="1:63" ht="15" customHeight="1" x14ac:dyDescent="0.25">
      <c r="A43" s="244"/>
      <c r="B43" s="220"/>
      <c r="C43" s="221"/>
      <c r="D43" s="221"/>
      <c r="E43" s="221"/>
      <c r="F43" s="221"/>
      <c r="G43" s="222"/>
      <c r="H43" s="220"/>
      <c r="I43" s="221"/>
      <c r="J43" s="221"/>
      <c r="K43" s="221"/>
      <c r="L43" s="221"/>
      <c r="M43" s="221"/>
      <c r="N43" s="222"/>
      <c r="O43" s="220"/>
      <c r="P43" s="221"/>
      <c r="Q43" s="221"/>
      <c r="R43" s="221"/>
      <c r="S43" s="247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9"/>
      <c r="AX43" s="250"/>
      <c r="AY43" s="250"/>
      <c r="AZ43" s="250"/>
      <c r="BA43" s="250"/>
      <c r="BB43" s="250"/>
      <c r="BC43" s="251"/>
      <c r="BD43" s="252"/>
      <c r="BE43" s="250"/>
      <c r="BF43" s="250"/>
      <c r="BG43" s="250"/>
      <c r="BH43" s="250"/>
      <c r="BI43" s="250"/>
      <c r="BJ43" s="251"/>
      <c r="BK43" s="245"/>
    </row>
    <row r="44" spans="1:63" ht="15" customHeight="1" x14ac:dyDescent="0.25">
      <c r="A44" s="244"/>
      <c r="B44" s="229"/>
      <c r="C44" s="230"/>
      <c r="D44" s="230"/>
      <c r="E44" s="230"/>
      <c r="F44" s="230"/>
      <c r="G44" s="231"/>
      <c r="H44" s="229"/>
      <c r="I44" s="230"/>
      <c r="J44" s="230"/>
      <c r="K44" s="230"/>
      <c r="L44" s="230"/>
      <c r="M44" s="230"/>
      <c r="N44" s="231"/>
      <c r="O44" s="229"/>
      <c r="P44" s="230"/>
      <c r="Q44" s="230"/>
      <c r="R44" s="230"/>
      <c r="S44" s="253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5"/>
      <c r="AX44" s="256"/>
      <c r="AY44" s="256"/>
      <c r="AZ44" s="256"/>
      <c r="BA44" s="256"/>
      <c r="BB44" s="256"/>
      <c r="BC44" s="257"/>
      <c r="BD44" s="258"/>
      <c r="BE44" s="256"/>
      <c r="BF44" s="256"/>
      <c r="BG44" s="256"/>
      <c r="BH44" s="256"/>
      <c r="BI44" s="256"/>
      <c r="BJ44" s="257"/>
      <c r="BK44" s="245"/>
    </row>
    <row r="45" spans="1:63" ht="15" customHeight="1" x14ac:dyDescent="0.25">
      <c r="A45" s="244"/>
      <c r="B45" s="220"/>
      <c r="C45" s="221"/>
      <c r="D45" s="221"/>
      <c r="E45" s="221"/>
      <c r="F45" s="221"/>
      <c r="G45" s="222"/>
      <c r="H45" s="220"/>
      <c r="I45" s="221"/>
      <c r="J45" s="221"/>
      <c r="K45" s="221"/>
      <c r="L45" s="221"/>
      <c r="M45" s="221"/>
      <c r="N45" s="222"/>
      <c r="O45" s="220"/>
      <c r="P45" s="221"/>
      <c r="Q45" s="221"/>
      <c r="R45" s="221"/>
      <c r="S45" s="247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9"/>
      <c r="AX45" s="250"/>
      <c r="AY45" s="250"/>
      <c r="AZ45" s="250"/>
      <c r="BA45" s="250"/>
      <c r="BB45" s="250"/>
      <c r="BC45" s="251"/>
      <c r="BD45" s="252"/>
      <c r="BE45" s="250"/>
      <c r="BF45" s="250"/>
      <c r="BG45" s="250"/>
      <c r="BH45" s="250"/>
      <c r="BI45" s="250"/>
      <c r="BJ45" s="251"/>
      <c r="BK45" s="245"/>
    </row>
    <row r="46" spans="1:63" ht="15" customHeight="1" x14ac:dyDescent="0.25">
      <c r="A46" s="244"/>
      <c r="B46" s="229"/>
      <c r="C46" s="230"/>
      <c r="D46" s="230"/>
      <c r="E46" s="230"/>
      <c r="F46" s="230"/>
      <c r="G46" s="231"/>
      <c r="H46" s="229"/>
      <c r="I46" s="230"/>
      <c r="J46" s="230"/>
      <c r="K46" s="230"/>
      <c r="L46" s="230"/>
      <c r="M46" s="230"/>
      <c r="N46" s="231"/>
      <c r="O46" s="229"/>
      <c r="P46" s="230"/>
      <c r="Q46" s="230"/>
      <c r="R46" s="230"/>
      <c r="S46" s="253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5"/>
      <c r="AX46" s="256"/>
      <c r="AY46" s="256"/>
      <c r="AZ46" s="256"/>
      <c r="BA46" s="256"/>
      <c r="BB46" s="256"/>
      <c r="BC46" s="257"/>
      <c r="BD46" s="258"/>
      <c r="BE46" s="256"/>
      <c r="BF46" s="256"/>
      <c r="BG46" s="256"/>
      <c r="BH46" s="256"/>
      <c r="BI46" s="256"/>
      <c r="BJ46" s="257"/>
      <c r="BK46" s="245"/>
    </row>
    <row r="47" spans="1:63" ht="15" customHeight="1" x14ac:dyDescent="0.25">
      <c r="A47" s="244"/>
      <c r="B47" s="220"/>
      <c r="C47" s="221"/>
      <c r="D47" s="221"/>
      <c r="E47" s="221"/>
      <c r="F47" s="221"/>
      <c r="G47" s="222"/>
      <c r="H47" s="220"/>
      <c r="I47" s="221"/>
      <c r="J47" s="221"/>
      <c r="K47" s="221"/>
      <c r="L47" s="221"/>
      <c r="M47" s="221"/>
      <c r="N47" s="222"/>
      <c r="O47" s="220"/>
      <c r="P47" s="221"/>
      <c r="Q47" s="221"/>
      <c r="R47" s="221"/>
      <c r="S47" s="247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9"/>
      <c r="AX47" s="250"/>
      <c r="AY47" s="250"/>
      <c r="AZ47" s="250"/>
      <c r="BA47" s="250"/>
      <c r="BB47" s="250"/>
      <c r="BC47" s="251"/>
      <c r="BD47" s="252"/>
      <c r="BE47" s="250"/>
      <c r="BF47" s="250"/>
      <c r="BG47" s="250"/>
      <c r="BH47" s="250"/>
      <c r="BI47" s="250"/>
      <c r="BJ47" s="251"/>
      <c r="BK47" s="245"/>
    </row>
    <row r="48" spans="1:63" ht="15" customHeight="1" x14ac:dyDescent="0.25">
      <c r="A48" s="244"/>
      <c r="B48" s="229"/>
      <c r="C48" s="230"/>
      <c r="D48" s="230"/>
      <c r="E48" s="230"/>
      <c r="F48" s="230"/>
      <c r="G48" s="231"/>
      <c r="H48" s="229"/>
      <c r="I48" s="230"/>
      <c r="J48" s="230"/>
      <c r="K48" s="230"/>
      <c r="L48" s="230"/>
      <c r="M48" s="230"/>
      <c r="N48" s="231"/>
      <c r="O48" s="229"/>
      <c r="P48" s="230"/>
      <c r="Q48" s="230"/>
      <c r="R48" s="230"/>
      <c r="S48" s="253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254"/>
      <c r="AO48" s="254"/>
      <c r="AP48" s="254"/>
      <c r="AQ48" s="254"/>
      <c r="AR48" s="254"/>
      <c r="AS48" s="254"/>
      <c r="AT48" s="254"/>
      <c r="AU48" s="254"/>
      <c r="AV48" s="254"/>
      <c r="AW48" s="255"/>
      <c r="AX48" s="256"/>
      <c r="AY48" s="256"/>
      <c r="AZ48" s="256"/>
      <c r="BA48" s="256"/>
      <c r="BB48" s="256"/>
      <c r="BC48" s="257"/>
      <c r="BD48" s="258"/>
      <c r="BE48" s="256"/>
      <c r="BF48" s="256"/>
      <c r="BG48" s="256"/>
      <c r="BH48" s="256"/>
      <c r="BI48" s="256"/>
      <c r="BJ48" s="257"/>
      <c r="BK48" s="245"/>
    </row>
    <row r="49" spans="1:63" ht="15" customHeight="1" x14ac:dyDescent="0.25">
      <c r="A49" s="244"/>
      <c r="B49" s="220"/>
      <c r="C49" s="221"/>
      <c r="D49" s="221"/>
      <c r="E49" s="221"/>
      <c r="F49" s="221"/>
      <c r="G49" s="222"/>
      <c r="H49" s="220"/>
      <c r="I49" s="221"/>
      <c r="J49" s="221"/>
      <c r="K49" s="221"/>
      <c r="L49" s="221"/>
      <c r="M49" s="221"/>
      <c r="N49" s="222"/>
      <c r="O49" s="220"/>
      <c r="P49" s="221"/>
      <c r="Q49" s="221"/>
      <c r="R49" s="221"/>
      <c r="S49" s="247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9"/>
      <c r="AX49" s="250"/>
      <c r="AY49" s="250"/>
      <c r="AZ49" s="250"/>
      <c r="BA49" s="250"/>
      <c r="BB49" s="250"/>
      <c r="BC49" s="251"/>
      <c r="BD49" s="252"/>
      <c r="BE49" s="250"/>
      <c r="BF49" s="250"/>
      <c r="BG49" s="250"/>
      <c r="BH49" s="250"/>
      <c r="BI49" s="250"/>
      <c r="BJ49" s="251"/>
      <c r="BK49" s="245"/>
    </row>
    <row r="50" spans="1:63" ht="15" customHeight="1" x14ac:dyDescent="0.25">
      <c r="A50" s="244"/>
      <c r="B50" s="229"/>
      <c r="C50" s="230"/>
      <c r="D50" s="230"/>
      <c r="E50" s="230"/>
      <c r="F50" s="230"/>
      <c r="G50" s="231"/>
      <c r="H50" s="229"/>
      <c r="I50" s="230"/>
      <c r="J50" s="230"/>
      <c r="K50" s="230"/>
      <c r="L50" s="230"/>
      <c r="M50" s="230"/>
      <c r="N50" s="231"/>
      <c r="O50" s="229"/>
      <c r="P50" s="230"/>
      <c r="Q50" s="230"/>
      <c r="R50" s="230"/>
      <c r="S50" s="253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4"/>
      <c r="AO50" s="254"/>
      <c r="AP50" s="254"/>
      <c r="AQ50" s="254"/>
      <c r="AR50" s="254"/>
      <c r="AS50" s="254"/>
      <c r="AT50" s="254"/>
      <c r="AU50" s="254"/>
      <c r="AV50" s="254"/>
      <c r="AW50" s="255"/>
      <c r="AX50" s="256"/>
      <c r="AY50" s="256"/>
      <c r="AZ50" s="256"/>
      <c r="BA50" s="256"/>
      <c r="BB50" s="256"/>
      <c r="BC50" s="257"/>
      <c r="BD50" s="258"/>
      <c r="BE50" s="256"/>
      <c r="BF50" s="256"/>
      <c r="BG50" s="256"/>
      <c r="BH50" s="256"/>
      <c r="BI50" s="256"/>
      <c r="BJ50" s="257"/>
      <c r="BK50" s="245"/>
    </row>
    <row r="51" spans="1:63" ht="15" customHeight="1" x14ac:dyDescent="0.25">
      <c r="A51" s="244"/>
      <c r="B51" s="220"/>
      <c r="C51" s="221"/>
      <c r="D51" s="221"/>
      <c r="E51" s="221"/>
      <c r="F51" s="221"/>
      <c r="G51" s="222"/>
      <c r="H51" s="220"/>
      <c r="I51" s="221"/>
      <c r="J51" s="221"/>
      <c r="K51" s="221"/>
      <c r="L51" s="221"/>
      <c r="M51" s="221"/>
      <c r="N51" s="222"/>
      <c r="O51" s="220"/>
      <c r="P51" s="221"/>
      <c r="Q51" s="221"/>
      <c r="R51" s="221"/>
      <c r="S51" s="247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9"/>
      <c r="AX51" s="250"/>
      <c r="AY51" s="250"/>
      <c r="AZ51" s="250"/>
      <c r="BA51" s="250"/>
      <c r="BB51" s="250"/>
      <c r="BC51" s="251"/>
      <c r="BD51" s="252"/>
      <c r="BE51" s="250"/>
      <c r="BF51" s="250"/>
      <c r="BG51" s="250"/>
      <c r="BH51" s="250"/>
      <c r="BI51" s="250"/>
      <c r="BJ51" s="251"/>
      <c r="BK51" s="245"/>
    </row>
    <row r="52" spans="1:63" ht="15" customHeight="1" x14ac:dyDescent="0.25">
      <c r="A52" s="244"/>
      <c r="B52" s="229"/>
      <c r="C52" s="230"/>
      <c r="D52" s="230"/>
      <c r="E52" s="230"/>
      <c r="F52" s="230"/>
      <c r="G52" s="231"/>
      <c r="H52" s="229"/>
      <c r="I52" s="230"/>
      <c r="J52" s="230"/>
      <c r="K52" s="230"/>
      <c r="L52" s="230"/>
      <c r="M52" s="230"/>
      <c r="N52" s="231"/>
      <c r="O52" s="229"/>
      <c r="P52" s="230"/>
      <c r="Q52" s="230"/>
      <c r="R52" s="230"/>
      <c r="S52" s="253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5"/>
      <c r="AX52" s="256"/>
      <c r="AY52" s="256"/>
      <c r="AZ52" s="256"/>
      <c r="BA52" s="256"/>
      <c r="BB52" s="256"/>
      <c r="BC52" s="257"/>
      <c r="BD52" s="258"/>
      <c r="BE52" s="256"/>
      <c r="BF52" s="256"/>
      <c r="BG52" s="256"/>
      <c r="BH52" s="256"/>
      <c r="BI52" s="256"/>
      <c r="BJ52" s="257"/>
      <c r="BK52" s="245"/>
    </row>
    <row r="53" spans="1:63" ht="15" customHeight="1" x14ac:dyDescent="0.25">
      <c r="A53" s="244"/>
      <c r="B53" s="220"/>
      <c r="C53" s="221"/>
      <c r="D53" s="221"/>
      <c r="E53" s="221"/>
      <c r="F53" s="221"/>
      <c r="G53" s="222"/>
      <c r="H53" s="220"/>
      <c r="I53" s="221"/>
      <c r="J53" s="221"/>
      <c r="K53" s="221"/>
      <c r="L53" s="221"/>
      <c r="M53" s="221"/>
      <c r="N53" s="222"/>
      <c r="O53" s="220"/>
      <c r="P53" s="221"/>
      <c r="Q53" s="221"/>
      <c r="R53" s="221"/>
      <c r="S53" s="247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9"/>
      <c r="AX53" s="250"/>
      <c r="AY53" s="250"/>
      <c r="AZ53" s="250"/>
      <c r="BA53" s="250"/>
      <c r="BB53" s="250"/>
      <c r="BC53" s="251"/>
      <c r="BD53" s="252"/>
      <c r="BE53" s="250"/>
      <c r="BF53" s="250"/>
      <c r="BG53" s="250"/>
      <c r="BH53" s="250"/>
      <c r="BI53" s="250"/>
      <c r="BJ53" s="251"/>
      <c r="BK53" s="245"/>
    </row>
    <row r="54" spans="1:63" ht="15" customHeight="1" x14ac:dyDescent="0.25">
      <c r="A54" s="244"/>
      <c r="B54" s="229"/>
      <c r="C54" s="230"/>
      <c r="D54" s="230"/>
      <c r="E54" s="230"/>
      <c r="F54" s="230"/>
      <c r="G54" s="231"/>
      <c r="H54" s="229"/>
      <c r="I54" s="230"/>
      <c r="J54" s="230"/>
      <c r="K54" s="230"/>
      <c r="L54" s="230"/>
      <c r="M54" s="230"/>
      <c r="N54" s="231"/>
      <c r="O54" s="229"/>
      <c r="P54" s="230"/>
      <c r="Q54" s="230"/>
      <c r="R54" s="230"/>
      <c r="S54" s="253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5"/>
      <c r="AX54" s="256"/>
      <c r="AY54" s="256"/>
      <c r="AZ54" s="256"/>
      <c r="BA54" s="256"/>
      <c r="BB54" s="256"/>
      <c r="BC54" s="257"/>
      <c r="BD54" s="258"/>
      <c r="BE54" s="256"/>
      <c r="BF54" s="256"/>
      <c r="BG54" s="256"/>
      <c r="BH54" s="256"/>
      <c r="BI54" s="256"/>
      <c r="BJ54" s="257"/>
      <c r="BK54" s="245"/>
    </row>
    <row r="55" spans="1:63" ht="15" customHeight="1" x14ac:dyDescent="0.25">
      <c r="A55" s="241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  <c r="BK55" s="24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9" t="s">
        <v>134</v>
      </c>
      <c r="B1" s="260"/>
      <c r="C1" s="260"/>
      <c r="D1" s="260"/>
      <c r="E1" s="260"/>
      <c r="F1" s="260"/>
      <c r="G1" s="260"/>
      <c r="H1" s="260"/>
      <c r="I1" s="260"/>
      <c r="J1" s="261"/>
      <c r="K1" s="259" t="s">
        <v>135</v>
      </c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62" t="str">
        <f>IF(表紙!W1="","",表紙!W1)</f>
        <v>詳細設計書</v>
      </c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4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5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7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68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70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59" t="s">
        <v>146</v>
      </c>
      <c r="B4" s="260"/>
      <c r="C4" s="260"/>
      <c r="D4" s="260"/>
      <c r="E4" s="260"/>
      <c r="F4" s="260"/>
      <c r="G4" s="261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259" t="s">
        <v>142</v>
      </c>
      <c r="V4" s="260"/>
      <c r="W4" s="260"/>
      <c r="X4" s="260"/>
      <c r="Y4" s="261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処理フロー凡例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19" customFormat="1" ht="15" customHeight="1" x14ac:dyDescent="0.25">
      <c r="A7" s="271"/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4"/>
      <c r="AF7" s="275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76"/>
    </row>
    <row r="8" spans="1:63" s="277" customFormat="1" ht="15" customHeight="1" x14ac:dyDescent="0.25">
      <c r="BK8" s="276"/>
    </row>
    <row r="9" spans="1:63" s="277" customFormat="1" ht="15" customHeight="1" x14ac:dyDescent="0.25">
      <c r="BK9" s="276"/>
    </row>
    <row r="10" spans="1:63" s="277" customFormat="1" ht="15" customHeight="1" x14ac:dyDescent="0.25">
      <c r="BK10" s="276"/>
    </row>
    <row r="11" spans="1:63" s="277" customFormat="1" ht="15" customHeight="1" x14ac:dyDescent="0.25">
      <c r="BK11" s="276"/>
    </row>
    <row r="12" spans="1:63" s="277" customFormat="1" ht="15" customHeight="1" x14ac:dyDescent="0.25">
      <c r="BK12" s="276"/>
    </row>
    <row r="13" spans="1:63" s="277" customFormat="1" ht="15" customHeight="1" x14ac:dyDescent="0.25">
      <c r="BK13" s="276"/>
    </row>
    <row r="14" spans="1:63" s="277" customFormat="1" ht="15" customHeight="1" x14ac:dyDescent="0.25">
      <c r="BK14" s="276"/>
    </row>
    <row r="15" spans="1:63" s="277" customFormat="1" ht="15" customHeight="1" x14ac:dyDescent="0.25">
      <c r="BK15" s="276"/>
    </row>
    <row r="16" spans="1:63" s="277" customFormat="1" ht="15" customHeight="1" x14ac:dyDescent="0.25">
      <c r="BK16" s="276"/>
    </row>
    <row r="17" spans="63:63" s="277" customFormat="1" ht="15" customHeight="1" x14ac:dyDescent="0.25">
      <c r="BK17" s="276"/>
    </row>
    <row r="18" spans="63:63" s="277" customFormat="1" ht="15" customHeight="1" x14ac:dyDescent="0.25">
      <c r="BK18" s="276"/>
    </row>
    <row r="19" spans="63:63" s="277" customFormat="1" ht="15" customHeight="1" x14ac:dyDescent="0.25">
      <c r="BK19" s="276"/>
    </row>
    <row r="20" spans="63:63" s="277" customFormat="1" ht="15" customHeight="1" x14ac:dyDescent="0.25">
      <c r="BK20" s="276"/>
    </row>
    <row r="21" spans="63:63" s="277" customFormat="1" ht="15" customHeight="1" x14ac:dyDescent="0.25">
      <c r="BK21" s="276"/>
    </row>
    <row r="22" spans="63:63" s="277" customFormat="1" ht="15" customHeight="1" x14ac:dyDescent="0.25">
      <c r="BK22" s="276"/>
    </row>
    <row r="23" spans="63:63" s="277" customFormat="1" ht="15" customHeight="1" x14ac:dyDescent="0.25">
      <c r="BK23" s="276"/>
    </row>
    <row r="24" spans="63:63" s="277" customFormat="1" ht="15" customHeight="1" x14ac:dyDescent="0.25">
      <c r="BK24" s="276"/>
    </row>
    <row r="25" spans="63:63" s="277" customFormat="1" ht="15" customHeight="1" x14ac:dyDescent="0.25">
      <c r="BK25" s="276"/>
    </row>
    <row r="26" spans="63:63" s="277" customFormat="1" ht="15" customHeight="1" x14ac:dyDescent="0.25">
      <c r="BK26" s="276"/>
    </row>
    <row r="27" spans="63:63" s="277" customFormat="1" ht="15" customHeight="1" x14ac:dyDescent="0.25">
      <c r="BK27" s="276"/>
    </row>
    <row r="28" spans="63:63" s="277" customFormat="1" ht="15" customHeight="1" x14ac:dyDescent="0.25">
      <c r="BK28" s="276"/>
    </row>
    <row r="29" spans="63:63" s="277" customFormat="1" ht="15" customHeight="1" x14ac:dyDescent="0.25">
      <c r="BK29" s="276"/>
    </row>
    <row r="30" spans="63:63" s="277" customFormat="1" ht="15" customHeight="1" x14ac:dyDescent="0.25">
      <c r="BK30" s="276"/>
    </row>
    <row r="31" spans="63:63" s="277" customFormat="1" ht="15" customHeight="1" x14ac:dyDescent="0.25">
      <c r="BK31" s="276"/>
    </row>
    <row r="32" spans="63:63" s="277" customFormat="1" ht="15" customHeight="1" x14ac:dyDescent="0.25">
      <c r="BK32" s="276"/>
    </row>
    <row r="33" spans="63:63" s="277" customFormat="1" ht="15" customHeight="1" x14ac:dyDescent="0.25">
      <c r="BK33" s="276"/>
    </row>
    <row r="34" spans="63:63" s="277" customFormat="1" ht="15" customHeight="1" x14ac:dyDescent="0.25">
      <c r="BK34" s="276"/>
    </row>
    <row r="35" spans="63:63" s="277" customFormat="1" ht="15" customHeight="1" x14ac:dyDescent="0.25">
      <c r="BK35" s="276"/>
    </row>
    <row r="36" spans="63:63" s="277" customFormat="1" ht="15" customHeight="1" x14ac:dyDescent="0.25">
      <c r="BK36" s="276"/>
    </row>
    <row r="37" spans="63:63" s="277" customFormat="1" ht="15" customHeight="1" x14ac:dyDescent="0.25">
      <c r="BK37" s="276"/>
    </row>
    <row r="38" spans="63:63" s="277" customFormat="1" ht="15" customHeight="1" x14ac:dyDescent="0.25">
      <c r="BK38" s="276"/>
    </row>
    <row r="39" spans="63:63" s="277" customFormat="1" ht="15" customHeight="1" x14ac:dyDescent="0.25">
      <c r="BK39" s="276"/>
    </row>
    <row r="40" spans="63:63" s="277" customFormat="1" ht="15" customHeight="1" x14ac:dyDescent="0.25">
      <c r="BK40" s="276"/>
    </row>
    <row r="41" spans="63:63" s="277" customFormat="1" ht="15" customHeight="1" x14ac:dyDescent="0.25">
      <c r="BK41" s="276"/>
    </row>
    <row r="42" spans="63:63" s="277" customFormat="1" ht="15" customHeight="1" x14ac:dyDescent="0.25">
      <c r="BK42" s="276"/>
    </row>
    <row r="43" spans="63:63" s="277" customFormat="1" ht="15" customHeight="1" x14ac:dyDescent="0.25">
      <c r="BK43" s="276"/>
    </row>
    <row r="44" spans="63:63" s="277" customFormat="1" ht="15" customHeight="1" x14ac:dyDescent="0.25">
      <c r="BK44" s="276"/>
    </row>
    <row r="45" spans="63:63" s="277" customFormat="1" ht="15" customHeight="1" x14ac:dyDescent="0.25">
      <c r="BK45" s="276"/>
    </row>
    <row r="46" spans="63:63" s="277" customFormat="1" ht="15" customHeight="1" x14ac:dyDescent="0.25">
      <c r="BK46" s="276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12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3320312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259" t="s">
        <v>134</v>
      </c>
      <c r="B1" s="260"/>
      <c r="C1" s="260"/>
      <c r="D1" s="260"/>
      <c r="E1" s="260"/>
      <c r="F1" s="260"/>
      <c r="G1" s="260"/>
      <c r="H1" s="260"/>
      <c r="I1" s="260"/>
      <c r="J1" s="261"/>
      <c r="K1" s="259" t="s">
        <v>135</v>
      </c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62" t="str">
        <f>IF(表紙!W1="","",表紙!W1)</f>
        <v>詳細設計書</v>
      </c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4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5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7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68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70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59" t="s">
        <v>146</v>
      </c>
      <c r="B4" s="260"/>
      <c r="C4" s="260"/>
      <c r="D4" s="260"/>
      <c r="E4" s="260"/>
      <c r="F4" s="260"/>
      <c r="G4" s="261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259" t="s">
        <v>142</v>
      </c>
      <c r="V4" s="260"/>
      <c r="W4" s="260"/>
      <c r="X4" s="260"/>
      <c r="Y4" s="261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AP1508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9" customFormat="1" ht="15" customHeight="1" x14ac:dyDescent="0.25">
      <c r="A7" s="44"/>
      <c r="B7" s="45" t="s">
        <v>175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78"/>
      <c r="AQ7" s="278"/>
      <c r="AR7" s="278"/>
      <c r="AS7" s="278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7"/>
      <c r="BI7" s="47"/>
      <c r="BJ7" s="47"/>
      <c r="BK7" s="48"/>
    </row>
    <row r="8" spans="1:63" s="49" customFormat="1" ht="15" customHeight="1" x14ac:dyDescent="0.25">
      <c r="A8" s="44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279"/>
      <c r="AQ8" s="279"/>
      <c r="AR8" s="279"/>
      <c r="AS8" s="279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2"/>
      <c r="BI8" s="52"/>
      <c r="BJ8" s="52"/>
      <c r="BK8" s="48"/>
    </row>
    <row r="9" spans="1:63" s="49" customFormat="1" ht="15" customHeight="1" x14ac:dyDescent="0.25">
      <c r="A9" s="44"/>
      <c r="B9" s="50"/>
      <c r="C9" s="51" t="s">
        <v>55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279"/>
      <c r="AQ9" s="279"/>
      <c r="AR9" s="279"/>
      <c r="AS9" s="279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2"/>
      <c r="BI9" s="52"/>
      <c r="BJ9" s="52"/>
      <c r="BK9" s="48"/>
    </row>
    <row r="10" spans="1:63" s="49" customFormat="1" ht="15" customHeight="1" x14ac:dyDescent="0.25">
      <c r="A10" s="44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2"/>
      <c r="BI10" s="52"/>
      <c r="BJ10" s="52"/>
      <c r="BK10" s="48"/>
    </row>
    <row r="11" spans="1:63" s="49" customFormat="1" ht="15" customHeight="1" x14ac:dyDescent="0.25">
      <c r="A11" s="44"/>
      <c r="B11" s="53" t="s">
        <v>148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7"/>
      <c r="BI11" s="47"/>
      <c r="BJ11" s="47"/>
      <c r="BK11" s="48"/>
    </row>
    <row r="12" spans="1:63" s="49" customFormat="1" ht="15" customHeight="1" x14ac:dyDescent="0.25">
      <c r="A12" s="44"/>
      <c r="B12" s="51"/>
      <c r="C12" s="54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2"/>
      <c r="BI12" s="52"/>
      <c r="BJ12" s="52"/>
      <c r="BK12" s="48"/>
    </row>
    <row r="13" spans="1:63" s="49" customFormat="1" ht="15" customHeight="1" x14ac:dyDescent="0.25">
      <c r="A13" s="44"/>
      <c r="B13" s="51"/>
      <c r="C13" s="54" t="s">
        <v>149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2"/>
      <c r="BI13" s="52"/>
      <c r="BJ13" s="52"/>
      <c r="BK13" s="48"/>
    </row>
    <row r="14" spans="1:63" s="49" customFormat="1" ht="15" customHeight="1" x14ac:dyDescent="0.25">
      <c r="A14" s="44"/>
      <c r="B14" s="51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2"/>
      <c r="BI14" s="52"/>
      <c r="BJ14" s="52"/>
      <c r="BK14" s="48"/>
    </row>
    <row r="15" spans="1:63" s="49" customFormat="1" ht="15" customHeight="1" x14ac:dyDescent="0.25">
      <c r="A15" s="44"/>
      <c r="B15" s="51"/>
      <c r="C15" s="162" t="s">
        <v>26</v>
      </c>
      <c r="D15" s="164"/>
      <c r="E15" s="162" t="s">
        <v>36</v>
      </c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4"/>
      <c r="AG15" s="162" t="s">
        <v>37</v>
      </c>
      <c r="AH15" s="163"/>
      <c r="AI15" s="163"/>
      <c r="AJ15" s="163"/>
      <c r="AK15" s="163"/>
      <c r="AL15" s="163"/>
      <c r="AM15" s="163"/>
      <c r="AN15" s="163"/>
      <c r="AO15" s="163"/>
      <c r="AP15" s="164"/>
      <c r="AQ15" s="162" t="s">
        <v>38</v>
      </c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4"/>
      <c r="BK15" s="48"/>
    </row>
    <row r="16" spans="1:63" s="49" customFormat="1" ht="15" customHeight="1" x14ac:dyDescent="0.25">
      <c r="A16" s="44"/>
      <c r="B16" s="51"/>
      <c r="C16" s="136">
        <v>1</v>
      </c>
      <c r="D16" s="137"/>
      <c r="E16" s="140" t="s">
        <v>186</v>
      </c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2"/>
      <c r="AG16" s="136" t="s">
        <v>43</v>
      </c>
      <c r="AH16" s="151"/>
      <c r="AI16" s="151"/>
      <c r="AJ16" s="151"/>
      <c r="AK16" s="151"/>
      <c r="AL16" s="151"/>
      <c r="AM16" s="151"/>
      <c r="AN16" s="151"/>
      <c r="AO16" s="151"/>
      <c r="AP16" s="137"/>
      <c r="AQ16" s="171" t="s">
        <v>20</v>
      </c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3"/>
      <c r="BK16" s="48"/>
    </row>
    <row r="17" spans="1:63" s="49" customFormat="1" ht="15" customHeight="1" x14ac:dyDescent="0.25">
      <c r="A17" s="44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2"/>
      <c r="BI17" s="52"/>
      <c r="BJ17" s="52"/>
      <c r="BK17" s="48"/>
    </row>
    <row r="18" spans="1:63" s="49" customFormat="1" ht="15" customHeight="1" x14ac:dyDescent="0.25">
      <c r="A18" s="44"/>
      <c r="B18" s="51"/>
      <c r="C18" s="54" t="s">
        <v>150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2"/>
      <c r="BI18" s="52"/>
      <c r="BJ18" s="52"/>
      <c r="BK18" s="48"/>
    </row>
    <row r="19" spans="1:63" s="49" customFormat="1" ht="15" customHeight="1" x14ac:dyDescent="0.25">
      <c r="A19" s="44"/>
      <c r="B19" s="51"/>
      <c r="C19" s="54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2"/>
      <c r="BI19" s="52"/>
      <c r="BJ19" s="52"/>
      <c r="BK19" s="48"/>
    </row>
    <row r="20" spans="1:63" s="49" customFormat="1" ht="15" customHeight="1" x14ac:dyDescent="0.25">
      <c r="A20" s="44"/>
      <c r="B20" s="51"/>
      <c r="C20" s="165" t="s">
        <v>176</v>
      </c>
      <c r="D20" s="166"/>
      <c r="E20" s="165" t="s">
        <v>151</v>
      </c>
      <c r="F20" s="167"/>
      <c r="G20" s="167"/>
      <c r="H20" s="167"/>
      <c r="I20" s="167"/>
      <c r="J20" s="167"/>
      <c r="K20" s="166"/>
      <c r="L20" s="162" t="s">
        <v>39</v>
      </c>
      <c r="M20" s="163"/>
      <c r="N20" s="164"/>
      <c r="O20" s="162" t="s">
        <v>40</v>
      </c>
      <c r="P20" s="163"/>
      <c r="Q20" s="163"/>
      <c r="R20" s="164"/>
      <c r="S20" s="162" t="s">
        <v>41</v>
      </c>
      <c r="T20" s="163"/>
      <c r="U20" s="163"/>
      <c r="V20" s="163"/>
      <c r="W20" s="163"/>
      <c r="X20" s="163"/>
      <c r="Y20" s="164"/>
      <c r="Z20" s="165" t="s">
        <v>152</v>
      </c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6"/>
      <c r="AQ20" s="162" t="s">
        <v>38</v>
      </c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4"/>
      <c r="BK20" s="48"/>
    </row>
    <row r="21" spans="1:63" s="49" customFormat="1" ht="15" customHeight="1" x14ac:dyDescent="0.25">
      <c r="A21" s="44"/>
      <c r="B21" s="51"/>
      <c r="C21" s="174">
        <v>1</v>
      </c>
      <c r="D21" s="176"/>
      <c r="E21" s="280" t="s">
        <v>17</v>
      </c>
      <c r="F21" s="281"/>
      <c r="G21" s="281"/>
      <c r="H21" s="281"/>
      <c r="I21" s="281"/>
      <c r="J21" s="281"/>
      <c r="K21" s="282"/>
      <c r="L21" s="185" t="s">
        <v>18</v>
      </c>
      <c r="M21" s="186"/>
      <c r="N21" s="187"/>
      <c r="O21" s="174" t="s">
        <v>19</v>
      </c>
      <c r="P21" s="175"/>
      <c r="Q21" s="175"/>
      <c r="R21" s="176"/>
      <c r="S21" s="174" t="s">
        <v>20</v>
      </c>
      <c r="T21" s="175"/>
      <c r="U21" s="175"/>
      <c r="V21" s="175"/>
      <c r="W21" s="175"/>
      <c r="X21" s="175"/>
      <c r="Y21" s="176"/>
      <c r="Z21" s="280" t="s">
        <v>21</v>
      </c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  <c r="AO21" s="281"/>
      <c r="AP21" s="282"/>
      <c r="AQ21" s="283" t="s">
        <v>177</v>
      </c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5"/>
      <c r="BK21" s="48"/>
    </row>
    <row r="22" spans="1:63" s="49" customFormat="1" ht="15" customHeight="1" x14ac:dyDescent="0.25">
      <c r="A22" s="44"/>
      <c r="B22" s="51"/>
      <c r="C22" s="177"/>
      <c r="D22" s="179"/>
      <c r="E22" s="286"/>
      <c r="F22" s="287"/>
      <c r="G22" s="287"/>
      <c r="H22" s="287"/>
      <c r="I22" s="287"/>
      <c r="J22" s="287"/>
      <c r="K22" s="288"/>
      <c r="L22" s="188"/>
      <c r="M22" s="189"/>
      <c r="N22" s="190"/>
      <c r="O22" s="177"/>
      <c r="P22" s="178"/>
      <c r="Q22" s="178"/>
      <c r="R22" s="179"/>
      <c r="S22" s="177"/>
      <c r="T22" s="178"/>
      <c r="U22" s="178"/>
      <c r="V22" s="178"/>
      <c r="W22" s="178"/>
      <c r="X22" s="178"/>
      <c r="Y22" s="179"/>
      <c r="Z22" s="286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8"/>
      <c r="AQ22" s="289"/>
      <c r="AR22" s="290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290"/>
      <c r="BG22" s="290"/>
      <c r="BH22" s="290"/>
      <c r="BI22" s="290"/>
      <c r="BJ22" s="291"/>
      <c r="BK22" s="48"/>
    </row>
    <row r="23" spans="1:63" s="49" customFormat="1" ht="15" customHeight="1" x14ac:dyDescent="0.25">
      <c r="A23" s="44"/>
      <c r="B23" s="51"/>
      <c r="C23" s="136">
        <v>2</v>
      </c>
      <c r="D23" s="137"/>
      <c r="E23" s="292" t="s">
        <v>22</v>
      </c>
      <c r="F23" s="293"/>
      <c r="G23" s="293"/>
      <c r="H23" s="293"/>
      <c r="I23" s="293"/>
      <c r="J23" s="293"/>
      <c r="K23" s="294"/>
      <c r="L23" s="152" t="s">
        <v>20</v>
      </c>
      <c r="M23" s="153"/>
      <c r="N23" s="154"/>
      <c r="O23" s="136" t="s">
        <v>19</v>
      </c>
      <c r="P23" s="151"/>
      <c r="Q23" s="151"/>
      <c r="R23" s="137"/>
      <c r="S23" s="136" t="s">
        <v>20</v>
      </c>
      <c r="T23" s="151"/>
      <c r="U23" s="151"/>
      <c r="V23" s="151"/>
      <c r="W23" s="151"/>
      <c r="X23" s="151"/>
      <c r="Y23" s="137"/>
      <c r="Z23" s="292" t="s">
        <v>22</v>
      </c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4"/>
      <c r="AQ23" s="295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7"/>
      <c r="BK23" s="48"/>
    </row>
    <row r="24" spans="1:63" s="49" customFormat="1" ht="15" customHeight="1" x14ac:dyDescent="0.25">
      <c r="A24" s="44"/>
      <c r="B24" s="51"/>
      <c r="C24" s="174">
        <v>3</v>
      </c>
      <c r="D24" s="176"/>
      <c r="E24" s="280" t="s">
        <v>23</v>
      </c>
      <c r="F24" s="281"/>
      <c r="G24" s="281"/>
      <c r="H24" s="281"/>
      <c r="I24" s="281"/>
      <c r="J24" s="281"/>
      <c r="K24" s="282"/>
      <c r="L24" s="298" t="s">
        <v>18</v>
      </c>
      <c r="M24" s="299"/>
      <c r="N24" s="300"/>
      <c r="O24" s="301" t="s">
        <v>19</v>
      </c>
      <c r="P24" s="302"/>
      <c r="Q24" s="302"/>
      <c r="R24" s="303"/>
      <c r="S24" s="304" t="s">
        <v>56</v>
      </c>
      <c r="T24" s="305"/>
      <c r="U24" s="305"/>
      <c r="V24" s="305"/>
      <c r="W24" s="305"/>
      <c r="X24" s="305"/>
      <c r="Y24" s="306"/>
      <c r="Z24" s="307" t="s">
        <v>23</v>
      </c>
      <c r="AA24" s="308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  <c r="AN24" s="308"/>
      <c r="AO24" s="308"/>
      <c r="AP24" s="309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1"/>
      <c r="BK24" s="48"/>
    </row>
    <row r="25" spans="1:63" s="49" customFormat="1" ht="15" customHeight="1" x14ac:dyDescent="0.25">
      <c r="A25" s="44"/>
      <c r="B25" s="51"/>
      <c r="C25" s="136">
        <v>4</v>
      </c>
      <c r="D25" s="137"/>
      <c r="E25" s="292" t="s">
        <v>24</v>
      </c>
      <c r="F25" s="293"/>
      <c r="G25" s="293"/>
      <c r="H25" s="293"/>
      <c r="I25" s="293"/>
      <c r="J25" s="293"/>
      <c r="K25" s="294"/>
      <c r="L25" s="152" t="s">
        <v>20</v>
      </c>
      <c r="M25" s="153"/>
      <c r="N25" s="154"/>
      <c r="O25" s="136" t="s">
        <v>19</v>
      </c>
      <c r="P25" s="151"/>
      <c r="Q25" s="151"/>
      <c r="R25" s="137"/>
      <c r="S25" s="136" t="s">
        <v>20</v>
      </c>
      <c r="T25" s="151"/>
      <c r="U25" s="151"/>
      <c r="V25" s="151"/>
      <c r="W25" s="151"/>
      <c r="X25" s="151"/>
      <c r="Y25" s="137"/>
      <c r="Z25" s="292" t="s">
        <v>24</v>
      </c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4"/>
      <c r="AQ25" s="295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7"/>
      <c r="BK25" s="48"/>
    </row>
    <row r="26" spans="1:63" s="49" customFormat="1" ht="15" customHeight="1" x14ac:dyDescent="0.25">
      <c r="A26" s="44"/>
      <c r="B26" s="51"/>
      <c r="C26" s="136">
        <v>5</v>
      </c>
      <c r="D26" s="137"/>
      <c r="E26" s="292" t="s">
        <v>25</v>
      </c>
      <c r="F26" s="293"/>
      <c r="G26" s="293"/>
      <c r="H26" s="293"/>
      <c r="I26" s="293"/>
      <c r="J26" s="293"/>
      <c r="K26" s="294"/>
      <c r="L26" s="152" t="s">
        <v>20</v>
      </c>
      <c r="M26" s="153"/>
      <c r="N26" s="154"/>
      <c r="O26" s="136" t="s">
        <v>19</v>
      </c>
      <c r="P26" s="151"/>
      <c r="Q26" s="151"/>
      <c r="R26" s="137"/>
      <c r="S26" s="136" t="s">
        <v>20</v>
      </c>
      <c r="T26" s="151"/>
      <c r="U26" s="151"/>
      <c r="V26" s="151"/>
      <c r="W26" s="151"/>
      <c r="X26" s="151"/>
      <c r="Y26" s="137"/>
      <c r="Z26" s="292" t="s">
        <v>25</v>
      </c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4"/>
      <c r="AQ26" s="295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7"/>
      <c r="BK26" s="48"/>
    </row>
    <row r="27" spans="1:63" s="49" customFormat="1" ht="15" customHeight="1" x14ac:dyDescent="0.25">
      <c r="A27" s="44"/>
      <c r="B27" s="51"/>
      <c r="C27" s="51"/>
      <c r="D27" s="51"/>
      <c r="E27" s="279"/>
      <c r="F27" s="279"/>
      <c r="G27" s="279"/>
      <c r="H27" s="279"/>
      <c r="I27" s="51"/>
      <c r="J27" s="51"/>
      <c r="K27" s="51"/>
      <c r="L27" s="60"/>
      <c r="M27" s="279"/>
      <c r="N27" s="279"/>
      <c r="O27" s="279"/>
      <c r="P27" s="279"/>
      <c r="Q27" s="51"/>
      <c r="R27" s="51"/>
      <c r="S27" s="51"/>
      <c r="T27" s="51"/>
      <c r="U27" s="51"/>
      <c r="V27" s="51"/>
      <c r="W27" s="51"/>
      <c r="X27" s="51"/>
      <c r="Y27" s="51"/>
      <c r="Z27" s="58"/>
      <c r="AA27" s="51"/>
      <c r="AB27" s="51"/>
      <c r="AC27" s="51"/>
      <c r="AD27" s="51"/>
      <c r="AE27" s="51"/>
      <c r="AF27" s="51"/>
      <c r="AG27" s="279"/>
      <c r="AH27" s="279"/>
      <c r="AI27" s="279"/>
      <c r="AJ27" s="279"/>
      <c r="AK27" s="279"/>
      <c r="AL27" s="279"/>
      <c r="AM27" s="279"/>
      <c r="AN27" s="279"/>
      <c r="AO27" s="279"/>
      <c r="AP27" s="51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2"/>
      <c r="BI27" s="52"/>
      <c r="BJ27" s="52"/>
      <c r="BK27" s="48"/>
    </row>
    <row r="28" spans="1:63" s="49" customFormat="1" ht="15" customHeight="1" x14ac:dyDescent="0.25">
      <c r="A28" s="44"/>
      <c r="B28" s="51"/>
      <c r="C28" s="54" t="s">
        <v>153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2"/>
      <c r="BI28" s="52"/>
      <c r="BJ28" s="52"/>
      <c r="BK28" s="48"/>
    </row>
    <row r="29" spans="1:63" s="49" customFormat="1" ht="15" customHeight="1" x14ac:dyDescent="0.25">
      <c r="A29" s="44"/>
      <c r="B29" s="51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2"/>
      <c r="BI29" s="52"/>
      <c r="BJ29" s="52"/>
      <c r="BK29" s="48"/>
    </row>
    <row r="30" spans="1:63" s="49" customFormat="1" ht="15" customHeight="1" x14ac:dyDescent="0.25">
      <c r="A30" s="44"/>
      <c r="B30" s="51"/>
      <c r="C30" s="180" t="s">
        <v>26</v>
      </c>
      <c r="D30" s="181"/>
      <c r="E30" s="165" t="s">
        <v>154</v>
      </c>
      <c r="F30" s="312"/>
      <c r="G30" s="312"/>
      <c r="H30" s="312"/>
      <c r="I30" s="312"/>
      <c r="J30" s="312"/>
      <c r="K30" s="313"/>
      <c r="L30" s="162" t="s">
        <v>39</v>
      </c>
      <c r="M30" s="163"/>
      <c r="N30" s="164"/>
      <c r="O30" s="162" t="s">
        <v>40</v>
      </c>
      <c r="P30" s="163"/>
      <c r="Q30" s="163"/>
      <c r="R30" s="164"/>
      <c r="S30" s="162" t="s">
        <v>41</v>
      </c>
      <c r="T30" s="163"/>
      <c r="U30" s="163"/>
      <c r="V30" s="163"/>
      <c r="W30" s="163"/>
      <c r="X30" s="163"/>
      <c r="Y30" s="164"/>
      <c r="Z30" s="165" t="s">
        <v>152</v>
      </c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6"/>
      <c r="AQ30" s="168" t="s">
        <v>38</v>
      </c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70"/>
      <c r="BK30" s="48"/>
    </row>
    <row r="31" spans="1:63" s="49" customFormat="1" ht="15" customHeight="1" x14ac:dyDescent="0.25">
      <c r="A31" s="44"/>
      <c r="B31" s="51"/>
      <c r="C31" s="152" t="s">
        <v>44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4"/>
      <c r="BK31" s="48"/>
    </row>
    <row r="32" spans="1:63" s="49" customFormat="1" ht="15" customHeight="1" x14ac:dyDescent="0.25">
      <c r="A32" s="44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2"/>
      <c r="BI32" s="52"/>
      <c r="BJ32" s="52"/>
      <c r="BK32" s="48"/>
    </row>
    <row r="33" spans="1:63" s="49" customFormat="1" ht="15" customHeight="1" x14ac:dyDescent="0.25">
      <c r="A33" s="44"/>
      <c r="B33" s="51"/>
      <c r="C33" s="54" t="s">
        <v>155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2"/>
      <c r="BI33" s="52"/>
      <c r="BJ33" s="52"/>
      <c r="BK33" s="48"/>
    </row>
    <row r="34" spans="1:63" s="49" customFormat="1" ht="15" customHeight="1" x14ac:dyDescent="0.25">
      <c r="A34" s="44"/>
      <c r="B34" s="51"/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2"/>
      <c r="BI34" s="52"/>
      <c r="BJ34" s="52"/>
      <c r="BK34" s="48"/>
    </row>
    <row r="35" spans="1:63" s="49" customFormat="1" ht="15" customHeight="1" x14ac:dyDescent="0.25">
      <c r="A35" s="44"/>
      <c r="B35" s="51"/>
      <c r="C35" s="180" t="s">
        <v>26</v>
      </c>
      <c r="D35" s="181"/>
      <c r="E35" s="314" t="s">
        <v>42</v>
      </c>
      <c r="F35" s="312"/>
      <c r="G35" s="312"/>
      <c r="H35" s="312"/>
      <c r="I35" s="312"/>
      <c r="J35" s="312"/>
      <c r="K35" s="313"/>
      <c r="L35" s="162" t="s">
        <v>39</v>
      </c>
      <c r="M35" s="163"/>
      <c r="N35" s="164"/>
      <c r="O35" s="162" t="s">
        <v>40</v>
      </c>
      <c r="P35" s="163"/>
      <c r="Q35" s="163"/>
      <c r="R35" s="164"/>
      <c r="S35" s="162" t="s">
        <v>41</v>
      </c>
      <c r="T35" s="163"/>
      <c r="U35" s="163"/>
      <c r="V35" s="163"/>
      <c r="W35" s="163"/>
      <c r="X35" s="163"/>
      <c r="Y35" s="164"/>
      <c r="Z35" s="165" t="s">
        <v>152</v>
      </c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6"/>
      <c r="AQ35" s="168" t="s">
        <v>38</v>
      </c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70"/>
      <c r="BK35" s="48"/>
    </row>
    <row r="36" spans="1:63" s="49" customFormat="1" ht="15" customHeight="1" x14ac:dyDescent="0.25">
      <c r="A36" s="44"/>
      <c r="B36" s="51"/>
      <c r="C36" s="136">
        <v>1</v>
      </c>
      <c r="D36" s="137"/>
      <c r="E36" s="292" t="s">
        <v>64</v>
      </c>
      <c r="F36" s="293"/>
      <c r="G36" s="293"/>
      <c r="H36" s="293"/>
      <c r="I36" s="293"/>
      <c r="J36" s="293"/>
      <c r="K36" s="294"/>
      <c r="L36" s="152" t="s">
        <v>20</v>
      </c>
      <c r="M36" s="153"/>
      <c r="N36" s="154"/>
      <c r="O36" s="136" t="s">
        <v>99</v>
      </c>
      <c r="P36" s="151"/>
      <c r="Q36" s="151"/>
      <c r="R36" s="137"/>
      <c r="S36" s="136" t="s">
        <v>20</v>
      </c>
      <c r="T36" s="151"/>
      <c r="U36" s="151"/>
      <c r="V36" s="151"/>
      <c r="W36" s="151"/>
      <c r="X36" s="151"/>
      <c r="Y36" s="137"/>
      <c r="Z36" s="292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4"/>
      <c r="AQ36" s="156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5"/>
      <c r="BK36" s="48"/>
    </row>
    <row r="37" spans="1:63" s="49" customFormat="1" ht="78.75" customHeight="1" x14ac:dyDescent="0.25">
      <c r="A37" s="44"/>
      <c r="B37" s="51"/>
      <c r="C37" s="136">
        <v>2</v>
      </c>
      <c r="D37" s="137"/>
      <c r="E37" s="315" t="s">
        <v>52</v>
      </c>
      <c r="F37" s="316"/>
      <c r="G37" s="316"/>
      <c r="H37" s="316"/>
      <c r="I37" s="316"/>
      <c r="J37" s="316"/>
      <c r="K37" s="317"/>
      <c r="L37" s="152" t="s">
        <v>18</v>
      </c>
      <c r="M37" s="153"/>
      <c r="N37" s="154"/>
      <c r="O37" s="136" t="s">
        <v>116</v>
      </c>
      <c r="P37" s="151"/>
      <c r="Q37" s="151"/>
      <c r="R37" s="137"/>
      <c r="S37" s="136"/>
      <c r="T37" s="151"/>
      <c r="U37" s="151"/>
      <c r="V37" s="151"/>
      <c r="W37" s="151"/>
      <c r="X37" s="151"/>
      <c r="Y37" s="137"/>
      <c r="Z37" s="292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4"/>
      <c r="AQ37" s="143" t="s">
        <v>156</v>
      </c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5"/>
      <c r="BK37" s="48"/>
    </row>
    <row r="38" spans="1:63" s="49" customFormat="1" ht="36.75" customHeight="1" x14ac:dyDescent="0.25">
      <c r="A38" s="44"/>
      <c r="B38" s="51"/>
      <c r="C38" s="136">
        <v>3</v>
      </c>
      <c r="D38" s="137"/>
      <c r="E38" s="149" t="s">
        <v>51</v>
      </c>
      <c r="F38" s="155"/>
      <c r="G38" s="155"/>
      <c r="H38" s="155"/>
      <c r="I38" s="155"/>
      <c r="J38" s="155"/>
      <c r="K38" s="150"/>
      <c r="L38" s="152" t="s">
        <v>20</v>
      </c>
      <c r="M38" s="153"/>
      <c r="N38" s="154"/>
      <c r="O38" s="149" t="s">
        <v>66</v>
      </c>
      <c r="P38" s="155"/>
      <c r="Q38" s="155"/>
      <c r="R38" s="150"/>
      <c r="S38" s="136" t="s">
        <v>20</v>
      </c>
      <c r="T38" s="151"/>
      <c r="U38" s="151"/>
      <c r="V38" s="151"/>
      <c r="W38" s="151"/>
      <c r="X38" s="151"/>
      <c r="Y38" s="137"/>
      <c r="Z38" s="292" t="s">
        <v>65</v>
      </c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4"/>
      <c r="AQ38" s="143" t="s">
        <v>157</v>
      </c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5"/>
      <c r="BK38" s="48"/>
    </row>
    <row r="39" spans="1:63" s="49" customFormat="1" ht="15" customHeight="1" x14ac:dyDescent="0.25">
      <c r="A39" s="44"/>
      <c r="B39" s="51"/>
      <c r="C39" s="136">
        <v>4</v>
      </c>
      <c r="D39" s="137"/>
      <c r="E39" s="149" t="s">
        <v>49</v>
      </c>
      <c r="F39" s="155"/>
      <c r="G39" s="155"/>
      <c r="H39" s="155"/>
      <c r="I39" s="155"/>
      <c r="J39" s="155"/>
      <c r="K39" s="150"/>
      <c r="L39" s="152" t="s">
        <v>18</v>
      </c>
      <c r="M39" s="153"/>
      <c r="N39" s="154"/>
      <c r="O39" s="149" t="s">
        <v>19</v>
      </c>
      <c r="P39" s="155"/>
      <c r="Q39" s="155"/>
      <c r="R39" s="150"/>
      <c r="S39" s="136" t="s">
        <v>20</v>
      </c>
      <c r="T39" s="151"/>
      <c r="U39" s="151"/>
      <c r="V39" s="151"/>
      <c r="W39" s="151"/>
      <c r="X39" s="151"/>
      <c r="Y39" s="137"/>
      <c r="Z39" s="292" t="s">
        <v>57</v>
      </c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4"/>
      <c r="AQ39" s="156" t="s">
        <v>158</v>
      </c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5"/>
      <c r="BK39" s="48"/>
    </row>
    <row r="40" spans="1:63" s="49" customFormat="1" ht="79.5" customHeight="1" x14ac:dyDescent="0.25">
      <c r="A40" s="44"/>
      <c r="B40" s="51"/>
      <c r="C40" s="136">
        <v>5</v>
      </c>
      <c r="D40" s="137"/>
      <c r="E40" s="315" t="s">
        <v>58</v>
      </c>
      <c r="F40" s="316"/>
      <c r="G40" s="316"/>
      <c r="H40" s="316"/>
      <c r="I40" s="316"/>
      <c r="J40" s="316"/>
      <c r="K40" s="317"/>
      <c r="L40" s="152" t="s">
        <v>18</v>
      </c>
      <c r="M40" s="153"/>
      <c r="N40" s="154"/>
      <c r="O40" s="149" t="s">
        <v>19</v>
      </c>
      <c r="P40" s="155"/>
      <c r="Q40" s="155"/>
      <c r="R40" s="150"/>
      <c r="S40" s="136" t="s">
        <v>20</v>
      </c>
      <c r="T40" s="151"/>
      <c r="U40" s="151"/>
      <c r="V40" s="151"/>
      <c r="W40" s="151"/>
      <c r="X40" s="151"/>
      <c r="Y40" s="137"/>
      <c r="Z40" s="292" t="s">
        <v>59</v>
      </c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4"/>
      <c r="AQ40" s="159" t="s">
        <v>159</v>
      </c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1"/>
      <c r="BK40" s="48"/>
    </row>
    <row r="41" spans="1:63" s="49" customFormat="1" ht="30.75" customHeight="1" x14ac:dyDescent="0.25">
      <c r="A41" s="44"/>
      <c r="B41" s="51"/>
      <c r="C41" s="136">
        <v>6</v>
      </c>
      <c r="D41" s="137"/>
      <c r="E41" s="315" t="s">
        <v>60</v>
      </c>
      <c r="F41" s="316"/>
      <c r="G41" s="316"/>
      <c r="H41" s="316"/>
      <c r="I41" s="316"/>
      <c r="J41" s="316"/>
      <c r="K41" s="317"/>
      <c r="L41" s="152" t="s">
        <v>18</v>
      </c>
      <c r="M41" s="153"/>
      <c r="N41" s="154"/>
      <c r="O41" s="149" t="s">
        <v>19</v>
      </c>
      <c r="P41" s="155"/>
      <c r="Q41" s="155"/>
      <c r="R41" s="150"/>
      <c r="S41" s="136" t="s">
        <v>20</v>
      </c>
      <c r="T41" s="151"/>
      <c r="U41" s="151"/>
      <c r="V41" s="151"/>
      <c r="W41" s="151"/>
      <c r="X41" s="151"/>
      <c r="Y41" s="137"/>
      <c r="Z41" s="292" t="s">
        <v>61</v>
      </c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4"/>
      <c r="AQ41" s="143" t="s">
        <v>160</v>
      </c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8"/>
      <c r="BK41" s="48"/>
    </row>
    <row r="42" spans="1:63" s="49" customFormat="1" ht="30.75" customHeight="1" x14ac:dyDescent="0.25">
      <c r="A42" s="44"/>
      <c r="B42" s="51"/>
      <c r="C42" s="136">
        <v>7</v>
      </c>
      <c r="D42" s="137"/>
      <c r="E42" s="315" t="s">
        <v>62</v>
      </c>
      <c r="F42" s="316"/>
      <c r="G42" s="316"/>
      <c r="H42" s="316"/>
      <c r="I42" s="316"/>
      <c r="J42" s="316"/>
      <c r="K42" s="317"/>
      <c r="L42" s="152" t="s">
        <v>18</v>
      </c>
      <c r="M42" s="153"/>
      <c r="N42" s="154"/>
      <c r="O42" s="149" t="s">
        <v>19</v>
      </c>
      <c r="P42" s="155"/>
      <c r="Q42" s="155"/>
      <c r="R42" s="150"/>
      <c r="S42" s="136" t="s">
        <v>20</v>
      </c>
      <c r="T42" s="151"/>
      <c r="U42" s="151"/>
      <c r="V42" s="151"/>
      <c r="W42" s="151"/>
      <c r="X42" s="151"/>
      <c r="Y42" s="137"/>
      <c r="Z42" s="292" t="s">
        <v>63</v>
      </c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4"/>
      <c r="AQ42" s="143" t="s">
        <v>161</v>
      </c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8"/>
      <c r="BK42" s="48"/>
    </row>
    <row r="43" spans="1:63" s="49" customFormat="1" ht="15" customHeight="1" x14ac:dyDescent="0.25">
      <c r="A43" s="44"/>
      <c r="B43" s="51"/>
      <c r="C43" s="136">
        <v>8</v>
      </c>
      <c r="D43" s="137"/>
      <c r="E43" s="315" t="s">
        <v>67</v>
      </c>
      <c r="F43" s="316"/>
      <c r="G43" s="316"/>
      <c r="H43" s="316"/>
      <c r="I43" s="316"/>
      <c r="J43" s="316"/>
      <c r="K43" s="317"/>
      <c r="L43" s="152" t="s">
        <v>20</v>
      </c>
      <c r="M43" s="153"/>
      <c r="N43" s="154"/>
      <c r="O43" s="149" t="s">
        <v>68</v>
      </c>
      <c r="P43" s="155"/>
      <c r="Q43" s="155"/>
      <c r="R43" s="150"/>
      <c r="S43" s="136" t="s">
        <v>20</v>
      </c>
      <c r="T43" s="151"/>
      <c r="U43" s="151"/>
      <c r="V43" s="151"/>
      <c r="W43" s="151"/>
      <c r="X43" s="151"/>
      <c r="Y43" s="137"/>
      <c r="Z43" s="292" t="s">
        <v>72</v>
      </c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4"/>
      <c r="AQ43" s="156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5"/>
      <c r="BK43" s="48"/>
    </row>
    <row r="44" spans="1:63" s="49" customFormat="1" ht="30" customHeight="1" x14ac:dyDescent="0.25">
      <c r="A44" s="44"/>
      <c r="B44" s="51"/>
      <c r="C44" s="136">
        <v>9</v>
      </c>
      <c r="D44" s="137"/>
      <c r="E44" s="315" t="s">
        <v>50</v>
      </c>
      <c r="F44" s="316"/>
      <c r="G44" s="316"/>
      <c r="H44" s="316"/>
      <c r="I44" s="316"/>
      <c r="J44" s="316"/>
      <c r="K44" s="317"/>
      <c r="L44" s="152" t="s">
        <v>20</v>
      </c>
      <c r="M44" s="153"/>
      <c r="N44" s="154"/>
      <c r="O44" s="149" t="s">
        <v>19</v>
      </c>
      <c r="P44" s="155"/>
      <c r="Q44" s="155"/>
      <c r="R44" s="150"/>
      <c r="S44" s="136" t="s">
        <v>20</v>
      </c>
      <c r="T44" s="151"/>
      <c r="U44" s="151"/>
      <c r="V44" s="151"/>
      <c r="W44" s="151"/>
      <c r="X44" s="151"/>
      <c r="Y44" s="137"/>
      <c r="Z44" s="292" t="s">
        <v>71</v>
      </c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4"/>
      <c r="AQ44" s="143" t="s">
        <v>162</v>
      </c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8"/>
      <c r="BK44" s="48"/>
    </row>
    <row r="45" spans="1:63" s="49" customFormat="1" ht="15" customHeight="1" x14ac:dyDescent="0.25">
      <c r="A45" s="44"/>
      <c r="B45" s="51"/>
      <c r="C45" s="136">
        <v>10</v>
      </c>
      <c r="D45" s="137"/>
      <c r="E45" s="149" t="s">
        <v>69</v>
      </c>
      <c r="F45" s="155"/>
      <c r="G45" s="155"/>
      <c r="H45" s="155"/>
      <c r="I45" s="155"/>
      <c r="J45" s="155"/>
      <c r="K45" s="150"/>
      <c r="L45" s="152" t="s">
        <v>20</v>
      </c>
      <c r="M45" s="153"/>
      <c r="N45" s="154"/>
      <c r="O45" s="149" t="s">
        <v>68</v>
      </c>
      <c r="P45" s="155"/>
      <c r="Q45" s="155"/>
      <c r="R45" s="150"/>
      <c r="S45" s="136" t="s">
        <v>20</v>
      </c>
      <c r="T45" s="151"/>
      <c r="U45" s="151"/>
      <c r="V45" s="151"/>
      <c r="W45" s="151"/>
      <c r="X45" s="151"/>
      <c r="Y45" s="137"/>
      <c r="Z45" s="292" t="s">
        <v>70</v>
      </c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4"/>
      <c r="AQ45" s="156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5"/>
      <c r="BK45" s="48"/>
    </row>
    <row r="46" spans="1:63" s="49" customFormat="1" ht="15" customHeight="1" x14ac:dyDescent="0.25">
      <c r="A46" s="44"/>
      <c r="B46" s="51"/>
      <c r="C46" s="136">
        <v>11</v>
      </c>
      <c r="D46" s="137"/>
      <c r="E46" s="149" t="s">
        <v>74</v>
      </c>
      <c r="F46" s="155"/>
      <c r="G46" s="155"/>
      <c r="H46" s="155"/>
      <c r="I46" s="155"/>
      <c r="J46" s="155"/>
      <c r="K46" s="150"/>
      <c r="L46" s="152" t="s">
        <v>20</v>
      </c>
      <c r="M46" s="153"/>
      <c r="N46" s="154"/>
      <c r="O46" s="149" t="s">
        <v>68</v>
      </c>
      <c r="P46" s="155"/>
      <c r="Q46" s="155"/>
      <c r="R46" s="150"/>
      <c r="S46" s="136" t="s">
        <v>20</v>
      </c>
      <c r="T46" s="151"/>
      <c r="U46" s="151"/>
      <c r="V46" s="151"/>
      <c r="W46" s="151"/>
      <c r="X46" s="151"/>
      <c r="Y46" s="137"/>
      <c r="Z46" s="292" t="s">
        <v>75</v>
      </c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4"/>
      <c r="AQ46" s="156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5"/>
      <c r="BK46" s="48"/>
    </row>
    <row r="47" spans="1:63" s="49" customFormat="1" ht="15" customHeight="1" x14ac:dyDescent="0.25">
      <c r="A47" s="44"/>
      <c r="B47" s="51"/>
      <c r="C47" s="136">
        <v>12</v>
      </c>
      <c r="D47" s="137"/>
      <c r="E47" s="328" t="s">
        <v>163</v>
      </c>
      <c r="F47" s="329"/>
      <c r="G47" s="329"/>
      <c r="H47" s="329"/>
      <c r="I47" s="329"/>
      <c r="J47" s="329"/>
      <c r="K47" s="330"/>
      <c r="L47" s="331" t="s">
        <v>20</v>
      </c>
      <c r="M47" s="332"/>
      <c r="N47" s="333"/>
      <c r="O47" s="334" t="s">
        <v>164</v>
      </c>
      <c r="P47" s="335"/>
      <c r="Q47" s="335"/>
      <c r="R47" s="336"/>
      <c r="S47" s="337" t="s">
        <v>20</v>
      </c>
      <c r="T47" s="338"/>
      <c r="U47" s="338"/>
      <c r="V47" s="338"/>
      <c r="W47" s="338"/>
      <c r="X47" s="338"/>
      <c r="Y47" s="339"/>
      <c r="Z47" s="337" t="s">
        <v>165</v>
      </c>
      <c r="AA47" s="338"/>
      <c r="AB47" s="338"/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9"/>
      <c r="AQ47" s="140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2"/>
      <c r="BK47" s="48"/>
    </row>
    <row r="48" spans="1:63" s="49" customFormat="1" ht="15" customHeight="1" x14ac:dyDescent="0.25">
      <c r="A48" s="44"/>
      <c r="B48" s="51"/>
      <c r="C48" s="136">
        <v>13</v>
      </c>
      <c r="D48" s="137"/>
      <c r="E48" s="328" t="s">
        <v>166</v>
      </c>
      <c r="F48" s="329"/>
      <c r="G48" s="329"/>
      <c r="H48" s="329"/>
      <c r="I48" s="329"/>
      <c r="J48" s="329"/>
      <c r="K48" s="330"/>
      <c r="L48" s="331" t="s">
        <v>20</v>
      </c>
      <c r="M48" s="332"/>
      <c r="N48" s="333"/>
      <c r="O48" s="334" t="s">
        <v>164</v>
      </c>
      <c r="P48" s="335"/>
      <c r="Q48" s="335"/>
      <c r="R48" s="336"/>
      <c r="S48" s="337" t="s">
        <v>20</v>
      </c>
      <c r="T48" s="338"/>
      <c r="U48" s="338"/>
      <c r="V48" s="338"/>
      <c r="W48" s="338"/>
      <c r="X48" s="338"/>
      <c r="Y48" s="339"/>
      <c r="Z48" s="337" t="s">
        <v>167</v>
      </c>
      <c r="AA48" s="338"/>
      <c r="AB48" s="338"/>
      <c r="AC48" s="338"/>
      <c r="AD48" s="338"/>
      <c r="AE48" s="338"/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9"/>
      <c r="AQ48" s="140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2"/>
      <c r="BK48" s="48"/>
    </row>
    <row r="49" spans="1:63" s="49" customFormat="1" ht="15" customHeight="1" x14ac:dyDescent="0.25">
      <c r="A49" s="44"/>
      <c r="B49" s="51"/>
      <c r="C49" s="136">
        <v>14</v>
      </c>
      <c r="D49" s="137"/>
      <c r="E49" s="315" t="s">
        <v>76</v>
      </c>
      <c r="F49" s="316"/>
      <c r="G49" s="316"/>
      <c r="H49" s="316"/>
      <c r="I49" s="316"/>
      <c r="J49" s="316"/>
      <c r="K49" s="317"/>
      <c r="L49" s="152" t="s">
        <v>20</v>
      </c>
      <c r="M49" s="153"/>
      <c r="N49" s="154"/>
      <c r="O49" s="149" t="s">
        <v>19</v>
      </c>
      <c r="P49" s="155"/>
      <c r="Q49" s="155"/>
      <c r="R49" s="150"/>
      <c r="S49" s="136" t="s">
        <v>20</v>
      </c>
      <c r="T49" s="151"/>
      <c r="U49" s="151"/>
      <c r="V49" s="151"/>
      <c r="W49" s="151"/>
      <c r="X49" s="151"/>
      <c r="Y49" s="137"/>
      <c r="Z49" s="292" t="s">
        <v>77</v>
      </c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4"/>
      <c r="AQ49" s="156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5"/>
      <c r="BK49" s="48"/>
    </row>
    <row r="50" spans="1:63" s="49" customFormat="1" ht="15" customHeight="1" x14ac:dyDescent="0.25">
      <c r="A50" s="44"/>
      <c r="B50" s="51"/>
      <c r="C50" s="136">
        <v>15</v>
      </c>
      <c r="D50" s="137"/>
      <c r="E50" s="315" t="s">
        <v>78</v>
      </c>
      <c r="F50" s="316"/>
      <c r="G50" s="316"/>
      <c r="H50" s="316"/>
      <c r="I50" s="316"/>
      <c r="J50" s="316"/>
      <c r="K50" s="317"/>
      <c r="L50" s="152" t="s">
        <v>20</v>
      </c>
      <c r="M50" s="153"/>
      <c r="N50" s="154"/>
      <c r="O50" s="149" t="s">
        <v>100</v>
      </c>
      <c r="P50" s="155"/>
      <c r="Q50" s="155"/>
      <c r="R50" s="150"/>
      <c r="S50" s="136" t="s">
        <v>20</v>
      </c>
      <c r="T50" s="151"/>
      <c r="U50" s="151"/>
      <c r="V50" s="151"/>
      <c r="W50" s="151"/>
      <c r="X50" s="151"/>
      <c r="Y50" s="137"/>
      <c r="Z50" s="292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4"/>
      <c r="AQ50" s="156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5"/>
      <c r="BK50" s="48"/>
    </row>
    <row r="51" spans="1:63" s="49" customFormat="1" ht="65.25" customHeight="1" x14ac:dyDescent="0.25">
      <c r="A51" s="44"/>
      <c r="B51" s="51"/>
      <c r="C51" s="149">
        <v>16</v>
      </c>
      <c r="D51" s="150"/>
      <c r="E51" s="318" t="s">
        <v>52</v>
      </c>
      <c r="F51" s="319"/>
      <c r="G51" s="319"/>
      <c r="H51" s="319"/>
      <c r="I51" s="319"/>
      <c r="J51" s="319"/>
      <c r="K51" s="320"/>
      <c r="L51" s="152" t="s">
        <v>20</v>
      </c>
      <c r="M51" s="153"/>
      <c r="N51" s="154"/>
      <c r="O51" s="136" t="s">
        <v>116</v>
      </c>
      <c r="P51" s="151"/>
      <c r="Q51" s="151"/>
      <c r="R51" s="137"/>
      <c r="S51" s="136" t="s">
        <v>20</v>
      </c>
      <c r="T51" s="151"/>
      <c r="U51" s="151"/>
      <c r="V51" s="151"/>
      <c r="W51" s="151"/>
      <c r="X51" s="151"/>
      <c r="Y51" s="137"/>
      <c r="Z51" s="292"/>
      <c r="AA51" s="293"/>
      <c r="AB51" s="293"/>
      <c r="AC51" s="293"/>
      <c r="AD51" s="293"/>
      <c r="AE51" s="293"/>
      <c r="AF51" s="293"/>
      <c r="AG51" s="293"/>
      <c r="AH51" s="293"/>
      <c r="AI51" s="293"/>
      <c r="AJ51" s="293"/>
      <c r="AK51" s="293"/>
      <c r="AL51" s="293"/>
      <c r="AM51" s="293"/>
      <c r="AN51" s="293"/>
      <c r="AO51" s="293"/>
      <c r="AP51" s="294"/>
      <c r="AQ51" s="143" t="s">
        <v>156</v>
      </c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5"/>
      <c r="BK51" s="48"/>
    </row>
    <row r="52" spans="1:63" s="49" customFormat="1" ht="46.5" customHeight="1" x14ac:dyDescent="0.25">
      <c r="A52" s="44"/>
      <c r="B52" s="51"/>
      <c r="C52" s="149">
        <v>17</v>
      </c>
      <c r="D52" s="150"/>
      <c r="E52" s="146" t="s">
        <v>51</v>
      </c>
      <c r="F52" s="147"/>
      <c r="G52" s="147"/>
      <c r="H52" s="147"/>
      <c r="I52" s="147"/>
      <c r="J52" s="147"/>
      <c r="K52" s="148"/>
      <c r="L52" s="152" t="s">
        <v>20</v>
      </c>
      <c r="M52" s="153"/>
      <c r="N52" s="154"/>
      <c r="O52" s="146" t="s">
        <v>66</v>
      </c>
      <c r="P52" s="147"/>
      <c r="Q52" s="147"/>
      <c r="R52" s="148"/>
      <c r="S52" s="136" t="s">
        <v>20</v>
      </c>
      <c r="T52" s="151"/>
      <c r="U52" s="151"/>
      <c r="V52" s="151"/>
      <c r="W52" s="151"/>
      <c r="X52" s="151"/>
      <c r="Y52" s="137"/>
      <c r="Z52" s="292" t="s">
        <v>79</v>
      </c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4"/>
      <c r="AQ52" s="143" t="s">
        <v>168</v>
      </c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5"/>
      <c r="BK52" s="48"/>
    </row>
    <row r="53" spans="1:63" s="49" customFormat="1" ht="15" customHeight="1" x14ac:dyDescent="0.25">
      <c r="A53" s="44"/>
      <c r="B53" s="51"/>
      <c r="C53" s="149">
        <v>18</v>
      </c>
      <c r="D53" s="150"/>
      <c r="E53" s="146" t="s">
        <v>49</v>
      </c>
      <c r="F53" s="147"/>
      <c r="G53" s="147"/>
      <c r="H53" s="147"/>
      <c r="I53" s="147"/>
      <c r="J53" s="147"/>
      <c r="K53" s="148"/>
      <c r="L53" s="152" t="s">
        <v>20</v>
      </c>
      <c r="M53" s="153"/>
      <c r="N53" s="154"/>
      <c r="O53" s="146" t="s">
        <v>19</v>
      </c>
      <c r="P53" s="147"/>
      <c r="Q53" s="147"/>
      <c r="R53" s="148"/>
      <c r="S53" s="136" t="s">
        <v>20</v>
      </c>
      <c r="T53" s="151"/>
      <c r="U53" s="151"/>
      <c r="V53" s="151"/>
      <c r="W53" s="151"/>
      <c r="X53" s="151"/>
      <c r="Y53" s="137"/>
      <c r="Z53" s="292" t="s">
        <v>80</v>
      </c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4"/>
      <c r="AQ53" s="156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5"/>
      <c r="BK53" s="48"/>
    </row>
    <row r="54" spans="1:63" s="49" customFormat="1" ht="15" customHeight="1" x14ac:dyDescent="0.25">
      <c r="A54" s="44"/>
      <c r="B54" s="51"/>
      <c r="C54" s="149">
        <v>19</v>
      </c>
      <c r="D54" s="150"/>
      <c r="E54" s="318" t="s">
        <v>58</v>
      </c>
      <c r="F54" s="319"/>
      <c r="G54" s="319"/>
      <c r="H54" s="319"/>
      <c r="I54" s="319"/>
      <c r="J54" s="319"/>
      <c r="K54" s="320"/>
      <c r="L54" s="152" t="s">
        <v>20</v>
      </c>
      <c r="M54" s="153"/>
      <c r="N54" s="154"/>
      <c r="O54" s="146" t="s">
        <v>19</v>
      </c>
      <c r="P54" s="147"/>
      <c r="Q54" s="147"/>
      <c r="R54" s="148"/>
      <c r="S54" s="136" t="s">
        <v>20</v>
      </c>
      <c r="T54" s="151"/>
      <c r="U54" s="151"/>
      <c r="V54" s="151"/>
      <c r="W54" s="151"/>
      <c r="X54" s="151"/>
      <c r="Y54" s="137"/>
      <c r="Z54" s="292" t="s">
        <v>81</v>
      </c>
      <c r="AA54" s="293"/>
      <c r="AB54" s="293"/>
      <c r="AC54" s="293"/>
      <c r="AD54" s="293"/>
      <c r="AE54" s="293"/>
      <c r="AF54" s="293"/>
      <c r="AG54" s="293"/>
      <c r="AH54" s="293"/>
      <c r="AI54" s="293"/>
      <c r="AJ54" s="293"/>
      <c r="AK54" s="293"/>
      <c r="AL54" s="293"/>
      <c r="AM54" s="293"/>
      <c r="AN54" s="293"/>
      <c r="AO54" s="293"/>
      <c r="AP54" s="294"/>
      <c r="AQ54" s="156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5"/>
      <c r="BK54" s="48"/>
    </row>
    <row r="55" spans="1:63" s="49" customFormat="1" ht="15" customHeight="1" x14ac:dyDescent="0.25">
      <c r="A55" s="44"/>
      <c r="B55" s="51"/>
      <c r="C55" s="149">
        <v>20</v>
      </c>
      <c r="D55" s="150"/>
      <c r="E55" s="318" t="s">
        <v>67</v>
      </c>
      <c r="F55" s="319"/>
      <c r="G55" s="319"/>
      <c r="H55" s="319"/>
      <c r="I55" s="319"/>
      <c r="J55" s="319"/>
      <c r="K55" s="320"/>
      <c r="L55" s="152" t="s">
        <v>20</v>
      </c>
      <c r="M55" s="153"/>
      <c r="N55" s="154"/>
      <c r="O55" s="146" t="s">
        <v>68</v>
      </c>
      <c r="P55" s="147"/>
      <c r="Q55" s="147"/>
      <c r="R55" s="148"/>
      <c r="S55" s="136" t="s">
        <v>20</v>
      </c>
      <c r="T55" s="151"/>
      <c r="U55" s="151"/>
      <c r="V55" s="151"/>
      <c r="W55" s="151"/>
      <c r="X55" s="151"/>
      <c r="Y55" s="137"/>
      <c r="Z55" s="292" t="s">
        <v>83</v>
      </c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4"/>
      <c r="AQ55" s="156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5"/>
      <c r="BK55" s="48"/>
    </row>
    <row r="56" spans="1:63" s="49" customFormat="1" ht="15" customHeight="1" x14ac:dyDescent="0.25">
      <c r="A56" s="44"/>
      <c r="B56" s="51"/>
      <c r="C56" s="149">
        <v>21</v>
      </c>
      <c r="D56" s="150"/>
      <c r="E56" s="318" t="s">
        <v>62</v>
      </c>
      <c r="F56" s="319"/>
      <c r="G56" s="319"/>
      <c r="H56" s="319"/>
      <c r="I56" s="319"/>
      <c r="J56" s="319"/>
      <c r="K56" s="320"/>
      <c r="L56" s="152" t="s">
        <v>20</v>
      </c>
      <c r="M56" s="153"/>
      <c r="N56" s="154"/>
      <c r="O56" s="146" t="s">
        <v>19</v>
      </c>
      <c r="P56" s="147"/>
      <c r="Q56" s="147"/>
      <c r="R56" s="148"/>
      <c r="S56" s="136" t="s">
        <v>20</v>
      </c>
      <c r="T56" s="151"/>
      <c r="U56" s="151"/>
      <c r="V56" s="151"/>
      <c r="W56" s="151"/>
      <c r="X56" s="151"/>
      <c r="Y56" s="137"/>
      <c r="Z56" s="292" t="s">
        <v>82</v>
      </c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4"/>
      <c r="AQ56" s="156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5"/>
      <c r="BK56" s="48"/>
    </row>
    <row r="57" spans="1:63" s="49" customFormat="1" ht="66" customHeight="1" x14ac:dyDescent="0.25">
      <c r="A57" s="44"/>
      <c r="B57" s="51"/>
      <c r="C57" s="149">
        <v>22</v>
      </c>
      <c r="D57" s="150"/>
      <c r="E57" s="318" t="s">
        <v>121</v>
      </c>
      <c r="F57" s="319"/>
      <c r="G57" s="319"/>
      <c r="H57" s="319"/>
      <c r="I57" s="319"/>
      <c r="J57" s="319"/>
      <c r="K57" s="320"/>
      <c r="L57" s="152" t="s">
        <v>20</v>
      </c>
      <c r="M57" s="153"/>
      <c r="N57" s="154"/>
      <c r="O57" s="146" t="s">
        <v>68</v>
      </c>
      <c r="P57" s="147"/>
      <c r="Q57" s="147"/>
      <c r="R57" s="148"/>
      <c r="S57" s="136" t="s">
        <v>20</v>
      </c>
      <c r="T57" s="151"/>
      <c r="U57" s="151"/>
      <c r="V57" s="151"/>
      <c r="W57" s="151"/>
      <c r="X57" s="151"/>
      <c r="Y57" s="137"/>
      <c r="Z57" s="292" t="s">
        <v>122</v>
      </c>
      <c r="AA57" s="293"/>
      <c r="AB57" s="293"/>
      <c r="AC57" s="293"/>
      <c r="AD57" s="293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4"/>
      <c r="AQ57" s="143" t="s">
        <v>169</v>
      </c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5"/>
      <c r="BK57" s="48"/>
    </row>
    <row r="58" spans="1:63" s="49" customFormat="1" ht="15" customHeight="1" x14ac:dyDescent="0.25">
      <c r="A58" s="44"/>
      <c r="B58" s="51"/>
      <c r="C58" s="149">
        <v>23</v>
      </c>
      <c r="D58" s="150"/>
      <c r="E58" s="318" t="s">
        <v>84</v>
      </c>
      <c r="F58" s="319"/>
      <c r="G58" s="319"/>
      <c r="H58" s="319"/>
      <c r="I58" s="319"/>
      <c r="J58" s="319"/>
      <c r="K58" s="320"/>
      <c r="L58" s="152" t="s">
        <v>20</v>
      </c>
      <c r="M58" s="153"/>
      <c r="N58" s="154"/>
      <c r="O58" s="146" t="s">
        <v>130</v>
      </c>
      <c r="P58" s="147"/>
      <c r="Q58" s="147"/>
      <c r="R58" s="148"/>
      <c r="S58" s="136" t="s">
        <v>20</v>
      </c>
      <c r="T58" s="151"/>
      <c r="U58" s="151"/>
      <c r="V58" s="151"/>
      <c r="W58" s="151"/>
      <c r="X58" s="151"/>
      <c r="Y58" s="137"/>
      <c r="Z58" s="292" t="s">
        <v>85</v>
      </c>
      <c r="AA58" s="293"/>
      <c r="AB58" s="293"/>
      <c r="AC58" s="293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4"/>
      <c r="AQ58" s="156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5"/>
      <c r="BK58" s="48"/>
    </row>
    <row r="59" spans="1:63" s="49" customFormat="1" ht="15" customHeight="1" x14ac:dyDescent="0.25">
      <c r="A59" s="44"/>
      <c r="B59" s="51"/>
      <c r="C59" s="149">
        <v>24</v>
      </c>
      <c r="D59" s="150"/>
      <c r="E59" s="318" t="s">
        <v>86</v>
      </c>
      <c r="F59" s="319"/>
      <c r="G59" s="319"/>
      <c r="H59" s="319"/>
      <c r="I59" s="319"/>
      <c r="J59" s="319"/>
      <c r="K59" s="320"/>
      <c r="L59" s="152" t="s">
        <v>20</v>
      </c>
      <c r="M59" s="153"/>
      <c r="N59" s="154"/>
      <c r="O59" s="146" t="s">
        <v>130</v>
      </c>
      <c r="P59" s="147"/>
      <c r="Q59" s="147"/>
      <c r="R59" s="148"/>
      <c r="S59" s="136" t="s">
        <v>20</v>
      </c>
      <c r="T59" s="151"/>
      <c r="U59" s="151"/>
      <c r="V59" s="151"/>
      <c r="W59" s="151"/>
      <c r="X59" s="151"/>
      <c r="Y59" s="137"/>
      <c r="Z59" s="292" t="s">
        <v>87</v>
      </c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4"/>
      <c r="AQ59" s="156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5"/>
      <c r="BK59" s="48"/>
    </row>
    <row r="60" spans="1:63" s="49" customFormat="1" ht="15" customHeight="1" x14ac:dyDescent="0.25">
      <c r="A60" s="44"/>
      <c r="B60" s="51"/>
      <c r="C60" s="149">
        <v>25</v>
      </c>
      <c r="D60" s="150"/>
      <c r="E60" s="146" t="s">
        <v>88</v>
      </c>
      <c r="F60" s="147"/>
      <c r="G60" s="147"/>
      <c r="H60" s="147"/>
      <c r="I60" s="147"/>
      <c r="J60" s="147"/>
      <c r="K60" s="148"/>
      <c r="L60" s="152" t="s">
        <v>20</v>
      </c>
      <c r="M60" s="153"/>
      <c r="N60" s="154"/>
      <c r="O60" s="146" t="s">
        <v>130</v>
      </c>
      <c r="P60" s="147"/>
      <c r="Q60" s="147"/>
      <c r="R60" s="148"/>
      <c r="S60" s="136" t="s">
        <v>20</v>
      </c>
      <c r="T60" s="151"/>
      <c r="U60" s="151"/>
      <c r="V60" s="151"/>
      <c r="W60" s="151"/>
      <c r="X60" s="151"/>
      <c r="Y60" s="137"/>
      <c r="Z60" s="292" t="s">
        <v>89</v>
      </c>
      <c r="AA60" s="293"/>
      <c r="AB60" s="293"/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4"/>
      <c r="AQ60" s="156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5"/>
      <c r="BK60" s="48"/>
    </row>
    <row r="61" spans="1:63" s="49" customFormat="1" ht="15" customHeight="1" x14ac:dyDescent="0.25">
      <c r="A61" s="44"/>
      <c r="B61" s="51"/>
      <c r="C61" s="149">
        <v>26</v>
      </c>
      <c r="D61" s="150"/>
      <c r="E61" s="146" t="s">
        <v>73</v>
      </c>
      <c r="F61" s="147"/>
      <c r="G61" s="147"/>
      <c r="H61" s="147"/>
      <c r="I61" s="147"/>
      <c r="J61" s="147"/>
      <c r="K61" s="148"/>
      <c r="L61" s="152" t="s">
        <v>20</v>
      </c>
      <c r="M61" s="153"/>
      <c r="N61" s="154"/>
      <c r="O61" s="146" t="s">
        <v>130</v>
      </c>
      <c r="P61" s="147"/>
      <c r="Q61" s="147"/>
      <c r="R61" s="148"/>
      <c r="S61" s="136" t="s">
        <v>20</v>
      </c>
      <c r="T61" s="151"/>
      <c r="U61" s="151"/>
      <c r="V61" s="151"/>
      <c r="W61" s="151"/>
      <c r="X61" s="151"/>
      <c r="Y61" s="137"/>
      <c r="Z61" s="292" t="s">
        <v>90</v>
      </c>
      <c r="AA61" s="293"/>
      <c r="AB61" s="293"/>
      <c r="AC61" s="293"/>
      <c r="AD61" s="293"/>
      <c r="AE61" s="293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4"/>
      <c r="AQ61" s="156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5"/>
      <c r="BK61" s="48"/>
    </row>
    <row r="62" spans="1:63" s="49" customFormat="1" ht="15" customHeight="1" x14ac:dyDescent="0.25">
      <c r="A62" s="44"/>
      <c r="B62" s="51"/>
      <c r="C62" s="149">
        <v>27</v>
      </c>
      <c r="D62" s="150"/>
      <c r="E62" s="318" t="s">
        <v>50</v>
      </c>
      <c r="F62" s="319"/>
      <c r="G62" s="319"/>
      <c r="H62" s="319"/>
      <c r="I62" s="319"/>
      <c r="J62" s="319"/>
      <c r="K62" s="320"/>
      <c r="L62" s="152" t="s">
        <v>20</v>
      </c>
      <c r="M62" s="153"/>
      <c r="N62" s="154"/>
      <c r="O62" s="146" t="s">
        <v>19</v>
      </c>
      <c r="P62" s="147"/>
      <c r="Q62" s="147"/>
      <c r="R62" s="148"/>
      <c r="S62" s="136" t="s">
        <v>20</v>
      </c>
      <c r="T62" s="151"/>
      <c r="U62" s="151"/>
      <c r="V62" s="151"/>
      <c r="W62" s="151"/>
      <c r="X62" s="151"/>
      <c r="Y62" s="137"/>
      <c r="Z62" s="292" t="s">
        <v>91</v>
      </c>
      <c r="AA62" s="293"/>
      <c r="AB62" s="293"/>
      <c r="AC62" s="293"/>
      <c r="AD62" s="293"/>
      <c r="AE62" s="293"/>
      <c r="AF62" s="293"/>
      <c r="AG62" s="293"/>
      <c r="AH62" s="293"/>
      <c r="AI62" s="293"/>
      <c r="AJ62" s="293"/>
      <c r="AK62" s="293"/>
      <c r="AL62" s="293"/>
      <c r="AM62" s="293"/>
      <c r="AN62" s="293"/>
      <c r="AO62" s="293"/>
      <c r="AP62" s="294"/>
      <c r="AQ62" s="156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5"/>
      <c r="BK62" s="48"/>
    </row>
    <row r="63" spans="1:63" s="49" customFormat="1" ht="15" customHeight="1" x14ac:dyDescent="0.25">
      <c r="A63" s="44"/>
      <c r="B63" s="51"/>
      <c r="C63" s="149">
        <v>28</v>
      </c>
      <c r="D63" s="150"/>
      <c r="E63" s="318" t="s">
        <v>76</v>
      </c>
      <c r="F63" s="319"/>
      <c r="G63" s="319"/>
      <c r="H63" s="319"/>
      <c r="I63" s="319"/>
      <c r="J63" s="319"/>
      <c r="K63" s="320"/>
      <c r="L63" s="152" t="s">
        <v>20</v>
      </c>
      <c r="M63" s="153"/>
      <c r="N63" s="154"/>
      <c r="O63" s="146" t="s">
        <v>19</v>
      </c>
      <c r="P63" s="147"/>
      <c r="Q63" s="147"/>
      <c r="R63" s="148"/>
      <c r="S63" s="136" t="s">
        <v>20</v>
      </c>
      <c r="T63" s="151"/>
      <c r="U63" s="151"/>
      <c r="V63" s="151"/>
      <c r="W63" s="151"/>
      <c r="X63" s="151"/>
      <c r="Y63" s="137"/>
      <c r="Z63" s="292" t="s">
        <v>92</v>
      </c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4"/>
      <c r="AQ63" s="156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5"/>
      <c r="BK63" s="48"/>
    </row>
    <row r="64" spans="1:63" s="49" customFormat="1" ht="15" customHeight="1" x14ac:dyDescent="0.25">
      <c r="A64" s="44"/>
      <c r="B64" s="51"/>
      <c r="C64" s="149">
        <v>29</v>
      </c>
      <c r="D64" s="150"/>
      <c r="E64" s="318" t="s">
        <v>93</v>
      </c>
      <c r="F64" s="319"/>
      <c r="G64" s="319"/>
      <c r="H64" s="319"/>
      <c r="I64" s="319"/>
      <c r="J64" s="319"/>
      <c r="K64" s="320"/>
      <c r="L64" s="152" t="s">
        <v>20</v>
      </c>
      <c r="M64" s="153"/>
      <c r="N64" s="154"/>
      <c r="O64" s="146" t="s">
        <v>19</v>
      </c>
      <c r="P64" s="147"/>
      <c r="Q64" s="147"/>
      <c r="R64" s="148"/>
      <c r="S64" s="136" t="s">
        <v>20</v>
      </c>
      <c r="T64" s="151"/>
      <c r="U64" s="151"/>
      <c r="V64" s="151"/>
      <c r="W64" s="151"/>
      <c r="X64" s="151"/>
      <c r="Y64" s="137"/>
      <c r="Z64" s="292" t="s">
        <v>94</v>
      </c>
      <c r="AA64" s="293"/>
      <c r="AB64" s="293"/>
      <c r="AC64" s="293"/>
      <c r="AD64" s="293"/>
      <c r="AE64" s="293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4"/>
      <c r="AQ64" s="156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5"/>
      <c r="BK64" s="48"/>
    </row>
    <row r="65" spans="1:63" s="49" customFormat="1" ht="15" customHeight="1" x14ac:dyDescent="0.25">
      <c r="A65" s="44"/>
      <c r="B65" s="51"/>
      <c r="C65" s="149">
        <v>30</v>
      </c>
      <c r="D65" s="150"/>
      <c r="E65" s="318" t="s">
        <v>96</v>
      </c>
      <c r="F65" s="319"/>
      <c r="G65" s="319"/>
      <c r="H65" s="319"/>
      <c r="I65" s="319"/>
      <c r="J65" s="319"/>
      <c r="K65" s="320"/>
      <c r="L65" s="152" t="s">
        <v>20</v>
      </c>
      <c r="M65" s="153"/>
      <c r="N65" s="154"/>
      <c r="O65" s="146" t="s">
        <v>19</v>
      </c>
      <c r="P65" s="147"/>
      <c r="Q65" s="147"/>
      <c r="R65" s="148"/>
      <c r="S65" s="136" t="s">
        <v>20</v>
      </c>
      <c r="T65" s="151"/>
      <c r="U65" s="151"/>
      <c r="V65" s="151"/>
      <c r="W65" s="151"/>
      <c r="X65" s="151"/>
      <c r="Y65" s="137"/>
      <c r="Z65" s="292" t="s">
        <v>95</v>
      </c>
      <c r="AA65" s="293"/>
      <c r="AB65" s="293"/>
      <c r="AC65" s="293"/>
      <c r="AD65" s="293"/>
      <c r="AE65" s="293"/>
      <c r="AF65" s="293"/>
      <c r="AG65" s="293"/>
      <c r="AH65" s="293"/>
      <c r="AI65" s="293"/>
      <c r="AJ65" s="293"/>
      <c r="AK65" s="293"/>
      <c r="AL65" s="293"/>
      <c r="AM65" s="293"/>
      <c r="AN65" s="293"/>
      <c r="AO65" s="293"/>
      <c r="AP65" s="294"/>
      <c r="AQ65" s="156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5"/>
      <c r="BK65" s="48"/>
    </row>
    <row r="66" spans="1:63" s="49" customFormat="1" ht="15" customHeight="1" x14ac:dyDescent="0.25">
      <c r="A66" s="44"/>
      <c r="B66" s="51"/>
      <c r="C66" s="149">
        <v>31</v>
      </c>
      <c r="D66" s="150"/>
      <c r="E66" s="318" t="s">
        <v>124</v>
      </c>
      <c r="F66" s="319"/>
      <c r="G66" s="319"/>
      <c r="H66" s="319"/>
      <c r="I66" s="319"/>
      <c r="J66" s="319"/>
      <c r="K66" s="320"/>
      <c r="L66" s="152" t="s">
        <v>20</v>
      </c>
      <c r="M66" s="153"/>
      <c r="N66" s="154"/>
      <c r="O66" s="146" t="s">
        <v>19</v>
      </c>
      <c r="P66" s="147"/>
      <c r="Q66" s="147"/>
      <c r="R66" s="148"/>
      <c r="S66" s="136"/>
      <c r="T66" s="151"/>
      <c r="U66" s="151"/>
      <c r="V66" s="151"/>
      <c r="W66" s="151"/>
      <c r="X66" s="151"/>
      <c r="Y66" s="137"/>
      <c r="Z66" s="292" t="s">
        <v>125</v>
      </c>
      <c r="AA66" s="293"/>
      <c r="AB66" s="293"/>
      <c r="AC66" s="293" t="s">
        <v>126</v>
      </c>
      <c r="AD66" s="293"/>
      <c r="AE66" s="293"/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P66" s="294"/>
      <c r="AQ66" s="156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5"/>
      <c r="BK66" s="48"/>
    </row>
    <row r="67" spans="1:63" s="49" customFormat="1" ht="30.75" customHeight="1" x14ac:dyDescent="0.25">
      <c r="A67" s="44"/>
      <c r="B67" s="51"/>
      <c r="C67" s="149">
        <v>32</v>
      </c>
      <c r="D67" s="150"/>
      <c r="E67" s="318" t="s">
        <v>127</v>
      </c>
      <c r="F67" s="319"/>
      <c r="G67" s="319"/>
      <c r="H67" s="319"/>
      <c r="I67" s="319"/>
      <c r="J67" s="319"/>
      <c r="K67" s="320"/>
      <c r="L67" s="152" t="s">
        <v>20</v>
      </c>
      <c r="M67" s="153"/>
      <c r="N67" s="154"/>
      <c r="O67" s="146" t="s">
        <v>116</v>
      </c>
      <c r="P67" s="147"/>
      <c r="Q67" s="147"/>
      <c r="R67" s="148"/>
      <c r="S67" s="136"/>
      <c r="T67" s="151"/>
      <c r="U67" s="151"/>
      <c r="V67" s="151"/>
      <c r="W67" s="151"/>
      <c r="X67" s="151"/>
      <c r="Y67" s="137"/>
      <c r="Z67" s="292" t="s">
        <v>128</v>
      </c>
      <c r="AA67" s="293"/>
      <c r="AB67" s="293"/>
      <c r="AC67" s="293" t="s">
        <v>126</v>
      </c>
      <c r="AD67" s="293"/>
      <c r="AE67" s="293"/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P67" s="294"/>
      <c r="AQ67" s="143" t="s">
        <v>185</v>
      </c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8"/>
      <c r="BK67" s="48"/>
    </row>
    <row r="68" spans="1:63" s="49" customFormat="1" ht="15" customHeight="1" x14ac:dyDescent="0.25">
      <c r="A68" s="44"/>
      <c r="B68" s="51"/>
      <c r="C68" s="149">
        <v>33</v>
      </c>
      <c r="D68" s="150"/>
      <c r="E68" s="318" t="s">
        <v>97</v>
      </c>
      <c r="F68" s="319"/>
      <c r="G68" s="319"/>
      <c r="H68" s="319"/>
      <c r="I68" s="319"/>
      <c r="J68" s="319"/>
      <c r="K68" s="320"/>
      <c r="L68" s="152" t="s">
        <v>20</v>
      </c>
      <c r="M68" s="153"/>
      <c r="N68" s="154"/>
      <c r="O68" s="146" t="s">
        <v>98</v>
      </c>
      <c r="P68" s="147"/>
      <c r="Q68" s="147"/>
      <c r="R68" s="148"/>
      <c r="S68" s="136" t="s">
        <v>20</v>
      </c>
      <c r="T68" s="151"/>
      <c r="U68" s="151"/>
      <c r="V68" s="151"/>
      <c r="W68" s="151"/>
      <c r="X68" s="151"/>
      <c r="Y68" s="137"/>
      <c r="Z68" s="337" t="s">
        <v>170</v>
      </c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9"/>
      <c r="AQ68" s="156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5"/>
      <c r="BK68" s="48"/>
    </row>
    <row r="69" spans="1:63" s="49" customFormat="1" ht="15" customHeight="1" x14ac:dyDescent="0.25">
      <c r="A69" s="44"/>
      <c r="B69" s="51"/>
      <c r="C69" s="51"/>
      <c r="D69" s="51"/>
      <c r="E69" s="279"/>
      <c r="F69" s="279"/>
      <c r="G69" s="279"/>
      <c r="H69" s="279"/>
      <c r="I69" s="279"/>
      <c r="J69" s="279"/>
      <c r="K69" s="279"/>
      <c r="L69" s="73"/>
      <c r="M69" s="73"/>
      <c r="N69" s="7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279"/>
      <c r="AA69" s="279"/>
      <c r="AB69" s="279"/>
      <c r="AC69" s="279"/>
      <c r="AD69" s="279"/>
      <c r="AE69" s="279"/>
      <c r="AF69" s="279"/>
      <c r="AG69" s="279"/>
      <c r="AH69" s="279"/>
      <c r="AI69" s="279"/>
      <c r="AJ69" s="279"/>
      <c r="AK69" s="279"/>
      <c r="AL69" s="279"/>
      <c r="AM69" s="279"/>
      <c r="AN69" s="279"/>
      <c r="AO69" s="279"/>
      <c r="AP69" s="279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48"/>
    </row>
    <row r="70" spans="1:63" s="49" customFormat="1" ht="15" customHeight="1" x14ac:dyDescent="0.25">
      <c r="A70" s="44"/>
      <c r="B70" s="51"/>
      <c r="C70" s="54" t="s">
        <v>171</v>
      </c>
      <c r="D70" s="51"/>
      <c r="E70" s="279"/>
      <c r="F70" s="51"/>
      <c r="G70" s="279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48"/>
    </row>
    <row r="71" spans="1:63" s="49" customFormat="1" ht="15" customHeight="1" x14ac:dyDescent="0.25">
      <c r="A71" s="44"/>
      <c r="B71" s="51"/>
      <c r="C71" s="54"/>
      <c r="D71" s="279"/>
      <c r="E71" s="279"/>
      <c r="F71" s="51"/>
      <c r="G71" s="279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48"/>
    </row>
    <row r="72" spans="1:63" s="49" customFormat="1" ht="15" customHeight="1" x14ac:dyDescent="0.25">
      <c r="A72" s="44"/>
      <c r="B72" s="51"/>
      <c r="C72" s="321" t="s">
        <v>45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55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48"/>
    </row>
    <row r="73" spans="1:63" s="49" customFormat="1" ht="15" customHeight="1" x14ac:dyDescent="0.25">
      <c r="A73" s="44"/>
      <c r="B73" s="51"/>
      <c r="C73" s="322" t="s">
        <v>115</v>
      </c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6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48"/>
    </row>
    <row r="74" spans="1:63" s="49" customFormat="1" ht="15" customHeight="1" x14ac:dyDescent="0.25">
      <c r="A74" s="44"/>
      <c r="B74" s="51"/>
      <c r="C74" s="322"/>
      <c r="D74" s="323" t="s">
        <v>45</v>
      </c>
      <c r="E74" s="279"/>
      <c r="F74" s="279"/>
      <c r="G74" s="279"/>
      <c r="H74" s="279"/>
      <c r="I74" s="279"/>
      <c r="J74" s="279"/>
      <c r="K74" s="279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6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48"/>
    </row>
    <row r="75" spans="1:63" s="49" customFormat="1" ht="15" customHeight="1" x14ac:dyDescent="0.25">
      <c r="A75" s="44"/>
      <c r="B75" s="51"/>
      <c r="C75" s="322" t="s">
        <v>178</v>
      </c>
      <c r="D75" s="279"/>
      <c r="E75" s="279"/>
      <c r="F75" s="279"/>
      <c r="G75" s="279"/>
      <c r="H75" s="279"/>
      <c r="I75" s="279"/>
      <c r="J75" s="279"/>
      <c r="K75" s="279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6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48"/>
    </row>
    <row r="76" spans="1:63" s="49" customFormat="1" ht="15" customHeight="1" x14ac:dyDescent="0.25">
      <c r="A76" s="44"/>
      <c r="B76" s="51"/>
      <c r="C76" s="322"/>
      <c r="D76" s="323" t="s">
        <v>113</v>
      </c>
      <c r="E76" s="323"/>
      <c r="F76" s="323"/>
      <c r="G76" s="323"/>
      <c r="H76" s="323"/>
      <c r="I76" s="279"/>
      <c r="J76" s="279"/>
      <c r="K76" s="279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6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48"/>
    </row>
    <row r="77" spans="1:63" s="49" customFormat="1" ht="15" customHeight="1" x14ac:dyDescent="0.25">
      <c r="A77" s="44"/>
      <c r="B77" s="51"/>
      <c r="C77" s="322"/>
      <c r="D77" s="323" t="s">
        <v>101</v>
      </c>
      <c r="E77" s="323"/>
      <c r="F77" s="323"/>
      <c r="G77" s="323"/>
      <c r="H77" s="323"/>
      <c r="I77" s="279"/>
      <c r="J77" s="279"/>
      <c r="K77" s="279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6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48"/>
    </row>
    <row r="78" spans="1:63" s="49" customFormat="1" ht="15" customHeight="1" x14ac:dyDescent="0.25">
      <c r="A78" s="44"/>
      <c r="B78" s="51"/>
      <c r="C78" s="322"/>
      <c r="D78" s="323" t="s">
        <v>102</v>
      </c>
      <c r="E78" s="323"/>
      <c r="F78" s="323"/>
      <c r="G78" s="323"/>
      <c r="H78" s="323"/>
      <c r="I78" s="279"/>
      <c r="J78" s="279"/>
      <c r="K78" s="279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6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48"/>
    </row>
    <row r="79" spans="1:63" s="49" customFormat="1" ht="15" customHeight="1" x14ac:dyDescent="0.25">
      <c r="A79" s="44"/>
      <c r="B79" s="51"/>
      <c r="C79" s="322"/>
      <c r="D79" s="323" t="s">
        <v>179</v>
      </c>
      <c r="E79" s="323"/>
      <c r="F79" s="323"/>
      <c r="G79" s="323"/>
      <c r="H79" s="323"/>
      <c r="I79" s="279"/>
      <c r="J79" s="279"/>
      <c r="K79" s="279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6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48"/>
    </row>
    <row r="80" spans="1:63" s="49" customFormat="1" ht="15" customHeight="1" x14ac:dyDescent="0.25">
      <c r="A80" s="44"/>
      <c r="B80" s="51"/>
      <c r="C80" s="322"/>
      <c r="D80" s="323" t="s">
        <v>104</v>
      </c>
      <c r="E80" s="323"/>
      <c r="F80" s="323"/>
      <c r="G80" s="323"/>
      <c r="H80" s="323"/>
      <c r="I80" s="279"/>
      <c r="J80" s="279"/>
      <c r="K80" s="279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6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48"/>
    </row>
    <row r="81" spans="1:63" s="49" customFormat="1" ht="15" customHeight="1" x14ac:dyDescent="0.25">
      <c r="A81" s="44"/>
      <c r="B81" s="51"/>
      <c r="C81" s="322"/>
      <c r="D81" s="323" t="s">
        <v>103</v>
      </c>
      <c r="E81" s="323"/>
      <c r="F81" s="323"/>
      <c r="G81" s="323"/>
      <c r="H81" s="323"/>
      <c r="I81" s="279"/>
      <c r="J81" s="279"/>
      <c r="K81" s="279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6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48"/>
    </row>
    <row r="82" spans="1:63" s="49" customFormat="1" ht="15" customHeight="1" x14ac:dyDescent="0.25">
      <c r="A82" s="44"/>
      <c r="B82" s="51"/>
      <c r="C82" s="322"/>
      <c r="D82" s="323" t="s">
        <v>109</v>
      </c>
      <c r="E82" s="323"/>
      <c r="F82" s="323"/>
      <c r="G82" s="323"/>
      <c r="H82" s="323"/>
      <c r="I82" s="279"/>
      <c r="J82" s="279"/>
      <c r="K82" s="279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6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48"/>
    </row>
    <row r="83" spans="1:63" s="49" customFormat="1" ht="15" customHeight="1" x14ac:dyDescent="0.25">
      <c r="A83" s="44"/>
      <c r="B83" s="51"/>
      <c r="C83" s="322"/>
      <c r="D83" s="323" t="s">
        <v>118</v>
      </c>
      <c r="E83" s="323"/>
      <c r="F83" s="323"/>
      <c r="G83" s="323"/>
      <c r="H83" s="323"/>
      <c r="I83" s="279"/>
      <c r="J83" s="279"/>
      <c r="K83" s="279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6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48"/>
    </row>
    <row r="84" spans="1:63" s="49" customFormat="1" ht="15" customHeight="1" x14ac:dyDescent="0.25">
      <c r="A84" s="44"/>
      <c r="B84" s="51"/>
      <c r="C84" s="322"/>
      <c r="D84" s="323" t="s">
        <v>119</v>
      </c>
      <c r="E84" s="323"/>
      <c r="F84" s="323"/>
      <c r="G84" s="323"/>
      <c r="H84" s="323"/>
      <c r="I84" s="279"/>
      <c r="J84" s="279"/>
      <c r="K84" s="279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6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48"/>
    </row>
    <row r="85" spans="1:63" s="49" customFormat="1" ht="15" customHeight="1" x14ac:dyDescent="0.25">
      <c r="A85" s="44"/>
      <c r="B85" s="51"/>
      <c r="C85" s="81" t="s">
        <v>187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6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2"/>
      <c r="BI85" s="52"/>
      <c r="BJ85" s="52"/>
      <c r="BK85" s="48"/>
    </row>
    <row r="86" spans="1:63" s="49" customFormat="1" ht="15" customHeight="1" x14ac:dyDescent="0.25">
      <c r="A86" s="44"/>
      <c r="B86" s="51"/>
      <c r="C86" s="81" t="s">
        <v>188</v>
      </c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6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2"/>
      <c r="BI86" s="52"/>
      <c r="BJ86" s="52"/>
      <c r="BK86" s="48"/>
    </row>
    <row r="87" spans="1:63" s="49" customFormat="1" ht="15" customHeight="1" x14ac:dyDescent="0.25">
      <c r="A87" s="44"/>
      <c r="B87" s="51"/>
      <c r="C87" s="322"/>
      <c r="D87" s="323" t="s">
        <v>110</v>
      </c>
      <c r="E87" s="323"/>
      <c r="F87" s="323"/>
      <c r="G87" s="323"/>
      <c r="H87" s="323"/>
      <c r="I87" s="279"/>
      <c r="J87" s="279"/>
      <c r="K87" s="279"/>
      <c r="L87" s="279"/>
      <c r="M87" s="279"/>
      <c r="N87" s="279"/>
      <c r="O87" s="279"/>
      <c r="P87" s="279"/>
      <c r="Q87" s="63"/>
      <c r="R87" s="63"/>
      <c r="S87" s="63"/>
      <c r="T87" s="63"/>
      <c r="U87" s="63"/>
      <c r="V87" s="63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6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48"/>
    </row>
    <row r="88" spans="1:63" s="49" customFormat="1" ht="15" customHeight="1" x14ac:dyDescent="0.25">
      <c r="A88" s="44"/>
      <c r="B88" s="51"/>
      <c r="C88" s="322"/>
      <c r="D88" s="323" t="s">
        <v>120</v>
      </c>
      <c r="E88" s="323"/>
      <c r="F88" s="323"/>
      <c r="G88" s="323"/>
      <c r="H88" s="323"/>
      <c r="I88" s="279"/>
      <c r="J88" s="279"/>
      <c r="K88" s="279"/>
      <c r="L88" s="279"/>
      <c r="M88" s="279"/>
      <c r="N88" s="279"/>
      <c r="O88" s="279"/>
      <c r="P88" s="279"/>
      <c r="Q88" s="63"/>
      <c r="R88" s="63"/>
      <c r="S88" s="63"/>
      <c r="T88" s="63"/>
      <c r="U88" s="63"/>
      <c r="V88" s="63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6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48"/>
    </row>
    <row r="89" spans="1:63" s="49" customFormat="1" ht="15" customHeight="1" x14ac:dyDescent="0.25">
      <c r="A89" s="44"/>
      <c r="B89" s="51"/>
      <c r="C89" s="322"/>
      <c r="D89" s="323"/>
      <c r="E89" s="323" t="s">
        <v>45</v>
      </c>
      <c r="F89" s="323"/>
      <c r="G89" s="323"/>
      <c r="H89" s="323"/>
      <c r="I89" s="279"/>
      <c r="J89" s="279"/>
      <c r="K89" s="279"/>
      <c r="L89" s="279"/>
      <c r="M89" s="279"/>
      <c r="N89" s="279"/>
      <c r="O89" s="279"/>
      <c r="P89" s="279"/>
      <c r="Q89" s="63"/>
      <c r="R89" s="63"/>
      <c r="S89" s="63"/>
      <c r="T89" s="63"/>
      <c r="U89" s="63"/>
      <c r="V89" s="63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6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48"/>
    </row>
    <row r="90" spans="1:63" s="80" customFormat="1" ht="15" customHeight="1" x14ac:dyDescent="0.25">
      <c r="A90" s="75"/>
      <c r="B90" s="76"/>
      <c r="C90" s="324" t="s">
        <v>178</v>
      </c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77"/>
      <c r="R90" s="77"/>
      <c r="S90" s="77"/>
      <c r="T90" s="77"/>
      <c r="U90" s="77"/>
      <c r="V90" s="77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8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8"/>
    </row>
    <row r="91" spans="1:63" s="49" customFormat="1" ht="15" customHeight="1" x14ac:dyDescent="0.25">
      <c r="A91" s="44"/>
      <c r="B91" s="51"/>
      <c r="C91" s="322"/>
      <c r="D91" s="323"/>
      <c r="E91" s="326" t="s">
        <v>113</v>
      </c>
      <c r="F91" s="323"/>
      <c r="G91" s="323"/>
      <c r="H91" s="323"/>
      <c r="I91" s="279"/>
      <c r="J91" s="279"/>
      <c r="K91" s="279"/>
      <c r="L91" s="279"/>
      <c r="M91" s="279"/>
      <c r="N91" s="279"/>
      <c r="O91" s="279"/>
      <c r="P91" s="279"/>
      <c r="Q91" s="63"/>
      <c r="R91" s="63"/>
      <c r="S91" s="63"/>
      <c r="T91" s="63"/>
      <c r="U91" s="63"/>
      <c r="V91" s="63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6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48"/>
    </row>
    <row r="92" spans="1:63" s="49" customFormat="1" ht="15" customHeight="1" x14ac:dyDescent="0.25">
      <c r="A92" s="44"/>
      <c r="B92" s="51"/>
      <c r="C92" s="322"/>
      <c r="D92" s="323"/>
      <c r="E92" s="326" t="s">
        <v>101</v>
      </c>
      <c r="F92" s="323"/>
      <c r="G92" s="323"/>
      <c r="H92" s="323"/>
      <c r="I92" s="279"/>
      <c r="J92" s="279"/>
      <c r="K92" s="279"/>
      <c r="L92" s="279"/>
      <c r="M92" s="279"/>
      <c r="N92" s="279"/>
      <c r="O92" s="279"/>
      <c r="P92" s="279"/>
      <c r="Q92" s="63"/>
      <c r="R92" s="63"/>
      <c r="S92" s="63"/>
      <c r="T92" s="63"/>
      <c r="U92" s="63"/>
      <c r="V92" s="63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6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48"/>
    </row>
    <row r="93" spans="1:63" s="49" customFormat="1" ht="15" customHeight="1" x14ac:dyDescent="0.25">
      <c r="A93" s="44"/>
      <c r="B93" s="51"/>
      <c r="C93" s="322"/>
      <c r="D93" s="323"/>
      <c r="E93" s="326" t="s">
        <v>102</v>
      </c>
      <c r="F93" s="323"/>
      <c r="G93" s="323"/>
      <c r="H93" s="323"/>
      <c r="I93" s="279"/>
      <c r="J93" s="279"/>
      <c r="K93" s="279"/>
      <c r="L93" s="279"/>
      <c r="M93" s="279"/>
      <c r="N93" s="279"/>
      <c r="O93" s="279"/>
      <c r="P93" s="279"/>
      <c r="Q93" s="63"/>
      <c r="R93" s="63"/>
      <c r="S93" s="63"/>
      <c r="T93" s="63"/>
      <c r="U93" s="63"/>
      <c r="V93" s="63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6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48"/>
    </row>
    <row r="94" spans="1:63" s="49" customFormat="1" ht="15" customHeight="1" x14ac:dyDescent="0.25">
      <c r="A94" s="44"/>
      <c r="B94" s="51"/>
      <c r="C94" s="322"/>
      <c r="D94" s="323"/>
      <c r="E94" s="326" t="s">
        <v>103</v>
      </c>
      <c r="F94" s="323"/>
      <c r="G94" s="323"/>
      <c r="H94" s="323"/>
      <c r="I94" s="279"/>
      <c r="J94" s="279"/>
      <c r="K94" s="279"/>
      <c r="L94" s="279"/>
      <c r="M94" s="279"/>
      <c r="N94" s="279"/>
      <c r="O94" s="279"/>
      <c r="P94" s="279"/>
      <c r="Q94" s="63"/>
      <c r="R94" s="63"/>
      <c r="S94" s="63"/>
      <c r="T94" s="63"/>
      <c r="U94" s="63"/>
      <c r="V94" s="63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6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48"/>
    </row>
    <row r="95" spans="1:63" s="49" customFormat="1" ht="15" customHeight="1" x14ac:dyDescent="0.25">
      <c r="A95" s="44"/>
      <c r="B95" s="51"/>
      <c r="C95" s="322"/>
      <c r="D95" s="323"/>
      <c r="E95" s="326" t="s">
        <v>104</v>
      </c>
      <c r="F95" s="323"/>
      <c r="G95" s="323"/>
      <c r="H95" s="323"/>
      <c r="I95" s="279"/>
      <c r="J95" s="279"/>
      <c r="K95" s="279"/>
      <c r="L95" s="279"/>
      <c r="M95" s="279"/>
      <c r="N95" s="279"/>
      <c r="O95" s="279"/>
      <c r="P95" s="279"/>
      <c r="Q95" s="63"/>
      <c r="R95" s="63"/>
      <c r="S95" s="63"/>
      <c r="T95" s="63"/>
      <c r="U95" s="63"/>
      <c r="V95" s="63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6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48"/>
    </row>
    <row r="96" spans="1:63" s="49" customFormat="1" ht="15" customHeight="1" x14ac:dyDescent="0.25">
      <c r="A96" s="44"/>
      <c r="B96" s="51"/>
      <c r="C96" s="322"/>
      <c r="D96" s="323"/>
      <c r="E96" s="326" t="s">
        <v>180</v>
      </c>
      <c r="F96" s="323"/>
      <c r="G96" s="323"/>
      <c r="H96" s="323"/>
      <c r="I96" s="279"/>
      <c r="J96" s="279"/>
      <c r="K96" s="279"/>
      <c r="L96" s="279"/>
      <c r="M96" s="279"/>
      <c r="N96" s="279"/>
      <c r="O96" s="279"/>
      <c r="P96" s="279"/>
      <c r="Q96" s="63"/>
      <c r="R96" s="63"/>
      <c r="S96" s="63"/>
      <c r="T96" s="63"/>
      <c r="U96" s="63"/>
      <c r="V96" s="63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6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48"/>
    </row>
    <row r="97" spans="1:63" s="49" customFormat="1" ht="15" customHeight="1" x14ac:dyDescent="0.25">
      <c r="A97" s="44"/>
      <c r="B97" s="51"/>
      <c r="C97" s="322"/>
      <c r="D97" s="323"/>
      <c r="E97" s="326" t="s">
        <v>105</v>
      </c>
      <c r="F97" s="323"/>
      <c r="G97" s="323"/>
      <c r="H97" s="323"/>
      <c r="I97" s="279"/>
      <c r="J97" s="279"/>
      <c r="K97" s="279"/>
      <c r="L97" s="279"/>
      <c r="M97" s="279"/>
      <c r="N97" s="279"/>
      <c r="O97" s="279"/>
      <c r="P97" s="279"/>
      <c r="Q97" s="63"/>
      <c r="R97" s="63"/>
      <c r="S97" s="63"/>
      <c r="T97" s="63"/>
      <c r="U97" s="63"/>
      <c r="V97" s="63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6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48"/>
    </row>
    <row r="98" spans="1:63" s="49" customFormat="1" ht="15" customHeight="1" x14ac:dyDescent="0.25">
      <c r="A98" s="44"/>
      <c r="B98" s="51"/>
      <c r="C98" s="322"/>
      <c r="D98" s="323"/>
      <c r="E98" s="326" t="s">
        <v>106</v>
      </c>
      <c r="F98" s="323"/>
      <c r="G98" s="323"/>
      <c r="H98" s="323"/>
      <c r="I98" s="279"/>
      <c r="J98" s="279"/>
      <c r="K98" s="279"/>
      <c r="L98" s="279"/>
      <c r="M98" s="279"/>
      <c r="N98" s="279"/>
      <c r="O98" s="279"/>
      <c r="P98" s="279"/>
      <c r="Q98" s="63"/>
      <c r="R98" s="63"/>
      <c r="S98" s="63"/>
      <c r="T98" s="63"/>
      <c r="U98" s="63"/>
      <c r="V98" s="63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6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48"/>
    </row>
    <row r="99" spans="1:63" s="49" customFormat="1" ht="15" customHeight="1" x14ac:dyDescent="0.25">
      <c r="A99" s="44"/>
      <c r="B99" s="51"/>
      <c r="C99" s="322"/>
      <c r="D99" s="323"/>
      <c r="E99" s="326" t="s">
        <v>107</v>
      </c>
      <c r="F99" s="323"/>
      <c r="G99" s="323"/>
      <c r="H99" s="323"/>
      <c r="I99" s="279"/>
      <c r="J99" s="279"/>
      <c r="K99" s="279"/>
      <c r="L99" s="279"/>
      <c r="M99" s="279"/>
      <c r="N99" s="279"/>
      <c r="O99" s="279"/>
      <c r="P99" s="279"/>
      <c r="Q99" s="63"/>
      <c r="R99" s="63"/>
      <c r="S99" s="63"/>
      <c r="T99" s="63"/>
      <c r="U99" s="63"/>
      <c r="V99" s="63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6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48"/>
    </row>
    <row r="100" spans="1:63" s="49" customFormat="1" ht="15" customHeight="1" x14ac:dyDescent="0.25">
      <c r="A100" s="44"/>
      <c r="B100" s="51"/>
      <c r="C100" s="322"/>
      <c r="D100" s="323"/>
      <c r="E100" s="326" t="s">
        <v>108</v>
      </c>
      <c r="F100" s="323"/>
      <c r="G100" s="323"/>
      <c r="H100" s="323"/>
      <c r="I100" s="279"/>
      <c r="J100" s="279"/>
      <c r="K100" s="279"/>
      <c r="L100" s="279"/>
      <c r="M100" s="279"/>
      <c r="N100" s="279"/>
      <c r="O100" s="279"/>
      <c r="P100" s="279"/>
      <c r="Q100" s="63"/>
      <c r="R100" s="63"/>
      <c r="S100" s="63"/>
      <c r="T100" s="63"/>
      <c r="U100" s="63"/>
      <c r="V100" s="63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6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48"/>
    </row>
    <row r="101" spans="1:63" s="49" customFormat="1" ht="15" customHeight="1" x14ac:dyDescent="0.25">
      <c r="A101" s="44"/>
      <c r="B101" s="51"/>
      <c r="C101" s="322"/>
      <c r="D101" s="323"/>
      <c r="E101" s="326" t="s">
        <v>109</v>
      </c>
      <c r="F101" s="323"/>
      <c r="G101" s="323"/>
      <c r="H101" s="323"/>
      <c r="I101" s="279"/>
      <c r="J101" s="279"/>
      <c r="K101" s="279"/>
      <c r="L101" s="279"/>
      <c r="M101" s="279"/>
      <c r="N101" s="279"/>
      <c r="O101" s="279"/>
      <c r="P101" s="279"/>
      <c r="Q101" s="63"/>
      <c r="R101" s="63"/>
      <c r="S101" s="63"/>
      <c r="T101" s="63"/>
      <c r="U101" s="63"/>
      <c r="V101" s="63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6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48"/>
    </row>
    <row r="102" spans="1:63" s="49" customFormat="1" ht="15" customHeight="1" x14ac:dyDescent="0.25">
      <c r="A102" s="44"/>
      <c r="B102" s="51"/>
      <c r="C102" s="322"/>
      <c r="D102" s="323"/>
      <c r="E102" s="326" t="s">
        <v>110</v>
      </c>
      <c r="F102" s="323"/>
      <c r="G102" s="323"/>
      <c r="H102" s="323"/>
      <c r="I102" s="279"/>
      <c r="J102" s="279"/>
      <c r="K102" s="279"/>
      <c r="L102" s="279"/>
      <c r="M102" s="279"/>
      <c r="N102" s="279"/>
      <c r="O102" s="279"/>
      <c r="P102" s="279"/>
      <c r="Q102" s="63"/>
      <c r="R102" s="63"/>
      <c r="S102" s="63"/>
      <c r="T102" s="63"/>
      <c r="U102" s="63"/>
      <c r="V102" s="63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6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48"/>
    </row>
    <row r="103" spans="1:63" s="49" customFormat="1" ht="15" customHeight="1" x14ac:dyDescent="0.25">
      <c r="A103" s="44"/>
      <c r="B103" s="51"/>
      <c r="C103" s="322"/>
      <c r="D103" s="323"/>
      <c r="E103" s="326" t="s">
        <v>111</v>
      </c>
      <c r="F103" s="323"/>
      <c r="G103" s="323"/>
      <c r="H103" s="323"/>
      <c r="I103" s="279"/>
      <c r="J103" s="279"/>
      <c r="K103" s="279"/>
      <c r="L103" s="279"/>
      <c r="M103" s="279"/>
      <c r="N103" s="279"/>
      <c r="O103" s="279"/>
      <c r="P103" s="279"/>
      <c r="Q103" s="63"/>
      <c r="R103" s="63"/>
      <c r="S103" s="63"/>
      <c r="T103" s="63"/>
      <c r="U103" s="63"/>
      <c r="V103" s="63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6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48"/>
    </row>
    <row r="104" spans="1:63" s="49" customFormat="1" ht="15" customHeight="1" x14ac:dyDescent="0.25">
      <c r="A104" s="44"/>
      <c r="B104" s="51"/>
      <c r="C104" s="322"/>
      <c r="D104" s="323"/>
      <c r="E104" s="326" t="s">
        <v>112</v>
      </c>
      <c r="F104" s="323"/>
      <c r="G104" s="323"/>
      <c r="H104" s="323"/>
      <c r="I104" s="279"/>
      <c r="J104" s="279"/>
      <c r="K104" s="279"/>
      <c r="L104" s="279"/>
      <c r="M104" s="279"/>
      <c r="N104" s="279"/>
      <c r="O104" s="279"/>
      <c r="P104" s="279"/>
      <c r="Q104" s="63"/>
      <c r="R104" s="63"/>
      <c r="S104" s="63"/>
      <c r="T104" s="63"/>
      <c r="U104" s="63"/>
      <c r="V104" s="63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6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48"/>
    </row>
    <row r="105" spans="1:63" s="49" customFormat="1" ht="15" customHeight="1" x14ac:dyDescent="0.25">
      <c r="A105" s="44"/>
      <c r="B105" s="51"/>
      <c r="C105" s="322"/>
      <c r="D105" s="323"/>
      <c r="E105" s="326" t="s">
        <v>129</v>
      </c>
      <c r="F105" s="323"/>
      <c r="G105" s="323"/>
      <c r="H105" s="323"/>
      <c r="I105" s="279"/>
      <c r="J105" s="279"/>
      <c r="K105" s="279"/>
      <c r="L105" s="279"/>
      <c r="M105" s="279"/>
      <c r="N105" s="279"/>
      <c r="O105" s="279"/>
      <c r="P105" s="279"/>
      <c r="Q105" s="63"/>
      <c r="R105" s="63"/>
      <c r="S105" s="63"/>
      <c r="T105" s="63"/>
      <c r="U105" s="63"/>
      <c r="V105" s="63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6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48"/>
    </row>
    <row r="106" spans="1:63" s="49" customFormat="1" ht="15" customHeight="1" x14ac:dyDescent="0.25">
      <c r="A106" s="44"/>
      <c r="B106" s="51"/>
      <c r="C106" s="322"/>
      <c r="D106" s="323"/>
      <c r="E106" s="326" t="s">
        <v>181</v>
      </c>
      <c r="F106" s="323"/>
      <c r="G106" s="323"/>
      <c r="H106" s="323"/>
      <c r="I106" s="279"/>
      <c r="J106" s="279"/>
      <c r="K106" s="279"/>
      <c r="L106" s="279"/>
      <c r="M106" s="279"/>
      <c r="N106" s="279"/>
      <c r="O106" s="279"/>
      <c r="P106" s="279"/>
      <c r="Q106" s="63"/>
      <c r="R106" s="63"/>
      <c r="S106" s="63"/>
      <c r="T106" s="63"/>
      <c r="U106" s="63"/>
      <c r="V106" s="63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6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48"/>
    </row>
    <row r="107" spans="1:63" s="49" customFormat="1" ht="15" customHeight="1" x14ac:dyDescent="0.25">
      <c r="A107" s="44"/>
      <c r="B107" s="51"/>
      <c r="C107" s="322"/>
      <c r="D107" s="323"/>
      <c r="E107" s="326" t="s">
        <v>182</v>
      </c>
      <c r="F107" s="323"/>
      <c r="G107" s="323"/>
      <c r="H107" s="323"/>
      <c r="I107" s="279"/>
      <c r="J107" s="279"/>
      <c r="K107" s="279"/>
      <c r="L107" s="279"/>
      <c r="M107" s="279"/>
      <c r="N107" s="279"/>
      <c r="O107" s="279"/>
      <c r="P107" s="279"/>
      <c r="Q107" s="63"/>
      <c r="R107" s="63"/>
      <c r="S107" s="63"/>
      <c r="T107" s="63"/>
      <c r="U107" s="63"/>
      <c r="V107" s="63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6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48"/>
    </row>
    <row r="108" spans="1:63" s="49" customFormat="1" ht="15" customHeight="1" x14ac:dyDescent="0.25">
      <c r="A108" s="44"/>
      <c r="B108" s="51"/>
      <c r="C108" s="322"/>
      <c r="D108" s="323"/>
      <c r="E108" s="323" t="s">
        <v>46</v>
      </c>
      <c r="F108" s="323"/>
      <c r="G108" s="323"/>
      <c r="H108" s="323"/>
      <c r="I108" s="279"/>
      <c r="J108" s="279"/>
      <c r="K108" s="279"/>
      <c r="L108" s="279"/>
      <c r="M108" s="279"/>
      <c r="N108" s="279"/>
      <c r="O108" s="279"/>
      <c r="P108" s="279"/>
      <c r="Q108" s="63"/>
      <c r="R108" s="63"/>
      <c r="S108" s="63"/>
      <c r="T108" s="63"/>
      <c r="U108" s="63"/>
      <c r="V108" s="63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6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48"/>
    </row>
    <row r="109" spans="1:63" s="49" customFormat="1" ht="15" customHeight="1" x14ac:dyDescent="0.25">
      <c r="A109" s="44"/>
      <c r="B109" s="51"/>
      <c r="C109" s="322"/>
      <c r="D109" s="323" t="s">
        <v>114</v>
      </c>
      <c r="E109" s="323"/>
      <c r="F109" s="323"/>
      <c r="G109" s="323"/>
      <c r="H109" s="323"/>
      <c r="I109" s="279"/>
      <c r="J109" s="279"/>
      <c r="K109" s="279"/>
      <c r="L109" s="279"/>
      <c r="M109" s="279"/>
      <c r="N109" s="279"/>
      <c r="O109" s="279"/>
      <c r="P109" s="279"/>
      <c r="Q109" s="63"/>
      <c r="R109" s="63"/>
      <c r="S109" s="63"/>
      <c r="T109" s="63"/>
      <c r="U109" s="63"/>
      <c r="V109" s="63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6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48"/>
    </row>
    <row r="110" spans="1:63" s="49" customFormat="1" ht="15" customHeight="1" x14ac:dyDescent="0.25">
      <c r="A110" s="44"/>
      <c r="B110" s="51"/>
      <c r="C110" s="327" t="s">
        <v>46</v>
      </c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57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48"/>
    </row>
    <row r="111" spans="1:63" s="49" customFormat="1" ht="15" customHeight="1" x14ac:dyDescent="0.25">
      <c r="A111" s="44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2"/>
      <c r="BI111" s="52"/>
      <c r="BJ111" s="52"/>
      <c r="BK111" s="48"/>
    </row>
    <row r="112" spans="1:63" s="49" customFormat="1" ht="15" customHeight="1" x14ac:dyDescent="0.25">
      <c r="A112" s="44"/>
      <c r="B112" s="53" t="s">
        <v>172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7"/>
      <c r="BI112" s="47"/>
      <c r="BJ112" s="47"/>
      <c r="BK112" s="48"/>
    </row>
    <row r="113" spans="1:63" s="49" customFormat="1" ht="15" customHeight="1" x14ac:dyDescent="0.25">
      <c r="A113" s="44"/>
      <c r="B113" s="50"/>
      <c r="C113" s="54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2"/>
      <c r="BI113" s="52"/>
      <c r="BJ113" s="52"/>
      <c r="BK113" s="48"/>
    </row>
    <row r="114" spans="1:63" s="49" customFormat="1" ht="15" customHeight="1" x14ac:dyDescent="0.25">
      <c r="A114" s="44"/>
      <c r="B114" s="50"/>
      <c r="C114" s="54" t="s">
        <v>173</v>
      </c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2"/>
      <c r="BI114" s="52"/>
      <c r="BJ114" s="52"/>
      <c r="BK114" s="48"/>
    </row>
    <row r="115" spans="1:63" s="49" customFormat="1" ht="15" customHeight="1" x14ac:dyDescent="0.25">
      <c r="A115" s="44"/>
      <c r="B115" s="50"/>
      <c r="C115" s="54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2"/>
      <c r="BI115" s="52"/>
      <c r="BJ115" s="52"/>
      <c r="BK115" s="48"/>
    </row>
    <row r="116" spans="1:63" s="49" customFormat="1" ht="15" customHeight="1" x14ac:dyDescent="0.25">
      <c r="A116" s="44"/>
      <c r="B116" s="51"/>
      <c r="C116" s="162" t="s">
        <v>26</v>
      </c>
      <c r="D116" s="164"/>
      <c r="E116" s="197" t="s">
        <v>174</v>
      </c>
      <c r="F116" s="198"/>
      <c r="G116" s="198"/>
      <c r="H116" s="198"/>
      <c r="I116" s="198"/>
      <c r="J116" s="198"/>
      <c r="K116" s="198"/>
      <c r="L116" s="198"/>
      <c r="M116" s="198"/>
      <c r="N116" s="199"/>
      <c r="O116" s="194" t="s">
        <v>40</v>
      </c>
      <c r="P116" s="195"/>
      <c r="Q116" s="195"/>
      <c r="R116" s="196"/>
      <c r="S116" s="182" t="s">
        <v>152</v>
      </c>
      <c r="T116" s="183"/>
      <c r="U116" s="183"/>
      <c r="V116" s="183"/>
      <c r="W116" s="183"/>
      <c r="X116" s="183"/>
      <c r="Y116" s="183"/>
      <c r="Z116" s="183"/>
      <c r="AA116" s="183"/>
      <c r="AB116" s="184"/>
      <c r="AC116" s="162" t="s">
        <v>38</v>
      </c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4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2"/>
      <c r="BI116" s="52"/>
      <c r="BJ116" s="52"/>
      <c r="BK116" s="48"/>
    </row>
    <row r="117" spans="1:63" s="49" customFormat="1" ht="15" customHeight="1" x14ac:dyDescent="0.25">
      <c r="A117" s="44"/>
      <c r="B117" s="51"/>
      <c r="C117" s="136">
        <v>1</v>
      </c>
      <c r="D117" s="137"/>
      <c r="E117" s="136" t="s">
        <v>47</v>
      </c>
      <c r="F117" s="151"/>
      <c r="G117" s="151"/>
      <c r="H117" s="151"/>
      <c r="I117" s="151"/>
      <c r="J117" s="151"/>
      <c r="K117" s="151"/>
      <c r="L117" s="151"/>
      <c r="M117" s="151"/>
      <c r="N117" s="137"/>
      <c r="O117" s="136" t="s">
        <v>53</v>
      </c>
      <c r="P117" s="151"/>
      <c r="Q117" s="151"/>
      <c r="R117" s="137"/>
      <c r="S117" s="191" t="s">
        <v>20</v>
      </c>
      <c r="T117" s="192"/>
      <c r="U117" s="192"/>
      <c r="V117" s="192"/>
      <c r="W117" s="192"/>
      <c r="X117" s="192"/>
      <c r="Y117" s="192"/>
      <c r="Z117" s="192"/>
      <c r="AA117" s="192"/>
      <c r="AB117" s="193"/>
      <c r="AC117" s="136" t="s">
        <v>48</v>
      </c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37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2"/>
      <c r="BI117" s="52"/>
      <c r="BJ117" s="52"/>
      <c r="BK117" s="48"/>
    </row>
    <row r="118" spans="1:63" s="49" customFormat="1" ht="15" customHeight="1" x14ac:dyDescent="0.25">
      <c r="A118" s="44"/>
      <c r="B118" s="51"/>
      <c r="C118" s="51"/>
      <c r="D118" s="51"/>
      <c r="E118" s="279"/>
      <c r="F118" s="279"/>
      <c r="G118" s="279"/>
      <c r="H118" s="279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279"/>
      <c r="T118" s="279"/>
      <c r="U118" s="279"/>
      <c r="V118" s="279"/>
      <c r="W118" s="279"/>
      <c r="X118" s="279"/>
      <c r="Y118" s="279"/>
      <c r="Z118" s="279"/>
      <c r="AA118" s="279"/>
      <c r="AB118" s="51"/>
      <c r="AC118" s="279"/>
      <c r="AD118" s="279"/>
      <c r="AE118" s="279"/>
      <c r="AF118" s="279"/>
      <c r="AG118" s="279"/>
      <c r="AH118" s="279"/>
      <c r="AI118" s="279"/>
      <c r="AJ118" s="279"/>
      <c r="AK118" s="279"/>
      <c r="AL118" s="279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2"/>
      <c r="BI118" s="52"/>
      <c r="BJ118" s="52"/>
      <c r="BK118" s="48"/>
    </row>
    <row r="119" spans="1:63" s="49" customFormat="1" ht="15" customHeight="1" x14ac:dyDescent="0.25">
      <c r="A119" s="44"/>
      <c r="B119" s="51"/>
      <c r="C119" s="54" t="s">
        <v>171</v>
      </c>
      <c r="D119" s="51"/>
      <c r="E119" s="279"/>
      <c r="F119" s="51"/>
      <c r="G119" s="279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2"/>
      <c r="BI119" s="52"/>
      <c r="BJ119" s="52"/>
      <c r="BK119" s="48"/>
    </row>
    <row r="120" spans="1:63" s="49" customFormat="1" ht="15" customHeight="1" x14ac:dyDescent="0.25">
      <c r="A120" s="44"/>
      <c r="B120" s="51"/>
      <c r="C120" s="54"/>
      <c r="D120" s="279"/>
      <c r="E120" s="279"/>
      <c r="F120" s="51"/>
      <c r="G120" s="279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2"/>
      <c r="BI120" s="52"/>
      <c r="BJ120" s="52"/>
      <c r="BK120" s="48"/>
    </row>
    <row r="121" spans="1:63" s="49" customFormat="1" ht="15" customHeight="1" x14ac:dyDescent="0.25">
      <c r="A121" s="44"/>
      <c r="B121" s="51"/>
      <c r="C121" s="321" t="s">
        <v>45</v>
      </c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55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2"/>
      <c r="BI121" s="52"/>
      <c r="BJ121" s="52"/>
      <c r="BK121" s="48"/>
    </row>
    <row r="122" spans="1:63" s="49" customFormat="1" ht="15" customHeight="1" x14ac:dyDescent="0.25">
      <c r="A122" s="44"/>
      <c r="B122" s="51"/>
      <c r="C122" s="322" t="s">
        <v>183</v>
      </c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6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2"/>
      <c r="BI122" s="52"/>
      <c r="BJ122" s="52"/>
      <c r="BK122" s="48"/>
    </row>
    <row r="123" spans="1:63" s="49" customFormat="1" ht="15" customHeight="1" x14ac:dyDescent="0.25">
      <c r="A123" s="44"/>
      <c r="B123" s="51"/>
      <c r="C123" s="327" t="s">
        <v>46</v>
      </c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57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2"/>
      <c r="BI123" s="52"/>
      <c r="BJ123" s="52"/>
      <c r="BK123" s="48"/>
    </row>
    <row r="124" spans="1:63" s="49" customFormat="1" ht="15" customHeight="1" x14ac:dyDescent="0.25">
      <c r="A124" s="44"/>
      <c r="B124" s="51"/>
      <c r="C124" s="51"/>
      <c r="D124" s="279"/>
      <c r="E124" s="279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2"/>
      <c r="BI124" s="52"/>
      <c r="BJ124" s="52"/>
      <c r="BK124" s="48"/>
    </row>
    <row r="125" spans="1:63" s="49" customFormat="1" ht="15" customHeight="1" x14ac:dyDescent="0.25">
      <c r="A125" s="44"/>
      <c r="B125" s="51"/>
      <c r="C125" s="50" t="s">
        <v>184</v>
      </c>
      <c r="D125" s="51"/>
      <c r="E125" s="279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2"/>
      <c r="BI125" s="52"/>
      <c r="BJ125" s="52"/>
      <c r="BK125" s="48"/>
    </row>
    <row r="126" spans="1:63" s="49" customFormat="1" ht="15" customHeight="1" x14ac:dyDescent="0.25">
      <c r="A126" s="44"/>
      <c r="B126" s="51"/>
      <c r="C126" s="50"/>
      <c r="D126" s="51"/>
      <c r="E126" s="279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2"/>
      <c r="BI126" s="52"/>
      <c r="BJ126" s="52"/>
      <c r="BK126" s="48"/>
    </row>
    <row r="127" spans="1:63" s="49" customFormat="1" ht="15" customHeight="1" x14ac:dyDescent="0.25">
      <c r="A127" s="44"/>
      <c r="B127" s="51"/>
      <c r="C127" s="50" t="s">
        <v>123</v>
      </c>
      <c r="D127" s="51"/>
      <c r="E127" s="279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2"/>
      <c r="BI127" s="52"/>
      <c r="BJ127" s="52"/>
      <c r="BK127" s="48"/>
    </row>
    <row r="128" spans="1:63" s="71" customFormat="1" ht="15" customHeight="1" x14ac:dyDescent="0.25">
      <c r="A128" s="66"/>
      <c r="B128" s="67"/>
      <c r="C128" s="67"/>
      <c r="D128" s="67"/>
      <c r="E128" s="68"/>
      <c r="F128" s="68"/>
      <c r="G128" s="68"/>
      <c r="H128" s="68"/>
      <c r="I128" s="68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9"/>
      <c r="BI128" s="69"/>
      <c r="BJ128" s="69"/>
      <c r="BK128" s="70"/>
    </row>
  </sheetData>
  <mergeCells count="325">
    <mergeCell ref="C117:D117"/>
    <mergeCell ref="AQ30:BJ30"/>
    <mergeCell ref="AQ44:BJ44"/>
    <mergeCell ref="AQ45:BJ45"/>
    <mergeCell ref="L38:N38"/>
    <mergeCell ref="O38:R38"/>
    <mergeCell ref="S38:Y38"/>
    <mergeCell ref="C66:D66"/>
    <mergeCell ref="E66:K66"/>
    <mergeCell ref="L66:N66"/>
    <mergeCell ref="O66:R66"/>
    <mergeCell ref="S66:Y66"/>
    <mergeCell ref="Z66:AP66"/>
    <mergeCell ref="AQ66:BJ66"/>
    <mergeCell ref="O116:R116"/>
    <mergeCell ref="O117:R117"/>
    <mergeCell ref="E116:N116"/>
    <mergeCell ref="E117:N117"/>
    <mergeCell ref="C68:D68"/>
    <mergeCell ref="E68:K68"/>
    <mergeCell ref="L68:N68"/>
    <mergeCell ref="O68:R68"/>
    <mergeCell ref="S68:Y68"/>
    <mergeCell ref="Z68:AP68"/>
    <mergeCell ref="O21:R22"/>
    <mergeCell ref="L21:N22"/>
    <mergeCell ref="AQ25:BJ25"/>
    <mergeCell ref="AC116:AU116"/>
    <mergeCell ref="AC117:AU117"/>
    <mergeCell ref="L43:N43"/>
    <mergeCell ref="O43:R43"/>
    <mergeCell ref="Z43:AP43"/>
    <mergeCell ref="E43:K43"/>
    <mergeCell ref="S43:Y43"/>
    <mergeCell ref="S35:Y35"/>
    <mergeCell ref="AQ36:BJ36"/>
    <mergeCell ref="AQ38:BJ38"/>
    <mergeCell ref="AQ37:BJ37"/>
    <mergeCell ref="S117:AB117"/>
    <mergeCell ref="AQ68:BJ68"/>
    <mergeCell ref="Z38:AP38"/>
    <mergeCell ref="O37:R37"/>
    <mergeCell ref="S37:Y37"/>
    <mergeCell ref="Z37:AP37"/>
    <mergeCell ref="L45:N45"/>
    <mergeCell ref="O45:R45"/>
    <mergeCell ref="S45:Y45"/>
    <mergeCell ref="E50:K50"/>
    <mergeCell ref="AQ43:BJ43"/>
    <mergeCell ref="E45:K45"/>
    <mergeCell ref="E24:K24"/>
    <mergeCell ref="E25:K25"/>
    <mergeCell ref="O23:R23"/>
    <mergeCell ref="O25:R25"/>
    <mergeCell ref="O24:R24"/>
    <mergeCell ref="L23:N23"/>
    <mergeCell ref="L24:N24"/>
    <mergeCell ref="L25:N25"/>
    <mergeCell ref="E26:K26"/>
    <mergeCell ref="L26:N26"/>
    <mergeCell ref="AQ41:BJ41"/>
    <mergeCell ref="C116:D116"/>
    <mergeCell ref="AG16:AP16"/>
    <mergeCell ref="O20:R20"/>
    <mergeCell ref="L20:N20"/>
    <mergeCell ref="S23:Y23"/>
    <mergeCell ref="Z24:AP24"/>
    <mergeCell ref="E36:K36"/>
    <mergeCell ref="C38:D38"/>
    <mergeCell ref="E38:K38"/>
    <mergeCell ref="C30:D30"/>
    <mergeCell ref="O26:R26"/>
    <mergeCell ref="S26:Y26"/>
    <mergeCell ref="Z26:AP26"/>
    <mergeCell ref="S116:AB116"/>
    <mergeCell ref="C24:D24"/>
    <mergeCell ref="C21:D22"/>
    <mergeCell ref="C26:D26"/>
    <mergeCell ref="E21:K22"/>
    <mergeCell ref="E23:K23"/>
    <mergeCell ref="C35:D35"/>
    <mergeCell ref="Z23:AP23"/>
    <mergeCell ref="E20:K20"/>
    <mergeCell ref="E30:K30"/>
    <mergeCell ref="Z21:AP22"/>
    <mergeCell ref="H4:T4"/>
    <mergeCell ref="U4:Y4"/>
    <mergeCell ref="Z4:AO4"/>
    <mergeCell ref="S25:Y25"/>
    <mergeCell ref="C25:D25"/>
    <mergeCell ref="Z25:AP25"/>
    <mergeCell ref="C44:D44"/>
    <mergeCell ref="E44:K44"/>
    <mergeCell ref="L44:N44"/>
    <mergeCell ref="O44:R44"/>
    <mergeCell ref="S44:Y44"/>
    <mergeCell ref="Z44:AP44"/>
    <mergeCell ref="E35:K35"/>
    <mergeCell ref="L30:N30"/>
    <mergeCell ref="O30:R30"/>
    <mergeCell ref="Z30:AP30"/>
    <mergeCell ref="C36:D36"/>
    <mergeCell ref="S41:Y41"/>
    <mergeCell ref="Z41:AP41"/>
    <mergeCell ref="C39:D39"/>
    <mergeCell ref="E39:K39"/>
    <mergeCell ref="AP4:BK4"/>
    <mergeCell ref="C15:D15"/>
    <mergeCell ref="C16:D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5:AP15"/>
    <mergeCell ref="E15:AF15"/>
    <mergeCell ref="C20:D20"/>
    <mergeCell ref="S20:Y20"/>
    <mergeCell ref="Z20:AP20"/>
    <mergeCell ref="L36:N36"/>
    <mergeCell ref="O36:R36"/>
    <mergeCell ref="S36:Y36"/>
    <mergeCell ref="Z36:AP36"/>
    <mergeCell ref="S30:Y30"/>
    <mergeCell ref="C31:BJ31"/>
    <mergeCell ref="L35:N35"/>
    <mergeCell ref="O35:R35"/>
    <mergeCell ref="Z35:AP35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1:BJ22"/>
    <mergeCell ref="S21:Y22"/>
    <mergeCell ref="A4:G4"/>
    <mergeCell ref="C46:D46"/>
    <mergeCell ref="C23:D23"/>
    <mergeCell ref="AQ46:BJ46"/>
    <mergeCell ref="L40:N40"/>
    <mergeCell ref="O40:R40"/>
    <mergeCell ref="S40:Y40"/>
    <mergeCell ref="Z40:AP40"/>
    <mergeCell ref="AQ40:BJ40"/>
    <mergeCell ref="Z45:AP45"/>
    <mergeCell ref="C41:D41"/>
    <mergeCell ref="E41:K41"/>
    <mergeCell ref="L41:N41"/>
    <mergeCell ref="O41:R41"/>
    <mergeCell ref="C45:D45"/>
    <mergeCell ref="C43:D43"/>
    <mergeCell ref="C37:D37"/>
    <mergeCell ref="E37:K37"/>
    <mergeCell ref="L37:N37"/>
    <mergeCell ref="S39:Y39"/>
    <mergeCell ref="Z39:AP39"/>
    <mergeCell ref="AQ39:BJ39"/>
    <mergeCell ref="C40:D40"/>
    <mergeCell ref="E40:K40"/>
    <mergeCell ref="Z50:AP50"/>
    <mergeCell ref="AQ50:BJ50"/>
    <mergeCell ref="E46:K46"/>
    <mergeCell ref="L46:N46"/>
    <mergeCell ref="O46:R46"/>
    <mergeCell ref="S46:Y46"/>
    <mergeCell ref="Z46:AP46"/>
    <mergeCell ref="E49:K49"/>
    <mergeCell ref="L49:N49"/>
    <mergeCell ref="O49:R49"/>
    <mergeCell ref="S49:Y49"/>
    <mergeCell ref="Z49:AP49"/>
    <mergeCell ref="L50:N50"/>
    <mergeCell ref="O50:R50"/>
    <mergeCell ref="S50:Y50"/>
    <mergeCell ref="C42:D42"/>
    <mergeCell ref="E42:K42"/>
    <mergeCell ref="L42:N42"/>
    <mergeCell ref="O42:R42"/>
    <mergeCell ref="S42:Y42"/>
    <mergeCell ref="Z42:AP42"/>
    <mergeCell ref="AQ42:BJ42"/>
    <mergeCell ref="C58:D58"/>
    <mergeCell ref="E58:K58"/>
    <mergeCell ref="L58:N58"/>
    <mergeCell ref="O58:R58"/>
    <mergeCell ref="S58:Y58"/>
    <mergeCell ref="Z58:AP58"/>
    <mergeCell ref="AQ58:BJ58"/>
    <mergeCell ref="C57:D57"/>
    <mergeCell ref="E57:K57"/>
    <mergeCell ref="L57:N57"/>
    <mergeCell ref="O57:R57"/>
    <mergeCell ref="S57:Y57"/>
    <mergeCell ref="Z57:AP57"/>
    <mergeCell ref="AQ57:BJ57"/>
    <mergeCell ref="C49:D49"/>
    <mergeCell ref="AQ49:BJ49"/>
    <mergeCell ref="S51:Y51"/>
    <mergeCell ref="S63:Y63"/>
    <mergeCell ref="Z63:AP63"/>
    <mergeCell ref="AQ63:BJ63"/>
    <mergeCell ref="C62:D62"/>
    <mergeCell ref="E62:K62"/>
    <mergeCell ref="L62:N62"/>
    <mergeCell ref="O62:R62"/>
    <mergeCell ref="S62:Y62"/>
    <mergeCell ref="Z62:AP62"/>
    <mergeCell ref="AQ62:BJ62"/>
    <mergeCell ref="S59:Y59"/>
    <mergeCell ref="Z59:AP59"/>
    <mergeCell ref="AQ59:BJ59"/>
    <mergeCell ref="C61:D61"/>
    <mergeCell ref="E61:K61"/>
    <mergeCell ref="L61:N61"/>
    <mergeCell ref="O61:R61"/>
    <mergeCell ref="S61:Y61"/>
    <mergeCell ref="Z61:AP61"/>
    <mergeCell ref="AQ61:BJ61"/>
    <mergeCell ref="C60:D60"/>
    <mergeCell ref="E60:K60"/>
    <mergeCell ref="L60:N60"/>
    <mergeCell ref="O60:R60"/>
    <mergeCell ref="S60:Y60"/>
    <mergeCell ref="Z60:AP60"/>
    <mergeCell ref="AQ60:BJ60"/>
    <mergeCell ref="S64:Y64"/>
    <mergeCell ref="Z64:AP64"/>
    <mergeCell ref="AQ64:BJ64"/>
    <mergeCell ref="AQ53:BJ53"/>
    <mergeCell ref="Z53:AP53"/>
    <mergeCell ref="S53:Y53"/>
    <mergeCell ref="O53:R53"/>
    <mergeCell ref="L53:N53"/>
    <mergeCell ref="L56:N56"/>
    <mergeCell ref="O56:R56"/>
    <mergeCell ref="S56:Y56"/>
    <mergeCell ref="Z56:AP56"/>
    <mergeCell ref="AQ56:BJ56"/>
    <mergeCell ref="L54:N54"/>
    <mergeCell ref="O54:R54"/>
    <mergeCell ref="S54:Y54"/>
    <mergeCell ref="Z54:AP54"/>
    <mergeCell ref="AQ54:BJ54"/>
    <mergeCell ref="L55:N55"/>
    <mergeCell ref="O55:R55"/>
    <mergeCell ref="S55:Y55"/>
    <mergeCell ref="Z55:AP55"/>
    <mergeCell ref="AQ55:BJ55"/>
    <mergeCell ref="L59:N59"/>
    <mergeCell ref="C65:D65"/>
    <mergeCell ref="E65:K65"/>
    <mergeCell ref="L65:N65"/>
    <mergeCell ref="O65:R65"/>
    <mergeCell ref="S65:Y65"/>
    <mergeCell ref="Z65:AP65"/>
    <mergeCell ref="AQ65:BJ65"/>
    <mergeCell ref="C67:D67"/>
    <mergeCell ref="E67:K67"/>
    <mergeCell ref="L67:N67"/>
    <mergeCell ref="O67:R67"/>
    <mergeCell ref="S67:Y67"/>
    <mergeCell ref="Z67:AP67"/>
    <mergeCell ref="AQ67:BJ67"/>
    <mergeCell ref="C64:D64"/>
    <mergeCell ref="E64:K64"/>
    <mergeCell ref="L64:N64"/>
    <mergeCell ref="L39:N39"/>
    <mergeCell ref="O39:R39"/>
    <mergeCell ref="C51:D51"/>
    <mergeCell ref="E51:K51"/>
    <mergeCell ref="L51:N51"/>
    <mergeCell ref="O51:R51"/>
    <mergeCell ref="C56:D56"/>
    <mergeCell ref="E56:K56"/>
    <mergeCell ref="C54:D54"/>
    <mergeCell ref="E54:K54"/>
    <mergeCell ref="C55:D55"/>
    <mergeCell ref="E55:K55"/>
    <mergeCell ref="O64:R64"/>
    <mergeCell ref="C59:D59"/>
    <mergeCell ref="E59:K59"/>
    <mergeCell ref="O59:R59"/>
    <mergeCell ref="C63:D63"/>
    <mergeCell ref="E63:K63"/>
    <mergeCell ref="L63:N63"/>
    <mergeCell ref="O63:R63"/>
    <mergeCell ref="C50:D50"/>
    <mergeCell ref="Z51:AP51"/>
    <mergeCell ref="AQ51:BJ51"/>
    <mergeCell ref="E53:K53"/>
    <mergeCell ref="C53:D53"/>
    <mergeCell ref="O52:R52"/>
    <mergeCell ref="S52:Y52"/>
    <mergeCell ref="Z52:AP52"/>
    <mergeCell ref="AQ52:BJ52"/>
    <mergeCell ref="C52:D52"/>
    <mergeCell ref="E52:K52"/>
    <mergeCell ref="L52:N52"/>
    <mergeCell ref="C47:D47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</mergeCells>
  <pageMargins left="0.7" right="0.7" top="0.75" bottom="0.75" header="0.3" footer="0.3"/>
  <pageSetup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9" t="s">
        <v>134</v>
      </c>
      <c r="B1" s="260"/>
      <c r="C1" s="260"/>
      <c r="D1" s="260"/>
      <c r="E1" s="260"/>
      <c r="F1" s="260"/>
      <c r="G1" s="260"/>
      <c r="H1" s="260"/>
      <c r="I1" s="260"/>
      <c r="J1" s="261"/>
      <c r="K1" s="259" t="s">
        <v>135</v>
      </c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1"/>
      <c r="W1" s="262" t="str">
        <f>IF(表紙!W1="","",表紙!W1)</f>
        <v>詳細設計書</v>
      </c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4"/>
      <c r="AP1" s="213" t="s">
        <v>136</v>
      </c>
      <c r="AQ1" s="214"/>
      <c r="AR1" s="214"/>
      <c r="AS1" s="215"/>
      <c r="AT1" s="213" t="s">
        <v>137</v>
      </c>
      <c r="AU1" s="214"/>
      <c r="AV1" s="214"/>
      <c r="AW1" s="214"/>
      <c r="AX1" s="215"/>
      <c r="AY1" s="213" t="s">
        <v>138</v>
      </c>
      <c r="AZ1" s="214"/>
      <c r="BA1" s="214"/>
      <c r="BB1" s="215"/>
      <c r="BC1" s="213" t="s">
        <v>139</v>
      </c>
      <c r="BD1" s="214"/>
      <c r="BE1" s="214"/>
      <c r="BF1" s="214"/>
      <c r="BG1" s="215"/>
      <c r="BH1" s="213" t="s">
        <v>140</v>
      </c>
      <c r="BI1" s="214"/>
      <c r="BJ1" s="214"/>
      <c r="BK1" s="215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5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7"/>
      <c r="AP2" s="220" t="str">
        <f>IF(表紙!AP2="","",表紙!AP2)</f>
        <v>DuNT</v>
      </c>
      <c r="AQ2" s="221"/>
      <c r="AR2" s="221"/>
      <c r="AS2" s="222"/>
      <c r="AT2" s="226">
        <f>IF(表紙!AT2="","",表紙!AT2)</f>
        <v>45477</v>
      </c>
      <c r="AU2" s="227"/>
      <c r="AV2" s="227"/>
      <c r="AW2" s="227"/>
      <c r="AX2" s="228"/>
      <c r="AY2" s="220" t="str">
        <f>IF(表紙!AY2="","",表紙!AY2)</f>
        <v>DuNT</v>
      </c>
      <c r="AZ2" s="221"/>
      <c r="BA2" s="221"/>
      <c r="BB2" s="222"/>
      <c r="BC2" s="226">
        <f>IF(表紙!BC2="","",表紙!BC2)</f>
        <v>45504</v>
      </c>
      <c r="BD2" s="227"/>
      <c r="BE2" s="227"/>
      <c r="BF2" s="227"/>
      <c r="BG2" s="228"/>
      <c r="BH2" s="220">
        <f>IF(表紙!BH2="","",表紙!BH2)</f>
        <v>0.2</v>
      </c>
      <c r="BI2" s="221"/>
      <c r="BJ2" s="221"/>
      <c r="BK2" s="222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68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70"/>
      <c r="AP3" s="229"/>
      <c r="AQ3" s="230"/>
      <c r="AR3" s="230"/>
      <c r="AS3" s="231"/>
      <c r="AT3" s="235"/>
      <c r="AU3" s="236"/>
      <c r="AV3" s="236"/>
      <c r="AW3" s="236"/>
      <c r="AX3" s="237"/>
      <c r="AY3" s="229"/>
      <c r="AZ3" s="230"/>
      <c r="BA3" s="230"/>
      <c r="BB3" s="231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 x14ac:dyDescent="0.25">
      <c r="A4" s="259" t="s">
        <v>146</v>
      </c>
      <c r="B4" s="260"/>
      <c r="C4" s="260"/>
      <c r="D4" s="260"/>
      <c r="E4" s="260"/>
      <c r="F4" s="260"/>
      <c r="G4" s="261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259" t="s">
        <v>142</v>
      </c>
      <c r="V4" s="260"/>
      <c r="W4" s="260"/>
      <c r="X4" s="260"/>
      <c r="Y4" s="261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処理フロー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77" customFormat="1" ht="15" customHeight="1" x14ac:dyDescent="0.25">
      <c r="B7" s="72"/>
      <c r="C7" s="52"/>
      <c r="D7" s="52"/>
      <c r="E7" s="52"/>
      <c r="F7" s="52"/>
      <c r="G7" s="52"/>
      <c r="AI7" s="340"/>
      <c r="BJ7" s="340"/>
      <c r="BK7" s="276"/>
    </row>
    <row r="8" spans="1:63" s="277" customFormat="1" ht="15" customHeight="1" x14ac:dyDescent="0.25">
      <c r="B8" s="72"/>
      <c r="C8" s="52"/>
      <c r="D8" s="52"/>
      <c r="E8" s="52"/>
      <c r="F8" s="52"/>
      <c r="G8" s="52"/>
      <c r="AI8" s="340"/>
      <c r="BJ8" s="340"/>
      <c r="BK8" s="276"/>
    </row>
    <row r="9" spans="1:63" s="277" customFormat="1" ht="15" customHeight="1" x14ac:dyDescent="0.25">
      <c r="B9" s="72"/>
      <c r="C9" s="52"/>
      <c r="D9" s="52"/>
      <c r="E9" s="52"/>
      <c r="F9" s="52"/>
      <c r="G9" s="52"/>
      <c r="AI9" s="340"/>
      <c r="BJ9" s="340"/>
      <c r="BK9" s="276"/>
    </row>
    <row r="10" spans="1:63" s="277" customFormat="1" ht="15" customHeight="1" x14ac:dyDescent="0.25">
      <c r="B10" s="72"/>
      <c r="C10" s="52"/>
      <c r="D10" s="52"/>
      <c r="E10" s="52"/>
      <c r="F10" s="52"/>
      <c r="G10" s="52"/>
      <c r="AI10" s="340"/>
      <c r="BJ10" s="340"/>
      <c r="BK10" s="276"/>
    </row>
    <row r="11" spans="1:63" s="277" customFormat="1" ht="15" customHeight="1" x14ac:dyDescent="0.25">
      <c r="B11" s="341" t="s">
        <v>117</v>
      </c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3"/>
      <c r="AJ11" s="342"/>
      <c r="AK11" s="342"/>
      <c r="AL11" s="342"/>
      <c r="AM11" s="342"/>
      <c r="AN11" s="342"/>
      <c r="AO11" s="342"/>
      <c r="AP11" s="342"/>
      <c r="AQ11" s="342"/>
      <c r="AR11" s="342"/>
      <c r="AS11" s="342"/>
      <c r="AT11" s="342"/>
      <c r="AU11" s="342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  <c r="BG11" s="342"/>
      <c r="BH11" s="342"/>
      <c r="BI11" s="342"/>
      <c r="BJ11" s="343"/>
      <c r="BK11" s="276"/>
    </row>
    <row r="12" spans="1:63" s="277" customFormat="1" ht="15" customHeight="1" x14ac:dyDescent="0.25">
      <c r="B12" s="344"/>
      <c r="AI12" s="340"/>
      <c r="BJ12" s="340"/>
      <c r="BK12" s="276"/>
    </row>
    <row r="13" spans="1:63" s="277" customFormat="1" ht="15" customHeight="1" x14ac:dyDescent="0.25">
      <c r="B13" s="344"/>
      <c r="AI13" s="340"/>
      <c r="BJ13" s="340"/>
      <c r="BK13" s="276"/>
    </row>
    <row r="14" spans="1:63" s="277" customFormat="1" ht="15" customHeight="1" x14ac:dyDescent="0.25">
      <c r="B14" s="344"/>
      <c r="AI14" s="340"/>
      <c r="BJ14" s="340"/>
      <c r="BK14" s="276"/>
    </row>
    <row r="15" spans="1:63" s="277" customFormat="1" ht="15" customHeight="1" x14ac:dyDescent="0.25">
      <c r="B15" s="344"/>
      <c r="AI15" s="340"/>
      <c r="BJ15" s="340"/>
      <c r="BK15" s="276"/>
    </row>
    <row r="16" spans="1:63" s="277" customFormat="1" ht="15" customHeight="1" x14ac:dyDescent="0.25">
      <c r="B16" s="344"/>
      <c r="AI16" s="340"/>
      <c r="BJ16" s="340"/>
      <c r="BK16" s="276"/>
    </row>
    <row r="17" spans="2:63" s="277" customFormat="1" ht="15" customHeight="1" x14ac:dyDescent="0.25">
      <c r="B17" s="344"/>
      <c r="AI17" s="340"/>
      <c r="BJ17" s="340"/>
      <c r="BK17" s="276"/>
    </row>
    <row r="18" spans="2:63" s="277" customFormat="1" ht="15" customHeight="1" x14ac:dyDescent="0.25">
      <c r="B18" s="344"/>
      <c r="AI18" s="340"/>
      <c r="BJ18" s="340"/>
      <c r="BK18" s="276"/>
    </row>
    <row r="19" spans="2:63" s="277" customFormat="1" ht="15" customHeight="1" x14ac:dyDescent="0.25">
      <c r="B19" s="344"/>
      <c r="AI19" s="340"/>
      <c r="BJ19" s="340"/>
      <c r="BK19" s="276"/>
    </row>
    <row r="20" spans="2:63" s="277" customFormat="1" ht="15" customHeight="1" x14ac:dyDescent="0.25">
      <c r="B20" s="344"/>
      <c r="AI20" s="340"/>
      <c r="BJ20" s="340"/>
      <c r="BK20" s="276"/>
    </row>
    <row r="21" spans="2:63" s="277" customFormat="1" ht="15" customHeight="1" x14ac:dyDescent="0.25">
      <c r="B21" s="344"/>
      <c r="AI21" s="340"/>
      <c r="BJ21" s="340"/>
      <c r="BK21" s="276"/>
    </row>
    <row r="22" spans="2:63" s="277" customFormat="1" ht="15" customHeight="1" x14ac:dyDescent="0.25">
      <c r="B22" s="344"/>
      <c r="AI22" s="340"/>
      <c r="BJ22" s="340"/>
      <c r="BK22" s="276"/>
    </row>
    <row r="23" spans="2:63" s="277" customFormat="1" ht="15" customHeight="1" x14ac:dyDescent="0.25">
      <c r="B23" s="344"/>
      <c r="AI23" s="340"/>
      <c r="BJ23" s="340"/>
      <c r="BK23" s="276"/>
    </row>
    <row r="24" spans="2:63" s="277" customFormat="1" ht="15" customHeight="1" x14ac:dyDescent="0.25">
      <c r="B24" s="344"/>
      <c r="AI24" s="340"/>
      <c r="BJ24" s="340"/>
      <c r="BK24" s="276"/>
    </row>
    <row r="25" spans="2:63" s="277" customFormat="1" ht="15" customHeight="1" x14ac:dyDescent="0.25">
      <c r="B25" s="344"/>
      <c r="AI25" s="340"/>
      <c r="BJ25" s="340"/>
      <c r="BK25" s="276"/>
    </row>
    <row r="26" spans="2:63" s="277" customFormat="1" ht="15" customHeight="1" x14ac:dyDescent="0.25">
      <c r="B26" s="344"/>
      <c r="AI26" s="340"/>
      <c r="BJ26" s="340"/>
      <c r="BK26" s="276"/>
    </row>
    <row r="27" spans="2:63" s="277" customFormat="1" ht="15" customHeight="1" x14ac:dyDescent="0.25">
      <c r="B27" s="344"/>
      <c r="AI27" s="340"/>
      <c r="BJ27" s="340"/>
      <c r="BK27" s="276"/>
    </row>
    <row r="28" spans="2:63" s="277" customFormat="1" ht="15" customHeight="1" x14ac:dyDescent="0.25">
      <c r="B28" s="344"/>
      <c r="AI28" s="340"/>
      <c r="BJ28" s="340"/>
      <c r="BK28" s="276"/>
    </row>
    <row r="29" spans="2:63" s="277" customFormat="1" ht="15" customHeight="1" x14ac:dyDescent="0.25">
      <c r="B29" s="344"/>
      <c r="AI29" s="340"/>
      <c r="BJ29" s="340"/>
      <c r="BK29" s="276"/>
    </row>
    <row r="30" spans="2:63" s="277" customFormat="1" ht="15" customHeight="1" x14ac:dyDescent="0.25">
      <c r="B30" s="344"/>
      <c r="AI30" s="340"/>
      <c r="BJ30" s="340"/>
      <c r="BK30" s="276"/>
    </row>
    <row r="31" spans="2:63" s="277" customFormat="1" ht="15" customHeight="1" x14ac:dyDescent="0.25">
      <c r="B31" s="344"/>
      <c r="AI31" s="340"/>
      <c r="BJ31" s="340"/>
      <c r="BK31" s="276"/>
    </row>
    <row r="32" spans="2:63" s="277" customFormat="1" ht="15" customHeight="1" x14ac:dyDescent="0.25">
      <c r="B32" s="344"/>
      <c r="AI32" s="340"/>
      <c r="BJ32" s="340"/>
      <c r="BK32" s="276"/>
    </row>
    <row r="33" spans="2:63" s="277" customFormat="1" ht="15" customHeight="1" x14ac:dyDescent="0.25">
      <c r="B33" s="344"/>
      <c r="AI33" s="340"/>
      <c r="BJ33" s="340"/>
      <c r="BK33" s="276"/>
    </row>
    <row r="34" spans="2:63" s="277" customFormat="1" ht="15" customHeight="1" x14ac:dyDescent="0.25">
      <c r="B34" s="344"/>
      <c r="AI34" s="340"/>
      <c r="BJ34" s="340"/>
      <c r="BK34" s="276"/>
    </row>
    <row r="35" spans="2:63" s="277" customFormat="1" ht="15" customHeight="1" x14ac:dyDescent="0.25">
      <c r="B35" s="344"/>
      <c r="AI35" s="340"/>
      <c r="BJ35" s="340"/>
      <c r="BK35" s="276"/>
    </row>
    <row r="36" spans="2:63" s="277" customFormat="1" ht="15" customHeight="1" x14ac:dyDescent="0.25">
      <c r="B36" s="344"/>
      <c r="AI36" s="340"/>
      <c r="BJ36" s="340"/>
      <c r="BK36" s="276"/>
    </row>
    <row r="37" spans="2:63" s="277" customFormat="1" ht="15" customHeight="1" x14ac:dyDescent="0.25">
      <c r="B37" s="344"/>
      <c r="AI37" s="340"/>
      <c r="BJ37" s="340"/>
      <c r="BK37" s="276"/>
    </row>
    <row r="38" spans="2:63" s="277" customFormat="1" ht="15" customHeight="1" x14ac:dyDescent="0.25">
      <c r="B38" s="344"/>
      <c r="AI38" s="340"/>
      <c r="BJ38" s="340"/>
      <c r="BK38" s="276"/>
    </row>
    <row r="39" spans="2:63" s="277" customFormat="1" ht="15" customHeight="1" x14ac:dyDescent="0.25">
      <c r="B39" s="344"/>
      <c r="AI39" s="340"/>
      <c r="BJ39" s="340"/>
      <c r="BK39" s="276"/>
    </row>
    <row r="40" spans="2:63" s="277" customFormat="1" ht="15" customHeight="1" x14ac:dyDescent="0.25">
      <c r="B40" s="344"/>
      <c r="AI40" s="340"/>
      <c r="BJ40" s="340"/>
      <c r="BK40" s="276"/>
    </row>
    <row r="41" spans="2:63" ht="15" customHeight="1" x14ac:dyDescent="0.25">
      <c r="B41" s="40"/>
      <c r="AI41" s="42"/>
      <c r="BJ41" s="42"/>
      <c r="BK41" s="34"/>
    </row>
    <row r="42" spans="2:63" ht="15" customHeight="1" x14ac:dyDescent="0.25">
      <c r="B42" s="40"/>
      <c r="AI42" s="42"/>
      <c r="BJ42" s="42"/>
      <c r="BK42" s="34"/>
    </row>
    <row r="43" spans="2:63" ht="15" customHeight="1" x14ac:dyDescent="0.25">
      <c r="B43" s="40"/>
      <c r="AI43" s="42"/>
      <c r="BJ43" s="42"/>
      <c r="BK43" s="34"/>
    </row>
    <row r="44" spans="2:63" ht="15" customHeight="1" x14ac:dyDescent="0.25">
      <c r="B44" s="40"/>
      <c r="AI44" s="42"/>
      <c r="BJ44" s="42"/>
      <c r="BK44" s="34"/>
    </row>
    <row r="45" spans="2:63" ht="15" customHeight="1" x14ac:dyDescent="0.25">
      <c r="B45" s="40"/>
      <c r="AI45" s="42"/>
      <c r="BJ45" s="42"/>
      <c r="BK45" s="34"/>
    </row>
    <row r="46" spans="2:63" ht="15" customHeight="1" x14ac:dyDescent="0.25">
      <c r="B46" s="40"/>
      <c r="AI46" s="42"/>
      <c r="BJ46" s="42"/>
      <c r="BK46" s="34"/>
    </row>
    <row r="47" spans="2:63" ht="15" customHeight="1" x14ac:dyDescent="0.25">
      <c r="B47" s="40"/>
      <c r="AI47" s="42"/>
      <c r="BJ47" s="42"/>
      <c r="BK47" s="34"/>
    </row>
    <row r="48" spans="2:63" ht="15" customHeight="1" x14ac:dyDescent="0.25">
      <c r="B48" s="40"/>
      <c r="AI48" s="42"/>
      <c r="BJ48" s="42"/>
      <c r="BK48" s="34"/>
    </row>
    <row r="49" spans="2:63" ht="15" customHeight="1" x14ac:dyDescent="0.25">
      <c r="B49" s="40"/>
      <c r="AI49" s="42"/>
      <c r="BJ49" s="42"/>
      <c r="BK49" s="34"/>
    </row>
    <row r="50" spans="2:63" ht="15" customHeight="1" x14ac:dyDescent="0.25">
      <c r="B50" s="40"/>
      <c r="AI50" s="42"/>
      <c r="BJ50" s="42"/>
      <c r="BK50" s="34"/>
    </row>
    <row r="51" spans="2:63" ht="15" customHeight="1" x14ac:dyDescent="0.25">
      <c r="B51" s="40"/>
      <c r="AI51" s="42"/>
      <c r="BJ51" s="42"/>
      <c r="BK51" s="34"/>
    </row>
    <row r="52" spans="2:63" ht="15" customHeight="1" x14ac:dyDescent="0.25">
      <c r="B52" s="40"/>
      <c r="AI52" s="42"/>
      <c r="BJ52" s="42"/>
      <c r="BK52" s="34"/>
    </row>
    <row r="53" spans="2:63" ht="15" customHeight="1" x14ac:dyDescent="0.25">
      <c r="B53" s="40"/>
      <c r="AI53" s="42"/>
      <c r="BJ53" s="42"/>
      <c r="BK53" s="34"/>
    </row>
    <row r="54" spans="2:63" ht="15" customHeight="1" x14ac:dyDescent="0.25">
      <c r="B54" s="40"/>
      <c r="AI54" s="42"/>
      <c r="BJ54" s="42"/>
      <c r="BK54" s="34"/>
    </row>
    <row r="55" spans="2:63" ht="15" customHeight="1" x14ac:dyDescent="0.25">
      <c r="B55" s="40"/>
      <c r="AI55" s="42"/>
      <c r="BJ55" s="42"/>
      <c r="BK55" s="34"/>
    </row>
    <row r="56" spans="2:63" ht="15" customHeight="1" x14ac:dyDescent="0.25">
      <c r="B56" s="40"/>
      <c r="AI56" s="42"/>
      <c r="BJ56" s="42"/>
      <c r="BK56" s="34"/>
    </row>
    <row r="57" spans="2:63" ht="15" customHeight="1" x14ac:dyDescent="0.25">
      <c r="B57" s="40"/>
      <c r="AI57" s="42"/>
      <c r="BJ57" s="42"/>
      <c r="BK57" s="34"/>
    </row>
    <row r="58" spans="2:63" ht="15" customHeight="1" x14ac:dyDescent="0.25">
      <c r="B58" s="40"/>
      <c r="AI58" s="42"/>
      <c r="BJ58" s="42"/>
      <c r="BK58" s="34"/>
    </row>
    <row r="59" spans="2:63" ht="15" customHeight="1" x14ac:dyDescent="0.25">
      <c r="B59" s="40"/>
      <c r="AI59" s="42"/>
      <c r="BJ59" s="42"/>
      <c r="BK59" s="34"/>
    </row>
    <row r="60" spans="2:63" ht="15" customHeight="1" x14ac:dyDescent="0.25">
      <c r="B60" s="40"/>
      <c r="AI60" s="42"/>
      <c r="BJ60" s="42"/>
      <c r="BK60" s="34"/>
    </row>
    <row r="61" spans="2:63" ht="15" customHeight="1" x14ac:dyDescent="0.25">
      <c r="B61" s="40"/>
      <c r="AI61" s="42"/>
      <c r="BJ61" s="42"/>
      <c r="BK61" s="34"/>
    </row>
    <row r="62" spans="2:63" ht="15" customHeight="1" x14ac:dyDescent="0.25">
      <c r="B62" s="40"/>
      <c r="AI62" s="42"/>
      <c r="BJ62" s="42"/>
      <c r="BK62" s="34"/>
    </row>
    <row r="63" spans="2:63" ht="15" customHeight="1" x14ac:dyDescent="0.25">
      <c r="B63" s="40"/>
      <c r="AI63" s="42"/>
      <c r="BJ63" s="42"/>
      <c r="BK63" s="34"/>
    </row>
    <row r="64" spans="2:63" ht="15" customHeight="1" x14ac:dyDescent="0.25">
      <c r="B64" s="40"/>
      <c r="AI64" s="42"/>
      <c r="BJ64" s="42"/>
      <c r="BK64" s="34"/>
    </row>
    <row r="65" spans="2:63" ht="15" customHeight="1" x14ac:dyDescent="0.25">
      <c r="B65" s="40"/>
      <c r="AI65" s="42"/>
      <c r="BJ65" s="42"/>
      <c r="BK65" s="34"/>
    </row>
    <row r="66" spans="2:63" ht="15" customHeight="1" x14ac:dyDescent="0.25">
      <c r="B66" s="40"/>
      <c r="AI66" s="42"/>
      <c r="BJ66" s="42"/>
      <c r="BK66" s="34"/>
    </row>
    <row r="67" spans="2:63" ht="15" customHeight="1" x14ac:dyDescent="0.25">
      <c r="B67" s="40"/>
      <c r="AI67" s="42"/>
      <c r="BJ67" s="42"/>
      <c r="BK67" s="34"/>
    </row>
    <row r="68" spans="2:63" ht="15" customHeight="1" x14ac:dyDescent="0.25">
      <c r="B68" s="40"/>
      <c r="AI68" s="42"/>
      <c r="BJ68" s="42"/>
      <c r="BK68" s="34"/>
    </row>
    <row r="69" spans="2:63" ht="15" customHeight="1" x14ac:dyDescent="0.25">
      <c r="B69" s="40"/>
      <c r="AI69" s="42"/>
      <c r="BJ69" s="42"/>
      <c r="BK69" s="34"/>
    </row>
    <row r="70" spans="2:63" ht="15" customHeight="1" x14ac:dyDescent="0.25">
      <c r="B70" s="40"/>
      <c r="AI70" s="42"/>
      <c r="BJ70" s="42"/>
      <c r="BK70" s="34"/>
    </row>
    <row r="71" spans="2:63" ht="15" customHeight="1" x14ac:dyDescent="0.25">
      <c r="B71" s="40"/>
      <c r="AI71" s="42"/>
      <c r="BJ71" s="42"/>
      <c r="BK71" s="34"/>
    </row>
    <row r="72" spans="2:63" ht="15" customHeight="1" x14ac:dyDescent="0.25">
      <c r="B72" s="40"/>
      <c r="AI72" s="42"/>
      <c r="BJ72" s="42"/>
      <c r="BK72" s="34"/>
    </row>
    <row r="73" spans="2:63" ht="15" customHeight="1" x14ac:dyDescent="0.25">
      <c r="B73" s="40"/>
      <c r="AI73" s="42"/>
      <c r="BJ73" s="42"/>
      <c r="BK73" s="34"/>
    </row>
    <row r="74" spans="2:63" ht="15" customHeight="1" x14ac:dyDescent="0.25">
      <c r="B74" s="40"/>
      <c r="AI74" s="42"/>
      <c r="BJ74" s="42"/>
      <c r="BK74" s="34"/>
    </row>
    <row r="75" spans="2:63" ht="15" customHeight="1" x14ac:dyDescent="0.25">
      <c r="B75" s="40"/>
      <c r="AI75" s="42"/>
      <c r="BJ75" s="42"/>
      <c r="BK75" s="34"/>
    </row>
    <row r="76" spans="2:63" ht="15" customHeight="1" x14ac:dyDescent="0.25">
      <c r="B76" s="40"/>
      <c r="AI76" s="42"/>
      <c r="BJ76" s="42"/>
      <c r="BK76" s="34"/>
    </row>
    <row r="77" spans="2:63" ht="15" customHeight="1" x14ac:dyDescent="0.25">
      <c r="B77" s="40"/>
      <c r="AI77" s="42"/>
      <c r="BJ77" s="42"/>
      <c r="BK77" s="34"/>
    </row>
    <row r="78" spans="2:63" ht="15.75" customHeight="1" x14ac:dyDescent="0.25">
      <c r="B78" s="40"/>
      <c r="AI78" s="42"/>
      <c r="BJ78" s="42"/>
      <c r="BK78" s="34"/>
    </row>
    <row r="79" spans="2:63" ht="15" customHeight="1" x14ac:dyDescent="0.25">
      <c r="B79" s="40"/>
      <c r="AI79" s="42"/>
      <c r="BJ79" s="42"/>
      <c r="BK79" s="34"/>
    </row>
    <row r="80" spans="2:63" ht="15" customHeight="1" x14ac:dyDescent="0.25">
      <c r="B80" s="40"/>
      <c r="AI80" s="42"/>
      <c r="BJ80" s="42"/>
      <c r="BK80" s="34"/>
    </row>
    <row r="81" spans="2:63" ht="15" customHeight="1" x14ac:dyDescent="0.25">
      <c r="B81" s="40"/>
      <c r="AI81" s="42"/>
      <c r="BJ81" s="42"/>
      <c r="BK81" s="34"/>
    </row>
    <row r="82" spans="2:63" ht="15" customHeight="1" x14ac:dyDescent="0.25">
      <c r="B82" s="40"/>
      <c r="AI82" s="42"/>
      <c r="BJ82" s="42"/>
      <c r="BK82" s="34"/>
    </row>
    <row r="83" spans="2:63" ht="15" customHeight="1" x14ac:dyDescent="0.25">
      <c r="B83" s="40"/>
      <c r="AI83" s="42"/>
      <c r="BJ83" s="42"/>
      <c r="BK83" s="34"/>
    </row>
    <row r="84" spans="2:63" ht="15" customHeight="1" x14ac:dyDescent="0.25">
      <c r="B84" s="40"/>
      <c r="AI84" s="42"/>
      <c r="BJ84" s="42"/>
      <c r="BK84" s="34"/>
    </row>
    <row r="85" spans="2:63" ht="15" customHeight="1" x14ac:dyDescent="0.25">
      <c r="B85" s="40"/>
      <c r="AI85" s="42"/>
      <c r="BJ85" s="42"/>
      <c r="BK85" s="34"/>
    </row>
    <row r="86" spans="2:63" ht="15" customHeight="1" x14ac:dyDescent="0.25">
      <c r="B86" s="40"/>
      <c r="AI86" s="42"/>
      <c r="BJ86" s="42"/>
      <c r="BK86" s="34"/>
    </row>
    <row r="87" spans="2:63" ht="15" customHeight="1" x14ac:dyDescent="0.25">
      <c r="B87" s="40"/>
      <c r="AI87" s="42"/>
      <c r="BJ87" s="42"/>
      <c r="BK87" s="34"/>
    </row>
    <row r="88" spans="2:63" ht="15" customHeight="1" x14ac:dyDescent="0.25">
      <c r="B88" s="40"/>
      <c r="AI88" s="42"/>
      <c r="BJ88" s="42"/>
      <c r="BK88" s="34"/>
    </row>
    <row r="89" spans="2:63" ht="15" customHeight="1" x14ac:dyDescent="0.25">
      <c r="B89" s="40"/>
      <c r="AI89" s="42"/>
      <c r="BJ89" s="42"/>
      <c r="BK89" s="34"/>
    </row>
    <row r="90" spans="2:63" ht="15" customHeight="1" x14ac:dyDescent="0.25">
      <c r="B90" s="40"/>
      <c r="AI90" s="42"/>
      <c r="BJ90" s="42"/>
      <c r="BK90" s="34"/>
    </row>
    <row r="91" spans="2:63" ht="15" customHeight="1" x14ac:dyDescent="0.25">
      <c r="B91" s="40"/>
      <c r="AI91" s="42"/>
      <c r="BJ91" s="42"/>
      <c r="BK91" s="34"/>
    </row>
    <row r="92" spans="2:63" ht="15" customHeight="1" x14ac:dyDescent="0.25">
      <c r="B92" s="40"/>
      <c r="AI92" s="42"/>
      <c r="BJ92" s="42"/>
      <c r="BK92" s="34"/>
    </row>
    <row r="93" spans="2:63" ht="15" customHeight="1" x14ac:dyDescent="0.25">
      <c r="B93" s="40"/>
      <c r="AI93" s="42"/>
      <c r="BJ93" s="42"/>
      <c r="BK93" s="34"/>
    </row>
    <row r="94" spans="2:63" ht="15" customHeight="1" x14ac:dyDescent="0.25">
      <c r="B94" s="40"/>
      <c r="AI94" s="42"/>
      <c r="BJ94" s="42"/>
      <c r="BK94" s="34"/>
    </row>
    <row r="95" spans="2:63" ht="15" customHeight="1" x14ac:dyDescent="0.25">
      <c r="B95" s="40"/>
      <c r="AI95" s="42"/>
      <c r="BJ95" s="42"/>
      <c r="BK95" s="34"/>
    </row>
    <row r="96" spans="2:63" ht="15" customHeight="1" x14ac:dyDescent="0.25">
      <c r="B96" s="40"/>
      <c r="AI96" s="42"/>
      <c r="BJ96" s="42"/>
      <c r="BK96" s="34"/>
    </row>
    <row r="97" spans="2:63" ht="15" customHeight="1" x14ac:dyDescent="0.25">
      <c r="B97" s="40"/>
      <c r="AI97" s="42"/>
      <c r="BJ97" s="42"/>
      <c r="BK97" s="34"/>
    </row>
    <row r="98" spans="2:63" ht="15" customHeight="1" x14ac:dyDescent="0.25">
      <c r="B98" s="40"/>
      <c r="AI98" s="42"/>
      <c r="BJ98" s="42"/>
      <c r="BK98" s="34"/>
    </row>
    <row r="99" spans="2:63" ht="15" customHeight="1" x14ac:dyDescent="0.25">
      <c r="B99" s="40"/>
      <c r="AI99" s="42"/>
      <c r="BJ99" s="42"/>
      <c r="BK99" s="34"/>
    </row>
    <row r="100" spans="2:63" ht="15" customHeight="1" x14ac:dyDescent="0.25">
      <c r="B100" s="40"/>
      <c r="AI100" s="42"/>
      <c r="BJ100" s="42"/>
      <c r="BK100" s="34"/>
    </row>
    <row r="101" spans="2:63" ht="15" customHeight="1" x14ac:dyDescent="0.25">
      <c r="B101" s="40"/>
      <c r="AI101" s="42"/>
      <c r="BJ101" s="42"/>
      <c r="BK101" s="34"/>
    </row>
    <row r="102" spans="2:63" ht="15" customHeight="1" x14ac:dyDescent="0.25">
      <c r="B102" s="40"/>
      <c r="AI102" s="42"/>
      <c r="BJ102" s="42"/>
      <c r="BK102" s="34"/>
    </row>
    <row r="103" spans="2:63" ht="15" customHeight="1" x14ac:dyDescent="0.25">
      <c r="B103" s="40"/>
      <c r="AI103" s="42"/>
      <c r="BJ103" s="42"/>
      <c r="BK103" s="34"/>
    </row>
    <row r="104" spans="2:63" ht="15" customHeight="1" x14ac:dyDescent="0.25">
      <c r="B104" s="40"/>
      <c r="AI104" s="42"/>
      <c r="BJ104" s="42"/>
      <c r="BK104" s="34"/>
    </row>
    <row r="105" spans="2:63" ht="15" customHeight="1" x14ac:dyDescent="0.25">
      <c r="B105" s="40"/>
      <c r="AI105" s="42"/>
      <c r="BJ105" s="42"/>
      <c r="BK105" s="34"/>
    </row>
    <row r="106" spans="2:63" s="277" customFormat="1" ht="15" customHeight="1" x14ac:dyDescent="0.25">
      <c r="B106" s="341" t="s">
        <v>189</v>
      </c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3"/>
      <c r="AJ106" s="342"/>
      <c r="AK106" s="342"/>
      <c r="AL106" s="342"/>
      <c r="AM106" s="342"/>
      <c r="AN106" s="342"/>
      <c r="AO106" s="342"/>
      <c r="AP106" s="342"/>
      <c r="AQ106" s="342"/>
      <c r="AR106" s="342"/>
      <c r="AS106" s="342"/>
      <c r="AT106" s="342"/>
      <c r="AU106" s="342"/>
      <c r="AV106" s="342"/>
      <c r="AW106" s="342"/>
      <c r="AX106" s="342"/>
      <c r="AY106" s="342"/>
      <c r="AZ106" s="342"/>
      <c r="BA106" s="342"/>
      <c r="BB106" s="342"/>
      <c r="BC106" s="342"/>
      <c r="BD106" s="342"/>
      <c r="BE106" s="342"/>
      <c r="BF106" s="342"/>
      <c r="BG106" s="342"/>
      <c r="BH106" s="342"/>
      <c r="BI106" s="342"/>
      <c r="BJ106" s="343"/>
      <c r="BK106" s="276"/>
    </row>
    <row r="107" spans="2:63" ht="15" customHeight="1" x14ac:dyDescent="0.25">
      <c r="B107" s="40"/>
      <c r="AI107" s="42"/>
      <c r="BJ107" s="42"/>
      <c r="BK107" s="34"/>
    </row>
    <row r="108" spans="2:63" s="277" customFormat="1" ht="15" customHeight="1" x14ac:dyDescent="0.25">
      <c r="B108" s="344"/>
      <c r="AI108" s="340"/>
      <c r="BJ108" s="340"/>
      <c r="BK108" s="276"/>
    </row>
    <row r="109" spans="2:63" s="277" customFormat="1" ht="15" customHeight="1" x14ac:dyDescent="0.25">
      <c r="B109" s="344"/>
      <c r="AI109" s="340"/>
      <c r="BJ109" s="340"/>
      <c r="BK109" s="276"/>
    </row>
    <row r="110" spans="2:63" s="277" customFormat="1" ht="15" customHeight="1" x14ac:dyDescent="0.25">
      <c r="B110" s="344"/>
      <c r="AI110" s="340"/>
      <c r="BJ110" s="340"/>
      <c r="BK110" s="276"/>
    </row>
    <row r="111" spans="2:63" s="277" customFormat="1" ht="15" customHeight="1" x14ac:dyDescent="0.25">
      <c r="B111" s="344"/>
      <c r="AI111" s="340"/>
      <c r="BJ111" s="340"/>
      <c r="BK111" s="276"/>
    </row>
    <row r="112" spans="2:63" s="277" customFormat="1" ht="15" customHeight="1" x14ac:dyDescent="0.25">
      <c r="B112" s="344"/>
      <c r="AI112" s="340"/>
      <c r="BJ112" s="340"/>
      <c r="BK112" s="276"/>
    </row>
    <row r="113" spans="2:63" s="277" customFormat="1" ht="15" customHeight="1" x14ac:dyDescent="0.25">
      <c r="B113" s="344"/>
      <c r="AI113" s="340"/>
      <c r="BJ113" s="340"/>
      <c r="BK113" s="276"/>
    </row>
    <row r="114" spans="2:63" s="277" customFormat="1" ht="15" customHeight="1" x14ac:dyDescent="0.25">
      <c r="B114" s="344"/>
      <c r="AI114" s="340"/>
      <c r="BJ114" s="340"/>
      <c r="BK114" s="276"/>
    </row>
    <row r="115" spans="2:63" s="277" customFormat="1" ht="15" customHeight="1" x14ac:dyDescent="0.25">
      <c r="B115" s="344"/>
      <c r="AI115" s="340"/>
      <c r="BJ115" s="340"/>
      <c r="BK115" s="276"/>
    </row>
    <row r="116" spans="2:63" s="277" customFormat="1" ht="15" customHeight="1" x14ac:dyDescent="0.25">
      <c r="B116" s="344"/>
      <c r="AI116" s="340"/>
      <c r="BJ116" s="340"/>
      <c r="BK116" s="276"/>
    </row>
    <row r="117" spans="2:63" s="277" customFormat="1" ht="15" customHeight="1" x14ac:dyDescent="0.25">
      <c r="B117" s="344"/>
      <c r="AI117" s="340"/>
      <c r="BJ117" s="340"/>
      <c r="BK117" s="276"/>
    </row>
    <row r="118" spans="2:63" s="277" customFormat="1" ht="15" customHeight="1" x14ac:dyDescent="0.25">
      <c r="B118" s="344"/>
      <c r="AI118" s="340"/>
      <c r="BJ118" s="340"/>
      <c r="BK118" s="276"/>
    </row>
    <row r="119" spans="2:63" s="277" customFormat="1" ht="15" customHeight="1" x14ac:dyDescent="0.25">
      <c r="B119" s="344"/>
      <c r="AI119" s="340"/>
      <c r="BJ119" s="340"/>
      <c r="BK119" s="276"/>
    </row>
    <row r="120" spans="2:63" s="277" customFormat="1" ht="15" customHeight="1" x14ac:dyDescent="0.25">
      <c r="B120" s="344"/>
      <c r="AI120" s="340"/>
      <c r="BJ120" s="340"/>
      <c r="BK120" s="276"/>
    </row>
    <row r="121" spans="2:63" s="277" customFormat="1" ht="15" customHeight="1" x14ac:dyDescent="0.25">
      <c r="B121" s="344"/>
      <c r="AI121" s="340"/>
      <c r="BJ121" s="340"/>
      <c r="BK121" s="276"/>
    </row>
    <row r="122" spans="2:63" s="277" customFormat="1" ht="15" customHeight="1" x14ac:dyDescent="0.25">
      <c r="B122" s="344"/>
      <c r="AI122" s="340"/>
      <c r="BJ122" s="340"/>
      <c r="BK122" s="276"/>
    </row>
    <row r="123" spans="2:63" s="277" customFormat="1" ht="15" customHeight="1" x14ac:dyDescent="0.25">
      <c r="B123" s="344"/>
      <c r="AI123" s="340"/>
      <c r="BJ123" s="340"/>
      <c r="BK123" s="276"/>
    </row>
    <row r="124" spans="2:63" s="277" customFormat="1" ht="15" customHeight="1" x14ac:dyDescent="0.25">
      <c r="B124" s="344"/>
      <c r="AI124" s="340"/>
      <c r="BJ124" s="340"/>
      <c r="BK124" s="276"/>
    </row>
    <row r="125" spans="2:63" s="277" customFormat="1" ht="15" customHeight="1" x14ac:dyDescent="0.25">
      <c r="B125" s="344"/>
      <c r="AI125" s="340"/>
      <c r="BJ125" s="340"/>
      <c r="BK125" s="276"/>
    </row>
    <row r="126" spans="2:63" s="277" customFormat="1" ht="15" customHeight="1" x14ac:dyDescent="0.25">
      <c r="B126" s="344"/>
      <c r="AI126" s="340"/>
      <c r="BJ126" s="340"/>
      <c r="BK126" s="276"/>
    </row>
    <row r="127" spans="2:63" s="277" customFormat="1" ht="15" customHeight="1" x14ac:dyDescent="0.25">
      <c r="B127" s="344"/>
      <c r="AI127" s="340"/>
      <c r="BJ127" s="340"/>
      <c r="BK127" s="276"/>
    </row>
    <row r="128" spans="2:63" s="277" customFormat="1" ht="15" customHeight="1" x14ac:dyDescent="0.25">
      <c r="B128" s="344"/>
      <c r="AI128" s="340"/>
      <c r="BJ128" s="340"/>
      <c r="BK128" s="276"/>
    </row>
    <row r="129" spans="2:63" s="277" customFormat="1" ht="15" customHeight="1" x14ac:dyDescent="0.25">
      <c r="B129" s="344"/>
      <c r="AI129" s="340"/>
      <c r="BJ129" s="340"/>
      <c r="BK129" s="276"/>
    </row>
    <row r="130" spans="2:63" s="277" customFormat="1" ht="15" customHeight="1" x14ac:dyDescent="0.25">
      <c r="B130" s="344"/>
      <c r="AI130" s="340"/>
      <c r="BJ130" s="340"/>
      <c r="BK130" s="276"/>
    </row>
    <row r="131" spans="2:63" ht="15" customHeight="1" x14ac:dyDescent="0.25">
      <c r="B131" s="40"/>
      <c r="AI131" s="42"/>
      <c r="BJ131" s="42"/>
      <c r="BK131" s="34"/>
    </row>
    <row r="132" spans="2:63" ht="15" customHeight="1" x14ac:dyDescent="0.25">
      <c r="B132" s="40"/>
      <c r="AI132" s="42"/>
      <c r="BJ132" s="42"/>
      <c r="BK132" s="34"/>
    </row>
    <row r="133" spans="2:63" ht="15" customHeight="1" x14ac:dyDescent="0.25">
      <c r="B133" s="40"/>
      <c r="AI133" s="42"/>
      <c r="BJ133" s="42"/>
      <c r="BK133" s="34"/>
    </row>
    <row r="134" spans="2:63" ht="15" customHeight="1" x14ac:dyDescent="0.25">
      <c r="B134" s="40"/>
      <c r="AI134" s="42"/>
      <c r="BJ134" s="42"/>
      <c r="BK134" s="34"/>
    </row>
    <row r="135" spans="2:63" ht="15" customHeight="1" x14ac:dyDescent="0.25">
      <c r="B135" s="40"/>
      <c r="AI135" s="42"/>
      <c r="BJ135" s="42"/>
      <c r="BK135" s="34"/>
    </row>
    <row r="136" spans="2:63" ht="15" customHeight="1" x14ac:dyDescent="0.25">
      <c r="B136" s="40"/>
      <c r="AI136" s="42"/>
      <c r="BJ136" s="42"/>
      <c r="BK136" s="34"/>
    </row>
    <row r="137" spans="2:63" ht="15" customHeight="1" x14ac:dyDescent="0.25">
      <c r="B137" s="40"/>
      <c r="AI137" s="42"/>
      <c r="BJ137" s="42"/>
      <c r="BK137" s="34"/>
    </row>
    <row r="138" spans="2:63" ht="15" customHeight="1" x14ac:dyDescent="0.25">
      <c r="B138" s="40"/>
      <c r="AI138" s="42"/>
      <c r="BJ138" s="42"/>
      <c r="BK138" s="34"/>
    </row>
    <row r="139" spans="2:63" ht="15" customHeight="1" x14ac:dyDescent="0.25">
      <c r="B139" s="40"/>
      <c r="AI139" s="42"/>
      <c r="BJ139" s="42"/>
      <c r="BK139" s="34"/>
    </row>
    <row r="140" spans="2:63" ht="15" customHeight="1" x14ac:dyDescent="0.25">
      <c r="B140" s="40"/>
      <c r="AI140" s="42"/>
      <c r="BJ140" s="42"/>
      <c r="BK140" s="34"/>
    </row>
    <row r="141" spans="2:63" ht="15" customHeight="1" x14ac:dyDescent="0.25">
      <c r="B141" s="40"/>
      <c r="AI141" s="42"/>
      <c r="BJ141" s="42"/>
      <c r="BK141" s="34"/>
    </row>
    <row r="142" spans="2:63" ht="15" customHeight="1" x14ac:dyDescent="0.25">
      <c r="B142" s="40"/>
      <c r="AI142" s="42"/>
      <c r="BJ142" s="42"/>
      <c r="BK142" s="34"/>
    </row>
    <row r="143" spans="2:63" s="277" customFormat="1" ht="15" customHeight="1" x14ac:dyDescent="0.25">
      <c r="B143" s="344"/>
      <c r="AI143" s="340"/>
      <c r="BJ143" s="340"/>
      <c r="BK143" s="276"/>
    </row>
    <row r="144" spans="2:63" ht="15" customHeight="1" x14ac:dyDescent="0.25">
      <c r="B144" s="40"/>
      <c r="AI144" s="42"/>
      <c r="BJ144" s="42"/>
      <c r="BK144" s="34"/>
    </row>
    <row r="145" spans="2:63" ht="15" customHeight="1" x14ac:dyDescent="0.25">
      <c r="B145" s="40"/>
      <c r="AI145" s="42"/>
      <c r="BJ145" s="42"/>
      <c r="BK145" s="34"/>
    </row>
    <row r="146" spans="2:63" ht="15" customHeight="1" x14ac:dyDescent="0.25">
      <c r="B146" s="40"/>
      <c r="AI146" s="42"/>
      <c r="BJ146" s="42"/>
      <c r="BK146" s="34"/>
    </row>
    <row r="147" spans="2:63" ht="15" customHeight="1" x14ac:dyDescent="0.25">
      <c r="B147" s="40"/>
      <c r="AI147" s="42"/>
      <c r="BJ147" s="42"/>
      <c r="BK147" s="34"/>
    </row>
    <row r="148" spans="2:63" ht="15" customHeight="1" x14ac:dyDescent="0.25">
      <c r="B148" s="40"/>
      <c r="AI148" s="42"/>
      <c r="BJ148" s="42"/>
      <c r="BK148" s="34"/>
    </row>
    <row r="149" spans="2:63" ht="15" customHeight="1" x14ac:dyDescent="0.25">
      <c r="B149" s="40"/>
      <c r="AI149" s="42"/>
      <c r="BJ149" s="42"/>
      <c r="BK149" s="34"/>
    </row>
    <row r="150" spans="2:63" ht="15" customHeight="1" x14ac:dyDescent="0.25">
      <c r="B150" s="40"/>
      <c r="AI150" s="42"/>
      <c r="BJ150" s="42"/>
      <c r="BK150" s="34"/>
    </row>
    <row r="151" spans="2:63" ht="15" customHeight="1" x14ac:dyDescent="0.25">
      <c r="B151" s="40"/>
      <c r="AI151" s="42"/>
      <c r="BJ151" s="42"/>
      <c r="BK151" s="34"/>
    </row>
    <row r="152" spans="2:63" ht="15" customHeight="1" x14ac:dyDescent="0.25">
      <c r="B152" s="40"/>
      <c r="AI152" s="42"/>
      <c r="BJ152" s="42"/>
      <c r="BK152" s="34"/>
    </row>
    <row r="153" spans="2:63" ht="15" customHeight="1" x14ac:dyDescent="0.25">
      <c r="B153" s="40"/>
      <c r="AI153" s="42"/>
      <c r="BJ153" s="42"/>
      <c r="BK153" s="34"/>
    </row>
    <row r="154" spans="2:63" ht="15" customHeight="1" x14ac:dyDescent="0.25">
      <c r="B154" s="40"/>
      <c r="AI154" s="42"/>
      <c r="BJ154" s="42"/>
      <c r="BK154" s="34"/>
    </row>
    <row r="155" spans="2:63" ht="15" customHeight="1" x14ac:dyDescent="0.25">
      <c r="B155" s="40"/>
      <c r="AI155" s="42"/>
      <c r="BJ155" s="42"/>
      <c r="BK155" s="34"/>
    </row>
    <row r="156" spans="2:63" ht="15" customHeight="1" x14ac:dyDescent="0.25">
      <c r="B156" s="40"/>
      <c r="AI156" s="42"/>
      <c r="BJ156" s="42"/>
      <c r="BK156" s="34"/>
    </row>
    <row r="157" spans="2:63" ht="15" customHeight="1" x14ac:dyDescent="0.25">
      <c r="B157" s="40"/>
      <c r="AI157" s="42"/>
      <c r="BJ157" s="42"/>
      <c r="BK157" s="34"/>
    </row>
    <row r="158" spans="2:63" ht="15" customHeight="1" x14ac:dyDescent="0.25">
      <c r="B158" s="40"/>
      <c r="AI158" s="42"/>
      <c r="BJ158" s="42"/>
      <c r="BK158" s="34"/>
    </row>
    <row r="159" spans="2:63" ht="15" customHeight="1" x14ac:dyDescent="0.25">
      <c r="B159" s="40"/>
      <c r="AI159" s="42"/>
      <c r="BJ159" s="42"/>
      <c r="BK159" s="34"/>
    </row>
    <row r="160" spans="2:63" ht="15" customHeight="1" x14ac:dyDescent="0.25">
      <c r="B160" s="40"/>
      <c r="AI160" s="42"/>
      <c r="BJ160" s="42"/>
      <c r="BK160" s="34"/>
    </row>
    <row r="161" spans="1:63" ht="15" customHeight="1" x14ac:dyDescent="0.25">
      <c r="B161" s="40"/>
      <c r="AI161" s="42"/>
      <c r="BJ161" s="42"/>
      <c r="BK161" s="34"/>
    </row>
    <row r="162" spans="1:63" ht="15" customHeight="1" x14ac:dyDescent="0.25">
      <c r="B162" s="40"/>
      <c r="AI162" s="42"/>
      <c r="BJ162" s="42"/>
      <c r="BK162" s="34"/>
    </row>
    <row r="163" spans="1:63" ht="15" customHeight="1" x14ac:dyDescent="0.25">
      <c r="B163" s="40"/>
      <c r="AI163" s="42"/>
      <c r="BJ163" s="42"/>
      <c r="BK163" s="34"/>
    </row>
    <row r="164" spans="1:63" ht="15" customHeight="1" x14ac:dyDescent="0.25">
      <c r="B164" s="40"/>
      <c r="AI164" s="42"/>
      <c r="BJ164" s="42"/>
      <c r="BK164" s="34"/>
    </row>
    <row r="165" spans="1:63" ht="15" customHeight="1" x14ac:dyDescent="0.25">
      <c r="B165" s="40"/>
      <c r="AI165" s="42"/>
      <c r="BJ165" s="42"/>
      <c r="BK165" s="34"/>
    </row>
    <row r="166" spans="1:63" ht="15" customHeight="1" x14ac:dyDescent="0.25">
      <c r="B166" s="40"/>
      <c r="AI166" s="42"/>
      <c r="BJ166" s="42"/>
      <c r="BK166" s="34"/>
    </row>
    <row r="167" spans="1:63" ht="15" customHeight="1" x14ac:dyDescent="0.25">
      <c r="B167" s="40"/>
      <c r="AI167" s="42"/>
      <c r="BJ167" s="42"/>
      <c r="BK167" s="34"/>
    </row>
    <row r="168" spans="1:63" ht="15" customHeight="1" x14ac:dyDescent="0.25">
      <c r="A168" s="32"/>
      <c r="B168" s="4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43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43"/>
      <c r="BK168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14" t="s">
        <v>27</v>
      </c>
      <c r="B1" s="115"/>
      <c r="C1" s="115"/>
      <c r="D1" s="115"/>
      <c r="E1" s="115"/>
      <c r="F1" s="115"/>
      <c r="G1" s="115"/>
      <c r="H1" s="115"/>
      <c r="I1" s="115"/>
      <c r="J1" s="116"/>
      <c r="K1" s="114" t="s">
        <v>28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6"/>
      <c r="W1" s="127" t="str">
        <f>IF(表紙!W1="","",表紙!W1)</f>
        <v>詳細設計書</v>
      </c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9"/>
      <c r="AP1" s="14" t="s">
        <v>29</v>
      </c>
      <c r="AQ1" s="13"/>
      <c r="AR1" s="13"/>
      <c r="AS1" s="12"/>
      <c r="AT1" s="14" t="s">
        <v>30</v>
      </c>
      <c r="AU1" s="13"/>
      <c r="AV1" s="13"/>
      <c r="AW1" s="13"/>
      <c r="AX1" s="12"/>
      <c r="AY1" s="14" t="s">
        <v>31</v>
      </c>
      <c r="AZ1" s="13"/>
      <c r="BA1" s="13"/>
      <c r="BB1" s="12"/>
      <c r="BC1" s="14" t="s">
        <v>32</v>
      </c>
      <c r="BD1" s="13"/>
      <c r="BE1" s="13"/>
      <c r="BF1" s="13"/>
      <c r="BG1" s="12"/>
      <c r="BH1" s="14" t="s">
        <v>33</v>
      </c>
      <c r="BI1" s="13"/>
      <c r="BJ1" s="13"/>
      <c r="BK1" s="12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2"/>
      <c r="AP2" s="11" t="str">
        <f>IF(表紙!AP2="","",表紙!AP2)</f>
        <v>DuNT</v>
      </c>
      <c r="AQ2" s="10"/>
      <c r="AR2" s="10"/>
      <c r="AS2" s="9"/>
      <c r="AT2" s="99">
        <f>IF(表紙!AT2="","",表紙!AT2)</f>
        <v>45477</v>
      </c>
      <c r="AU2" s="100"/>
      <c r="AV2" s="100"/>
      <c r="AW2" s="100"/>
      <c r="AX2" s="101"/>
      <c r="AY2" s="11" t="str">
        <f>IF(表紙!AY2="","",表紙!AY2)</f>
        <v>DuNT</v>
      </c>
      <c r="AZ2" s="10"/>
      <c r="BA2" s="10"/>
      <c r="BB2" s="9"/>
      <c r="BC2" s="99">
        <f>IF(表紙!BC2="","",表紙!BC2)</f>
        <v>45504</v>
      </c>
      <c r="BD2" s="100"/>
      <c r="BE2" s="100"/>
      <c r="BF2" s="100"/>
      <c r="BG2" s="101"/>
      <c r="BH2" s="11">
        <f>IF(表紙!BH2="","",表紙!BH2)</f>
        <v>0.2</v>
      </c>
      <c r="BI2" s="10"/>
      <c r="BJ2" s="10"/>
      <c r="BK2" s="9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133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5"/>
      <c r="AP3" s="8"/>
      <c r="AQ3" s="7"/>
      <c r="AR3" s="7"/>
      <c r="AS3" s="6"/>
      <c r="AT3" s="102"/>
      <c r="AU3" s="103"/>
      <c r="AV3" s="103"/>
      <c r="AW3" s="103"/>
      <c r="AX3" s="104"/>
      <c r="AY3" s="8"/>
      <c r="AZ3" s="7"/>
      <c r="BA3" s="7"/>
      <c r="BB3" s="6"/>
      <c r="BC3" s="102"/>
      <c r="BD3" s="103"/>
      <c r="BE3" s="103"/>
      <c r="BF3" s="103"/>
      <c r="BG3" s="104"/>
      <c r="BH3" s="8"/>
      <c r="BI3" s="7"/>
      <c r="BJ3" s="7"/>
      <c r="BK3" s="6"/>
    </row>
    <row r="4" spans="1:63" ht="24.95" customHeight="1" x14ac:dyDescent="0.25">
      <c r="A4" s="114" t="s">
        <v>34</v>
      </c>
      <c r="B4" s="115"/>
      <c r="C4" s="115"/>
      <c r="D4" s="115"/>
      <c r="E4" s="115"/>
      <c r="F4" s="115"/>
      <c r="G4" s="116"/>
      <c r="H4" s="117" t="str">
        <f>IF(表紙!H4="","",表紙!H4)</f>
        <v>AP1508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9"/>
      <c r="U4" s="114" t="s">
        <v>35</v>
      </c>
      <c r="V4" s="115"/>
      <c r="W4" s="115"/>
      <c r="X4" s="115"/>
      <c r="Y4" s="116"/>
      <c r="Z4" s="117" t="str">
        <f>IF(表紙!Z4="","",表紙!Z4)</f>
        <v>API設計書</v>
      </c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9"/>
      <c r="AP4" s="120" t="str">
        <f ca="1">MID(CELL("filename",A1),FIND("]",CELL("filename",A1))+1,255)</f>
        <v>テンプレート</v>
      </c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919A15-BF33-438E-B3E0-5F9130A80B5F}"/>
</file>

<file path=customXml/itemProps2.xml><?xml version="1.0" encoding="utf-8"?>
<ds:datastoreItem xmlns:ds="http://schemas.openxmlformats.org/officeDocument/2006/customXml" ds:itemID="{1FE295F6-55C2-406F-BC0B-D2BAD20AF3C9}"/>
</file>

<file path=customXml/itemProps3.xml><?xml version="1.0" encoding="utf-8"?>
<ds:datastoreItem xmlns:ds="http://schemas.openxmlformats.org/officeDocument/2006/customXml" ds:itemID="{FCD81957-3EFF-4DC7-836B-34BAA9A9B1F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AP1508</vt:lpstr>
      <vt:lpstr>処理フロー</vt:lpstr>
      <vt:lpstr>テンプレート</vt:lpstr>
      <vt:lpstr>'AP1508'!Print_Area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2024-08-08T03:24:25Z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