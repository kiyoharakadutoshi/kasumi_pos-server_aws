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6AE8A5B-774E-473A-AFF9-6006D7DDB8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43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AY2" i="3" l="1"/>
  <c r="AY2" i="10"/>
  <c r="BC2" i="8"/>
  <c r="BC2" i="9"/>
  <c r="AP2" i="7"/>
  <c r="BH2" i="7"/>
  <c r="BC2" i="3"/>
  <c r="BC2" i="10"/>
  <c r="AP2" i="8"/>
  <c r="BH2" i="8"/>
  <c r="AP2" i="9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<sst xmlns="http://schemas.openxmlformats.org/spreadsheetml/2006/main" count="162" uniqueCount="94">
  <si>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</si>
  <si>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</si>
  <si>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</si>
  <si>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</si>
  <si>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</si>
  <si>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</si>
  <si>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</si>
  <si>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</si>
  <si>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</si>
  <si>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</si>
  <si>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</si>
  <si>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</si>
  <si>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</si>
  <si>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</si>
  <si>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</si>
  <si>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</si>
  <si>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</si>
  <si>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</si>
  <si>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</si>
  <si>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</si>
  <si>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</si>
  <si>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</si>
  <si>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</si>
  <si>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</si>
  <si>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</si>
  <si>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</si>
  <si>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</si>
  <si>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</si>
  <si>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</si>
  <si>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</si>
  <si>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</si>
  <si>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</si>
  <si>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</si>
  <si>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</si>
  <si>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</si>
  <si>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</si>
  <si>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</si>
  <si>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</si>
  <si>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</si>
  <si>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</si>
  <si>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</si>
  <si>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</si>
  <si>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</si>
  <si>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</si>
  <si>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</si>
  <si>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</si>
  <si>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Store code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</si>
  <si>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</si>
  <si>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従業員コード</t>
    </r>
  </si>
  <si>
    <t>{</t>
  </si>
  <si>
    <t>}</t>
  </si>
  <si>
    <r>
      <rPr>
        <sz val="11"/>
        <color rgb="FF000000"/>
        <rFont val="Meiryo UI"/>
        <family val="2"/>
      </rPr>
      <t>AP4003</t>
    </r>
  </si>
  <si>
    <r>
      <rPr>
        <sz val="11"/>
        <color rgb="FF000000"/>
        <rFont val="Meiryo UI"/>
        <family val="2"/>
      </rPr>
      <t>従業員情報の重複チェックを行う。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</si>
  <si>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</si>
  <si>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</si>
  <si>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</si>
  <si>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</si>
  <si>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</si>
  <si>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</si>
  <si>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</si>
  <si>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</si>
  <si>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</si>
  <si>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</si>
  <si>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</si>
  <si>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</si>
  <si>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</si>
  <si>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</si>
  <si>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</si>
  <si>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</si>
  <si>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</si>
  <si>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AP4003</t>
  </si>
  <si>
    <t>URLを変更し、従業員コードを7桁にする。</t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</si>
  <si>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</si>
  <si>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</si>
  <si>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</si>
  <si>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</si>
  <si>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</si>
  <si>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api/v1/employees/exists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</si>
  <si>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</si>
  <si>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</si>
  <si>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</si>
  <si>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</si>
  <si>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</si>
  <si>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</si>
  <si>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</si>
  <si>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</si>
  <si>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</si>
  <si>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</si>
  <si>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</si>
  <si>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</si>
  <si>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"employee_code": "000002743"</t>
    </r>
  </si>
  <si>
    <t>3. レスポンス</t>
  </si>
  <si>
    <t>3.1. 正常の場合のレスポンスフォーマット</t>
  </si>
  <si>
    <r>
      <t xml:space="preserve">・メッセージ = MSG_VAL_006でバリデーションチェック：数字。その中： {0} が「従業員コード」である。
</t>
    </r>
    <r>
      <rPr>
        <sz val="11"/>
        <color rgb="FF0000FF"/>
        <rFont val="Meiryo UI"/>
        <family val="2"/>
      </rPr>
      <t>・メッセージ=MSG_VAL_002でバリデーションチェック：最大7桁。その中：{0}が従業員コードであり、{1}が{7}である。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</si>
</sst>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0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90800"/>
          <a:ext cx="7200900" cy="1524000"/>
        </a:xfrm>
        <a:prstGeom prst="borderCallout1">
          <a:avLst>
            <a:gd name="adj1" fmla="val 25416"/>
            <a:gd name="adj2" fmla="val 470"/>
            <a:gd name="adj3" fmla="val 25364"/>
            <a:gd name="adj4" fmla="val -958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以下の条件を満たすemployee_masterテブールの件数をカウントする。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store_master ON store_master.code = employee_master.store_code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INNER JOIN employee_role ON employee_role.code = employee_master.role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users.company_code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= param 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employee_code = param {employee_code}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32</xdr:row>
      <xdr:rowOff>0</xdr:rowOff>
    </xdr:from>
    <xdr:to>
      <xdr:col>7</xdr:col>
      <xdr:colOff>235322</xdr:colOff>
      <xdr:row>33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6210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1571625" y="1628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190499</xdr:rowOff>
    </xdr:from>
    <xdr:to>
      <xdr:col>8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25</xdr:row>
      <xdr:rowOff>78444</xdr:rowOff>
    </xdr:from>
    <xdr:to>
      <xdr:col>6</xdr:col>
      <xdr:colOff>0</xdr:colOff>
      <xdr:row>29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 flipH="1">
          <a:off x="1571625" y="49530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29</xdr:row>
      <xdr:rowOff>0</xdr:rowOff>
    </xdr:from>
    <xdr:to>
      <xdr:col>7</xdr:col>
      <xdr:colOff>235322</xdr:colOff>
      <xdr:row>30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38225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30</xdr:row>
      <xdr:rowOff>0</xdr:rowOff>
    </xdr:from>
    <xdr:to>
      <xdr:col>5</xdr:col>
      <xdr:colOff>235322</xdr:colOff>
      <xdr:row>32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1571625" y="582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190499</xdr:rowOff>
    </xdr:from>
    <xdr:to>
      <xdr:col>8</xdr:col>
      <xdr:colOff>235323</xdr:colOff>
      <xdr:row>24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924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24</xdr:row>
      <xdr:rowOff>179293</xdr:rowOff>
    </xdr:from>
    <xdr:to>
      <xdr:col>6</xdr:col>
      <xdr:colOff>235323</xdr:colOff>
      <xdr:row>25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21</xdr:row>
      <xdr:rowOff>179293</xdr:rowOff>
    </xdr:from>
    <xdr:to>
      <xdr:col>10</xdr:col>
      <xdr:colOff>235323</xdr:colOff>
      <xdr:row>22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19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2" idx="2"/>
          <a:endCxn id="17" idx="0"/>
        </xdr:cNvCxnSpPr>
      </xdr:nvCxnSpPr>
      <xdr:spPr>
        <a:xfrm>
          <a:off x="1600200" y="3533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対象従業員件数をカウントする。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22</xdr:row>
      <xdr:rowOff>84043</xdr:rowOff>
    </xdr:from>
    <xdr:to>
      <xdr:col>10</xdr:col>
      <xdr:colOff>235323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5" idx="0"/>
        </xdr:cNvCxnSpPr>
      </xdr:nvCxnSpPr>
      <xdr:spPr>
        <a:xfrm flipH="1">
          <a:off x="1571625" y="43910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627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34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6591300"/>
          <a:ext cx="7200900" cy="381000"/>
        </a:xfrm>
        <a:prstGeom prst="borderCallout1">
          <a:avLst>
            <a:gd name="adj1" fmla="val 46004"/>
            <a:gd name="adj2" fmla="val 117"/>
            <a:gd name="adj3" fmla="val -225373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495800"/>
          <a:ext cx="7200900" cy="1714500"/>
        </a:xfrm>
        <a:prstGeom prst="borderCallout1">
          <a:avLst>
            <a:gd name="adj1" fmla="val 51887"/>
            <a:gd name="adj2" fmla="val 470"/>
            <a:gd name="adj3" fmla="val 11393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状態を確認する。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▪件数のカウントが成功した場合、「AP4003」シートの 「3.レスポンス」の「3.1.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・code = ""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・message = MSG_ERR_SERVER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5" customWidth="1"/>
    <col min="61" max="16384" width="2.77734375" style="155"/>
  </cols>
  <sheetData>
    <row r="1" spans="1:63" ht="24.95" customHeight="1" x14ac:dyDescent="0.25">
      <c r="A1" s="149" t="s">
        <v>55</v>
      </c>
      <c r="B1" s="150"/>
      <c r="C1" s="150"/>
      <c r="D1" s="150"/>
      <c r="E1" s="150"/>
      <c r="F1" s="150"/>
      <c r="G1" s="150"/>
      <c r="H1" s="150"/>
      <c r="I1" s="150"/>
      <c r="J1" s="151"/>
      <c r="K1" s="149" t="s">
        <v>56</v>
      </c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/>
      <c r="W1" s="152" t="s">
        <v>57</v>
      </c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4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70" t="s">
        <v>63</v>
      </c>
      <c r="B2" s="156"/>
      <c r="C2" s="156"/>
      <c r="D2" s="156"/>
      <c r="E2" s="156"/>
      <c r="F2" s="156"/>
      <c r="G2" s="156"/>
      <c r="H2" s="156"/>
      <c r="I2" s="156"/>
      <c r="J2" s="157"/>
      <c r="K2" s="158" t="s">
        <v>13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158" t="str">
        <f>改訂履歴!$H$11</f>
        <v>TuyenNH</v>
      </c>
      <c r="AQ2" s="156"/>
      <c r="AR2" s="156"/>
      <c r="AS2" s="157"/>
      <c r="AT2" s="162">
        <f>改訂履歴!$B$11</f>
        <v>45463</v>
      </c>
      <c r="AU2" s="163"/>
      <c r="AV2" s="163"/>
      <c r="AW2" s="163"/>
      <c r="AX2" s="164"/>
      <c r="AY2" s="158" t="str">
        <f>LOOKUP(2,1/(改訂履歴!H11:H30000&lt;&gt;""),改訂履歴!H11:H30000)</f>
        <v>DuNT</v>
      </c>
      <c r="AZ2" s="156"/>
      <c r="BA2" s="156"/>
      <c r="BB2" s="157"/>
      <c r="BC2" s="162">
        <f>LOOKUP(2,1/(改訂履歴!B11:B30000&lt;&gt;""),改訂履歴!B11:B30000)</f>
        <v>45545</v>
      </c>
      <c r="BD2" s="163"/>
      <c r="BE2" s="163"/>
      <c r="BF2" s="163"/>
      <c r="BG2" s="164"/>
      <c r="BH2" s="165">
        <f>LOOKUP(2,1/(改訂履歴!O11:O30000&lt;&gt;""),改訂履歴!O11:O30000)</f>
        <v>0.2</v>
      </c>
      <c r="BI2" s="166"/>
      <c r="BJ2" s="166"/>
      <c r="BK2" s="167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71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77"/>
      <c r="BI3" s="178"/>
      <c r="BJ3" s="178"/>
      <c r="BK3" s="179"/>
    </row>
    <row r="4" spans="1:63" ht="24.95" customHeight="1" x14ac:dyDescent="0.25">
      <c r="A4" s="149" t="s">
        <v>64</v>
      </c>
      <c r="B4" s="150"/>
      <c r="C4" s="150"/>
      <c r="D4" s="150"/>
      <c r="E4" s="150"/>
      <c r="F4" s="150"/>
      <c r="G4" s="151"/>
      <c r="H4" s="180" t="s">
        <v>51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2"/>
      <c r="U4" s="149" t="s">
        <v>65</v>
      </c>
      <c r="V4" s="150"/>
      <c r="W4" s="150"/>
      <c r="X4" s="150"/>
      <c r="Y4" s="151"/>
      <c r="Z4" s="63" t="s">
        <v>66</v>
      </c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2"/>
      <c r="AP4" s="180" t="str">
        <f t="array" aca="1" ref="AP4" ca="1">RIGHT(CELL("filename",$A$1),LEN(CELL("filename",$A$1))-FIND("]",CELL("filename",$A$1)))</f>
        <v>表紙</v>
      </c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2"/>
    </row>
    <row r="5" spans="1:63" ht="5.0999999999999996" customHeight="1" x14ac:dyDescent="0.25">
      <c r="A5" s="183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5"/>
    </row>
    <row r="6" spans="1:63" ht="15" customHeight="1" x14ac:dyDescent="0.25">
      <c r="A6" s="186"/>
      <c r="BK6" s="187"/>
    </row>
    <row r="7" spans="1:63" ht="15" customHeight="1" x14ac:dyDescent="0.25">
      <c r="A7" s="186"/>
      <c r="BK7" s="187"/>
    </row>
    <row r="8" spans="1:63" ht="15" customHeight="1" x14ac:dyDescent="0.25">
      <c r="A8" s="186"/>
      <c r="BK8" s="187"/>
    </row>
    <row r="9" spans="1:63" ht="15" customHeight="1" x14ac:dyDescent="0.25">
      <c r="A9" s="186"/>
      <c r="BK9" s="187"/>
    </row>
    <row r="10" spans="1:63" ht="15" customHeight="1" x14ac:dyDescent="0.25">
      <c r="A10" s="186"/>
      <c r="BK10" s="187"/>
    </row>
    <row r="11" spans="1:63" ht="15" customHeight="1" x14ac:dyDescent="0.25">
      <c r="A11" s="186"/>
      <c r="BK11" s="187"/>
    </row>
    <row r="12" spans="1:63" ht="15" customHeight="1" x14ac:dyDescent="0.25">
      <c r="A12" s="186"/>
      <c r="BK12" s="187"/>
    </row>
    <row r="13" spans="1:63" ht="15" customHeight="1" x14ac:dyDescent="0.25">
      <c r="A13" s="186"/>
      <c r="BK13" s="187"/>
    </row>
    <row r="14" spans="1:63" ht="15" customHeight="1" thickBot="1" x14ac:dyDescent="0.3">
      <c r="A14" s="186"/>
      <c r="BK14" s="187"/>
    </row>
    <row r="15" spans="1:63" ht="15" customHeight="1" thickTop="1" x14ac:dyDescent="0.25">
      <c r="A15" s="186"/>
      <c r="K15" s="188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90"/>
      <c r="BK15" s="187"/>
    </row>
    <row r="16" spans="1:63" ht="15" customHeight="1" x14ac:dyDescent="0.25">
      <c r="A16" s="186"/>
      <c r="K16" s="191"/>
      <c r="L16" s="192" t="s">
        <v>67</v>
      </c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4"/>
      <c r="BK16" s="187"/>
    </row>
    <row r="17" spans="1:63" ht="15" customHeight="1" x14ac:dyDescent="0.25">
      <c r="A17" s="186"/>
      <c r="K17" s="191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4"/>
      <c r="BK17" s="187"/>
    </row>
    <row r="18" spans="1:63" ht="15" customHeight="1" x14ac:dyDescent="0.25">
      <c r="A18" s="186"/>
      <c r="K18" s="191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4"/>
      <c r="BK18" s="187"/>
    </row>
    <row r="19" spans="1:63" ht="15" customHeight="1" x14ac:dyDescent="0.25">
      <c r="A19" s="186"/>
      <c r="K19" s="191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4"/>
      <c r="BK19" s="187"/>
    </row>
    <row r="20" spans="1:63" ht="15" customHeight="1" x14ac:dyDescent="0.25">
      <c r="A20" s="186"/>
      <c r="K20" s="191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4"/>
      <c r="BK20" s="187"/>
    </row>
    <row r="21" spans="1:63" ht="15" customHeight="1" x14ac:dyDescent="0.25">
      <c r="A21" s="186"/>
      <c r="K21" s="191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4"/>
      <c r="BK21" s="187"/>
    </row>
    <row r="22" spans="1:63" ht="15" customHeight="1" thickBot="1" x14ac:dyDescent="0.3">
      <c r="A22" s="186"/>
      <c r="K22" s="191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4"/>
      <c r="BK22" s="187"/>
    </row>
    <row r="23" spans="1:63" ht="15" customHeight="1" x14ac:dyDescent="0.25">
      <c r="A23" s="186"/>
      <c r="K23" s="191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4"/>
      <c r="BK23" s="187"/>
    </row>
    <row r="24" spans="1:63" ht="15" customHeight="1" x14ac:dyDescent="0.25">
      <c r="A24" s="186"/>
      <c r="K24" s="191"/>
      <c r="L24" s="193" t="str">
        <f>K2&amp;"/"&amp;H4&amp;"/"&amp;Z4</f>
        <v>POSサーバ/AP4003/API設計書</v>
      </c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4"/>
      <c r="BK24" s="187"/>
    </row>
    <row r="25" spans="1:63" ht="15" customHeight="1" x14ac:dyDescent="0.25">
      <c r="A25" s="186"/>
      <c r="K25" s="191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4"/>
      <c r="BK25" s="187"/>
    </row>
    <row r="26" spans="1:63" ht="15" customHeight="1" x14ac:dyDescent="0.25">
      <c r="A26" s="186"/>
      <c r="K26" s="191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193"/>
      <c r="BA26" s="194"/>
      <c r="BK26" s="187"/>
    </row>
    <row r="27" spans="1:63" ht="15" customHeight="1" x14ac:dyDescent="0.25">
      <c r="A27" s="186"/>
      <c r="K27" s="191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4"/>
      <c r="BK27" s="187"/>
    </row>
    <row r="28" spans="1:63" ht="15" customHeight="1" x14ac:dyDescent="0.25">
      <c r="A28" s="186"/>
      <c r="K28" s="191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193"/>
      <c r="BA28" s="194"/>
      <c r="BK28" s="187"/>
    </row>
    <row r="29" spans="1:63" ht="15" customHeight="1" x14ac:dyDescent="0.25">
      <c r="A29" s="186"/>
      <c r="K29" s="191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4"/>
      <c r="BK29" s="187"/>
    </row>
    <row r="30" spans="1:63" ht="15" customHeight="1" x14ac:dyDescent="0.25">
      <c r="A30" s="186"/>
      <c r="K30" s="191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4"/>
      <c r="BK30" s="187"/>
    </row>
    <row r="31" spans="1:63" ht="15" customHeight="1" x14ac:dyDescent="0.25">
      <c r="A31" s="186"/>
      <c r="K31" s="191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4"/>
      <c r="BK31" s="187"/>
    </row>
    <row r="32" spans="1:63" ht="15" customHeight="1" x14ac:dyDescent="0.25">
      <c r="A32" s="186"/>
      <c r="K32" s="191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4"/>
      <c r="BK32" s="187"/>
    </row>
    <row r="33" spans="1:63" ht="15" customHeight="1" x14ac:dyDescent="0.25">
      <c r="A33" s="186"/>
      <c r="K33" s="191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4"/>
      <c r="BK33" s="187"/>
    </row>
    <row r="34" spans="1:63" ht="15" customHeight="1" x14ac:dyDescent="0.25">
      <c r="A34" s="186"/>
      <c r="K34" s="191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4"/>
      <c r="BK34" s="187"/>
    </row>
    <row r="35" spans="1:63" ht="15" customHeight="1" x14ac:dyDescent="0.25">
      <c r="A35" s="186"/>
      <c r="K35" s="191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4"/>
      <c r="BK35" s="187"/>
    </row>
    <row r="36" spans="1:63" ht="15" customHeight="1" x14ac:dyDescent="0.25">
      <c r="A36" s="186"/>
      <c r="K36" s="191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4"/>
      <c r="BK36" s="187"/>
    </row>
    <row r="37" spans="1:63" ht="15" customHeight="1" thickBot="1" x14ac:dyDescent="0.3">
      <c r="A37" s="186"/>
      <c r="K37" s="197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9"/>
      <c r="BK37" s="187"/>
    </row>
    <row r="38" spans="1:63" ht="15" customHeight="1" thickTop="1" x14ac:dyDescent="0.25">
      <c r="A38" s="186"/>
      <c r="BK38" s="187"/>
    </row>
    <row r="39" spans="1:63" ht="15" customHeight="1" x14ac:dyDescent="0.25">
      <c r="A39" s="186"/>
      <c r="BK39" s="187"/>
    </row>
    <row r="40" spans="1:63" ht="15" customHeight="1" x14ac:dyDescent="0.25">
      <c r="A40" s="186"/>
      <c r="BK40" s="187"/>
    </row>
    <row r="41" spans="1:63" ht="15" customHeight="1" x14ac:dyDescent="0.25">
      <c r="A41" s="186"/>
      <c r="BK41" s="187"/>
    </row>
    <row r="42" spans="1:63" ht="15" customHeight="1" x14ac:dyDescent="0.25">
      <c r="A42" s="186"/>
      <c r="BK42" s="187"/>
    </row>
    <row r="43" spans="1:63" ht="15" customHeight="1" x14ac:dyDescent="0.25">
      <c r="A43" s="186"/>
      <c r="BK43" s="187"/>
    </row>
    <row r="44" spans="1:63" ht="15" customHeight="1" x14ac:dyDescent="0.25">
      <c r="A44" s="186"/>
      <c r="Q44" s="200" t="s">
        <v>68</v>
      </c>
      <c r="R44" s="201"/>
      <c r="S44" s="201"/>
      <c r="T44" s="201"/>
      <c r="U44" s="201"/>
      <c r="V44" s="201"/>
      <c r="W44" s="201"/>
      <c r="X44" s="201"/>
      <c r="Y44" s="201"/>
      <c r="Z44" s="202"/>
      <c r="AA44" s="200" t="s">
        <v>69</v>
      </c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2"/>
      <c r="AQ44" s="200" t="s">
        <v>62</v>
      </c>
      <c r="AR44" s="201"/>
      <c r="AS44" s="201"/>
      <c r="AT44" s="201"/>
      <c r="AU44" s="202"/>
      <c r="BK44" s="187"/>
    </row>
    <row r="45" spans="1:63" ht="15" customHeight="1" x14ac:dyDescent="0.25">
      <c r="A45" s="186"/>
      <c r="Q45" s="203"/>
      <c r="R45" s="204"/>
      <c r="S45" s="204"/>
      <c r="T45" s="204"/>
      <c r="U45" s="204"/>
      <c r="V45" s="204"/>
      <c r="W45" s="204"/>
      <c r="X45" s="204"/>
      <c r="Y45" s="204"/>
      <c r="Z45" s="205"/>
      <c r="AA45" s="203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5"/>
      <c r="AQ45" s="203"/>
      <c r="AR45" s="204"/>
      <c r="AS45" s="204"/>
      <c r="AT45" s="204"/>
      <c r="AU45" s="205"/>
      <c r="BK45" s="187"/>
    </row>
    <row r="46" spans="1:63" ht="15" customHeight="1" x14ac:dyDescent="0.25">
      <c r="A46" s="186"/>
      <c r="Q46" s="158"/>
      <c r="R46" s="156"/>
      <c r="S46" s="156"/>
      <c r="T46" s="156"/>
      <c r="U46" s="156"/>
      <c r="V46" s="156"/>
      <c r="W46" s="156"/>
      <c r="X46" s="156"/>
      <c r="Y46" s="156"/>
      <c r="Z46" s="157"/>
      <c r="AA46" s="158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7"/>
      <c r="AQ46" s="158"/>
      <c r="AR46" s="156"/>
      <c r="AS46" s="156"/>
      <c r="AT46" s="156"/>
      <c r="AU46" s="157"/>
      <c r="BK46" s="187"/>
    </row>
    <row r="47" spans="1:63" ht="15" customHeight="1" x14ac:dyDescent="0.25">
      <c r="A47" s="186"/>
      <c r="Q47" s="206"/>
      <c r="R47" s="207"/>
      <c r="S47" s="207"/>
      <c r="T47" s="207"/>
      <c r="U47" s="207"/>
      <c r="V47" s="207"/>
      <c r="W47" s="207"/>
      <c r="X47" s="207"/>
      <c r="Y47" s="207"/>
      <c r="Z47" s="208"/>
      <c r="AA47" s="206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8"/>
      <c r="AQ47" s="206"/>
      <c r="AR47" s="207"/>
      <c r="AS47" s="207"/>
      <c r="AT47" s="207"/>
      <c r="AU47" s="208"/>
      <c r="BK47" s="187"/>
    </row>
    <row r="48" spans="1:63" ht="15" customHeight="1" x14ac:dyDescent="0.25">
      <c r="A48" s="186"/>
      <c r="Q48" s="206"/>
      <c r="R48" s="207"/>
      <c r="S48" s="207"/>
      <c r="T48" s="207"/>
      <c r="U48" s="207"/>
      <c r="V48" s="207"/>
      <c r="W48" s="207"/>
      <c r="X48" s="207"/>
      <c r="Y48" s="207"/>
      <c r="Z48" s="208"/>
      <c r="AA48" s="206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8"/>
      <c r="AQ48" s="206"/>
      <c r="AR48" s="207"/>
      <c r="AS48" s="207"/>
      <c r="AT48" s="207"/>
      <c r="AU48" s="208"/>
      <c r="BK48" s="187"/>
    </row>
    <row r="49" spans="1:63" ht="15" customHeight="1" x14ac:dyDescent="0.25">
      <c r="A49" s="186"/>
      <c r="Q49" s="168"/>
      <c r="R49" s="169"/>
      <c r="S49" s="169"/>
      <c r="T49" s="169"/>
      <c r="U49" s="169"/>
      <c r="V49" s="169"/>
      <c r="W49" s="169"/>
      <c r="X49" s="169"/>
      <c r="Y49" s="169"/>
      <c r="Z49" s="170"/>
      <c r="AA49" s="168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70"/>
      <c r="AQ49" s="168"/>
      <c r="AR49" s="169"/>
      <c r="AS49" s="169"/>
      <c r="AT49" s="169"/>
      <c r="AU49" s="170"/>
      <c r="BK49" s="187"/>
    </row>
    <row r="50" spans="1:63" ht="15" customHeight="1" x14ac:dyDescent="0.25">
      <c r="A50" s="186"/>
      <c r="BK50" s="187"/>
    </row>
    <row r="51" spans="1:63" ht="15" customHeight="1" x14ac:dyDescent="0.25">
      <c r="A51" s="186"/>
      <c r="BK51" s="187"/>
    </row>
    <row r="52" spans="1:63" ht="15" customHeight="1" x14ac:dyDescent="0.25">
      <c r="A52" s="186"/>
      <c r="BK52" s="187"/>
    </row>
    <row r="53" spans="1:63" ht="15" customHeight="1" x14ac:dyDescent="0.25">
      <c r="A53" s="186"/>
      <c r="BK53" s="187"/>
    </row>
    <row r="54" spans="1:63" ht="15" customHeight="1" x14ac:dyDescent="0.25">
      <c r="A54" s="186"/>
      <c r="BK54" s="187"/>
    </row>
    <row r="55" spans="1:63" ht="15" customHeight="1" x14ac:dyDescent="0.25">
      <c r="A55" s="183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9"/>
      <c r="K1" s="57" t="s">
        <v>2</v>
      </c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92" t="str">
        <f>IF(表紙!W1="","",表紙!W1)</f>
        <v>詳細設計書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57" t="s">
        <v>3</v>
      </c>
      <c r="AQ1" s="58"/>
      <c r="AR1" s="58"/>
      <c r="AS1" s="59"/>
      <c r="AT1" s="57" t="s">
        <v>4</v>
      </c>
      <c r="AU1" s="58"/>
      <c r="AV1" s="58"/>
      <c r="AW1" s="58"/>
      <c r="AX1" s="59"/>
      <c r="AY1" s="57" t="s">
        <v>5</v>
      </c>
      <c r="AZ1" s="58"/>
      <c r="BA1" s="58"/>
      <c r="BB1" s="59"/>
      <c r="BC1" s="57" t="s">
        <v>6</v>
      </c>
      <c r="BD1" s="58"/>
      <c r="BE1" s="58"/>
      <c r="BF1" s="58"/>
      <c r="BG1" s="59"/>
      <c r="BH1" s="57" t="s">
        <v>7</v>
      </c>
      <c r="BI1" s="58"/>
      <c r="BJ1" s="58"/>
      <c r="BK1" s="59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" t="str">
        <f>IF(表紙!AP2="","",表紙!AP2)</f>
        <v>TuyenNH</v>
      </c>
      <c r="AQ2" s="5"/>
      <c r="AR2" s="5"/>
      <c r="AS2" s="4"/>
      <c r="AT2" s="64">
        <f>IF(表紙!AT2="","",表紙!AT2)</f>
        <v>45463</v>
      </c>
      <c r="AU2" s="65"/>
      <c r="AV2" s="65"/>
      <c r="AW2" s="65"/>
      <c r="AX2" s="66"/>
      <c r="AY2" s="6" t="str">
        <f>IF(表紙!AY2="","",表紙!AY2)</f>
        <v>DuNT</v>
      </c>
      <c r="AZ2" s="5"/>
      <c r="BA2" s="5"/>
      <c r="BB2" s="4"/>
      <c r="BC2" s="64">
        <f>IF(表紙!BC2="","",表紙!BC2)</f>
        <v>45545</v>
      </c>
      <c r="BD2" s="65"/>
      <c r="BE2" s="65"/>
      <c r="BF2" s="65"/>
      <c r="BG2" s="66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3"/>
      <c r="AQ3" s="2"/>
      <c r="AR3" s="2"/>
      <c r="AS3" s="1"/>
      <c r="AT3" s="67"/>
      <c r="AU3" s="68"/>
      <c r="AV3" s="68"/>
      <c r="AW3" s="68"/>
      <c r="AX3" s="69"/>
      <c r="AY3" s="3"/>
      <c r="AZ3" s="2"/>
      <c r="BA3" s="2"/>
      <c r="BB3" s="1"/>
      <c r="BC3" s="67"/>
      <c r="BD3" s="68"/>
      <c r="BE3" s="68"/>
      <c r="BF3" s="68"/>
      <c r="BG3" s="69"/>
      <c r="BH3" s="3"/>
      <c r="BI3" s="2"/>
      <c r="BJ3" s="2"/>
      <c r="BK3" s="1"/>
    </row>
    <row r="4" spans="1:63" ht="24.95" customHeight="1" x14ac:dyDescent="0.25">
      <c r="A4" s="57" t="s">
        <v>1</v>
      </c>
      <c r="B4" s="58"/>
      <c r="C4" s="58"/>
      <c r="D4" s="58"/>
      <c r="E4" s="58"/>
      <c r="F4" s="58"/>
      <c r="G4" s="59"/>
      <c r="H4" s="60" t="str">
        <f>IF(表紙!H4="","",表紙!H4)</f>
        <v>AP4003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  <c r="U4" s="57" t="s">
        <v>8</v>
      </c>
      <c r="V4" s="58"/>
      <c r="W4" s="58"/>
      <c r="X4" s="58"/>
      <c r="Y4" s="59"/>
      <c r="Z4" s="60" t="str">
        <f>IF(表紙!Z4="","",表紙!Z4)</f>
        <v>API設計書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  <c r="AP4" s="60" t="str">
        <f t="array" aca="1" ref="AP4" ca="1">RIGHT(CELL("filename",$A$1),LEN(CELL("filename",$A$1))-FIND("]",CELL("filename",$A$1)))</f>
        <v>改訂履歴</v>
      </c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2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91" t="s">
        <v>6</v>
      </c>
      <c r="C10" s="91"/>
      <c r="D10" s="91"/>
      <c r="E10" s="91"/>
      <c r="F10" s="91"/>
      <c r="G10" s="91"/>
      <c r="H10" s="91" t="s">
        <v>5</v>
      </c>
      <c r="I10" s="91"/>
      <c r="J10" s="91"/>
      <c r="K10" s="91"/>
      <c r="L10" s="91"/>
      <c r="M10" s="91"/>
      <c r="N10" s="91"/>
      <c r="O10" s="91" t="s">
        <v>7</v>
      </c>
      <c r="P10" s="91"/>
      <c r="Q10" s="91"/>
      <c r="R10" s="91"/>
      <c r="S10" s="91" t="s">
        <v>10</v>
      </c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 t="s">
        <v>11</v>
      </c>
      <c r="AY10" s="91"/>
      <c r="AZ10" s="91"/>
      <c r="BA10" s="91"/>
      <c r="BB10" s="91"/>
      <c r="BC10" s="91"/>
      <c r="BD10" s="91" t="s">
        <v>12</v>
      </c>
      <c r="BE10" s="91"/>
      <c r="BF10" s="91"/>
      <c r="BG10" s="91"/>
      <c r="BH10" s="91"/>
      <c r="BI10" s="91"/>
      <c r="BJ10" s="91"/>
      <c r="BK10" s="10"/>
    </row>
    <row r="11" spans="1:63" ht="15" customHeight="1" x14ac:dyDescent="0.25">
      <c r="A11" s="7"/>
      <c r="B11" s="64">
        <v>45463</v>
      </c>
      <c r="C11" s="5"/>
      <c r="D11" s="5"/>
      <c r="E11" s="5"/>
      <c r="F11" s="5"/>
      <c r="G11" s="4"/>
      <c r="H11" s="70" t="s">
        <v>43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79" t="s">
        <v>14</v>
      </c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1"/>
      <c r="AX11" s="82"/>
      <c r="AY11" s="82"/>
      <c r="AZ11" s="82"/>
      <c r="BA11" s="82"/>
      <c r="BB11" s="82"/>
      <c r="BC11" s="83"/>
      <c r="BD11" s="86"/>
      <c r="BE11" s="82"/>
      <c r="BF11" s="82"/>
      <c r="BG11" s="82"/>
      <c r="BH11" s="82"/>
      <c r="BI11" s="82"/>
      <c r="BJ11" s="83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88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90"/>
      <c r="AX12" s="84"/>
      <c r="AY12" s="84"/>
      <c r="AZ12" s="84"/>
      <c r="BA12" s="84"/>
      <c r="BB12" s="84"/>
      <c r="BC12" s="85"/>
      <c r="BD12" s="87"/>
      <c r="BE12" s="84"/>
      <c r="BF12" s="84"/>
      <c r="BG12" s="84"/>
      <c r="BH12" s="84"/>
      <c r="BI12" s="84"/>
      <c r="BJ12" s="85"/>
      <c r="BK12" s="10"/>
    </row>
    <row r="13" spans="1:63" ht="15" customHeight="1" x14ac:dyDescent="0.25">
      <c r="A13" s="7"/>
      <c r="B13" s="209">
        <v>45545</v>
      </c>
      <c r="C13" s="210"/>
      <c r="D13" s="210"/>
      <c r="E13" s="210"/>
      <c r="F13" s="210"/>
      <c r="G13" s="211"/>
      <c r="H13" s="212" t="s">
        <v>72</v>
      </c>
      <c r="I13" s="210"/>
      <c r="J13" s="210"/>
      <c r="K13" s="210"/>
      <c r="L13" s="210"/>
      <c r="M13" s="210"/>
      <c r="N13" s="211"/>
      <c r="O13" s="212">
        <v>0.2</v>
      </c>
      <c r="P13" s="210"/>
      <c r="Q13" s="210"/>
      <c r="R13" s="210"/>
      <c r="S13" s="213" t="s">
        <v>70</v>
      </c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5"/>
      <c r="AX13" s="82"/>
      <c r="AY13" s="82"/>
      <c r="AZ13" s="82"/>
      <c r="BA13" s="82"/>
      <c r="BB13" s="82"/>
      <c r="BC13" s="83"/>
      <c r="BD13" s="86"/>
      <c r="BE13" s="82"/>
      <c r="BF13" s="82"/>
      <c r="BG13" s="82"/>
      <c r="BH13" s="82"/>
      <c r="BI13" s="82"/>
      <c r="BJ13" s="83"/>
      <c r="BK13" s="10"/>
    </row>
    <row r="14" spans="1:63" ht="15" customHeight="1" x14ac:dyDescent="0.25">
      <c r="A14" s="7"/>
      <c r="B14" s="216"/>
      <c r="C14" s="217"/>
      <c r="D14" s="217"/>
      <c r="E14" s="217"/>
      <c r="F14" s="217"/>
      <c r="G14" s="218"/>
      <c r="H14" s="216"/>
      <c r="I14" s="217"/>
      <c r="J14" s="217"/>
      <c r="K14" s="217"/>
      <c r="L14" s="217"/>
      <c r="M14" s="217"/>
      <c r="N14" s="218"/>
      <c r="O14" s="216"/>
      <c r="P14" s="217"/>
      <c r="Q14" s="217"/>
      <c r="R14" s="217"/>
      <c r="S14" s="219" t="s">
        <v>71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1"/>
      <c r="AX14" s="84"/>
      <c r="AY14" s="84"/>
      <c r="AZ14" s="84"/>
      <c r="BA14" s="84"/>
      <c r="BB14" s="84"/>
      <c r="BC14" s="85"/>
      <c r="BD14" s="87"/>
      <c r="BE14" s="84"/>
      <c r="BF14" s="84"/>
      <c r="BG14" s="84"/>
      <c r="BH14" s="84"/>
      <c r="BI14" s="84"/>
      <c r="BJ14" s="85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79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1"/>
      <c r="AX15" s="82"/>
      <c r="AY15" s="82"/>
      <c r="AZ15" s="82"/>
      <c r="BA15" s="82"/>
      <c r="BB15" s="82"/>
      <c r="BC15" s="83"/>
      <c r="BD15" s="86"/>
      <c r="BE15" s="82"/>
      <c r="BF15" s="82"/>
      <c r="BG15" s="82"/>
      <c r="BH15" s="82"/>
      <c r="BI15" s="82"/>
      <c r="BJ15" s="83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88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90"/>
      <c r="AX16" s="84"/>
      <c r="AY16" s="84"/>
      <c r="AZ16" s="84"/>
      <c r="BA16" s="84"/>
      <c r="BB16" s="84"/>
      <c r="BC16" s="85"/>
      <c r="BD16" s="87"/>
      <c r="BE16" s="84"/>
      <c r="BF16" s="84"/>
      <c r="BG16" s="84"/>
      <c r="BH16" s="84"/>
      <c r="BI16" s="84"/>
      <c r="BJ16" s="85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79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1"/>
      <c r="AX17" s="82"/>
      <c r="AY17" s="82"/>
      <c r="AZ17" s="82"/>
      <c r="BA17" s="82"/>
      <c r="BB17" s="82"/>
      <c r="BC17" s="83"/>
      <c r="BD17" s="86"/>
      <c r="BE17" s="82"/>
      <c r="BF17" s="82"/>
      <c r="BG17" s="82"/>
      <c r="BH17" s="82"/>
      <c r="BI17" s="82"/>
      <c r="BJ17" s="83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88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84"/>
      <c r="AY18" s="84"/>
      <c r="AZ18" s="84"/>
      <c r="BA18" s="84"/>
      <c r="BB18" s="84"/>
      <c r="BC18" s="85"/>
      <c r="BD18" s="87"/>
      <c r="BE18" s="84"/>
      <c r="BF18" s="84"/>
      <c r="BG18" s="84"/>
      <c r="BH18" s="84"/>
      <c r="BI18" s="84"/>
      <c r="BJ18" s="85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79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1"/>
      <c r="AX19" s="82"/>
      <c r="AY19" s="82"/>
      <c r="AZ19" s="82"/>
      <c r="BA19" s="82"/>
      <c r="BB19" s="82"/>
      <c r="BC19" s="83"/>
      <c r="BD19" s="86"/>
      <c r="BE19" s="82"/>
      <c r="BF19" s="82"/>
      <c r="BG19" s="82"/>
      <c r="BH19" s="82"/>
      <c r="BI19" s="82"/>
      <c r="BJ19" s="83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88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90"/>
      <c r="AX20" s="84"/>
      <c r="AY20" s="84"/>
      <c r="AZ20" s="84"/>
      <c r="BA20" s="84"/>
      <c r="BB20" s="84"/>
      <c r="BC20" s="85"/>
      <c r="BD20" s="87"/>
      <c r="BE20" s="84"/>
      <c r="BF20" s="84"/>
      <c r="BG20" s="84"/>
      <c r="BH20" s="84"/>
      <c r="BI20" s="84"/>
      <c r="BJ20" s="85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79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1"/>
      <c r="AX21" s="82"/>
      <c r="AY21" s="82"/>
      <c r="AZ21" s="82"/>
      <c r="BA21" s="82"/>
      <c r="BB21" s="82"/>
      <c r="BC21" s="83"/>
      <c r="BD21" s="86"/>
      <c r="BE21" s="82"/>
      <c r="BF21" s="82"/>
      <c r="BG21" s="82"/>
      <c r="BH21" s="82"/>
      <c r="BI21" s="82"/>
      <c r="BJ21" s="83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90"/>
      <c r="AX22" s="84"/>
      <c r="AY22" s="84"/>
      <c r="AZ22" s="84"/>
      <c r="BA22" s="84"/>
      <c r="BB22" s="84"/>
      <c r="BC22" s="85"/>
      <c r="BD22" s="87"/>
      <c r="BE22" s="84"/>
      <c r="BF22" s="84"/>
      <c r="BG22" s="84"/>
      <c r="BH22" s="84"/>
      <c r="BI22" s="84"/>
      <c r="BJ22" s="85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79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1"/>
      <c r="AX23" s="82"/>
      <c r="AY23" s="82"/>
      <c r="AZ23" s="82"/>
      <c r="BA23" s="82"/>
      <c r="BB23" s="82"/>
      <c r="BC23" s="83"/>
      <c r="BD23" s="86"/>
      <c r="BE23" s="82"/>
      <c r="BF23" s="82"/>
      <c r="BG23" s="82"/>
      <c r="BH23" s="82"/>
      <c r="BI23" s="82"/>
      <c r="BJ23" s="83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AX24" s="84"/>
      <c r="AY24" s="84"/>
      <c r="AZ24" s="84"/>
      <c r="BA24" s="84"/>
      <c r="BB24" s="84"/>
      <c r="BC24" s="85"/>
      <c r="BD24" s="87"/>
      <c r="BE24" s="84"/>
      <c r="BF24" s="84"/>
      <c r="BG24" s="84"/>
      <c r="BH24" s="84"/>
      <c r="BI24" s="84"/>
      <c r="BJ24" s="85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79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1"/>
      <c r="AX25" s="82"/>
      <c r="AY25" s="82"/>
      <c r="AZ25" s="82"/>
      <c r="BA25" s="82"/>
      <c r="BB25" s="82"/>
      <c r="BC25" s="83"/>
      <c r="BD25" s="86"/>
      <c r="BE25" s="82"/>
      <c r="BF25" s="82"/>
      <c r="BG25" s="82"/>
      <c r="BH25" s="82"/>
      <c r="BI25" s="82"/>
      <c r="BJ25" s="83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88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90"/>
      <c r="AX26" s="84"/>
      <c r="AY26" s="84"/>
      <c r="AZ26" s="84"/>
      <c r="BA26" s="84"/>
      <c r="BB26" s="84"/>
      <c r="BC26" s="85"/>
      <c r="BD26" s="87"/>
      <c r="BE26" s="84"/>
      <c r="BF26" s="84"/>
      <c r="BG26" s="84"/>
      <c r="BH26" s="84"/>
      <c r="BI26" s="84"/>
      <c r="BJ26" s="85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79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1"/>
      <c r="AX27" s="82"/>
      <c r="AY27" s="82"/>
      <c r="AZ27" s="82"/>
      <c r="BA27" s="82"/>
      <c r="BB27" s="82"/>
      <c r="BC27" s="83"/>
      <c r="BD27" s="86"/>
      <c r="BE27" s="82"/>
      <c r="BF27" s="82"/>
      <c r="BG27" s="82"/>
      <c r="BH27" s="82"/>
      <c r="BI27" s="82"/>
      <c r="BJ27" s="83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88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90"/>
      <c r="AX28" s="84"/>
      <c r="AY28" s="84"/>
      <c r="AZ28" s="84"/>
      <c r="BA28" s="84"/>
      <c r="BB28" s="84"/>
      <c r="BC28" s="85"/>
      <c r="BD28" s="87"/>
      <c r="BE28" s="84"/>
      <c r="BF28" s="84"/>
      <c r="BG28" s="84"/>
      <c r="BH28" s="84"/>
      <c r="BI28" s="84"/>
      <c r="BJ28" s="85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79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1"/>
      <c r="AX29" s="82"/>
      <c r="AY29" s="82"/>
      <c r="AZ29" s="82"/>
      <c r="BA29" s="82"/>
      <c r="BB29" s="82"/>
      <c r="BC29" s="83"/>
      <c r="BD29" s="86"/>
      <c r="BE29" s="82"/>
      <c r="BF29" s="82"/>
      <c r="BG29" s="82"/>
      <c r="BH29" s="82"/>
      <c r="BI29" s="82"/>
      <c r="BJ29" s="83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88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0"/>
      <c r="AX30" s="84"/>
      <c r="AY30" s="84"/>
      <c r="AZ30" s="84"/>
      <c r="BA30" s="84"/>
      <c r="BB30" s="84"/>
      <c r="BC30" s="85"/>
      <c r="BD30" s="87"/>
      <c r="BE30" s="84"/>
      <c r="BF30" s="84"/>
      <c r="BG30" s="84"/>
      <c r="BH30" s="84"/>
      <c r="BI30" s="84"/>
      <c r="BJ30" s="85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79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1"/>
      <c r="AX31" s="82"/>
      <c r="AY31" s="82"/>
      <c r="AZ31" s="82"/>
      <c r="BA31" s="82"/>
      <c r="BB31" s="82"/>
      <c r="BC31" s="83"/>
      <c r="BD31" s="86"/>
      <c r="BE31" s="82"/>
      <c r="BF31" s="82"/>
      <c r="BG31" s="82"/>
      <c r="BH31" s="82"/>
      <c r="BI31" s="82"/>
      <c r="BJ31" s="83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88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90"/>
      <c r="AX32" s="84"/>
      <c r="AY32" s="84"/>
      <c r="AZ32" s="84"/>
      <c r="BA32" s="84"/>
      <c r="BB32" s="84"/>
      <c r="BC32" s="85"/>
      <c r="BD32" s="87"/>
      <c r="BE32" s="84"/>
      <c r="BF32" s="84"/>
      <c r="BG32" s="84"/>
      <c r="BH32" s="84"/>
      <c r="BI32" s="84"/>
      <c r="BJ32" s="85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79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1"/>
      <c r="AX33" s="82"/>
      <c r="AY33" s="82"/>
      <c r="AZ33" s="82"/>
      <c r="BA33" s="82"/>
      <c r="BB33" s="82"/>
      <c r="BC33" s="83"/>
      <c r="BD33" s="86"/>
      <c r="BE33" s="82"/>
      <c r="BF33" s="82"/>
      <c r="BG33" s="82"/>
      <c r="BH33" s="82"/>
      <c r="BI33" s="82"/>
      <c r="BJ33" s="83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88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90"/>
      <c r="AX34" s="84"/>
      <c r="AY34" s="84"/>
      <c r="AZ34" s="84"/>
      <c r="BA34" s="84"/>
      <c r="BB34" s="84"/>
      <c r="BC34" s="85"/>
      <c r="BD34" s="87"/>
      <c r="BE34" s="84"/>
      <c r="BF34" s="84"/>
      <c r="BG34" s="84"/>
      <c r="BH34" s="84"/>
      <c r="BI34" s="84"/>
      <c r="BJ34" s="85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79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1"/>
      <c r="AX35" s="82"/>
      <c r="AY35" s="82"/>
      <c r="AZ35" s="82"/>
      <c r="BA35" s="82"/>
      <c r="BB35" s="82"/>
      <c r="BC35" s="83"/>
      <c r="BD35" s="86"/>
      <c r="BE35" s="82"/>
      <c r="BF35" s="82"/>
      <c r="BG35" s="82"/>
      <c r="BH35" s="82"/>
      <c r="BI35" s="82"/>
      <c r="BJ35" s="83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88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90"/>
      <c r="AX36" s="84"/>
      <c r="AY36" s="84"/>
      <c r="AZ36" s="84"/>
      <c r="BA36" s="84"/>
      <c r="BB36" s="84"/>
      <c r="BC36" s="85"/>
      <c r="BD36" s="87"/>
      <c r="BE36" s="84"/>
      <c r="BF36" s="84"/>
      <c r="BG36" s="84"/>
      <c r="BH36" s="84"/>
      <c r="BI36" s="84"/>
      <c r="BJ36" s="85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79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1"/>
      <c r="AX37" s="82"/>
      <c r="AY37" s="82"/>
      <c r="AZ37" s="82"/>
      <c r="BA37" s="82"/>
      <c r="BB37" s="82"/>
      <c r="BC37" s="83"/>
      <c r="BD37" s="86"/>
      <c r="BE37" s="82"/>
      <c r="BF37" s="82"/>
      <c r="BG37" s="82"/>
      <c r="BH37" s="82"/>
      <c r="BI37" s="82"/>
      <c r="BJ37" s="83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88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  <c r="AX38" s="84"/>
      <c r="AY38" s="84"/>
      <c r="AZ38" s="84"/>
      <c r="BA38" s="84"/>
      <c r="BB38" s="84"/>
      <c r="BC38" s="85"/>
      <c r="BD38" s="87"/>
      <c r="BE38" s="84"/>
      <c r="BF38" s="84"/>
      <c r="BG38" s="84"/>
      <c r="BH38" s="84"/>
      <c r="BI38" s="84"/>
      <c r="BJ38" s="85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79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1"/>
      <c r="AX39" s="82"/>
      <c r="AY39" s="82"/>
      <c r="AZ39" s="82"/>
      <c r="BA39" s="82"/>
      <c r="BB39" s="82"/>
      <c r="BC39" s="83"/>
      <c r="BD39" s="86"/>
      <c r="BE39" s="82"/>
      <c r="BF39" s="82"/>
      <c r="BG39" s="82"/>
      <c r="BH39" s="82"/>
      <c r="BI39" s="82"/>
      <c r="BJ39" s="83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88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90"/>
      <c r="AX40" s="84"/>
      <c r="AY40" s="84"/>
      <c r="AZ40" s="84"/>
      <c r="BA40" s="84"/>
      <c r="BB40" s="84"/>
      <c r="BC40" s="85"/>
      <c r="BD40" s="87"/>
      <c r="BE40" s="84"/>
      <c r="BF40" s="84"/>
      <c r="BG40" s="84"/>
      <c r="BH40" s="84"/>
      <c r="BI40" s="84"/>
      <c r="BJ40" s="85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79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1"/>
      <c r="AX41" s="82"/>
      <c r="AY41" s="82"/>
      <c r="AZ41" s="82"/>
      <c r="BA41" s="82"/>
      <c r="BB41" s="82"/>
      <c r="BC41" s="83"/>
      <c r="BD41" s="86"/>
      <c r="BE41" s="82"/>
      <c r="BF41" s="82"/>
      <c r="BG41" s="82"/>
      <c r="BH41" s="82"/>
      <c r="BI41" s="82"/>
      <c r="BJ41" s="83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88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90"/>
      <c r="AX42" s="84"/>
      <c r="AY42" s="84"/>
      <c r="AZ42" s="84"/>
      <c r="BA42" s="84"/>
      <c r="BB42" s="84"/>
      <c r="BC42" s="85"/>
      <c r="BD42" s="87"/>
      <c r="BE42" s="84"/>
      <c r="BF42" s="84"/>
      <c r="BG42" s="84"/>
      <c r="BH42" s="84"/>
      <c r="BI42" s="84"/>
      <c r="BJ42" s="85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79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1"/>
      <c r="AX43" s="82"/>
      <c r="AY43" s="82"/>
      <c r="AZ43" s="82"/>
      <c r="BA43" s="82"/>
      <c r="BB43" s="82"/>
      <c r="BC43" s="83"/>
      <c r="BD43" s="86"/>
      <c r="BE43" s="82"/>
      <c r="BF43" s="82"/>
      <c r="BG43" s="82"/>
      <c r="BH43" s="82"/>
      <c r="BI43" s="82"/>
      <c r="BJ43" s="83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88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90"/>
      <c r="AX44" s="84"/>
      <c r="AY44" s="84"/>
      <c r="AZ44" s="84"/>
      <c r="BA44" s="84"/>
      <c r="BB44" s="84"/>
      <c r="BC44" s="85"/>
      <c r="BD44" s="87"/>
      <c r="BE44" s="84"/>
      <c r="BF44" s="84"/>
      <c r="BG44" s="84"/>
      <c r="BH44" s="84"/>
      <c r="BI44" s="84"/>
      <c r="BJ44" s="85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79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1"/>
      <c r="AX45" s="82"/>
      <c r="AY45" s="82"/>
      <c r="AZ45" s="82"/>
      <c r="BA45" s="82"/>
      <c r="BB45" s="82"/>
      <c r="BC45" s="83"/>
      <c r="BD45" s="86"/>
      <c r="BE45" s="82"/>
      <c r="BF45" s="82"/>
      <c r="BG45" s="82"/>
      <c r="BH45" s="82"/>
      <c r="BI45" s="82"/>
      <c r="BJ45" s="83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88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90"/>
      <c r="AX46" s="84"/>
      <c r="AY46" s="84"/>
      <c r="AZ46" s="84"/>
      <c r="BA46" s="84"/>
      <c r="BB46" s="84"/>
      <c r="BC46" s="85"/>
      <c r="BD46" s="87"/>
      <c r="BE46" s="84"/>
      <c r="BF46" s="84"/>
      <c r="BG46" s="84"/>
      <c r="BH46" s="84"/>
      <c r="BI46" s="84"/>
      <c r="BJ46" s="85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79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1"/>
      <c r="AX47" s="82"/>
      <c r="AY47" s="82"/>
      <c r="AZ47" s="82"/>
      <c r="BA47" s="82"/>
      <c r="BB47" s="82"/>
      <c r="BC47" s="83"/>
      <c r="BD47" s="86"/>
      <c r="BE47" s="82"/>
      <c r="BF47" s="82"/>
      <c r="BG47" s="82"/>
      <c r="BH47" s="82"/>
      <c r="BI47" s="82"/>
      <c r="BJ47" s="83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88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90"/>
      <c r="AX48" s="84"/>
      <c r="AY48" s="84"/>
      <c r="AZ48" s="84"/>
      <c r="BA48" s="84"/>
      <c r="BB48" s="84"/>
      <c r="BC48" s="85"/>
      <c r="BD48" s="87"/>
      <c r="BE48" s="84"/>
      <c r="BF48" s="84"/>
      <c r="BG48" s="84"/>
      <c r="BH48" s="84"/>
      <c r="BI48" s="84"/>
      <c r="BJ48" s="85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79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1"/>
      <c r="AX49" s="82"/>
      <c r="AY49" s="82"/>
      <c r="AZ49" s="82"/>
      <c r="BA49" s="82"/>
      <c r="BB49" s="82"/>
      <c r="BC49" s="83"/>
      <c r="BD49" s="86"/>
      <c r="BE49" s="82"/>
      <c r="BF49" s="82"/>
      <c r="BG49" s="82"/>
      <c r="BH49" s="82"/>
      <c r="BI49" s="82"/>
      <c r="BJ49" s="83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88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90"/>
      <c r="AX50" s="84"/>
      <c r="AY50" s="84"/>
      <c r="AZ50" s="84"/>
      <c r="BA50" s="84"/>
      <c r="BB50" s="84"/>
      <c r="BC50" s="85"/>
      <c r="BD50" s="87"/>
      <c r="BE50" s="84"/>
      <c r="BF50" s="84"/>
      <c r="BG50" s="84"/>
      <c r="BH50" s="84"/>
      <c r="BI50" s="84"/>
      <c r="BJ50" s="85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79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1"/>
      <c r="AX51" s="82"/>
      <c r="AY51" s="82"/>
      <c r="AZ51" s="82"/>
      <c r="BA51" s="82"/>
      <c r="BB51" s="82"/>
      <c r="BC51" s="83"/>
      <c r="BD51" s="86"/>
      <c r="BE51" s="82"/>
      <c r="BF51" s="82"/>
      <c r="BG51" s="82"/>
      <c r="BH51" s="82"/>
      <c r="BI51" s="82"/>
      <c r="BJ51" s="83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88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90"/>
      <c r="AX52" s="84"/>
      <c r="AY52" s="84"/>
      <c r="AZ52" s="84"/>
      <c r="BA52" s="84"/>
      <c r="BB52" s="84"/>
      <c r="BC52" s="85"/>
      <c r="BD52" s="87"/>
      <c r="BE52" s="84"/>
      <c r="BF52" s="84"/>
      <c r="BG52" s="84"/>
      <c r="BH52" s="84"/>
      <c r="BI52" s="84"/>
      <c r="BJ52" s="85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79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1"/>
      <c r="AX53" s="82"/>
      <c r="AY53" s="82"/>
      <c r="AZ53" s="82"/>
      <c r="BA53" s="82"/>
      <c r="BB53" s="82"/>
      <c r="BC53" s="83"/>
      <c r="BD53" s="86"/>
      <c r="BE53" s="82"/>
      <c r="BF53" s="82"/>
      <c r="BG53" s="82"/>
      <c r="BH53" s="82"/>
      <c r="BI53" s="82"/>
      <c r="BJ53" s="83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88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90"/>
      <c r="AX54" s="84"/>
      <c r="AY54" s="84"/>
      <c r="AZ54" s="84"/>
      <c r="BA54" s="84"/>
      <c r="BB54" s="84"/>
      <c r="BC54" s="85"/>
      <c r="BD54" s="87"/>
      <c r="BE54" s="84"/>
      <c r="BF54" s="84"/>
      <c r="BG54" s="84"/>
      <c r="BH54" s="84"/>
      <c r="BI54" s="84"/>
      <c r="BJ54" s="85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56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8" t="str">
        <f>IF(表紙!AP2="","",表紙!AP2)</f>
        <v>TuyenNH</v>
      </c>
      <c r="AQ2" s="156"/>
      <c r="AR2" s="156"/>
      <c r="AS2" s="157"/>
      <c r="AT2" s="162">
        <f>IF(表紙!AT2="","",表紙!AT2)</f>
        <v>45463</v>
      </c>
      <c r="AU2" s="163"/>
      <c r="AV2" s="163"/>
      <c r="AW2" s="163"/>
      <c r="AX2" s="164"/>
      <c r="AY2" s="158" t="str">
        <f>IF(表紙!AY2="","",表紙!AY2)</f>
        <v>DuNT</v>
      </c>
      <c r="AZ2" s="156"/>
      <c r="BA2" s="156"/>
      <c r="BB2" s="157"/>
      <c r="BC2" s="162">
        <f>IF(表紙!BC2="","",表紙!BC2)</f>
        <v>45545</v>
      </c>
      <c r="BD2" s="163"/>
      <c r="BE2" s="163"/>
      <c r="BF2" s="163"/>
      <c r="BG2" s="164"/>
      <c r="BH2" s="158">
        <f>IF(表紙!BH2="","",表紙!BH2)</f>
        <v>0.2</v>
      </c>
      <c r="BI2" s="156"/>
      <c r="BJ2" s="156"/>
      <c r="BK2" s="157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68"/>
      <c r="BI3" s="169"/>
      <c r="BJ3" s="169"/>
      <c r="BK3" s="170"/>
    </row>
    <row r="4" spans="1:63" ht="24.95" customHeight="1" x14ac:dyDescent="0.25">
      <c r="A4" s="222" t="s">
        <v>64</v>
      </c>
      <c r="B4" s="223"/>
      <c r="C4" s="223"/>
      <c r="D4" s="223"/>
      <c r="E4" s="223"/>
      <c r="F4" s="223"/>
      <c r="G4" s="224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222" t="s">
        <v>65</v>
      </c>
      <c r="V4" s="223"/>
      <c r="W4" s="223"/>
      <c r="X4" s="223"/>
      <c r="Y4" s="224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処理フロー凡例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55" customFormat="1" ht="15" customHeight="1" x14ac:dyDescent="0.25">
      <c r="A7" s="234"/>
      <c r="B7" s="235" t="s">
        <v>73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7"/>
      <c r="AF7" s="238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7"/>
      <c r="BJ7" s="236"/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5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2" customWidth="1"/>
    <col min="43" max="62" width="3.44140625" style="12" customWidth="1"/>
    <col min="63" max="63" width="2.77734375" style="12" customWidth="1"/>
    <col min="64" max="16384" width="10.109375" style="12"/>
  </cols>
  <sheetData>
    <row r="1" spans="1:63" ht="24.95" customHeight="1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56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8" t="str">
        <f>IF(表紙!AP2="","",表紙!AP2)</f>
        <v>TuyenNH</v>
      </c>
      <c r="AQ2" s="156"/>
      <c r="AR2" s="156"/>
      <c r="AS2" s="157"/>
      <c r="AT2" s="162">
        <f>IF(表紙!AT2="","",表紙!AT2)</f>
        <v>45463</v>
      </c>
      <c r="AU2" s="163"/>
      <c r="AV2" s="163"/>
      <c r="AW2" s="163"/>
      <c r="AX2" s="164"/>
      <c r="AY2" s="158" t="str">
        <f>IF(表紙!AY2="","",表紙!AY2)</f>
        <v>DuNT</v>
      </c>
      <c r="AZ2" s="156"/>
      <c r="BA2" s="156"/>
      <c r="BB2" s="157"/>
      <c r="BC2" s="162">
        <f>IF(表紙!BC2="","",表紙!BC2)</f>
        <v>45545</v>
      </c>
      <c r="BD2" s="163"/>
      <c r="BE2" s="163"/>
      <c r="BF2" s="163"/>
      <c r="BG2" s="164"/>
      <c r="BH2" s="158">
        <f>IF(表紙!BH2="","",表紙!BH2)</f>
        <v>0.2</v>
      </c>
      <c r="BI2" s="156"/>
      <c r="BJ2" s="156"/>
      <c r="BK2" s="157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68"/>
      <c r="BI3" s="169"/>
      <c r="BJ3" s="169"/>
      <c r="BK3" s="170"/>
    </row>
    <row r="4" spans="1:63" ht="24.95" customHeight="1" x14ac:dyDescent="0.25">
      <c r="A4" s="222" t="s">
        <v>64</v>
      </c>
      <c r="B4" s="223"/>
      <c r="C4" s="223"/>
      <c r="D4" s="223"/>
      <c r="E4" s="223"/>
      <c r="F4" s="223"/>
      <c r="G4" s="224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222" t="s">
        <v>65</v>
      </c>
      <c r="V4" s="223"/>
      <c r="W4" s="223"/>
      <c r="X4" s="223"/>
      <c r="Y4" s="224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AP4003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31" customFormat="1" ht="15" customHeight="1" x14ac:dyDescent="0.25">
      <c r="A7" s="26"/>
      <c r="B7" s="27" t="s">
        <v>74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41"/>
      <c r="AQ7" s="241"/>
      <c r="AR7" s="241"/>
      <c r="AS7" s="241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242"/>
      <c r="AQ8" s="242"/>
      <c r="AR8" s="242"/>
      <c r="AS8" s="242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52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242"/>
      <c r="AQ9" s="242"/>
      <c r="AR9" s="242"/>
      <c r="AS9" s="242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5" t="s">
        <v>75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30"/>
    </row>
    <row r="12" spans="1:63" s="31" customFormat="1" ht="15" customHeight="1" x14ac:dyDescent="0.25">
      <c r="A12" s="26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4"/>
      <c r="BI12" s="34"/>
      <c r="BJ12" s="34"/>
      <c r="BK12" s="30"/>
    </row>
    <row r="13" spans="1:63" s="31" customFormat="1" ht="15" customHeight="1" x14ac:dyDescent="0.25">
      <c r="A13" s="26"/>
      <c r="B13" s="33"/>
      <c r="C13" s="36" t="s">
        <v>76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117" t="s">
        <v>26</v>
      </c>
      <c r="D15" s="119"/>
      <c r="E15" s="117" t="s">
        <v>36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9"/>
      <c r="AG15" s="117" t="s">
        <v>37</v>
      </c>
      <c r="AH15" s="118"/>
      <c r="AI15" s="118"/>
      <c r="AJ15" s="118"/>
      <c r="AK15" s="118"/>
      <c r="AL15" s="118"/>
      <c r="AM15" s="118"/>
      <c r="AN15" s="118"/>
      <c r="AO15" s="118"/>
      <c r="AP15" s="119"/>
      <c r="AQ15" s="117" t="s">
        <v>38</v>
      </c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9"/>
      <c r="BK15" s="30"/>
    </row>
    <row r="16" spans="1:63" s="31" customFormat="1" ht="15" customHeight="1" x14ac:dyDescent="0.25">
      <c r="A16" s="26"/>
      <c r="B16" s="33"/>
      <c r="C16" s="126">
        <v>1</v>
      </c>
      <c r="D16" s="128"/>
      <c r="E16" s="303" t="s">
        <v>77</v>
      </c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5"/>
      <c r="AG16" s="126" t="s">
        <v>44</v>
      </c>
      <c r="AH16" s="127"/>
      <c r="AI16" s="127"/>
      <c r="AJ16" s="127"/>
      <c r="AK16" s="127"/>
      <c r="AL16" s="127"/>
      <c r="AM16" s="127"/>
      <c r="AN16" s="127"/>
      <c r="AO16" s="127"/>
      <c r="AP16" s="128"/>
      <c r="AQ16" s="138" t="s">
        <v>18</v>
      </c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40"/>
      <c r="BK16" s="30"/>
    </row>
    <row r="17" spans="1:63" s="31" customFormat="1" ht="15" customHeight="1" x14ac:dyDescent="0.25">
      <c r="A17" s="2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4"/>
      <c r="BI17" s="34"/>
      <c r="BJ17" s="34"/>
      <c r="BK17" s="30"/>
    </row>
    <row r="18" spans="1:63" s="31" customFormat="1" ht="15" customHeight="1" x14ac:dyDescent="0.25">
      <c r="A18" s="26"/>
      <c r="B18" s="33"/>
      <c r="C18" s="36" t="s">
        <v>78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120" t="s">
        <v>79</v>
      </c>
      <c r="D20" s="122"/>
      <c r="E20" s="120" t="s">
        <v>80</v>
      </c>
      <c r="F20" s="121"/>
      <c r="G20" s="121"/>
      <c r="H20" s="121"/>
      <c r="I20" s="121"/>
      <c r="J20" s="121"/>
      <c r="K20" s="122"/>
      <c r="L20" s="117" t="s">
        <v>39</v>
      </c>
      <c r="M20" s="118"/>
      <c r="N20" s="119"/>
      <c r="O20" s="117" t="s">
        <v>40</v>
      </c>
      <c r="P20" s="118"/>
      <c r="Q20" s="118"/>
      <c r="R20" s="119"/>
      <c r="S20" s="117" t="s">
        <v>41</v>
      </c>
      <c r="T20" s="118"/>
      <c r="U20" s="118"/>
      <c r="V20" s="118"/>
      <c r="W20" s="118"/>
      <c r="X20" s="118"/>
      <c r="Y20" s="119"/>
      <c r="Z20" s="120" t="s">
        <v>81</v>
      </c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17" t="s">
        <v>38</v>
      </c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9"/>
      <c r="BK20" s="30"/>
    </row>
    <row r="21" spans="1:63" s="31" customFormat="1" ht="15" customHeight="1" x14ac:dyDescent="0.25">
      <c r="A21" s="26"/>
      <c r="B21" s="33"/>
      <c r="C21" s="132">
        <v>1</v>
      </c>
      <c r="D21" s="133"/>
      <c r="E21" s="243" t="s">
        <v>15</v>
      </c>
      <c r="F21" s="244"/>
      <c r="G21" s="244"/>
      <c r="H21" s="244"/>
      <c r="I21" s="244"/>
      <c r="J21" s="244"/>
      <c r="K21" s="245"/>
      <c r="L21" s="143" t="s">
        <v>16</v>
      </c>
      <c r="M21" s="144"/>
      <c r="N21" s="145"/>
      <c r="O21" s="132" t="s">
        <v>17</v>
      </c>
      <c r="P21" s="141"/>
      <c r="Q21" s="141"/>
      <c r="R21" s="133"/>
      <c r="S21" s="132" t="s">
        <v>18</v>
      </c>
      <c r="T21" s="141"/>
      <c r="U21" s="141"/>
      <c r="V21" s="141"/>
      <c r="W21" s="141"/>
      <c r="X21" s="141"/>
      <c r="Y21" s="133"/>
      <c r="Z21" s="243" t="s">
        <v>19</v>
      </c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5"/>
      <c r="AQ21" s="246" t="s">
        <v>82</v>
      </c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8"/>
      <c r="BK21" s="30"/>
    </row>
    <row r="22" spans="1:63" s="31" customFormat="1" ht="15" customHeight="1" x14ac:dyDescent="0.25">
      <c r="A22" s="26"/>
      <c r="B22" s="33"/>
      <c r="C22" s="136"/>
      <c r="D22" s="137"/>
      <c r="E22" s="249"/>
      <c r="F22" s="250"/>
      <c r="G22" s="250"/>
      <c r="H22" s="250"/>
      <c r="I22" s="250"/>
      <c r="J22" s="250"/>
      <c r="K22" s="251"/>
      <c r="L22" s="146"/>
      <c r="M22" s="147"/>
      <c r="N22" s="148"/>
      <c r="O22" s="136"/>
      <c r="P22" s="142"/>
      <c r="Q22" s="142"/>
      <c r="R22" s="137"/>
      <c r="S22" s="136"/>
      <c r="T22" s="142"/>
      <c r="U22" s="142"/>
      <c r="V22" s="142"/>
      <c r="W22" s="142"/>
      <c r="X22" s="142"/>
      <c r="Y22" s="137"/>
      <c r="Z22" s="249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1"/>
      <c r="AQ22" s="252"/>
      <c r="AR22" s="253"/>
      <c r="AS22" s="253"/>
      <c r="AT22" s="253"/>
      <c r="AU22" s="253"/>
      <c r="AV22" s="253"/>
      <c r="AW22" s="253"/>
      <c r="AX22" s="253"/>
      <c r="AY22" s="253"/>
      <c r="AZ22" s="253"/>
      <c r="BA22" s="253"/>
      <c r="BB22" s="253"/>
      <c r="BC22" s="253"/>
      <c r="BD22" s="253"/>
      <c r="BE22" s="253"/>
      <c r="BF22" s="253"/>
      <c r="BG22" s="253"/>
      <c r="BH22" s="253"/>
      <c r="BI22" s="253"/>
      <c r="BJ22" s="254"/>
      <c r="BK22" s="30"/>
    </row>
    <row r="23" spans="1:63" s="31" customFormat="1" ht="15" customHeight="1" x14ac:dyDescent="0.25">
      <c r="A23" s="26"/>
      <c r="B23" s="33"/>
      <c r="C23" s="126">
        <v>2</v>
      </c>
      <c r="D23" s="128"/>
      <c r="E23" s="255" t="s">
        <v>20</v>
      </c>
      <c r="F23" s="256"/>
      <c r="G23" s="256"/>
      <c r="H23" s="256"/>
      <c r="I23" s="256"/>
      <c r="J23" s="256"/>
      <c r="K23" s="257"/>
      <c r="L23" s="123" t="s">
        <v>18</v>
      </c>
      <c r="M23" s="124"/>
      <c r="N23" s="125"/>
      <c r="O23" s="126" t="s">
        <v>17</v>
      </c>
      <c r="P23" s="127"/>
      <c r="Q23" s="127"/>
      <c r="R23" s="128"/>
      <c r="S23" s="126" t="s">
        <v>18</v>
      </c>
      <c r="T23" s="127"/>
      <c r="U23" s="127"/>
      <c r="V23" s="127"/>
      <c r="W23" s="127"/>
      <c r="X23" s="127"/>
      <c r="Y23" s="128"/>
      <c r="Z23" s="255" t="s">
        <v>20</v>
      </c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7"/>
      <c r="AQ23" s="258" t="s">
        <v>21</v>
      </c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  <c r="BK23" s="30"/>
    </row>
    <row r="24" spans="1:63" s="31" customFormat="1" ht="15" customHeight="1" x14ac:dyDescent="0.25">
      <c r="A24" s="26"/>
      <c r="B24" s="33"/>
      <c r="C24" s="132">
        <v>3</v>
      </c>
      <c r="D24" s="133"/>
      <c r="E24" s="243" t="s">
        <v>22</v>
      </c>
      <c r="F24" s="244"/>
      <c r="G24" s="244"/>
      <c r="H24" s="244"/>
      <c r="I24" s="244"/>
      <c r="J24" s="244"/>
      <c r="K24" s="245"/>
      <c r="L24" s="261" t="s">
        <v>16</v>
      </c>
      <c r="M24" s="262"/>
      <c r="N24" s="263"/>
      <c r="O24" s="264" t="s">
        <v>17</v>
      </c>
      <c r="P24" s="265"/>
      <c r="Q24" s="265"/>
      <c r="R24" s="266"/>
      <c r="S24" s="264" t="s">
        <v>18</v>
      </c>
      <c r="T24" s="265"/>
      <c r="U24" s="265"/>
      <c r="V24" s="265"/>
      <c r="W24" s="265"/>
      <c r="X24" s="265"/>
      <c r="Y24" s="266"/>
      <c r="Z24" s="267" t="s">
        <v>22</v>
      </c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9"/>
      <c r="AQ24" s="270" t="s">
        <v>83</v>
      </c>
      <c r="AR24" s="270"/>
      <c r="AS24" s="270"/>
      <c r="AT24" s="270"/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1"/>
      <c r="BK24" s="30"/>
    </row>
    <row r="25" spans="1:63" s="31" customFormat="1" ht="15" customHeight="1" x14ac:dyDescent="0.25">
      <c r="A25" s="26"/>
      <c r="B25" s="33"/>
      <c r="C25" s="134"/>
      <c r="D25" s="135"/>
      <c r="E25" s="272"/>
      <c r="F25" s="273"/>
      <c r="G25" s="273"/>
      <c r="H25" s="273"/>
      <c r="I25" s="273"/>
      <c r="J25" s="273"/>
      <c r="K25" s="274"/>
      <c r="L25" s="275"/>
      <c r="M25" s="276"/>
      <c r="N25" s="277"/>
      <c r="O25" s="278"/>
      <c r="P25" s="279"/>
      <c r="Q25" s="279"/>
      <c r="R25" s="280"/>
      <c r="S25" s="278"/>
      <c r="T25" s="279"/>
      <c r="U25" s="279"/>
      <c r="V25" s="279"/>
      <c r="W25" s="279"/>
      <c r="X25" s="279"/>
      <c r="Y25" s="280"/>
      <c r="Z25" s="281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3"/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5"/>
      <c r="BK25" s="30"/>
    </row>
    <row r="26" spans="1:63" s="31" customFormat="1" ht="15" customHeight="1" x14ac:dyDescent="0.25">
      <c r="A26" s="26"/>
      <c r="B26" s="33"/>
      <c r="C26" s="134"/>
      <c r="D26" s="135"/>
      <c r="E26" s="272"/>
      <c r="F26" s="273"/>
      <c r="G26" s="273"/>
      <c r="H26" s="273"/>
      <c r="I26" s="273"/>
      <c r="J26" s="273"/>
      <c r="K26" s="274"/>
      <c r="L26" s="275"/>
      <c r="M26" s="276"/>
      <c r="N26" s="277"/>
      <c r="O26" s="278"/>
      <c r="P26" s="279"/>
      <c r="Q26" s="279"/>
      <c r="R26" s="280"/>
      <c r="S26" s="278"/>
      <c r="T26" s="279"/>
      <c r="U26" s="279"/>
      <c r="V26" s="279"/>
      <c r="W26" s="279"/>
      <c r="X26" s="279"/>
      <c r="Y26" s="280"/>
      <c r="Z26" s="281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3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5"/>
      <c r="BK26" s="30"/>
    </row>
    <row r="27" spans="1:63" s="31" customFormat="1" ht="6" customHeight="1" x14ac:dyDescent="0.25">
      <c r="A27" s="26"/>
      <c r="B27" s="33"/>
      <c r="C27" s="134"/>
      <c r="D27" s="135"/>
      <c r="E27" s="272"/>
      <c r="F27" s="273"/>
      <c r="G27" s="273"/>
      <c r="H27" s="273"/>
      <c r="I27" s="273"/>
      <c r="J27" s="273"/>
      <c r="K27" s="274"/>
      <c r="L27" s="275"/>
      <c r="M27" s="276"/>
      <c r="N27" s="277"/>
      <c r="O27" s="278"/>
      <c r="P27" s="279"/>
      <c r="Q27" s="279"/>
      <c r="R27" s="280"/>
      <c r="S27" s="278"/>
      <c r="T27" s="279"/>
      <c r="U27" s="279"/>
      <c r="V27" s="279"/>
      <c r="W27" s="279"/>
      <c r="X27" s="279"/>
      <c r="Y27" s="280"/>
      <c r="Z27" s="281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3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5"/>
      <c r="BK27" s="30"/>
    </row>
    <row r="28" spans="1:63" s="31" customFormat="1" ht="6" customHeight="1" x14ac:dyDescent="0.25">
      <c r="A28" s="26"/>
      <c r="B28" s="33"/>
      <c r="C28" s="134"/>
      <c r="D28" s="135"/>
      <c r="E28" s="272"/>
      <c r="F28" s="273"/>
      <c r="G28" s="273"/>
      <c r="H28" s="273"/>
      <c r="I28" s="273"/>
      <c r="J28" s="273"/>
      <c r="K28" s="274"/>
      <c r="L28" s="275"/>
      <c r="M28" s="276"/>
      <c r="N28" s="277"/>
      <c r="O28" s="278"/>
      <c r="P28" s="279"/>
      <c r="Q28" s="279"/>
      <c r="R28" s="280"/>
      <c r="S28" s="278"/>
      <c r="T28" s="279"/>
      <c r="U28" s="279"/>
      <c r="V28" s="279"/>
      <c r="W28" s="279"/>
      <c r="X28" s="279"/>
      <c r="Y28" s="280"/>
      <c r="Z28" s="281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3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5"/>
      <c r="BK28" s="30"/>
    </row>
    <row r="29" spans="1:63" s="31" customFormat="1" ht="6" customHeight="1" x14ac:dyDescent="0.25">
      <c r="A29" s="26"/>
      <c r="B29" s="33"/>
      <c r="C29" s="134"/>
      <c r="D29" s="135"/>
      <c r="E29" s="272"/>
      <c r="F29" s="273"/>
      <c r="G29" s="273"/>
      <c r="H29" s="273"/>
      <c r="I29" s="273"/>
      <c r="J29" s="273"/>
      <c r="K29" s="274"/>
      <c r="L29" s="275"/>
      <c r="M29" s="276"/>
      <c r="N29" s="277"/>
      <c r="O29" s="278"/>
      <c r="P29" s="279"/>
      <c r="Q29" s="279"/>
      <c r="R29" s="280"/>
      <c r="S29" s="278"/>
      <c r="T29" s="279"/>
      <c r="U29" s="279"/>
      <c r="V29" s="279"/>
      <c r="W29" s="279"/>
      <c r="X29" s="279"/>
      <c r="Y29" s="280"/>
      <c r="Z29" s="281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3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5"/>
      <c r="BK29" s="30"/>
    </row>
    <row r="30" spans="1:63" s="31" customFormat="1" ht="6" customHeight="1" x14ac:dyDescent="0.25">
      <c r="A30" s="26"/>
      <c r="B30" s="33"/>
      <c r="C30" s="136"/>
      <c r="D30" s="137"/>
      <c r="E30" s="249"/>
      <c r="F30" s="250"/>
      <c r="G30" s="250"/>
      <c r="H30" s="250"/>
      <c r="I30" s="250"/>
      <c r="J30" s="250"/>
      <c r="K30" s="251"/>
      <c r="L30" s="286"/>
      <c r="M30" s="287"/>
      <c r="N30" s="288"/>
      <c r="O30" s="289"/>
      <c r="P30" s="290"/>
      <c r="Q30" s="290"/>
      <c r="R30" s="291"/>
      <c r="S30" s="289"/>
      <c r="T30" s="290"/>
      <c r="U30" s="290"/>
      <c r="V30" s="290"/>
      <c r="W30" s="290"/>
      <c r="X30" s="290"/>
      <c r="Y30" s="291"/>
      <c r="Z30" s="292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4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6"/>
      <c r="BK30" s="30"/>
    </row>
    <row r="31" spans="1:63" s="31" customFormat="1" ht="15" customHeight="1" x14ac:dyDescent="0.25">
      <c r="A31" s="26"/>
      <c r="B31" s="33"/>
      <c r="C31" s="126">
        <v>4</v>
      </c>
      <c r="D31" s="128"/>
      <c r="E31" s="255" t="s">
        <v>23</v>
      </c>
      <c r="F31" s="256"/>
      <c r="G31" s="256"/>
      <c r="H31" s="256"/>
      <c r="I31" s="256"/>
      <c r="J31" s="256"/>
      <c r="K31" s="257"/>
      <c r="L31" s="123" t="s">
        <v>18</v>
      </c>
      <c r="M31" s="124"/>
      <c r="N31" s="125"/>
      <c r="O31" s="126" t="s">
        <v>17</v>
      </c>
      <c r="P31" s="127"/>
      <c r="Q31" s="127"/>
      <c r="R31" s="128"/>
      <c r="S31" s="126" t="s">
        <v>18</v>
      </c>
      <c r="T31" s="127"/>
      <c r="U31" s="127"/>
      <c r="V31" s="127"/>
      <c r="W31" s="127"/>
      <c r="X31" s="127"/>
      <c r="Y31" s="128"/>
      <c r="Z31" s="255" t="s">
        <v>23</v>
      </c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7"/>
      <c r="AQ31" s="258" t="s">
        <v>24</v>
      </c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60"/>
      <c r="BK31" s="30"/>
    </row>
    <row r="32" spans="1:63" s="31" customFormat="1" ht="15" customHeight="1" x14ac:dyDescent="0.25">
      <c r="A32" s="26"/>
      <c r="B32" s="33"/>
      <c r="C32" s="126">
        <v>5</v>
      </c>
      <c r="D32" s="128"/>
      <c r="E32" s="255" t="s">
        <v>25</v>
      </c>
      <c r="F32" s="256"/>
      <c r="G32" s="256"/>
      <c r="H32" s="256"/>
      <c r="I32" s="256"/>
      <c r="J32" s="256"/>
      <c r="K32" s="257"/>
      <c r="L32" s="123" t="s">
        <v>18</v>
      </c>
      <c r="M32" s="124"/>
      <c r="N32" s="125"/>
      <c r="O32" s="126" t="s">
        <v>17</v>
      </c>
      <c r="P32" s="127"/>
      <c r="Q32" s="127"/>
      <c r="R32" s="128"/>
      <c r="S32" s="126" t="s">
        <v>18</v>
      </c>
      <c r="T32" s="127"/>
      <c r="U32" s="127"/>
      <c r="V32" s="127"/>
      <c r="W32" s="127"/>
      <c r="X32" s="127"/>
      <c r="Y32" s="128"/>
      <c r="Z32" s="255" t="s">
        <v>25</v>
      </c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7"/>
      <c r="AQ32" s="258" t="s">
        <v>84</v>
      </c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60"/>
      <c r="BK32" s="30"/>
    </row>
    <row r="33" spans="1:63" s="31" customFormat="1" ht="15" customHeight="1" x14ac:dyDescent="0.25">
      <c r="A33" s="26"/>
      <c r="B33" s="33"/>
      <c r="C33" s="33"/>
      <c r="D33" s="33"/>
      <c r="E33" s="242"/>
      <c r="F33" s="242"/>
      <c r="G33" s="242"/>
      <c r="H33" s="242"/>
      <c r="I33" s="33"/>
      <c r="J33" s="33"/>
      <c r="K33" s="33"/>
      <c r="L33" s="42"/>
      <c r="M33" s="242"/>
      <c r="N33" s="242"/>
      <c r="O33" s="242"/>
      <c r="P33" s="242"/>
      <c r="Q33" s="33"/>
      <c r="R33" s="33"/>
      <c r="S33" s="33"/>
      <c r="T33" s="33"/>
      <c r="U33" s="33"/>
      <c r="V33" s="33"/>
      <c r="W33" s="33"/>
      <c r="X33" s="33"/>
      <c r="Y33" s="33"/>
      <c r="Z33" s="40"/>
      <c r="AA33" s="33"/>
      <c r="AB33" s="33"/>
      <c r="AC33" s="33"/>
      <c r="AD33" s="33"/>
      <c r="AE33" s="33"/>
      <c r="AF33" s="33"/>
      <c r="AG33" s="242"/>
      <c r="AH33" s="242"/>
      <c r="AI33" s="242"/>
      <c r="AJ33" s="242"/>
      <c r="AK33" s="242"/>
      <c r="AL33" s="242"/>
      <c r="AM33" s="242"/>
      <c r="AN33" s="242"/>
      <c r="AO33" s="242"/>
      <c r="AP33" s="33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34"/>
      <c r="BI33" s="34"/>
      <c r="BJ33" s="34"/>
      <c r="BK33" s="30"/>
    </row>
    <row r="34" spans="1:63" s="31" customFormat="1" ht="15" customHeight="1" x14ac:dyDescent="0.25">
      <c r="A34" s="26"/>
      <c r="B34" s="33"/>
      <c r="C34" s="36" t="s">
        <v>85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115" t="s">
        <v>26</v>
      </c>
      <c r="D36" s="116"/>
      <c r="E36" s="120" t="s">
        <v>86</v>
      </c>
      <c r="F36" s="297"/>
      <c r="G36" s="297"/>
      <c r="H36" s="297"/>
      <c r="I36" s="297"/>
      <c r="J36" s="297"/>
      <c r="K36" s="298"/>
      <c r="L36" s="117" t="s">
        <v>39</v>
      </c>
      <c r="M36" s="118"/>
      <c r="N36" s="119"/>
      <c r="O36" s="117" t="s">
        <v>40</v>
      </c>
      <c r="P36" s="118"/>
      <c r="Q36" s="118"/>
      <c r="R36" s="119"/>
      <c r="S36" s="117" t="s">
        <v>41</v>
      </c>
      <c r="T36" s="118"/>
      <c r="U36" s="118"/>
      <c r="V36" s="118"/>
      <c r="W36" s="118"/>
      <c r="X36" s="118"/>
      <c r="Y36" s="119"/>
      <c r="Z36" s="120" t="s">
        <v>81</v>
      </c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2"/>
      <c r="AQ36" s="129" t="s">
        <v>38</v>
      </c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1"/>
      <c r="BK36" s="30"/>
    </row>
    <row r="37" spans="1:63" s="31" customFormat="1" ht="15" customHeight="1" x14ac:dyDescent="0.25">
      <c r="A37" s="26"/>
      <c r="B37" s="33"/>
      <c r="C37" s="123" t="s">
        <v>45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5"/>
      <c r="BK37" s="30"/>
    </row>
    <row r="38" spans="1:63" s="31" customFormat="1" ht="15" customHeight="1" x14ac:dyDescent="0.25">
      <c r="A38" s="2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4"/>
      <c r="BI38" s="34"/>
      <c r="BJ38" s="34"/>
      <c r="BK38" s="30"/>
    </row>
    <row r="39" spans="1:63" s="31" customFormat="1" ht="15" customHeight="1" x14ac:dyDescent="0.25">
      <c r="A39" s="26"/>
      <c r="B39" s="33"/>
      <c r="C39" s="36" t="s">
        <v>87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4"/>
      <c r="BI39" s="34"/>
      <c r="BJ39" s="34"/>
      <c r="BK39" s="30"/>
    </row>
    <row r="40" spans="1:63" s="31" customFormat="1" ht="15" customHeight="1" x14ac:dyDescent="0.25">
      <c r="A40" s="26"/>
      <c r="B40" s="33"/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4"/>
      <c r="BI40" s="34"/>
      <c r="BJ40" s="34"/>
      <c r="BK40" s="30"/>
    </row>
    <row r="41" spans="1:63" s="31" customFormat="1" ht="15" customHeight="1" x14ac:dyDescent="0.25">
      <c r="A41" s="26"/>
      <c r="B41" s="33"/>
      <c r="C41" s="115" t="s">
        <v>26</v>
      </c>
      <c r="D41" s="116"/>
      <c r="E41" s="299" t="s">
        <v>42</v>
      </c>
      <c r="F41" s="297"/>
      <c r="G41" s="297"/>
      <c r="H41" s="297"/>
      <c r="I41" s="297"/>
      <c r="J41" s="297"/>
      <c r="K41" s="298"/>
      <c r="L41" s="117" t="s">
        <v>39</v>
      </c>
      <c r="M41" s="118"/>
      <c r="N41" s="119"/>
      <c r="O41" s="117" t="s">
        <v>40</v>
      </c>
      <c r="P41" s="118"/>
      <c r="Q41" s="118"/>
      <c r="R41" s="119"/>
      <c r="S41" s="117" t="s">
        <v>41</v>
      </c>
      <c r="T41" s="118"/>
      <c r="U41" s="118"/>
      <c r="V41" s="118"/>
      <c r="W41" s="118"/>
      <c r="X41" s="118"/>
      <c r="Y41" s="119"/>
      <c r="Z41" s="120" t="s">
        <v>81</v>
      </c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2"/>
      <c r="AQ41" s="129" t="s">
        <v>38</v>
      </c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1"/>
      <c r="BK41" s="30"/>
    </row>
    <row r="42" spans="1:63" s="31" customFormat="1" ht="15" customHeight="1" x14ac:dyDescent="0.25">
      <c r="A42" s="26"/>
      <c r="B42" s="33"/>
      <c r="C42" s="126">
        <v>1</v>
      </c>
      <c r="D42" s="128"/>
      <c r="E42" s="255" t="s">
        <v>53</v>
      </c>
      <c r="F42" s="256"/>
      <c r="G42" s="256"/>
      <c r="H42" s="256"/>
      <c r="I42" s="256"/>
      <c r="J42" s="256"/>
      <c r="K42" s="257"/>
      <c r="L42" s="123" t="s">
        <v>16</v>
      </c>
      <c r="M42" s="124"/>
      <c r="N42" s="125"/>
      <c r="O42" s="126" t="s">
        <v>17</v>
      </c>
      <c r="P42" s="127"/>
      <c r="Q42" s="127"/>
      <c r="R42" s="128"/>
      <c r="S42" s="126" t="s">
        <v>18</v>
      </c>
      <c r="T42" s="127"/>
      <c r="U42" s="127"/>
      <c r="V42" s="127"/>
      <c r="W42" s="127"/>
      <c r="X42" s="127"/>
      <c r="Y42" s="128"/>
      <c r="Z42" s="255" t="s">
        <v>46</v>
      </c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7"/>
      <c r="AQ42" s="138" t="s">
        <v>18</v>
      </c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40"/>
      <c r="BK42" s="30"/>
    </row>
    <row r="43" spans="1:63" s="31" customFormat="1" ht="60.75" customHeight="1" x14ac:dyDescent="0.25">
      <c r="A43" s="26"/>
      <c r="B43" s="33"/>
      <c r="C43" s="126">
        <f t="shared" ref="C43" si="0">C42+1</f>
        <v>2</v>
      </c>
      <c r="D43" s="128"/>
      <c r="E43" s="255" t="s">
        <v>47</v>
      </c>
      <c r="F43" s="256"/>
      <c r="G43" s="256"/>
      <c r="H43" s="256"/>
      <c r="I43" s="256"/>
      <c r="J43" s="256"/>
      <c r="K43" s="257"/>
      <c r="L43" s="123" t="s">
        <v>16</v>
      </c>
      <c r="M43" s="124"/>
      <c r="N43" s="125"/>
      <c r="O43" s="126" t="s">
        <v>17</v>
      </c>
      <c r="P43" s="127"/>
      <c r="Q43" s="127"/>
      <c r="R43" s="128"/>
      <c r="S43" s="126" t="s">
        <v>18</v>
      </c>
      <c r="T43" s="127"/>
      <c r="U43" s="127"/>
      <c r="V43" s="127"/>
      <c r="W43" s="127"/>
      <c r="X43" s="127"/>
      <c r="Y43" s="128"/>
      <c r="Z43" s="255" t="s">
        <v>48</v>
      </c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7"/>
      <c r="AQ43" s="306" t="s">
        <v>93</v>
      </c>
      <c r="AR43" s="307"/>
      <c r="AS43" s="307"/>
      <c r="AT43" s="307"/>
      <c r="AU43" s="307"/>
      <c r="AV43" s="307"/>
      <c r="AW43" s="307"/>
      <c r="AX43" s="307"/>
      <c r="AY43" s="307"/>
      <c r="AZ43" s="307"/>
      <c r="BA43" s="307"/>
      <c r="BB43" s="307"/>
      <c r="BC43" s="307"/>
      <c r="BD43" s="307"/>
      <c r="BE43" s="307"/>
      <c r="BF43" s="307"/>
      <c r="BG43" s="307"/>
      <c r="BH43" s="307"/>
      <c r="BI43" s="307"/>
      <c r="BJ43" s="308"/>
      <c r="BK43" s="30"/>
    </row>
    <row r="44" spans="1:63" s="31" customFormat="1" ht="15" customHeight="1" x14ac:dyDescent="0.25">
      <c r="A44" s="26"/>
      <c r="B44" s="33"/>
      <c r="C44" s="33"/>
      <c r="D44" s="33"/>
      <c r="E44" s="242"/>
      <c r="F44" s="242"/>
      <c r="G44" s="242"/>
      <c r="H44" s="242"/>
      <c r="I44" s="242"/>
      <c r="J44" s="242"/>
      <c r="K44" s="242"/>
      <c r="L44" s="55"/>
      <c r="M44" s="55"/>
      <c r="N44" s="55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30"/>
    </row>
    <row r="45" spans="1:63" s="31" customFormat="1" ht="15" customHeight="1" x14ac:dyDescent="0.25">
      <c r="A45" s="26"/>
      <c r="B45" s="33"/>
      <c r="C45" s="36" t="s">
        <v>88</v>
      </c>
      <c r="D45" s="33"/>
      <c r="E45" s="242"/>
      <c r="F45" s="33"/>
      <c r="G45" s="242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30"/>
    </row>
    <row r="46" spans="1:63" s="31" customFormat="1" ht="15" customHeight="1" x14ac:dyDescent="0.25">
      <c r="A46" s="26"/>
      <c r="B46" s="33"/>
      <c r="C46" s="36"/>
      <c r="D46" s="242"/>
      <c r="E46" s="242"/>
      <c r="F46" s="33"/>
      <c r="G46" s="242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30"/>
    </row>
    <row r="47" spans="1:63" s="31" customFormat="1" ht="15" customHeight="1" x14ac:dyDescent="0.25">
      <c r="A47" s="26"/>
      <c r="B47" s="33"/>
      <c r="C47" s="300" t="s">
        <v>49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37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30"/>
    </row>
    <row r="48" spans="1:63" s="31" customFormat="1" ht="15" customHeight="1" x14ac:dyDescent="0.25">
      <c r="A48" s="26"/>
      <c r="B48" s="33"/>
      <c r="C48" s="301" t="s">
        <v>89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8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30"/>
    </row>
    <row r="49" spans="1:63" s="31" customFormat="1" ht="15" customHeight="1" x14ac:dyDescent="0.25">
      <c r="A49" s="26"/>
      <c r="B49" s="33"/>
      <c r="C49" s="301" t="s">
        <v>90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8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30"/>
    </row>
    <row r="50" spans="1:63" s="31" customFormat="1" ht="15" customHeight="1" x14ac:dyDescent="0.25">
      <c r="A50" s="26"/>
      <c r="B50" s="33"/>
      <c r="C50" s="302" t="s">
        <v>50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39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30"/>
    </row>
    <row r="51" spans="1:63" s="31" customFormat="1" ht="15" customHeight="1" x14ac:dyDescent="0.25">
      <c r="A51" s="26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4"/>
      <c r="BI51" s="34"/>
      <c r="BJ51" s="34"/>
      <c r="BK51" s="30"/>
    </row>
    <row r="52" spans="1:63" s="31" customFormat="1" ht="15" customHeight="1" x14ac:dyDescent="0.25">
      <c r="A52" s="26"/>
      <c r="B52" s="35" t="s">
        <v>91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9"/>
      <c r="BI52" s="29"/>
      <c r="BJ52" s="29"/>
      <c r="BK52" s="30"/>
    </row>
    <row r="53" spans="1:63" s="31" customFormat="1" ht="15" customHeight="1" x14ac:dyDescent="0.25">
      <c r="A53" s="26"/>
      <c r="B53" s="32"/>
      <c r="C53" s="36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4"/>
      <c r="BI53" s="34"/>
      <c r="BJ53" s="34"/>
      <c r="BK53" s="30"/>
    </row>
    <row r="54" spans="1:63" s="31" customFormat="1" ht="15" customHeight="1" x14ac:dyDescent="0.25">
      <c r="A54" s="26"/>
      <c r="B54" s="32"/>
      <c r="C54" s="36" t="s">
        <v>92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4"/>
      <c r="BI54" s="34"/>
      <c r="BJ54" s="34"/>
      <c r="BK54" s="30"/>
    </row>
    <row r="55" spans="1:63" s="31" customFormat="1" ht="15" customHeight="1" x14ac:dyDescent="0.25">
      <c r="A55" s="26"/>
      <c r="B55" s="32"/>
      <c r="C55" s="36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4"/>
      <c r="BI55" s="34"/>
      <c r="BJ55" s="34"/>
      <c r="BK55" s="30"/>
    </row>
    <row r="56" spans="1:63" s="31" customFormat="1" ht="15" customHeight="1" x14ac:dyDescent="0.25">
      <c r="A56" s="26"/>
      <c r="B56" s="32"/>
      <c r="C56" s="36"/>
      <c r="D56" s="33" t="s">
        <v>54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4"/>
      <c r="BI56" s="34"/>
      <c r="BJ56" s="34"/>
      <c r="BK56" s="30"/>
    </row>
    <row r="57" spans="1:63" s="53" customFormat="1" ht="15" customHeight="1" x14ac:dyDescent="0.25">
      <c r="A57" s="48"/>
      <c r="B57" s="49"/>
      <c r="C57" s="49"/>
      <c r="D57" s="49"/>
      <c r="E57" s="50"/>
      <c r="F57" s="50"/>
      <c r="G57" s="50"/>
      <c r="H57" s="50"/>
      <c r="I57" s="50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51"/>
      <c r="BI57" s="51"/>
      <c r="BJ57" s="51"/>
      <c r="BK57" s="52"/>
    </row>
  </sheetData>
  <mergeCells count="99">
    <mergeCell ref="AG15:AP15"/>
    <mergeCell ref="AQ15:BJ15"/>
    <mergeCell ref="E16:AF16"/>
    <mergeCell ref="AQ43:BJ43"/>
    <mergeCell ref="AQ20:BJ20"/>
    <mergeCell ref="L36:N36"/>
    <mergeCell ref="O36:R36"/>
    <mergeCell ref="Z36:AP36"/>
    <mergeCell ref="O20:R20"/>
    <mergeCell ref="S20:Y20"/>
    <mergeCell ref="Z20:AP20"/>
    <mergeCell ref="AG16:AP16"/>
    <mergeCell ref="AQ42:BJ42"/>
    <mergeCell ref="AQ31:BJ31"/>
    <mergeCell ref="AQ36:BJ36"/>
    <mergeCell ref="AQ21:BJ22"/>
    <mergeCell ref="C43:D43"/>
    <mergeCell ref="S43:Y43"/>
    <mergeCell ref="C15:D15"/>
    <mergeCell ref="C16:D16"/>
    <mergeCell ref="E15:AF15"/>
    <mergeCell ref="C20:D20"/>
    <mergeCell ref="C36:D36"/>
    <mergeCell ref="Z43:AP43"/>
    <mergeCell ref="Z21:AP22"/>
    <mergeCell ref="S21:Y22"/>
    <mergeCell ref="Z31:AP31"/>
    <mergeCell ref="E41:K41"/>
    <mergeCell ref="C21:D22"/>
    <mergeCell ref="S32:Y32"/>
    <mergeCell ref="S31:Y31"/>
    <mergeCell ref="C31:D3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16:BJ16"/>
    <mergeCell ref="AQ23:BJ23"/>
    <mergeCell ref="AQ24:BJ30"/>
    <mergeCell ref="Z23:AP23"/>
    <mergeCell ref="E20:K20"/>
    <mergeCell ref="Z24:AP30"/>
    <mergeCell ref="O21:R22"/>
    <mergeCell ref="L21:N22"/>
    <mergeCell ref="E21:K22"/>
    <mergeCell ref="E23:K23"/>
    <mergeCell ref="E24:K30"/>
    <mergeCell ref="O23:R23"/>
    <mergeCell ref="O24:R30"/>
    <mergeCell ref="L23:N23"/>
    <mergeCell ref="L24:N30"/>
    <mergeCell ref="L20:N20"/>
    <mergeCell ref="S23:Y23"/>
    <mergeCell ref="S24:Y30"/>
    <mergeCell ref="C24:D30"/>
    <mergeCell ref="E31:K31"/>
    <mergeCell ref="O31:R31"/>
    <mergeCell ref="L31:N31"/>
    <mergeCell ref="C23:D23"/>
    <mergeCell ref="E43:K43"/>
    <mergeCell ref="Z32:AP32"/>
    <mergeCell ref="AQ41:BJ41"/>
    <mergeCell ref="S42:Y42"/>
    <mergeCell ref="S41:Y41"/>
    <mergeCell ref="S36:Y36"/>
    <mergeCell ref="C37:BJ37"/>
    <mergeCell ref="AQ32:BJ32"/>
    <mergeCell ref="C32:D32"/>
    <mergeCell ref="E32:K32"/>
    <mergeCell ref="L32:N32"/>
    <mergeCell ref="O32:R32"/>
    <mergeCell ref="C42:D42"/>
    <mergeCell ref="L43:N43"/>
    <mergeCell ref="O43:R43"/>
    <mergeCell ref="E36:K36"/>
    <mergeCell ref="C41:D41"/>
    <mergeCell ref="L41:N41"/>
    <mergeCell ref="O41:R41"/>
    <mergeCell ref="Z41:AP41"/>
    <mergeCell ref="Z42:AP42"/>
    <mergeCell ref="E42:K42"/>
    <mergeCell ref="L42:N42"/>
    <mergeCell ref="O42:R42"/>
  </mergeCells>
  <pageMargins left="0.7" right="0.7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99" t="s">
        <v>27</v>
      </c>
      <c r="B1" s="100"/>
      <c r="C1" s="100"/>
      <c r="D1" s="100"/>
      <c r="E1" s="100"/>
      <c r="F1" s="100"/>
      <c r="G1" s="100"/>
      <c r="H1" s="100"/>
      <c r="I1" s="100"/>
      <c r="J1" s="101"/>
      <c r="K1" s="99" t="s">
        <v>28</v>
      </c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  <c r="W1" s="102" t="str">
        <f>IF(表紙!W1="","",表紙!W1)</f>
        <v>詳細設計書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57" t="s">
        <v>29</v>
      </c>
      <c r="AQ1" s="58"/>
      <c r="AR1" s="58"/>
      <c r="AS1" s="59"/>
      <c r="AT1" s="57" t="s">
        <v>30</v>
      </c>
      <c r="AU1" s="58"/>
      <c r="AV1" s="58"/>
      <c r="AW1" s="58"/>
      <c r="AX1" s="59"/>
      <c r="AY1" s="57" t="s">
        <v>31</v>
      </c>
      <c r="AZ1" s="58"/>
      <c r="BA1" s="58"/>
      <c r="BB1" s="59"/>
      <c r="BC1" s="57" t="s">
        <v>32</v>
      </c>
      <c r="BD1" s="58"/>
      <c r="BE1" s="58"/>
      <c r="BF1" s="58"/>
      <c r="BG1" s="59"/>
      <c r="BH1" s="57" t="s">
        <v>33</v>
      </c>
      <c r="BI1" s="58"/>
      <c r="BJ1" s="58"/>
      <c r="BK1" s="59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6" t="str">
        <f>IF(表紙!AP2="","",表紙!AP2)</f>
        <v>TuyenNH</v>
      </c>
      <c r="AQ2" s="5"/>
      <c r="AR2" s="5"/>
      <c r="AS2" s="4"/>
      <c r="AT2" s="64">
        <f>IF(表紙!AT2="","",表紙!AT2)</f>
        <v>45463</v>
      </c>
      <c r="AU2" s="65"/>
      <c r="AV2" s="65"/>
      <c r="AW2" s="65"/>
      <c r="AX2" s="66"/>
      <c r="AY2" s="6" t="str">
        <f>IF(表紙!AY2="","",表紙!AY2)</f>
        <v>DuNT</v>
      </c>
      <c r="AZ2" s="5"/>
      <c r="BA2" s="5"/>
      <c r="BB2" s="4"/>
      <c r="BC2" s="64">
        <f>IF(表紙!BC2="","",表紙!BC2)</f>
        <v>45545</v>
      </c>
      <c r="BD2" s="65"/>
      <c r="BE2" s="65"/>
      <c r="BF2" s="65"/>
      <c r="BG2" s="66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3"/>
      <c r="AQ3" s="2"/>
      <c r="AR3" s="2"/>
      <c r="AS3" s="1"/>
      <c r="AT3" s="67"/>
      <c r="AU3" s="68"/>
      <c r="AV3" s="68"/>
      <c r="AW3" s="68"/>
      <c r="AX3" s="69"/>
      <c r="AY3" s="3"/>
      <c r="AZ3" s="2"/>
      <c r="BA3" s="2"/>
      <c r="BB3" s="1"/>
      <c r="BC3" s="67"/>
      <c r="BD3" s="68"/>
      <c r="BE3" s="68"/>
      <c r="BF3" s="68"/>
      <c r="BG3" s="69"/>
      <c r="BH3" s="3"/>
      <c r="BI3" s="2"/>
      <c r="BJ3" s="2"/>
      <c r="BK3" s="1"/>
    </row>
    <row r="4" spans="1:63" ht="24.95" customHeight="1" x14ac:dyDescent="0.25">
      <c r="A4" s="99" t="s">
        <v>34</v>
      </c>
      <c r="B4" s="100"/>
      <c r="C4" s="100"/>
      <c r="D4" s="100"/>
      <c r="E4" s="100"/>
      <c r="F4" s="100"/>
      <c r="G4" s="101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9" t="s">
        <v>35</v>
      </c>
      <c r="V4" s="100"/>
      <c r="W4" s="100"/>
      <c r="X4" s="100"/>
      <c r="Y4" s="101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処理フロー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7" customFormat="1" ht="15" customHeight="1" x14ac:dyDescent="0.25">
      <c r="B7" s="54"/>
      <c r="C7" s="34"/>
      <c r="D7" s="34"/>
      <c r="E7" s="34"/>
      <c r="F7" s="34"/>
      <c r="G7" s="34"/>
      <c r="AI7" s="24"/>
      <c r="BJ7" s="24"/>
      <c r="BK7" s="21"/>
    </row>
    <row r="8" spans="1:63" s="17" customFormat="1" ht="15" customHeight="1" x14ac:dyDescent="0.25">
      <c r="B8" s="54"/>
      <c r="C8" s="34"/>
      <c r="D8" s="34"/>
      <c r="E8" s="34"/>
      <c r="F8" s="34"/>
      <c r="G8" s="34"/>
      <c r="AI8" s="24"/>
      <c r="BJ8" s="24"/>
      <c r="BK8" s="21"/>
    </row>
    <row r="9" spans="1:63" s="17" customFormat="1" ht="15" customHeight="1" x14ac:dyDescent="0.25">
      <c r="B9" s="54"/>
      <c r="C9" s="34"/>
      <c r="D9" s="34"/>
      <c r="E9" s="34"/>
      <c r="F9" s="34"/>
      <c r="G9" s="34"/>
      <c r="AI9" s="24"/>
      <c r="BJ9" s="24"/>
      <c r="BK9" s="21"/>
    </row>
    <row r="10" spans="1:63" s="17" customFormat="1" ht="15" customHeight="1" x14ac:dyDescent="0.25">
      <c r="B10" s="54"/>
      <c r="C10" s="34"/>
      <c r="D10" s="34"/>
      <c r="E10" s="34"/>
      <c r="F10" s="34"/>
      <c r="G10" s="34"/>
      <c r="AI10" s="24"/>
      <c r="BJ10" s="24"/>
      <c r="BK10" s="21"/>
    </row>
    <row r="11" spans="1:63" s="17" customFormat="1" ht="15" customHeight="1" x14ac:dyDescent="0.25">
      <c r="B11" s="22"/>
      <c r="AI11" s="24"/>
      <c r="BJ11" s="24"/>
      <c r="BK11" s="21"/>
    </row>
    <row r="12" spans="1:63" s="17" customFormat="1" ht="15" customHeight="1" x14ac:dyDescent="0.25">
      <c r="B12" s="22"/>
      <c r="AI12" s="24"/>
      <c r="BJ12" s="24"/>
      <c r="BK12" s="21"/>
    </row>
    <row r="13" spans="1:63" s="17" customFormat="1" ht="15" customHeight="1" x14ac:dyDescent="0.25">
      <c r="B13" s="22"/>
      <c r="AI13" s="24"/>
      <c r="BJ13" s="24"/>
      <c r="BK13" s="21"/>
    </row>
    <row r="14" spans="1:63" s="17" customFormat="1" ht="15" customHeight="1" x14ac:dyDescent="0.25">
      <c r="B14" s="22"/>
      <c r="AI14" s="24"/>
      <c r="BJ14" s="24"/>
      <c r="BK14" s="21"/>
    </row>
    <row r="15" spans="1:63" s="17" customFormat="1" ht="15" customHeight="1" x14ac:dyDescent="0.25">
      <c r="B15" s="22"/>
      <c r="AI15" s="24"/>
      <c r="BJ15" s="24"/>
      <c r="BK15" s="21"/>
    </row>
    <row r="16" spans="1:63" s="17" customFormat="1" ht="15" customHeight="1" x14ac:dyDescent="0.25">
      <c r="B16" s="22"/>
      <c r="AI16" s="24"/>
      <c r="BJ16" s="24"/>
      <c r="BK16" s="21"/>
    </row>
    <row r="17" spans="2:63" s="17" customFormat="1" ht="15" customHeight="1" x14ac:dyDescent="0.25">
      <c r="B17" s="22"/>
      <c r="AI17" s="24"/>
      <c r="BJ17" s="24"/>
      <c r="BK17" s="21"/>
    </row>
    <row r="18" spans="2:63" s="17" customFormat="1" ht="15" customHeight="1" x14ac:dyDescent="0.25">
      <c r="B18" s="22"/>
      <c r="AI18" s="24"/>
      <c r="BJ18" s="24"/>
      <c r="BK18" s="21"/>
    </row>
    <row r="19" spans="2:63" s="17" customFormat="1" ht="15" customHeight="1" x14ac:dyDescent="0.25">
      <c r="B19" s="22"/>
      <c r="AI19" s="24"/>
      <c r="BJ19" s="24"/>
      <c r="BK19" s="21"/>
    </row>
    <row r="20" spans="2:63" s="17" customFormat="1" ht="15" customHeight="1" x14ac:dyDescent="0.25">
      <c r="B20" s="22"/>
      <c r="AI20" s="24"/>
      <c r="BJ20" s="24"/>
      <c r="BK20" s="21"/>
    </row>
    <row r="21" spans="2:63" s="17" customFormat="1" ht="15" customHeight="1" x14ac:dyDescent="0.25">
      <c r="B21" s="22"/>
      <c r="AI21" s="24"/>
      <c r="BJ21" s="24"/>
      <c r="BK21" s="21"/>
    </row>
    <row r="22" spans="2:63" s="17" customFormat="1" ht="15" customHeight="1" x14ac:dyDescent="0.25">
      <c r="B22" s="22"/>
      <c r="AI22" s="24"/>
      <c r="BJ22" s="24"/>
      <c r="BK22" s="21"/>
    </row>
    <row r="23" spans="2:63" s="17" customFormat="1" ht="15" customHeight="1" x14ac:dyDescent="0.25">
      <c r="B23" s="22"/>
      <c r="AI23" s="24"/>
      <c r="BJ23" s="24"/>
      <c r="BK23" s="21"/>
    </row>
    <row r="24" spans="2:63" s="17" customFormat="1" ht="15" customHeight="1" x14ac:dyDescent="0.25">
      <c r="B24" s="22"/>
      <c r="AI24" s="24"/>
      <c r="BJ24" s="24"/>
      <c r="BK24" s="21"/>
    </row>
    <row r="25" spans="2:63" s="17" customFormat="1" ht="15" customHeight="1" x14ac:dyDescent="0.25">
      <c r="B25" s="22"/>
      <c r="AI25" s="24"/>
      <c r="BJ25" s="24"/>
      <c r="BK25" s="21"/>
    </row>
    <row r="26" spans="2:63" s="17" customFormat="1" ht="15" customHeight="1" x14ac:dyDescent="0.25">
      <c r="B26" s="22"/>
      <c r="AI26" s="24"/>
      <c r="BJ26" s="24"/>
      <c r="BK26" s="21"/>
    </row>
    <row r="27" spans="2:63" s="17" customFormat="1" ht="15" customHeight="1" x14ac:dyDescent="0.25">
      <c r="B27" s="22"/>
      <c r="AI27" s="24"/>
      <c r="BJ27" s="24"/>
      <c r="BK27" s="21"/>
    </row>
    <row r="28" spans="2:63" s="17" customFormat="1" ht="15" customHeight="1" x14ac:dyDescent="0.25">
      <c r="B28" s="22"/>
      <c r="AI28" s="24"/>
      <c r="BJ28" s="24"/>
      <c r="BK28" s="21"/>
    </row>
    <row r="29" spans="2:63" s="17" customFormat="1" ht="15" customHeight="1" x14ac:dyDescent="0.25">
      <c r="B29" s="22"/>
      <c r="AI29" s="24"/>
      <c r="BJ29" s="24"/>
      <c r="BK29" s="21"/>
    </row>
    <row r="30" spans="2:63" s="17" customFormat="1" ht="15" customHeight="1" x14ac:dyDescent="0.25">
      <c r="B30" s="22"/>
      <c r="AI30" s="24"/>
      <c r="BJ30" s="24"/>
      <c r="BK30" s="21"/>
    </row>
    <row r="31" spans="2:63" s="17" customFormat="1" ht="15" customHeight="1" x14ac:dyDescent="0.25">
      <c r="B31" s="22"/>
      <c r="AI31" s="24"/>
      <c r="BJ31" s="24"/>
      <c r="BK31" s="21"/>
    </row>
    <row r="32" spans="2:63" s="17" customFormat="1" ht="15" customHeight="1" x14ac:dyDescent="0.25">
      <c r="B32" s="22"/>
      <c r="AI32" s="24"/>
      <c r="BJ32" s="24"/>
      <c r="BK32" s="21"/>
    </row>
    <row r="33" spans="1:63" s="17" customFormat="1" ht="15" customHeight="1" x14ac:dyDescent="0.25">
      <c r="B33" s="22"/>
      <c r="AI33" s="24"/>
      <c r="BJ33" s="24"/>
      <c r="BK33" s="21"/>
    </row>
    <row r="34" spans="1:63" s="17" customFormat="1" ht="15" customHeight="1" x14ac:dyDescent="0.25">
      <c r="B34" s="22"/>
      <c r="AI34" s="24"/>
      <c r="BJ34" s="24"/>
      <c r="BK34" s="21"/>
    </row>
    <row r="35" spans="1:63" s="17" customFormat="1" ht="15" customHeight="1" x14ac:dyDescent="0.25">
      <c r="B35" s="22"/>
      <c r="AI35" s="24"/>
      <c r="BJ35" s="24"/>
      <c r="BK35" s="21"/>
    </row>
    <row r="36" spans="1:63" s="17" customFormat="1" ht="15" customHeight="1" x14ac:dyDescent="0.25">
      <c r="B36" s="22"/>
      <c r="AI36" s="24"/>
      <c r="BJ36" s="24"/>
      <c r="BK36" s="21"/>
    </row>
    <row r="37" spans="1:63" s="17" customFormat="1" ht="15" customHeight="1" x14ac:dyDescent="0.25">
      <c r="B37" s="22"/>
      <c r="AI37" s="24"/>
      <c r="BJ37" s="24"/>
      <c r="BK37" s="21"/>
    </row>
    <row r="38" spans="1:63" ht="15" customHeight="1" x14ac:dyDescent="0.25">
      <c r="A38" s="14"/>
      <c r="B38" s="2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25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25"/>
      <c r="BK38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56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8" t="str">
        <f>IF(表紙!AP2="","",表紙!AP2)</f>
        <v>TuyenNH</v>
      </c>
      <c r="AQ2" s="156"/>
      <c r="AR2" s="156"/>
      <c r="AS2" s="157"/>
      <c r="AT2" s="162">
        <f>IF(表紙!AT2="","",表紙!AT2)</f>
        <v>45463</v>
      </c>
      <c r="AU2" s="163"/>
      <c r="AV2" s="163"/>
      <c r="AW2" s="163"/>
      <c r="AX2" s="164"/>
      <c r="AY2" s="158" t="str">
        <f>IF(表紙!AY2="","",表紙!AY2)</f>
        <v>DuNT</v>
      </c>
      <c r="AZ2" s="156"/>
      <c r="BA2" s="156"/>
      <c r="BB2" s="157"/>
      <c r="BC2" s="162">
        <f>IF(表紙!BC2="","",表紙!BC2)</f>
        <v>45545</v>
      </c>
      <c r="BD2" s="163"/>
      <c r="BE2" s="163"/>
      <c r="BF2" s="163"/>
      <c r="BG2" s="164"/>
      <c r="BH2" s="158">
        <f>IF(表紙!BH2="","",表紙!BH2)</f>
        <v>0.2</v>
      </c>
      <c r="BI2" s="156"/>
      <c r="BJ2" s="156"/>
      <c r="BK2" s="157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68"/>
      <c r="BI3" s="169"/>
      <c r="BJ3" s="169"/>
      <c r="BK3" s="170"/>
    </row>
    <row r="4" spans="1:63" ht="24.95" customHeight="1" x14ac:dyDescent="0.25">
      <c r="A4" s="222" t="s">
        <v>64</v>
      </c>
      <c r="B4" s="223"/>
      <c r="C4" s="223"/>
      <c r="D4" s="223"/>
      <c r="E4" s="223"/>
      <c r="F4" s="223"/>
      <c r="G4" s="224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222" t="s">
        <v>65</v>
      </c>
      <c r="V4" s="223"/>
      <c r="W4" s="223"/>
      <c r="X4" s="223"/>
      <c r="Y4" s="224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テンプレート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240" customFormat="1" ht="15" customHeight="1" x14ac:dyDescent="0.25"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98AAA8-02DD-4228-B040-499CDBBE1196}"/>
</file>

<file path=customXml/itemProps2.xml><?xml version="1.0" encoding="utf-8"?>
<ds:datastoreItem xmlns:ds="http://schemas.openxmlformats.org/officeDocument/2006/customXml" ds:itemID="{7177D1F2-01C5-48EE-8C74-3BE7553C4D42}"/>
</file>

<file path=customXml/itemProps3.xml><?xml version="1.0" encoding="utf-8"?>
<ds:datastoreItem xmlns:ds="http://schemas.openxmlformats.org/officeDocument/2006/customXml" ds:itemID="{9FA36C3E-295C-409C-B9B9-1B5ECD46B0E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AP4003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2024-09-12T07:43:02Z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