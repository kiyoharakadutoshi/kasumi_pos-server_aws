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DFAF4D98-9F0E-4459-AF92-CF561795A9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6201" sheetId="8" r:id="rId4"/>
    <sheet name="処理フロー" sheetId="9" r:id="rId5"/>
    <sheet name="テンプレート" sheetId="7" r:id="rId6"/>
  </sheets>
  <definedNames>
    <definedName name="_xlnm.Print_Area" localSheetId="3">'AP6201'!$A$1:$BK$58</definedName>
    <definedName name="_xlnm.Print_Area" localSheetId="5">テンプレート!$A$1:$BK$54</definedName>
    <definedName name="_xlnm.Print_Area" localSheetId="4">処理フロー!$A$1:$BK$141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<sst xmlns="http://schemas.openxmlformats.org/spreadsheetml/2006/main" count="180" uniqueCount="99">
  <si>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</si>
  <si>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</si>
  <si>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</si>
  <si>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</si>
  <si>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</si>
  <si>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</si>
  <si>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</si>
  <si>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</si>
  <si>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</si>
  <si>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</si>
  <si>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</si>
  <si>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</si>
  <si>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</si>
  <si>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</si>
  <si>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</si>
  <si>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</si>
  <si>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</si>
  <si>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</si>
  <si>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</si>
  <si>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</si>
  <si>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</si>
  <si>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</si>
  <si>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</si>
  <si>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</si>
  <si>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</si>
  <si>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</si>
  <si>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</si>
  <si>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</si>
  <si>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</si>
  <si>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</si>
  <si>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</si>
  <si>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</si>
  <si>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</si>
  <si>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</si>
  <si>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</si>
  <si>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</si>
  <si>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</si>
  <si>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</si>
  <si>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</si>
  <si>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</si>
  <si>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</si>
  <si>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</si>
  <si>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</si>
  <si>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</si>
  <si>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</si>
  <si>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</si>
  <si>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</si>
  <si>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</si>
  <si>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</si>
  <si>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</si>
  <si>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</si>
  <si>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</si>
  <si>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返されたステータスコード（ヘッダーエリア）</t>
    </r>
  </si>
  <si>
    <r>
      <rPr>
        <sz val="11"/>
        <color rgb="FF000000"/>
        <rFont val="Meiryo UI"/>
        <family val="2"/>
      </rPr>
      <t>ImageMaster.recordId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</si>
  <si>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</si>
  <si>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AP6201</t>
    </r>
  </si>
  <si>
    <r>
      <rPr>
        <sz val="11"/>
        <color rgb="FF000000"/>
        <rFont val="Meiryo UI"/>
        <family val="2"/>
      </rPr>
      <t>SonMNT</t>
    </r>
  </si>
  <si>
    <r>
      <rPr>
        <sz val="11"/>
        <color rgb="FF000000"/>
        <rFont val="Meiryo UI"/>
        <family val="2"/>
      </rPr>
      <t>deleted_image_list</t>
    </r>
  </si>
  <si>
    <r>
      <rPr>
        <sz val="11"/>
        <color rgb="FF000000"/>
        <rFont val="Meiryo UI"/>
        <family val="2"/>
      </rPr>
      <t>ArrayList&lt;Long&gt;</t>
    </r>
  </si>
  <si>
    <r>
      <rPr>
        <sz val="11"/>
        <color rgb="FF000000"/>
        <rFont val="Meiryo UI"/>
        <family val="2"/>
      </rPr>
      <t>files</t>
    </r>
  </si>
  <si>
    <r>
      <rPr>
        <sz val="11"/>
        <color rgb="FF000000"/>
        <rFont val="Meiryo UI"/>
        <family val="2"/>
      </rPr>
      <t>ArrayList&lt;Mutipart</t>
    </r>
  </si>
  <si>
    <r>
      <rPr>
        <sz val="11"/>
        <color rgb="FF000000"/>
        <rFont val="Meiryo UI"/>
        <family val="2"/>
      </rPr>
      <t>api/v1/image/upload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</si>
  <si>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</si>
  <si>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</si>
  <si>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Short</t>
    </r>
  </si>
  <si>
    <r>
      <rPr>
        <sz val="11"/>
        <color rgb="FF000000"/>
        <rFont val="Meiryo UI"/>
        <family val="2"/>
      </rPr>
      <t>ImageMaster.type</t>
    </r>
  </si>
  <si>
    <r>
      <rPr>
        <sz val="11"/>
        <color rgb="FF000000"/>
        <rFont val="Meiryo UI"/>
        <family val="2"/>
      </rPr>
      <t>画像をアップロード、削除する。</t>
    </r>
  </si>
  <si>
    <r>
      <rPr>
        <sz val="11"/>
        <color rgb="FF000000"/>
        <rFont val="Meiryo UI"/>
        <family val="2"/>
      </rPr>
      <t>ArrayList&lt;Interger&gt;</t>
    </r>
  </si>
  <si>
    <t>{</t>
  </si>
  <si>
    <t>}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</si>
  <si>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</si>
  <si>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</si>
  <si>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</si>
  <si>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</si>
  <si>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</si>
  <si>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</si>
  <si>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</si>
  <si>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</si>
  <si>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</si>
  <si>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</si>
  <si>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</si>
  <si>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</si>
  <si>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</si>
  <si>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</si>
  <si>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</si>
  <si>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</si>
  <si>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</si>
  <si>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</si>
  <si>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</si>
  <si>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削除された画像レコードID一覧</t>
  </si>
  <si>
    <t>クライアントから送信されたアップロードファイル一覧</t>
  </si>
  <si>
    <t>ユーザーがアップロードした画像種別
0:プリセット画像
1: レシートロゴ
形式が不正な場合、「MSG_VAL_019」メッセージを表示する。</t>
  </si>
  <si>
    <t>2.4 Request Body</t>
  </si>
  <si>
    <t>3. レスポンス</t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</si>
  <si>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</si>
  <si>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</si>
  <si>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</si>
  <si>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 xml:space="preserve">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</si>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</sst>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  <xf numFmtId="0" fontId="6" fillId="0" borderId="0">
      <alignment vertical="center"/>
    </xf>
  </cellStyleXfs>
  <cellXfs count="26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7" fillId="0" borderId="20" xfId="6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7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0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5" fillId="0" borderId="17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3" borderId="16" xfId="0" quotePrefix="1" applyFont="1" applyFill="1" applyBorder="1" applyAlignment="1">
      <alignment vertical="center"/>
    </xf>
    <xf numFmtId="0" fontId="22" fillId="3" borderId="17" xfId="0" quotePrefix="1" applyFont="1" applyFill="1" applyBorder="1" applyAlignment="1">
      <alignment vertical="center"/>
    </xf>
    <xf numFmtId="0" fontId="22" fillId="3" borderId="18" xfId="0" quotePrefix="1" applyFont="1" applyFill="1" applyBorder="1" applyAlignment="1">
      <alignment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20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2" fillId="4" borderId="0" xfId="0" applyFont="1" applyFill="1"/>
    <xf numFmtId="0" fontId="2" fillId="4" borderId="21" xfId="6" applyFont="1" applyFill="1" applyBorder="1" applyAlignment="1">
      <alignment horizontal="center" vertical="center"/>
    </xf>
    <xf numFmtId="0" fontId="2" fillId="4" borderId="22" xfId="6" applyFont="1" applyFill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2" fillId="5" borderId="21" xfId="0" applyFont="1" applyFill="1" applyBorder="1" applyAlignment="1">
      <alignment horizontal="left" vertical="center"/>
    </xf>
    <xf numFmtId="0" fontId="12" fillId="5" borderId="23" xfId="0" applyFont="1" applyFill="1" applyBorder="1" applyAlignment="1">
      <alignment horizontal="left" vertical="center"/>
    </xf>
    <xf numFmtId="0" fontId="19" fillId="4" borderId="21" xfId="6" applyFont="1" applyFill="1" applyBorder="1" applyAlignment="1">
      <alignment horizontal="center" vertical="center"/>
    </xf>
    <xf numFmtId="0" fontId="19" fillId="4" borderId="22" xfId="6" applyFont="1" applyFill="1" applyBorder="1" applyAlignment="1">
      <alignment horizontal="center" vertical="center"/>
    </xf>
    <xf numFmtId="0" fontId="19" fillId="4" borderId="23" xfId="6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22" fillId="0" borderId="21" xfId="0" quotePrefix="1" applyFont="1" applyBorder="1" applyAlignment="1">
      <alignment horizontal="left" vertical="center" wrapText="1"/>
    </xf>
    <xf numFmtId="0" fontId="22" fillId="0" borderId="22" xfId="0" quotePrefix="1" applyFont="1" applyBorder="1" applyAlignment="1">
      <alignment horizontal="left" vertical="center" wrapText="1"/>
    </xf>
    <xf numFmtId="0" fontId="22" fillId="0" borderId="23" xfId="0" quotePrefix="1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2" fillId="0" borderId="23" xfId="0" applyFont="1" applyBorder="1" applyAlignment="1">
      <alignment horizontal="left" vertical="center"/>
    </xf>
    <xf numFmtId="0" fontId="7" fillId="0" borderId="21" xfId="0" quotePrefix="1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9" fillId="4" borderId="21" xfId="0" applyFont="1" applyFill="1" applyBorder="1" applyAlignment="1">
      <alignment horizontal="center" vertical="center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22" fillId="0" borderId="16" xfId="0" applyNumberFormat="1" applyFont="1" applyBorder="1" applyAlignment="1">
      <alignment horizontal="center" vertical="center"/>
    </xf>
    <xf numFmtId="14" fontId="22" fillId="0" borderId="17" xfId="0" applyNumberFormat="1" applyFont="1" applyBorder="1" applyAlignment="1">
      <alignment horizontal="center" vertical="center"/>
    </xf>
    <xf numFmtId="14" fontId="22" fillId="0" borderId="18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14" fontId="22" fillId="0" borderId="3" xfId="0" applyNumberFormat="1" applyFont="1" applyBorder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0" fontId="21" fillId="0" borderId="17" xfId="6" applyFont="1" applyBorder="1" applyAlignment="1">
      <alignment horizontal="center" vertical="center"/>
    </xf>
    <xf numFmtId="0" fontId="21" fillId="0" borderId="1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21" fillId="0" borderId="0" xfId="6" applyFont="1" applyAlignment="1">
      <alignment horizontal="center" vertical="center"/>
    </xf>
    <xf numFmtId="0" fontId="21" fillId="0" borderId="4" xfId="6" applyFont="1" applyBorder="1" applyAlignment="1">
      <alignment horizontal="center" vertical="center"/>
    </xf>
    <xf numFmtId="0" fontId="21" fillId="0" borderId="2" xfId="6" applyFont="1" applyBorder="1" applyAlignment="1">
      <alignment horizontal="center" vertical="center"/>
    </xf>
    <xf numFmtId="0" fontId="21" fillId="0" borderId="3" xfId="6" applyFont="1" applyBorder="1" applyAlignment="1">
      <alignment horizontal="center" vertical="center"/>
    </xf>
    <xf numFmtId="0" fontId="21" fillId="0" borderId="5" xfId="6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left" vertical="center" wrapText="1"/>
    </xf>
    <xf numFmtId="0" fontId="22" fillId="0" borderId="17" xfId="0" quotePrefix="1" applyFont="1" applyBorder="1" applyAlignment="1">
      <alignment horizontal="left" vertical="center" wrapText="1"/>
    </xf>
    <xf numFmtId="0" fontId="22" fillId="0" borderId="18" xfId="0" quotePrefix="1" applyFont="1" applyBorder="1" applyAlignment="1">
      <alignment horizontal="left" vertical="center" wrapText="1"/>
    </xf>
    <xf numFmtId="0" fontId="22" fillId="0" borderId="2" xfId="0" quotePrefix="1" applyFont="1" applyBorder="1" applyAlignment="1">
      <alignment horizontal="left" vertical="center" wrapText="1"/>
    </xf>
    <xf numFmtId="0" fontId="22" fillId="0" borderId="3" xfId="0" quotePrefix="1" applyFont="1" applyBorder="1" applyAlignment="1">
      <alignment horizontal="left" vertical="center" wrapText="1"/>
    </xf>
    <xf numFmtId="0" fontId="22" fillId="0" borderId="5" xfId="0" quotePrefix="1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17" xfId="0" applyFont="1" applyBorder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0" fontId="7" fillId="0" borderId="21" xfId="0" quotePrefix="1" applyFont="1" applyBorder="1" applyAlignment="1">
      <alignment horizontal="left" vertical="center"/>
    </xf>
    <xf numFmtId="0" fontId="7" fillId="0" borderId="22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5" borderId="21" xfId="0" applyFont="1" applyFill="1" applyBorder="1" applyAlignment="1">
      <alignment vertical="center"/>
    </xf>
    <xf numFmtId="0" fontId="11" fillId="5" borderId="22" xfId="0" applyFont="1" applyFill="1" applyBorder="1" applyAlignment="1">
      <alignment vertical="center"/>
    </xf>
    <xf numFmtId="0" fontId="11" fillId="5" borderId="23" xfId="0" applyFont="1" applyFill="1" applyBorder="1" applyAlignment="1">
      <alignment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8" fillId="5" borderId="21" xfId="0" applyFont="1" applyFill="1" applyBorder="1" applyAlignment="1">
      <alignment horizontal="left" vertical="center"/>
    </xf>
    <xf numFmtId="0" fontId="8" fillId="5" borderId="22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22" fillId="0" borderId="21" xfId="0" quotePrefix="1" applyFont="1" applyBorder="1" applyAlignment="1">
      <alignment horizontal="left" vertical="center"/>
    </xf>
    <xf numFmtId="0" fontId="22" fillId="0" borderId="16" xfId="0" quotePrefix="1" applyFont="1" applyBorder="1" applyAlignment="1">
      <alignment horizontal="left" vertical="center"/>
    </xf>
    <xf numFmtId="0" fontId="22" fillId="0" borderId="17" xfId="0" quotePrefix="1" applyFont="1" applyBorder="1" applyAlignment="1">
      <alignment horizontal="left" vertical="center"/>
    </xf>
    <xf numFmtId="0" fontId="22" fillId="0" borderId="18" xfId="0" quotePrefix="1" applyFont="1" applyBorder="1" applyAlignment="1">
      <alignment horizontal="left" vertical="center"/>
    </xf>
    <xf numFmtId="0" fontId="7" fillId="0" borderId="21" xfId="0" applyFont="1" applyBorder="1" applyAlignment="1">
      <alignment horizontal="center" vertical="center"/>
    </xf>
    <xf numFmtId="0" fontId="22" fillId="0" borderId="16" xfId="0" quotePrefix="1" applyFont="1" applyBorder="1" applyAlignment="1">
      <alignment horizontal="center" vertical="center"/>
    </xf>
    <xf numFmtId="0" fontId="22" fillId="0" borderId="17" xfId="0" quotePrefix="1" applyFont="1" applyBorder="1" applyAlignment="1">
      <alignment horizontal="center" vertical="center"/>
    </xf>
    <xf numFmtId="0" fontId="22" fillId="0" borderId="18" xfId="0" quotePrefix="1" applyFont="1" applyBorder="1" applyAlignment="1">
      <alignment horizontal="center" vertical="center"/>
    </xf>
    <xf numFmtId="0" fontId="22" fillId="0" borderId="16" xfId="0" applyFont="1" applyBorder="1" applyAlignment="1">
      <alignment horizontal="left" vertical="top"/>
    </xf>
    <xf numFmtId="0" fontId="22" fillId="0" borderId="17" xfId="0" applyFont="1" applyBorder="1" applyAlignment="1">
      <alignment horizontal="left" vertical="top"/>
    </xf>
    <xf numFmtId="0" fontId="22" fillId="0" borderId="18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center" wrapText="1"/>
    </xf>
    <xf numFmtId="0" fontId="12" fillId="5" borderId="21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2" fillId="5" borderId="21" xfId="0" applyFont="1" applyFill="1" applyBorder="1" applyAlignment="1">
      <alignment horizontal="left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101</xdr:row>
      <xdr:rowOff>0</xdr:rowOff>
    </xdr:from>
    <xdr:to>
      <xdr:col>62</xdr:col>
      <xdr:colOff>0</xdr:colOff>
      <xdr:row>108</xdr:row>
      <xdr:rowOff>0</xdr:rowOff>
    </xdr:to>
    <xdr:sp macro="" textlink="" fLocksText="0">
      <xdr:nvSpPr>
        <xdr:cNvPr id="149" name="吹き出し: 線 2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9334500" y="19354800"/>
          <a:ext cx="7200900" cy="1333500"/>
        </a:xfrm>
        <a:prstGeom prst="borderCallout1">
          <a:avLst>
            <a:gd name="adj1" fmla="val 43231"/>
            <a:gd name="adj2" fmla="val -66"/>
            <a:gd name="adj3" fmla="val 42685"/>
            <a:gd name="adj4" fmla="val -9229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12. image_masterテーブルに画像を新規追加する。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file_name = param{fileName} (ユーザーが送信したデータから取得したファイル名)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path_file = AWS上のファイル保存パス(.../{company_code}/{store_code}/{file_name})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type = param{type}</a:t>
          </a:r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9</xdr:col>
      <xdr:colOff>0</xdr:colOff>
      <xdr:row>9</xdr:row>
      <xdr:rowOff>179294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3335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7</xdr:col>
      <xdr:colOff>0</xdr:colOff>
      <xdr:row>9</xdr:row>
      <xdr:rowOff>179294</xdr:rowOff>
    </xdr:from>
    <xdr:to>
      <xdr:col>7</xdr:col>
      <xdr:colOff>1</xdr:colOff>
      <xdr:row>13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stCxn id="5" idx="4"/>
          <a:endCxn id="9" idx="0"/>
        </xdr:cNvCxnSpPr>
      </xdr:nvCxnSpPr>
      <xdr:spPr>
        <a:xfrm>
          <a:off x="1866900" y="2009775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13</xdr:row>
      <xdr:rowOff>0</xdr:rowOff>
    </xdr:from>
    <xdr:to>
      <xdr:col>10</xdr:col>
      <xdr:colOff>0</xdr:colOff>
      <xdr:row>17</xdr:row>
      <xdr:rowOff>0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0668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deleted_image_listデータ配列をループする。</a:t>
          </a:r>
        </a:p>
      </xdr:txBody>
    </xdr:sp>
    <xdr:clientData/>
  </xdr:twoCellAnchor>
  <xdr:twoCellAnchor>
    <xdr:from>
      <xdr:col>7</xdr:col>
      <xdr:colOff>0</xdr:colOff>
      <xdr:row>33</xdr:row>
      <xdr:rowOff>11206</xdr:rowOff>
    </xdr:from>
    <xdr:to>
      <xdr:col>7</xdr:col>
      <xdr:colOff>1</xdr:colOff>
      <xdr:row>36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>
          <a:stCxn id="87" idx="2"/>
          <a:endCxn id="16" idx="0"/>
        </xdr:cNvCxnSpPr>
      </xdr:nvCxnSpPr>
      <xdr:spPr>
        <a:xfrm>
          <a:off x="1866900" y="6410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36</xdr:row>
      <xdr:rowOff>0</xdr:rowOff>
    </xdr:from>
    <xdr:to>
      <xdr:col>10</xdr:col>
      <xdr:colOff>0</xdr:colOff>
      <xdr:row>40</xdr:row>
      <xdr:rowOff>0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066800" y="6972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データベースの画像レコードを削除する。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45</xdr:row>
      <xdr:rowOff>0</xdr:rowOff>
    </xdr:from>
    <xdr:to>
      <xdr:col>10</xdr:col>
      <xdr:colOff>0</xdr:colOff>
      <xdr:row>49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066800" y="8686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AWSのフォルダー内の画像ファイルを削除する。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40</xdr:row>
      <xdr:rowOff>0</xdr:rowOff>
    </xdr:from>
    <xdr:to>
      <xdr:col>7</xdr:col>
      <xdr:colOff>1</xdr:colOff>
      <xdr:row>45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16" idx="2"/>
          <a:endCxn id="18" idx="0"/>
        </xdr:cNvCxnSpPr>
      </xdr:nvCxnSpPr>
      <xdr:spPr>
        <a:xfrm>
          <a:off x="1866900" y="7734300"/>
          <a:ext cx="0" cy="952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61</xdr:row>
      <xdr:rowOff>0</xdr:rowOff>
    </xdr:from>
    <xdr:to>
      <xdr:col>10</xdr:col>
      <xdr:colOff>0</xdr:colOff>
      <xdr:row>66</xdr:row>
      <xdr:rowOff>0</xdr:rowOff>
    </xdr:to>
    <xdr:sp macro="" textlink="" fLocksText="0">
      <xdr:nvSpPr>
        <xdr:cNvPr id="23" name="Flowchart: Decision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066800" y="11734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7. 最後の要素であるかを確認する。</a:t>
          </a:r>
        </a:p>
      </xdr:txBody>
    </xdr:sp>
    <xdr:clientData/>
  </xdr:twoCellAnchor>
  <xdr:twoCellAnchor>
    <xdr:from>
      <xdr:col>2</xdr:col>
      <xdr:colOff>1</xdr:colOff>
      <xdr:row>63</xdr:row>
      <xdr:rowOff>0</xdr:rowOff>
    </xdr:from>
    <xdr:to>
      <xdr:col>4</xdr:col>
      <xdr:colOff>1</xdr:colOff>
      <xdr:row>64</xdr:row>
      <xdr:rowOff>11206</xdr:rowOff>
    </xdr:to>
    <xdr:sp macro="" textlink="" fLocksText="0">
      <xdr:nvSpPr>
        <xdr:cNvPr id="24" name="Flowchart: Process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3400" y="12115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66</xdr:row>
      <xdr:rowOff>0</xdr:rowOff>
    </xdr:from>
    <xdr:to>
      <xdr:col>8</xdr:col>
      <xdr:colOff>0</xdr:colOff>
      <xdr:row>67</xdr:row>
      <xdr:rowOff>11206</xdr:rowOff>
    </xdr:to>
    <xdr:sp macro="" textlink="" fLocksText="0">
      <xdr:nvSpPr>
        <xdr:cNvPr id="25" name="Flowchart: Process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600200" y="12687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49</xdr:row>
      <xdr:rowOff>0</xdr:rowOff>
    </xdr:from>
    <xdr:to>
      <xdr:col>7</xdr:col>
      <xdr:colOff>0</xdr:colOff>
      <xdr:row>52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8" idx="2"/>
          <a:endCxn id="15" idx="0"/>
        </xdr:cNvCxnSpPr>
      </xdr:nvCxnSpPr>
      <xdr:spPr>
        <a:xfrm flipH="1">
          <a:off x="1838325" y="9448800"/>
          <a:ext cx="28575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</xdr:rowOff>
    </xdr:from>
    <xdr:to>
      <xdr:col>4</xdr:col>
      <xdr:colOff>0</xdr:colOff>
      <xdr:row>63</xdr:row>
      <xdr:rowOff>100854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24" idx="1"/>
          <a:endCxn id="9" idx="1"/>
        </xdr:cNvCxnSpPr>
      </xdr:nvCxnSpPr>
      <xdr:spPr>
        <a:xfrm rot="10800000" flipH="1">
          <a:off x="533400" y="2971800"/>
          <a:ext cx="533400" cy="9248775"/>
        </a:xfrm>
        <a:prstGeom prst="bentConnector3">
          <a:avLst>
            <a:gd name="adj1" fmla="val -475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67</xdr:row>
      <xdr:rowOff>11206</xdr:rowOff>
    </xdr:from>
    <xdr:to>
      <xdr:col>7</xdr:col>
      <xdr:colOff>1</xdr:colOff>
      <xdr:row>70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CxnSpPr>
          <a:stCxn id="25" idx="2"/>
          <a:endCxn id="42" idx="0"/>
        </xdr:cNvCxnSpPr>
      </xdr:nvCxnSpPr>
      <xdr:spPr>
        <a:xfrm flipH="1">
          <a:off x="1866900" y="12887325"/>
          <a:ext cx="0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70</xdr:row>
      <xdr:rowOff>0</xdr:rowOff>
    </xdr:from>
    <xdr:to>
      <xdr:col>9</xdr:col>
      <xdr:colOff>240631</xdr:colOff>
      <xdr:row>74</xdr:row>
      <xdr:rowOff>0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066800" y="13449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ファイルデータ配列をループする。</a:t>
          </a:r>
        </a:p>
      </xdr:txBody>
    </xdr:sp>
    <xdr:clientData/>
  </xdr:twoCellAnchor>
  <xdr:twoCellAnchor>
    <xdr:from>
      <xdr:col>4</xdr:col>
      <xdr:colOff>1</xdr:colOff>
      <xdr:row>77</xdr:row>
      <xdr:rowOff>0</xdr:rowOff>
    </xdr:from>
    <xdr:to>
      <xdr:col>10</xdr:col>
      <xdr:colOff>0</xdr:colOff>
      <xdr:row>82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1066800" y="1478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9. ファイルのバリデーションチェック</a:t>
          </a:r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7</xdr:col>
      <xdr:colOff>1</xdr:colOff>
      <xdr:row>77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2" idx="2"/>
          <a:endCxn id="44" idx="0"/>
        </xdr:cNvCxnSpPr>
      </xdr:nvCxnSpPr>
      <xdr:spPr>
        <a:xfrm>
          <a:off x="1866900" y="14211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2654</xdr:colOff>
      <xdr:row>83</xdr:row>
      <xdr:rowOff>0</xdr:rowOff>
    </xdr:from>
    <xdr:to>
      <xdr:col>7</xdr:col>
      <xdr:colOff>2654</xdr:colOff>
      <xdr:row>85</xdr:row>
      <xdr:rowOff>170446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54" idx="2"/>
          <a:endCxn id="116" idx="0"/>
        </xdr:cNvCxnSpPr>
      </xdr:nvCxnSpPr>
      <xdr:spPr>
        <a:xfrm>
          <a:off x="1866900" y="15925800"/>
          <a:ext cx="0" cy="5524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79</xdr:row>
      <xdr:rowOff>0</xdr:rowOff>
    </xdr:from>
    <xdr:to>
      <xdr:col>12</xdr:col>
      <xdr:colOff>0</xdr:colOff>
      <xdr:row>80</xdr:row>
      <xdr:rowOff>11206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667000" y="15163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82</xdr:row>
      <xdr:rowOff>0</xdr:rowOff>
    </xdr:from>
    <xdr:to>
      <xdr:col>8</xdr:col>
      <xdr:colOff>5308</xdr:colOff>
      <xdr:row>83</xdr:row>
      <xdr:rowOff>0</xdr:rowOff>
    </xdr:to>
    <xdr:sp macro="" textlink="" fLocksText="0">
      <xdr:nvSpPr>
        <xdr:cNvPr id="54" name="Flowchart: Proces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1600200" y="15735300"/>
          <a:ext cx="5429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4</xdr:col>
      <xdr:colOff>1</xdr:colOff>
      <xdr:row>102</xdr:row>
      <xdr:rowOff>0</xdr:rowOff>
    </xdr:from>
    <xdr:to>
      <xdr:col>10</xdr:col>
      <xdr:colOff>0</xdr:colOff>
      <xdr:row>106</xdr:row>
      <xdr:rowOff>0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1066800" y="19545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12. 画像情報を新規追加する。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1</xdr:colOff>
      <xdr:row>106</xdr:row>
      <xdr:rowOff>0</xdr:rowOff>
    </xdr:from>
    <xdr:to>
      <xdr:col>7</xdr:col>
      <xdr:colOff>1</xdr:colOff>
      <xdr:row>110</xdr:row>
      <xdr:rowOff>10026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CxnSpPr>
          <a:stCxn id="57" idx="2"/>
          <a:endCxn id="62" idx="0"/>
        </xdr:cNvCxnSpPr>
      </xdr:nvCxnSpPr>
      <xdr:spPr>
        <a:xfrm>
          <a:off x="1866900" y="20307300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110</xdr:row>
      <xdr:rowOff>10026</xdr:rowOff>
    </xdr:from>
    <xdr:to>
      <xdr:col>10</xdr:col>
      <xdr:colOff>0</xdr:colOff>
      <xdr:row>114</xdr:row>
      <xdr:rowOff>10026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066800" y="21078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13. 画像をAWSにアップロードする。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1</xdr:colOff>
      <xdr:row>126</xdr:row>
      <xdr:rowOff>0</xdr:rowOff>
    </xdr:from>
    <xdr:to>
      <xdr:col>10</xdr:col>
      <xdr:colOff>0</xdr:colOff>
      <xdr:row>131</xdr:row>
      <xdr:rowOff>0</xdr:rowOff>
    </xdr:to>
    <xdr:sp macro="" textlink="" fLocksText="0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66800" y="24117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15. 最後の要素であるかを確認する。</a:t>
          </a:r>
        </a:p>
      </xdr:txBody>
    </xdr:sp>
    <xdr:clientData/>
  </xdr:twoCellAnchor>
  <xdr:twoCellAnchor>
    <xdr:from>
      <xdr:col>2</xdr:col>
      <xdr:colOff>1</xdr:colOff>
      <xdr:row>128</xdr:row>
      <xdr:rowOff>0</xdr:rowOff>
    </xdr:from>
    <xdr:to>
      <xdr:col>4</xdr:col>
      <xdr:colOff>1</xdr:colOff>
      <xdr:row>129</xdr:row>
      <xdr:rowOff>11206</xdr:rowOff>
    </xdr:to>
    <xdr:sp macro="" textlink="" fLocksText="0">
      <xdr:nvSpPr>
        <xdr:cNvPr id="64" name="Flowchart: Process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533400" y="24498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1</xdr:colOff>
      <xdr:row>131</xdr:row>
      <xdr:rowOff>0</xdr:rowOff>
    </xdr:from>
    <xdr:to>
      <xdr:col>8</xdr:col>
      <xdr:colOff>0</xdr:colOff>
      <xdr:row>132</xdr:row>
      <xdr:rowOff>11206</xdr:rowOff>
    </xdr:to>
    <xdr:sp macro="" textlink="" fLocksText="0">
      <xdr:nvSpPr>
        <xdr:cNvPr id="65" name="Flowchart: Process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/>
      </xdr:nvSpPr>
      <xdr:spPr>
        <a:xfrm>
          <a:off x="1600200" y="25069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6</xdr:col>
      <xdr:colOff>235323</xdr:colOff>
      <xdr:row>114</xdr:row>
      <xdr:rowOff>10026</xdr:rowOff>
    </xdr:from>
    <xdr:to>
      <xdr:col>7</xdr:col>
      <xdr:colOff>0</xdr:colOff>
      <xdr:row>117</xdr:row>
      <xdr:rowOff>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2" idx="2"/>
          <a:endCxn id="61" idx="0"/>
        </xdr:cNvCxnSpPr>
      </xdr:nvCxnSpPr>
      <xdr:spPr>
        <a:xfrm flipH="1">
          <a:off x="1838325" y="218408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72</xdr:row>
      <xdr:rowOff>1</xdr:rowOff>
    </xdr:from>
    <xdr:to>
      <xdr:col>4</xdr:col>
      <xdr:colOff>0</xdr:colOff>
      <xdr:row>128</xdr:row>
      <xdr:rowOff>100854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64" idx="1"/>
          <a:endCxn id="42" idx="1"/>
        </xdr:cNvCxnSpPr>
      </xdr:nvCxnSpPr>
      <xdr:spPr>
        <a:xfrm rot="10800000" flipH="1">
          <a:off x="533400" y="13830300"/>
          <a:ext cx="533400" cy="10772775"/>
        </a:xfrm>
        <a:prstGeom prst="bentConnector3">
          <a:avLst>
            <a:gd name="adj1" fmla="val -4958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136</xdr:row>
      <xdr:rowOff>0</xdr:rowOff>
    </xdr:from>
    <xdr:to>
      <xdr:col>9</xdr:col>
      <xdr:colOff>0</xdr:colOff>
      <xdr:row>138</xdr:row>
      <xdr:rowOff>0</xdr:rowOff>
    </xdr:to>
    <xdr:sp macro="" textlink="" fLocksText="0">
      <xdr:nvSpPr>
        <xdr:cNvPr id="74" name="Oval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333500" y="26022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7</xdr:col>
      <xdr:colOff>0</xdr:colOff>
      <xdr:row>132</xdr:row>
      <xdr:rowOff>11206</xdr:rowOff>
    </xdr:from>
    <xdr:to>
      <xdr:col>7</xdr:col>
      <xdr:colOff>1</xdr:colOff>
      <xdr:row>136</xdr:row>
      <xdr:rowOff>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CxnSpPr>
          <a:stCxn id="65" idx="2"/>
          <a:endCxn id="74" idx="0"/>
        </xdr:cNvCxnSpPr>
      </xdr:nvCxnSpPr>
      <xdr:spPr>
        <a:xfrm flipH="1">
          <a:off x="1866900" y="25269825"/>
          <a:ext cx="0" cy="7524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13</xdr:row>
      <xdr:rowOff>0</xdr:rowOff>
    </xdr:from>
    <xdr:to>
      <xdr:col>62</xdr:col>
      <xdr:colOff>0</xdr:colOff>
      <xdr:row>16</xdr:row>
      <xdr:rowOff>0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9334500" y="2590800"/>
          <a:ext cx="7200900" cy="571500"/>
        </a:xfrm>
        <a:prstGeom prst="borderCallout1">
          <a:avLst>
            <a:gd name="adj1" fmla="val 48945"/>
            <a:gd name="adj2" fmla="val 117"/>
            <a:gd name="adj3" fmla="val 51163"/>
            <a:gd name="adj4" fmla="val -9266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deleted_image_list一覧(削除された画像のrecord_idを含む一覧)に格納されている各record_idをループする。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40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6781800"/>
          <a:ext cx="7200900" cy="952500"/>
        </a:xfrm>
        <a:prstGeom prst="borderCallout1">
          <a:avLst>
            <a:gd name="adj1" fmla="val 59533"/>
            <a:gd name="adj2" fmla="val -66"/>
            <a:gd name="adj3" fmla="val 60650"/>
            <a:gd name="adj4" fmla="val -925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以下の条件でデータベースの画像レコードを削除する。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record_id = param{deleted_image_list.record_id}</a:t>
          </a:r>
        </a:p>
      </xdr:txBody>
    </xdr:sp>
    <xdr:clientData/>
  </xdr:twoCellAnchor>
  <xdr:twoCellAnchor>
    <xdr:from>
      <xdr:col>35</xdr:col>
      <xdr:colOff>0</xdr:colOff>
      <xdr:row>45</xdr:row>
      <xdr:rowOff>0</xdr:rowOff>
    </xdr:from>
    <xdr:to>
      <xdr:col>62</xdr:col>
      <xdr:colOff>0</xdr:colOff>
      <xdr:row>49</xdr:row>
      <xdr:rowOff>0</xdr:rowOff>
    </xdr:to>
    <xdr:sp macro="" textlink="" fLocksText="0">
      <xdr:nvSpPr>
        <xdr:cNvPr id="80" name="吹き出し: 線 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9334500" y="8686800"/>
          <a:ext cx="7200900" cy="762000"/>
        </a:xfrm>
        <a:prstGeom prst="borderCallout1">
          <a:avLst>
            <a:gd name="adj1" fmla="val 50416"/>
            <a:gd name="adj2" fmla="val -66"/>
            <a:gd name="adj3" fmla="val 51014"/>
            <a:gd name="adj4" fmla="val -9235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AWSのフォルダー内の画像ファイルを削除する。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▪ステップ2で取得した画像パス (image_master.path_file) から、画像が含まれるフォルダー内のファイルを削除する。</a:t>
          </a:r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9</xdr:col>
      <xdr:colOff>240631</xdr:colOff>
      <xdr:row>24</xdr:row>
      <xdr:rowOff>0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1066800" y="39243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レコード情報を取得する。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</xdr:colOff>
      <xdr:row>20</xdr:row>
      <xdr:rowOff>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9" idx="2"/>
          <a:endCxn id="81" idx="0"/>
        </xdr:cNvCxnSpPr>
      </xdr:nvCxnSpPr>
      <xdr:spPr>
        <a:xfrm flipH="1">
          <a:off x="1866900" y="3352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</xdr:row>
      <xdr:rowOff>0</xdr:rowOff>
    </xdr:from>
    <xdr:to>
      <xdr:col>9</xdr:col>
      <xdr:colOff>240631</xdr:colOff>
      <xdr:row>32</xdr:row>
      <xdr:rowOff>0</xdr:rowOff>
    </xdr:to>
    <xdr:sp macro="" textlink="" fLocksText="0">
      <xdr:nvSpPr>
        <xdr:cNvPr id="85" name="Flowchart: Decision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SpPr/>
      </xdr:nvSpPr>
      <xdr:spPr>
        <a:xfrm>
          <a:off x="1066800" y="5257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レコードが存在している</a:t>
          </a:r>
        </a:p>
      </xdr:txBody>
    </xdr:sp>
    <xdr:clientData/>
  </xdr:twoCellAnchor>
  <xdr:twoCellAnchor>
    <xdr:from>
      <xdr:col>10</xdr:col>
      <xdr:colOff>0</xdr:colOff>
      <xdr:row>29</xdr:row>
      <xdr:rowOff>10026</xdr:rowOff>
    </xdr:from>
    <xdr:to>
      <xdr:col>12</xdr:col>
      <xdr:colOff>0</xdr:colOff>
      <xdr:row>30</xdr:row>
      <xdr:rowOff>21232</xdr:rowOff>
    </xdr:to>
    <xdr:sp macro="" textlink="" fLocksText="0">
      <xdr:nvSpPr>
        <xdr:cNvPr id="86" name="Flowchart: Process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2667000" y="564832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32</xdr:row>
      <xdr:rowOff>0</xdr:rowOff>
    </xdr:from>
    <xdr:to>
      <xdr:col>7</xdr:col>
      <xdr:colOff>240631</xdr:colOff>
      <xdr:row>33</xdr:row>
      <xdr:rowOff>11206</xdr:rowOff>
    </xdr:to>
    <xdr:sp macro="" textlink="" fLocksText="0">
      <xdr:nvSpPr>
        <xdr:cNvPr id="87" name="Flowchart: Process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1600200" y="62103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7</xdr:col>
      <xdr:colOff>0</xdr:colOff>
      <xdr:row>24</xdr:row>
      <xdr:rowOff>0</xdr:rowOff>
    </xdr:from>
    <xdr:to>
      <xdr:col>7</xdr:col>
      <xdr:colOff>0</xdr:colOff>
      <xdr:row>27</xdr:row>
      <xdr:rowOff>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81" idx="2"/>
          <a:endCxn id="85" idx="0"/>
        </xdr:cNvCxnSpPr>
      </xdr:nvCxnSpPr>
      <xdr:spPr>
        <a:xfrm>
          <a:off x="1866900" y="4686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110879</xdr:rowOff>
    </xdr:from>
    <xdr:to>
      <xdr:col>12</xdr:col>
      <xdr:colOff>0</xdr:colOff>
      <xdr:row>61</xdr:row>
      <xdr:rowOff>0</xdr:rowOff>
    </xdr:to>
    <xdr:cxnSp macro="">
      <xdr:nvCxnSpPr>
        <xdr:cNvPr id="92" name="Connector: Elbow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CxnSpPr>
          <a:stCxn id="86" idx="3"/>
          <a:endCxn id="23" idx="0"/>
        </xdr:cNvCxnSpPr>
      </xdr:nvCxnSpPr>
      <xdr:spPr>
        <a:xfrm flipH="1">
          <a:off x="1866900" y="5753100"/>
          <a:ext cx="1333500" cy="5981700"/>
        </a:xfrm>
        <a:prstGeom prst="bentConnector4">
          <a:avLst>
            <a:gd name="adj1" fmla="val -41334"/>
            <a:gd name="adj2" fmla="val 9521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79</xdr:row>
      <xdr:rowOff>100853</xdr:rowOff>
    </xdr:from>
    <xdr:to>
      <xdr:col>12</xdr:col>
      <xdr:colOff>0</xdr:colOff>
      <xdr:row>136</xdr:row>
      <xdr:rowOff>0</xdr:rowOff>
    </xdr:to>
    <xdr:cxnSp macro="">
      <xdr:nvCxnSpPr>
        <xdr:cNvPr id="106" name="Connector: Elbow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CxnSpPr>
          <a:stCxn id="50" idx="3"/>
          <a:endCxn id="74" idx="0"/>
        </xdr:cNvCxnSpPr>
      </xdr:nvCxnSpPr>
      <xdr:spPr>
        <a:xfrm flipH="1">
          <a:off x="1866900" y="15268575"/>
          <a:ext cx="1333500" cy="10753725"/>
        </a:xfrm>
        <a:prstGeom prst="bentConnector4">
          <a:avLst>
            <a:gd name="adj1" fmla="val -200667"/>
            <a:gd name="adj2" fmla="val 965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114" name="吹き出し: 線 2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9334500" y="3733800"/>
          <a:ext cx="7200900" cy="952500"/>
        </a:xfrm>
        <a:prstGeom prst="borderCallout1">
          <a:avLst>
            <a:gd name="adj1" fmla="val 60710"/>
            <a:gd name="adj2" fmla="val 117"/>
            <a:gd name="adj3" fmla="val 59125"/>
            <a:gd name="adj4" fmla="val -9232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以下の条件でImageMasterテーブルのレコード情報を取得する。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record_id = param{deleted_image_list.record_id}</a:t>
          </a:r>
        </a:p>
      </xdr:txBody>
    </xdr:sp>
    <xdr:clientData/>
  </xdr:twoCellAnchor>
  <xdr:twoCellAnchor>
    <xdr:from>
      <xdr:col>4</xdr:col>
      <xdr:colOff>0</xdr:colOff>
      <xdr:row>85</xdr:row>
      <xdr:rowOff>170446</xdr:rowOff>
    </xdr:from>
    <xdr:to>
      <xdr:col>9</xdr:col>
      <xdr:colOff>240631</xdr:colOff>
      <xdr:row>89</xdr:row>
      <xdr:rowOff>190499</xdr:rowOff>
    </xdr:to>
    <xdr:sp macro="" textlink="" fLocksText="0">
      <xdr:nvSpPr>
        <xdr:cNvPr id="116" name="Rectangle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1066800" y="16478250"/>
          <a:ext cx="1571625" cy="781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ファイル名で画像レコードを検索する。</a:t>
          </a:r>
          <a:endParaRPr 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9</xdr:col>
      <xdr:colOff>240631</xdr:colOff>
      <xdr:row>98</xdr:row>
      <xdr:rowOff>0</xdr:rowOff>
    </xdr:to>
    <xdr:sp macro="" textlink="" fLocksText="0">
      <xdr:nvSpPr>
        <xdr:cNvPr id="118" name="Flowchart: Decision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SpPr/>
      </xdr:nvSpPr>
      <xdr:spPr>
        <a:xfrm>
          <a:off x="1066800" y="17830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11. レコードが存在している</a:t>
          </a:r>
        </a:p>
      </xdr:txBody>
    </xdr:sp>
    <xdr:clientData/>
  </xdr:twoCellAnchor>
  <xdr:twoCellAnchor>
    <xdr:from>
      <xdr:col>6</xdr:col>
      <xdr:colOff>0</xdr:colOff>
      <xdr:row>98</xdr:row>
      <xdr:rowOff>0</xdr:rowOff>
    </xdr:from>
    <xdr:to>
      <xdr:col>7</xdr:col>
      <xdr:colOff>240631</xdr:colOff>
      <xdr:row>99</xdr:row>
      <xdr:rowOff>0</xdr:rowOff>
    </xdr:to>
    <xdr:sp macro="" textlink="" fLocksText="0">
      <xdr:nvSpPr>
        <xdr:cNvPr id="119" name="Flowchart: Process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1600200" y="187833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9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いいえ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89</xdr:row>
      <xdr:rowOff>190499</xdr:rowOff>
    </xdr:from>
    <xdr:to>
      <xdr:col>7</xdr:col>
      <xdr:colOff>0</xdr:colOff>
      <xdr:row>93</xdr:row>
      <xdr:rowOff>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CxnSpPr>
          <a:stCxn id="116" idx="2"/>
          <a:endCxn id="118" idx="0"/>
        </xdr:cNvCxnSpPr>
      </xdr:nvCxnSpPr>
      <xdr:spPr>
        <a:xfrm>
          <a:off x="1866900" y="17259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99</xdr:row>
      <xdr:rowOff>0</xdr:rowOff>
    </xdr:from>
    <xdr:to>
      <xdr:col>7</xdr:col>
      <xdr:colOff>1</xdr:colOff>
      <xdr:row>102</xdr:row>
      <xdr:rowOff>0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stCxn id="119" idx="2"/>
          <a:endCxn id="57" idx="0"/>
        </xdr:cNvCxnSpPr>
      </xdr:nvCxnSpPr>
      <xdr:spPr>
        <a:xfrm>
          <a:off x="1866900" y="18973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95</xdr:row>
      <xdr:rowOff>0</xdr:rowOff>
    </xdr:from>
    <xdr:to>
      <xdr:col>12</xdr:col>
      <xdr:colOff>0</xdr:colOff>
      <xdr:row>96</xdr:row>
      <xdr:rowOff>11206</xdr:rowOff>
    </xdr:to>
    <xdr:sp macro="" textlink="" fLocksText="0">
      <xdr:nvSpPr>
        <xdr:cNvPr id="128" name="Flowchart: Process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2667000" y="18211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vi-VN" sz="11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はい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95</xdr:row>
      <xdr:rowOff>100853</xdr:rowOff>
    </xdr:from>
    <xdr:to>
      <xdr:col>12</xdr:col>
      <xdr:colOff>0</xdr:colOff>
      <xdr:row>110</xdr:row>
      <xdr:rowOff>10026</xdr:rowOff>
    </xdr:to>
    <xdr:cxnSp macro="">
      <xdr:nvCxnSpPr>
        <xdr:cNvPr id="133" name="Connector: Elbow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8" idx="3"/>
          <a:endCxn id="62" idx="0"/>
        </xdr:cNvCxnSpPr>
      </xdr:nvCxnSpPr>
      <xdr:spPr>
        <a:xfrm flipH="1">
          <a:off x="1866900" y="18316575"/>
          <a:ext cx="1333500" cy="2762250"/>
        </a:xfrm>
        <a:prstGeom prst="bentConnector4">
          <a:avLst>
            <a:gd name="adj1" fmla="val -19429"/>
            <a:gd name="adj2" fmla="val 8544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10026</xdr:colOff>
      <xdr:row>70</xdr:row>
      <xdr:rowOff>0</xdr:rowOff>
    </xdr:from>
    <xdr:to>
      <xdr:col>62</xdr:col>
      <xdr:colOff>0</xdr:colOff>
      <xdr:row>73</xdr:row>
      <xdr:rowOff>0</xdr:rowOff>
    </xdr:to>
    <xdr:sp macro="" textlink="" fLocksText="0">
      <xdr:nvSpPr>
        <xdr:cNvPr id="146" name="吹き出し: 線 2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9344025" y="13449300"/>
          <a:ext cx="7191375" cy="571500"/>
        </a:xfrm>
        <a:prstGeom prst="borderCallout1">
          <a:avLst>
            <a:gd name="adj1" fmla="val 33259"/>
            <a:gd name="adj2" fmla="val -66"/>
            <a:gd name="adj3" fmla="val 33516"/>
            <a:gd name="adj4" fmla="val -931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8. ファイル(ユーザーがクライアントからアップロードした画像ファイル) 一覧に保存されている各record_idをループする。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75</xdr:row>
      <xdr:rowOff>190499</xdr:rowOff>
    </xdr:from>
    <xdr:to>
      <xdr:col>62</xdr:col>
      <xdr:colOff>0</xdr:colOff>
      <xdr:row>82</xdr:row>
      <xdr:rowOff>123264</xdr:rowOff>
    </xdr:to>
    <xdr:sp macro="" textlink="" fLocksText="0">
      <xdr:nvSpPr>
        <xdr:cNvPr id="147" name="吹き出し: 線 2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8236324" y="14590058"/>
          <a:ext cx="6353735" cy="1266265"/>
        </a:xfrm>
        <a:prstGeom prst="borderCallout1">
          <a:avLst>
            <a:gd name="adj1" fmla="val 34239"/>
            <a:gd name="adj2" fmla="val 117"/>
            <a:gd name="adj3" fmla="val 32145"/>
            <a:gd name="adj4" fmla="val -1032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9. ファイルのバリデーションチェック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▪バリデーションチェックエラーが発生した場合、ログを記録し、配列の次の要素をループする。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・画像形式がjpeg、jpg、pngであること。画像形式がjpeg、jpg、pngではない場合、「MSG_VAL_033」メッセージを返す。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    ・画像ファイル名が50桁を超えた場合、「MSG_VAL_002」メッセージを返す。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バリデーションチェックエラーがない場合は、次のステップを実行する。</a:t>
          </a:r>
        </a:p>
      </xdr:txBody>
    </xdr:sp>
    <xdr:clientData/>
  </xdr:twoCellAnchor>
  <xdr:twoCellAnchor>
    <xdr:from>
      <xdr:col>35</xdr:col>
      <xdr:colOff>0</xdr:colOff>
      <xdr:row>84</xdr:row>
      <xdr:rowOff>0</xdr:rowOff>
    </xdr:from>
    <xdr:to>
      <xdr:col>61</xdr:col>
      <xdr:colOff>235323</xdr:colOff>
      <xdr:row>90</xdr:row>
      <xdr:rowOff>180474</xdr:rowOff>
    </xdr:to>
    <xdr:sp macro="" textlink="" fLocksText="0">
      <xdr:nvSpPr>
        <xdr:cNvPr id="148" name="吹き出し: 線 2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9334500" y="16116300"/>
          <a:ext cx="7172325" cy="1323975"/>
        </a:xfrm>
        <a:prstGeom prst="borderCallout1">
          <a:avLst>
            <a:gd name="adj1" fmla="val 43864"/>
            <a:gd name="adj2" fmla="val 117"/>
            <a:gd name="adj3" fmla="val 42636"/>
            <a:gd name="adj4" fmla="val -920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10. ファイル名で画像レコードを検索する。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company_code = current_user.company_code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store_code IN param {selected_stores}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file_name = param{fileName} (ユーザーがアップロードしたデータファイルから取得したファイル名)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type = param{type}</a:t>
          </a:r>
        </a:p>
      </xdr:txBody>
    </xdr:sp>
    <xdr:clientData/>
  </xdr:twoCellAnchor>
  <xdr:twoCellAnchor>
    <xdr:from>
      <xdr:col>35</xdr:col>
      <xdr:colOff>0</xdr:colOff>
      <xdr:row>27</xdr:row>
      <xdr:rowOff>0</xdr:rowOff>
    </xdr:from>
    <xdr:to>
      <xdr:col>62</xdr:col>
      <xdr:colOff>0</xdr:colOff>
      <xdr:row>31</xdr:row>
      <xdr:rowOff>0</xdr:rowOff>
    </xdr:to>
    <xdr:sp macro="" textlink="" fLocksText="0">
      <xdr:nvSpPr>
        <xdr:cNvPr id="12" name="吹き出し: 線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9334500" y="5257800"/>
          <a:ext cx="7200900" cy="762000"/>
        </a:xfrm>
        <a:prstGeom prst="borderCallout1">
          <a:avLst>
            <a:gd name="adj1" fmla="val 25416"/>
            <a:gd name="adj2" fmla="val -66"/>
            <a:gd name="adj3" fmla="val 24202"/>
            <a:gd name="adj4" fmla="val -990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 返却結果を返す。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▪レコードが存在している場合、レコードを削除する。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レコードが存在していない場合は、スキップして配列の次の要素をループする。</a:t>
          </a:r>
        </a:p>
      </xdr:txBody>
    </xdr:sp>
    <xdr:clientData/>
  </xdr:twoCellAnchor>
  <xdr:twoCellAnchor>
    <xdr:from>
      <xdr:col>4</xdr:col>
      <xdr:colOff>0</xdr:colOff>
      <xdr:row>52</xdr:row>
      <xdr:rowOff>0</xdr:rowOff>
    </xdr:from>
    <xdr:to>
      <xdr:col>9</xdr:col>
      <xdr:colOff>235322</xdr:colOff>
      <xdr:row>57</xdr:row>
      <xdr:rowOff>0</xdr:rowOff>
    </xdr:to>
    <xdr:sp macro="" textlink="" fLocksText="0">
      <xdr:nvSpPr>
        <xdr:cNvPr id="15" name="Flowchart: Decision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6800" y="100203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6. 成功</a:t>
          </a:r>
          <a:endParaRPr lang="en-US" sz="8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57</xdr:row>
      <xdr:rowOff>0</xdr:rowOff>
    </xdr:from>
    <xdr:to>
      <xdr:col>7</xdr:col>
      <xdr:colOff>235322</xdr:colOff>
      <xdr:row>58</xdr:row>
      <xdr:rowOff>11206</xdr:rowOff>
    </xdr:to>
    <xdr:sp macro="" textlink="" fLocksText="0">
      <xdr:nvSpPr>
        <xdr:cNvPr id="20" name="Flowchart: Process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600200" y="109728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54</xdr:row>
      <xdr:rowOff>0</xdr:rowOff>
    </xdr:from>
    <xdr:to>
      <xdr:col>12</xdr:col>
      <xdr:colOff>0</xdr:colOff>
      <xdr:row>55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667000" y="10401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235323</xdr:colOff>
      <xdr:row>58</xdr:row>
      <xdr:rowOff>11206</xdr:rowOff>
    </xdr:from>
    <xdr:to>
      <xdr:col>7</xdr:col>
      <xdr:colOff>0</xdr:colOff>
      <xdr:row>61</xdr:row>
      <xdr:rowOff>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0" idx="2"/>
          <a:endCxn id="23" idx="0"/>
        </xdr:cNvCxnSpPr>
      </xdr:nvCxnSpPr>
      <xdr:spPr>
        <a:xfrm>
          <a:off x="1838325" y="111728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52</xdr:row>
      <xdr:rowOff>0</xdr:rowOff>
    </xdr:from>
    <xdr:to>
      <xdr:col>62</xdr:col>
      <xdr:colOff>0</xdr:colOff>
      <xdr:row>57</xdr:row>
      <xdr:rowOff>0</xdr:rowOff>
    </xdr:to>
    <xdr:sp macro="" textlink="" fLocksText="0">
      <xdr:nvSpPr>
        <xdr:cNvPr id="31" name="吹き出し: 線 2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334500" y="10020300"/>
          <a:ext cx="7200900" cy="952500"/>
        </a:xfrm>
        <a:prstGeom prst="borderCallout1">
          <a:avLst>
            <a:gd name="adj1" fmla="val 19533"/>
            <a:gd name="adj2" fmla="val 300"/>
            <a:gd name="adj3" fmla="val 18703"/>
            <a:gd name="adj4" fmla="val -1035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6. サーバー上での画像削除を確認する。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▪削除が成功した場合、次のステップに進む。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▪削除が失敗した場合は、ステップ4で削除されたレコードをロールバックする。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・status_code = 500、message = MSG_ERR_003のレスポンスを返し、プログラムを停止する。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54</xdr:row>
      <xdr:rowOff>100853</xdr:rowOff>
    </xdr:from>
    <xdr:to>
      <xdr:col>12</xdr:col>
      <xdr:colOff>0</xdr:colOff>
      <xdr:row>136</xdr:row>
      <xdr:rowOff>0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22" idx="3"/>
          <a:endCxn id="74" idx="0"/>
        </xdr:cNvCxnSpPr>
      </xdr:nvCxnSpPr>
      <xdr:spPr>
        <a:xfrm flipH="1">
          <a:off x="1866900" y="10506075"/>
          <a:ext cx="1333500" cy="15516225"/>
        </a:xfrm>
        <a:prstGeom prst="bentConnector4">
          <a:avLst>
            <a:gd name="adj1" fmla="val -200381"/>
            <a:gd name="adj2" fmla="val 9760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110</xdr:row>
      <xdr:rowOff>0</xdr:rowOff>
    </xdr:from>
    <xdr:to>
      <xdr:col>62</xdr:col>
      <xdr:colOff>0</xdr:colOff>
      <xdr:row>114</xdr:row>
      <xdr:rowOff>0</xdr:rowOff>
    </xdr:to>
    <xdr:sp macro="" textlink="" fLocksText="0">
      <xdr:nvSpPr>
        <xdr:cNvPr id="60" name="吹き出し: 線 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334500" y="21069300"/>
          <a:ext cx="7200900" cy="762000"/>
        </a:xfrm>
        <a:prstGeom prst="borderCallout1">
          <a:avLst>
            <a:gd name="adj1" fmla="val 50416"/>
            <a:gd name="adj2" fmla="val -66"/>
            <a:gd name="adj3" fmla="val 49543"/>
            <a:gd name="adj4" fmla="val -928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13. 画像をAWSにアップロードする。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▪パス: (.../{company_code}/{store_code}/{file_name})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▪既にAWSに画像がある場合、上書きする。</a:t>
          </a:r>
        </a:p>
      </xdr:txBody>
    </xdr:sp>
    <xdr:clientData/>
  </xdr:twoCellAnchor>
  <xdr:twoCellAnchor>
    <xdr:from>
      <xdr:col>4</xdr:col>
      <xdr:colOff>0</xdr:colOff>
      <xdr:row>117</xdr:row>
      <xdr:rowOff>0</xdr:rowOff>
    </xdr:from>
    <xdr:to>
      <xdr:col>9</xdr:col>
      <xdr:colOff>235322</xdr:colOff>
      <xdr:row>122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1066800" y="22402800"/>
          <a:ext cx="15716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vi-VN" sz="800" b="0" i="0" u="none" baseline="0">
              <a:solidFill>
                <a:srgbClr val="FFFFFF"/>
              </a:solidFill>
              <a:latin typeface="Meiryo UI"/>
              <a:ea typeface="Meiryo UI" panose="020B0604030504040204" pitchFamily="34" charset="-128"/>
            </a:rPr>
            <a:t>14. 成功</a:t>
          </a:r>
          <a:endParaRPr lang="en-US" sz="800" baseline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122</xdr:row>
      <xdr:rowOff>0</xdr:rowOff>
    </xdr:from>
    <xdr:to>
      <xdr:col>7</xdr:col>
      <xdr:colOff>235322</xdr:colOff>
      <xdr:row>123</xdr:row>
      <xdr:rowOff>11206</xdr:rowOff>
    </xdr:to>
    <xdr:sp macro="" textlink="" fLocksText="0">
      <xdr:nvSpPr>
        <xdr:cNvPr id="66" name="Flowchart: Process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1600200" y="23355300"/>
          <a:ext cx="504825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12</xdr:col>
      <xdr:colOff>0</xdr:colOff>
      <xdr:row>120</xdr:row>
      <xdr:rowOff>11206</xdr:rowOff>
    </xdr:to>
    <xdr:sp macro="" textlink="" fLocksText="0">
      <xdr:nvSpPr>
        <xdr:cNvPr id="68" name="Flowchart: Process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2667000" y="227838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35</xdr:col>
      <xdr:colOff>0</xdr:colOff>
      <xdr:row>117</xdr:row>
      <xdr:rowOff>0</xdr:rowOff>
    </xdr:from>
    <xdr:to>
      <xdr:col>62</xdr:col>
      <xdr:colOff>0</xdr:colOff>
      <xdr:row>122</xdr:row>
      <xdr:rowOff>0</xdr:rowOff>
    </xdr:to>
    <xdr:sp macro="" textlink="" fLocksText="0">
      <xdr:nvSpPr>
        <xdr:cNvPr id="71" name="吹き出し: 線 2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9334500" y="22402800"/>
          <a:ext cx="7200900" cy="952500"/>
        </a:xfrm>
        <a:prstGeom prst="borderCallout1">
          <a:avLst>
            <a:gd name="adj1" fmla="val 19533"/>
            <a:gd name="adj2" fmla="val 300"/>
            <a:gd name="adj3" fmla="val 18703"/>
            <a:gd name="adj4" fmla="val -1035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14. サーバーへの画像アップロードを確認する。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▪アップロードが成功した場合は、次のステップに進む。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▪アップロードが失敗した場合は、ステップ12で削除されたレコードをロールバックする。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・status_code = 500、message = MSG_ERR_003のレスポンスを返し、プログラムを停止する。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235323</xdr:colOff>
      <xdr:row>123</xdr:row>
      <xdr:rowOff>11206</xdr:rowOff>
    </xdr:from>
    <xdr:to>
      <xdr:col>7</xdr:col>
      <xdr:colOff>0</xdr:colOff>
      <xdr:row>126</xdr:row>
      <xdr:rowOff>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66" idx="2"/>
          <a:endCxn id="63" idx="0"/>
        </xdr:cNvCxnSpPr>
      </xdr:nvCxnSpPr>
      <xdr:spPr>
        <a:xfrm>
          <a:off x="1838325" y="23555325"/>
          <a:ext cx="28575" cy="56197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61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11734800"/>
          <a:ext cx="7200900" cy="762000"/>
        </a:xfrm>
        <a:prstGeom prst="borderCallout1">
          <a:avLst>
            <a:gd name="adj1" fmla="val 51201"/>
            <a:gd name="adj2" fmla="val -58"/>
            <a:gd name="adj3" fmla="val 50085"/>
            <a:gd name="adj4" fmla="val -945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7. deleted_image_list配列の最後の要素であるかを確認する。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▪最後の要素でない場合、配列の次の要素をループする。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▪最後の要素である場合、「8. ファイルデータ配列をループする。」を実行する。</a:t>
          </a:r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62</xdr:col>
      <xdr:colOff>0</xdr:colOff>
      <xdr:row>130</xdr:row>
      <xdr:rowOff>0</xdr:rowOff>
    </xdr:to>
    <xdr:sp macro="" textlink="" fLocksText="0">
      <xdr:nvSpPr>
        <xdr:cNvPr id="83" name="吹き出し: 線 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9334500" y="24117300"/>
          <a:ext cx="7200900" cy="762000"/>
        </a:xfrm>
        <a:prstGeom prst="borderCallout1">
          <a:avLst>
            <a:gd name="adj1" fmla="val 49730"/>
            <a:gd name="adj2" fmla="val 647"/>
            <a:gd name="adj3" fmla="val 50085"/>
            <a:gd name="adj4" fmla="val -947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15. ファイルアップロード[files]配列の最後の要素であるかを確認する。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▪最後の要素でない場合、次の要素をループする。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▪最後の要素である場合、ログを記録し、プログラムを終了する。</a:t>
          </a:r>
        </a:p>
      </xdr:txBody>
    </xdr:sp>
    <xdr:clientData/>
  </xdr:twoCellAnchor>
  <xdr:twoCellAnchor>
    <xdr:from>
      <xdr:col>35</xdr:col>
      <xdr:colOff>0</xdr:colOff>
      <xdr:row>93</xdr:row>
      <xdr:rowOff>0</xdr:rowOff>
    </xdr:from>
    <xdr:to>
      <xdr:col>62</xdr:col>
      <xdr:colOff>0</xdr:colOff>
      <xdr:row>97</xdr:row>
      <xdr:rowOff>0</xdr:rowOff>
    </xdr:to>
    <xdr:sp macro="" textlink="" fLocksText="0">
      <xdr:nvSpPr>
        <xdr:cNvPr id="84" name="吹き出し: 線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9334500" y="17830800"/>
          <a:ext cx="7200900" cy="762000"/>
        </a:xfrm>
        <a:prstGeom prst="borderCallout1">
          <a:avLst>
            <a:gd name="adj1" fmla="val 24113"/>
            <a:gd name="adj2" fmla="val 287"/>
            <a:gd name="adj3" fmla="val 25038"/>
            <a:gd name="adj4" fmla="val -988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11. ステップ10から返された値を確認する。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▪レコードが存在している場合、「13. 画像をAWSにアップロードする。」ステップを実行する。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レコードが存在していない場合、「12. 画像情報を新規追加する。」ステップを実行する。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2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87" t="s">
        <v>18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3</v>
      </c>
      <c r="AQ1" s="78"/>
      <c r="AR1" s="78"/>
      <c r="AS1" s="79"/>
      <c r="AT1" s="77" t="s">
        <v>4</v>
      </c>
      <c r="AU1" s="78"/>
      <c r="AV1" s="78"/>
      <c r="AW1" s="78"/>
      <c r="AX1" s="79"/>
      <c r="AY1" s="77" t="s">
        <v>5</v>
      </c>
      <c r="AZ1" s="78"/>
      <c r="BA1" s="78"/>
      <c r="BB1" s="79"/>
      <c r="BC1" s="77" t="s">
        <v>6</v>
      </c>
      <c r="BD1" s="78"/>
      <c r="BE1" s="78"/>
      <c r="BF1" s="78"/>
      <c r="BG1" s="79"/>
      <c r="BH1" s="77" t="s">
        <v>7</v>
      </c>
      <c r="BI1" s="78"/>
      <c r="BJ1" s="78"/>
      <c r="BK1" s="79"/>
    </row>
    <row r="2" spans="1:63" ht="15" customHeight="1" x14ac:dyDescent="0.25">
      <c r="A2" s="86" t="s">
        <v>15</v>
      </c>
      <c r="B2" s="81"/>
      <c r="C2" s="81"/>
      <c r="D2" s="81"/>
      <c r="E2" s="81"/>
      <c r="F2" s="81"/>
      <c r="G2" s="81"/>
      <c r="H2" s="81"/>
      <c r="I2" s="81"/>
      <c r="J2" s="82"/>
      <c r="K2" s="80" t="s">
        <v>13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改訂履歴!$H$11</f>
        <v>SonMNT</v>
      </c>
      <c r="AQ2" s="81"/>
      <c r="AR2" s="81"/>
      <c r="AS2" s="82"/>
      <c r="AT2" s="108">
        <f>改訂履歴!$B$11</f>
        <v>45498</v>
      </c>
      <c r="AU2" s="109"/>
      <c r="AV2" s="109"/>
      <c r="AW2" s="109"/>
      <c r="AX2" s="110"/>
      <c r="AY2" s="80" t="str">
        <f>LOOKUP(2,1/(改訂履歴!H11:H30000&lt;&gt;""),改訂履歴!H11:H30000)</f>
        <v>SonMNT</v>
      </c>
      <c r="AZ2" s="81"/>
      <c r="BA2" s="81"/>
      <c r="BB2" s="82"/>
      <c r="BC2" s="108">
        <f>LOOKUP(2,1/(改訂履歴!B11:B30000&lt;&gt;""),改訂履歴!B11:B30000)</f>
        <v>45498</v>
      </c>
      <c r="BD2" s="109"/>
      <c r="BE2" s="109"/>
      <c r="BF2" s="109"/>
      <c r="BG2" s="110"/>
      <c r="BH2" s="102">
        <f>LOOKUP(2,1/(改訂履歴!O11:O30000&lt;&gt;""),改訂履歴!O11:O30000)</f>
        <v>0.1</v>
      </c>
      <c r="BI2" s="103"/>
      <c r="BJ2" s="103"/>
      <c r="BK2" s="104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105"/>
      <c r="BI3" s="106"/>
      <c r="BJ3" s="106"/>
      <c r="BK3" s="107"/>
    </row>
    <row r="4" spans="1:63" ht="24.95" customHeight="1" x14ac:dyDescent="0.25">
      <c r="A4" s="77" t="s">
        <v>36</v>
      </c>
      <c r="B4" s="78"/>
      <c r="C4" s="78"/>
      <c r="D4" s="78"/>
      <c r="E4" s="78"/>
      <c r="F4" s="78"/>
      <c r="G4" s="79"/>
      <c r="H4" s="98" t="s">
        <v>55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8</v>
      </c>
      <c r="V4" s="78"/>
      <c r="W4" s="78"/>
      <c r="X4" s="78"/>
      <c r="Y4" s="79"/>
      <c r="Z4" s="101" t="s">
        <v>17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表紙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96" t="s">
        <v>16</v>
      </c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12"/>
      <c r="BK16" s="4"/>
    </row>
    <row r="17" spans="1:63" ht="15" customHeight="1" x14ac:dyDescent="0.25">
      <c r="A17" s="1"/>
      <c r="K17" s="6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12"/>
      <c r="BK17" s="4"/>
    </row>
    <row r="18" spans="1:63" ht="15" customHeight="1" x14ac:dyDescent="0.25">
      <c r="A18" s="1"/>
      <c r="K18" s="6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12"/>
      <c r="BK18" s="4"/>
    </row>
    <row r="19" spans="1:63" ht="15" customHeight="1" x14ac:dyDescent="0.25">
      <c r="A19" s="1"/>
      <c r="K19" s="6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12"/>
      <c r="BK19" s="4"/>
    </row>
    <row r="20" spans="1:63" ht="15" customHeight="1" x14ac:dyDescent="0.25">
      <c r="A20" s="1"/>
      <c r="K20" s="6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12"/>
      <c r="BK20" s="4"/>
    </row>
    <row r="21" spans="1:63" ht="15" customHeight="1" x14ac:dyDescent="0.25">
      <c r="A21" s="1"/>
      <c r="K21" s="6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97" t="str">
        <f>K2&amp;"/"&amp;H4&amp;"/"&amp;Z4</f>
        <v>POSサーバ/AP6201/API設計書</v>
      </c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12"/>
      <c r="BK24" s="4"/>
    </row>
    <row r="25" spans="1:63" ht="15" customHeight="1" x14ac:dyDescent="0.25">
      <c r="A25" s="1"/>
      <c r="K25" s="6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12"/>
      <c r="BK25" s="4"/>
    </row>
    <row r="26" spans="1:63" ht="15" customHeight="1" x14ac:dyDescent="0.25">
      <c r="A26" s="1"/>
      <c r="K26" s="6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12"/>
      <c r="BK26" s="4"/>
    </row>
    <row r="27" spans="1:63" ht="15" customHeight="1" x14ac:dyDescent="0.25">
      <c r="A27" s="1"/>
      <c r="K27" s="6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12"/>
      <c r="BK27" s="4"/>
    </row>
    <row r="28" spans="1:63" ht="15" customHeight="1" x14ac:dyDescent="0.25">
      <c r="A28" s="1"/>
      <c r="K28" s="6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12"/>
      <c r="BK28" s="4"/>
    </row>
    <row r="29" spans="1:63" ht="15" customHeight="1" x14ac:dyDescent="0.25">
      <c r="A29" s="1"/>
      <c r="K29" s="6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12"/>
      <c r="BK29" s="4"/>
    </row>
    <row r="30" spans="1:63" ht="15" customHeight="1" x14ac:dyDescent="0.25">
      <c r="A30" s="1"/>
      <c r="K30" s="6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12"/>
      <c r="BK30" s="4"/>
    </row>
    <row r="31" spans="1:63" ht="15" customHeight="1" x14ac:dyDescent="0.25">
      <c r="A31" s="1"/>
      <c r="K31" s="6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12"/>
      <c r="BK31" s="4"/>
    </row>
    <row r="32" spans="1:63" ht="15" customHeight="1" x14ac:dyDescent="0.25">
      <c r="A32" s="1"/>
      <c r="K32" s="6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12"/>
      <c r="BK32" s="4"/>
    </row>
    <row r="33" spans="1:63" ht="15" customHeight="1" x14ac:dyDescent="0.25">
      <c r="A33" s="1"/>
      <c r="K33" s="6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12"/>
      <c r="BK33" s="4"/>
    </row>
    <row r="34" spans="1:63" ht="15" customHeight="1" x14ac:dyDescent="0.25">
      <c r="A34" s="1"/>
      <c r="K34" s="6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12"/>
      <c r="BK34" s="4"/>
    </row>
    <row r="35" spans="1:63" ht="15" customHeight="1" x14ac:dyDescent="0.25">
      <c r="A35" s="1"/>
      <c r="K35" s="6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12"/>
      <c r="BK35" s="4"/>
    </row>
    <row r="36" spans="1:63" ht="15" customHeight="1" x14ac:dyDescent="0.25">
      <c r="A36" s="1"/>
      <c r="K36" s="6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17" t="s">
        <v>11</v>
      </c>
      <c r="R44" s="118"/>
      <c r="S44" s="118"/>
      <c r="T44" s="118"/>
      <c r="U44" s="118"/>
      <c r="V44" s="118"/>
      <c r="W44" s="118"/>
      <c r="X44" s="118"/>
      <c r="Y44" s="118"/>
      <c r="Z44" s="119"/>
      <c r="AA44" s="117" t="s">
        <v>12</v>
      </c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9"/>
      <c r="AQ44" s="117" t="s">
        <v>7</v>
      </c>
      <c r="AR44" s="118"/>
      <c r="AS44" s="118"/>
      <c r="AT44" s="118"/>
      <c r="AU44" s="119"/>
      <c r="BK44" s="4"/>
    </row>
    <row r="45" spans="1:63" ht="15" customHeight="1" x14ac:dyDescent="0.25">
      <c r="A45" s="1"/>
      <c r="Q45" s="120"/>
      <c r="R45" s="121"/>
      <c r="S45" s="121"/>
      <c r="T45" s="121"/>
      <c r="U45" s="121"/>
      <c r="V45" s="121"/>
      <c r="W45" s="121"/>
      <c r="X45" s="121"/>
      <c r="Y45" s="121"/>
      <c r="Z45" s="122"/>
      <c r="AA45" s="120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2"/>
      <c r="AQ45" s="120"/>
      <c r="AR45" s="121"/>
      <c r="AS45" s="121"/>
      <c r="AT45" s="121"/>
      <c r="AU45" s="122"/>
      <c r="BK45" s="4"/>
    </row>
    <row r="46" spans="1:63" ht="15" customHeight="1" x14ac:dyDescent="0.25">
      <c r="A46" s="1"/>
      <c r="Q46" s="80"/>
      <c r="R46" s="81"/>
      <c r="S46" s="81"/>
      <c r="T46" s="81"/>
      <c r="U46" s="81"/>
      <c r="V46" s="81"/>
      <c r="W46" s="81"/>
      <c r="X46" s="81"/>
      <c r="Y46" s="81"/>
      <c r="Z46" s="82"/>
      <c r="AA46" s="80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0"/>
      <c r="AR46" s="81"/>
      <c r="AS46" s="81"/>
      <c r="AT46" s="81"/>
      <c r="AU46" s="82"/>
      <c r="BK46" s="4"/>
    </row>
    <row r="47" spans="1:63" ht="15" customHeight="1" x14ac:dyDescent="0.25">
      <c r="A47" s="1"/>
      <c r="Q47" s="114"/>
      <c r="R47" s="115"/>
      <c r="S47" s="115"/>
      <c r="T47" s="115"/>
      <c r="U47" s="115"/>
      <c r="V47" s="115"/>
      <c r="W47" s="115"/>
      <c r="X47" s="115"/>
      <c r="Y47" s="115"/>
      <c r="Z47" s="116"/>
      <c r="AA47" s="114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6"/>
      <c r="AQ47" s="114"/>
      <c r="AR47" s="115"/>
      <c r="AS47" s="115"/>
      <c r="AT47" s="115"/>
      <c r="AU47" s="116"/>
      <c r="BK47" s="4"/>
    </row>
    <row r="48" spans="1:63" ht="15" customHeight="1" x14ac:dyDescent="0.25">
      <c r="A48" s="1"/>
      <c r="Q48" s="114"/>
      <c r="R48" s="115"/>
      <c r="S48" s="115"/>
      <c r="T48" s="115"/>
      <c r="U48" s="115"/>
      <c r="V48" s="115"/>
      <c r="W48" s="115"/>
      <c r="X48" s="115"/>
      <c r="Y48" s="115"/>
      <c r="Z48" s="116"/>
      <c r="AA48" s="114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6"/>
      <c r="AQ48" s="114"/>
      <c r="AR48" s="115"/>
      <c r="AS48" s="115"/>
      <c r="AT48" s="115"/>
      <c r="AU48" s="116"/>
      <c r="BK48" s="4"/>
    </row>
    <row r="49" spans="1:63" ht="15" customHeight="1" x14ac:dyDescent="0.25">
      <c r="A49" s="1"/>
      <c r="Q49" s="83"/>
      <c r="R49" s="84"/>
      <c r="S49" s="84"/>
      <c r="T49" s="84"/>
      <c r="U49" s="84"/>
      <c r="V49" s="84"/>
      <c r="W49" s="84"/>
      <c r="X49" s="84"/>
      <c r="Y49" s="84"/>
      <c r="Z49" s="85"/>
      <c r="AA49" s="83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5"/>
      <c r="AQ49" s="83"/>
      <c r="AR49" s="84"/>
      <c r="AS49" s="84"/>
      <c r="AT49" s="84"/>
      <c r="AU49" s="85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9"/>
      <c r="K1" s="77" t="s">
        <v>2</v>
      </c>
      <c r="L1" s="78"/>
      <c r="M1" s="78"/>
      <c r="N1" s="78"/>
      <c r="O1" s="78"/>
      <c r="P1" s="78"/>
      <c r="Q1" s="78"/>
      <c r="R1" s="78"/>
      <c r="S1" s="78"/>
      <c r="T1" s="78"/>
      <c r="U1" s="78"/>
      <c r="V1" s="79"/>
      <c r="W1" s="123" t="str">
        <f>IF(表紙!W1="","",表紙!W1)</f>
        <v>詳細設計書</v>
      </c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9"/>
      <c r="AP1" s="77" t="s">
        <v>3</v>
      </c>
      <c r="AQ1" s="78"/>
      <c r="AR1" s="78"/>
      <c r="AS1" s="79"/>
      <c r="AT1" s="77" t="s">
        <v>4</v>
      </c>
      <c r="AU1" s="78"/>
      <c r="AV1" s="78"/>
      <c r="AW1" s="78"/>
      <c r="AX1" s="79"/>
      <c r="AY1" s="77" t="s">
        <v>5</v>
      </c>
      <c r="AZ1" s="78"/>
      <c r="BA1" s="78"/>
      <c r="BB1" s="79"/>
      <c r="BC1" s="77" t="s">
        <v>6</v>
      </c>
      <c r="BD1" s="78"/>
      <c r="BE1" s="78"/>
      <c r="BF1" s="78"/>
      <c r="BG1" s="79"/>
      <c r="BH1" s="77" t="s">
        <v>7</v>
      </c>
      <c r="BI1" s="78"/>
      <c r="BJ1" s="78"/>
      <c r="BK1" s="79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90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2"/>
      <c r="AP2" s="80" t="str">
        <f>IF(表紙!AP2="","",表紙!AP2)</f>
        <v>SonMNT</v>
      </c>
      <c r="AQ2" s="81"/>
      <c r="AR2" s="81"/>
      <c r="AS2" s="82"/>
      <c r="AT2" s="108">
        <f>IF(表紙!AT2="","",表紙!AT2)</f>
        <v>45498</v>
      </c>
      <c r="AU2" s="109"/>
      <c r="AV2" s="109"/>
      <c r="AW2" s="109"/>
      <c r="AX2" s="110"/>
      <c r="AY2" s="80" t="str">
        <f>IF(表紙!AY2="","",表紙!AY2)</f>
        <v>SonMNT</v>
      </c>
      <c r="AZ2" s="81"/>
      <c r="BA2" s="81"/>
      <c r="BB2" s="82"/>
      <c r="BC2" s="108">
        <f>IF(表紙!BC2="","",表紙!BC2)</f>
        <v>45498</v>
      </c>
      <c r="BD2" s="109"/>
      <c r="BE2" s="109"/>
      <c r="BF2" s="109"/>
      <c r="BG2" s="110"/>
      <c r="BH2" s="80">
        <f>IF(表紙!BH2="","",表紙!BH2)</f>
        <v>0.1</v>
      </c>
      <c r="BI2" s="81"/>
      <c r="BJ2" s="81"/>
      <c r="BK2" s="82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93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5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83"/>
      <c r="BI3" s="84"/>
      <c r="BJ3" s="84"/>
      <c r="BK3" s="85"/>
    </row>
    <row r="4" spans="1:63" ht="24.95" customHeight="1" x14ac:dyDescent="0.25">
      <c r="A4" s="77" t="s">
        <v>1</v>
      </c>
      <c r="B4" s="78"/>
      <c r="C4" s="78"/>
      <c r="D4" s="78"/>
      <c r="E4" s="78"/>
      <c r="F4" s="78"/>
      <c r="G4" s="79"/>
      <c r="H4" s="98" t="str">
        <f>IF(表紙!H4="","",表紙!H4)</f>
        <v>AP6201</v>
      </c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100"/>
      <c r="U4" s="77" t="s">
        <v>8</v>
      </c>
      <c r="V4" s="78"/>
      <c r="W4" s="78"/>
      <c r="X4" s="78"/>
      <c r="Y4" s="79"/>
      <c r="Z4" s="98" t="str">
        <f>IF(表紙!Z4="","",表紙!Z4)</f>
        <v>API設計書</v>
      </c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100"/>
      <c r="AP4" s="98" t="str">
        <f t="array" aca="1" ref="AP4" ca="1">RIGHT(CELL("filename",$A$1),LEN(CELL("filename",$A$1))-FIND("]",CELL("filename",$A$1)))</f>
        <v>改訂履歴</v>
      </c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100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9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36" t="s">
        <v>6</v>
      </c>
      <c r="C10" s="136"/>
      <c r="D10" s="136"/>
      <c r="E10" s="136"/>
      <c r="F10" s="136"/>
      <c r="G10" s="136"/>
      <c r="H10" s="136" t="s">
        <v>5</v>
      </c>
      <c r="I10" s="136"/>
      <c r="J10" s="136"/>
      <c r="K10" s="136"/>
      <c r="L10" s="136"/>
      <c r="M10" s="136"/>
      <c r="N10" s="136"/>
      <c r="O10" s="136" t="s">
        <v>7</v>
      </c>
      <c r="P10" s="136"/>
      <c r="Q10" s="136"/>
      <c r="R10" s="136"/>
      <c r="S10" s="136" t="s">
        <v>10</v>
      </c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 t="s">
        <v>11</v>
      </c>
      <c r="AY10" s="136"/>
      <c r="AZ10" s="136"/>
      <c r="BA10" s="136"/>
      <c r="BB10" s="136"/>
      <c r="BC10" s="136"/>
      <c r="BD10" s="136" t="s">
        <v>12</v>
      </c>
      <c r="BE10" s="136"/>
      <c r="BF10" s="136"/>
      <c r="BG10" s="136"/>
      <c r="BH10" s="136"/>
      <c r="BI10" s="136"/>
      <c r="BJ10" s="136"/>
      <c r="BK10" s="4"/>
    </row>
    <row r="11" spans="1:63" ht="15" customHeight="1" x14ac:dyDescent="0.25">
      <c r="A11" s="1"/>
      <c r="B11" s="108">
        <v>45498</v>
      </c>
      <c r="C11" s="81"/>
      <c r="D11" s="81"/>
      <c r="E11" s="81"/>
      <c r="F11" s="81"/>
      <c r="G11" s="82"/>
      <c r="H11" s="86" t="s">
        <v>56</v>
      </c>
      <c r="I11" s="81"/>
      <c r="J11" s="81"/>
      <c r="K11" s="81"/>
      <c r="L11" s="81"/>
      <c r="M11" s="81"/>
      <c r="N11" s="82"/>
      <c r="O11" s="80">
        <v>0.1</v>
      </c>
      <c r="P11" s="81"/>
      <c r="Q11" s="81"/>
      <c r="R11" s="81"/>
      <c r="S11" s="124" t="s">
        <v>14</v>
      </c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6"/>
      <c r="AX11" s="127"/>
      <c r="AY11" s="127"/>
      <c r="AZ11" s="127"/>
      <c r="BA11" s="127"/>
      <c r="BB11" s="127"/>
      <c r="BC11" s="128"/>
      <c r="BD11" s="131"/>
      <c r="BE11" s="127"/>
      <c r="BF11" s="127"/>
      <c r="BG11" s="127"/>
      <c r="BH11" s="127"/>
      <c r="BI11" s="127"/>
      <c r="BJ11" s="128"/>
      <c r="BK11" s="4"/>
    </row>
    <row r="12" spans="1:63" ht="15" customHeight="1" x14ac:dyDescent="0.25">
      <c r="A12" s="1"/>
      <c r="B12" s="83"/>
      <c r="C12" s="84"/>
      <c r="D12" s="84"/>
      <c r="E12" s="84"/>
      <c r="F12" s="84"/>
      <c r="G12" s="85"/>
      <c r="H12" s="83"/>
      <c r="I12" s="84"/>
      <c r="J12" s="84"/>
      <c r="K12" s="84"/>
      <c r="L12" s="84"/>
      <c r="M12" s="84"/>
      <c r="N12" s="85"/>
      <c r="O12" s="83"/>
      <c r="P12" s="84"/>
      <c r="Q12" s="84"/>
      <c r="R12" s="84"/>
      <c r="S12" s="133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5"/>
      <c r="AX12" s="129"/>
      <c r="AY12" s="129"/>
      <c r="AZ12" s="129"/>
      <c r="BA12" s="129"/>
      <c r="BB12" s="129"/>
      <c r="BC12" s="130"/>
      <c r="BD12" s="132"/>
      <c r="BE12" s="129"/>
      <c r="BF12" s="129"/>
      <c r="BG12" s="129"/>
      <c r="BH12" s="129"/>
      <c r="BI12" s="129"/>
      <c r="BJ12" s="130"/>
      <c r="BK12" s="4"/>
    </row>
    <row r="13" spans="1:63" ht="15" customHeight="1" x14ac:dyDescent="0.25">
      <c r="A13" s="1"/>
      <c r="B13" s="108"/>
      <c r="C13" s="81"/>
      <c r="D13" s="81"/>
      <c r="E13" s="81"/>
      <c r="F13" s="81"/>
      <c r="G13" s="82"/>
      <c r="H13" s="80"/>
      <c r="I13" s="81"/>
      <c r="J13" s="81"/>
      <c r="K13" s="81"/>
      <c r="L13" s="81"/>
      <c r="M13" s="81"/>
      <c r="N13" s="82"/>
      <c r="O13" s="80"/>
      <c r="P13" s="81"/>
      <c r="Q13" s="81"/>
      <c r="R13" s="81"/>
      <c r="S13" s="124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6"/>
      <c r="AX13" s="127"/>
      <c r="AY13" s="127"/>
      <c r="AZ13" s="127"/>
      <c r="BA13" s="127"/>
      <c r="BB13" s="127"/>
      <c r="BC13" s="128"/>
      <c r="BD13" s="131"/>
      <c r="BE13" s="127"/>
      <c r="BF13" s="127"/>
      <c r="BG13" s="127"/>
      <c r="BH13" s="127"/>
      <c r="BI13" s="127"/>
      <c r="BJ13" s="128"/>
      <c r="BK13" s="4"/>
    </row>
    <row r="14" spans="1:63" ht="15" customHeight="1" x14ac:dyDescent="0.25">
      <c r="A14" s="1"/>
      <c r="B14" s="83"/>
      <c r="C14" s="84"/>
      <c r="D14" s="84"/>
      <c r="E14" s="84"/>
      <c r="F14" s="84"/>
      <c r="G14" s="85"/>
      <c r="H14" s="83"/>
      <c r="I14" s="84"/>
      <c r="J14" s="84"/>
      <c r="K14" s="84"/>
      <c r="L14" s="84"/>
      <c r="M14" s="84"/>
      <c r="N14" s="85"/>
      <c r="O14" s="83"/>
      <c r="P14" s="84"/>
      <c r="Q14" s="84"/>
      <c r="R14" s="84"/>
      <c r="S14" s="133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5"/>
      <c r="AX14" s="129"/>
      <c r="AY14" s="129"/>
      <c r="AZ14" s="129"/>
      <c r="BA14" s="129"/>
      <c r="BB14" s="129"/>
      <c r="BC14" s="130"/>
      <c r="BD14" s="132"/>
      <c r="BE14" s="129"/>
      <c r="BF14" s="129"/>
      <c r="BG14" s="129"/>
      <c r="BH14" s="129"/>
      <c r="BI14" s="129"/>
      <c r="BJ14" s="130"/>
      <c r="BK14" s="4"/>
    </row>
    <row r="15" spans="1:63" ht="15" customHeight="1" x14ac:dyDescent="0.25">
      <c r="A15" s="1"/>
      <c r="B15" s="80"/>
      <c r="C15" s="81"/>
      <c r="D15" s="81"/>
      <c r="E15" s="81"/>
      <c r="F15" s="81"/>
      <c r="G15" s="82"/>
      <c r="H15" s="80"/>
      <c r="I15" s="81"/>
      <c r="J15" s="81"/>
      <c r="K15" s="81"/>
      <c r="L15" s="81"/>
      <c r="M15" s="81"/>
      <c r="N15" s="82"/>
      <c r="O15" s="80"/>
      <c r="P15" s="81"/>
      <c r="Q15" s="81"/>
      <c r="R15" s="81"/>
      <c r="S15" s="124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6"/>
      <c r="AX15" s="127"/>
      <c r="AY15" s="127"/>
      <c r="AZ15" s="127"/>
      <c r="BA15" s="127"/>
      <c r="BB15" s="127"/>
      <c r="BC15" s="128"/>
      <c r="BD15" s="131"/>
      <c r="BE15" s="127"/>
      <c r="BF15" s="127"/>
      <c r="BG15" s="127"/>
      <c r="BH15" s="127"/>
      <c r="BI15" s="127"/>
      <c r="BJ15" s="128"/>
      <c r="BK15" s="4"/>
    </row>
    <row r="16" spans="1:63" ht="15" customHeight="1" x14ac:dyDescent="0.25">
      <c r="A16" s="1"/>
      <c r="B16" s="83"/>
      <c r="C16" s="84"/>
      <c r="D16" s="84"/>
      <c r="E16" s="84"/>
      <c r="F16" s="84"/>
      <c r="G16" s="85"/>
      <c r="H16" s="83"/>
      <c r="I16" s="84"/>
      <c r="J16" s="84"/>
      <c r="K16" s="84"/>
      <c r="L16" s="84"/>
      <c r="M16" s="84"/>
      <c r="N16" s="85"/>
      <c r="O16" s="83"/>
      <c r="P16" s="84"/>
      <c r="Q16" s="84"/>
      <c r="R16" s="84"/>
      <c r="S16" s="133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5"/>
      <c r="AX16" s="129"/>
      <c r="AY16" s="129"/>
      <c r="AZ16" s="129"/>
      <c r="BA16" s="129"/>
      <c r="BB16" s="129"/>
      <c r="BC16" s="130"/>
      <c r="BD16" s="132"/>
      <c r="BE16" s="129"/>
      <c r="BF16" s="129"/>
      <c r="BG16" s="129"/>
      <c r="BH16" s="129"/>
      <c r="BI16" s="129"/>
      <c r="BJ16" s="130"/>
      <c r="BK16" s="4"/>
    </row>
    <row r="17" spans="1:63" ht="15" customHeight="1" x14ac:dyDescent="0.25">
      <c r="A17" s="1"/>
      <c r="B17" s="80"/>
      <c r="C17" s="81"/>
      <c r="D17" s="81"/>
      <c r="E17" s="81"/>
      <c r="F17" s="81"/>
      <c r="G17" s="82"/>
      <c r="H17" s="80"/>
      <c r="I17" s="81"/>
      <c r="J17" s="81"/>
      <c r="K17" s="81"/>
      <c r="L17" s="81"/>
      <c r="M17" s="81"/>
      <c r="N17" s="82"/>
      <c r="O17" s="80"/>
      <c r="P17" s="81"/>
      <c r="Q17" s="81"/>
      <c r="R17" s="81"/>
      <c r="S17" s="124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6"/>
      <c r="AX17" s="127"/>
      <c r="AY17" s="127"/>
      <c r="AZ17" s="127"/>
      <c r="BA17" s="127"/>
      <c r="BB17" s="127"/>
      <c r="BC17" s="128"/>
      <c r="BD17" s="131"/>
      <c r="BE17" s="127"/>
      <c r="BF17" s="127"/>
      <c r="BG17" s="127"/>
      <c r="BH17" s="127"/>
      <c r="BI17" s="127"/>
      <c r="BJ17" s="128"/>
      <c r="BK17" s="4"/>
    </row>
    <row r="18" spans="1:63" ht="15" customHeight="1" x14ac:dyDescent="0.25">
      <c r="A18" s="1"/>
      <c r="B18" s="83"/>
      <c r="C18" s="84"/>
      <c r="D18" s="84"/>
      <c r="E18" s="84"/>
      <c r="F18" s="84"/>
      <c r="G18" s="85"/>
      <c r="H18" s="83"/>
      <c r="I18" s="84"/>
      <c r="J18" s="84"/>
      <c r="K18" s="84"/>
      <c r="L18" s="84"/>
      <c r="M18" s="84"/>
      <c r="N18" s="85"/>
      <c r="O18" s="83"/>
      <c r="P18" s="84"/>
      <c r="Q18" s="84"/>
      <c r="R18" s="84"/>
      <c r="S18" s="133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5"/>
      <c r="AX18" s="129"/>
      <c r="AY18" s="129"/>
      <c r="AZ18" s="129"/>
      <c r="BA18" s="129"/>
      <c r="BB18" s="129"/>
      <c r="BC18" s="130"/>
      <c r="BD18" s="132"/>
      <c r="BE18" s="129"/>
      <c r="BF18" s="129"/>
      <c r="BG18" s="129"/>
      <c r="BH18" s="129"/>
      <c r="BI18" s="129"/>
      <c r="BJ18" s="130"/>
      <c r="BK18" s="4"/>
    </row>
    <row r="19" spans="1:63" ht="15" customHeight="1" x14ac:dyDescent="0.25">
      <c r="A19" s="1"/>
      <c r="B19" s="80"/>
      <c r="C19" s="81"/>
      <c r="D19" s="81"/>
      <c r="E19" s="81"/>
      <c r="F19" s="81"/>
      <c r="G19" s="82"/>
      <c r="H19" s="80"/>
      <c r="I19" s="81"/>
      <c r="J19" s="81"/>
      <c r="K19" s="81"/>
      <c r="L19" s="81"/>
      <c r="M19" s="81"/>
      <c r="N19" s="82"/>
      <c r="O19" s="80"/>
      <c r="P19" s="81"/>
      <c r="Q19" s="81"/>
      <c r="R19" s="81"/>
      <c r="S19" s="124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6"/>
      <c r="AX19" s="127"/>
      <c r="AY19" s="127"/>
      <c r="AZ19" s="127"/>
      <c r="BA19" s="127"/>
      <c r="BB19" s="127"/>
      <c r="BC19" s="128"/>
      <c r="BD19" s="131"/>
      <c r="BE19" s="127"/>
      <c r="BF19" s="127"/>
      <c r="BG19" s="127"/>
      <c r="BH19" s="127"/>
      <c r="BI19" s="127"/>
      <c r="BJ19" s="128"/>
      <c r="BK19" s="4"/>
    </row>
    <row r="20" spans="1:63" ht="15" customHeight="1" x14ac:dyDescent="0.25">
      <c r="A20" s="1"/>
      <c r="B20" s="83"/>
      <c r="C20" s="84"/>
      <c r="D20" s="84"/>
      <c r="E20" s="84"/>
      <c r="F20" s="84"/>
      <c r="G20" s="85"/>
      <c r="H20" s="83"/>
      <c r="I20" s="84"/>
      <c r="J20" s="84"/>
      <c r="K20" s="84"/>
      <c r="L20" s="84"/>
      <c r="M20" s="84"/>
      <c r="N20" s="85"/>
      <c r="O20" s="83"/>
      <c r="P20" s="84"/>
      <c r="Q20" s="84"/>
      <c r="R20" s="84"/>
      <c r="S20" s="133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5"/>
      <c r="AX20" s="129"/>
      <c r="AY20" s="129"/>
      <c r="AZ20" s="129"/>
      <c r="BA20" s="129"/>
      <c r="BB20" s="129"/>
      <c r="BC20" s="130"/>
      <c r="BD20" s="132"/>
      <c r="BE20" s="129"/>
      <c r="BF20" s="129"/>
      <c r="BG20" s="129"/>
      <c r="BH20" s="129"/>
      <c r="BI20" s="129"/>
      <c r="BJ20" s="130"/>
      <c r="BK20" s="4"/>
    </row>
    <row r="21" spans="1:63" ht="15" customHeight="1" x14ac:dyDescent="0.25">
      <c r="A21" s="1"/>
      <c r="B21" s="80"/>
      <c r="C21" s="81"/>
      <c r="D21" s="81"/>
      <c r="E21" s="81"/>
      <c r="F21" s="81"/>
      <c r="G21" s="82"/>
      <c r="H21" s="80"/>
      <c r="I21" s="81"/>
      <c r="J21" s="81"/>
      <c r="K21" s="81"/>
      <c r="L21" s="81"/>
      <c r="M21" s="81"/>
      <c r="N21" s="82"/>
      <c r="O21" s="80"/>
      <c r="P21" s="81"/>
      <c r="Q21" s="81"/>
      <c r="R21" s="81"/>
      <c r="S21" s="124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6"/>
      <c r="AX21" s="127"/>
      <c r="AY21" s="127"/>
      <c r="AZ21" s="127"/>
      <c r="BA21" s="127"/>
      <c r="BB21" s="127"/>
      <c r="BC21" s="128"/>
      <c r="BD21" s="131"/>
      <c r="BE21" s="127"/>
      <c r="BF21" s="127"/>
      <c r="BG21" s="127"/>
      <c r="BH21" s="127"/>
      <c r="BI21" s="127"/>
      <c r="BJ21" s="128"/>
      <c r="BK21" s="4"/>
    </row>
    <row r="22" spans="1:63" ht="15" customHeight="1" x14ac:dyDescent="0.25">
      <c r="A22" s="1"/>
      <c r="B22" s="83"/>
      <c r="C22" s="84"/>
      <c r="D22" s="84"/>
      <c r="E22" s="84"/>
      <c r="F22" s="84"/>
      <c r="G22" s="85"/>
      <c r="H22" s="83"/>
      <c r="I22" s="84"/>
      <c r="J22" s="84"/>
      <c r="K22" s="84"/>
      <c r="L22" s="84"/>
      <c r="M22" s="84"/>
      <c r="N22" s="85"/>
      <c r="O22" s="83"/>
      <c r="P22" s="84"/>
      <c r="Q22" s="84"/>
      <c r="R22" s="84"/>
      <c r="S22" s="133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5"/>
      <c r="AX22" s="129"/>
      <c r="AY22" s="129"/>
      <c r="AZ22" s="129"/>
      <c r="BA22" s="129"/>
      <c r="BB22" s="129"/>
      <c r="BC22" s="130"/>
      <c r="BD22" s="132"/>
      <c r="BE22" s="129"/>
      <c r="BF22" s="129"/>
      <c r="BG22" s="129"/>
      <c r="BH22" s="129"/>
      <c r="BI22" s="129"/>
      <c r="BJ22" s="130"/>
      <c r="BK22" s="4"/>
    </row>
    <row r="23" spans="1:63" ht="15" customHeight="1" x14ac:dyDescent="0.25">
      <c r="A23" s="1"/>
      <c r="B23" s="80"/>
      <c r="C23" s="81"/>
      <c r="D23" s="81"/>
      <c r="E23" s="81"/>
      <c r="F23" s="81"/>
      <c r="G23" s="82"/>
      <c r="H23" s="80"/>
      <c r="I23" s="81"/>
      <c r="J23" s="81"/>
      <c r="K23" s="81"/>
      <c r="L23" s="81"/>
      <c r="M23" s="81"/>
      <c r="N23" s="82"/>
      <c r="O23" s="80"/>
      <c r="P23" s="81"/>
      <c r="Q23" s="81"/>
      <c r="R23" s="81"/>
      <c r="S23" s="124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6"/>
      <c r="AX23" s="127"/>
      <c r="AY23" s="127"/>
      <c r="AZ23" s="127"/>
      <c r="BA23" s="127"/>
      <c r="BB23" s="127"/>
      <c r="BC23" s="128"/>
      <c r="BD23" s="131"/>
      <c r="BE23" s="127"/>
      <c r="BF23" s="127"/>
      <c r="BG23" s="127"/>
      <c r="BH23" s="127"/>
      <c r="BI23" s="127"/>
      <c r="BJ23" s="128"/>
      <c r="BK23" s="4"/>
    </row>
    <row r="24" spans="1:63" ht="15" customHeight="1" x14ac:dyDescent="0.25">
      <c r="A24" s="1"/>
      <c r="B24" s="83"/>
      <c r="C24" s="84"/>
      <c r="D24" s="84"/>
      <c r="E24" s="84"/>
      <c r="F24" s="84"/>
      <c r="G24" s="85"/>
      <c r="H24" s="83"/>
      <c r="I24" s="84"/>
      <c r="J24" s="84"/>
      <c r="K24" s="84"/>
      <c r="L24" s="84"/>
      <c r="M24" s="84"/>
      <c r="N24" s="85"/>
      <c r="O24" s="83"/>
      <c r="P24" s="84"/>
      <c r="Q24" s="84"/>
      <c r="R24" s="84"/>
      <c r="S24" s="133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5"/>
      <c r="AX24" s="129"/>
      <c r="AY24" s="129"/>
      <c r="AZ24" s="129"/>
      <c r="BA24" s="129"/>
      <c r="BB24" s="129"/>
      <c r="BC24" s="130"/>
      <c r="BD24" s="132"/>
      <c r="BE24" s="129"/>
      <c r="BF24" s="129"/>
      <c r="BG24" s="129"/>
      <c r="BH24" s="129"/>
      <c r="BI24" s="129"/>
      <c r="BJ24" s="130"/>
      <c r="BK24" s="4"/>
    </row>
    <row r="25" spans="1:63" ht="15" customHeight="1" x14ac:dyDescent="0.25">
      <c r="A25" s="1"/>
      <c r="B25" s="80"/>
      <c r="C25" s="81"/>
      <c r="D25" s="81"/>
      <c r="E25" s="81"/>
      <c r="F25" s="81"/>
      <c r="G25" s="82"/>
      <c r="H25" s="80"/>
      <c r="I25" s="81"/>
      <c r="J25" s="81"/>
      <c r="K25" s="81"/>
      <c r="L25" s="81"/>
      <c r="M25" s="81"/>
      <c r="N25" s="82"/>
      <c r="O25" s="80"/>
      <c r="P25" s="81"/>
      <c r="Q25" s="81"/>
      <c r="R25" s="81"/>
      <c r="S25" s="124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6"/>
      <c r="AX25" s="127"/>
      <c r="AY25" s="127"/>
      <c r="AZ25" s="127"/>
      <c r="BA25" s="127"/>
      <c r="BB25" s="127"/>
      <c r="BC25" s="128"/>
      <c r="BD25" s="131"/>
      <c r="BE25" s="127"/>
      <c r="BF25" s="127"/>
      <c r="BG25" s="127"/>
      <c r="BH25" s="127"/>
      <c r="BI25" s="127"/>
      <c r="BJ25" s="128"/>
      <c r="BK25" s="4"/>
    </row>
    <row r="26" spans="1:63" ht="15" customHeight="1" x14ac:dyDescent="0.25">
      <c r="A26" s="1"/>
      <c r="B26" s="83"/>
      <c r="C26" s="84"/>
      <c r="D26" s="84"/>
      <c r="E26" s="84"/>
      <c r="F26" s="84"/>
      <c r="G26" s="85"/>
      <c r="H26" s="83"/>
      <c r="I26" s="84"/>
      <c r="J26" s="84"/>
      <c r="K26" s="84"/>
      <c r="L26" s="84"/>
      <c r="M26" s="84"/>
      <c r="N26" s="85"/>
      <c r="O26" s="83"/>
      <c r="P26" s="84"/>
      <c r="Q26" s="84"/>
      <c r="R26" s="84"/>
      <c r="S26" s="133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5"/>
      <c r="AX26" s="129"/>
      <c r="AY26" s="129"/>
      <c r="AZ26" s="129"/>
      <c r="BA26" s="129"/>
      <c r="BB26" s="129"/>
      <c r="BC26" s="130"/>
      <c r="BD26" s="132"/>
      <c r="BE26" s="129"/>
      <c r="BF26" s="129"/>
      <c r="BG26" s="129"/>
      <c r="BH26" s="129"/>
      <c r="BI26" s="129"/>
      <c r="BJ26" s="130"/>
      <c r="BK26" s="4"/>
    </row>
    <row r="27" spans="1:63" ht="15" customHeight="1" x14ac:dyDescent="0.25">
      <c r="A27" s="1"/>
      <c r="B27" s="80"/>
      <c r="C27" s="81"/>
      <c r="D27" s="81"/>
      <c r="E27" s="81"/>
      <c r="F27" s="81"/>
      <c r="G27" s="82"/>
      <c r="H27" s="80"/>
      <c r="I27" s="81"/>
      <c r="J27" s="81"/>
      <c r="K27" s="81"/>
      <c r="L27" s="81"/>
      <c r="M27" s="81"/>
      <c r="N27" s="82"/>
      <c r="O27" s="80"/>
      <c r="P27" s="81"/>
      <c r="Q27" s="81"/>
      <c r="R27" s="81"/>
      <c r="S27" s="124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6"/>
      <c r="AX27" s="127"/>
      <c r="AY27" s="127"/>
      <c r="AZ27" s="127"/>
      <c r="BA27" s="127"/>
      <c r="BB27" s="127"/>
      <c r="BC27" s="128"/>
      <c r="BD27" s="131"/>
      <c r="BE27" s="127"/>
      <c r="BF27" s="127"/>
      <c r="BG27" s="127"/>
      <c r="BH27" s="127"/>
      <c r="BI27" s="127"/>
      <c r="BJ27" s="128"/>
      <c r="BK27" s="4"/>
    </row>
    <row r="28" spans="1:63" ht="15" customHeight="1" x14ac:dyDescent="0.25">
      <c r="A28" s="1"/>
      <c r="B28" s="83"/>
      <c r="C28" s="84"/>
      <c r="D28" s="84"/>
      <c r="E28" s="84"/>
      <c r="F28" s="84"/>
      <c r="G28" s="85"/>
      <c r="H28" s="83"/>
      <c r="I28" s="84"/>
      <c r="J28" s="84"/>
      <c r="K28" s="84"/>
      <c r="L28" s="84"/>
      <c r="M28" s="84"/>
      <c r="N28" s="85"/>
      <c r="O28" s="83"/>
      <c r="P28" s="84"/>
      <c r="Q28" s="84"/>
      <c r="R28" s="84"/>
      <c r="S28" s="133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5"/>
      <c r="AX28" s="129"/>
      <c r="AY28" s="129"/>
      <c r="AZ28" s="129"/>
      <c r="BA28" s="129"/>
      <c r="BB28" s="129"/>
      <c r="BC28" s="130"/>
      <c r="BD28" s="132"/>
      <c r="BE28" s="129"/>
      <c r="BF28" s="129"/>
      <c r="BG28" s="129"/>
      <c r="BH28" s="129"/>
      <c r="BI28" s="129"/>
      <c r="BJ28" s="130"/>
      <c r="BK28" s="4"/>
    </row>
    <row r="29" spans="1:63" ht="15" customHeight="1" x14ac:dyDescent="0.25">
      <c r="A29" s="1"/>
      <c r="B29" s="80"/>
      <c r="C29" s="81"/>
      <c r="D29" s="81"/>
      <c r="E29" s="81"/>
      <c r="F29" s="81"/>
      <c r="G29" s="82"/>
      <c r="H29" s="80"/>
      <c r="I29" s="81"/>
      <c r="J29" s="81"/>
      <c r="K29" s="81"/>
      <c r="L29" s="81"/>
      <c r="M29" s="81"/>
      <c r="N29" s="82"/>
      <c r="O29" s="80"/>
      <c r="P29" s="81"/>
      <c r="Q29" s="81"/>
      <c r="R29" s="81"/>
      <c r="S29" s="124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6"/>
      <c r="AX29" s="127"/>
      <c r="AY29" s="127"/>
      <c r="AZ29" s="127"/>
      <c r="BA29" s="127"/>
      <c r="BB29" s="127"/>
      <c r="BC29" s="128"/>
      <c r="BD29" s="131"/>
      <c r="BE29" s="127"/>
      <c r="BF29" s="127"/>
      <c r="BG29" s="127"/>
      <c r="BH29" s="127"/>
      <c r="BI29" s="127"/>
      <c r="BJ29" s="128"/>
      <c r="BK29" s="4"/>
    </row>
    <row r="30" spans="1:63" ht="15" customHeight="1" x14ac:dyDescent="0.25">
      <c r="A30" s="1"/>
      <c r="B30" s="83"/>
      <c r="C30" s="84"/>
      <c r="D30" s="84"/>
      <c r="E30" s="84"/>
      <c r="F30" s="84"/>
      <c r="G30" s="85"/>
      <c r="H30" s="83"/>
      <c r="I30" s="84"/>
      <c r="J30" s="84"/>
      <c r="K30" s="84"/>
      <c r="L30" s="84"/>
      <c r="M30" s="84"/>
      <c r="N30" s="85"/>
      <c r="O30" s="83"/>
      <c r="P30" s="84"/>
      <c r="Q30" s="84"/>
      <c r="R30" s="84"/>
      <c r="S30" s="133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5"/>
      <c r="AX30" s="129"/>
      <c r="AY30" s="129"/>
      <c r="AZ30" s="129"/>
      <c r="BA30" s="129"/>
      <c r="BB30" s="129"/>
      <c r="BC30" s="130"/>
      <c r="BD30" s="132"/>
      <c r="BE30" s="129"/>
      <c r="BF30" s="129"/>
      <c r="BG30" s="129"/>
      <c r="BH30" s="129"/>
      <c r="BI30" s="129"/>
      <c r="BJ30" s="130"/>
      <c r="BK30" s="4"/>
    </row>
    <row r="31" spans="1:63" ht="15" customHeight="1" x14ac:dyDescent="0.25">
      <c r="A31" s="1"/>
      <c r="B31" s="80"/>
      <c r="C31" s="81"/>
      <c r="D31" s="81"/>
      <c r="E31" s="81"/>
      <c r="F31" s="81"/>
      <c r="G31" s="82"/>
      <c r="H31" s="80"/>
      <c r="I31" s="81"/>
      <c r="J31" s="81"/>
      <c r="K31" s="81"/>
      <c r="L31" s="81"/>
      <c r="M31" s="81"/>
      <c r="N31" s="82"/>
      <c r="O31" s="80"/>
      <c r="P31" s="81"/>
      <c r="Q31" s="81"/>
      <c r="R31" s="81"/>
      <c r="S31" s="124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6"/>
      <c r="AX31" s="127"/>
      <c r="AY31" s="127"/>
      <c r="AZ31" s="127"/>
      <c r="BA31" s="127"/>
      <c r="BB31" s="127"/>
      <c r="BC31" s="128"/>
      <c r="BD31" s="131"/>
      <c r="BE31" s="127"/>
      <c r="BF31" s="127"/>
      <c r="BG31" s="127"/>
      <c r="BH31" s="127"/>
      <c r="BI31" s="127"/>
      <c r="BJ31" s="128"/>
      <c r="BK31" s="4"/>
    </row>
    <row r="32" spans="1:63" ht="15" customHeight="1" x14ac:dyDescent="0.25">
      <c r="A32" s="1"/>
      <c r="B32" s="83"/>
      <c r="C32" s="84"/>
      <c r="D32" s="84"/>
      <c r="E32" s="84"/>
      <c r="F32" s="84"/>
      <c r="G32" s="85"/>
      <c r="H32" s="83"/>
      <c r="I32" s="84"/>
      <c r="J32" s="84"/>
      <c r="K32" s="84"/>
      <c r="L32" s="84"/>
      <c r="M32" s="84"/>
      <c r="N32" s="85"/>
      <c r="O32" s="83"/>
      <c r="P32" s="84"/>
      <c r="Q32" s="84"/>
      <c r="R32" s="84"/>
      <c r="S32" s="133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5"/>
      <c r="AX32" s="129"/>
      <c r="AY32" s="129"/>
      <c r="AZ32" s="129"/>
      <c r="BA32" s="129"/>
      <c r="BB32" s="129"/>
      <c r="BC32" s="130"/>
      <c r="BD32" s="132"/>
      <c r="BE32" s="129"/>
      <c r="BF32" s="129"/>
      <c r="BG32" s="129"/>
      <c r="BH32" s="129"/>
      <c r="BI32" s="129"/>
      <c r="BJ32" s="130"/>
      <c r="BK32" s="4"/>
    </row>
    <row r="33" spans="1:63" ht="15" customHeight="1" x14ac:dyDescent="0.25">
      <c r="A33" s="1"/>
      <c r="B33" s="80"/>
      <c r="C33" s="81"/>
      <c r="D33" s="81"/>
      <c r="E33" s="81"/>
      <c r="F33" s="81"/>
      <c r="G33" s="82"/>
      <c r="H33" s="80"/>
      <c r="I33" s="81"/>
      <c r="J33" s="81"/>
      <c r="K33" s="81"/>
      <c r="L33" s="81"/>
      <c r="M33" s="81"/>
      <c r="N33" s="82"/>
      <c r="O33" s="80"/>
      <c r="P33" s="81"/>
      <c r="Q33" s="81"/>
      <c r="R33" s="81"/>
      <c r="S33" s="124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6"/>
      <c r="AX33" s="127"/>
      <c r="AY33" s="127"/>
      <c r="AZ33" s="127"/>
      <c r="BA33" s="127"/>
      <c r="BB33" s="127"/>
      <c r="BC33" s="128"/>
      <c r="BD33" s="131"/>
      <c r="BE33" s="127"/>
      <c r="BF33" s="127"/>
      <c r="BG33" s="127"/>
      <c r="BH33" s="127"/>
      <c r="BI33" s="127"/>
      <c r="BJ33" s="128"/>
      <c r="BK33" s="4"/>
    </row>
    <row r="34" spans="1:63" ht="15" customHeight="1" x14ac:dyDescent="0.25">
      <c r="A34" s="1"/>
      <c r="B34" s="83"/>
      <c r="C34" s="84"/>
      <c r="D34" s="84"/>
      <c r="E34" s="84"/>
      <c r="F34" s="84"/>
      <c r="G34" s="85"/>
      <c r="H34" s="83"/>
      <c r="I34" s="84"/>
      <c r="J34" s="84"/>
      <c r="K34" s="84"/>
      <c r="L34" s="84"/>
      <c r="M34" s="84"/>
      <c r="N34" s="85"/>
      <c r="O34" s="83"/>
      <c r="P34" s="84"/>
      <c r="Q34" s="84"/>
      <c r="R34" s="84"/>
      <c r="S34" s="133"/>
      <c r="T34" s="134"/>
      <c r="U34" s="134"/>
      <c r="V34" s="134"/>
      <c r="W34" s="134"/>
      <c r="X34" s="134"/>
      <c r="Y34" s="134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  <c r="AN34" s="134"/>
      <c r="AO34" s="134"/>
      <c r="AP34" s="134"/>
      <c r="AQ34" s="134"/>
      <c r="AR34" s="134"/>
      <c r="AS34" s="134"/>
      <c r="AT34" s="134"/>
      <c r="AU34" s="134"/>
      <c r="AV34" s="134"/>
      <c r="AW34" s="135"/>
      <c r="AX34" s="129"/>
      <c r="AY34" s="129"/>
      <c r="AZ34" s="129"/>
      <c r="BA34" s="129"/>
      <c r="BB34" s="129"/>
      <c r="BC34" s="130"/>
      <c r="BD34" s="132"/>
      <c r="BE34" s="129"/>
      <c r="BF34" s="129"/>
      <c r="BG34" s="129"/>
      <c r="BH34" s="129"/>
      <c r="BI34" s="129"/>
      <c r="BJ34" s="130"/>
      <c r="BK34" s="4"/>
    </row>
    <row r="35" spans="1:63" ht="15" customHeight="1" x14ac:dyDescent="0.25">
      <c r="A35" s="1"/>
      <c r="B35" s="80"/>
      <c r="C35" s="81"/>
      <c r="D35" s="81"/>
      <c r="E35" s="81"/>
      <c r="F35" s="81"/>
      <c r="G35" s="82"/>
      <c r="H35" s="80"/>
      <c r="I35" s="81"/>
      <c r="J35" s="81"/>
      <c r="K35" s="81"/>
      <c r="L35" s="81"/>
      <c r="M35" s="81"/>
      <c r="N35" s="82"/>
      <c r="O35" s="80"/>
      <c r="P35" s="81"/>
      <c r="Q35" s="81"/>
      <c r="R35" s="81"/>
      <c r="S35" s="124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6"/>
      <c r="AX35" s="127"/>
      <c r="AY35" s="127"/>
      <c r="AZ35" s="127"/>
      <c r="BA35" s="127"/>
      <c r="BB35" s="127"/>
      <c r="BC35" s="128"/>
      <c r="BD35" s="131"/>
      <c r="BE35" s="127"/>
      <c r="BF35" s="127"/>
      <c r="BG35" s="127"/>
      <c r="BH35" s="127"/>
      <c r="BI35" s="127"/>
      <c r="BJ35" s="128"/>
      <c r="BK35" s="4"/>
    </row>
    <row r="36" spans="1:63" ht="15" customHeight="1" x14ac:dyDescent="0.25">
      <c r="A36" s="1"/>
      <c r="B36" s="83"/>
      <c r="C36" s="84"/>
      <c r="D36" s="84"/>
      <c r="E36" s="84"/>
      <c r="F36" s="84"/>
      <c r="G36" s="85"/>
      <c r="H36" s="83"/>
      <c r="I36" s="84"/>
      <c r="J36" s="84"/>
      <c r="K36" s="84"/>
      <c r="L36" s="84"/>
      <c r="M36" s="84"/>
      <c r="N36" s="85"/>
      <c r="O36" s="83"/>
      <c r="P36" s="84"/>
      <c r="Q36" s="84"/>
      <c r="R36" s="84"/>
      <c r="S36" s="133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5"/>
      <c r="AX36" s="129"/>
      <c r="AY36" s="129"/>
      <c r="AZ36" s="129"/>
      <c r="BA36" s="129"/>
      <c r="BB36" s="129"/>
      <c r="BC36" s="130"/>
      <c r="BD36" s="132"/>
      <c r="BE36" s="129"/>
      <c r="BF36" s="129"/>
      <c r="BG36" s="129"/>
      <c r="BH36" s="129"/>
      <c r="BI36" s="129"/>
      <c r="BJ36" s="130"/>
      <c r="BK36" s="4"/>
    </row>
    <row r="37" spans="1:63" ht="15" customHeight="1" x14ac:dyDescent="0.25">
      <c r="A37" s="1"/>
      <c r="B37" s="80"/>
      <c r="C37" s="81"/>
      <c r="D37" s="81"/>
      <c r="E37" s="81"/>
      <c r="F37" s="81"/>
      <c r="G37" s="82"/>
      <c r="H37" s="80"/>
      <c r="I37" s="81"/>
      <c r="J37" s="81"/>
      <c r="K37" s="81"/>
      <c r="L37" s="81"/>
      <c r="M37" s="81"/>
      <c r="N37" s="82"/>
      <c r="O37" s="80"/>
      <c r="P37" s="81"/>
      <c r="Q37" s="81"/>
      <c r="R37" s="81"/>
      <c r="S37" s="124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6"/>
      <c r="AX37" s="127"/>
      <c r="AY37" s="127"/>
      <c r="AZ37" s="127"/>
      <c r="BA37" s="127"/>
      <c r="BB37" s="127"/>
      <c r="BC37" s="128"/>
      <c r="BD37" s="131"/>
      <c r="BE37" s="127"/>
      <c r="BF37" s="127"/>
      <c r="BG37" s="127"/>
      <c r="BH37" s="127"/>
      <c r="BI37" s="127"/>
      <c r="BJ37" s="128"/>
      <c r="BK37" s="4"/>
    </row>
    <row r="38" spans="1:63" ht="15" customHeight="1" x14ac:dyDescent="0.25">
      <c r="A38" s="1"/>
      <c r="B38" s="83"/>
      <c r="C38" s="84"/>
      <c r="D38" s="84"/>
      <c r="E38" s="84"/>
      <c r="F38" s="84"/>
      <c r="G38" s="85"/>
      <c r="H38" s="83"/>
      <c r="I38" s="84"/>
      <c r="J38" s="84"/>
      <c r="K38" s="84"/>
      <c r="L38" s="84"/>
      <c r="M38" s="84"/>
      <c r="N38" s="85"/>
      <c r="O38" s="83"/>
      <c r="P38" s="84"/>
      <c r="Q38" s="84"/>
      <c r="R38" s="84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29"/>
      <c r="AY38" s="129"/>
      <c r="AZ38" s="129"/>
      <c r="BA38" s="129"/>
      <c r="BB38" s="129"/>
      <c r="BC38" s="130"/>
      <c r="BD38" s="132"/>
      <c r="BE38" s="129"/>
      <c r="BF38" s="129"/>
      <c r="BG38" s="129"/>
      <c r="BH38" s="129"/>
      <c r="BI38" s="129"/>
      <c r="BJ38" s="130"/>
      <c r="BK38" s="4"/>
    </row>
    <row r="39" spans="1:63" ht="15" customHeight="1" x14ac:dyDescent="0.25">
      <c r="A39" s="1"/>
      <c r="B39" s="80"/>
      <c r="C39" s="81"/>
      <c r="D39" s="81"/>
      <c r="E39" s="81"/>
      <c r="F39" s="81"/>
      <c r="G39" s="82"/>
      <c r="H39" s="80"/>
      <c r="I39" s="81"/>
      <c r="J39" s="81"/>
      <c r="K39" s="81"/>
      <c r="L39" s="81"/>
      <c r="M39" s="81"/>
      <c r="N39" s="82"/>
      <c r="O39" s="80"/>
      <c r="P39" s="81"/>
      <c r="Q39" s="81"/>
      <c r="R39" s="81"/>
      <c r="S39" s="124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6"/>
      <c r="AX39" s="127"/>
      <c r="AY39" s="127"/>
      <c r="AZ39" s="127"/>
      <c r="BA39" s="127"/>
      <c r="BB39" s="127"/>
      <c r="BC39" s="128"/>
      <c r="BD39" s="131"/>
      <c r="BE39" s="127"/>
      <c r="BF39" s="127"/>
      <c r="BG39" s="127"/>
      <c r="BH39" s="127"/>
      <c r="BI39" s="127"/>
      <c r="BJ39" s="128"/>
      <c r="BK39" s="4"/>
    </row>
    <row r="40" spans="1:63" ht="15" customHeight="1" x14ac:dyDescent="0.25">
      <c r="A40" s="1"/>
      <c r="B40" s="83"/>
      <c r="C40" s="84"/>
      <c r="D40" s="84"/>
      <c r="E40" s="84"/>
      <c r="F40" s="84"/>
      <c r="G40" s="85"/>
      <c r="H40" s="83"/>
      <c r="I40" s="84"/>
      <c r="J40" s="84"/>
      <c r="K40" s="84"/>
      <c r="L40" s="84"/>
      <c r="M40" s="84"/>
      <c r="N40" s="85"/>
      <c r="O40" s="83"/>
      <c r="P40" s="84"/>
      <c r="Q40" s="84"/>
      <c r="R40" s="84"/>
      <c r="S40" s="133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134"/>
      <c r="AQ40" s="134"/>
      <c r="AR40" s="134"/>
      <c r="AS40" s="134"/>
      <c r="AT40" s="134"/>
      <c r="AU40" s="134"/>
      <c r="AV40" s="134"/>
      <c r="AW40" s="135"/>
      <c r="AX40" s="129"/>
      <c r="AY40" s="129"/>
      <c r="AZ40" s="129"/>
      <c r="BA40" s="129"/>
      <c r="BB40" s="129"/>
      <c r="BC40" s="130"/>
      <c r="BD40" s="132"/>
      <c r="BE40" s="129"/>
      <c r="BF40" s="129"/>
      <c r="BG40" s="129"/>
      <c r="BH40" s="129"/>
      <c r="BI40" s="129"/>
      <c r="BJ40" s="130"/>
      <c r="BK40" s="4"/>
    </row>
    <row r="41" spans="1:63" ht="15" customHeight="1" x14ac:dyDescent="0.25">
      <c r="A41" s="1"/>
      <c r="B41" s="80"/>
      <c r="C41" s="81"/>
      <c r="D41" s="81"/>
      <c r="E41" s="81"/>
      <c r="F41" s="81"/>
      <c r="G41" s="82"/>
      <c r="H41" s="80"/>
      <c r="I41" s="81"/>
      <c r="J41" s="81"/>
      <c r="K41" s="81"/>
      <c r="L41" s="81"/>
      <c r="M41" s="81"/>
      <c r="N41" s="82"/>
      <c r="O41" s="80"/>
      <c r="P41" s="81"/>
      <c r="Q41" s="81"/>
      <c r="R41" s="81"/>
      <c r="S41" s="124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6"/>
      <c r="AX41" s="127"/>
      <c r="AY41" s="127"/>
      <c r="AZ41" s="127"/>
      <c r="BA41" s="127"/>
      <c r="BB41" s="127"/>
      <c r="BC41" s="128"/>
      <c r="BD41" s="131"/>
      <c r="BE41" s="127"/>
      <c r="BF41" s="127"/>
      <c r="BG41" s="127"/>
      <c r="BH41" s="127"/>
      <c r="BI41" s="127"/>
      <c r="BJ41" s="128"/>
      <c r="BK41" s="4"/>
    </row>
    <row r="42" spans="1:63" ht="15" customHeight="1" x14ac:dyDescent="0.25">
      <c r="A42" s="1"/>
      <c r="B42" s="83"/>
      <c r="C42" s="84"/>
      <c r="D42" s="84"/>
      <c r="E42" s="84"/>
      <c r="F42" s="84"/>
      <c r="G42" s="85"/>
      <c r="H42" s="83"/>
      <c r="I42" s="84"/>
      <c r="J42" s="84"/>
      <c r="K42" s="84"/>
      <c r="L42" s="84"/>
      <c r="M42" s="84"/>
      <c r="N42" s="85"/>
      <c r="O42" s="83"/>
      <c r="P42" s="84"/>
      <c r="Q42" s="84"/>
      <c r="R42" s="84"/>
      <c r="S42" s="133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5"/>
      <c r="AX42" s="129"/>
      <c r="AY42" s="129"/>
      <c r="AZ42" s="129"/>
      <c r="BA42" s="129"/>
      <c r="BB42" s="129"/>
      <c r="BC42" s="130"/>
      <c r="BD42" s="132"/>
      <c r="BE42" s="129"/>
      <c r="BF42" s="129"/>
      <c r="BG42" s="129"/>
      <c r="BH42" s="129"/>
      <c r="BI42" s="129"/>
      <c r="BJ42" s="130"/>
      <c r="BK42" s="4"/>
    </row>
    <row r="43" spans="1:63" ht="15" customHeight="1" x14ac:dyDescent="0.25">
      <c r="A43" s="1"/>
      <c r="B43" s="80"/>
      <c r="C43" s="81"/>
      <c r="D43" s="81"/>
      <c r="E43" s="81"/>
      <c r="F43" s="81"/>
      <c r="G43" s="82"/>
      <c r="H43" s="80"/>
      <c r="I43" s="81"/>
      <c r="J43" s="81"/>
      <c r="K43" s="81"/>
      <c r="L43" s="81"/>
      <c r="M43" s="81"/>
      <c r="N43" s="82"/>
      <c r="O43" s="80"/>
      <c r="P43" s="81"/>
      <c r="Q43" s="81"/>
      <c r="R43" s="81"/>
      <c r="S43" s="124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6"/>
      <c r="AX43" s="127"/>
      <c r="AY43" s="127"/>
      <c r="AZ43" s="127"/>
      <c r="BA43" s="127"/>
      <c r="BB43" s="127"/>
      <c r="BC43" s="128"/>
      <c r="BD43" s="131"/>
      <c r="BE43" s="127"/>
      <c r="BF43" s="127"/>
      <c r="BG43" s="127"/>
      <c r="BH43" s="127"/>
      <c r="BI43" s="127"/>
      <c r="BJ43" s="128"/>
      <c r="BK43" s="4"/>
    </row>
    <row r="44" spans="1:63" ht="15" customHeight="1" x14ac:dyDescent="0.25">
      <c r="A44" s="1"/>
      <c r="B44" s="83"/>
      <c r="C44" s="84"/>
      <c r="D44" s="84"/>
      <c r="E44" s="84"/>
      <c r="F44" s="84"/>
      <c r="G44" s="85"/>
      <c r="H44" s="83"/>
      <c r="I44" s="84"/>
      <c r="J44" s="84"/>
      <c r="K44" s="84"/>
      <c r="L44" s="84"/>
      <c r="M44" s="84"/>
      <c r="N44" s="85"/>
      <c r="O44" s="83"/>
      <c r="P44" s="84"/>
      <c r="Q44" s="84"/>
      <c r="R44" s="84"/>
      <c r="S44" s="133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5"/>
      <c r="AX44" s="129"/>
      <c r="AY44" s="129"/>
      <c r="AZ44" s="129"/>
      <c r="BA44" s="129"/>
      <c r="BB44" s="129"/>
      <c r="BC44" s="130"/>
      <c r="BD44" s="132"/>
      <c r="BE44" s="129"/>
      <c r="BF44" s="129"/>
      <c r="BG44" s="129"/>
      <c r="BH44" s="129"/>
      <c r="BI44" s="129"/>
      <c r="BJ44" s="130"/>
      <c r="BK44" s="4"/>
    </row>
    <row r="45" spans="1:63" ht="15" customHeight="1" x14ac:dyDescent="0.25">
      <c r="A45" s="1"/>
      <c r="B45" s="80"/>
      <c r="C45" s="81"/>
      <c r="D45" s="81"/>
      <c r="E45" s="81"/>
      <c r="F45" s="81"/>
      <c r="G45" s="82"/>
      <c r="H45" s="80"/>
      <c r="I45" s="81"/>
      <c r="J45" s="81"/>
      <c r="K45" s="81"/>
      <c r="L45" s="81"/>
      <c r="M45" s="81"/>
      <c r="N45" s="82"/>
      <c r="O45" s="80"/>
      <c r="P45" s="81"/>
      <c r="Q45" s="81"/>
      <c r="R45" s="81"/>
      <c r="S45" s="124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6"/>
      <c r="AX45" s="127"/>
      <c r="AY45" s="127"/>
      <c r="AZ45" s="127"/>
      <c r="BA45" s="127"/>
      <c r="BB45" s="127"/>
      <c r="BC45" s="128"/>
      <c r="BD45" s="131"/>
      <c r="BE45" s="127"/>
      <c r="BF45" s="127"/>
      <c r="BG45" s="127"/>
      <c r="BH45" s="127"/>
      <c r="BI45" s="127"/>
      <c r="BJ45" s="128"/>
      <c r="BK45" s="4"/>
    </row>
    <row r="46" spans="1:63" ht="15" customHeight="1" x14ac:dyDescent="0.25">
      <c r="A46" s="1"/>
      <c r="B46" s="83"/>
      <c r="C46" s="84"/>
      <c r="D46" s="84"/>
      <c r="E46" s="84"/>
      <c r="F46" s="84"/>
      <c r="G46" s="85"/>
      <c r="H46" s="83"/>
      <c r="I46" s="84"/>
      <c r="J46" s="84"/>
      <c r="K46" s="84"/>
      <c r="L46" s="84"/>
      <c r="M46" s="84"/>
      <c r="N46" s="85"/>
      <c r="O46" s="83"/>
      <c r="P46" s="84"/>
      <c r="Q46" s="84"/>
      <c r="R46" s="84"/>
      <c r="S46" s="133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5"/>
      <c r="AX46" s="129"/>
      <c r="AY46" s="129"/>
      <c r="AZ46" s="129"/>
      <c r="BA46" s="129"/>
      <c r="BB46" s="129"/>
      <c r="BC46" s="130"/>
      <c r="BD46" s="132"/>
      <c r="BE46" s="129"/>
      <c r="BF46" s="129"/>
      <c r="BG46" s="129"/>
      <c r="BH46" s="129"/>
      <c r="BI46" s="129"/>
      <c r="BJ46" s="130"/>
      <c r="BK46" s="4"/>
    </row>
    <row r="47" spans="1:63" ht="15" customHeight="1" x14ac:dyDescent="0.25">
      <c r="A47" s="1"/>
      <c r="B47" s="80"/>
      <c r="C47" s="81"/>
      <c r="D47" s="81"/>
      <c r="E47" s="81"/>
      <c r="F47" s="81"/>
      <c r="G47" s="82"/>
      <c r="H47" s="80"/>
      <c r="I47" s="81"/>
      <c r="J47" s="81"/>
      <c r="K47" s="81"/>
      <c r="L47" s="81"/>
      <c r="M47" s="81"/>
      <c r="N47" s="82"/>
      <c r="O47" s="80"/>
      <c r="P47" s="81"/>
      <c r="Q47" s="81"/>
      <c r="R47" s="81"/>
      <c r="S47" s="124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6"/>
      <c r="AX47" s="127"/>
      <c r="AY47" s="127"/>
      <c r="AZ47" s="127"/>
      <c r="BA47" s="127"/>
      <c r="BB47" s="127"/>
      <c r="BC47" s="128"/>
      <c r="BD47" s="131"/>
      <c r="BE47" s="127"/>
      <c r="BF47" s="127"/>
      <c r="BG47" s="127"/>
      <c r="BH47" s="127"/>
      <c r="BI47" s="127"/>
      <c r="BJ47" s="128"/>
      <c r="BK47" s="4"/>
    </row>
    <row r="48" spans="1:63" ht="15" customHeight="1" x14ac:dyDescent="0.25">
      <c r="A48" s="1"/>
      <c r="B48" s="83"/>
      <c r="C48" s="84"/>
      <c r="D48" s="84"/>
      <c r="E48" s="84"/>
      <c r="F48" s="84"/>
      <c r="G48" s="85"/>
      <c r="H48" s="83"/>
      <c r="I48" s="84"/>
      <c r="J48" s="84"/>
      <c r="K48" s="84"/>
      <c r="L48" s="84"/>
      <c r="M48" s="84"/>
      <c r="N48" s="85"/>
      <c r="O48" s="83"/>
      <c r="P48" s="84"/>
      <c r="Q48" s="84"/>
      <c r="R48" s="84"/>
      <c r="S48" s="133"/>
      <c r="T48" s="134"/>
      <c r="U48" s="134"/>
      <c r="V48" s="134"/>
      <c r="W48" s="134"/>
      <c r="X48" s="134"/>
      <c r="Y48" s="134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5"/>
      <c r="AX48" s="129"/>
      <c r="AY48" s="129"/>
      <c r="AZ48" s="129"/>
      <c r="BA48" s="129"/>
      <c r="BB48" s="129"/>
      <c r="BC48" s="130"/>
      <c r="BD48" s="132"/>
      <c r="BE48" s="129"/>
      <c r="BF48" s="129"/>
      <c r="BG48" s="129"/>
      <c r="BH48" s="129"/>
      <c r="BI48" s="129"/>
      <c r="BJ48" s="130"/>
      <c r="BK48" s="4"/>
    </row>
    <row r="49" spans="1:63" ht="15" customHeight="1" x14ac:dyDescent="0.25">
      <c r="A49" s="1"/>
      <c r="B49" s="80"/>
      <c r="C49" s="81"/>
      <c r="D49" s="81"/>
      <c r="E49" s="81"/>
      <c r="F49" s="81"/>
      <c r="G49" s="82"/>
      <c r="H49" s="80"/>
      <c r="I49" s="81"/>
      <c r="J49" s="81"/>
      <c r="K49" s="81"/>
      <c r="L49" s="81"/>
      <c r="M49" s="81"/>
      <c r="N49" s="82"/>
      <c r="O49" s="80"/>
      <c r="P49" s="81"/>
      <c r="Q49" s="81"/>
      <c r="R49" s="81"/>
      <c r="S49" s="124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6"/>
      <c r="AX49" s="127"/>
      <c r="AY49" s="127"/>
      <c r="AZ49" s="127"/>
      <c r="BA49" s="127"/>
      <c r="BB49" s="127"/>
      <c r="BC49" s="128"/>
      <c r="BD49" s="131"/>
      <c r="BE49" s="127"/>
      <c r="BF49" s="127"/>
      <c r="BG49" s="127"/>
      <c r="BH49" s="127"/>
      <c r="BI49" s="127"/>
      <c r="BJ49" s="128"/>
      <c r="BK49" s="4"/>
    </row>
    <row r="50" spans="1:63" ht="15" customHeight="1" x14ac:dyDescent="0.25">
      <c r="A50" s="1"/>
      <c r="B50" s="83"/>
      <c r="C50" s="84"/>
      <c r="D50" s="84"/>
      <c r="E50" s="84"/>
      <c r="F50" s="84"/>
      <c r="G50" s="85"/>
      <c r="H50" s="83"/>
      <c r="I50" s="84"/>
      <c r="J50" s="84"/>
      <c r="K50" s="84"/>
      <c r="L50" s="84"/>
      <c r="M50" s="84"/>
      <c r="N50" s="85"/>
      <c r="O50" s="83"/>
      <c r="P50" s="84"/>
      <c r="Q50" s="84"/>
      <c r="R50" s="84"/>
      <c r="S50" s="133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5"/>
      <c r="AX50" s="129"/>
      <c r="AY50" s="129"/>
      <c r="AZ50" s="129"/>
      <c r="BA50" s="129"/>
      <c r="BB50" s="129"/>
      <c r="BC50" s="130"/>
      <c r="BD50" s="132"/>
      <c r="BE50" s="129"/>
      <c r="BF50" s="129"/>
      <c r="BG50" s="129"/>
      <c r="BH50" s="129"/>
      <c r="BI50" s="129"/>
      <c r="BJ50" s="130"/>
      <c r="BK50" s="4"/>
    </row>
    <row r="51" spans="1:63" ht="15" customHeight="1" x14ac:dyDescent="0.25">
      <c r="A51" s="1"/>
      <c r="B51" s="80"/>
      <c r="C51" s="81"/>
      <c r="D51" s="81"/>
      <c r="E51" s="81"/>
      <c r="F51" s="81"/>
      <c r="G51" s="82"/>
      <c r="H51" s="80"/>
      <c r="I51" s="81"/>
      <c r="J51" s="81"/>
      <c r="K51" s="81"/>
      <c r="L51" s="81"/>
      <c r="M51" s="81"/>
      <c r="N51" s="82"/>
      <c r="O51" s="80"/>
      <c r="P51" s="81"/>
      <c r="Q51" s="81"/>
      <c r="R51" s="81"/>
      <c r="S51" s="124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6"/>
      <c r="AX51" s="127"/>
      <c r="AY51" s="127"/>
      <c r="AZ51" s="127"/>
      <c r="BA51" s="127"/>
      <c r="BB51" s="127"/>
      <c r="BC51" s="128"/>
      <c r="BD51" s="131"/>
      <c r="BE51" s="127"/>
      <c r="BF51" s="127"/>
      <c r="BG51" s="127"/>
      <c r="BH51" s="127"/>
      <c r="BI51" s="127"/>
      <c r="BJ51" s="128"/>
      <c r="BK51" s="4"/>
    </row>
    <row r="52" spans="1:63" ht="15" customHeight="1" x14ac:dyDescent="0.25">
      <c r="A52" s="1"/>
      <c r="B52" s="83"/>
      <c r="C52" s="84"/>
      <c r="D52" s="84"/>
      <c r="E52" s="84"/>
      <c r="F52" s="84"/>
      <c r="G52" s="85"/>
      <c r="H52" s="83"/>
      <c r="I52" s="84"/>
      <c r="J52" s="84"/>
      <c r="K52" s="84"/>
      <c r="L52" s="84"/>
      <c r="M52" s="84"/>
      <c r="N52" s="85"/>
      <c r="O52" s="83"/>
      <c r="P52" s="84"/>
      <c r="Q52" s="84"/>
      <c r="R52" s="84"/>
      <c r="S52" s="133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5"/>
      <c r="AX52" s="129"/>
      <c r="AY52" s="129"/>
      <c r="AZ52" s="129"/>
      <c r="BA52" s="129"/>
      <c r="BB52" s="129"/>
      <c r="BC52" s="130"/>
      <c r="BD52" s="132"/>
      <c r="BE52" s="129"/>
      <c r="BF52" s="129"/>
      <c r="BG52" s="129"/>
      <c r="BH52" s="129"/>
      <c r="BI52" s="129"/>
      <c r="BJ52" s="130"/>
      <c r="BK52" s="4"/>
    </row>
    <row r="53" spans="1:63" ht="15" customHeight="1" x14ac:dyDescent="0.25">
      <c r="A53" s="1"/>
      <c r="B53" s="80"/>
      <c r="C53" s="81"/>
      <c r="D53" s="81"/>
      <c r="E53" s="81"/>
      <c r="F53" s="81"/>
      <c r="G53" s="82"/>
      <c r="H53" s="80"/>
      <c r="I53" s="81"/>
      <c r="J53" s="81"/>
      <c r="K53" s="81"/>
      <c r="L53" s="81"/>
      <c r="M53" s="81"/>
      <c r="N53" s="82"/>
      <c r="O53" s="80"/>
      <c r="P53" s="81"/>
      <c r="Q53" s="81"/>
      <c r="R53" s="81"/>
      <c r="S53" s="124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6"/>
      <c r="AX53" s="127"/>
      <c r="AY53" s="127"/>
      <c r="AZ53" s="127"/>
      <c r="BA53" s="127"/>
      <c r="BB53" s="127"/>
      <c r="BC53" s="128"/>
      <c r="BD53" s="131"/>
      <c r="BE53" s="127"/>
      <c r="BF53" s="127"/>
      <c r="BG53" s="127"/>
      <c r="BH53" s="127"/>
      <c r="BI53" s="127"/>
      <c r="BJ53" s="128"/>
      <c r="BK53" s="4"/>
    </row>
    <row r="54" spans="1:63" ht="15" customHeight="1" x14ac:dyDescent="0.25">
      <c r="A54" s="1"/>
      <c r="B54" s="83"/>
      <c r="C54" s="84"/>
      <c r="D54" s="84"/>
      <c r="E54" s="84"/>
      <c r="F54" s="84"/>
      <c r="G54" s="85"/>
      <c r="H54" s="83"/>
      <c r="I54" s="84"/>
      <c r="J54" s="84"/>
      <c r="K54" s="84"/>
      <c r="L54" s="84"/>
      <c r="M54" s="84"/>
      <c r="N54" s="85"/>
      <c r="O54" s="83"/>
      <c r="P54" s="84"/>
      <c r="Q54" s="84"/>
      <c r="R54" s="84"/>
      <c r="S54" s="133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5"/>
      <c r="AX54" s="129"/>
      <c r="AY54" s="129"/>
      <c r="AZ54" s="129"/>
      <c r="BA54" s="129"/>
      <c r="BB54" s="129"/>
      <c r="BC54" s="130"/>
      <c r="BD54" s="132"/>
      <c r="BE54" s="129"/>
      <c r="BF54" s="129"/>
      <c r="BG54" s="129"/>
      <c r="BH54" s="129"/>
      <c r="BI54" s="129"/>
      <c r="BJ54" s="130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37" t="s">
        <v>29</v>
      </c>
      <c r="B1" s="138"/>
      <c r="C1" s="138"/>
      <c r="D1" s="138"/>
      <c r="E1" s="138"/>
      <c r="F1" s="138"/>
      <c r="G1" s="138"/>
      <c r="H1" s="138"/>
      <c r="I1" s="138"/>
      <c r="J1" s="139"/>
      <c r="K1" s="137" t="s">
        <v>30</v>
      </c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50" t="str">
        <f>IF(表紙!W1="","",表紙!W1)</f>
        <v>詳細設計書</v>
      </c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77" t="s">
        <v>31</v>
      </c>
      <c r="AQ1" s="78"/>
      <c r="AR1" s="78"/>
      <c r="AS1" s="79"/>
      <c r="AT1" s="77" t="s">
        <v>32</v>
      </c>
      <c r="AU1" s="78"/>
      <c r="AV1" s="78"/>
      <c r="AW1" s="78"/>
      <c r="AX1" s="79"/>
      <c r="AY1" s="77" t="s">
        <v>33</v>
      </c>
      <c r="AZ1" s="78"/>
      <c r="BA1" s="78"/>
      <c r="BB1" s="79"/>
      <c r="BC1" s="77" t="s">
        <v>34</v>
      </c>
      <c r="BD1" s="78"/>
      <c r="BE1" s="78"/>
      <c r="BF1" s="78"/>
      <c r="BG1" s="79"/>
      <c r="BH1" s="77" t="s">
        <v>35</v>
      </c>
      <c r="BI1" s="78"/>
      <c r="BJ1" s="78"/>
      <c r="BK1" s="79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153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5"/>
      <c r="AP2" s="80" t="str">
        <f>IF(表紙!AP2="","",表紙!AP2)</f>
        <v>SonMNT</v>
      </c>
      <c r="AQ2" s="81"/>
      <c r="AR2" s="81"/>
      <c r="AS2" s="82"/>
      <c r="AT2" s="108">
        <f>IF(表紙!AT2="","",表紙!AT2)</f>
        <v>45498</v>
      </c>
      <c r="AU2" s="109"/>
      <c r="AV2" s="109"/>
      <c r="AW2" s="109"/>
      <c r="AX2" s="110"/>
      <c r="AY2" s="80" t="str">
        <f>IF(表紙!AY2="","",表紙!AY2)</f>
        <v>SonMNT</v>
      </c>
      <c r="AZ2" s="81"/>
      <c r="BA2" s="81"/>
      <c r="BB2" s="82"/>
      <c r="BC2" s="108">
        <f>IF(表紙!BC2="","",表紙!BC2)</f>
        <v>45498</v>
      </c>
      <c r="BD2" s="109"/>
      <c r="BE2" s="109"/>
      <c r="BF2" s="109"/>
      <c r="BG2" s="110"/>
      <c r="BH2" s="80">
        <f>IF(表紙!BH2="","",表紙!BH2)</f>
        <v>0.1</v>
      </c>
      <c r="BI2" s="81"/>
      <c r="BJ2" s="81"/>
      <c r="BK2" s="82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156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8"/>
      <c r="AP3" s="83"/>
      <c r="AQ3" s="84"/>
      <c r="AR3" s="84"/>
      <c r="AS3" s="85"/>
      <c r="AT3" s="111"/>
      <c r="AU3" s="112"/>
      <c r="AV3" s="112"/>
      <c r="AW3" s="112"/>
      <c r="AX3" s="113"/>
      <c r="AY3" s="83"/>
      <c r="AZ3" s="84"/>
      <c r="BA3" s="84"/>
      <c r="BB3" s="85"/>
      <c r="BC3" s="111"/>
      <c r="BD3" s="112"/>
      <c r="BE3" s="112"/>
      <c r="BF3" s="112"/>
      <c r="BG3" s="113"/>
      <c r="BH3" s="83"/>
      <c r="BI3" s="84"/>
      <c r="BJ3" s="84"/>
      <c r="BK3" s="85"/>
    </row>
    <row r="4" spans="1:63" ht="24.95" customHeight="1" x14ac:dyDescent="0.25">
      <c r="A4" s="137" t="s">
        <v>36</v>
      </c>
      <c r="B4" s="138"/>
      <c r="C4" s="138"/>
      <c r="D4" s="138"/>
      <c r="E4" s="138"/>
      <c r="F4" s="138"/>
      <c r="G4" s="139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37" t="s">
        <v>37</v>
      </c>
      <c r="V4" s="138"/>
      <c r="W4" s="138"/>
      <c r="X4" s="138"/>
      <c r="Y4" s="139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処理フロー凡例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customFormat="1" ht="15" customHeight="1" x14ac:dyDescent="0.25">
      <c r="A7" s="50"/>
      <c r="B7" s="51" t="s">
        <v>45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25"/>
    </row>
    <row r="8" spans="1:63" s="21" customFormat="1" ht="15" customHeight="1" x14ac:dyDescent="0.25">
      <c r="BK8" s="25"/>
    </row>
    <row r="9" spans="1:63" s="21" customFormat="1" ht="15" customHeight="1" x14ac:dyDescent="0.25">
      <c r="BK9" s="25"/>
    </row>
    <row r="10" spans="1:63" s="21" customFormat="1" ht="15" customHeight="1" x14ac:dyDescent="0.25">
      <c r="BK10" s="25"/>
    </row>
    <row r="11" spans="1:63" s="21" customFormat="1" ht="15" customHeight="1" x14ac:dyDescent="0.25">
      <c r="BK11" s="25"/>
    </row>
    <row r="12" spans="1:63" s="21" customFormat="1" ht="15" customHeight="1" x14ac:dyDescent="0.25">
      <c r="BK12" s="25"/>
    </row>
    <row r="13" spans="1:63" s="21" customFormat="1" ht="15" customHeight="1" x14ac:dyDescent="0.25">
      <c r="BK13" s="25"/>
    </row>
    <row r="14" spans="1:63" s="21" customFormat="1" ht="15" customHeight="1" x14ac:dyDescent="0.25">
      <c r="BK14" s="25"/>
    </row>
    <row r="15" spans="1:63" s="21" customFormat="1" ht="15" customHeight="1" x14ac:dyDescent="0.25">
      <c r="BK15" s="25"/>
    </row>
    <row r="16" spans="1:63" s="21" customFormat="1" ht="15" customHeight="1" x14ac:dyDescent="0.25">
      <c r="BK16" s="25"/>
    </row>
    <row r="17" spans="63:63" s="21" customFormat="1" ht="15" customHeight="1" x14ac:dyDescent="0.25">
      <c r="BK17" s="25"/>
    </row>
    <row r="18" spans="63:63" s="21" customFormat="1" ht="15" customHeight="1" x14ac:dyDescent="0.25">
      <c r="BK18" s="25"/>
    </row>
    <row r="19" spans="63:63" s="21" customFormat="1" ht="15" customHeight="1" x14ac:dyDescent="0.25">
      <c r="BK19" s="25"/>
    </row>
    <row r="20" spans="63:63" s="21" customFormat="1" ht="15" customHeight="1" x14ac:dyDescent="0.25">
      <c r="BK20" s="25"/>
    </row>
    <row r="21" spans="63:63" s="21" customFormat="1" ht="15" customHeight="1" x14ac:dyDescent="0.25">
      <c r="BK21" s="25"/>
    </row>
    <row r="22" spans="63:63" s="21" customFormat="1" ht="15" customHeight="1" x14ac:dyDescent="0.25">
      <c r="BK22" s="25"/>
    </row>
    <row r="23" spans="63:63" s="21" customFormat="1" ht="15" customHeight="1" x14ac:dyDescent="0.25">
      <c r="BK23" s="25"/>
    </row>
    <row r="24" spans="63:63" s="21" customFormat="1" ht="15" customHeight="1" x14ac:dyDescent="0.25">
      <c r="BK24" s="25"/>
    </row>
    <row r="25" spans="63:63" s="21" customFormat="1" ht="15" customHeight="1" x14ac:dyDescent="0.25">
      <c r="BK25" s="25"/>
    </row>
    <row r="26" spans="63:63" s="21" customFormat="1" ht="15" customHeight="1" x14ac:dyDescent="0.25">
      <c r="BK26" s="25"/>
    </row>
    <row r="27" spans="63:63" s="21" customFormat="1" ht="15" customHeight="1" x14ac:dyDescent="0.25">
      <c r="BK27" s="25"/>
    </row>
    <row r="28" spans="63:63" s="21" customFormat="1" ht="15" customHeight="1" x14ac:dyDescent="0.25">
      <c r="BK28" s="25"/>
    </row>
    <row r="29" spans="63:63" s="21" customFormat="1" ht="15" customHeight="1" x14ac:dyDescent="0.25">
      <c r="BK29" s="25"/>
    </row>
    <row r="30" spans="63:63" s="21" customFormat="1" ht="15" customHeight="1" x14ac:dyDescent="0.25">
      <c r="BK30" s="25"/>
    </row>
    <row r="31" spans="63:63" s="21" customFormat="1" ht="15" customHeight="1" x14ac:dyDescent="0.25">
      <c r="BK31" s="25"/>
    </row>
    <row r="32" spans="63:63" s="21" customFormat="1" ht="15" customHeight="1" x14ac:dyDescent="0.25">
      <c r="BK32" s="25"/>
    </row>
    <row r="33" spans="63:63" s="21" customFormat="1" ht="15" customHeight="1" x14ac:dyDescent="0.25">
      <c r="BK33" s="25"/>
    </row>
    <row r="34" spans="63:63" s="21" customFormat="1" ht="15" customHeight="1" x14ac:dyDescent="0.25">
      <c r="BK34" s="25"/>
    </row>
    <row r="35" spans="63:63" s="21" customFormat="1" ht="15" customHeight="1" x14ac:dyDescent="0.25">
      <c r="BK35" s="25"/>
    </row>
    <row r="36" spans="63:63" s="21" customFormat="1" ht="15" customHeight="1" x14ac:dyDescent="0.25">
      <c r="BK36" s="25"/>
    </row>
    <row r="37" spans="63:63" s="21" customFormat="1" ht="15" customHeight="1" x14ac:dyDescent="0.25">
      <c r="BK37" s="25"/>
    </row>
    <row r="38" spans="63:63" s="21" customFormat="1" ht="15" customHeight="1" x14ac:dyDescent="0.25">
      <c r="BK38" s="25"/>
    </row>
    <row r="39" spans="63:63" s="21" customFormat="1" ht="15" customHeight="1" x14ac:dyDescent="0.25">
      <c r="BK39" s="25"/>
    </row>
    <row r="40" spans="63:63" s="21" customFormat="1" ht="15" customHeight="1" x14ac:dyDescent="0.25">
      <c r="BK40" s="25"/>
    </row>
    <row r="41" spans="63:63" s="21" customFormat="1" ht="15" customHeight="1" x14ac:dyDescent="0.25">
      <c r="BK41" s="25"/>
    </row>
    <row r="42" spans="63:63" s="21" customFormat="1" ht="15" customHeight="1" x14ac:dyDescent="0.25">
      <c r="BK42" s="25"/>
    </row>
    <row r="43" spans="63:63" s="21" customFormat="1" ht="15" customHeight="1" x14ac:dyDescent="0.25">
      <c r="BK43" s="25"/>
    </row>
    <row r="44" spans="63:63" s="21" customFormat="1" ht="15" customHeight="1" x14ac:dyDescent="0.25">
      <c r="BK44" s="25"/>
    </row>
    <row r="45" spans="63:63" s="21" customFormat="1" ht="15" customHeight="1" x14ac:dyDescent="0.25">
      <c r="BK45" s="25"/>
    </row>
    <row r="46" spans="63:63" s="21" customFormat="1" ht="15" customHeight="1" x14ac:dyDescent="0.25">
      <c r="BK46" s="25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17" width="2.77734375" style="16" customWidth="1"/>
    <col min="18" max="18" width="2.6640625" style="16" customWidth="1"/>
    <col min="19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AP6201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33" customFormat="1" ht="15" customHeight="1" x14ac:dyDescent="0.25">
      <c r="A7" s="28"/>
      <c r="B7" s="29" t="s">
        <v>79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65"/>
      <c r="AQ7" s="65"/>
      <c r="AR7" s="65"/>
      <c r="AS7" s="65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66"/>
      <c r="AQ8" s="66"/>
      <c r="AR8" s="66"/>
      <c r="AS8" s="66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6"/>
      <c r="BI8" s="36"/>
      <c r="BJ8" s="36"/>
      <c r="BK8" s="32"/>
    </row>
    <row r="9" spans="1:63" s="33" customFormat="1" ht="15" customHeight="1" x14ac:dyDescent="0.25">
      <c r="A9" s="28"/>
      <c r="B9" s="34"/>
      <c r="C9" s="35" t="s">
        <v>66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66"/>
      <c r="AQ9" s="66"/>
      <c r="AR9" s="66"/>
      <c r="AS9" s="66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6"/>
      <c r="BI9" s="36"/>
      <c r="BJ9" s="36"/>
      <c r="BK9" s="32"/>
    </row>
    <row r="10" spans="1:63" s="33" customFormat="1" ht="15" customHeight="1" x14ac:dyDescent="0.25">
      <c r="A10" s="28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6"/>
      <c r="BI10" s="36"/>
      <c r="BJ10" s="36"/>
      <c r="BK10" s="32"/>
    </row>
    <row r="11" spans="1:63" s="33" customFormat="1" ht="15" customHeight="1" x14ac:dyDescent="0.25">
      <c r="A11" s="28"/>
      <c r="B11" s="37" t="s">
        <v>80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33" customFormat="1" ht="15" customHeight="1" x14ac:dyDescent="0.25">
      <c r="A12" s="28"/>
      <c r="B12" s="35"/>
      <c r="C12" s="38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6"/>
      <c r="BI12" s="36"/>
      <c r="BJ12" s="36"/>
      <c r="BK12" s="32"/>
    </row>
    <row r="13" spans="1:63" s="33" customFormat="1" ht="15" customHeight="1" x14ac:dyDescent="0.25">
      <c r="A13" s="28"/>
      <c r="B13" s="35"/>
      <c r="C13" s="38" t="s">
        <v>81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6"/>
      <c r="BI13" s="36"/>
      <c r="BJ13" s="36"/>
      <c r="BK13" s="32"/>
    </row>
    <row r="14" spans="1:63" s="33" customFormat="1" ht="15" customHeight="1" x14ac:dyDescent="0.25">
      <c r="A14" s="28"/>
      <c r="B14" s="35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6"/>
      <c r="BI14" s="36"/>
      <c r="BJ14" s="36"/>
      <c r="BK14" s="32"/>
    </row>
    <row r="15" spans="1:63" s="33" customFormat="1" ht="15" customHeight="1" x14ac:dyDescent="0.25">
      <c r="A15" s="28"/>
      <c r="B15" s="35"/>
      <c r="C15" s="161" t="s">
        <v>28</v>
      </c>
      <c r="D15" s="163"/>
      <c r="E15" s="161" t="s">
        <v>38</v>
      </c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3"/>
      <c r="AG15" s="161" t="s">
        <v>39</v>
      </c>
      <c r="AH15" s="162"/>
      <c r="AI15" s="162"/>
      <c r="AJ15" s="162"/>
      <c r="AK15" s="162"/>
      <c r="AL15" s="162"/>
      <c r="AM15" s="162"/>
      <c r="AN15" s="162"/>
      <c r="AO15" s="162"/>
      <c r="AP15" s="163"/>
      <c r="AQ15" s="161" t="s">
        <v>40</v>
      </c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3"/>
      <c r="BK15" s="32"/>
    </row>
    <row r="16" spans="1:63" s="33" customFormat="1" ht="15" customHeight="1" x14ac:dyDescent="0.25">
      <c r="A16" s="28"/>
      <c r="B16" s="35"/>
      <c r="C16" s="159">
        <v>1</v>
      </c>
      <c r="D16" s="160"/>
      <c r="E16" s="227" t="s">
        <v>61</v>
      </c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9"/>
      <c r="AG16" s="159" t="s">
        <v>62</v>
      </c>
      <c r="AH16" s="181"/>
      <c r="AI16" s="181"/>
      <c r="AJ16" s="181"/>
      <c r="AK16" s="181"/>
      <c r="AL16" s="181"/>
      <c r="AM16" s="181"/>
      <c r="AN16" s="181"/>
      <c r="AO16" s="181"/>
      <c r="AP16" s="160"/>
      <c r="AQ16" s="169" t="s">
        <v>22</v>
      </c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1"/>
      <c r="BK16" s="32"/>
    </row>
    <row r="17" spans="1:63" s="33" customFormat="1" ht="15" customHeight="1" x14ac:dyDescent="0.25">
      <c r="A17" s="28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6"/>
      <c r="BI17" s="36"/>
      <c r="BJ17" s="36"/>
      <c r="BK17" s="32"/>
    </row>
    <row r="18" spans="1:63" s="33" customFormat="1" ht="15" customHeight="1" x14ac:dyDescent="0.25">
      <c r="A18" s="28"/>
      <c r="B18" s="35"/>
      <c r="C18" s="38" t="s">
        <v>82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6"/>
      <c r="BI18" s="36"/>
      <c r="BJ18" s="36"/>
      <c r="BK18" s="32"/>
    </row>
    <row r="19" spans="1:63" s="33" customFormat="1" ht="15" customHeight="1" x14ac:dyDescent="0.25">
      <c r="A19" s="28"/>
      <c r="B19" s="35"/>
      <c r="C19" s="3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6"/>
      <c r="BI19" s="36"/>
      <c r="BJ19" s="36"/>
      <c r="BK19" s="32"/>
    </row>
    <row r="20" spans="1:63" s="33" customFormat="1" ht="15" customHeight="1" x14ac:dyDescent="0.25">
      <c r="A20" s="28"/>
      <c r="B20" s="35"/>
      <c r="C20" s="164" t="s">
        <v>83</v>
      </c>
      <c r="D20" s="165"/>
      <c r="E20" s="164" t="s">
        <v>84</v>
      </c>
      <c r="F20" s="224"/>
      <c r="G20" s="224"/>
      <c r="H20" s="224"/>
      <c r="I20" s="224"/>
      <c r="J20" s="224"/>
      <c r="K20" s="165"/>
      <c r="L20" s="161" t="s">
        <v>41</v>
      </c>
      <c r="M20" s="162"/>
      <c r="N20" s="163"/>
      <c r="O20" s="161" t="s">
        <v>42</v>
      </c>
      <c r="P20" s="162"/>
      <c r="Q20" s="162"/>
      <c r="R20" s="163"/>
      <c r="S20" s="161" t="s">
        <v>43</v>
      </c>
      <c r="T20" s="162"/>
      <c r="U20" s="162"/>
      <c r="V20" s="162"/>
      <c r="W20" s="162"/>
      <c r="X20" s="162"/>
      <c r="Y20" s="163"/>
      <c r="Z20" s="164" t="s">
        <v>85</v>
      </c>
      <c r="AA20" s="224"/>
      <c r="AB20" s="224"/>
      <c r="AC20" s="224"/>
      <c r="AD20" s="224"/>
      <c r="AE20" s="224"/>
      <c r="AF20" s="224"/>
      <c r="AG20" s="224"/>
      <c r="AH20" s="224"/>
      <c r="AI20" s="224"/>
      <c r="AJ20" s="224"/>
      <c r="AK20" s="224"/>
      <c r="AL20" s="224"/>
      <c r="AM20" s="224"/>
      <c r="AN20" s="224"/>
      <c r="AO20" s="224"/>
      <c r="AP20" s="165"/>
      <c r="AQ20" s="161" t="s">
        <v>40</v>
      </c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3"/>
      <c r="BK20" s="32"/>
    </row>
    <row r="21" spans="1:63" s="33" customFormat="1" ht="15" customHeight="1" x14ac:dyDescent="0.25">
      <c r="A21" s="28"/>
      <c r="B21" s="35"/>
      <c r="C21" s="182">
        <v>1</v>
      </c>
      <c r="D21" s="183"/>
      <c r="E21" s="218" t="s">
        <v>19</v>
      </c>
      <c r="F21" s="219"/>
      <c r="G21" s="219"/>
      <c r="H21" s="219"/>
      <c r="I21" s="219"/>
      <c r="J21" s="219"/>
      <c r="K21" s="220"/>
      <c r="L21" s="230" t="s">
        <v>20</v>
      </c>
      <c r="M21" s="231"/>
      <c r="N21" s="232"/>
      <c r="O21" s="182" t="s">
        <v>21</v>
      </c>
      <c r="P21" s="216"/>
      <c r="Q21" s="216"/>
      <c r="R21" s="183"/>
      <c r="S21" s="182" t="s">
        <v>22</v>
      </c>
      <c r="T21" s="216"/>
      <c r="U21" s="216"/>
      <c r="V21" s="216"/>
      <c r="W21" s="216"/>
      <c r="X21" s="216"/>
      <c r="Y21" s="183"/>
      <c r="Z21" s="218" t="s">
        <v>23</v>
      </c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20"/>
      <c r="AQ21" s="210" t="s">
        <v>86</v>
      </c>
      <c r="AR21" s="211"/>
      <c r="AS21" s="211"/>
      <c r="AT21" s="211"/>
      <c r="AU21" s="211"/>
      <c r="AV21" s="211"/>
      <c r="AW21" s="211"/>
      <c r="AX21" s="211"/>
      <c r="AY21" s="211"/>
      <c r="AZ21" s="211"/>
      <c r="BA21" s="211"/>
      <c r="BB21" s="211"/>
      <c r="BC21" s="211"/>
      <c r="BD21" s="211"/>
      <c r="BE21" s="211"/>
      <c r="BF21" s="211"/>
      <c r="BG21" s="211"/>
      <c r="BH21" s="211"/>
      <c r="BI21" s="211"/>
      <c r="BJ21" s="212"/>
      <c r="BK21" s="32"/>
    </row>
    <row r="22" spans="1:63" s="33" customFormat="1" ht="15" customHeight="1" x14ac:dyDescent="0.25">
      <c r="A22" s="28"/>
      <c r="B22" s="35"/>
      <c r="C22" s="184"/>
      <c r="D22" s="185"/>
      <c r="E22" s="221"/>
      <c r="F22" s="222"/>
      <c r="G22" s="222"/>
      <c r="H22" s="222"/>
      <c r="I22" s="222"/>
      <c r="J22" s="222"/>
      <c r="K22" s="223"/>
      <c r="L22" s="233"/>
      <c r="M22" s="234"/>
      <c r="N22" s="235"/>
      <c r="O22" s="184"/>
      <c r="P22" s="217"/>
      <c r="Q22" s="217"/>
      <c r="R22" s="185"/>
      <c r="S22" s="184"/>
      <c r="T22" s="217"/>
      <c r="U22" s="217"/>
      <c r="V22" s="217"/>
      <c r="W22" s="217"/>
      <c r="X22" s="217"/>
      <c r="Y22" s="185"/>
      <c r="Z22" s="221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3"/>
      <c r="AQ22" s="213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5"/>
      <c r="BK22" s="32"/>
    </row>
    <row r="23" spans="1:63" s="33" customFormat="1" ht="15" customHeight="1" x14ac:dyDescent="0.25">
      <c r="A23" s="28"/>
      <c r="B23" s="35"/>
      <c r="C23" s="159">
        <v>2</v>
      </c>
      <c r="D23" s="160"/>
      <c r="E23" s="175" t="s">
        <v>24</v>
      </c>
      <c r="F23" s="176"/>
      <c r="G23" s="176"/>
      <c r="H23" s="176"/>
      <c r="I23" s="176"/>
      <c r="J23" s="176"/>
      <c r="K23" s="177"/>
      <c r="L23" s="251" t="s">
        <v>22</v>
      </c>
      <c r="M23" s="179"/>
      <c r="N23" s="180"/>
      <c r="O23" s="159" t="s">
        <v>21</v>
      </c>
      <c r="P23" s="181"/>
      <c r="Q23" s="181"/>
      <c r="R23" s="160"/>
      <c r="S23" s="159" t="s">
        <v>22</v>
      </c>
      <c r="T23" s="181"/>
      <c r="U23" s="181"/>
      <c r="V23" s="181"/>
      <c r="W23" s="181"/>
      <c r="X23" s="181"/>
      <c r="Y23" s="160"/>
      <c r="Z23" s="175" t="s">
        <v>24</v>
      </c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7"/>
      <c r="AQ23" s="172" t="s">
        <v>22</v>
      </c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4"/>
      <c r="BK23" s="32"/>
    </row>
    <row r="24" spans="1:63" s="33" customFormat="1" ht="15" customHeight="1" x14ac:dyDescent="0.25">
      <c r="A24" s="28"/>
      <c r="B24" s="35"/>
      <c r="C24" s="182">
        <v>3</v>
      </c>
      <c r="D24" s="183"/>
      <c r="E24" s="218" t="s">
        <v>25</v>
      </c>
      <c r="F24" s="219"/>
      <c r="G24" s="219"/>
      <c r="H24" s="219"/>
      <c r="I24" s="219"/>
      <c r="J24" s="219"/>
      <c r="K24" s="220"/>
      <c r="L24" s="252" t="s">
        <v>20</v>
      </c>
      <c r="M24" s="253"/>
      <c r="N24" s="254"/>
      <c r="O24" s="248" t="s">
        <v>21</v>
      </c>
      <c r="P24" s="249"/>
      <c r="Q24" s="249"/>
      <c r="R24" s="250"/>
      <c r="S24" s="69" t="s">
        <v>50</v>
      </c>
      <c r="T24" s="70"/>
      <c r="U24" s="70"/>
      <c r="V24" s="70"/>
      <c r="W24" s="70"/>
      <c r="X24" s="70"/>
      <c r="Y24" s="71"/>
      <c r="Z24" s="255" t="s">
        <v>25</v>
      </c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7"/>
      <c r="AQ24" s="172" t="s">
        <v>22</v>
      </c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4"/>
      <c r="BK24" s="32"/>
    </row>
    <row r="25" spans="1:63" s="33" customFormat="1" ht="15" customHeight="1" x14ac:dyDescent="0.25">
      <c r="A25" s="28"/>
      <c r="B25" s="35"/>
      <c r="C25" s="159">
        <v>4</v>
      </c>
      <c r="D25" s="160"/>
      <c r="E25" s="175" t="s">
        <v>26</v>
      </c>
      <c r="F25" s="176"/>
      <c r="G25" s="176"/>
      <c r="H25" s="176"/>
      <c r="I25" s="176"/>
      <c r="J25" s="176"/>
      <c r="K25" s="177"/>
      <c r="L25" s="251" t="s">
        <v>22</v>
      </c>
      <c r="M25" s="179"/>
      <c r="N25" s="180"/>
      <c r="O25" s="159" t="s">
        <v>21</v>
      </c>
      <c r="P25" s="181"/>
      <c r="Q25" s="181"/>
      <c r="R25" s="160"/>
      <c r="S25" s="159" t="s">
        <v>22</v>
      </c>
      <c r="T25" s="181"/>
      <c r="U25" s="181"/>
      <c r="V25" s="181"/>
      <c r="W25" s="181"/>
      <c r="X25" s="181"/>
      <c r="Y25" s="160"/>
      <c r="Z25" s="175" t="s">
        <v>26</v>
      </c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7"/>
      <c r="AQ25" s="172" t="s">
        <v>22</v>
      </c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3"/>
      <c r="BC25" s="173"/>
      <c r="BD25" s="173"/>
      <c r="BE25" s="173"/>
      <c r="BF25" s="173"/>
      <c r="BG25" s="173"/>
      <c r="BH25" s="173"/>
      <c r="BI25" s="173"/>
      <c r="BJ25" s="174"/>
      <c r="BK25" s="32"/>
    </row>
    <row r="26" spans="1:63" s="33" customFormat="1" ht="15" customHeight="1" x14ac:dyDescent="0.25">
      <c r="A26" s="28"/>
      <c r="B26" s="35"/>
      <c r="C26" s="159">
        <v>5</v>
      </c>
      <c r="D26" s="160"/>
      <c r="E26" s="175" t="s">
        <v>27</v>
      </c>
      <c r="F26" s="176"/>
      <c r="G26" s="176"/>
      <c r="H26" s="176"/>
      <c r="I26" s="176"/>
      <c r="J26" s="176"/>
      <c r="K26" s="177"/>
      <c r="L26" s="251" t="s">
        <v>22</v>
      </c>
      <c r="M26" s="179"/>
      <c r="N26" s="180"/>
      <c r="O26" s="159" t="s">
        <v>21</v>
      </c>
      <c r="P26" s="181"/>
      <c r="Q26" s="181"/>
      <c r="R26" s="160"/>
      <c r="S26" s="159" t="s">
        <v>22</v>
      </c>
      <c r="T26" s="181"/>
      <c r="U26" s="181"/>
      <c r="V26" s="181"/>
      <c r="W26" s="181"/>
      <c r="X26" s="181"/>
      <c r="Y26" s="160"/>
      <c r="Z26" s="175" t="s">
        <v>27</v>
      </c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7"/>
      <c r="AQ26" s="172" t="s">
        <v>22</v>
      </c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3"/>
      <c r="BC26" s="173"/>
      <c r="BD26" s="173"/>
      <c r="BE26" s="173"/>
      <c r="BF26" s="173"/>
      <c r="BG26" s="173"/>
      <c r="BH26" s="173"/>
      <c r="BI26" s="173"/>
      <c r="BJ26" s="174"/>
      <c r="BK26" s="32"/>
    </row>
    <row r="27" spans="1:63" s="33" customFormat="1" ht="15" customHeight="1" x14ac:dyDescent="0.25">
      <c r="A27" s="28"/>
      <c r="B27" s="35"/>
      <c r="C27" s="35"/>
      <c r="D27" s="35"/>
      <c r="E27" s="66"/>
      <c r="F27" s="66"/>
      <c r="G27" s="66"/>
      <c r="H27" s="66"/>
      <c r="I27" s="35"/>
      <c r="J27" s="35"/>
      <c r="K27" s="35"/>
      <c r="L27" s="41"/>
      <c r="M27" s="66"/>
      <c r="N27" s="66"/>
      <c r="O27" s="66"/>
      <c r="P27" s="66"/>
      <c r="Q27" s="35"/>
      <c r="R27" s="35"/>
      <c r="S27" s="35"/>
      <c r="T27" s="35"/>
      <c r="U27" s="35"/>
      <c r="V27" s="35"/>
      <c r="W27" s="35"/>
      <c r="X27" s="35"/>
      <c r="Y27" s="35"/>
      <c r="Z27" s="39"/>
      <c r="AA27" s="35"/>
      <c r="AB27" s="35"/>
      <c r="AC27" s="35"/>
      <c r="AD27" s="35"/>
      <c r="AE27" s="35"/>
      <c r="AF27" s="35"/>
      <c r="AG27" s="66"/>
      <c r="AH27" s="66"/>
      <c r="AI27" s="66"/>
      <c r="AJ27" s="66"/>
      <c r="AK27" s="66"/>
      <c r="AL27" s="66"/>
      <c r="AM27" s="66"/>
      <c r="AN27" s="66"/>
      <c r="AO27" s="66"/>
      <c r="AP27" s="35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36"/>
      <c r="BI27" s="36"/>
      <c r="BJ27" s="36"/>
      <c r="BK27" s="32"/>
    </row>
    <row r="28" spans="1:63" s="33" customFormat="1" ht="15" customHeight="1" x14ac:dyDescent="0.25">
      <c r="A28" s="28"/>
      <c r="B28" s="35"/>
      <c r="C28" s="38" t="s">
        <v>87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6"/>
      <c r="BI28" s="36"/>
      <c r="BJ28" s="36"/>
      <c r="BK28" s="32"/>
    </row>
    <row r="29" spans="1:63" s="33" customFormat="1" ht="15" customHeight="1" x14ac:dyDescent="0.25">
      <c r="A29" s="28"/>
      <c r="B29" s="35"/>
      <c r="C29" s="3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6"/>
      <c r="BI29" s="36"/>
      <c r="BJ29" s="36"/>
      <c r="BK29" s="32"/>
    </row>
    <row r="30" spans="1:63" s="33" customFormat="1" ht="15" customHeight="1" x14ac:dyDescent="0.25">
      <c r="A30" s="28"/>
      <c r="B30" s="35"/>
      <c r="C30" s="239" t="s">
        <v>28</v>
      </c>
      <c r="D30" s="240"/>
      <c r="E30" s="164" t="s">
        <v>88</v>
      </c>
      <c r="F30" s="225"/>
      <c r="G30" s="225"/>
      <c r="H30" s="225"/>
      <c r="I30" s="225"/>
      <c r="J30" s="225"/>
      <c r="K30" s="226"/>
      <c r="L30" s="161" t="s">
        <v>41</v>
      </c>
      <c r="M30" s="162"/>
      <c r="N30" s="163"/>
      <c r="O30" s="161" t="s">
        <v>42</v>
      </c>
      <c r="P30" s="162"/>
      <c r="Q30" s="162"/>
      <c r="R30" s="163"/>
      <c r="S30" s="161" t="s">
        <v>43</v>
      </c>
      <c r="T30" s="162"/>
      <c r="U30" s="162"/>
      <c r="V30" s="162"/>
      <c r="W30" s="162"/>
      <c r="X30" s="162"/>
      <c r="Y30" s="163"/>
      <c r="Z30" s="164" t="s">
        <v>85</v>
      </c>
      <c r="AA30" s="224"/>
      <c r="AB30" s="224"/>
      <c r="AC30" s="224"/>
      <c r="AD30" s="224"/>
      <c r="AE30" s="224"/>
      <c r="AF30" s="224"/>
      <c r="AG30" s="224"/>
      <c r="AH30" s="224"/>
      <c r="AI30" s="224"/>
      <c r="AJ30" s="224"/>
      <c r="AK30" s="224"/>
      <c r="AL30" s="224"/>
      <c r="AM30" s="224"/>
      <c r="AN30" s="224"/>
      <c r="AO30" s="224"/>
      <c r="AP30" s="165"/>
      <c r="AQ30" s="241" t="s">
        <v>40</v>
      </c>
      <c r="AR30" s="242"/>
      <c r="AS30" s="242"/>
      <c r="AT30" s="242"/>
      <c r="AU30" s="242"/>
      <c r="AV30" s="242"/>
      <c r="AW30" s="242"/>
      <c r="AX30" s="242"/>
      <c r="AY30" s="242"/>
      <c r="AZ30" s="242"/>
      <c r="BA30" s="242"/>
      <c r="BB30" s="242"/>
      <c r="BC30" s="242"/>
      <c r="BD30" s="242"/>
      <c r="BE30" s="242"/>
      <c r="BF30" s="242"/>
      <c r="BG30" s="242"/>
      <c r="BH30" s="242"/>
      <c r="BI30" s="242"/>
      <c r="BJ30" s="243"/>
      <c r="BK30" s="32"/>
    </row>
    <row r="31" spans="1:63" s="33" customFormat="1" ht="15" customHeight="1" x14ac:dyDescent="0.25">
      <c r="A31" s="28"/>
      <c r="B31" s="35"/>
      <c r="C31" s="159">
        <v>1</v>
      </c>
      <c r="D31" s="160"/>
      <c r="E31" s="175" t="s">
        <v>48</v>
      </c>
      <c r="F31" s="176"/>
      <c r="G31" s="176"/>
      <c r="H31" s="176"/>
      <c r="I31" s="176"/>
      <c r="J31" s="176"/>
      <c r="K31" s="177"/>
      <c r="L31" s="178" t="s">
        <v>20</v>
      </c>
      <c r="M31" s="179"/>
      <c r="N31" s="180"/>
      <c r="O31" s="159" t="s">
        <v>67</v>
      </c>
      <c r="P31" s="181"/>
      <c r="Q31" s="181"/>
      <c r="R31" s="160"/>
      <c r="S31" s="159" t="s">
        <v>22</v>
      </c>
      <c r="T31" s="181"/>
      <c r="U31" s="181"/>
      <c r="V31" s="181"/>
      <c r="W31" s="181"/>
      <c r="X31" s="181"/>
      <c r="Y31" s="160"/>
      <c r="Z31" s="175" t="s">
        <v>54</v>
      </c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7"/>
      <c r="AQ31" s="169" t="s">
        <v>22</v>
      </c>
      <c r="AR31" s="170"/>
      <c r="AS31" s="170"/>
      <c r="AT31" s="170"/>
      <c r="AU31" s="170"/>
      <c r="AV31" s="170"/>
      <c r="AW31" s="170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  <c r="BH31" s="170"/>
      <c r="BI31" s="170"/>
      <c r="BJ31" s="171"/>
      <c r="BK31" s="32"/>
    </row>
    <row r="32" spans="1:63" s="33" customFormat="1" ht="15" customHeight="1" x14ac:dyDescent="0.25">
      <c r="A32" s="28"/>
      <c r="B32" s="35"/>
      <c r="C32" s="159">
        <v>2</v>
      </c>
      <c r="D32" s="160"/>
      <c r="E32" s="175" t="s">
        <v>57</v>
      </c>
      <c r="F32" s="176"/>
      <c r="G32" s="176"/>
      <c r="H32" s="176"/>
      <c r="I32" s="176"/>
      <c r="J32" s="176"/>
      <c r="K32" s="177"/>
      <c r="L32" s="178" t="s">
        <v>22</v>
      </c>
      <c r="M32" s="179"/>
      <c r="N32" s="180"/>
      <c r="O32" s="159" t="s">
        <v>58</v>
      </c>
      <c r="P32" s="181"/>
      <c r="Q32" s="181"/>
      <c r="R32" s="160"/>
      <c r="S32" s="159" t="s">
        <v>22</v>
      </c>
      <c r="T32" s="181"/>
      <c r="U32" s="181"/>
      <c r="V32" s="181"/>
      <c r="W32" s="181"/>
      <c r="X32" s="181"/>
      <c r="Y32" s="160"/>
      <c r="Z32" s="175" t="s">
        <v>53</v>
      </c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7"/>
      <c r="AQ32" s="169" t="s">
        <v>89</v>
      </c>
      <c r="AR32" s="170"/>
      <c r="AS32" s="170"/>
      <c r="AT32" s="170"/>
      <c r="AU32" s="170"/>
      <c r="AV32" s="170"/>
      <c r="AW32" s="170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  <c r="BH32" s="170"/>
      <c r="BI32" s="170"/>
      <c r="BJ32" s="171"/>
      <c r="BK32" s="32"/>
    </row>
    <row r="33" spans="1:63" s="33" customFormat="1" ht="15" customHeight="1" x14ac:dyDescent="0.25">
      <c r="A33" s="28"/>
      <c r="B33" s="35"/>
      <c r="C33" s="159">
        <v>3</v>
      </c>
      <c r="D33" s="160"/>
      <c r="E33" s="175" t="s">
        <v>59</v>
      </c>
      <c r="F33" s="176"/>
      <c r="G33" s="176"/>
      <c r="H33" s="176"/>
      <c r="I33" s="176"/>
      <c r="J33" s="176"/>
      <c r="K33" s="177"/>
      <c r="L33" s="178" t="s">
        <v>22</v>
      </c>
      <c r="M33" s="179"/>
      <c r="N33" s="180"/>
      <c r="O33" s="159" t="s">
        <v>60</v>
      </c>
      <c r="P33" s="181"/>
      <c r="Q33" s="181"/>
      <c r="R33" s="160"/>
      <c r="S33" s="227" t="s">
        <v>22</v>
      </c>
      <c r="T33" s="181"/>
      <c r="U33" s="181"/>
      <c r="V33" s="181"/>
      <c r="W33" s="181"/>
      <c r="X33" s="181"/>
      <c r="Y33" s="160"/>
      <c r="Z33" s="247" t="s">
        <v>22</v>
      </c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7"/>
      <c r="AQ33" s="169" t="s">
        <v>90</v>
      </c>
      <c r="AR33" s="170"/>
      <c r="AS33" s="170"/>
      <c r="AT33" s="170"/>
      <c r="AU33" s="170"/>
      <c r="AV33" s="170"/>
      <c r="AW33" s="170"/>
      <c r="AX33" s="170"/>
      <c r="AY33" s="170"/>
      <c r="AZ33" s="170"/>
      <c r="BA33" s="170"/>
      <c r="BB33" s="170"/>
      <c r="BC33" s="170"/>
      <c r="BD33" s="170"/>
      <c r="BE33" s="170"/>
      <c r="BF33" s="170"/>
      <c r="BG33" s="170"/>
      <c r="BH33" s="170"/>
      <c r="BI33" s="170"/>
      <c r="BJ33" s="171"/>
      <c r="BK33" s="32"/>
    </row>
    <row r="34" spans="1:63" s="33" customFormat="1" ht="66.75" customHeight="1" x14ac:dyDescent="0.25">
      <c r="A34" s="28"/>
      <c r="B34" s="35"/>
      <c r="C34" s="159">
        <v>4</v>
      </c>
      <c r="D34" s="160"/>
      <c r="E34" s="175" t="s">
        <v>63</v>
      </c>
      <c r="F34" s="176"/>
      <c r="G34" s="176"/>
      <c r="H34" s="176"/>
      <c r="I34" s="176"/>
      <c r="J34" s="176"/>
      <c r="K34" s="177"/>
      <c r="L34" s="178" t="s">
        <v>20</v>
      </c>
      <c r="M34" s="179"/>
      <c r="N34" s="180"/>
      <c r="O34" s="159" t="s">
        <v>64</v>
      </c>
      <c r="P34" s="181"/>
      <c r="Q34" s="181"/>
      <c r="R34" s="160"/>
      <c r="S34" s="227" t="s">
        <v>22</v>
      </c>
      <c r="T34" s="181"/>
      <c r="U34" s="181"/>
      <c r="V34" s="181"/>
      <c r="W34" s="181"/>
      <c r="X34" s="181"/>
      <c r="Y34" s="160"/>
      <c r="Z34" s="247" t="s">
        <v>65</v>
      </c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AQ34" s="258" t="s">
        <v>91</v>
      </c>
      <c r="AR34" s="170"/>
      <c r="AS34" s="170"/>
      <c r="AT34" s="170"/>
      <c r="AU34" s="170"/>
      <c r="AV34" s="170"/>
      <c r="AW34" s="170"/>
      <c r="AX34" s="170"/>
      <c r="AY34" s="170"/>
      <c r="AZ34" s="170"/>
      <c r="BA34" s="170"/>
      <c r="BB34" s="170"/>
      <c r="BC34" s="170"/>
      <c r="BD34" s="170"/>
      <c r="BE34" s="170"/>
      <c r="BF34" s="170"/>
      <c r="BG34" s="170"/>
      <c r="BH34" s="170"/>
      <c r="BI34" s="170"/>
      <c r="BJ34" s="171"/>
      <c r="BK34" s="32"/>
    </row>
    <row r="35" spans="1:63" s="33" customFormat="1" ht="15" customHeight="1" x14ac:dyDescent="0.25">
      <c r="A35" s="28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6"/>
      <c r="BI35" s="36"/>
      <c r="BJ35" s="36"/>
      <c r="BK35" s="32"/>
    </row>
    <row r="36" spans="1:63" s="33" customFormat="1" ht="15" customHeight="1" x14ac:dyDescent="0.25">
      <c r="A36" s="28"/>
      <c r="B36" s="35"/>
      <c r="C36" s="38" t="s">
        <v>92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6"/>
      <c r="BI36" s="36"/>
      <c r="BJ36" s="36"/>
      <c r="BK36" s="32"/>
    </row>
    <row r="37" spans="1:63" s="33" customFormat="1" ht="15" customHeight="1" x14ac:dyDescent="0.25">
      <c r="A37" s="28"/>
      <c r="B37" s="35"/>
      <c r="C37" s="34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6"/>
      <c r="BI37" s="36"/>
      <c r="BJ37" s="36"/>
      <c r="BK37" s="32"/>
    </row>
    <row r="38" spans="1:63" s="33" customFormat="1" ht="15" customHeight="1" x14ac:dyDescent="0.25">
      <c r="A38" s="28"/>
      <c r="B38" s="35"/>
      <c r="C38" s="239" t="s">
        <v>28</v>
      </c>
      <c r="D38" s="240"/>
      <c r="E38" s="265" t="s">
        <v>44</v>
      </c>
      <c r="F38" s="225"/>
      <c r="G38" s="225"/>
      <c r="H38" s="225"/>
      <c r="I38" s="225"/>
      <c r="J38" s="225"/>
      <c r="K38" s="226"/>
      <c r="L38" s="161" t="s">
        <v>41</v>
      </c>
      <c r="M38" s="162"/>
      <c r="N38" s="163"/>
      <c r="O38" s="161" t="s">
        <v>42</v>
      </c>
      <c r="P38" s="162"/>
      <c r="Q38" s="162"/>
      <c r="R38" s="163"/>
      <c r="S38" s="161" t="s">
        <v>43</v>
      </c>
      <c r="T38" s="162"/>
      <c r="U38" s="162"/>
      <c r="V38" s="162"/>
      <c r="W38" s="162"/>
      <c r="X38" s="162"/>
      <c r="Y38" s="163"/>
      <c r="Z38" s="164" t="s">
        <v>85</v>
      </c>
      <c r="AA38" s="224"/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4"/>
      <c r="AM38" s="224"/>
      <c r="AN38" s="224"/>
      <c r="AO38" s="224"/>
      <c r="AP38" s="165"/>
      <c r="AQ38" s="241" t="s">
        <v>40</v>
      </c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3"/>
      <c r="BK38" s="32"/>
    </row>
    <row r="39" spans="1:63" s="33" customFormat="1" ht="15" customHeight="1" x14ac:dyDescent="0.25">
      <c r="A39" s="28"/>
      <c r="B39" s="35"/>
      <c r="C39" s="251" t="s">
        <v>46</v>
      </c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79"/>
      <c r="BB39" s="179"/>
      <c r="BC39" s="179"/>
      <c r="BD39" s="179"/>
      <c r="BE39" s="179"/>
      <c r="BF39" s="179"/>
      <c r="BG39" s="179"/>
      <c r="BH39" s="179"/>
      <c r="BI39" s="179"/>
      <c r="BJ39" s="180"/>
      <c r="BK39" s="32"/>
    </row>
    <row r="40" spans="1:63" s="33" customFormat="1" ht="15" customHeight="1" x14ac:dyDescent="0.25">
      <c r="A40" s="28"/>
      <c r="B40" s="35"/>
      <c r="C40" s="35"/>
      <c r="D40" s="35"/>
      <c r="E40" s="66"/>
      <c r="F40" s="66"/>
      <c r="G40" s="66"/>
      <c r="H40" s="66"/>
      <c r="I40" s="66"/>
      <c r="J40" s="66"/>
      <c r="K40" s="66"/>
      <c r="L40" s="55"/>
      <c r="M40" s="55"/>
      <c r="N40" s="5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32"/>
    </row>
    <row r="41" spans="1:63" s="33" customFormat="1" ht="15" customHeight="1" x14ac:dyDescent="0.25">
      <c r="A41" s="28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6"/>
      <c r="BI41" s="36"/>
      <c r="BJ41" s="36"/>
      <c r="BK41" s="32"/>
    </row>
    <row r="42" spans="1:63" s="33" customFormat="1" ht="15" customHeight="1" x14ac:dyDescent="0.25">
      <c r="A42" s="28"/>
      <c r="B42" s="37" t="s">
        <v>93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1"/>
      <c r="BI42" s="31"/>
      <c r="BJ42" s="31"/>
      <c r="BK42" s="32"/>
    </row>
    <row r="43" spans="1:63" s="33" customFormat="1" ht="15" customHeight="1" x14ac:dyDescent="0.25">
      <c r="A43" s="28"/>
      <c r="B43" s="34"/>
      <c r="C43" s="38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6"/>
      <c r="BI43" s="36"/>
      <c r="BJ43" s="36"/>
      <c r="BK43" s="32"/>
    </row>
    <row r="44" spans="1:63" s="33" customFormat="1" ht="15" customHeight="1" x14ac:dyDescent="0.25">
      <c r="A44" s="28"/>
      <c r="B44" s="34"/>
      <c r="C44" s="38" t="s">
        <v>94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6"/>
      <c r="BI44" s="36"/>
      <c r="BJ44" s="36"/>
      <c r="BK44" s="32"/>
    </row>
    <row r="45" spans="1:63" s="33" customFormat="1" ht="15" customHeight="1" x14ac:dyDescent="0.25">
      <c r="A45" s="28"/>
      <c r="B45" s="34"/>
      <c r="C45" s="38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6"/>
      <c r="BI45" s="36"/>
      <c r="BJ45" s="36"/>
      <c r="BK45" s="32"/>
    </row>
    <row r="46" spans="1:63" s="33" customFormat="1" ht="15" customHeight="1" x14ac:dyDescent="0.25">
      <c r="A46" s="28"/>
      <c r="B46" s="35"/>
      <c r="C46" s="161" t="s">
        <v>28</v>
      </c>
      <c r="D46" s="163"/>
      <c r="E46" s="259" t="s">
        <v>95</v>
      </c>
      <c r="F46" s="260"/>
      <c r="G46" s="260"/>
      <c r="H46" s="260"/>
      <c r="I46" s="260"/>
      <c r="J46" s="260"/>
      <c r="K46" s="260"/>
      <c r="L46" s="260"/>
      <c r="M46" s="260"/>
      <c r="N46" s="261"/>
      <c r="O46" s="244" t="s">
        <v>42</v>
      </c>
      <c r="P46" s="245"/>
      <c r="Q46" s="245"/>
      <c r="R46" s="246"/>
      <c r="S46" s="236" t="s">
        <v>85</v>
      </c>
      <c r="T46" s="237"/>
      <c r="U46" s="237"/>
      <c r="V46" s="237"/>
      <c r="W46" s="237"/>
      <c r="X46" s="237"/>
      <c r="Y46" s="237"/>
      <c r="Z46" s="237"/>
      <c r="AA46" s="237"/>
      <c r="AB46" s="238"/>
      <c r="AC46" s="161" t="s">
        <v>40</v>
      </c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3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6"/>
      <c r="BI46" s="36"/>
      <c r="BJ46" s="36"/>
      <c r="BK46" s="32"/>
    </row>
    <row r="47" spans="1:63" s="33" customFormat="1" ht="15" customHeight="1" x14ac:dyDescent="0.25">
      <c r="A47" s="28"/>
      <c r="B47" s="35"/>
      <c r="C47" s="159">
        <v>1</v>
      </c>
      <c r="D47" s="160"/>
      <c r="E47" s="159" t="s">
        <v>47</v>
      </c>
      <c r="F47" s="181"/>
      <c r="G47" s="181"/>
      <c r="H47" s="181"/>
      <c r="I47" s="181"/>
      <c r="J47" s="181"/>
      <c r="K47" s="181"/>
      <c r="L47" s="181"/>
      <c r="M47" s="181"/>
      <c r="N47" s="160"/>
      <c r="O47" s="159" t="s">
        <v>49</v>
      </c>
      <c r="P47" s="181"/>
      <c r="Q47" s="181"/>
      <c r="R47" s="160"/>
      <c r="S47" s="262" t="s">
        <v>22</v>
      </c>
      <c r="T47" s="263"/>
      <c r="U47" s="263"/>
      <c r="V47" s="263"/>
      <c r="W47" s="263"/>
      <c r="X47" s="263"/>
      <c r="Y47" s="263"/>
      <c r="Z47" s="263"/>
      <c r="AA47" s="263"/>
      <c r="AB47" s="264"/>
      <c r="AC47" s="159" t="s">
        <v>52</v>
      </c>
      <c r="AD47" s="181"/>
      <c r="AE47" s="181"/>
      <c r="AF47" s="181"/>
      <c r="AG47" s="181"/>
      <c r="AH47" s="181"/>
      <c r="AI47" s="181"/>
      <c r="AJ47" s="181"/>
      <c r="AK47" s="181"/>
      <c r="AL47" s="181"/>
      <c r="AM47" s="181"/>
      <c r="AN47" s="181"/>
      <c r="AO47" s="181"/>
      <c r="AP47" s="181"/>
      <c r="AQ47" s="181"/>
      <c r="AR47" s="181"/>
      <c r="AS47" s="181"/>
      <c r="AT47" s="181"/>
      <c r="AU47" s="160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6"/>
      <c r="BI47" s="36"/>
      <c r="BJ47" s="36"/>
      <c r="BK47" s="32"/>
    </row>
    <row r="48" spans="1:63" s="33" customFormat="1" ht="15" customHeight="1" x14ac:dyDescent="0.25">
      <c r="A48" s="28"/>
      <c r="B48" s="35"/>
      <c r="C48" s="35"/>
      <c r="D48" s="35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35"/>
      <c r="P48" s="35"/>
      <c r="Q48" s="35"/>
      <c r="R48" s="35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6"/>
      <c r="BI48" s="36"/>
      <c r="BJ48" s="36"/>
      <c r="BK48" s="32"/>
    </row>
    <row r="49" spans="1:63" s="33" customFormat="1" ht="15" customHeight="1" x14ac:dyDescent="0.25">
      <c r="A49" s="28"/>
      <c r="B49" s="35"/>
      <c r="C49" s="38" t="s">
        <v>96</v>
      </c>
      <c r="D49" s="35"/>
      <c r="E49" s="66"/>
      <c r="F49" s="35"/>
      <c r="G49" s="66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6"/>
      <c r="BI49" s="36"/>
      <c r="BJ49" s="36"/>
      <c r="BK49" s="32"/>
    </row>
    <row r="50" spans="1:63" s="33" customFormat="1" ht="15" customHeight="1" x14ac:dyDescent="0.25">
      <c r="A50" s="28"/>
      <c r="B50" s="35"/>
      <c r="C50" s="38"/>
      <c r="D50" s="66"/>
      <c r="E50" s="66"/>
      <c r="F50" s="35"/>
      <c r="G50" s="66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6"/>
      <c r="BI50" s="36"/>
      <c r="BJ50" s="36"/>
      <c r="BK50" s="32"/>
    </row>
    <row r="51" spans="1:63" s="33" customFormat="1" ht="15" customHeight="1" x14ac:dyDescent="0.25">
      <c r="A51" s="28"/>
      <c r="B51" s="35"/>
      <c r="C51" s="67" t="s">
        <v>68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9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6"/>
      <c r="BI51" s="36"/>
      <c r="BJ51" s="36"/>
      <c r="BK51" s="32"/>
    </row>
    <row r="52" spans="1:63" s="33" customFormat="1" ht="15" customHeight="1" x14ac:dyDescent="0.25">
      <c r="A52" s="28"/>
      <c r="B52" s="35"/>
      <c r="C52" s="72" t="s">
        <v>97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63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6"/>
      <c r="BI52" s="36"/>
      <c r="BJ52" s="36"/>
      <c r="BK52" s="32"/>
    </row>
    <row r="53" spans="1:63" s="33" customFormat="1" ht="15" customHeight="1" x14ac:dyDescent="0.25">
      <c r="A53" s="28"/>
      <c r="B53" s="35"/>
      <c r="C53" s="68" t="s">
        <v>69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1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6"/>
      <c r="BI53" s="36"/>
      <c r="BJ53" s="36"/>
      <c r="BK53" s="32"/>
    </row>
    <row r="54" spans="1:63" s="33" customFormat="1" ht="15" customHeight="1" x14ac:dyDescent="0.25">
      <c r="A54" s="28"/>
      <c r="B54" s="35"/>
      <c r="C54" s="66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6"/>
      <c r="BI54" s="36"/>
      <c r="BJ54" s="36"/>
      <c r="BK54" s="32"/>
    </row>
    <row r="55" spans="1:63" s="33" customFormat="1" ht="15" customHeight="1" x14ac:dyDescent="0.25">
      <c r="A55" s="28"/>
      <c r="B55" s="35"/>
      <c r="C55" s="34" t="s">
        <v>98</v>
      </c>
      <c r="D55" s="35"/>
      <c r="E55" s="66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6"/>
      <c r="BI55" s="36"/>
      <c r="BJ55" s="36"/>
      <c r="BK55" s="32"/>
    </row>
    <row r="56" spans="1:63" s="33" customFormat="1" ht="15" customHeight="1" x14ac:dyDescent="0.25">
      <c r="A56" s="28"/>
      <c r="B56" s="35"/>
      <c r="C56" s="34"/>
      <c r="D56" s="35"/>
      <c r="E56" s="66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6"/>
      <c r="BI56" s="36"/>
      <c r="BJ56" s="36"/>
      <c r="BK56" s="32"/>
    </row>
    <row r="57" spans="1:63" s="33" customFormat="1" ht="15" customHeight="1" x14ac:dyDescent="0.25">
      <c r="A57" s="28"/>
      <c r="B57" s="35"/>
      <c r="C57" s="34"/>
      <c r="D57" s="35" t="s">
        <v>51</v>
      </c>
      <c r="E57" s="66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6"/>
      <c r="BI57" s="36"/>
      <c r="BJ57" s="36"/>
      <c r="BK57" s="32"/>
    </row>
    <row r="58" spans="1:63" s="48" customFormat="1" ht="15" customHeight="1" x14ac:dyDescent="0.25">
      <c r="A58" s="43"/>
      <c r="B58" s="44"/>
      <c r="C58" s="44"/>
      <c r="D58" s="44"/>
      <c r="E58" s="45"/>
      <c r="F58" s="45"/>
      <c r="G58" s="45"/>
      <c r="H58" s="45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6"/>
      <c r="BI58" s="46"/>
      <c r="BJ58" s="46"/>
      <c r="BK58" s="47"/>
    </row>
  </sheetData>
  <mergeCells count="122">
    <mergeCell ref="S47:AB47"/>
    <mergeCell ref="E24:K24"/>
    <mergeCell ref="E25:K25"/>
    <mergeCell ref="C31:D31"/>
    <mergeCell ref="E31:K31"/>
    <mergeCell ref="L31:N31"/>
    <mergeCell ref="O31:R31"/>
    <mergeCell ref="S31:Y31"/>
    <mergeCell ref="Z31:AP31"/>
    <mergeCell ref="E38:K38"/>
    <mergeCell ref="L38:N38"/>
    <mergeCell ref="O38:R38"/>
    <mergeCell ref="Z38:AP38"/>
    <mergeCell ref="C33:D33"/>
    <mergeCell ref="E33:K33"/>
    <mergeCell ref="L33:N33"/>
    <mergeCell ref="C34:D34"/>
    <mergeCell ref="E34:K34"/>
    <mergeCell ref="L34:N34"/>
    <mergeCell ref="O34:R34"/>
    <mergeCell ref="S34:Y34"/>
    <mergeCell ref="Z34:AP34"/>
    <mergeCell ref="C46:D46"/>
    <mergeCell ref="S46:AB46"/>
    <mergeCell ref="C38:D38"/>
    <mergeCell ref="AQ26:BJ26"/>
    <mergeCell ref="AQ38:BJ38"/>
    <mergeCell ref="C47:D47"/>
    <mergeCell ref="AQ30:BJ30"/>
    <mergeCell ref="O46:R46"/>
    <mergeCell ref="AQ31:BJ31"/>
    <mergeCell ref="C30:D30"/>
    <mergeCell ref="O33:R33"/>
    <mergeCell ref="S33:Y33"/>
    <mergeCell ref="Z33:AP33"/>
    <mergeCell ref="AQ33:BJ33"/>
    <mergeCell ref="E26:K26"/>
    <mergeCell ref="L26:N26"/>
    <mergeCell ref="C39:BJ39"/>
    <mergeCell ref="AQ34:BJ34"/>
    <mergeCell ref="O47:R47"/>
    <mergeCell ref="E46:N46"/>
    <mergeCell ref="E47:N47"/>
    <mergeCell ref="AC46:AU46"/>
    <mergeCell ref="AC47:AU47"/>
    <mergeCell ref="S38:Y38"/>
    <mergeCell ref="E30:K30"/>
    <mergeCell ref="Z21:AP22"/>
    <mergeCell ref="E16:AF16"/>
    <mergeCell ref="O21:R22"/>
    <mergeCell ref="L21:N22"/>
    <mergeCell ref="L30:N30"/>
    <mergeCell ref="O30:R30"/>
    <mergeCell ref="Z30:AP30"/>
    <mergeCell ref="AQ25:BJ25"/>
    <mergeCell ref="Z20:AP20"/>
    <mergeCell ref="S30:Y30"/>
    <mergeCell ref="AQ20:BJ20"/>
    <mergeCell ref="AG16:AP16"/>
    <mergeCell ref="O20:R20"/>
    <mergeCell ref="L20:N20"/>
    <mergeCell ref="O23:R23"/>
    <mergeCell ref="O25:R25"/>
    <mergeCell ref="O24:R24"/>
    <mergeCell ref="L23:N23"/>
    <mergeCell ref="L24:N24"/>
    <mergeCell ref="L25:N25"/>
    <mergeCell ref="S23:Y23"/>
    <mergeCell ref="Z24:AP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4:BJ24"/>
    <mergeCell ref="C32:D32"/>
    <mergeCell ref="E32:K32"/>
    <mergeCell ref="L32:N32"/>
    <mergeCell ref="O32:R32"/>
    <mergeCell ref="S32:Y32"/>
    <mergeCell ref="Z32:AP32"/>
    <mergeCell ref="AQ32:BJ32"/>
    <mergeCell ref="Z4:AO4"/>
    <mergeCell ref="S25:Y25"/>
    <mergeCell ref="C25:D25"/>
    <mergeCell ref="Z25:AP25"/>
    <mergeCell ref="O26:R26"/>
    <mergeCell ref="S26:Y26"/>
    <mergeCell ref="Z26:AP26"/>
    <mergeCell ref="C24:D24"/>
    <mergeCell ref="C21:D22"/>
    <mergeCell ref="C26:D26"/>
    <mergeCell ref="AP4:BK4"/>
    <mergeCell ref="C15:D15"/>
    <mergeCell ref="AQ21:BJ22"/>
    <mergeCell ref="S21:Y22"/>
    <mergeCell ref="A4:G4"/>
    <mergeCell ref="C23:D23"/>
    <mergeCell ref="C16:D16"/>
    <mergeCell ref="AG15:AP15"/>
    <mergeCell ref="E15:AF15"/>
    <mergeCell ref="C20:D20"/>
    <mergeCell ref="S20:Y20"/>
    <mergeCell ref="H4:T4"/>
    <mergeCell ref="U4:Y4"/>
    <mergeCell ref="AQ16:BJ16"/>
    <mergeCell ref="AQ23:BJ23"/>
    <mergeCell ref="E21:K22"/>
    <mergeCell ref="E23:K23"/>
    <mergeCell ref="Z23:AP23"/>
    <mergeCell ref="E20:K20"/>
    <mergeCell ref="AQ15:BJ15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14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処理フロー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73" customFormat="1" ht="15" customHeight="1" x14ac:dyDescent="0.25">
      <c r="B7" s="49"/>
      <c r="C7" s="36"/>
      <c r="D7" s="36"/>
      <c r="E7" s="36"/>
      <c r="F7" s="36"/>
      <c r="G7" s="36"/>
      <c r="AI7" s="74"/>
      <c r="BJ7" s="74"/>
      <c r="BK7" s="75"/>
    </row>
    <row r="8" spans="1:63" s="73" customFormat="1" ht="15" customHeight="1" x14ac:dyDescent="0.25">
      <c r="B8" s="49"/>
      <c r="C8" s="36"/>
      <c r="D8" s="36"/>
      <c r="E8" s="36"/>
      <c r="F8" s="36"/>
      <c r="G8" s="36"/>
      <c r="AI8" s="74"/>
      <c r="BJ8" s="74"/>
      <c r="BK8" s="75"/>
    </row>
    <row r="9" spans="1:63" s="73" customFormat="1" ht="15" customHeight="1" x14ac:dyDescent="0.25">
      <c r="B9" s="49"/>
      <c r="C9" s="36"/>
      <c r="D9" s="36"/>
      <c r="E9" s="36"/>
      <c r="F9" s="36"/>
      <c r="G9" s="36"/>
      <c r="AI9" s="74"/>
      <c r="BJ9" s="74"/>
      <c r="BK9" s="75"/>
    </row>
    <row r="10" spans="1:63" s="73" customFormat="1" ht="15" customHeight="1" x14ac:dyDescent="0.25">
      <c r="B10" s="49"/>
      <c r="C10" s="36"/>
      <c r="D10" s="36"/>
      <c r="E10" s="36"/>
      <c r="F10" s="36"/>
      <c r="G10" s="36"/>
      <c r="AI10" s="74"/>
      <c r="BJ10" s="74"/>
      <c r="BK10" s="75"/>
    </row>
    <row r="11" spans="1:63" s="73" customFormat="1" ht="15" customHeight="1" x14ac:dyDescent="0.25">
      <c r="B11" s="76"/>
      <c r="AI11" s="74"/>
      <c r="BJ11" s="74"/>
      <c r="BK11" s="75"/>
    </row>
    <row r="12" spans="1:63" s="73" customFormat="1" ht="15" customHeight="1" x14ac:dyDescent="0.25">
      <c r="B12" s="76"/>
      <c r="AI12" s="74"/>
      <c r="BJ12" s="74"/>
      <c r="BK12" s="75"/>
    </row>
    <row r="13" spans="1:63" s="73" customFormat="1" ht="15" customHeight="1" x14ac:dyDescent="0.25">
      <c r="B13" s="76"/>
      <c r="AI13" s="74"/>
      <c r="BJ13" s="74"/>
      <c r="BK13" s="75"/>
    </row>
    <row r="14" spans="1:63" s="73" customFormat="1" ht="15" customHeight="1" x14ac:dyDescent="0.25">
      <c r="B14" s="76"/>
      <c r="AI14" s="74"/>
      <c r="BJ14" s="74"/>
      <c r="BK14" s="75"/>
    </row>
    <row r="15" spans="1:63" s="73" customFormat="1" ht="15" customHeight="1" x14ac:dyDescent="0.25">
      <c r="B15" s="76"/>
      <c r="AI15" s="74"/>
      <c r="BJ15" s="74"/>
      <c r="BK15" s="75"/>
    </row>
    <row r="16" spans="1:63" s="73" customFormat="1" ht="15" customHeight="1" x14ac:dyDescent="0.25">
      <c r="B16" s="76"/>
      <c r="AI16" s="74"/>
      <c r="BJ16" s="74"/>
      <c r="BK16" s="75"/>
    </row>
    <row r="17" spans="2:63" s="73" customFormat="1" ht="15" customHeight="1" x14ac:dyDescent="0.25">
      <c r="B17" s="76"/>
      <c r="AI17" s="74"/>
      <c r="BJ17" s="74"/>
      <c r="BK17" s="75"/>
    </row>
    <row r="18" spans="2:63" s="73" customFormat="1" ht="15" customHeight="1" x14ac:dyDescent="0.25">
      <c r="B18" s="76"/>
      <c r="AI18" s="74"/>
      <c r="BJ18" s="74"/>
      <c r="BK18" s="75"/>
    </row>
    <row r="19" spans="2:63" s="73" customFormat="1" ht="15" customHeight="1" x14ac:dyDescent="0.25">
      <c r="B19" s="76"/>
      <c r="AI19" s="74"/>
      <c r="BJ19" s="74"/>
      <c r="BK19" s="75"/>
    </row>
    <row r="20" spans="2:63" s="73" customFormat="1" ht="15" customHeight="1" x14ac:dyDescent="0.25">
      <c r="B20" s="76"/>
      <c r="AI20" s="74"/>
      <c r="BJ20" s="74"/>
      <c r="BK20" s="75"/>
    </row>
    <row r="21" spans="2:63" s="73" customFormat="1" ht="15" customHeight="1" x14ac:dyDescent="0.25">
      <c r="B21" s="76"/>
      <c r="AI21" s="74"/>
      <c r="BJ21" s="74"/>
      <c r="BK21" s="75"/>
    </row>
    <row r="22" spans="2:63" s="73" customFormat="1" ht="15" customHeight="1" x14ac:dyDescent="0.25">
      <c r="B22" s="76"/>
      <c r="AI22" s="74"/>
      <c r="BJ22" s="74"/>
      <c r="BK22" s="75"/>
    </row>
    <row r="23" spans="2:63" s="73" customFormat="1" ht="15" customHeight="1" x14ac:dyDescent="0.25">
      <c r="B23" s="76"/>
      <c r="AI23" s="74"/>
      <c r="BJ23" s="74"/>
      <c r="BK23" s="75"/>
    </row>
    <row r="24" spans="2:63" s="73" customFormat="1" ht="15" customHeight="1" x14ac:dyDescent="0.25">
      <c r="B24" s="76"/>
      <c r="AI24" s="74"/>
      <c r="BJ24" s="74"/>
      <c r="BK24" s="75"/>
    </row>
    <row r="25" spans="2:63" s="73" customFormat="1" ht="15" customHeight="1" x14ac:dyDescent="0.25">
      <c r="B25" s="76"/>
      <c r="AI25" s="74"/>
      <c r="BJ25" s="74"/>
      <c r="BK25" s="75"/>
    </row>
    <row r="26" spans="2:63" s="73" customFormat="1" ht="15" customHeight="1" x14ac:dyDescent="0.25">
      <c r="B26" s="76"/>
      <c r="AI26" s="74"/>
      <c r="BJ26" s="74"/>
      <c r="BK26" s="75"/>
    </row>
    <row r="27" spans="2:63" s="73" customFormat="1" ht="15" customHeight="1" x14ac:dyDescent="0.25">
      <c r="B27" s="76"/>
      <c r="AI27" s="74"/>
      <c r="BJ27" s="74"/>
      <c r="BK27" s="75"/>
    </row>
    <row r="28" spans="2:63" s="73" customFormat="1" ht="15" customHeight="1" x14ac:dyDescent="0.25">
      <c r="B28" s="76"/>
      <c r="AI28" s="74"/>
      <c r="BJ28" s="74"/>
      <c r="BK28" s="75"/>
    </row>
    <row r="29" spans="2:63" s="73" customFormat="1" ht="15" customHeight="1" x14ac:dyDescent="0.25">
      <c r="B29" s="76"/>
      <c r="AI29" s="74"/>
      <c r="BJ29" s="74"/>
      <c r="BK29" s="75"/>
    </row>
    <row r="30" spans="2:63" s="73" customFormat="1" ht="15" customHeight="1" x14ac:dyDescent="0.25">
      <c r="B30" s="76"/>
      <c r="AI30" s="74"/>
      <c r="BJ30" s="74"/>
      <c r="BK30" s="75"/>
    </row>
    <row r="31" spans="2:63" s="73" customFormat="1" ht="15" customHeight="1" x14ac:dyDescent="0.25">
      <c r="B31" s="76"/>
      <c r="AI31" s="74"/>
      <c r="BJ31" s="74"/>
      <c r="BK31" s="75"/>
    </row>
    <row r="32" spans="2:63" s="73" customFormat="1" ht="15" customHeight="1" x14ac:dyDescent="0.25">
      <c r="B32" s="76"/>
      <c r="AI32" s="74"/>
      <c r="BJ32" s="74"/>
      <c r="BK32" s="75"/>
    </row>
    <row r="33" spans="2:63" s="73" customFormat="1" ht="15" customHeight="1" x14ac:dyDescent="0.25">
      <c r="B33" s="76"/>
      <c r="AI33" s="74"/>
      <c r="BJ33" s="74"/>
      <c r="BK33" s="75"/>
    </row>
    <row r="34" spans="2:63" s="73" customFormat="1" ht="15" customHeight="1" x14ac:dyDescent="0.25">
      <c r="B34" s="76"/>
      <c r="AI34" s="74"/>
      <c r="BJ34" s="74"/>
      <c r="BK34" s="75"/>
    </row>
    <row r="35" spans="2:63" s="73" customFormat="1" ht="15" customHeight="1" x14ac:dyDescent="0.25">
      <c r="B35" s="76"/>
      <c r="AI35" s="74"/>
      <c r="BJ35" s="74"/>
      <c r="BK35" s="75"/>
    </row>
    <row r="36" spans="2:63" s="73" customFormat="1" ht="15" customHeight="1" x14ac:dyDescent="0.25">
      <c r="B36" s="76"/>
      <c r="AI36" s="74"/>
      <c r="BJ36" s="74"/>
      <c r="BK36" s="75"/>
    </row>
    <row r="37" spans="2:63" s="73" customFormat="1" ht="15" customHeight="1" x14ac:dyDescent="0.25">
      <c r="B37" s="76"/>
      <c r="AI37" s="74"/>
      <c r="BJ37" s="74"/>
      <c r="BK37" s="75"/>
    </row>
    <row r="38" spans="2:63" s="73" customFormat="1" ht="15" customHeight="1" x14ac:dyDescent="0.25">
      <c r="B38" s="76"/>
      <c r="AI38" s="74"/>
      <c r="BJ38" s="74"/>
      <c r="BK38" s="75"/>
    </row>
    <row r="39" spans="2:63" s="73" customFormat="1" ht="15" customHeight="1" x14ac:dyDescent="0.25">
      <c r="B39" s="76"/>
      <c r="AI39" s="74"/>
      <c r="BJ39" s="74"/>
      <c r="BK39" s="75"/>
    </row>
    <row r="40" spans="2:63" s="73" customFormat="1" ht="15" customHeight="1" x14ac:dyDescent="0.25">
      <c r="B40" s="76"/>
      <c r="AI40" s="74"/>
      <c r="BJ40" s="74"/>
      <c r="BK40" s="75"/>
    </row>
    <row r="41" spans="2:63" s="73" customFormat="1" ht="15" customHeight="1" x14ac:dyDescent="0.25">
      <c r="B41" s="76"/>
      <c r="AI41" s="74"/>
      <c r="BJ41" s="74"/>
      <c r="BK41" s="75"/>
    </row>
    <row r="42" spans="2:63" s="73" customFormat="1" ht="15" customHeight="1" x14ac:dyDescent="0.25">
      <c r="B42" s="76"/>
      <c r="AI42" s="74"/>
      <c r="BJ42" s="74"/>
      <c r="BK42" s="75"/>
    </row>
    <row r="43" spans="2:63" s="73" customFormat="1" ht="15" customHeight="1" x14ac:dyDescent="0.25">
      <c r="B43" s="76"/>
      <c r="AI43" s="74"/>
      <c r="BJ43" s="74"/>
      <c r="BK43" s="75"/>
    </row>
    <row r="44" spans="2:63" s="73" customFormat="1" ht="15" customHeight="1" x14ac:dyDescent="0.25">
      <c r="B44" s="76"/>
      <c r="AI44" s="74"/>
      <c r="BJ44" s="74"/>
      <c r="BK44" s="75"/>
    </row>
    <row r="45" spans="2:63" s="73" customFormat="1" ht="15" customHeight="1" x14ac:dyDescent="0.25">
      <c r="B45" s="76"/>
      <c r="AI45" s="74"/>
      <c r="BJ45" s="74"/>
      <c r="BK45" s="75"/>
    </row>
    <row r="46" spans="2:63" s="73" customFormat="1" ht="15" customHeight="1" x14ac:dyDescent="0.25">
      <c r="B46" s="76"/>
      <c r="AI46" s="74"/>
      <c r="BJ46" s="74"/>
      <c r="BK46" s="75"/>
    </row>
    <row r="47" spans="2:63" s="73" customFormat="1" ht="15" customHeight="1" x14ac:dyDescent="0.25">
      <c r="B47" s="76"/>
      <c r="AI47" s="74"/>
      <c r="BJ47" s="74"/>
      <c r="BK47" s="75"/>
    </row>
    <row r="48" spans="2:63" s="73" customFormat="1" ht="15" customHeight="1" x14ac:dyDescent="0.25">
      <c r="B48" s="76"/>
      <c r="AI48" s="74"/>
      <c r="BJ48" s="74"/>
      <c r="BK48" s="75"/>
    </row>
    <row r="49" spans="2:63" s="73" customFormat="1" ht="15" customHeight="1" x14ac:dyDescent="0.25">
      <c r="B49" s="76"/>
      <c r="AI49" s="74"/>
      <c r="BJ49" s="74"/>
      <c r="BK49" s="75"/>
    </row>
    <row r="50" spans="2:63" s="73" customFormat="1" ht="15" customHeight="1" x14ac:dyDescent="0.25">
      <c r="B50" s="76"/>
      <c r="AI50" s="74"/>
      <c r="BJ50" s="74"/>
      <c r="BK50" s="75"/>
    </row>
    <row r="51" spans="2:63" s="73" customFormat="1" ht="15" customHeight="1" x14ac:dyDescent="0.25">
      <c r="B51" s="76"/>
      <c r="AI51" s="74"/>
      <c r="BJ51" s="74"/>
      <c r="BK51" s="75"/>
    </row>
    <row r="52" spans="2:63" s="73" customFormat="1" ht="15" customHeight="1" x14ac:dyDescent="0.25">
      <c r="B52" s="76"/>
      <c r="AI52" s="74"/>
      <c r="BJ52" s="74"/>
      <c r="BK52" s="75"/>
    </row>
    <row r="53" spans="2:63" s="73" customFormat="1" ht="15" customHeight="1" x14ac:dyDescent="0.25">
      <c r="B53" s="76"/>
      <c r="AI53" s="74"/>
      <c r="BJ53" s="74"/>
      <c r="BK53" s="75"/>
    </row>
    <row r="54" spans="2:63" s="73" customFormat="1" ht="15" customHeight="1" x14ac:dyDescent="0.25">
      <c r="B54" s="76"/>
      <c r="AI54" s="74"/>
      <c r="BJ54" s="74"/>
      <c r="BK54" s="75"/>
    </row>
    <row r="55" spans="2:63" s="73" customFormat="1" ht="15" customHeight="1" x14ac:dyDescent="0.25">
      <c r="B55" s="76"/>
      <c r="AI55" s="74"/>
      <c r="BJ55" s="74"/>
      <c r="BK55" s="75"/>
    </row>
    <row r="56" spans="2:63" s="73" customFormat="1" ht="15" customHeight="1" x14ac:dyDescent="0.25">
      <c r="B56" s="76"/>
      <c r="AI56" s="74"/>
      <c r="BJ56" s="74"/>
      <c r="BK56" s="75"/>
    </row>
    <row r="57" spans="2:63" s="73" customFormat="1" ht="15" customHeight="1" x14ac:dyDescent="0.25">
      <c r="B57" s="76"/>
      <c r="AI57" s="74"/>
      <c r="BJ57" s="74"/>
      <c r="BK57" s="75"/>
    </row>
    <row r="58" spans="2:63" s="73" customFormat="1" ht="15" customHeight="1" x14ac:dyDescent="0.25">
      <c r="B58" s="76"/>
      <c r="AI58" s="74"/>
      <c r="BJ58" s="74"/>
      <c r="BK58" s="75"/>
    </row>
    <row r="59" spans="2:63" s="73" customFormat="1" ht="15" customHeight="1" x14ac:dyDescent="0.25">
      <c r="B59" s="76"/>
      <c r="AI59" s="74"/>
      <c r="BJ59" s="74"/>
      <c r="BK59" s="75"/>
    </row>
    <row r="60" spans="2:63" s="73" customFormat="1" ht="15" customHeight="1" x14ac:dyDescent="0.25">
      <c r="B60" s="76"/>
      <c r="AI60" s="74"/>
      <c r="BJ60" s="74"/>
      <c r="BK60" s="75"/>
    </row>
    <row r="61" spans="2:63" s="73" customFormat="1" ht="15" customHeight="1" x14ac:dyDescent="0.25">
      <c r="B61" s="76"/>
      <c r="AI61" s="74"/>
      <c r="BJ61" s="74"/>
      <c r="BK61" s="75"/>
    </row>
    <row r="62" spans="2:63" s="73" customFormat="1" ht="15" customHeight="1" x14ac:dyDescent="0.25">
      <c r="B62" s="76"/>
      <c r="AI62" s="74"/>
      <c r="BJ62" s="74"/>
      <c r="BK62" s="75"/>
    </row>
    <row r="63" spans="2:63" s="73" customFormat="1" ht="15" customHeight="1" x14ac:dyDescent="0.25">
      <c r="B63" s="76"/>
      <c r="AI63" s="74"/>
      <c r="BJ63" s="74"/>
      <c r="BK63" s="75"/>
    </row>
    <row r="64" spans="2:63" s="73" customFormat="1" ht="15" customHeight="1" x14ac:dyDescent="0.25">
      <c r="B64" s="76"/>
      <c r="AI64" s="74"/>
      <c r="BJ64" s="74"/>
      <c r="BK64" s="75"/>
    </row>
    <row r="65" spans="2:63" s="73" customFormat="1" ht="15" customHeight="1" x14ac:dyDescent="0.25">
      <c r="B65" s="76"/>
      <c r="AI65" s="74"/>
      <c r="BJ65" s="74"/>
      <c r="BK65" s="75"/>
    </row>
    <row r="66" spans="2:63" s="73" customFormat="1" ht="15" customHeight="1" x14ac:dyDescent="0.25">
      <c r="B66" s="76"/>
      <c r="AI66" s="74"/>
      <c r="BJ66" s="74"/>
      <c r="BK66" s="75"/>
    </row>
    <row r="67" spans="2:63" s="73" customFormat="1" ht="15" customHeight="1" x14ac:dyDescent="0.25">
      <c r="B67" s="76"/>
      <c r="AI67" s="74"/>
      <c r="BJ67" s="74"/>
      <c r="BK67" s="75"/>
    </row>
    <row r="68" spans="2:63" s="73" customFormat="1" ht="15" customHeight="1" x14ac:dyDescent="0.25">
      <c r="B68" s="76"/>
      <c r="AI68" s="74"/>
      <c r="BJ68" s="74"/>
      <c r="BK68" s="75"/>
    </row>
    <row r="69" spans="2:63" s="73" customFormat="1" ht="15" customHeight="1" x14ac:dyDescent="0.25">
      <c r="B69" s="76"/>
      <c r="AI69" s="74"/>
      <c r="BJ69" s="74"/>
      <c r="BK69" s="75"/>
    </row>
    <row r="70" spans="2:63" s="73" customFormat="1" ht="15" customHeight="1" x14ac:dyDescent="0.25">
      <c r="B70" s="76"/>
      <c r="AI70" s="74"/>
      <c r="BJ70" s="74"/>
      <c r="BK70" s="75"/>
    </row>
    <row r="71" spans="2:63" s="73" customFormat="1" ht="15" customHeight="1" x14ac:dyDescent="0.25">
      <c r="B71" s="76"/>
      <c r="AI71" s="74"/>
      <c r="BJ71" s="74"/>
      <c r="BK71" s="75"/>
    </row>
    <row r="72" spans="2:63" s="73" customFormat="1" ht="15" customHeight="1" x14ac:dyDescent="0.25">
      <c r="B72" s="76"/>
      <c r="AI72" s="74"/>
      <c r="BJ72" s="74"/>
      <c r="BK72" s="75"/>
    </row>
    <row r="73" spans="2:63" s="73" customFormat="1" ht="15" customHeight="1" x14ac:dyDescent="0.25">
      <c r="B73" s="76"/>
      <c r="AI73" s="74"/>
      <c r="BJ73" s="74"/>
      <c r="BK73" s="75"/>
    </row>
    <row r="74" spans="2:63" s="73" customFormat="1" ht="15" customHeight="1" x14ac:dyDescent="0.25">
      <c r="B74" s="76"/>
      <c r="AI74" s="74"/>
      <c r="BJ74" s="74"/>
      <c r="BK74" s="75"/>
    </row>
    <row r="75" spans="2:63" s="73" customFormat="1" ht="15" customHeight="1" x14ac:dyDescent="0.25">
      <c r="B75" s="76"/>
      <c r="AI75" s="74"/>
      <c r="BJ75" s="74"/>
      <c r="BK75" s="75"/>
    </row>
    <row r="76" spans="2:63" s="73" customFormat="1" ht="15" customHeight="1" x14ac:dyDescent="0.25">
      <c r="B76" s="76"/>
      <c r="AI76" s="74"/>
      <c r="BJ76" s="74"/>
      <c r="BK76" s="75"/>
    </row>
    <row r="77" spans="2:63" s="73" customFormat="1" ht="15" customHeight="1" x14ac:dyDescent="0.25">
      <c r="B77" s="76"/>
      <c r="AI77" s="74"/>
      <c r="BJ77" s="74"/>
      <c r="BK77" s="75"/>
    </row>
    <row r="78" spans="2:63" s="73" customFormat="1" ht="15" customHeight="1" x14ac:dyDescent="0.25">
      <c r="B78" s="76"/>
      <c r="AI78" s="74"/>
      <c r="BJ78" s="74"/>
      <c r="BK78" s="75"/>
    </row>
    <row r="79" spans="2:63" s="73" customFormat="1" ht="15" customHeight="1" x14ac:dyDescent="0.25">
      <c r="B79" s="76"/>
      <c r="AI79" s="74"/>
      <c r="BJ79" s="74"/>
      <c r="BK79" s="75"/>
    </row>
    <row r="80" spans="2:63" s="73" customFormat="1" ht="15" customHeight="1" x14ac:dyDescent="0.25">
      <c r="B80" s="76"/>
      <c r="AI80" s="74"/>
      <c r="BJ80" s="74"/>
      <c r="BK80" s="75"/>
    </row>
    <row r="81" spans="2:63" s="73" customFormat="1" ht="15" customHeight="1" x14ac:dyDescent="0.25">
      <c r="B81" s="76"/>
      <c r="AI81" s="74"/>
      <c r="BJ81" s="74"/>
      <c r="BK81" s="75"/>
    </row>
    <row r="82" spans="2:63" s="73" customFormat="1" ht="15" customHeight="1" x14ac:dyDescent="0.25">
      <c r="B82" s="76"/>
      <c r="AI82" s="74"/>
      <c r="BJ82" s="74"/>
      <c r="BK82" s="75"/>
    </row>
    <row r="83" spans="2:63" s="73" customFormat="1" ht="15" customHeight="1" x14ac:dyDescent="0.25">
      <c r="B83" s="76"/>
      <c r="AI83" s="74"/>
      <c r="BJ83" s="74"/>
      <c r="BK83" s="75"/>
    </row>
    <row r="84" spans="2:63" s="73" customFormat="1" ht="15" customHeight="1" x14ac:dyDescent="0.25">
      <c r="B84" s="76"/>
      <c r="AI84" s="74"/>
      <c r="BJ84" s="74"/>
      <c r="BK84" s="75"/>
    </row>
    <row r="85" spans="2:63" s="73" customFormat="1" ht="15" customHeight="1" x14ac:dyDescent="0.25">
      <c r="B85" s="76"/>
      <c r="AI85" s="74"/>
      <c r="BJ85" s="74"/>
      <c r="BK85" s="75"/>
    </row>
    <row r="86" spans="2:63" s="73" customFormat="1" ht="15" customHeight="1" x14ac:dyDescent="0.25">
      <c r="B86" s="76"/>
      <c r="AI86" s="74"/>
      <c r="BJ86" s="74"/>
      <c r="BK86" s="75"/>
    </row>
    <row r="87" spans="2:63" s="73" customFormat="1" ht="15" customHeight="1" x14ac:dyDescent="0.25">
      <c r="B87" s="76"/>
      <c r="AI87" s="74"/>
      <c r="BJ87" s="74"/>
      <c r="BK87" s="75"/>
    </row>
    <row r="88" spans="2:63" s="73" customFormat="1" ht="15" customHeight="1" x14ac:dyDescent="0.25">
      <c r="B88" s="76"/>
      <c r="AI88" s="74"/>
      <c r="BJ88" s="74"/>
      <c r="BK88" s="75"/>
    </row>
    <row r="89" spans="2:63" s="73" customFormat="1" ht="15" customHeight="1" x14ac:dyDescent="0.25">
      <c r="B89" s="76"/>
      <c r="AI89" s="74"/>
      <c r="BJ89" s="74"/>
      <c r="BK89" s="75"/>
    </row>
    <row r="90" spans="2:63" s="73" customFormat="1" ht="15" customHeight="1" x14ac:dyDescent="0.25">
      <c r="B90" s="76"/>
      <c r="AI90" s="74"/>
      <c r="BJ90" s="74"/>
      <c r="BK90" s="75"/>
    </row>
    <row r="91" spans="2:63" s="73" customFormat="1" ht="15" customHeight="1" x14ac:dyDescent="0.25">
      <c r="B91" s="76"/>
      <c r="AI91" s="74"/>
      <c r="BJ91" s="74"/>
      <c r="BK91" s="75"/>
    </row>
    <row r="92" spans="2:63" s="73" customFormat="1" ht="15" customHeight="1" x14ac:dyDescent="0.25">
      <c r="B92" s="76"/>
      <c r="AI92" s="74"/>
      <c r="BJ92" s="74"/>
      <c r="BK92" s="75"/>
    </row>
    <row r="93" spans="2:63" s="73" customFormat="1" ht="15" customHeight="1" x14ac:dyDescent="0.25">
      <c r="B93" s="76"/>
      <c r="AI93" s="74"/>
      <c r="BJ93" s="74"/>
      <c r="BK93" s="75"/>
    </row>
    <row r="94" spans="2:63" s="73" customFormat="1" ht="15" customHeight="1" x14ac:dyDescent="0.25">
      <c r="B94" s="76"/>
      <c r="AI94" s="74"/>
      <c r="BJ94" s="74"/>
      <c r="BK94" s="75"/>
    </row>
    <row r="95" spans="2:63" s="73" customFormat="1" ht="15" customHeight="1" x14ac:dyDescent="0.25">
      <c r="B95" s="76"/>
      <c r="AI95" s="74"/>
      <c r="BJ95" s="74"/>
      <c r="BK95" s="75"/>
    </row>
    <row r="96" spans="2:63" s="73" customFormat="1" ht="15" customHeight="1" x14ac:dyDescent="0.25">
      <c r="B96" s="76"/>
      <c r="AI96" s="74"/>
      <c r="BJ96" s="74"/>
      <c r="BK96" s="75"/>
    </row>
    <row r="97" spans="2:63" s="73" customFormat="1" ht="15" customHeight="1" x14ac:dyDescent="0.25">
      <c r="B97" s="76"/>
      <c r="AI97" s="74"/>
      <c r="BJ97" s="74"/>
      <c r="BK97" s="75"/>
    </row>
    <row r="98" spans="2:63" s="73" customFormat="1" ht="15" customHeight="1" x14ac:dyDescent="0.25">
      <c r="B98" s="76"/>
      <c r="AI98" s="74"/>
      <c r="BJ98" s="74"/>
      <c r="BK98" s="75"/>
    </row>
    <row r="99" spans="2:63" s="73" customFormat="1" ht="15" customHeight="1" x14ac:dyDescent="0.25">
      <c r="B99" s="76"/>
      <c r="AI99" s="74"/>
      <c r="BJ99" s="74"/>
      <c r="BK99" s="75"/>
    </row>
    <row r="100" spans="2:63" s="73" customFormat="1" ht="15" customHeight="1" x14ac:dyDescent="0.25">
      <c r="B100" s="76"/>
      <c r="AI100" s="74"/>
      <c r="BJ100" s="74"/>
      <c r="BK100" s="75"/>
    </row>
    <row r="101" spans="2:63" s="73" customFormat="1" ht="15" customHeight="1" x14ac:dyDescent="0.25">
      <c r="B101" s="76"/>
      <c r="AI101" s="74"/>
      <c r="BJ101" s="74"/>
      <c r="BK101" s="75"/>
    </row>
    <row r="102" spans="2:63" s="73" customFormat="1" ht="15" customHeight="1" x14ac:dyDescent="0.25">
      <c r="B102" s="76"/>
      <c r="AI102" s="74"/>
      <c r="BJ102" s="74"/>
      <c r="BK102" s="75"/>
    </row>
    <row r="103" spans="2:63" s="73" customFormat="1" ht="15" customHeight="1" x14ac:dyDescent="0.25">
      <c r="B103" s="76"/>
      <c r="AI103" s="74"/>
      <c r="BJ103" s="74"/>
      <c r="BK103" s="75"/>
    </row>
    <row r="104" spans="2:63" s="73" customFormat="1" ht="15" customHeight="1" x14ac:dyDescent="0.25">
      <c r="B104" s="76"/>
      <c r="AI104" s="74"/>
      <c r="BJ104" s="74"/>
      <c r="BK104" s="75"/>
    </row>
    <row r="105" spans="2:63" s="73" customFormat="1" ht="15" customHeight="1" x14ac:dyDescent="0.25">
      <c r="B105" s="76"/>
      <c r="AI105" s="74"/>
      <c r="BJ105" s="74"/>
      <c r="BK105" s="75"/>
    </row>
    <row r="106" spans="2:63" s="73" customFormat="1" ht="15" customHeight="1" x14ac:dyDescent="0.25">
      <c r="B106" s="76"/>
      <c r="AI106" s="74"/>
      <c r="BJ106" s="74"/>
      <c r="BK106" s="75"/>
    </row>
    <row r="107" spans="2:63" s="73" customFormat="1" ht="15" customHeight="1" x14ac:dyDescent="0.25">
      <c r="B107" s="76"/>
      <c r="AI107" s="74"/>
      <c r="BJ107" s="74"/>
      <c r="BK107" s="75"/>
    </row>
    <row r="108" spans="2:63" s="73" customFormat="1" ht="15" customHeight="1" x14ac:dyDescent="0.25">
      <c r="B108" s="76"/>
      <c r="AI108" s="74"/>
      <c r="BJ108" s="74"/>
      <c r="BK108" s="75"/>
    </row>
    <row r="109" spans="2:63" s="73" customFormat="1" ht="15" customHeight="1" x14ac:dyDescent="0.25">
      <c r="B109" s="76"/>
      <c r="AI109" s="74"/>
      <c r="BJ109" s="74"/>
      <c r="BK109" s="75"/>
    </row>
    <row r="110" spans="2:63" s="73" customFormat="1" ht="15" customHeight="1" x14ac:dyDescent="0.25">
      <c r="B110" s="76"/>
      <c r="AI110" s="74"/>
      <c r="BJ110" s="74"/>
      <c r="BK110" s="75"/>
    </row>
    <row r="111" spans="2:63" s="73" customFormat="1" ht="15" customHeight="1" x14ac:dyDescent="0.25">
      <c r="B111" s="76"/>
      <c r="AI111" s="74"/>
      <c r="BJ111" s="74"/>
      <c r="BK111" s="75"/>
    </row>
    <row r="112" spans="2:63" s="73" customFormat="1" ht="15" customHeight="1" x14ac:dyDescent="0.25">
      <c r="B112" s="76"/>
      <c r="AI112" s="74"/>
      <c r="BJ112" s="74"/>
      <c r="BK112" s="75"/>
    </row>
    <row r="113" spans="2:63" s="73" customFormat="1" ht="15" customHeight="1" x14ac:dyDescent="0.25">
      <c r="B113" s="76"/>
      <c r="AI113" s="74"/>
      <c r="BJ113" s="74"/>
      <c r="BK113" s="75"/>
    </row>
    <row r="114" spans="2:63" s="73" customFormat="1" ht="15" customHeight="1" x14ac:dyDescent="0.25">
      <c r="B114" s="76"/>
      <c r="AI114" s="74"/>
      <c r="BJ114" s="74"/>
      <c r="BK114" s="75"/>
    </row>
    <row r="115" spans="2:63" s="73" customFormat="1" ht="15" customHeight="1" x14ac:dyDescent="0.25">
      <c r="B115" s="76"/>
      <c r="AI115" s="74"/>
      <c r="BJ115" s="74"/>
      <c r="BK115" s="75"/>
    </row>
    <row r="116" spans="2:63" s="73" customFormat="1" ht="15" customHeight="1" x14ac:dyDescent="0.25">
      <c r="B116" s="76"/>
      <c r="AI116" s="74"/>
      <c r="BJ116" s="74"/>
      <c r="BK116" s="75"/>
    </row>
    <row r="117" spans="2:63" s="73" customFormat="1" ht="15" customHeight="1" x14ac:dyDescent="0.25">
      <c r="B117" s="76"/>
      <c r="AI117" s="74"/>
      <c r="BJ117" s="74"/>
      <c r="BK117" s="75"/>
    </row>
    <row r="118" spans="2:63" s="73" customFormat="1" ht="15" customHeight="1" x14ac:dyDescent="0.25">
      <c r="B118" s="76"/>
      <c r="AI118" s="74"/>
      <c r="BJ118" s="74"/>
      <c r="BK118" s="75"/>
    </row>
    <row r="119" spans="2:63" s="73" customFormat="1" ht="15" customHeight="1" x14ac:dyDescent="0.25">
      <c r="B119" s="76"/>
      <c r="AI119" s="74"/>
      <c r="BJ119" s="74"/>
      <c r="BK119" s="75"/>
    </row>
    <row r="120" spans="2:63" s="73" customFormat="1" ht="15" customHeight="1" x14ac:dyDescent="0.25">
      <c r="B120" s="76"/>
      <c r="AI120" s="74"/>
      <c r="BJ120" s="74"/>
      <c r="BK120" s="75"/>
    </row>
    <row r="121" spans="2:63" s="73" customFormat="1" ht="15" customHeight="1" x14ac:dyDescent="0.25">
      <c r="B121" s="76"/>
      <c r="AI121" s="74"/>
      <c r="BJ121" s="74"/>
      <c r="BK121" s="75"/>
    </row>
    <row r="122" spans="2:63" s="73" customFormat="1" ht="15" customHeight="1" x14ac:dyDescent="0.25">
      <c r="B122" s="76"/>
      <c r="AI122" s="74"/>
      <c r="BJ122" s="74"/>
      <c r="BK122" s="75"/>
    </row>
    <row r="123" spans="2:63" s="73" customFormat="1" ht="15" customHeight="1" x14ac:dyDescent="0.25">
      <c r="B123" s="76"/>
      <c r="AI123" s="74"/>
      <c r="BJ123" s="74"/>
      <c r="BK123" s="75"/>
    </row>
    <row r="124" spans="2:63" s="73" customFormat="1" ht="15" customHeight="1" x14ac:dyDescent="0.25">
      <c r="B124" s="76"/>
      <c r="AI124" s="74"/>
      <c r="BJ124" s="74"/>
      <c r="BK124" s="75"/>
    </row>
    <row r="125" spans="2:63" s="73" customFormat="1" ht="15" customHeight="1" x14ac:dyDescent="0.25">
      <c r="B125" s="76"/>
      <c r="AI125" s="74"/>
      <c r="BJ125" s="74"/>
      <c r="BK125" s="75"/>
    </row>
    <row r="126" spans="2:63" s="73" customFormat="1" ht="15" customHeight="1" x14ac:dyDescent="0.25">
      <c r="B126" s="76"/>
      <c r="AI126" s="74"/>
      <c r="BJ126" s="74"/>
      <c r="BK126" s="75"/>
    </row>
    <row r="127" spans="2:63" s="73" customFormat="1" ht="15" customHeight="1" x14ac:dyDescent="0.25">
      <c r="B127" s="76"/>
      <c r="AI127" s="74"/>
      <c r="BJ127" s="74"/>
      <c r="BK127" s="75"/>
    </row>
    <row r="128" spans="2:63" s="73" customFormat="1" ht="15" customHeight="1" x14ac:dyDescent="0.25">
      <c r="B128" s="76"/>
      <c r="AI128" s="74"/>
      <c r="BJ128" s="74"/>
      <c r="BK128" s="75"/>
    </row>
    <row r="129" spans="2:63" s="73" customFormat="1" ht="15" customHeight="1" x14ac:dyDescent="0.25">
      <c r="B129" s="76"/>
      <c r="AI129" s="74"/>
      <c r="BJ129" s="74"/>
      <c r="BK129" s="75"/>
    </row>
    <row r="130" spans="2:63" s="73" customFormat="1" ht="15" customHeight="1" x14ac:dyDescent="0.25">
      <c r="B130" s="76"/>
      <c r="AI130" s="74"/>
      <c r="BJ130" s="74"/>
      <c r="BK130" s="75"/>
    </row>
    <row r="131" spans="2:63" s="73" customFormat="1" ht="15" customHeight="1" x14ac:dyDescent="0.25">
      <c r="B131" s="76"/>
      <c r="AI131" s="74"/>
      <c r="BJ131" s="74"/>
      <c r="BK131" s="75"/>
    </row>
    <row r="132" spans="2:63" s="73" customFormat="1" ht="15" customHeight="1" x14ac:dyDescent="0.25">
      <c r="B132" s="76"/>
      <c r="AI132" s="74"/>
      <c r="BJ132" s="74"/>
      <c r="BK132" s="75"/>
    </row>
    <row r="133" spans="2:63" s="73" customFormat="1" ht="15" customHeight="1" x14ac:dyDescent="0.25">
      <c r="B133" s="76"/>
      <c r="AI133" s="74"/>
      <c r="BJ133" s="74"/>
      <c r="BK133" s="75"/>
    </row>
    <row r="134" spans="2:63" s="73" customFormat="1" ht="15" customHeight="1" x14ac:dyDescent="0.25">
      <c r="B134" s="76"/>
      <c r="AI134" s="74"/>
      <c r="BJ134" s="74"/>
      <c r="BK134" s="75"/>
    </row>
    <row r="135" spans="2:63" s="73" customFormat="1" ht="15" customHeight="1" x14ac:dyDescent="0.25">
      <c r="B135" s="76"/>
      <c r="AI135" s="74"/>
      <c r="BJ135" s="74"/>
      <c r="BK135" s="75"/>
    </row>
    <row r="136" spans="2:63" s="73" customFormat="1" ht="15" customHeight="1" x14ac:dyDescent="0.25">
      <c r="B136" s="76"/>
      <c r="AI136" s="74"/>
      <c r="BJ136" s="74"/>
      <c r="BK136" s="75"/>
    </row>
    <row r="137" spans="2:63" s="73" customFormat="1" ht="15" customHeight="1" x14ac:dyDescent="0.25">
      <c r="B137" s="76"/>
      <c r="AI137" s="74"/>
      <c r="BJ137" s="74"/>
      <c r="BK137" s="75"/>
    </row>
    <row r="138" spans="2:63" s="73" customFormat="1" ht="15" customHeight="1" x14ac:dyDescent="0.25">
      <c r="B138" s="76"/>
      <c r="AI138" s="74"/>
      <c r="BJ138" s="74"/>
      <c r="BK138" s="75"/>
    </row>
    <row r="139" spans="2:63" s="73" customFormat="1" ht="15" customHeight="1" x14ac:dyDescent="0.25">
      <c r="B139" s="76"/>
      <c r="AI139" s="74"/>
      <c r="BJ139" s="74"/>
      <c r="BK139" s="75"/>
    </row>
    <row r="140" spans="2:63" s="73" customFormat="1" ht="15" customHeight="1" x14ac:dyDescent="0.25">
      <c r="B140" s="76"/>
      <c r="AI140" s="74"/>
      <c r="BJ140" s="74"/>
      <c r="BK140" s="75"/>
    </row>
    <row r="141" spans="2:63" ht="15" customHeight="1" x14ac:dyDescent="0.25">
      <c r="B141" s="26"/>
      <c r="AI141" s="27"/>
      <c r="BJ141" s="27"/>
      <c r="BK141" s="2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3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6" customWidth="1"/>
    <col min="64" max="16384" width="10.109375" style="16"/>
  </cols>
  <sheetData>
    <row r="1" spans="1:63" ht="24.95" customHeight="1" x14ac:dyDescent="0.25">
      <c r="A1" s="166" t="s">
        <v>70</v>
      </c>
      <c r="B1" s="167"/>
      <c r="C1" s="167"/>
      <c r="D1" s="167"/>
      <c r="E1" s="167"/>
      <c r="F1" s="167"/>
      <c r="G1" s="167"/>
      <c r="H1" s="167"/>
      <c r="I1" s="167"/>
      <c r="J1" s="168"/>
      <c r="K1" s="166" t="s">
        <v>71</v>
      </c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8"/>
      <c r="W1" s="201" t="str">
        <f>IF(表紙!W1="","",表紙!W1)</f>
        <v>詳細設計書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3"/>
      <c r="AP1" s="186" t="s">
        <v>72</v>
      </c>
      <c r="AQ1" s="187"/>
      <c r="AR1" s="187"/>
      <c r="AS1" s="188"/>
      <c r="AT1" s="186" t="s">
        <v>73</v>
      </c>
      <c r="AU1" s="187"/>
      <c r="AV1" s="187"/>
      <c r="AW1" s="187"/>
      <c r="AX1" s="188"/>
      <c r="AY1" s="186" t="s">
        <v>74</v>
      </c>
      <c r="AZ1" s="187"/>
      <c r="BA1" s="187"/>
      <c r="BB1" s="188"/>
      <c r="BC1" s="186" t="s">
        <v>75</v>
      </c>
      <c r="BD1" s="187"/>
      <c r="BE1" s="187"/>
      <c r="BF1" s="187"/>
      <c r="BG1" s="188"/>
      <c r="BH1" s="186" t="s">
        <v>76</v>
      </c>
      <c r="BI1" s="187"/>
      <c r="BJ1" s="187"/>
      <c r="BK1" s="188"/>
    </row>
    <row r="2" spans="1:63" ht="15" customHeight="1" x14ac:dyDescent="0.25">
      <c r="A2" s="144" t="str">
        <f>IF(表紙!A2="","",表紙!A2)</f>
        <v>POSサーバー</v>
      </c>
      <c r="B2" s="145"/>
      <c r="C2" s="145"/>
      <c r="D2" s="145"/>
      <c r="E2" s="145"/>
      <c r="F2" s="145"/>
      <c r="G2" s="145"/>
      <c r="H2" s="145"/>
      <c r="I2" s="145"/>
      <c r="J2" s="146"/>
      <c r="K2" s="144" t="str">
        <f>IF(表紙!K2="","",表紙!K2)</f>
        <v>POSサーバ</v>
      </c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6"/>
      <c r="W2" s="204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6"/>
      <c r="AP2" s="189" t="str">
        <f>IF(表紙!AP2="","",表紙!AP2)</f>
        <v>SonMNT</v>
      </c>
      <c r="AQ2" s="190"/>
      <c r="AR2" s="190"/>
      <c r="AS2" s="191"/>
      <c r="AT2" s="195">
        <f>IF(表紙!AT2="","",表紙!AT2)</f>
        <v>45498</v>
      </c>
      <c r="AU2" s="196"/>
      <c r="AV2" s="196"/>
      <c r="AW2" s="196"/>
      <c r="AX2" s="197"/>
      <c r="AY2" s="189" t="str">
        <f>IF(表紙!AY2="","",表紙!AY2)</f>
        <v>SonMNT</v>
      </c>
      <c r="AZ2" s="190"/>
      <c r="BA2" s="190"/>
      <c r="BB2" s="191"/>
      <c r="BC2" s="195">
        <f>IF(表紙!BC2="","",表紙!BC2)</f>
        <v>45498</v>
      </c>
      <c r="BD2" s="196"/>
      <c r="BE2" s="196"/>
      <c r="BF2" s="196"/>
      <c r="BG2" s="197"/>
      <c r="BH2" s="189">
        <f>IF(表紙!BH2="","",表紙!BH2)</f>
        <v>0.1</v>
      </c>
      <c r="BI2" s="190"/>
      <c r="BJ2" s="190"/>
      <c r="BK2" s="191"/>
    </row>
    <row r="3" spans="1:63" ht="15" customHeight="1" x14ac:dyDescent="0.25">
      <c r="A3" s="147"/>
      <c r="B3" s="148"/>
      <c r="C3" s="148"/>
      <c r="D3" s="148"/>
      <c r="E3" s="148"/>
      <c r="F3" s="148"/>
      <c r="G3" s="148"/>
      <c r="H3" s="148"/>
      <c r="I3" s="148"/>
      <c r="J3" s="149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9"/>
      <c r="W3" s="207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9"/>
      <c r="AP3" s="192"/>
      <c r="AQ3" s="193"/>
      <c r="AR3" s="193"/>
      <c r="AS3" s="194"/>
      <c r="AT3" s="198"/>
      <c r="AU3" s="199"/>
      <c r="AV3" s="199"/>
      <c r="AW3" s="199"/>
      <c r="AX3" s="200"/>
      <c r="AY3" s="192"/>
      <c r="AZ3" s="193"/>
      <c r="BA3" s="193"/>
      <c r="BB3" s="194"/>
      <c r="BC3" s="198"/>
      <c r="BD3" s="199"/>
      <c r="BE3" s="199"/>
      <c r="BF3" s="199"/>
      <c r="BG3" s="200"/>
      <c r="BH3" s="192"/>
      <c r="BI3" s="193"/>
      <c r="BJ3" s="193"/>
      <c r="BK3" s="194"/>
    </row>
    <row r="4" spans="1:63" ht="24.95" customHeight="1" x14ac:dyDescent="0.25">
      <c r="A4" s="166" t="s">
        <v>77</v>
      </c>
      <c r="B4" s="167"/>
      <c r="C4" s="167"/>
      <c r="D4" s="167"/>
      <c r="E4" s="167"/>
      <c r="F4" s="167"/>
      <c r="G4" s="168"/>
      <c r="H4" s="140" t="str">
        <f>IF(表紙!H4="","",表紙!H4)</f>
        <v>AP6201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2"/>
      <c r="U4" s="166" t="s">
        <v>78</v>
      </c>
      <c r="V4" s="167"/>
      <c r="W4" s="167"/>
      <c r="X4" s="167"/>
      <c r="Y4" s="168"/>
      <c r="Z4" s="140" t="str">
        <f>IF(表紙!Z4="","",表紙!Z4)</f>
        <v>API設計書</v>
      </c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2"/>
      <c r="AP4" s="143" t="str">
        <f ca="1">MID(CELL("filename",A1),FIND("]",CELL("filename",A1))+1,255)</f>
        <v>テンプレート</v>
      </c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2"/>
    </row>
    <row r="5" spans="1:63" ht="5.0999999999999996" customHeight="1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9"/>
    </row>
    <row r="6" spans="1:63" ht="15" customHeight="1" x14ac:dyDescent="0.2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4"/>
    </row>
    <row r="7" spans="1:63" s="73" customFormat="1" ht="15" customHeight="1" x14ac:dyDescent="0.25">
      <c r="BK7" s="75"/>
    </row>
    <row r="8" spans="1:63" s="73" customFormat="1" ht="15" customHeight="1" x14ac:dyDescent="0.25">
      <c r="BK8" s="75"/>
    </row>
    <row r="9" spans="1:63" s="73" customFormat="1" ht="15" customHeight="1" x14ac:dyDescent="0.25">
      <c r="BK9" s="75"/>
    </row>
    <row r="10" spans="1:63" s="73" customFormat="1" ht="15" customHeight="1" x14ac:dyDescent="0.25">
      <c r="BK10" s="75"/>
    </row>
    <row r="11" spans="1:63" s="73" customFormat="1" ht="15" customHeight="1" x14ac:dyDescent="0.25">
      <c r="BK11" s="75"/>
    </row>
    <row r="12" spans="1:63" s="73" customFormat="1" ht="15" customHeight="1" x14ac:dyDescent="0.25">
      <c r="BK12" s="75"/>
    </row>
    <row r="13" spans="1:63" s="73" customFormat="1" ht="15" customHeight="1" x14ac:dyDescent="0.25">
      <c r="BK13" s="75"/>
    </row>
    <row r="14" spans="1:63" s="73" customFormat="1" ht="15" customHeight="1" x14ac:dyDescent="0.25">
      <c r="BK14" s="75"/>
    </row>
    <row r="15" spans="1:63" s="73" customFormat="1" ht="15" customHeight="1" x14ac:dyDescent="0.25">
      <c r="BK15" s="75"/>
    </row>
    <row r="16" spans="1:63" s="73" customFormat="1" ht="15" customHeight="1" x14ac:dyDescent="0.25">
      <c r="BK16" s="75"/>
    </row>
    <row r="17" spans="63:63" s="73" customFormat="1" ht="15" customHeight="1" x14ac:dyDescent="0.25">
      <c r="BK17" s="75"/>
    </row>
    <row r="18" spans="63:63" s="73" customFormat="1" ht="15" customHeight="1" x14ac:dyDescent="0.25">
      <c r="BK18" s="75"/>
    </row>
    <row r="19" spans="63:63" s="73" customFormat="1" ht="15" customHeight="1" x14ac:dyDescent="0.25">
      <c r="BK19" s="75"/>
    </row>
    <row r="20" spans="63:63" s="73" customFormat="1" ht="15" customHeight="1" x14ac:dyDescent="0.25">
      <c r="BK20" s="75"/>
    </row>
    <row r="21" spans="63:63" s="73" customFormat="1" ht="15" customHeight="1" x14ac:dyDescent="0.25">
      <c r="BK21" s="75"/>
    </row>
    <row r="22" spans="63:63" s="73" customFormat="1" ht="15" customHeight="1" x14ac:dyDescent="0.25">
      <c r="BK22" s="75"/>
    </row>
    <row r="23" spans="63:63" s="73" customFormat="1" ht="15" customHeight="1" x14ac:dyDescent="0.25">
      <c r="BK23" s="75"/>
    </row>
    <row r="24" spans="63:63" s="73" customFormat="1" ht="15" customHeight="1" x14ac:dyDescent="0.25">
      <c r="BK24" s="75"/>
    </row>
    <row r="25" spans="63:63" s="73" customFormat="1" ht="15" customHeight="1" x14ac:dyDescent="0.25">
      <c r="BK25" s="75"/>
    </row>
    <row r="26" spans="63:63" s="73" customFormat="1" ht="15" customHeight="1" x14ac:dyDescent="0.25">
      <c r="BK26" s="75"/>
    </row>
    <row r="27" spans="63:63" s="73" customFormat="1" ht="15" customHeight="1" x14ac:dyDescent="0.25">
      <c r="BK27" s="75"/>
    </row>
    <row r="28" spans="63:63" s="73" customFormat="1" ht="15" customHeight="1" x14ac:dyDescent="0.25">
      <c r="BK28" s="75"/>
    </row>
    <row r="29" spans="63:63" s="73" customFormat="1" ht="15" customHeight="1" x14ac:dyDescent="0.25">
      <c r="BK29" s="75"/>
    </row>
    <row r="30" spans="63:63" s="73" customFormat="1" ht="15" customHeight="1" x14ac:dyDescent="0.25">
      <c r="BK30" s="75"/>
    </row>
    <row r="31" spans="63:63" s="73" customFormat="1" ht="15" customHeight="1" x14ac:dyDescent="0.25">
      <c r="BK31" s="75"/>
    </row>
    <row r="32" spans="63:63" s="73" customFormat="1" ht="15" customHeight="1" x14ac:dyDescent="0.25">
      <c r="BK32" s="75"/>
    </row>
    <row r="33" spans="63:63" s="73" customFormat="1" ht="15" customHeight="1" x14ac:dyDescent="0.25">
      <c r="BK33" s="75"/>
    </row>
    <row r="34" spans="63:63" s="73" customFormat="1" ht="15" customHeight="1" x14ac:dyDescent="0.25">
      <c r="BK34" s="75"/>
    </row>
    <row r="35" spans="63:63" s="73" customFormat="1" ht="15" customHeight="1" x14ac:dyDescent="0.25">
      <c r="BK35" s="75"/>
    </row>
    <row r="36" spans="63:63" s="73" customFormat="1" ht="15" customHeight="1" x14ac:dyDescent="0.25">
      <c r="BK36" s="75"/>
    </row>
    <row r="37" spans="63:63" s="73" customFormat="1" ht="15" customHeight="1" x14ac:dyDescent="0.25">
      <c r="BK37" s="75"/>
    </row>
    <row r="38" spans="63:63" s="73" customFormat="1" ht="15" customHeight="1" x14ac:dyDescent="0.25">
      <c r="BK38" s="75"/>
    </row>
    <row r="39" spans="63:63" s="73" customFormat="1" ht="15" customHeight="1" x14ac:dyDescent="0.25">
      <c r="BK39" s="75"/>
    </row>
    <row r="40" spans="63:63" s="73" customFormat="1" ht="15" customHeight="1" x14ac:dyDescent="0.25">
      <c r="BK40" s="75"/>
    </row>
    <row r="41" spans="63:63" s="73" customFormat="1" ht="15" customHeight="1" x14ac:dyDescent="0.25">
      <c r="BK41" s="75"/>
    </row>
    <row r="42" spans="63:63" s="73" customFormat="1" ht="15" customHeight="1" x14ac:dyDescent="0.25">
      <c r="BK42" s="75"/>
    </row>
    <row r="43" spans="63:63" s="73" customFormat="1" ht="15" customHeight="1" x14ac:dyDescent="0.25">
      <c r="BK43" s="75"/>
    </row>
    <row r="44" spans="63:63" s="73" customFormat="1" ht="15" customHeight="1" x14ac:dyDescent="0.25">
      <c r="BK44" s="75"/>
    </row>
    <row r="45" spans="63:63" s="73" customFormat="1" ht="15" customHeight="1" x14ac:dyDescent="0.25">
      <c r="BK45" s="75"/>
    </row>
    <row r="46" spans="63:63" s="73" customFormat="1" ht="15" customHeight="1" x14ac:dyDescent="0.25">
      <c r="BK46" s="75"/>
    </row>
    <row r="47" spans="63:63" ht="15" customHeight="1" x14ac:dyDescent="0.25">
      <c r="BK47" s="20"/>
    </row>
    <row r="48" spans="63:63" ht="15" customHeight="1" x14ac:dyDescent="0.25">
      <c r="BK48" s="20"/>
    </row>
    <row r="49" spans="1:63" ht="15" customHeight="1" x14ac:dyDescent="0.25">
      <c r="BK49" s="20"/>
    </row>
    <row r="50" spans="1:63" ht="15" customHeight="1" x14ac:dyDescent="0.25">
      <c r="BK50" s="20"/>
    </row>
    <row r="51" spans="1:63" ht="15" customHeight="1" x14ac:dyDescent="0.25">
      <c r="BK51" s="20"/>
    </row>
    <row r="52" spans="1:63" ht="15" customHeight="1" x14ac:dyDescent="0.25">
      <c r="BK52" s="20"/>
    </row>
    <row r="53" spans="1:63" ht="15" customHeight="1" x14ac:dyDescent="0.25">
      <c r="BK53" s="20"/>
    </row>
    <row r="54" spans="1:63" ht="1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9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373DAA-7DC0-4468-ACFB-49FE17F34CC4}"/>
</file>

<file path=customXml/itemProps2.xml><?xml version="1.0" encoding="utf-8"?>
<ds:datastoreItem xmlns:ds="http://schemas.openxmlformats.org/officeDocument/2006/customXml" ds:itemID="{A6DBA59A-7319-4B7C-8E6D-BA657FC3CAB3}"/>
</file>

<file path=customXml/itemProps3.xml><?xml version="1.0" encoding="utf-8"?>
<ds:datastoreItem xmlns:ds="http://schemas.openxmlformats.org/officeDocument/2006/customXml" ds:itemID="{35164E3F-7038-466C-BF27-EFFB109E57A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AP6201</vt:lpstr>
      <vt:lpstr>処理フロー</vt:lpstr>
      <vt:lpstr>テンプレート</vt:lpstr>
      <vt:lpstr>'AP6201'!Print_Area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2024-08-09T08:57:39Z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