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F128074-8AD5-4F71-B9FB-E2B6B71BC23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7106" sheetId="8" r:id="rId4"/>
    <sheet name="処理フロー" sheetId="9" r:id="rId5"/>
    <sheet name="テンプレート" sheetId="7" r:id="rId6"/>
  </sheets>
  <definedNames>
    <definedName name="_xlnm.Print_Area" localSheetId="3">'AP7106'!$A$1:$BK$44</definedName>
    <definedName name="_xlnm.Print_Area" localSheetId="5">テンプレート!$A$1:$BK$54</definedName>
    <definedName name="_xlnm.Print_Area" localSheetId="4">処理フロー!$A$1:$BK$99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<sst xmlns="http://schemas.openxmlformats.org/spreadsheetml/2006/main" count="147" uniqueCount="79">
  <si>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</si>
  <si>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</si>
  <si>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</si>
  <si>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</si>
  <si>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</si>
  <si>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</si>
  <si>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</si>
  <si>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</si>
  <si>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</si>
  <si>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</si>
  <si>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</si>
  <si>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</si>
  <si>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</si>
  <si>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</si>
  <si>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</si>
  <si>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</si>
  <si>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</si>
  <si>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</si>
  <si>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</si>
  <si>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</si>
  <si>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</si>
  <si>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</si>
  <si>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</si>
  <si>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</si>
  <si>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</si>
  <si>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</si>
  <si>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</si>
  <si>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</si>
  <si>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</si>
  <si>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</si>
  <si>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</si>
  <si>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</si>
  <si>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</si>
  <si>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</si>
  <si>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</si>
  <si>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</si>
  <si>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</si>
  <si>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</si>
  <si>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</si>
  <si>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AP7106</t>
    </r>
  </si>
  <si>
    <r>
      <rPr>
        <sz val="11"/>
        <color rgb="FF000000"/>
        <rFont val="Meiryo UI"/>
        <family val="2"/>
      </rPr>
      <t>データに取り込む必要があるレジ一覧を含むCSV ファイルをアップロードする。</t>
    </r>
  </si>
  <si>
    <r>
      <rPr>
        <sz val="11"/>
        <color rgb="FF000000"/>
        <rFont val="Meiryo UI"/>
        <family val="2"/>
      </rPr>
      <t>バリデーションチェックを行い、レジをDBに取り込む。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</si>
  <si>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</si>
  <si>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file</t>
    </r>
  </si>
  <si>
    <r>
      <rPr>
        <sz val="11"/>
        <color rgb="FF000000"/>
        <rFont val="Meiryo UI"/>
        <family val="2"/>
      </rPr>
      <t>IFormFile</t>
    </r>
  </si>
  <si>
    <r>
      <rPr>
        <sz val="11"/>
        <color rgb="FF000000"/>
        <rFont val="Meiryo UI"/>
        <family val="2"/>
      </rPr>
      <t>multipart/form-data</t>
    </r>
  </si>
  <si>
    <r>
      <rPr>
        <sz val="11"/>
        <color rgb="FF000000"/>
        <rFont val="Meiryo UI"/>
        <family val="2"/>
      </rPr>
      <t>DuNT</t>
    </r>
  </si>
  <si>
    <t>DuNT</t>
  </si>
  <si>
    <t>urlを修正</t>
  </si>
  <si>
    <t>CSV形式のリファレンスを変更する</t>
  </si>
  <si>
    <t>TinNH</t>
  </si>
  <si>
    <t>機能概要</t>
  </si>
  <si>
    <t>・「380アテンダントモニタ」と「構成比」の項目を追加する場合の列数を変更</t>
  </si>
  <si>
    <t>ファイル形式のバリデーションチェックメッセージの更新：MSG_VAL_030 -&gt; MSG_VAL_033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</si>
  <si>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</si>
  <si>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</si>
  <si>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</si>
  <si>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</si>
  <si>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</si>
  <si>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</si>
  <si>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</si>
  <si>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</si>
  <si>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</si>
  <si>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●API処理フロー</t>
  </si>
  <si>
    <t>api/v1/cash-registers/import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</si>
  <si>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</si>
  <si>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</si>
  <si>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</si>
  <si>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</si>
  <si>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</si>
  <si>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</si>
  <si>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</si>
  <si>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</si>
  <si>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</si>
  <si>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</si>
  <si>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csvファイル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</si>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</sst>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3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2" fillId="4" borderId="0" xfId="0" applyFont="1" applyFill="1"/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1" xfId="0" quotePrefix="1" applyFont="1" applyBorder="1" applyAlignment="1">
      <alignment horizontal="left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4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7" xfId="0" applyFont="1" applyBorder="1" applyAlignment="1">
      <alignment wrapText="1"/>
    </xf>
    <xf numFmtId="0" fontId="19" fillId="0" borderId="28" xfId="0" applyFont="1" applyBorder="1" applyAlignment="1">
      <alignment wrapText="1"/>
    </xf>
    <xf numFmtId="0" fontId="19" fillId="0" borderId="29" xfId="0" applyFont="1" applyBorder="1" applyAlignment="1">
      <alignment wrapText="1"/>
    </xf>
    <xf numFmtId="0" fontId="19" fillId="0" borderId="27" xfId="0" applyFont="1" applyBorder="1"/>
    <xf numFmtId="0" fontId="19" fillId="0" borderId="28" xfId="0" applyFont="1" applyBorder="1"/>
    <xf numFmtId="0" fontId="19" fillId="0" borderId="29" xfId="0" applyFont="1" applyBorder="1"/>
    <xf numFmtId="0" fontId="20" fillId="4" borderId="21" xfId="6" applyFont="1" applyFill="1" applyBorder="1" applyAlignment="1">
      <alignment horizontal="center" vertical="center"/>
    </xf>
    <xf numFmtId="0" fontId="20" fillId="4" borderId="22" xfId="6" applyFont="1" applyFill="1" applyBorder="1" applyAlignment="1">
      <alignment horizontal="center" vertical="center"/>
    </xf>
    <xf numFmtId="0" fontId="20" fillId="4" borderId="23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20" xfId="0" applyFont="1" applyFill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19" fillId="0" borderId="21" xfId="0" quotePrefix="1" applyFont="1" applyBorder="1" applyAlignment="1">
      <alignment horizontal="left" vertical="center"/>
    </xf>
    <xf numFmtId="0" fontId="19" fillId="0" borderId="22" xfId="0" quotePrefix="1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1" xfId="0" quotePrefix="1" applyFont="1" applyBorder="1" applyAlignment="1">
      <alignment horizontal="left" vertical="center"/>
    </xf>
    <xf numFmtId="0" fontId="23" fillId="0" borderId="22" xfId="0" quotePrefix="1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0" borderId="0" xfId="0" quotePrefix="1" applyFont="1" applyAlignment="1">
      <alignment horizontal="left" vertical="center"/>
    </xf>
    <xf numFmtId="0" fontId="23" fillId="5" borderId="21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0" borderId="21" xfId="0" quotePrefix="1" applyFont="1" applyBorder="1" applyAlignment="1">
      <alignment horizontal="center" vertical="center"/>
    </xf>
    <xf numFmtId="0" fontId="23" fillId="0" borderId="22" xfId="0" quotePrefix="1" applyFont="1" applyBorder="1" applyAlignment="1">
      <alignment horizontal="center" vertical="center"/>
    </xf>
    <xf numFmtId="0" fontId="23" fillId="0" borderId="23" xfId="0" quotePrefix="1" applyFont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23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10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6002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5</xdr:col>
      <xdr:colOff>0</xdr:colOff>
      <xdr:row>28</xdr:row>
      <xdr:rowOff>0</xdr:rowOff>
    </xdr:from>
    <xdr:to>
      <xdr:col>11</xdr:col>
      <xdr:colOff>0</xdr:colOff>
      <xdr:row>32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33500" y="544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 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9</xdr:row>
      <xdr:rowOff>179294</xdr:rowOff>
    </xdr:from>
    <xdr:to>
      <xdr:col>8</xdr:col>
      <xdr:colOff>1</xdr:colOff>
      <xdr:row>12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16" idx="0"/>
        </xdr:cNvCxnSpPr>
      </xdr:nvCxnSpPr>
      <xdr:spPr>
        <a:xfrm>
          <a:off x="2133600" y="2009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3733800"/>
          <a:ext cx="7200900" cy="952500"/>
        </a:xfrm>
        <a:prstGeom prst="borderCallout1">
          <a:avLst>
            <a:gd name="adj1" fmla="val 51887"/>
            <a:gd name="adj2" fmla="val 470"/>
            <a:gd name="adj3" fmla="val 31588"/>
            <a:gd name="adj4" fmla="val -1002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▪形式が正しい場合、「3.CSVファイルのレコードをループする。」を実行する。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▪形式が不正な場合、以下のように返す。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422、エラーメッセージ </a:t>
          </a:r>
          <a:r>
            <a:rPr lang="en-US" altLang="ja-JP" sz="1000" b="0" i="0" u="none" kern="0" spc="0" baseline="0">
              <a:ln>
                <a:noFill/>
              </a:ln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 MSG_VAL_033（{0}= CSV）</a:t>
          </a:r>
        </a:p>
      </xdr:txBody>
    </xdr:sp>
    <xdr:clientData/>
  </xdr:twoCellAnchor>
  <xdr:twoCellAnchor>
    <xdr:from>
      <xdr:col>6</xdr:col>
      <xdr:colOff>25214</xdr:colOff>
      <xdr:row>91</xdr:row>
      <xdr:rowOff>0</xdr:rowOff>
    </xdr:from>
    <xdr:to>
      <xdr:col>10</xdr:col>
      <xdr:colOff>0</xdr:colOff>
      <xdr:row>93</xdr:row>
      <xdr:rowOff>0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28775" y="17449800"/>
          <a:ext cx="1038225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0</xdr:colOff>
      <xdr:row>23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335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形式が正しいか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23</xdr:row>
      <xdr:rowOff>179294</xdr:rowOff>
    </xdr:from>
    <xdr:to>
      <xdr:col>9</xdr:col>
      <xdr:colOff>0</xdr:colOff>
      <xdr:row>24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8669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20</xdr:row>
      <xdr:rowOff>179294</xdr:rowOff>
    </xdr:from>
    <xdr:to>
      <xdr:col>13</xdr:col>
      <xdr:colOff>0</xdr:colOff>
      <xdr:row>21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9337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0</xdr:colOff>
      <xdr:row>21</xdr:row>
      <xdr:rowOff>84044</xdr:rowOff>
    </xdr:from>
    <xdr:to>
      <xdr:col>27</xdr:col>
      <xdr:colOff>0</xdr:colOff>
      <xdr:row>84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55" idx="0"/>
        </xdr:cNvCxnSpPr>
      </xdr:nvCxnSpPr>
      <xdr:spPr>
        <a:xfrm>
          <a:off x="3467100" y="4200525"/>
          <a:ext cx="3733800" cy="11915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32</xdr:row>
      <xdr:rowOff>0</xdr:rowOff>
    </xdr:from>
    <xdr:to>
      <xdr:col>8</xdr:col>
      <xdr:colOff>1</xdr:colOff>
      <xdr:row>35</xdr:row>
      <xdr:rowOff>11206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4" idx="2"/>
          <a:endCxn id="35" idx="0"/>
        </xdr:cNvCxnSpPr>
      </xdr:nvCxnSpPr>
      <xdr:spPr>
        <a:xfrm>
          <a:off x="2133600" y="62103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24</xdr:row>
      <xdr:rowOff>179294</xdr:rowOff>
    </xdr:from>
    <xdr:to>
      <xdr:col>8</xdr:col>
      <xdr:colOff>1</xdr:colOff>
      <xdr:row>28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4" idx="0"/>
        </xdr:cNvCxnSpPr>
      </xdr:nvCxnSpPr>
      <xdr:spPr>
        <a:xfrm>
          <a:off x="2133600" y="48672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0</xdr:rowOff>
    </xdr:from>
    <xdr:to>
      <xdr:col>11</xdr:col>
      <xdr:colOff>0</xdr:colOff>
      <xdr:row>16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240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ファイルのバリデーションチェック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51887"/>
            <a:gd name="adj2" fmla="val 470"/>
            <a:gd name="adj3" fmla="val 88451"/>
            <a:gd name="adj4" fmla="val -894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CSV形式であるかをファイルのバリデーションチェックを行う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16</xdr:row>
      <xdr:rowOff>0</xdr:rowOff>
    </xdr:from>
    <xdr:to>
      <xdr:col>8</xdr:col>
      <xdr:colOff>1</xdr:colOff>
      <xdr:row>19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6" idx="2"/>
          <a:endCxn id="8" idx="0"/>
        </xdr:cNvCxnSpPr>
      </xdr:nvCxnSpPr>
      <xdr:spPr>
        <a:xfrm>
          <a:off x="21336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35</xdr:row>
      <xdr:rowOff>11206</xdr:rowOff>
    </xdr:from>
    <xdr:to>
      <xdr:col>11</xdr:col>
      <xdr:colOff>0</xdr:colOff>
      <xdr:row>40</xdr:row>
      <xdr:rowOff>0</xdr:rowOff>
    </xdr:to>
    <xdr:sp macro="" textlink="" fLocksText="0">
      <xdr:nvSpPr>
        <xdr:cNvPr id="35" name="Flowchart: Decision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333500" y="679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4.列数が十分であるかをヘッダーのバリデーションチェックを行う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37" name="吹き出し: 線 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334500" y="5638800"/>
          <a:ext cx="7200900" cy="571500"/>
        </a:xfrm>
        <a:prstGeom prst="borderCallout1">
          <a:avLst>
            <a:gd name="adj1" fmla="val 51887"/>
            <a:gd name="adj2" fmla="val 470"/>
            <a:gd name="adj3" fmla="val 31588"/>
            <a:gd name="adj4" fmla="val -907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csvをパースする。</a:t>
          </a:r>
        </a:p>
      </xdr:txBody>
    </xdr:sp>
    <xdr:clientData/>
  </xdr:twoCellAnchor>
  <xdr:twoCellAnchor>
    <xdr:from>
      <xdr:col>35</xdr:col>
      <xdr:colOff>0</xdr:colOff>
      <xdr:row>35</xdr:row>
      <xdr:rowOff>190499</xdr:rowOff>
    </xdr:from>
    <xdr:to>
      <xdr:col>62</xdr:col>
      <xdr:colOff>0</xdr:colOff>
      <xdr:row>43</xdr:row>
      <xdr:rowOff>100852</xdr:rowOff>
    </xdr:to>
    <xdr:sp macro="" textlink="" fLocksText="0">
      <xdr:nvSpPr>
        <xdr:cNvPr id="45" name="吹き出し: 線 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236324" y="6970058"/>
          <a:ext cx="6353735" cy="1434353"/>
        </a:xfrm>
        <a:prstGeom prst="borderCallout1">
          <a:avLst>
            <a:gd name="adj1" fmla="val 51887"/>
            <a:gd name="adj2" fmla="val 470"/>
            <a:gd name="adj3" fmla="val 15341"/>
            <a:gd name="adj4" fmla="val -9989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最初のレコードのバリデーションチェックを行う（ヘッダーを含む）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ヘッダーの列数が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30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であるかをバリデーションチェックを行う (30_機能設計_71_レジマスタ設定.xlsxのCSVサンプルシート、CSV形式シートをご参照ください。)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▪ヘッダーの列数が不正な場合、以下のように返す。response code = 422、エラーメッセージ =  MSG_VAL_030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▪ヘッダーの列数が正しい場合、「5.データ一覧をループする」を実行する。</a:t>
          </a:r>
        </a:p>
      </xdr:txBody>
    </xdr:sp>
    <xdr:clientData/>
  </xdr:twoCellAnchor>
  <xdr:twoCellAnchor>
    <xdr:from>
      <xdr:col>5</xdr:col>
      <xdr:colOff>0</xdr:colOff>
      <xdr:row>44</xdr:row>
      <xdr:rowOff>0</xdr:rowOff>
    </xdr:from>
    <xdr:to>
      <xdr:col>11</xdr:col>
      <xdr:colOff>0</xdr:colOff>
      <xdr:row>48</xdr:row>
      <xdr:rowOff>0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333500" y="849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データ一覧をループする。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41</xdr:row>
      <xdr:rowOff>0</xdr:rowOff>
    </xdr:from>
    <xdr:to>
      <xdr:col>8</xdr:col>
      <xdr:colOff>1</xdr:colOff>
      <xdr:row>44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48" idx="2"/>
          <a:endCxn id="46" idx="0"/>
        </xdr:cNvCxnSpPr>
      </xdr:nvCxnSpPr>
      <xdr:spPr>
        <a:xfrm>
          <a:off x="2133600" y="7924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40</xdr:row>
      <xdr:rowOff>0</xdr:rowOff>
    </xdr:from>
    <xdr:to>
      <xdr:col>9</xdr:col>
      <xdr:colOff>0</xdr:colOff>
      <xdr:row>41</xdr:row>
      <xdr:rowOff>0</xdr:rowOff>
    </xdr:to>
    <xdr:sp macro="" textlink="" fLocksText="0">
      <xdr:nvSpPr>
        <xdr:cNvPr id="48" name="Flowchart: Process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18669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13</xdr:col>
      <xdr:colOff>0</xdr:colOff>
      <xdr:row>38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933700" y="716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65</xdr:row>
      <xdr:rowOff>179294</xdr:rowOff>
    </xdr:from>
    <xdr:to>
      <xdr:col>8</xdr:col>
      <xdr:colOff>1</xdr:colOff>
      <xdr:row>71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19" idx="2"/>
          <a:endCxn id="72" idx="0"/>
        </xdr:cNvCxnSpPr>
      </xdr:nvCxnSpPr>
      <xdr:spPr>
        <a:xfrm>
          <a:off x="2133600" y="12677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12607</xdr:colOff>
      <xdr:row>85</xdr:row>
      <xdr:rowOff>0</xdr:rowOff>
    </xdr:from>
    <xdr:to>
      <xdr:col>27</xdr:col>
      <xdr:colOff>0</xdr:colOff>
      <xdr:row>91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55" idx="2"/>
          <a:endCxn id="7" idx="0"/>
        </xdr:cNvCxnSpPr>
      </xdr:nvCxnSpPr>
      <xdr:spPr>
        <a:xfrm rot="5400000">
          <a:off x="2143125" y="16306800"/>
          <a:ext cx="505777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84</xdr:row>
      <xdr:rowOff>0</xdr:rowOff>
    </xdr:from>
    <xdr:to>
      <xdr:col>28</xdr:col>
      <xdr:colOff>0</xdr:colOff>
      <xdr:row>85</xdr:row>
      <xdr:rowOff>0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6934200" y="16116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37</xdr:row>
      <xdr:rowOff>95250</xdr:rowOff>
    </xdr:from>
    <xdr:to>
      <xdr:col>27</xdr:col>
      <xdr:colOff>0</xdr:colOff>
      <xdr:row>84</xdr:row>
      <xdr:rowOff>0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stCxn id="49" idx="3"/>
          <a:endCxn id="55" idx="0"/>
        </xdr:cNvCxnSpPr>
      </xdr:nvCxnSpPr>
      <xdr:spPr>
        <a:xfrm>
          <a:off x="3467100" y="7258050"/>
          <a:ext cx="3733800" cy="885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45</xdr:row>
      <xdr:rowOff>0</xdr:rowOff>
    </xdr:from>
    <xdr:to>
      <xdr:col>62</xdr:col>
      <xdr:colOff>0</xdr:colOff>
      <xdr:row>47</xdr:row>
      <xdr:rowOff>0</xdr:rowOff>
    </xdr:to>
    <xdr:sp macro="" textlink="" fLocksText="0">
      <xdr:nvSpPr>
        <xdr:cNvPr id="63" name="吹き出し: 線 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9334500" y="8686800"/>
          <a:ext cx="7200900" cy="381000"/>
        </a:xfrm>
        <a:prstGeom prst="borderCallout1">
          <a:avLst>
            <a:gd name="adj1" fmla="val 51887"/>
            <a:gd name="adj2" fmla="val 470"/>
            <a:gd name="adj3" fmla="val 43353"/>
            <a:gd name="adj4" fmla="val -972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csvをパースする。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59</xdr:row>
      <xdr:rowOff>0</xdr:rowOff>
    </xdr:to>
    <xdr:sp macro="" textlink="" fLocksText="0">
      <xdr:nvSpPr>
        <xdr:cNvPr id="67" name="吹き出し: 線 2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9334500" y="9829800"/>
          <a:ext cx="7200900" cy="1524000"/>
        </a:xfrm>
        <a:prstGeom prst="borderCallout1">
          <a:avLst>
            <a:gd name="adj1" fmla="val 51887"/>
            <a:gd name="adj2" fmla="val 470"/>
            <a:gd name="adj3" fmla="val 31954"/>
            <a:gd name="adj4" fmla="val -8931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各レコードのデータのバリデーションチェックを行う。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80_CSV設計_71_レジマスタ設定.xlsxのCSV7101_レジ一覧.xlsx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のCSV形式シートの説明に従って項目のバリデーションチェックを行う。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▪1つのバリデーションチェックエラーが発生した場合、エラーレコードの位置を保存する。以下のステップを実行する。「9. 最後のレコードであるかを確認する」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▪バリデーションチェックが成功した場合、「7.存在確認」ステップを実行する。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48</xdr:row>
      <xdr:rowOff>0</xdr:rowOff>
    </xdr:from>
    <xdr:to>
      <xdr:col>8</xdr:col>
      <xdr:colOff>1</xdr:colOff>
      <xdr:row>51</xdr:row>
      <xdr:rowOff>123265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CxnSpPr>
          <a:stCxn id="46" idx="2"/>
          <a:endCxn id="24" idx="0"/>
        </xdr:cNvCxnSpPr>
      </xdr:nvCxnSpPr>
      <xdr:spPr>
        <a:xfrm>
          <a:off x="2133600" y="9258300"/>
          <a:ext cx="0" cy="6953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79</xdr:row>
      <xdr:rowOff>0</xdr:rowOff>
    </xdr:from>
    <xdr:to>
      <xdr:col>11</xdr:col>
      <xdr:colOff>0</xdr:colOff>
      <xdr:row>83</xdr:row>
      <xdr:rowOff>179294</xdr:rowOff>
    </xdr:to>
    <xdr:sp macro="" textlink="" fLocksText="0">
      <xdr:nvSpPr>
        <xdr:cNvPr id="72" name="Flowchart: Decision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333500" y="1516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最後のレコードであるかを確認する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83</xdr:row>
      <xdr:rowOff>179294</xdr:rowOff>
    </xdr:from>
    <xdr:to>
      <xdr:col>9</xdr:col>
      <xdr:colOff>0</xdr:colOff>
      <xdr:row>84</xdr:row>
      <xdr:rowOff>179294</xdr:rowOff>
    </xdr:to>
    <xdr:sp macro="" textlink="" fLocksText="0">
      <xdr:nvSpPr>
        <xdr:cNvPr id="73" name="Flowchart: Process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866900" y="1610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81</xdr:row>
      <xdr:rowOff>11206</xdr:rowOff>
    </xdr:from>
    <xdr:to>
      <xdr:col>5</xdr:col>
      <xdr:colOff>0</xdr:colOff>
      <xdr:row>82</xdr:row>
      <xdr:rowOff>11206</xdr:rowOff>
    </xdr:to>
    <xdr:sp macro="" textlink="" fLocksText="0">
      <xdr:nvSpPr>
        <xdr:cNvPr id="74" name="Flowchart: Process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800100" y="15554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19</xdr:col>
      <xdr:colOff>33618</xdr:colOff>
      <xdr:row>109</xdr:row>
      <xdr:rowOff>56029</xdr:rowOff>
    </xdr:from>
    <xdr:to>
      <xdr:col>19</xdr:col>
      <xdr:colOff>33618</xdr:colOff>
      <xdr:row>112</xdr:row>
      <xdr:rowOff>33618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/>
      </xdr:nvCxnSpPr>
      <xdr:spPr>
        <a:xfrm>
          <a:off x="5105400" y="210312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84</xdr:row>
      <xdr:rowOff>179294</xdr:rowOff>
    </xdr:from>
    <xdr:to>
      <xdr:col>8</xdr:col>
      <xdr:colOff>12607</xdr:colOff>
      <xdr:row>91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73" idx="2"/>
          <a:endCxn id="7" idx="0"/>
        </xdr:cNvCxnSpPr>
      </xdr:nvCxnSpPr>
      <xdr:spPr>
        <a:xfrm>
          <a:off x="2133600" y="16297275"/>
          <a:ext cx="9525" cy="1152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</xdr:colOff>
      <xdr:row>54</xdr:row>
      <xdr:rowOff>39221</xdr:rowOff>
    </xdr:from>
    <xdr:to>
      <xdr:col>3</xdr:col>
      <xdr:colOff>0</xdr:colOff>
      <xdr:row>73</xdr:row>
      <xdr:rowOff>190499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26" idx="1"/>
          <a:endCxn id="41" idx="0"/>
        </xdr:cNvCxnSpPr>
      </xdr:nvCxnSpPr>
      <xdr:spPr>
        <a:xfrm rot="10800000" flipV="1">
          <a:off x="533400" y="10439400"/>
          <a:ext cx="266700" cy="37719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81</xdr:row>
      <xdr:rowOff>0</xdr:rowOff>
    </xdr:from>
    <xdr:to>
      <xdr:col>62</xdr:col>
      <xdr:colOff>0</xdr:colOff>
      <xdr:row>88</xdr:row>
      <xdr:rowOff>0</xdr:rowOff>
    </xdr:to>
    <xdr:sp macro="" textlink="" fLocksText="0">
      <xdr:nvSpPr>
        <xdr:cNvPr id="93" name="吹き出し: 線 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9334500" y="15544800"/>
          <a:ext cx="7200900" cy="1333500"/>
        </a:xfrm>
        <a:prstGeom prst="borderCallout1">
          <a:avLst>
            <a:gd name="adj1" fmla="val 51887"/>
            <a:gd name="adj2" fmla="val 470"/>
            <a:gd name="adj3" fmla="val -914"/>
            <a:gd name="adj4" fmla="val -951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最後のレコードであるかを確認する。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▪最後のレコードである場合、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・エラーレコード位置保存一覧にデータがない場合、response code = 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エラーレコード位置保存一覧にデータがある場合、以下のように返す。response code = 200, message = MSG_INFO_003 （{0}：エラーレコード一覧）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▪最後のレコードではない場合、「5.データ一覧をループする」ステップの次のアイテムをループする。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57</xdr:row>
      <xdr:rowOff>112059</xdr:rowOff>
    </xdr:from>
    <xdr:to>
      <xdr:col>8</xdr:col>
      <xdr:colOff>1</xdr:colOff>
      <xdr:row>60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>
          <a:stCxn id="25" idx="2"/>
          <a:endCxn id="15" idx="0"/>
        </xdr:cNvCxnSpPr>
      </xdr:nvCxnSpPr>
      <xdr:spPr>
        <a:xfrm>
          <a:off x="2133600" y="11087100"/>
          <a:ext cx="0" cy="4572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60</xdr:row>
      <xdr:rowOff>0</xdr:rowOff>
    </xdr:from>
    <xdr:to>
      <xdr:col>11</xdr:col>
      <xdr:colOff>0</xdr:colOff>
      <xdr:row>64</xdr:row>
      <xdr:rowOff>179294</xdr:rowOff>
    </xdr:to>
    <xdr:sp macro="" textlink="" fLocksText="0">
      <xdr:nvSpPr>
        <xdr:cNvPr id="15" name="Flowchart: Decisio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1154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存在確認 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64</xdr:row>
      <xdr:rowOff>179294</xdr:rowOff>
    </xdr:from>
    <xdr:to>
      <xdr:col>9</xdr:col>
      <xdr:colOff>0</xdr:colOff>
      <xdr:row>65</xdr:row>
      <xdr:rowOff>179294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66900" y="1248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62</xdr:row>
      <xdr:rowOff>11206</xdr:rowOff>
    </xdr:from>
    <xdr:to>
      <xdr:col>5</xdr:col>
      <xdr:colOff>0</xdr:colOff>
      <xdr:row>63</xdr:row>
      <xdr:rowOff>11206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00100" y="11934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61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334500" y="11734800"/>
          <a:ext cx="7200900" cy="762000"/>
        </a:xfrm>
        <a:prstGeom prst="borderCallout1">
          <a:avLst>
            <a:gd name="adj1" fmla="val 51887"/>
            <a:gd name="adj2" fmla="val 470"/>
            <a:gd name="adj3" fmla="val 43353"/>
            <a:gd name="adj4" fmla="val -972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インデックス2の現在のデータレコードを使用して、レジコードの存在を確認する。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▪存在している場合、レジを更新する。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▪存在していない場合、レジを新規作成する。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51</xdr:row>
      <xdr:rowOff>123265</xdr:rowOff>
    </xdr:from>
    <xdr:to>
      <xdr:col>11</xdr:col>
      <xdr:colOff>0</xdr:colOff>
      <xdr:row>56</xdr:row>
      <xdr:rowOff>112059</xdr:rowOff>
    </xdr:to>
    <xdr:sp macro="" textlink="" fLocksText="0">
      <xdr:nvSpPr>
        <xdr:cNvPr id="24" name="Flowchart: Decisio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333500" y="99536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6.データが有効であるかをバリデーションチェックを行う。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56</xdr:row>
      <xdr:rowOff>112059</xdr:rowOff>
    </xdr:from>
    <xdr:to>
      <xdr:col>9</xdr:col>
      <xdr:colOff>0</xdr:colOff>
      <xdr:row>57</xdr:row>
      <xdr:rowOff>112059</xdr:rowOff>
    </xdr:to>
    <xdr:sp macro="" textlink="" fLocksText="0">
      <xdr:nvSpPr>
        <xdr:cNvPr id="25" name="Flowchart: Proces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866900" y="108966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53</xdr:row>
      <xdr:rowOff>134471</xdr:rowOff>
    </xdr:from>
    <xdr:to>
      <xdr:col>5</xdr:col>
      <xdr:colOff>0</xdr:colOff>
      <xdr:row>54</xdr:row>
      <xdr:rowOff>134471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00100" y="103441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11</xdr:col>
      <xdr:colOff>0</xdr:colOff>
      <xdr:row>75</xdr:row>
      <xdr:rowOff>0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333500" y="1363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レジ保存処理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72</xdr:row>
      <xdr:rowOff>11206</xdr:rowOff>
    </xdr:from>
    <xdr:to>
      <xdr:col>62</xdr:col>
      <xdr:colOff>0</xdr:colOff>
      <xdr:row>76</xdr:row>
      <xdr:rowOff>0</xdr:rowOff>
    </xdr:to>
    <xdr:sp macro="" textlink="" fLocksText="0">
      <xdr:nvSpPr>
        <xdr:cNvPr id="33" name="吹き出し: 線 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9334500" y="13839825"/>
          <a:ext cx="7200900" cy="752475"/>
        </a:xfrm>
        <a:prstGeom prst="borderCallout1">
          <a:avLst>
            <a:gd name="adj1" fmla="val 51887"/>
            <a:gd name="adj2" fmla="val 470"/>
            <a:gd name="adj3" fmla="val 33549"/>
            <a:gd name="adj4" fmla="val -907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30_機能設計_71_レジマスタ設定.xlsxのCSV形式シートのマッピングに従ってレコードをCashRegisteMasterテーブルに保存する。次に、「9.最後のレコードであるかを確認する」を実行する。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75</xdr:row>
      <xdr:rowOff>0</xdr:rowOff>
    </xdr:from>
    <xdr:to>
      <xdr:col>8</xdr:col>
      <xdr:colOff>1</xdr:colOff>
      <xdr:row>79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32" idx="2"/>
          <a:endCxn id="72" idx="0"/>
        </xdr:cNvCxnSpPr>
      </xdr:nvCxnSpPr>
      <xdr:spPr>
        <a:xfrm>
          <a:off x="2133600" y="1440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73</xdr:row>
      <xdr:rowOff>190499</xdr:rowOff>
    </xdr:from>
    <xdr:to>
      <xdr:col>3</xdr:col>
      <xdr:colOff>1</xdr:colOff>
      <xdr:row>74</xdr:row>
      <xdr:rowOff>190499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66700" y="14211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3</xdr:colOff>
      <xdr:row>74</xdr:row>
      <xdr:rowOff>190498</xdr:rowOff>
    </xdr:from>
    <xdr:to>
      <xdr:col>8</xdr:col>
      <xdr:colOff>2</xdr:colOff>
      <xdr:row>78</xdr:row>
      <xdr:rowOff>190499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41" idx="2"/>
          <a:endCxn id="72" idx="0"/>
        </xdr:cNvCxnSpPr>
      </xdr:nvCxnSpPr>
      <xdr:spPr>
        <a:xfrm rot="16200000" flipH="1">
          <a:off x="533400" y="14401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15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3"/>
      <c r="AP2" s="11" t="str">
        <f>改訂履歴!$H$11</f>
        <v>DuNT</v>
      </c>
      <c r="AQ2" s="10"/>
      <c r="AR2" s="10"/>
      <c r="AS2" s="9"/>
      <c r="AT2" s="79">
        <f>改訂履歴!$B$11</f>
        <v>45498</v>
      </c>
      <c r="AU2" s="80"/>
      <c r="AV2" s="80"/>
      <c r="AW2" s="80"/>
      <c r="AX2" s="81"/>
      <c r="AY2" s="11" t="str">
        <f>LOOKUP(2,1/(改訂履歴!H11:H30000&lt;&gt;""),改訂履歴!H11:H30000)</f>
        <v>DuNT</v>
      </c>
      <c r="AZ2" s="10"/>
      <c r="BA2" s="10"/>
      <c r="BB2" s="9"/>
      <c r="BC2" s="79">
        <f>LOOKUP(2,1/(改訂履歴!B11:B30000&lt;&gt;""),改訂履歴!B11:B30000)</f>
        <v>45621</v>
      </c>
      <c r="BD2" s="80"/>
      <c r="BE2" s="80"/>
      <c r="BF2" s="80"/>
      <c r="BG2" s="81"/>
      <c r="BH2" s="73">
        <f>LOOKUP(2,1/(改訂履歴!O11:O30000&lt;&gt;""),改訂履歴!O11:O30000)</f>
        <v>0.41</v>
      </c>
      <c r="BI2" s="74"/>
      <c r="BJ2" s="74"/>
      <c r="BK2" s="75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64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6"/>
      <c r="AP3" s="8"/>
      <c r="AQ3" s="7"/>
      <c r="AR3" s="7"/>
      <c r="AS3" s="6"/>
      <c r="AT3" s="82"/>
      <c r="AU3" s="83"/>
      <c r="AV3" s="83"/>
      <c r="AW3" s="83"/>
      <c r="AX3" s="84"/>
      <c r="AY3" s="8"/>
      <c r="AZ3" s="7"/>
      <c r="BA3" s="7"/>
      <c r="BB3" s="6"/>
      <c r="BC3" s="82"/>
      <c r="BD3" s="83"/>
      <c r="BE3" s="83"/>
      <c r="BF3" s="83"/>
      <c r="BG3" s="84"/>
      <c r="BH3" s="76"/>
      <c r="BI3" s="77"/>
      <c r="BJ3" s="77"/>
      <c r="BK3" s="78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69" t="s">
        <v>39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  <c r="U4" s="14" t="s">
        <v>8</v>
      </c>
      <c r="V4" s="13"/>
      <c r="W4" s="13"/>
      <c r="X4" s="13"/>
      <c r="Y4" s="12"/>
      <c r="Z4" s="72" t="s">
        <v>16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1"/>
      <c r="AP4" s="69" t="str">
        <f t="array" aca="1" ref="AP4" ca="1">RIGHT(CELL("filename",$A$1),LEN(CELL("filename",$A$1))-FIND("]",CELL("filename",$A$1)))</f>
        <v>表紙</v>
      </c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1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67" t="s">
        <v>35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26"/>
      <c r="BK16" s="18"/>
    </row>
    <row r="17" spans="1:63" ht="15" customHeight="1" x14ac:dyDescent="0.25">
      <c r="A17" s="15"/>
      <c r="K17" s="20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26"/>
      <c r="BK17" s="18"/>
    </row>
    <row r="18" spans="1:63" ht="15" customHeight="1" x14ac:dyDescent="0.25">
      <c r="A18" s="15"/>
      <c r="K18" s="20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26"/>
      <c r="BK18" s="18"/>
    </row>
    <row r="19" spans="1:63" ht="15" customHeight="1" x14ac:dyDescent="0.25">
      <c r="A19" s="15"/>
      <c r="K19" s="20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26"/>
      <c r="BK19" s="18"/>
    </row>
    <row r="20" spans="1:63" ht="15" customHeight="1" x14ac:dyDescent="0.25">
      <c r="A20" s="15"/>
      <c r="K20" s="20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26"/>
      <c r="BK20" s="18"/>
    </row>
    <row r="21" spans="1:63" ht="15" customHeight="1" x14ac:dyDescent="0.25">
      <c r="A21" s="15"/>
      <c r="K21" s="20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68" t="str">
        <f>K2&amp;"/"&amp;H4&amp;"/"&amp;Z4</f>
        <v>POSサーバー/AP7106/API設計書</v>
      </c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26"/>
      <c r="BK24" s="18"/>
    </row>
    <row r="25" spans="1:63" ht="15" customHeight="1" x14ac:dyDescent="0.25">
      <c r="A25" s="15"/>
      <c r="K25" s="20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26"/>
      <c r="BK25" s="18"/>
    </row>
    <row r="26" spans="1:63" ht="15" customHeight="1" x14ac:dyDescent="0.25">
      <c r="A26" s="15"/>
      <c r="K26" s="20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26"/>
      <c r="BK26" s="18"/>
    </row>
    <row r="27" spans="1:63" ht="15" customHeight="1" x14ac:dyDescent="0.25">
      <c r="A27" s="15"/>
      <c r="K27" s="20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26"/>
      <c r="BK27" s="18"/>
    </row>
    <row r="28" spans="1:63" ht="15" customHeight="1" x14ac:dyDescent="0.25">
      <c r="A28" s="15"/>
      <c r="K28" s="20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26"/>
      <c r="BK28" s="18"/>
    </row>
    <row r="29" spans="1:63" ht="15" customHeight="1" x14ac:dyDescent="0.25">
      <c r="A29" s="15"/>
      <c r="K29" s="20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26"/>
      <c r="BK29" s="18"/>
    </row>
    <row r="30" spans="1:63" ht="15" customHeight="1" x14ac:dyDescent="0.25">
      <c r="A30" s="15"/>
      <c r="K30" s="20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26"/>
      <c r="BK30" s="18"/>
    </row>
    <row r="31" spans="1:63" ht="15" customHeight="1" x14ac:dyDescent="0.25">
      <c r="A31" s="15"/>
      <c r="K31" s="20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26"/>
      <c r="BK31" s="18"/>
    </row>
    <row r="32" spans="1:63" ht="15" customHeight="1" x14ac:dyDescent="0.25">
      <c r="A32" s="15"/>
      <c r="K32" s="20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26"/>
      <c r="BK32" s="18"/>
    </row>
    <row r="33" spans="1:63" ht="15" customHeight="1" x14ac:dyDescent="0.25">
      <c r="A33" s="15"/>
      <c r="K33" s="20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26"/>
      <c r="BK33" s="18"/>
    </row>
    <row r="34" spans="1:63" ht="15" customHeight="1" x14ac:dyDescent="0.25">
      <c r="A34" s="15"/>
      <c r="K34" s="20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26"/>
      <c r="BK34" s="18"/>
    </row>
    <row r="35" spans="1:63" ht="15" customHeight="1" x14ac:dyDescent="0.25">
      <c r="A35" s="15"/>
      <c r="K35" s="20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26"/>
      <c r="BK35" s="18"/>
    </row>
    <row r="36" spans="1:63" ht="15" customHeight="1" x14ac:dyDescent="0.25">
      <c r="A36" s="15"/>
      <c r="K36" s="20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88" t="s">
        <v>11</v>
      </c>
      <c r="R44" s="89"/>
      <c r="S44" s="89"/>
      <c r="T44" s="89"/>
      <c r="U44" s="89"/>
      <c r="V44" s="89"/>
      <c r="W44" s="89"/>
      <c r="X44" s="89"/>
      <c r="Y44" s="89"/>
      <c r="Z44" s="90"/>
      <c r="AA44" s="88" t="s">
        <v>12</v>
      </c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90"/>
      <c r="AQ44" s="88" t="s">
        <v>7</v>
      </c>
      <c r="AR44" s="89"/>
      <c r="AS44" s="89"/>
      <c r="AT44" s="89"/>
      <c r="AU44" s="90"/>
      <c r="BK44" s="18"/>
    </row>
    <row r="45" spans="1:63" ht="15" customHeight="1" x14ac:dyDescent="0.25">
      <c r="A45" s="15"/>
      <c r="Q45" s="91"/>
      <c r="R45" s="92"/>
      <c r="S45" s="92"/>
      <c r="T45" s="92"/>
      <c r="U45" s="92"/>
      <c r="V45" s="92"/>
      <c r="W45" s="92"/>
      <c r="X45" s="92"/>
      <c r="Y45" s="92"/>
      <c r="Z45" s="93"/>
      <c r="AA45" s="91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3"/>
      <c r="AQ45" s="91"/>
      <c r="AR45" s="92"/>
      <c r="AS45" s="92"/>
      <c r="AT45" s="92"/>
      <c r="AU45" s="93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85"/>
      <c r="R47" s="86"/>
      <c r="S47" s="86"/>
      <c r="T47" s="86"/>
      <c r="U47" s="86"/>
      <c r="V47" s="86"/>
      <c r="W47" s="86"/>
      <c r="X47" s="86"/>
      <c r="Y47" s="86"/>
      <c r="Z47" s="87"/>
      <c r="AA47" s="85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7"/>
      <c r="AQ47" s="85"/>
      <c r="AR47" s="86"/>
      <c r="AS47" s="86"/>
      <c r="AT47" s="86"/>
      <c r="AU47" s="87"/>
      <c r="BK47" s="18"/>
    </row>
    <row r="48" spans="1:63" ht="15" customHeight="1" x14ac:dyDescent="0.25">
      <c r="A48" s="15"/>
      <c r="Q48" s="85"/>
      <c r="R48" s="86"/>
      <c r="S48" s="86"/>
      <c r="T48" s="86"/>
      <c r="U48" s="86"/>
      <c r="V48" s="86"/>
      <c r="W48" s="86"/>
      <c r="X48" s="86"/>
      <c r="Y48" s="86"/>
      <c r="Z48" s="87"/>
      <c r="AA48" s="85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7"/>
      <c r="AQ48" s="85"/>
      <c r="AR48" s="86"/>
      <c r="AS48" s="86"/>
      <c r="AT48" s="86"/>
      <c r="AU48" s="87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94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POSサーバー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3"/>
      <c r="AP2" s="11" t="str">
        <f>IF(表紙!AP2="","",表紙!AP2)</f>
        <v>DuNT</v>
      </c>
      <c r="AQ2" s="10"/>
      <c r="AR2" s="10"/>
      <c r="AS2" s="9"/>
      <c r="AT2" s="79">
        <f>IF(表紙!AT2="","",表紙!AT2)</f>
        <v>45498</v>
      </c>
      <c r="AU2" s="80"/>
      <c r="AV2" s="80"/>
      <c r="AW2" s="80"/>
      <c r="AX2" s="81"/>
      <c r="AY2" s="11" t="str">
        <f>IF(表紙!AY2="","",表紙!AY2)</f>
        <v>DuNT</v>
      </c>
      <c r="AZ2" s="10"/>
      <c r="BA2" s="10"/>
      <c r="BB2" s="9"/>
      <c r="BC2" s="79">
        <f>IF(表紙!BC2="","",表紙!BC2)</f>
        <v>45621</v>
      </c>
      <c r="BD2" s="80"/>
      <c r="BE2" s="80"/>
      <c r="BF2" s="80"/>
      <c r="BG2" s="81"/>
      <c r="BH2" s="11">
        <f>IF(表紙!BH2="","",表紙!BH2)</f>
        <v>0.41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64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6"/>
      <c r="AP3" s="8"/>
      <c r="AQ3" s="7"/>
      <c r="AR3" s="7"/>
      <c r="AS3" s="6"/>
      <c r="AT3" s="82"/>
      <c r="AU3" s="83"/>
      <c r="AV3" s="83"/>
      <c r="AW3" s="83"/>
      <c r="AX3" s="84"/>
      <c r="AY3" s="8"/>
      <c r="AZ3" s="7"/>
      <c r="BA3" s="7"/>
      <c r="BB3" s="6"/>
      <c r="BC3" s="82"/>
      <c r="BD3" s="83"/>
      <c r="BE3" s="83"/>
      <c r="BF3" s="83"/>
      <c r="BG3" s="84"/>
      <c r="BH3" s="8"/>
      <c r="BI3" s="7"/>
      <c r="BJ3" s="7"/>
      <c r="BK3" s="6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69" t="str">
        <f>IF(表紙!H4="","",表紙!H4)</f>
        <v>AP7106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  <c r="U4" s="14" t="s">
        <v>8</v>
      </c>
      <c r="V4" s="13"/>
      <c r="W4" s="13"/>
      <c r="X4" s="13"/>
      <c r="Y4" s="12"/>
      <c r="Z4" s="69" t="str">
        <f>IF(表紙!Z4="","",表紙!Z4)</f>
        <v>API設計書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1"/>
      <c r="AP4" s="69" t="str">
        <f t="array" aca="1" ref="AP4" ca="1">RIGHT(CELL("filename",$A$1),LEN(CELL("filename",$A$1))-FIND("]",CELL("filename",$A$1)))</f>
        <v>改訂履歴</v>
      </c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1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07" t="s">
        <v>6</v>
      </c>
      <c r="C10" s="107"/>
      <c r="D10" s="107"/>
      <c r="E10" s="107"/>
      <c r="F10" s="107"/>
      <c r="G10" s="107"/>
      <c r="H10" s="107" t="s">
        <v>5</v>
      </c>
      <c r="I10" s="107"/>
      <c r="J10" s="107"/>
      <c r="K10" s="107"/>
      <c r="L10" s="107"/>
      <c r="M10" s="107"/>
      <c r="N10" s="107"/>
      <c r="O10" s="107" t="s">
        <v>7</v>
      </c>
      <c r="P10" s="107"/>
      <c r="Q10" s="107"/>
      <c r="R10" s="107"/>
      <c r="S10" s="107" t="s">
        <v>10</v>
      </c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 t="s">
        <v>11</v>
      </c>
      <c r="AY10" s="107"/>
      <c r="AZ10" s="107"/>
      <c r="BA10" s="107"/>
      <c r="BB10" s="107"/>
      <c r="BC10" s="107"/>
      <c r="BD10" s="107" t="s">
        <v>12</v>
      </c>
      <c r="BE10" s="107"/>
      <c r="BF10" s="107"/>
      <c r="BG10" s="107"/>
      <c r="BH10" s="107"/>
      <c r="BI10" s="107"/>
      <c r="BJ10" s="107"/>
      <c r="BK10" s="18"/>
    </row>
    <row r="11" spans="1:63" ht="15" customHeight="1" x14ac:dyDescent="0.25">
      <c r="A11" s="15"/>
      <c r="B11" s="79">
        <v>45498</v>
      </c>
      <c r="C11" s="10"/>
      <c r="D11" s="10"/>
      <c r="E11" s="10"/>
      <c r="F11" s="10"/>
      <c r="G11" s="9"/>
      <c r="H11" s="5" t="s">
        <v>46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104" t="s">
        <v>14</v>
      </c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6"/>
      <c r="AX11" s="95"/>
      <c r="AY11" s="95"/>
      <c r="AZ11" s="95"/>
      <c r="BA11" s="95"/>
      <c r="BB11" s="95"/>
      <c r="BC11" s="96"/>
      <c r="BD11" s="99"/>
      <c r="BE11" s="95"/>
      <c r="BF11" s="95"/>
      <c r="BG11" s="95"/>
      <c r="BH11" s="95"/>
      <c r="BI11" s="95"/>
      <c r="BJ11" s="96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01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3"/>
      <c r="AX12" s="97"/>
      <c r="AY12" s="97"/>
      <c r="AZ12" s="97"/>
      <c r="BA12" s="97"/>
      <c r="BB12" s="97"/>
      <c r="BC12" s="98"/>
      <c r="BD12" s="100"/>
      <c r="BE12" s="97"/>
      <c r="BF12" s="97"/>
      <c r="BG12" s="97"/>
      <c r="BH12" s="97"/>
      <c r="BI12" s="97"/>
      <c r="BJ12" s="98"/>
      <c r="BK12" s="18"/>
    </row>
    <row r="13" spans="1:63" ht="15" customHeight="1" x14ac:dyDescent="0.25">
      <c r="A13" s="15"/>
      <c r="B13" s="141">
        <v>45519</v>
      </c>
      <c r="C13" s="142"/>
      <c r="D13" s="142"/>
      <c r="E13" s="142"/>
      <c r="F13" s="142"/>
      <c r="G13" s="143"/>
      <c r="H13" s="144" t="s">
        <v>47</v>
      </c>
      <c r="I13" s="142"/>
      <c r="J13" s="142"/>
      <c r="K13" s="142"/>
      <c r="L13" s="142"/>
      <c r="M13" s="142"/>
      <c r="N13" s="143"/>
      <c r="O13" s="144">
        <v>0.2</v>
      </c>
      <c r="P13" s="142"/>
      <c r="Q13" s="142"/>
      <c r="R13" s="142"/>
      <c r="S13" s="145" t="s">
        <v>48</v>
      </c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7"/>
      <c r="AX13" s="95"/>
      <c r="AY13" s="95"/>
      <c r="AZ13" s="95"/>
      <c r="BA13" s="95"/>
      <c r="BB13" s="95"/>
      <c r="BC13" s="96"/>
      <c r="BD13" s="99"/>
      <c r="BE13" s="95"/>
      <c r="BF13" s="95"/>
      <c r="BG13" s="95"/>
      <c r="BH13" s="95"/>
      <c r="BI13" s="95"/>
      <c r="BJ13" s="96"/>
      <c r="BK13" s="18"/>
    </row>
    <row r="14" spans="1:63" ht="15" customHeight="1" x14ac:dyDescent="0.25">
      <c r="A14" s="15"/>
      <c r="B14" s="148"/>
      <c r="C14" s="149"/>
      <c r="D14" s="149"/>
      <c r="E14" s="149"/>
      <c r="F14" s="149"/>
      <c r="G14" s="150"/>
      <c r="H14" s="148"/>
      <c r="I14" s="149"/>
      <c r="J14" s="149"/>
      <c r="K14" s="149"/>
      <c r="L14" s="149"/>
      <c r="M14" s="149"/>
      <c r="N14" s="150"/>
      <c r="O14" s="148"/>
      <c r="P14" s="149"/>
      <c r="Q14" s="149"/>
      <c r="R14" s="149"/>
      <c r="S14" s="151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3"/>
      <c r="AX14" s="97"/>
      <c r="AY14" s="97"/>
      <c r="AZ14" s="97"/>
      <c r="BA14" s="97"/>
      <c r="BB14" s="97"/>
      <c r="BC14" s="98"/>
      <c r="BD14" s="100"/>
      <c r="BE14" s="97"/>
      <c r="BF14" s="97"/>
      <c r="BG14" s="97"/>
      <c r="BH14" s="97"/>
      <c r="BI14" s="97"/>
      <c r="BJ14" s="98"/>
      <c r="BK14" s="18"/>
    </row>
    <row r="15" spans="1:63" ht="15" customHeight="1" x14ac:dyDescent="0.25">
      <c r="A15" s="15"/>
      <c r="B15" s="141">
        <v>45540</v>
      </c>
      <c r="C15" s="142"/>
      <c r="D15" s="142"/>
      <c r="E15" s="142"/>
      <c r="F15" s="142"/>
      <c r="G15" s="143"/>
      <c r="H15" s="144" t="s">
        <v>47</v>
      </c>
      <c r="I15" s="142"/>
      <c r="J15" s="142"/>
      <c r="K15" s="142"/>
      <c r="L15" s="142"/>
      <c r="M15" s="142"/>
      <c r="N15" s="143"/>
      <c r="O15" s="144">
        <v>0.3</v>
      </c>
      <c r="P15" s="142"/>
      <c r="Q15" s="142"/>
      <c r="R15" s="142"/>
      <c r="S15" s="145" t="s">
        <v>49</v>
      </c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7"/>
      <c r="AX15" s="95"/>
      <c r="AY15" s="95"/>
      <c r="AZ15" s="95"/>
      <c r="BA15" s="95"/>
      <c r="BB15" s="95"/>
      <c r="BC15" s="96"/>
      <c r="BD15" s="99"/>
      <c r="BE15" s="95"/>
      <c r="BF15" s="95"/>
      <c r="BG15" s="95"/>
      <c r="BH15" s="95"/>
      <c r="BI15" s="95"/>
      <c r="BJ15" s="96"/>
      <c r="BK15" s="18"/>
    </row>
    <row r="16" spans="1:63" ht="15" customHeight="1" x14ac:dyDescent="0.25">
      <c r="A16" s="15"/>
      <c r="B16" s="148"/>
      <c r="C16" s="149"/>
      <c r="D16" s="149"/>
      <c r="E16" s="149"/>
      <c r="F16" s="149"/>
      <c r="G16" s="150"/>
      <c r="H16" s="148"/>
      <c r="I16" s="149"/>
      <c r="J16" s="149"/>
      <c r="K16" s="149"/>
      <c r="L16" s="149"/>
      <c r="M16" s="149"/>
      <c r="N16" s="150"/>
      <c r="O16" s="148"/>
      <c r="P16" s="149"/>
      <c r="Q16" s="149"/>
      <c r="R16" s="149"/>
      <c r="S16" s="151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3"/>
      <c r="AX16" s="97"/>
      <c r="AY16" s="97"/>
      <c r="AZ16" s="97"/>
      <c r="BA16" s="97"/>
      <c r="BB16" s="97"/>
      <c r="BC16" s="98"/>
      <c r="BD16" s="100"/>
      <c r="BE16" s="97"/>
      <c r="BF16" s="97"/>
      <c r="BG16" s="97"/>
      <c r="BH16" s="97"/>
      <c r="BI16" s="97"/>
      <c r="BJ16" s="98"/>
      <c r="BK16" s="18"/>
    </row>
    <row r="17" spans="1:63" ht="15" customHeight="1" x14ac:dyDescent="0.25">
      <c r="A17" s="15"/>
      <c r="B17" s="154">
        <v>45596</v>
      </c>
      <c r="C17" s="155"/>
      <c r="D17" s="155"/>
      <c r="E17" s="155"/>
      <c r="F17" s="155"/>
      <c r="G17" s="156"/>
      <c r="H17" s="157" t="s">
        <v>50</v>
      </c>
      <c r="I17" s="155"/>
      <c r="J17" s="155"/>
      <c r="K17" s="155"/>
      <c r="L17" s="155"/>
      <c r="M17" s="155"/>
      <c r="N17" s="156"/>
      <c r="O17" s="157">
        <v>0.4</v>
      </c>
      <c r="P17" s="155"/>
      <c r="Q17" s="155"/>
      <c r="R17" s="155"/>
      <c r="S17" s="158" t="s">
        <v>51</v>
      </c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60"/>
      <c r="AX17" s="95"/>
      <c r="AY17" s="95"/>
      <c r="AZ17" s="95"/>
      <c r="BA17" s="95"/>
      <c r="BB17" s="95"/>
      <c r="BC17" s="96"/>
      <c r="BD17" s="99"/>
      <c r="BE17" s="95"/>
      <c r="BF17" s="95"/>
      <c r="BG17" s="95"/>
      <c r="BH17" s="95"/>
      <c r="BI17" s="95"/>
      <c r="BJ17" s="96"/>
      <c r="BK17" s="18"/>
    </row>
    <row r="18" spans="1:63" ht="15" customHeight="1" x14ac:dyDescent="0.25">
      <c r="A18" s="15"/>
      <c r="B18" s="161"/>
      <c r="C18" s="162"/>
      <c r="D18" s="162"/>
      <c r="E18" s="162"/>
      <c r="F18" s="162"/>
      <c r="G18" s="163"/>
      <c r="H18" s="161"/>
      <c r="I18" s="162"/>
      <c r="J18" s="162"/>
      <c r="K18" s="162"/>
      <c r="L18" s="162"/>
      <c r="M18" s="162"/>
      <c r="N18" s="163"/>
      <c r="O18" s="161"/>
      <c r="P18" s="162"/>
      <c r="Q18" s="162"/>
      <c r="R18" s="162"/>
      <c r="S18" s="164" t="s">
        <v>52</v>
      </c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6"/>
      <c r="AX18" s="97"/>
      <c r="AY18" s="97"/>
      <c r="AZ18" s="97"/>
      <c r="BA18" s="97"/>
      <c r="BB18" s="97"/>
      <c r="BC18" s="98"/>
      <c r="BD18" s="100"/>
      <c r="BE18" s="97"/>
      <c r="BF18" s="97"/>
      <c r="BG18" s="97"/>
      <c r="BH18" s="97"/>
      <c r="BI18" s="97"/>
      <c r="BJ18" s="98"/>
      <c r="BK18" s="18"/>
    </row>
    <row r="19" spans="1:63" ht="15" customHeight="1" x14ac:dyDescent="0.25">
      <c r="A19" s="15"/>
      <c r="B19" s="154">
        <v>45621</v>
      </c>
      <c r="C19" s="155"/>
      <c r="D19" s="155"/>
      <c r="E19" s="155"/>
      <c r="F19" s="155"/>
      <c r="G19" s="156"/>
      <c r="H19" s="157" t="s">
        <v>47</v>
      </c>
      <c r="I19" s="155"/>
      <c r="J19" s="155"/>
      <c r="K19" s="155"/>
      <c r="L19" s="155"/>
      <c r="M19" s="155"/>
      <c r="N19" s="156"/>
      <c r="O19" s="157">
        <v>0.41</v>
      </c>
      <c r="P19" s="155"/>
      <c r="Q19" s="155"/>
      <c r="R19" s="155"/>
      <c r="S19" s="158" t="s">
        <v>53</v>
      </c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60"/>
      <c r="AX19" s="95"/>
      <c r="AY19" s="95"/>
      <c r="AZ19" s="95"/>
      <c r="BA19" s="95"/>
      <c r="BB19" s="95"/>
      <c r="BC19" s="96"/>
      <c r="BD19" s="99"/>
      <c r="BE19" s="95"/>
      <c r="BF19" s="95"/>
      <c r="BG19" s="95"/>
      <c r="BH19" s="95"/>
      <c r="BI19" s="95"/>
      <c r="BJ19" s="96"/>
      <c r="BK19" s="18"/>
    </row>
    <row r="20" spans="1:63" ht="15" customHeight="1" x14ac:dyDescent="0.25">
      <c r="A20" s="15"/>
      <c r="B20" s="161"/>
      <c r="C20" s="162"/>
      <c r="D20" s="162"/>
      <c r="E20" s="162"/>
      <c r="F20" s="162"/>
      <c r="G20" s="163"/>
      <c r="H20" s="161"/>
      <c r="I20" s="162"/>
      <c r="J20" s="162"/>
      <c r="K20" s="162"/>
      <c r="L20" s="162"/>
      <c r="M20" s="162"/>
      <c r="N20" s="163"/>
      <c r="O20" s="161"/>
      <c r="P20" s="162"/>
      <c r="Q20" s="162"/>
      <c r="R20" s="162"/>
      <c r="S20" s="167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9"/>
      <c r="AX20" s="97"/>
      <c r="AY20" s="97"/>
      <c r="AZ20" s="97"/>
      <c r="BA20" s="97"/>
      <c r="BB20" s="97"/>
      <c r="BC20" s="98"/>
      <c r="BD20" s="100"/>
      <c r="BE20" s="97"/>
      <c r="BF20" s="97"/>
      <c r="BG20" s="97"/>
      <c r="BH20" s="97"/>
      <c r="BI20" s="97"/>
      <c r="BJ20" s="98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104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6"/>
      <c r="AX21" s="95"/>
      <c r="AY21" s="95"/>
      <c r="AZ21" s="95"/>
      <c r="BA21" s="95"/>
      <c r="BB21" s="95"/>
      <c r="BC21" s="96"/>
      <c r="BD21" s="99"/>
      <c r="BE21" s="95"/>
      <c r="BF21" s="95"/>
      <c r="BG21" s="95"/>
      <c r="BH21" s="95"/>
      <c r="BI21" s="95"/>
      <c r="BJ21" s="96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01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3"/>
      <c r="AX22" s="97"/>
      <c r="AY22" s="97"/>
      <c r="AZ22" s="97"/>
      <c r="BA22" s="97"/>
      <c r="BB22" s="97"/>
      <c r="BC22" s="98"/>
      <c r="BD22" s="100"/>
      <c r="BE22" s="97"/>
      <c r="BF22" s="97"/>
      <c r="BG22" s="97"/>
      <c r="BH22" s="97"/>
      <c r="BI22" s="97"/>
      <c r="BJ22" s="98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104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6"/>
      <c r="AX23" s="95"/>
      <c r="AY23" s="95"/>
      <c r="AZ23" s="95"/>
      <c r="BA23" s="95"/>
      <c r="BB23" s="95"/>
      <c r="BC23" s="96"/>
      <c r="BD23" s="99"/>
      <c r="BE23" s="95"/>
      <c r="BF23" s="95"/>
      <c r="BG23" s="95"/>
      <c r="BH23" s="95"/>
      <c r="BI23" s="95"/>
      <c r="BJ23" s="96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01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3"/>
      <c r="AX24" s="97"/>
      <c r="AY24" s="97"/>
      <c r="AZ24" s="97"/>
      <c r="BA24" s="97"/>
      <c r="BB24" s="97"/>
      <c r="BC24" s="98"/>
      <c r="BD24" s="100"/>
      <c r="BE24" s="97"/>
      <c r="BF24" s="97"/>
      <c r="BG24" s="97"/>
      <c r="BH24" s="97"/>
      <c r="BI24" s="97"/>
      <c r="BJ24" s="98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104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6"/>
      <c r="AX25" s="95"/>
      <c r="AY25" s="95"/>
      <c r="AZ25" s="95"/>
      <c r="BA25" s="95"/>
      <c r="BB25" s="95"/>
      <c r="BC25" s="96"/>
      <c r="BD25" s="99"/>
      <c r="BE25" s="95"/>
      <c r="BF25" s="95"/>
      <c r="BG25" s="95"/>
      <c r="BH25" s="95"/>
      <c r="BI25" s="95"/>
      <c r="BJ25" s="96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01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3"/>
      <c r="AX26" s="97"/>
      <c r="AY26" s="97"/>
      <c r="AZ26" s="97"/>
      <c r="BA26" s="97"/>
      <c r="BB26" s="97"/>
      <c r="BC26" s="98"/>
      <c r="BD26" s="100"/>
      <c r="BE26" s="97"/>
      <c r="BF26" s="97"/>
      <c r="BG26" s="97"/>
      <c r="BH26" s="97"/>
      <c r="BI26" s="97"/>
      <c r="BJ26" s="98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104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6"/>
      <c r="AX27" s="95"/>
      <c r="AY27" s="95"/>
      <c r="AZ27" s="95"/>
      <c r="BA27" s="95"/>
      <c r="BB27" s="95"/>
      <c r="BC27" s="96"/>
      <c r="BD27" s="99"/>
      <c r="BE27" s="95"/>
      <c r="BF27" s="95"/>
      <c r="BG27" s="95"/>
      <c r="BH27" s="95"/>
      <c r="BI27" s="95"/>
      <c r="BJ27" s="96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01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3"/>
      <c r="AX28" s="97"/>
      <c r="AY28" s="97"/>
      <c r="AZ28" s="97"/>
      <c r="BA28" s="97"/>
      <c r="BB28" s="97"/>
      <c r="BC28" s="98"/>
      <c r="BD28" s="100"/>
      <c r="BE28" s="97"/>
      <c r="BF28" s="97"/>
      <c r="BG28" s="97"/>
      <c r="BH28" s="97"/>
      <c r="BI28" s="97"/>
      <c r="BJ28" s="98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104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6"/>
      <c r="AX29" s="95"/>
      <c r="AY29" s="95"/>
      <c r="AZ29" s="95"/>
      <c r="BA29" s="95"/>
      <c r="BB29" s="95"/>
      <c r="BC29" s="96"/>
      <c r="BD29" s="99"/>
      <c r="BE29" s="95"/>
      <c r="BF29" s="95"/>
      <c r="BG29" s="95"/>
      <c r="BH29" s="95"/>
      <c r="BI29" s="95"/>
      <c r="BJ29" s="96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01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3"/>
      <c r="AX30" s="97"/>
      <c r="AY30" s="97"/>
      <c r="AZ30" s="97"/>
      <c r="BA30" s="97"/>
      <c r="BB30" s="97"/>
      <c r="BC30" s="98"/>
      <c r="BD30" s="100"/>
      <c r="BE30" s="97"/>
      <c r="BF30" s="97"/>
      <c r="BG30" s="97"/>
      <c r="BH30" s="97"/>
      <c r="BI30" s="97"/>
      <c r="BJ30" s="98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104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6"/>
      <c r="AX31" s="95"/>
      <c r="AY31" s="95"/>
      <c r="AZ31" s="95"/>
      <c r="BA31" s="95"/>
      <c r="BB31" s="95"/>
      <c r="BC31" s="96"/>
      <c r="BD31" s="99"/>
      <c r="BE31" s="95"/>
      <c r="BF31" s="95"/>
      <c r="BG31" s="95"/>
      <c r="BH31" s="95"/>
      <c r="BI31" s="95"/>
      <c r="BJ31" s="96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01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3"/>
      <c r="AX32" s="97"/>
      <c r="AY32" s="97"/>
      <c r="AZ32" s="97"/>
      <c r="BA32" s="97"/>
      <c r="BB32" s="97"/>
      <c r="BC32" s="98"/>
      <c r="BD32" s="100"/>
      <c r="BE32" s="97"/>
      <c r="BF32" s="97"/>
      <c r="BG32" s="97"/>
      <c r="BH32" s="97"/>
      <c r="BI32" s="97"/>
      <c r="BJ32" s="98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104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6"/>
      <c r="AX33" s="95"/>
      <c r="AY33" s="95"/>
      <c r="AZ33" s="95"/>
      <c r="BA33" s="95"/>
      <c r="BB33" s="95"/>
      <c r="BC33" s="96"/>
      <c r="BD33" s="99"/>
      <c r="BE33" s="95"/>
      <c r="BF33" s="95"/>
      <c r="BG33" s="95"/>
      <c r="BH33" s="95"/>
      <c r="BI33" s="95"/>
      <c r="BJ33" s="96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01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3"/>
      <c r="AX34" s="97"/>
      <c r="AY34" s="97"/>
      <c r="AZ34" s="97"/>
      <c r="BA34" s="97"/>
      <c r="BB34" s="97"/>
      <c r="BC34" s="98"/>
      <c r="BD34" s="100"/>
      <c r="BE34" s="97"/>
      <c r="BF34" s="97"/>
      <c r="BG34" s="97"/>
      <c r="BH34" s="97"/>
      <c r="BI34" s="97"/>
      <c r="BJ34" s="98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104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6"/>
      <c r="AX35" s="95"/>
      <c r="AY35" s="95"/>
      <c r="AZ35" s="95"/>
      <c r="BA35" s="95"/>
      <c r="BB35" s="95"/>
      <c r="BC35" s="96"/>
      <c r="BD35" s="99"/>
      <c r="BE35" s="95"/>
      <c r="BF35" s="95"/>
      <c r="BG35" s="95"/>
      <c r="BH35" s="95"/>
      <c r="BI35" s="95"/>
      <c r="BJ35" s="96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01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3"/>
      <c r="AX36" s="97"/>
      <c r="AY36" s="97"/>
      <c r="AZ36" s="97"/>
      <c r="BA36" s="97"/>
      <c r="BB36" s="97"/>
      <c r="BC36" s="98"/>
      <c r="BD36" s="100"/>
      <c r="BE36" s="97"/>
      <c r="BF36" s="97"/>
      <c r="BG36" s="97"/>
      <c r="BH36" s="97"/>
      <c r="BI36" s="97"/>
      <c r="BJ36" s="98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104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6"/>
      <c r="AX37" s="95"/>
      <c r="AY37" s="95"/>
      <c r="AZ37" s="95"/>
      <c r="BA37" s="95"/>
      <c r="BB37" s="95"/>
      <c r="BC37" s="96"/>
      <c r="BD37" s="99"/>
      <c r="BE37" s="95"/>
      <c r="BF37" s="95"/>
      <c r="BG37" s="95"/>
      <c r="BH37" s="95"/>
      <c r="BI37" s="95"/>
      <c r="BJ37" s="96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01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3"/>
      <c r="AX38" s="97"/>
      <c r="AY38" s="97"/>
      <c r="AZ38" s="97"/>
      <c r="BA38" s="97"/>
      <c r="BB38" s="97"/>
      <c r="BC38" s="98"/>
      <c r="BD38" s="100"/>
      <c r="BE38" s="97"/>
      <c r="BF38" s="97"/>
      <c r="BG38" s="97"/>
      <c r="BH38" s="97"/>
      <c r="BI38" s="97"/>
      <c r="BJ38" s="98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104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6"/>
      <c r="AX39" s="95"/>
      <c r="AY39" s="95"/>
      <c r="AZ39" s="95"/>
      <c r="BA39" s="95"/>
      <c r="BB39" s="95"/>
      <c r="BC39" s="96"/>
      <c r="BD39" s="99"/>
      <c r="BE39" s="95"/>
      <c r="BF39" s="95"/>
      <c r="BG39" s="95"/>
      <c r="BH39" s="95"/>
      <c r="BI39" s="95"/>
      <c r="BJ39" s="96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01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3"/>
      <c r="AX40" s="97"/>
      <c r="AY40" s="97"/>
      <c r="AZ40" s="97"/>
      <c r="BA40" s="97"/>
      <c r="BB40" s="97"/>
      <c r="BC40" s="98"/>
      <c r="BD40" s="100"/>
      <c r="BE40" s="97"/>
      <c r="BF40" s="97"/>
      <c r="BG40" s="97"/>
      <c r="BH40" s="97"/>
      <c r="BI40" s="97"/>
      <c r="BJ40" s="98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104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6"/>
      <c r="AX41" s="95"/>
      <c r="AY41" s="95"/>
      <c r="AZ41" s="95"/>
      <c r="BA41" s="95"/>
      <c r="BB41" s="95"/>
      <c r="BC41" s="96"/>
      <c r="BD41" s="99"/>
      <c r="BE41" s="95"/>
      <c r="BF41" s="95"/>
      <c r="BG41" s="95"/>
      <c r="BH41" s="95"/>
      <c r="BI41" s="95"/>
      <c r="BJ41" s="96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01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3"/>
      <c r="AX42" s="97"/>
      <c r="AY42" s="97"/>
      <c r="AZ42" s="97"/>
      <c r="BA42" s="97"/>
      <c r="BB42" s="97"/>
      <c r="BC42" s="98"/>
      <c r="BD42" s="100"/>
      <c r="BE42" s="97"/>
      <c r="BF42" s="97"/>
      <c r="BG42" s="97"/>
      <c r="BH42" s="97"/>
      <c r="BI42" s="97"/>
      <c r="BJ42" s="98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104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6"/>
      <c r="AX43" s="95"/>
      <c r="AY43" s="95"/>
      <c r="AZ43" s="95"/>
      <c r="BA43" s="95"/>
      <c r="BB43" s="95"/>
      <c r="BC43" s="96"/>
      <c r="BD43" s="99"/>
      <c r="BE43" s="95"/>
      <c r="BF43" s="95"/>
      <c r="BG43" s="95"/>
      <c r="BH43" s="95"/>
      <c r="BI43" s="95"/>
      <c r="BJ43" s="96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01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3"/>
      <c r="AX44" s="97"/>
      <c r="AY44" s="97"/>
      <c r="AZ44" s="97"/>
      <c r="BA44" s="97"/>
      <c r="BB44" s="97"/>
      <c r="BC44" s="98"/>
      <c r="BD44" s="100"/>
      <c r="BE44" s="97"/>
      <c r="BF44" s="97"/>
      <c r="BG44" s="97"/>
      <c r="BH44" s="97"/>
      <c r="BI44" s="97"/>
      <c r="BJ44" s="98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104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6"/>
      <c r="AX45" s="95"/>
      <c r="AY45" s="95"/>
      <c r="AZ45" s="95"/>
      <c r="BA45" s="95"/>
      <c r="BB45" s="95"/>
      <c r="BC45" s="96"/>
      <c r="BD45" s="99"/>
      <c r="BE45" s="95"/>
      <c r="BF45" s="95"/>
      <c r="BG45" s="95"/>
      <c r="BH45" s="95"/>
      <c r="BI45" s="95"/>
      <c r="BJ45" s="96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01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3"/>
      <c r="AX46" s="97"/>
      <c r="AY46" s="97"/>
      <c r="AZ46" s="97"/>
      <c r="BA46" s="97"/>
      <c r="BB46" s="97"/>
      <c r="BC46" s="98"/>
      <c r="BD46" s="100"/>
      <c r="BE46" s="97"/>
      <c r="BF46" s="97"/>
      <c r="BG46" s="97"/>
      <c r="BH46" s="97"/>
      <c r="BI46" s="97"/>
      <c r="BJ46" s="98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104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6"/>
      <c r="AX47" s="95"/>
      <c r="AY47" s="95"/>
      <c r="AZ47" s="95"/>
      <c r="BA47" s="95"/>
      <c r="BB47" s="95"/>
      <c r="BC47" s="96"/>
      <c r="BD47" s="99"/>
      <c r="BE47" s="95"/>
      <c r="BF47" s="95"/>
      <c r="BG47" s="95"/>
      <c r="BH47" s="95"/>
      <c r="BI47" s="95"/>
      <c r="BJ47" s="96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01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3"/>
      <c r="AX48" s="97"/>
      <c r="AY48" s="97"/>
      <c r="AZ48" s="97"/>
      <c r="BA48" s="97"/>
      <c r="BB48" s="97"/>
      <c r="BC48" s="98"/>
      <c r="BD48" s="100"/>
      <c r="BE48" s="97"/>
      <c r="BF48" s="97"/>
      <c r="BG48" s="97"/>
      <c r="BH48" s="97"/>
      <c r="BI48" s="97"/>
      <c r="BJ48" s="98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104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6"/>
      <c r="AX49" s="95"/>
      <c r="AY49" s="95"/>
      <c r="AZ49" s="95"/>
      <c r="BA49" s="95"/>
      <c r="BB49" s="95"/>
      <c r="BC49" s="96"/>
      <c r="BD49" s="99"/>
      <c r="BE49" s="95"/>
      <c r="BF49" s="95"/>
      <c r="BG49" s="95"/>
      <c r="BH49" s="95"/>
      <c r="BI49" s="95"/>
      <c r="BJ49" s="96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01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3"/>
      <c r="AX50" s="97"/>
      <c r="AY50" s="97"/>
      <c r="AZ50" s="97"/>
      <c r="BA50" s="97"/>
      <c r="BB50" s="97"/>
      <c r="BC50" s="98"/>
      <c r="BD50" s="100"/>
      <c r="BE50" s="97"/>
      <c r="BF50" s="97"/>
      <c r="BG50" s="97"/>
      <c r="BH50" s="97"/>
      <c r="BI50" s="97"/>
      <c r="BJ50" s="98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104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6"/>
      <c r="AX51" s="95"/>
      <c r="AY51" s="95"/>
      <c r="AZ51" s="95"/>
      <c r="BA51" s="95"/>
      <c r="BB51" s="95"/>
      <c r="BC51" s="96"/>
      <c r="BD51" s="99"/>
      <c r="BE51" s="95"/>
      <c r="BF51" s="95"/>
      <c r="BG51" s="95"/>
      <c r="BH51" s="95"/>
      <c r="BI51" s="95"/>
      <c r="BJ51" s="96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01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3"/>
      <c r="AX52" s="97"/>
      <c r="AY52" s="97"/>
      <c r="AZ52" s="97"/>
      <c r="BA52" s="97"/>
      <c r="BB52" s="97"/>
      <c r="BC52" s="98"/>
      <c r="BD52" s="100"/>
      <c r="BE52" s="97"/>
      <c r="BF52" s="97"/>
      <c r="BG52" s="97"/>
      <c r="BH52" s="97"/>
      <c r="BI52" s="97"/>
      <c r="BJ52" s="98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104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6"/>
      <c r="AX53" s="95"/>
      <c r="AY53" s="95"/>
      <c r="AZ53" s="95"/>
      <c r="BA53" s="95"/>
      <c r="BB53" s="95"/>
      <c r="BC53" s="96"/>
      <c r="BD53" s="99"/>
      <c r="BE53" s="95"/>
      <c r="BF53" s="95"/>
      <c r="BG53" s="95"/>
      <c r="BH53" s="95"/>
      <c r="BI53" s="95"/>
      <c r="BJ53" s="96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01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3"/>
      <c r="AX54" s="97"/>
      <c r="AY54" s="97"/>
      <c r="AZ54" s="97"/>
      <c r="BA54" s="97"/>
      <c r="BB54" s="97"/>
      <c r="BC54" s="98"/>
      <c r="BD54" s="100"/>
      <c r="BE54" s="97"/>
      <c r="BF54" s="97"/>
      <c r="BG54" s="97"/>
      <c r="BH54" s="97"/>
      <c r="BI54" s="97"/>
      <c r="BJ54" s="98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70" t="s">
        <v>54</v>
      </c>
      <c r="B1" s="171"/>
      <c r="C1" s="171"/>
      <c r="D1" s="171"/>
      <c r="E1" s="171"/>
      <c r="F1" s="171"/>
      <c r="G1" s="171"/>
      <c r="H1" s="171"/>
      <c r="I1" s="171"/>
      <c r="J1" s="172"/>
      <c r="K1" s="170" t="s">
        <v>55</v>
      </c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2"/>
      <c r="W1" s="173" t="str">
        <f>IF(表紙!W1="","",表紙!W1)</f>
        <v>詳細設計書</v>
      </c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5"/>
      <c r="AP1" s="176" t="s">
        <v>56</v>
      </c>
      <c r="AQ1" s="177"/>
      <c r="AR1" s="177"/>
      <c r="AS1" s="178"/>
      <c r="AT1" s="176" t="s">
        <v>57</v>
      </c>
      <c r="AU1" s="177"/>
      <c r="AV1" s="177"/>
      <c r="AW1" s="177"/>
      <c r="AX1" s="178"/>
      <c r="AY1" s="176" t="s">
        <v>58</v>
      </c>
      <c r="AZ1" s="177"/>
      <c r="BA1" s="177"/>
      <c r="BB1" s="178"/>
      <c r="BC1" s="176" t="s">
        <v>59</v>
      </c>
      <c r="BD1" s="177"/>
      <c r="BE1" s="177"/>
      <c r="BF1" s="177"/>
      <c r="BG1" s="178"/>
      <c r="BH1" s="176" t="s">
        <v>60</v>
      </c>
      <c r="BI1" s="177"/>
      <c r="BJ1" s="177"/>
      <c r="BK1" s="178"/>
    </row>
    <row r="2" spans="1:63" ht="15" customHeight="1" x14ac:dyDescent="0.25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POSサーバー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82" t="str">
        <f>IF(表紙!AP2="","",表紙!AP2)</f>
        <v>DuNT</v>
      </c>
      <c r="AQ2" s="183"/>
      <c r="AR2" s="183"/>
      <c r="AS2" s="184"/>
      <c r="AT2" s="185">
        <f>IF(表紙!AT2="","",表紙!AT2)</f>
        <v>45498</v>
      </c>
      <c r="AU2" s="186"/>
      <c r="AV2" s="186"/>
      <c r="AW2" s="186"/>
      <c r="AX2" s="187"/>
      <c r="AY2" s="182" t="str">
        <f>IF(表紙!AY2="","",表紙!AY2)</f>
        <v>DuNT</v>
      </c>
      <c r="AZ2" s="183"/>
      <c r="BA2" s="183"/>
      <c r="BB2" s="184"/>
      <c r="BC2" s="185">
        <f>IF(表紙!BC2="","",表紙!BC2)</f>
        <v>45621</v>
      </c>
      <c r="BD2" s="186"/>
      <c r="BE2" s="186"/>
      <c r="BF2" s="186"/>
      <c r="BG2" s="187"/>
      <c r="BH2" s="182">
        <f>IF(表紙!BH2="","",表紙!BH2)</f>
        <v>0.41</v>
      </c>
      <c r="BI2" s="183"/>
      <c r="BJ2" s="183"/>
      <c r="BK2" s="184"/>
    </row>
    <row r="3" spans="1:63" ht="15" customHeight="1" x14ac:dyDescent="0.25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88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90"/>
      <c r="AP3" s="191"/>
      <c r="AQ3" s="192"/>
      <c r="AR3" s="192"/>
      <c r="AS3" s="193"/>
      <c r="AT3" s="194"/>
      <c r="AU3" s="195"/>
      <c r="AV3" s="195"/>
      <c r="AW3" s="195"/>
      <c r="AX3" s="196"/>
      <c r="AY3" s="191"/>
      <c r="AZ3" s="192"/>
      <c r="BA3" s="192"/>
      <c r="BB3" s="193"/>
      <c r="BC3" s="194"/>
      <c r="BD3" s="195"/>
      <c r="BE3" s="195"/>
      <c r="BF3" s="195"/>
      <c r="BG3" s="196"/>
      <c r="BH3" s="191"/>
      <c r="BI3" s="192"/>
      <c r="BJ3" s="192"/>
      <c r="BK3" s="193"/>
    </row>
    <row r="4" spans="1:63" ht="24.95" customHeight="1" x14ac:dyDescent="0.25">
      <c r="A4" s="170" t="s">
        <v>61</v>
      </c>
      <c r="B4" s="171"/>
      <c r="C4" s="171"/>
      <c r="D4" s="171"/>
      <c r="E4" s="171"/>
      <c r="F4" s="171"/>
      <c r="G4" s="172"/>
      <c r="H4" s="108" t="str">
        <f>IF(表紙!H4="","",表紙!H4)</f>
        <v>AP7106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170" t="s">
        <v>62</v>
      </c>
      <c r="V4" s="171"/>
      <c r="W4" s="171"/>
      <c r="X4" s="171"/>
      <c r="Y4" s="172"/>
      <c r="Z4" s="108" t="str">
        <f>IF(表紙!Z4="","",表紙!Z4)</f>
        <v>API設計書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11" t="str">
        <f ca="1">MID(CELL("filename",A1),FIND("]",CELL("filename",A1))+1,255)</f>
        <v>処理フロー凡例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03" customFormat="1" ht="15" customHeight="1" x14ac:dyDescent="0.25">
      <c r="A7" s="197"/>
      <c r="B7" s="198" t="s">
        <v>63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200"/>
      <c r="AF7" s="201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200"/>
      <c r="BJ7" s="199"/>
      <c r="BK7" s="202"/>
    </row>
    <row r="8" spans="1:63" s="204" customFormat="1" ht="15" customHeight="1" x14ac:dyDescent="0.25">
      <c r="BK8" s="202"/>
    </row>
    <row r="9" spans="1:63" s="204" customFormat="1" ht="15" customHeight="1" x14ac:dyDescent="0.25">
      <c r="BK9" s="202"/>
    </row>
    <row r="10" spans="1:63" s="204" customFormat="1" ht="15" customHeight="1" x14ac:dyDescent="0.25">
      <c r="BK10" s="202"/>
    </row>
    <row r="11" spans="1:63" s="204" customFormat="1" ht="15" customHeight="1" x14ac:dyDescent="0.25">
      <c r="BK11" s="202"/>
    </row>
    <row r="12" spans="1:63" s="204" customFormat="1" ht="15" customHeight="1" x14ac:dyDescent="0.25">
      <c r="BK12" s="202"/>
    </row>
    <row r="13" spans="1:63" s="204" customFormat="1" ht="15" customHeight="1" x14ac:dyDescent="0.25">
      <c r="BK13" s="202"/>
    </row>
    <row r="14" spans="1:63" s="204" customFormat="1" ht="15" customHeight="1" x14ac:dyDescent="0.25">
      <c r="BK14" s="202"/>
    </row>
    <row r="15" spans="1:63" s="204" customFormat="1" ht="15" customHeight="1" x14ac:dyDescent="0.25">
      <c r="BK15" s="202"/>
    </row>
    <row r="16" spans="1:63" s="204" customFormat="1" ht="15" customHeight="1" x14ac:dyDescent="0.25">
      <c r="BK16" s="202"/>
    </row>
    <row r="17" spans="63:63" s="204" customFormat="1" ht="15" customHeight="1" x14ac:dyDescent="0.25">
      <c r="BK17" s="202"/>
    </row>
    <row r="18" spans="63:63" s="204" customFormat="1" ht="15" customHeight="1" x14ac:dyDescent="0.25">
      <c r="BK18" s="202"/>
    </row>
    <row r="19" spans="63:63" s="204" customFormat="1" ht="15" customHeight="1" x14ac:dyDescent="0.25">
      <c r="BK19" s="202"/>
    </row>
    <row r="20" spans="63:63" s="204" customFormat="1" ht="15" customHeight="1" x14ac:dyDescent="0.25">
      <c r="BK20" s="202"/>
    </row>
    <row r="21" spans="63:63" s="204" customFormat="1" ht="15" customHeight="1" x14ac:dyDescent="0.25">
      <c r="BK21" s="202"/>
    </row>
    <row r="22" spans="63:63" s="204" customFormat="1" ht="15" customHeight="1" x14ac:dyDescent="0.25">
      <c r="BK22" s="202"/>
    </row>
    <row r="23" spans="63:63" s="204" customFormat="1" ht="15" customHeight="1" x14ac:dyDescent="0.25">
      <c r="BK23" s="202"/>
    </row>
    <row r="24" spans="63:63" s="204" customFormat="1" ht="15" customHeight="1" x14ac:dyDescent="0.25">
      <c r="BK24" s="202"/>
    </row>
    <row r="25" spans="63:63" s="204" customFormat="1" ht="15" customHeight="1" x14ac:dyDescent="0.25">
      <c r="BK25" s="202"/>
    </row>
    <row r="26" spans="63:63" s="204" customFormat="1" ht="15" customHeight="1" x14ac:dyDescent="0.25">
      <c r="BK26" s="202"/>
    </row>
    <row r="27" spans="63:63" s="204" customFormat="1" ht="15" customHeight="1" x14ac:dyDescent="0.25">
      <c r="BK27" s="202"/>
    </row>
    <row r="28" spans="63:63" s="204" customFormat="1" ht="15" customHeight="1" x14ac:dyDescent="0.25">
      <c r="BK28" s="202"/>
    </row>
    <row r="29" spans="63:63" s="204" customFormat="1" ht="15" customHeight="1" x14ac:dyDescent="0.25">
      <c r="BK29" s="202"/>
    </row>
    <row r="30" spans="63:63" s="204" customFormat="1" ht="15" customHeight="1" x14ac:dyDescent="0.25">
      <c r="BK30" s="202"/>
    </row>
    <row r="31" spans="63:63" s="204" customFormat="1" ht="15" customHeight="1" x14ac:dyDescent="0.25">
      <c r="BK31" s="202"/>
    </row>
    <row r="32" spans="63:63" s="204" customFormat="1" ht="15" customHeight="1" x14ac:dyDescent="0.25">
      <c r="BK32" s="202"/>
    </row>
    <row r="33" spans="63:63" s="204" customFormat="1" ht="15" customHeight="1" x14ac:dyDescent="0.25">
      <c r="BK33" s="202"/>
    </row>
    <row r="34" spans="63:63" s="204" customFormat="1" ht="15" customHeight="1" x14ac:dyDescent="0.25">
      <c r="BK34" s="202"/>
    </row>
    <row r="35" spans="63:63" s="204" customFormat="1" ht="15" customHeight="1" x14ac:dyDescent="0.25">
      <c r="BK35" s="202"/>
    </row>
    <row r="36" spans="63:63" s="204" customFormat="1" ht="15" customHeight="1" x14ac:dyDescent="0.25">
      <c r="BK36" s="202"/>
    </row>
    <row r="37" spans="63:63" s="204" customFormat="1" ht="15" customHeight="1" x14ac:dyDescent="0.25">
      <c r="BK37" s="202"/>
    </row>
    <row r="38" spans="63:63" s="204" customFormat="1" ht="15" customHeight="1" x14ac:dyDescent="0.25">
      <c r="BK38" s="202"/>
    </row>
    <row r="39" spans="63:63" s="204" customFormat="1" ht="15" customHeight="1" x14ac:dyDescent="0.25">
      <c r="BK39" s="202"/>
    </row>
    <row r="40" spans="63:63" s="204" customFormat="1" ht="15" customHeight="1" x14ac:dyDescent="0.25">
      <c r="BK40" s="202"/>
    </row>
    <row r="41" spans="63:63" s="204" customFormat="1" ht="15" customHeight="1" x14ac:dyDescent="0.25">
      <c r="BK41" s="202"/>
    </row>
    <row r="42" spans="63:63" s="204" customFormat="1" ht="15" customHeight="1" x14ac:dyDescent="0.25">
      <c r="BK42" s="202"/>
    </row>
    <row r="43" spans="63:63" s="204" customFormat="1" ht="15" customHeight="1" x14ac:dyDescent="0.25">
      <c r="BK43" s="202"/>
    </row>
    <row r="44" spans="63:63" s="204" customFormat="1" ht="15" customHeight="1" x14ac:dyDescent="0.25">
      <c r="BK44" s="202"/>
    </row>
    <row r="45" spans="63:63" s="204" customFormat="1" ht="15" customHeight="1" x14ac:dyDescent="0.25">
      <c r="BK45" s="202"/>
    </row>
    <row r="46" spans="63:63" s="204" customFormat="1" ht="15" customHeight="1" x14ac:dyDescent="0.25">
      <c r="BK46" s="202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70" t="s">
        <v>54</v>
      </c>
      <c r="B1" s="171"/>
      <c r="C1" s="171"/>
      <c r="D1" s="171"/>
      <c r="E1" s="171"/>
      <c r="F1" s="171"/>
      <c r="G1" s="171"/>
      <c r="H1" s="171"/>
      <c r="I1" s="171"/>
      <c r="J1" s="172"/>
      <c r="K1" s="170" t="s">
        <v>55</v>
      </c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2"/>
      <c r="W1" s="173" t="str">
        <f>IF(表紙!W1="","",表紙!W1)</f>
        <v>詳細設計書</v>
      </c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5"/>
      <c r="AP1" s="176" t="s">
        <v>56</v>
      </c>
      <c r="AQ1" s="177"/>
      <c r="AR1" s="177"/>
      <c r="AS1" s="178"/>
      <c r="AT1" s="176" t="s">
        <v>57</v>
      </c>
      <c r="AU1" s="177"/>
      <c r="AV1" s="177"/>
      <c r="AW1" s="177"/>
      <c r="AX1" s="178"/>
      <c r="AY1" s="176" t="s">
        <v>58</v>
      </c>
      <c r="AZ1" s="177"/>
      <c r="BA1" s="177"/>
      <c r="BB1" s="178"/>
      <c r="BC1" s="176" t="s">
        <v>59</v>
      </c>
      <c r="BD1" s="177"/>
      <c r="BE1" s="177"/>
      <c r="BF1" s="177"/>
      <c r="BG1" s="178"/>
      <c r="BH1" s="176" t="s">
        <v>60</v>
      </c>
      <c r="BI1" s="177"/>
      <c r="BJ1" s="177"/>
      <c r="BK1" s="178"/>
    </row>
    <row r="2" spans="1:63" ht="15" customHeight="1" x14ac:dyDescent="0.25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POSサーバー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82" t="str">
        <f>IF(表紙!AP2="","",表紙!AP2)</f>
        <v>DuNT</v>
      </c>
      <c r="AQ2" s="183"/>
      <c r="AR2" s="183"/>
      <c r="AS2" s="184"/>
      <c r="AT2" s="185">
        <f>IF(表紙!AT2="","",表紙!AT2)</f>
        <v>45498</v>
      </c>
      <c r="AU2" s="186"/>
      <c r="AV2" s="186"/>
      <c r="AW2" s="186"/>
      <c r="AX2" s="187"/>
      <c r="AY2" s="182" t="str">
        <f>IF(表紙!AY2="","",表紙!AY2)</f>
        <v>DuNT</v>
      </c>
      <c r="AZ2" s="183"/>
      <c r="BA2" s="183"/>
      <c r="BB2" s="184"/>
      <c r="BC2" s="185">
        <f>IF(表紙!BC2="","",表紙!BC2)</f>
        <v>45621</v>
      </c>
      <c r="BD2" s="186"/>
      <c r="BE2" s="186"/>
      <c r="BF2" s="186"/>
      <c r="BG2" s="187"/>
      <c r="BH2" s="182">
        <f>IF(表紙!BH2="","",表紙!BH2)</f>
        <v>0.41</v>
      </c>
      <c r="BI2" s="183"/>
      <c r="BJ2" s="183"/>
      <c r="BK2" s="184"/>
    </row>
    <row r="3" spans="1:63" ht="15" customHeight="1" x14ac:dyDescent="0.25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88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90"/>
      <c r="AP3" s="191"/>
      <c r="AQ3" s="192"/>
      <c r="AR3" s="192"/>
      <c r="AS3" s="193"/>
      <c r="AT3" s="194"/>
      <c r="AU3" s="195"/>
      <c r="AV3" s="195"/>
      <c r="AW3" s="195"/>
      <c r="AX3" s="196"/>
      <c r="AY3" s="191"/>
      <c r="AZ3" s="192"/>
      <c r="BA3" s="192"/>
      <c r="BB3" s="193"/>
      <c r="BC3" s="194"/>
      <c r="BD3" s="195"/>
      <c r="BE3" s="195"/>
      <c r="BF3" s="195"/>
      <c r="BG3" s="196"/>
      <c r="BH3" s="191"/>
      <c r="BI3" s="192"/>
      <c r="BJ3" s="192"/>
      <c r="BK3" s="193"/>
    </row>
    <row r="4" spans="1:63" ht="24.95" customHeight="1" x14ac:dyDescent="0.25">
      <c r="A4" s="170" t="s">
        <v>61</v>
      </c>
      <c r="B4" s="171"/>
      <c r="C4" s="171"/>
      <c r="D4" s="171"/>
      <c r="E4" s="171"/>
      <c r="F4" s="171"/>
      <c r="G4" s="172"/>
      <c r="H4" s="108" t="str">
        <f>IF(表紙!H4="","",表紙!H4)</f>
        <v>AP7106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170" t="s">
        <v>62</v>
      </c>
      <c r="V4" s="171"/>
      <c r="W4" s="171"/>
      <c r="X4" s="171"/>
      <c r="Y4" s="172"/>
      <c r="Z4" s="108" t="str">
        <f>IF(表紙!Z4="","",表紙!Z4)</f>
        <v>API設計書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11" t="str">
        <f ca="1">MID(CELL("filename",A1),FIND("]",CELL("filename",A1))+1,255)</f>
        <v>AP7106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5" customFormat="1" ht="15" customHeight="1" x14ac:dyDescent="0.25">
      <c r="A7" s="40"/>
      <c r="B7" s="41" t="s">
        <v>65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208"/>
      <c r="AQ7" s="208"/>
      <c r="AR7" s="208"/>
      <c r="AS7" s="208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3"/>
      <c r="BI7" s="43"/>
      <c r="BJ7" s="43"/>
      <c r="BK7" s="44"/>
    </row>
    <row r="8" spans="1:63" s="45" customFormat="1" ht="15" customHeight="1" x14ac:dyDescent="0.25">
      <c r="A8" s="40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209"/>
      <c r="AQ8" s="209"/>
      <c r="AR8" s="209"/>
      <c r="AS8" s="209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8"/>
      <c r="BI8" s="48"/>
      <c r="BJ8" s="48"/>
      <c r="BK8" s="44"/>
    </row>
    <row r="9" spans="1:63" s="45" customFormat="1" ht="15" customHeight="1" x14ac:dyDescent="0.25">
      <c r="A9" s="40"/>
      <c r="B9" s="46"/>
      <c r="C9" s="47" t="s">
        <v>40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209"/>
      <c r="AQ9" s="209"/>
      <c r="AR9" s="209"/>
      <c r="AS9" s="209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8"/>
      <c r="BI9" s="48"/>
      <c r="BJ9" s="48"/>
      <c r="BK9" s="44"/>
    </row>
    <row r="10" spans="1:63" s="45" customFormat="1" ht="15" customHeight="1" x14ac:dyDescent="0.25">
      <c r="A10" s="40"/>
      <c r="B10" s="47"/>
      <c r="C10" s="47" t="s">
        <v>41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209"/>
      <c r="AQ10" s="209"/>
      <c r="AR10" s="209"/>
      <c r="AS10" s="209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8"/>
      <c r="BI10" s="48"/>
      <c r="BJ10" s="48"/>
      <c r="BK10" s="44"/>
    </row>
    <row r="11" spans="1:63" s="45" customFormat="1" ht="15" customHeight="1" x14ac:dyDescent="0.25">
      <c r="A11" s="40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8"/>
      <c r="BI11" s="48"/>
      <c r="BJ11" s="48"/>
      <c r="BK11" s="44"/>
    </row>
    <row r="12" spans="1:63" s="45" customFormat="1" ht="15" customHeight="1" x14ac:dyDescent="0.25">
      <c r="A12" s="40"/>
      <c r="B12" s="49" t="s">
        <v>66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3"/>
      <c r="BI12" s="43"/>
      <c r="BJ12" s="43"/>
      <c r="BK12" s="44"/>
    </row>
    <row r="13" spans="1:63" s="45" customFormat="1" ht="15" customHeight="1" x14ac:dyDescent="0.25">
      <c r="A13" s="40"/>
      <c r="B13" s="47"/>
      <c r="C13" s="50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8"/>
      <c r="BI13" s="48"/>
      <c r="BJ13" s="48"/>
      <c r="BK13" s="44"/>
    </row>
    <row r="14" spans="1:63" s="45" customFormat="1" ht="15" customHeight="1" x14ac:dyDescent="0.25">
      <c r="A14" s="40"/>
      <c r="B14" s="47"/>
      <c r="C14" s="50" t="s">
        <v>67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8"/>
      <c r="BI14" s="48"/>
      <c r="BJ14" s="48"/>
      <c r="BK14" s="44"/>
    </row>
    <row r="15" spans="1:63" s="45" customFormat="1" ht="15" customHeight="1" x14ac:dyDescent="0.25">
      <c r="A15" s="40"/>
      <c r="B15" s="47"/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8"/>
      <c r="BI15" s="48"/>
      <c r="BJ15" s="48"/>
      <c r="BK15" s="44"/>
    </row>
    <row r="16" spans="1:63" s="45" customFormat="1" ht="15" customHeight="1" x14ac:dyDescent="0.25">
      <c r="A16" s="40"/>
      <c r="B16" s="47"/>
      <c r="C16" s="118" t="s">
        <v>27</v>
      </c>
      <c r="D16" s="119"/>
      <c r="E16" s="118" t="s">
        <v>28</v>
      </c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19"/>
      <c r="AG16" s="118" t="s">
        <v>29</v>
      </c>
      <c r="AH16" s="122"/>
      <c r="AI16" s="122"/>
      <c r="AJ16" s="122"/>
      <c r="AK16" s="122"/>
      <c r="AL16" s="122"/>
      <c r="AM16" s="122"/>
      <c r="AN16" s="122"/>
      <c r="AO16" s="122"/>
      <c r="AP16" s="119"/>
      <c r="AQ16" s="118" t="s">
        <v>30</v>
      </c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19"/>
      <c r="BK16" s="44"/>
    </row>
    <row r="17" spans="1:63" s="45" customFormat="1" ht="15" customHeight="1" x14ac:dyDescent="0.25">
      <c r="A17" s="40"/>
      <c r="B17" s="47"/>
      <c r="C17" s="120">
        <v>1</v>
      </c>
      <c r="D17" s="121"/>
      <c r="E17" s="205" t="s">
        <v>64</v>
      </c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7"/>
      <c r="AG17" s="120" t="s">
        <v>42</v>
      </c>
      <c r="AH17" s="126"/>
      <c r="AI17" s="126"/>
      <c r="AJ17" s="126"/>
      <c r="AK17" s="126"/>
      <c r="AL17" s="126"/>
      <c r="AM17" s="126"/>
      <c r="AN17" s="126"/>
      <c r="AO17" s="126"/>
      <c r="AP17" s="121"/>
      <c r="AQ17" s="127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9"/>
      <c r="BK17" s="44"/>
    </row>
    <row r="18" spans="1:63" s="45" customFormat="1" ht="15" customHeight="1" x14ac:dyDescent="0.25">
      <c r="A18" s="4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8"/>
      <c r="BI18" s="48"/>
      <c r="BJ18" s="48"/>
      <c r="BK18" s="44"/>
    </row>
    <row r="19" spans="1:63" s="45" customFormat="1" ht="15" customHeight="1" x14ac:dyDescent="0.25">
      <c r="A19" s="40"/>
      <c r="B19" s="47"/>
      <c r="C19" s="50" t="s">
        <v>68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8"/>
      <c r="BI19" s="48"/>
      <c r="BJ19" s="48"/>
      <c r="BK19" s="44"/>
    </row>
    <row r="20" spans="1:63" s="45" customFormat="1" ht="15" customHeight="1" x14ac:dyDescent="0.25">
      <c r="A20" s="40"/>
      <c r="B20" s="47"/>
      <c r="C20" s="50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8"/>
      <c r="BI20" s="48"/>
      <c r="BJ20" s="48"/>
      <c r="BK20" s="44"/>
    </row>
    <row r="21" spans="1:63" s="45" customFormat="1" ht="15" customHeight="1" x14ac:dyDescent="0.25">
      <c r="A21" s="40"/>
      <c r="B21" s="47"/>
      <c r="C21" s="130" t="s">
        <v>69</v>
      </c>
      <c r="D21" s="132"/>
      <c r="E21" s="130" t="s">
        <v>70</v>
      </c>
      <c r="F21" s="131"/>
      <c r="G21" s="131"/>
      <c r="H21" s="131"/>
      <c r="I21" s="131"/>
      <c r="J21" s="131"/>
      <c r="K21" s="132"/>
      <c r="L21" s="118" t="s">
        <v>31</v>
      </c>
      <c r="M21" s="122"/>
      <c r="N21" s="119"/>
      <c r="O21" s="118" t="s">
        <v>32</v>
      </c>
      <c r="P21" s="122"/>
      <c r="Q21" s="122"/>
      <c r="R21" s="119"/>
      <c r="S21" s="118" t="s">
        <v>33</v>
      </c>
      <c r="T21" s="122"/>
      <c r="U21" s="122"/>
      <c r="V21" s="122"/>
      <c r="W21" s="122"/>
      <c r="X21" s="122"/>
      <c r="Y21" s="119"/>
      <c r="Z21" s="130" t="s">
        <v>71</v>
      </c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2"/>
      <c r="AQ21" s="118" t="s">
        <v>30</v>
      </c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19"/>
      <c r="BK21" s="44"/>
    </row>
    <row r="22" spans="1:63" s="45" customFormat="1" ht="15" customHeight="1" x14ac:dyDescent="0.25">
      <c r="A22" s="40"/>
      <c r="B22" s="47"/>
      <c r="C22" s="120">
        <v>1</v>
      </c>
      <c r="D22" s="121"/>
      <c r="E22" s="210" t="s">
        <v>18</v>
      </c>
      <c r="F22" s="211"/>
      <c r="G22" s="211"/>
      <c r="H22" s="211"/>
      <c r="I22" s="211"/>
      <c r="J22" s="211"/>
      <c r="K22" s="212"/>
      <c r="L22" s="133" t="s">
        <v>19</v>
      </c>
      <c r="M22" s="134"/>
      <c r="N22" s="135"/>
      <c r="O22" s="120" t="s">
        <v>20</v>
      </c>
      <c r="P22" s="126"/>
      <c r="Q22" s="126"/>
      <c r="R22" s="121"/>
      <c r="S22" s="120" t="s">
        <v>21</v>
      </c>
      <c r="T22" s="126"/>
      <c r="U22" s="126"/>
      <c r="V22" s="126"/>
      <c r="W22" s="126"/>
      <c r="X22" s="126"/>
      <c r="Y22" s="121"/>
      <c r="Z22" s="210" t="s">
        <v>22</v>
      </c>
      <c r="AA22" s="211"/>
      <c r="AB22" s="211"/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1"/>
      <c r="AN22" s="211"/>
      <c r="AO22" s="211"/>
      <c r="AP22" s="212"/>
      <c r="AQ22" s="213" t="s">
        <v>72</v>
      </c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14"/>
      <c r="BI22" s="214"/>
      <c r="BJ22" s="215"/>
      <c r="BK22" s="44"/>
    </row>
    <row r="23" spans="1:63" s="45" customFormat="1" ht="15" customHeight="1" x14ac:dyDescent="0.25">
      <c r="A23" s="40"/>
      <c r="B23" s="47"/>
      <c r="C23" s="120">
        <v>2</v>
      </c>
      <c r="D23" s="121"/>
      <c r="E23" s="210" t="s">
        <v>23</v>
      </c>
      <c r="F23" s="211"/>
      <c r="G23" s="211"/>
      <c r="H23" s="211"/>
      <c r="I23" s="211"/>
      <c r="J23" s="211"/>
      <c r="K23" s="212"/>
      <c r="L23" s="133" t="s">
        <v>21</v>
      </c>
      <c r="M23" s="134"/>
      <c r="N23" s="135"/>
      <c r="O23" s="120" t="s">
        <v>20</v>
      </c>
      <c r="P23" s="126"/>
      <c r="Q23" s="126"/>
      <c r="R23" s="121"/>
      <c r="S23" s="120" t="s">
        <v>21</v>
      </c>
      <c r="T23" s="126"/>
      <c r="U23" s="126"/>
      <c r="V23" s="126"/>
      <c r="W23" s="126"/>
      <c r="X23" s="126"/>
      <c r="Y23" s="121"/>
      <c r="Z23" s="210" t="s">
        <v>23</v>
      </c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2"/>
      <c r="AQ23" s="213"/>
      <c r="AR23" s="214"/>
      <c r="AS23" s="214"/>
      <c r="AT23" s="214"/>
      <c r="AU23" s="214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14"/>
      <c r="BG23" s="214"/>
      <c r="BH23" s="214"/>
      <c r="BI23" s="214"/>
      <c r="BJ23" s="215"/>
      <c r="BK23" s="44"/>
    </row>
    <row r="24" spans="1:63" s="45" customFormat="1" ht="15" customHeight="1" x14ac:dyDescent="0.25">
      <c r="A24" s="40"/>
      <c r="B24" s="47"/>
      <c r="C24" s="138">
        <v>3</v>
      </c>
      <c r="D24" s="139"/>
      <c r="E24" s="216" t="s">
        <v>24</v>
      </c>
      <c r="F24" s="217"/>
      <c r="G24" s="217"/>
      <c r="H24" s="217"/>
      <c r="I24" s="217"/>
      <c r="J24" s="217"/>
      <c r="K24" s="218"/>
      <c r="L24" s="219" t="s">
        <v>19</v>
      </c>
      <c r="M24" s="220"/>
      <c r="N24" s="221"/>
      <c r="O24" s="222" t="s">
        <v>20</v>
      </c>
      <c r="P24" s="223"/>
      <c r="Q24" s="223"/>
      <c r="R24" s="224"/>
      <c r="S24" s="222" t="s">
        <v>36</v>
      </c>
      <c r="T24" s="223"/>
      <c r="U24" s="223"/>
      <c r="V24" s="223"/>
      <c r="W24" s="223"/>
      <c r="X24" s="223"/>
      <c r="Y24" s="224"/>
      <c r="Z24" s="225" t="s">
        <v>45</v>
      </c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7"/>
      <c r="AQ24" s="228"/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9"/>
      <c r="BK24" s="44"/>
    </row>
    <row r="25" spans="1:63" s="45" customFormat="1" ht="15" customHeight="1" x14ac:dyDescent="0.25">
      <c r="A25" s="40"/>
      <c r="B25" s="47"/>
      <c r="C25" s="120">
        <v>4</v>
      </c>
      <c r="D25" s="121"/>
      <c r="E25" s="210" t="s">
        <v>25</v>
      </c>
      <c r="F25" s="211"/>
      <c r="G25" s="211"/>
      <c r="H25" s="211"/>
      <c r="I25" s="211"/>
      <c r="J25" s="211"/>
      <c r="K25" s="212"/>
      <c r="L25" s="133" t="s">
        <v>21</v>
      </c>
      <c r="M25" s="134"/>
      <c r="N25" s="135"/>
      <c r="O25" s="120" t="s">
        <v>20</v>
      </c>
      <c r="P25" s="126"/>
      <c r="Q25" s="126"/>
      <c r="R25" s="121"/>
      <c r="S25" s="120" t="s">
        <v>21</v>
      </c>
      <c r="T25" s="126"/>
      <c r="U25" s="126"/>
      <c r="V25" s="126"/>
      <c r="W25" s="126"/>
      <c r="X25" s="126"/>
      <c r="Y25" s="121"/>
      <c r="Z25" s="210" t="s">
        <v>25</v>
      </c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2"/>
      <c r="AQ25" s="213"/>
      <c r="AR25" s="214"/>
      <c r="AS25" s="214"/>
      <c r="AT25" s="214"/>
      <c r="AU25" s="214"/>
      <c r="AV25" s="214"/>
      <c r="AW25" s="214"/>
      <c r="AX25" s="214"/>
      <c r="AY25" s="214"/>
      <c r="AZ25" s="214"/>
      <c r="BA25" s="214"/>
      <c r="BB25" s="214"/>
      <c r="BC25" s="214"/>
      <c r="BD25" s="214"/>
      <c r="BE25" s="214"/>
      <c r="BF25" s="214"/>
      <c r="BG25" s="214"/>
      <c r="BH25" s="214"/>
      <c r="BI25" s="214"/>
      <c r="BJ25" s="215"/>
      <c r="BK25" s="44"/>
    </row>
    <row r="26" spans="1:63" s="45" customFormat="1" ht="15" customHeight="1" x14ac:dyDescent="0.25">
      <c r="A26" s="40"/>
      <c r="B26" s="47"/>
      <c r="C26" s="120">
        <v>5</v>
      </c>
      <c r="D26" s="121"/>
      <c r="E26" s="210" t="s">
        <v>26</v>
      </c>
      <c r="F26" s="211"/>
      <c r="G26" s="211"/>
      <c r="H26" s="211"/>
      <c r="I26" s="211"/>
      <c r="J26" s="211"/>
      <c r="K26" s="212"/>
      <c r="L26" s="133" t="s">
        <v>21</v>
      </c>
      <c r="M26" s="134"/>
      <c r="N26" s="135"/>
      <c r="O26" s="120" t="s">
        <v>20</v>
      </c>
      <c r="P26" s="126"/>
      <c r="Q26" s="126"/>
      <c r="R26" s="121"/>
      <c r="S26" s="120" t="s">
        <v>21</v>
      </c>
      <c r="T26" s="126"/>
      <c r="U26" s="126"/>
      <c r="V26" s="126"/>
      <c r="W26" s="126"/>
      <c r="X26" s="126"/>
      <c r="Y26" s="121"/>
      <c r="Z26" s="210" t="s">
        <v>26</v>
      </c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2"/>
      <c r="AQ26" s="213"/>
      <c r="AR26" s="214"/>
      <c r="AS26" s="214"/>
      <c r="AT26" s="214"/>
      <c r="AU26" s="214"/>
      <c r="AV26" s="214"/>
      <c r="AW26" s="214"/>
      <c r="AX26" s="214"/>
      <c r="AY26" s="214"/>
      <c r="AZ26" s="214"/>
      <c r="BA26" s="214"/>
      <c r="BB26" s="214"/>
      <c r="BC26" s="214"/>
      <c r="BD26" s="214"/>
      <c r="BE26" s="214"/>
      <c r="BF26" s="214"/>
      <c r="BG26" s="214"/>
      <c r="BH26" s="214"/>
      <c r="BI26" s="214"/>
      <c r="BJ26" s="215"/>
      <c r="BK26" s="44"/>
    </row>
    <row r="27" spans="1:63" s="45" customFormat="1" ht="15" customHeight="1" x14ac:dyDescent="0.25">
      <c r="A27" s="40"/>
      <c r="B27" s="47"/>
      <c r="C27" s="47"/>
      <c r="D27" s="47"/>
      <c r="E27" s="209"/>
      <c r="F27" s="209"/>
      <c r="G27" s="209"/>
      <c r="H27" s="209"/>
      <c r="I27" s="47"/>
      <c r="J27" s="47"/>
      <c r="K27" s="47"/>
      <c r="L27" s="230"/>
      <c r="M27" s="209"/>
      <c r="N27" s="209"/>
      <c r="O27" s="209"/>
      <c r="P27" s="209"/>
      <c r="Q27" s="47"/>
      <c r="R27" s="47"/>
      <c r="S27" s="47"/>
      <c r="T27" s="47"/>
      <c r="U27" s="47"/>
      <c r="V27" s="47"/>
      <c r="W27" s="47"/>
      <c r="X27" s="47"/>
      <c r="Y27" s="47"/>
      <c r="Z27" s="51"/>
      <c r="AA27" s="47"/>
      <c r="AB27" s="47"/>
      <c r="AC27" s="47"/>
      <c r="AD27" s="47"/>
      <c r="AE27" s="47"/>
      <c r="AF27" s="47"/>
      <c r="AG27" s="209"/>
      <c r="AH27" s="209"/>
      <c r="AI27" s="209"/>
      <c r="AJ27" s="209"/>
      <c r="AK27" s="209"/>
      <c r="AL27" s="209"/>
      <c r="AM27" s="209"/>
      <c r="AN27" s="209"/>
      <c r="AO27" s="209"/>
      <c r="AP27" s="47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48"/>
      <c r="BI27" s="48"/>
      <c r="BJ27" s="48"/>
      <c r="BK27" s="44"/>
    </row>
    <row r="28" spans="1:63" s="45" customFormat="1" ht="15" customHeight="1" x14ac:dyDescent="0.25">
      <c r="A28" s="40"/>
      <c r="B28" s="47"/>
      <c r="C28" s="47"/>
      <c r="D28" s="47"/>
      <c r="E28" s="209"/>
      <c r="F28" s="209"/>
      <c r="G28" s="209"/>
      <c r="H28" s="209"/>
      <c r="I28" s="47"/>
      <c r="J28" s="47"/>
      <c r="K28" s="47"/>
      <c r="L28" s="53"/>
      <c r="M28" s="209"/>
      <c r="N28" s="209"/>
      <c r="O28" s="209"/>
      <c r="P28" s="209"/>
      <c r="Q28" s="47"/>
      <c r="R28" s="47"/>
      <c r="S28" s="47"/>
      <c r="T28" s="47"/>
      <c r="U28" s="47"/>
      <c r="V28" s="47"/>
      <c r="W28" s="47"/>
      <c r="X28" s="47"/>
      <c r="Y28" s="47"/>
      <c r="Z28" s="51"/>
      <c r="AA28" s="47"/>
      <c r="AB28" s="47"/>
      <c r="AC28" s="47"/>
      <c r="AD28" s="47"/>
      <c r="AE28" s="47"/>
      <c r="AF28" s="47"/>
      <c r="AG28" s="209"/>
      <c r="AH28" s="209"/>
      <c r="AI28" s="209"/>
      <c r="AJ28" s="209"/>
      <c r="AK28" s="209"/>
      <c r="AL28" s="209"/>
      <c r="AM28" s="209"/>
      <c r="AN28" s="209"/>
      <c r="AO28" s="209"/>
      <c r="AP28" s="47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48"/>
      <c r="BI28" s="48"/>
      <c r="BJ28" s="48"/>
      <c r="BK28" s="44"/>
    </row>
    <row r="29" spans="1:63" s="45" customFormat="1" ht="15" customHeight="1" x14ac:dyDescent="0.25">
      <c r="A29" s="40"/>
      <c r="B29" s="47"/>
      <c r="C29" s="50" t="s">
        <v>73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8"/>
      <c r="BI29" s="48"/>
      <c r="BJ29" s="48"/>
      <c r="BK29" s="44"/>
    </row>
    <row r="30" spans="1:63" s="45" customFormat="1" ht="15" customHeight="1" x14ac:dyDescent="0.25">
      <c r="A30" s="40"/>
      <c r="B30" s="47"/>
      <c r="C30" s="46"/>
      <c r="D30" s="47" t="s">
        <v>37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8"/>
      <c r="BI30" s="48"/>
      <c r="BJ30" s="48"/>
      <c r="BK30" s="44"/>
    </row>
    <row r="31" spans="1:63" s="45" customFormat="1" ht="15" customHeight="1" x14ac:dyDescent="0.25">
      <c r="A31" s="40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8"/>
      <c r="BI31" s="48"/>
      <c r="BJ31" s="48"/>
      <c r="BK31" s="44"/>
    </row>
    <row r="32" spans="1:63" s="45" customFormat="1" ht="15" customHeight="1" x14ac:dyDescent="0.25">
      <c r="A32" s="40"/>
      <c r="B32" s="47"/>
      <c r="C32" s="50" t="s">
        <v>74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8"/>
      <c r="BI32" s="48"/>
      <c r="BJ32" s="48"/>
      <c r="BK32" s="44"/>
    </row>
    <row r="33" spans="1:63" s="45" customFormat="1" ht="15" customHeight="1" x14ac:dyDescent="0.25">
      <c r="A33" s="40"/>
      <c r="B33" s="47"/>
      <c r="C33" s="136" t="s">
        <v>27</v>
      </c>
      <c r="D33" s="137"/>
      <c r="E33" s="231" t="s">
        <v>34</v>
      </c>
      <c r="F33" s="232"/>
      <c r="G33" s="232"/>
      <c r="H33" s="232"/>
      <c r="I33" s="232"/>
      <c r="J33" s="232"/>
      <c r="K33" s="233"/>
      <c r="L33" s="118" t="s">
        <v>31</v>
      </c>
      <c r="M33" s="122"/>
      <c r="N33" s="119"/>
      <c r="O33" s="118" t="s">
        <v>32</v>
      </c>
      <c r="P33" s="122"/>
      <c r="Q33" s="122"/>
      <c r="R33" s="119"/>
      <c r="S33" s="118" t="s">
        <v>33</v>
      </c>
      <c r="T33" s="122"/>
      <c r="U33" s="122"/>
      <c r="V33" s="122"/>
      <c r="W33" s="122"/>
      <c r="X33" s="122"/>
      <c r="Y33" s="119"/>
      <c r="Z33" s="130" t="s">
        <v>71</v>
      </c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2"/>
      <c r="AQ33" s="123" t="s">
        <v>30</v>
      </c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4"/>
      <c r="BF33" s="124"/>
      <c r="BG33" s="124"/>
      <c r="BH33" s="124"/>
      <c r="BI33" s="124"/>
      <c r="BJ33" s="125"/>
      <c r="BK33" s="44"/>
    </row>
    <row r="34" spans="1:63" s="45" customFormat="1" ht="15" customHeight="1" x14ac:dyDescent="0.25">
      <c r="A34" s="40"/>
      <c r="B34" s="47"/>
      <c r="C34" s="120">
        <v>1</v>
      </c>
      <c r="D34" s="121"/>
      <c r="E34" s="210" t="s">
        <v>43</v>
      </c>
      <c r="F34" s="211"/>
      <c r="G34" s="211"/>
      <c r="H34" s="211"/>
      <c r="I34" s="211"/>
      <c r="J34" s="211"/>
      <c r="K34" s="212"/>
      <c r="L34" s="234" t="s">
        <v>19</v>
      </c>
      <c r="M34" s="235"/>
      <c r="N34" s="236"/>
      <c r="O34" s="120" t="s">
        <v>44</v>
      </c>
      <c r="P34" s="126"/>
      <c r="Q34" s="126"/>
      <c r="R34" s="121"/>
      <c r="S34" s="140" t="s">
        <v>21</v>
      </c>
      <c r="T34" s="126"/>
      <c r="U34" s="126"/>
      <c r="V34" s="126"/>
      <c r="W34" s="126"/>
      <c r="X34" s="126"/>
      <c r="Y34" s="121"/>
      <c r="Z34" s="210"/>
      <c r="AA34" s="211"/>
      <c r="AB34" s="211"/>
      <c r="AC34" s="211"/>
      <c r="AD34" s="211"/>
      <c r="AE34" s="211"/>
      <c r="AF34" s="211"/>
      <c r="AG34" s="211"/>
      <c r="AH34" s="211"/>
      <c r="AI34" s="211"/>
      <c r="AJ34" s="211"/>
      <c r="AK34" s="211"/>
      <c r="AL34" s="211"/>
      <c r="AM34" s="211"/>
      <c r="AN34" s="211"/>
      <c r="AO34" s="211"/>
      <c r="AP34" s="212"/>
      <c r="AQ34" s="127" t="s">
        <v>75</v>
      </c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9"/>
      <c r="BK34" s="44"/>
    </row>
    <row r="35" spans="1:63" s="45" customFormat="1" ht="15" customHeight="1" x14ac:dyDescent="0.25">
      <c r="A35" s="40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8"/>
      <c r="BI35" s="48"/>
      <c r="BJ35" s="48"/>
      <c r="BK35" s="44"/>
    </row>
    <row r="36" spans="1:63" s="45" customFormat="1" ht="15" customHeight="1" x14ac:dyDescent="0.25">
      <c r="A36" s="40"/>
      <c r="B36" s="41" t="s">
        <v>76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3"/>
      <c r="BI36" s="43"/>
      <c r="BJ36" s="43"/>
      <c r="BK36" s="44"/>
    </row>
    <row r="37" spans="1:63" s="45" customFormat="1" ht="15" customHeight="1" x14ac:dyDescent="0.25">
      <c r="A37" s="40"/>
      <c r="B37" s="46"/>
      <c r="C37" s="50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8"/>
      <c r="BI37" s="48"/>
      <c r="BJ37" s="48"/>
      <c r="BK37" s="44"/>
    </row>
    <row r="38" spans="1:63" s="45" customFormat="1" ht="15" customHeight="1" x14ac:dyDescent="0.25">
      <c r="A38" s="40"/>
      <c r="B38" s="46"/>
      <c r="C38" s="50" t="s">
        <v>77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8"/>
      <c r="BI38" s="48"/>
      <c r="BJ38" s="48"/>
      <c r="BK38" s="44"/>
    </row>
    <row r="39" spans="1:63" s="45" customFormat="1" ht="15" customHeight="1" x14ac:dyDescent="0.25">
      <c r="A39" s="40"/>
      <c r="B39" s="47"/>
      <c r="C39" s="47"/>
      <c r="D39" s="47" t="s">
        <v>37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8"/>
      <c r="BI39" s="48"/>
      <c r="BJ39" s="48"/>
      <c r="BK39" s="44"/>
    </row>
    <row r="40" spans="1:63" s="45" customFormat="1" ht="15" customHeight="1" x14ac:dyDescent="0.25">
      <c r="A40" s="40"/>
      <c r="B40" s="47"/>
      <c r="C40" s="47"/>
      <c r="D40" s="209"/>
      <c r="E40" s="209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8"/>
      <c r="BI40" s="48"/>
      <c r="BJ40" s="48"/>
      <c r="BK40" s="44"/>
    </row>
    <row r="41" spans="1:63" s="45" customFormat="1" ht="15" customHeight="1" x14ac:dyDescent="0.25">
      <c r="A41" s="40"/>
      <c r="B41" s="47"/>
      <c r="C41" s="46" t="s">
        <v>78</v>
      </c>
      <c r="D41" s="47"/>
      <c r="E41" s="209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8"/>
      <c r="BI41" s="48"/>
      <c r="BJ41" s="48"/>
      <c r="BK41" s="44"/>
    </row>
    <row r="42" spans="1:63" s="45" customFormat="1" ht="15" customHeight="1" x14ac:dyDescent="0.25">
      <c r="A42" s="40"/>
      <c r="B42" s="47"/>
      <c r="C42" s="46"/>
      <c r="D42" s="47"/>
      <c r="E42" s="209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8"/>
      <c r="BI42" s="48"/>
      <c r="BJ42" s="48"/>
      <c r="BK42" s="44"/>
    </row>
    <row r="43" spans="1:63" s="45" customFormat="1" ht="15" customHeight="1" x14ac:dyDescent="0.25">
      <c r="A43" s="40"/>
      <c r="B43" s="47"/>
      <c r="C43" s="46" t="s">
        <v>38</v>
      </c>
      <c r="D43" s="47"/>
      <c r="E43" s="209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8"/>
      <c r="BI43" s="48"/>
      <c r="BJ43" s="48"/>
      <c r="BK43" s="44"/>
    </row>
    <row r="44" spans="1:63" s="60" customFormat="1" ht="15" customHeight="1" x14ac:dyDescent="0.25">
      <c r="A44" s="55"/>
      <c r="B44" s="56"/>
      <c r="C44" s="56"/>
      <c r="D44" s="56"/>
      <c r="E44" s="57"/>
      <c r="F44" s="57"/>
      <c r="G44" s="57"/>
      <c r="H44" s="57"/>
      <c r="I44" s="57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8"/>
      <c r="BI44" s="58"/>
      <c r="BJ44" s="58"/>
      <c r="BK44" s="59"/>
    </row>
  </sheetData>
  <mergeCells count="84">
    <mergeCell ref="Z34:AP34"/>
    <mergeCell ref="AQ34:BJ34"/>
    <mergeCell ref="C34:D34"/>
    <mergeCell ref="E34:K34"/>
    <mergeCell ref="L34:N34"/>
    <mergeCell ref="O34:R34"/>
    <mergeCell ref="S34:Y34"/>
    <mergeCell ref="S33:Y33"/>
    <mergeCell ref="Z23:AP23"/>
    <mergeCell ref="L25:N25"/>
    <mergeCell ref="L26:N26"/>
    <mergeCell ref="O26:R26"/>
    <mergeCell ref="L23:N23"/>
    <mergeCell ref="L33:N33"/>
    <mergeCell ref="O33:R33"/>
    <mergeCell ref="Z33:AP33"/>
    <mergeCell ref="C33:D33"/>
    <mergeCell ref="E33:K33"/>
    <mergeCell ref="C23:D23"/>
    <mergeCell ref="E21:K21"/>
    <mergeCell ref="C21:D21"/>
    <mergeCell ref="E23:K23"/>
    <mergeCell ref="C22:D22"/>
    <mergeCell ref="E25:K25"/>
    <mergeCell ref="E26:K26"/>
    <mergeCell ref="C24:D24"/>
    <mergeCell ref="E24:K24"/>
    <mergeCell ref="S21:Y21"/>
    <mergeCell ref="Z21:AP21"/>
    <mergeCell ref="O22:R22"/>
    <mergeCell ref="O21:R21"/>
    <mergeCell ref="L21:N21"/>
    <mergeCell ref="S22:Y22"/>
    <mergeCell ref="Z22:AP22"/>
    <mergeCell ref="L22:N22"/>
    <mergeCell ref="AQ22:BJ22"/>
    <mergeCell ref="L24:N24"/>
    <mergeCell ref="O24:R24"/>
    <mergeCell ref="S24:Y24"/>
    <mergeCell ref="Z24:AP24"/>
    <mergeCell ref="AQ24:BJ24"/>
    <mergeCell ref="AQ25:BJ25"/>
    <mergeCell ref="AQ26:BJ26"/>
    <mergeCell ref="S23:Y23"/>
    <mergeCell ref="O23:R23"/>
    <mergeCell ref="O25:R25"/>
    <mergeCell ref="Z26:AP26"/>
    <mergeCell ref="AQ23:BJ23"/>
    <mergeCell ref="C16:D16"/>
    <mergeCell ref="C17:D17"/>
    <mergeCell ref="E16:AF16"/>
    <mergeCell ref="AQ33:BJ33"/>
    <mergeCell ref="S25:Y25"/>
    <mergeCell ref="S26:Y26"/>
    <mergeCell ref="C26:D26"/>
    <mergeCell ref="C25:D25"/>
    <mergeCell ref="Z25:AP25"/>
    <mergeCell ref="AG16:AP16"/>
    <mergeCell ref="AQ16:BJ16"/>
    <mergeCell ref="E17:AF17"/>
    <mergeCell ref="AQ17:BJ17"/>
    <mergeCell ref="E22:K22"/>
    <mergeCell ref="AG17:AP17"/>
    <mergeCell ref="AQ21:BJ2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9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70" t="s">
        <v>54</v>
      </c>
      <c r="B1" s="171"/>
      <c r="C1" s="171"/>
      <c r="D1" s="171"/>
      <c r="E1" s="171"/>
      <c r="F1" s="171"/>
      <c r="G1" s="171"/>
      <c r="H1" s="171"/>
      <c r="I1" s="171"/>
      <c r="J1" s="172"/>
      <c r="K1" s="170" t="s">
        <v>55</v>
      </c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2"/>
      <c r="W1" s="173" t="str">
        <f>IF(表紙!W1="","",表紙!W1)</f>
        <v>詳細設計書</v>
      </c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5"/>
      <c r="AP1" s="176" t="s">
        <v>56</v>
      </c>
      <c r="AQ1" s="177"/>
      <c r="AR1" s="177"/>
      <c r="AS1" s="178"/>
      <c r="AT1" s="176" t="s">
        <v>57</v>
      </c>
      <c r="AU1" s="177"/>
      <c r="AV1" s="177"/>
      <c r="AW1" s="177"/>
      <c r="AX1" s="178"/>
      <c r="AY1" s="176" t="s">
        <v>58</v>
      </c>
      <c r="AZ1" s="177"/>
      <c r="BA1" s="177"/>
      <c r="BB1" s="178"/>
      <c r="BC1" s="176" t="s">
        <v>59</v>
      </c>
      <c r="BD1" s="177"/>
      <c r="BE1" s="177"/>
      <c r="BF1" s="177"/>
      <c r="BG1" s="178"/>
      <c r="BH1" s="176" t="s">
        <v>60</v>
      </c>
      <c r="BI1" s="177"/>
      <c r="BJ1" s="177"/>
      <c r="BK1" s="178"/>
    </row>
    <row r="2" spans="1:63" ht="15" customHeight="1" x14ac:dyDescent="0.25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POSサーバー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82" t="str">
        <f>IF(表紙!AP2="","",表紙!AP2)</f>
        <v>DuNT</v>
      </c>
      <c r="AQ2" s="183"/>
      <c r="AR2" s="183"/>
      <c r="AS2" s="184"/>
      <c r="AT2" s="185">
        <f>IF(表紙!AT2="","",表紙!AT2)</f>
        <v>45498</v>
      </c>
      <c r="AU2" s="186"/>
      <c r="AV2" s="186"/>
      <c r="AW2" s="186"/>
      <c r="AX2" s="187"/>
      <c r="AY2" s="182" t="str">
        <f>IF(表紙!AY2="","",表紙!AY2)</f>
        <v>DuNT</v>
      </c>
      <c r="AZ2" s="183"/>
      <c r="BA2" s="183"/>
      <c r="BB2" s="184"/>
      <c r="BC2" s="185">
        <f>IF(表紙!BC2="","",表紙!BC2)</f>
        <v>45621</v>
      </c>
      <c r="BD2" s="186"/>
      <c r="BE2" s="186"/>
      <c r="BF2" s="186"/>
      <c r="BG2" s="187"/>
      <c r="BH2" s="182">
        <f>IF(表紙!BH2="","",表紙!BH2)</f>
        <v>0.41</v>
      </c>
      <c r="BI2" s="183"/>
      <c r="BJ2" s="183"/>
      <c r="BK2" s="184"/>
    </row>
    <row r="3" spans="1:63" ht="15" customHeight="1" x14ac:dyDescent="0.25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88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90"/>
      <c r="AP3" s="191"/>
      <c r="AQ3" s="192"/>
      <c r="AR3" s="192"/>
      <c r="AS3" s="193"/>
      <c r="AT3" s="194"/>
      <c r="AU3" s="195"/>
      <c r="AV3" s="195"/>
      <c r="AW3" s="195"/>
      <c r="AX3" s="196"/>
      <c r="AY3" s="191"/>
      <c r="AZ3" s="192"/>
      <c r="BA3" s="192"/>
      <c r="BB3" s="193"/>
      <c r="BC3" s="194"/>
      <c r="BD3" s="195"/>
      <c r="BE3" s="195"/>
      <c r="BF3" s="195"/>
      <c r="BG3" s="196"/>
      <c r="BH3" s="191"/>
      <c r="BI3" s="192"/>
      <c r="BJ3" s="192"/>
      <c r="BK3" s="193"/>
    </row>
    <row r="4" spans="1:63" ht="24.95" customHeight="1" x14ac:dyDescent="0.25">
      <c r="A4" s="170" t="s">
        <v>61</v>
      </c>
      <c r="B4" s="171"/>
      <c r="C4" s="171"/>
      <c r="D4" s="171"/>
      <c r="E4" s="171"/>
      <c r="F4" s="171"/>
      <c r="G4" s="172"/>
      <c r="H4" s="108" t="str">
        <f>IF(表紙!H4="","",表紙!H4)</f>
        <v>AP7106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170" t="s">
        <v>62</v>
      </c>
      <c r="V4" s="171"/>
      <c r="W4" s="171"/>
      <c r="X4" s="171"/>
      <c r="Y4" s="172"/>
      <c r="Z4" s="108" t="str">
        <f>IF(表紙!Z4="","",表紙!Z4)</f>
        <v>API設計書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11" t="str">
        <f ca="1">MID(CELL("filename",A1),FIND("]",CELL("filename",A1))+1,255)</f>
        <v>処理フロー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04" customFormat="1" ht="15" customHeight="1" x14ac:dyDescent="0.25">
      <c r="B7" s="61"/>
      <c r="C7" s="48"/>
      <c r="D7" s="48"/>
      <c r="E7" s="48"/>
      <c r="F7" s="48"/>
      <c r="G7" s="48"/>
      <c r="AI7" s="237"/>
      <c r="BJ7" s="237"/>
      <c r="BK7" s="202"/>
    </row>
    <row r="8" spans="1:63" s="204" customFormat="1" ht="15" customHeight="1" x14ac:dyDescent="0.25">
      <c r="B8" s="61"/>
      <c r="C8" s="48"/>
      <c r="D8" s="48"/>
      <c r="E8" s="48"/>
      <c r="F8" s="48"/>
      <c r="G8" s="48"/>
      <c r="AI8" s="237"/>
      <c r="BJ8" s="237"/>
      <c r="BK8" s="202"/>
    </row>
    <row r="9" spans="1:63" s="204" customFormat="1" ht="15" customHeight="1" x14ac:dyDescent="0.25">
      <c r="B9" s="61"/>
      <c r="C9" s="48"/>
      <c r="D9" s="48"/>
      <c r="E9" s="48"/>
      <c r="F9" s="48"/>
      <c r="G9" s="48"/>
      <c r="AI9" s="237"/>
      <c r="BJ9" s="237"/>
      <c r="BK9" s="202"/>
    </row>
    <row r="10" spans="1:63" s="204" customFormat="1" ht="15" customHeight="1" x14ac:dyDescent="0.25">
      <c r="B10" s="61"/>
      <c r="C10" s="48"/>
      <c r="D10" s="48"/>
      <c r="E10" s="48"/>
      <c r="F10" s="48"/>
      <c r="G10" s="48"/>
      <c r="AI10" s="237"/>
      <c r="BJ10" s="237"/>
      <c r="BK10" s="202"/>
    </row>
    <row r="11" spans="1:63" s="204" customFormat="1" ht="15" customHeight="1" x14ac:dyDescent="0.25">
      <c r="B11" s="238"/>
      <c r="AI11" s="237"/>
      <c r="BJ11" s="237"/>
      <c r="BK11" s="202"/>
    </row>
    <row r="12" spans="1:63" s="204" customFormat="1" ht="15" customHeight="1" x14ac:dyDescent="0.25">
      <c r="B12" s="238"/>
      <c r="AI12" s="237"/>
      <c r="BJ12" s="237"/>
      <c r="BK12" s="202"/>
    </row>
    <row r="13" spans="1:63" s="204" customFormat="1" ht="15" customHeight="1" x14ac:dyDescent="0.25">
      <c r="B13" s="238"/>
      <c r="AI13" s="237"/>
      <c r="BJ13" s="237"/>
      <c r="BK13" s="202"/>
    </row>
    <row r="14" spans="1:63" s="204" customFormat="1" ht="15" customHeight="1" x14ac:dyDescent="0.25">
      <c r="B14" s="238"/>
      <c r="AI14" s="237"/>
      <c r="BJ14" s="237"/>
      <c r="BK14" s="202"/>
    </row>
    <row r="15" spans="1:63" s="204" customFormat="1" ht="15" customHeight="1" x14ac:dyDescent="0.25">
      <c r="B15" s="238"/>
      <c r="AI15" s="237"/>
      <c r="BJ15" s="237"/>
      <c r="BK15" s="202"/>
    </row>
    <row r="16" spans="1:63" s="204" customFormat="1" ht="15" customHeight="1" x14ac:dyDescent="0.25">
      <c r="B16" s="238"/>
      <c r="AI16" s="237"/>
      <c r="BJ16" s="237"/>
      <c r="BK16" s="202"/>
    </row>
    <row r="17" spans="2:63" s="204" customFormat="1" ht="15" customHeight="1" x14ac:dyDescent="0.25">
      <c r="B17" s="238"/>
      <c r="AI17" s="237"/>
      <c r="BJ17" s="237"/>
      <c r="BK17" s="202"/>
    </row>
    <row r="18" spans="2:63" s="204" customFormat="1" ht="15" customHeight="1" x14ac:dyDescent="0.25">
      <c r="B18" s="238"/>
      <c r="AI18" s="237"/>
      <c r="BJ18" s="237"/>
      <c r="BK18" s="202"/>
    </row>
    <row r="19" spans="2:63" s="204" customFormat="1" ht="15" customHeight="1" x14ac:dyDescent="0.25">
      <c r="B19" s="238"/>
      <c r="AI19" s="237"/>
      <c r="BJ19" s="237"/>
      <c r="BK19" s="202"/>
    </row>
    <row r="20" spans="2:63" s="204" customFormat="1" ht="15" customHeight="1" x14ac:dyDescent="0.25">
      <c r="B20" s="238"/>
      <c r="AI20" s="237"/>
      <c r="BJ20" s="237"/>
      <c r="BK20" s="202"/>
    </row>
    <row r="21" spans="2:63" s="204" customFormat="1" ht="15" customHeight="1" x14ac:dyDescent="0.25">
      <c r="B21" s="238"/>
      <c r="AI21" s="237"/>
      <c r="BJ21" s="237"/>
      <c r="BK21" s="202"/>
    </row>
    <row r="22" spans="2:63" s="204" customFormat="1" ht="15" customHeight="1" x14ac:dyDescent="0.25">
      <c r="B22" s="238"/>
      <c r="AI22" s="237"/>
      <c r="BJ22" s="237"/>
      <c r="BK22" s="202"/>
    </row>
    <row r="23" spans="2:63" s="204" customFormat="1" ht="15" customHeight="1" x14ac:dyDescent="0.25">
      <c r="B23" s="238"/>
      <c r="AI23" s="237"/>
      <c r="BJ23" s="237"/>
      <c r="BK23" s="202"/>
    </row>
    <row r="24" spans="2:63" s="204" customFormat="1" ht="15" customHeight="1" x14ac:dyDescent="0.25">
      <c r="B24" s="238"/>
      <c r="AI24" s="237"/>
      <c r="BJ24" s="237"/>
      <c r="BK24" s="202"/>
    </row>
    <row r="25" spans="2:63" s="204" customFormat="1" ht="15" customHeight="1" x14ac:dyDescent="0.25">
      <c r="B25" s="238"/>
      <c r="AI25" s="237"/>
      <c r="BJ25" s="237"/>
      <c r="BK25" s="202"/>
    </row>
    <row r="26" spans="2:63" s="204" customFormat="1" ht="15" customHeight="1" x14ac:dyDescent="0.25">
      <c r="B26" s="238"/>
      <c r="AI26" s="237"/>
      <c r="BJ26" s="237"/>
      <c r="BK26" s="202"/>
    </row>
    <row r="27" spans="2:63" s="204" customFormat="1" ht="15" customHeight="1" x14ac:dyDescent="0.25">
      <c r="B27" s="238"/>
      <c r="AI27" s="237"/>
      <c r="BJ27" s="237"/>
      <c r="BK27" s="202"/>
    </row>
    <row r="28" spans="2:63" s="204" customFormat="1" ht="15" customHeight="1" x14ac:dyDescent="0.25">
      <c r="B28" s="238"/>
      <c r="AI28" s="237"/>
      <c r="BJ28" s="237"/>
      <c r="BK28" s="202"/>
    </row>
    <row r="29" spans="2:63" s="204" customFormat="1" ht="15" customHeight="1" x14ac:dyDescent="0.25">
      <c r="B29" s="238"/>
      <c r="AI29" s="237"/>
      <c r="BJ29" s="237"/>
      <c r="BK29" s="202"/>
    </row>
    <row r="30" spans="2:63" s="204" customFormat="1" ht="15" customHeight="1" x14ac:dyDescent="0.25">
      <c r="B30" s="238"/>
      <c r="AI30" s="237"/>
      <c r="BJ30" s="237"/>
      <c r="BK30" s="202"/>
    </row>
    <row r="31" spans="2:63" s="204" customFormat="1" ht="15" customHeight="1" x14ac:dyDescent="0.25">
      <c r="B31" s="238"/>
      <c r="AI31" s="237"/>
      <c r="BJ31" s="237"/>
      <c r="BK31" s="202"/>
    </row>
    <row r="32" spans="2:63" s="204" customFormat="1" ht="15" customHeight="1" x14ac:dyDescent="0.25">
      <c r="B32" s="238"/>
      <c r="AI32" s="237"/>
      <c r="BJ32" s="237"/>
      <c r="BK32" s="202"/>
    </row>
    <row r="33" spans="2:63" s="204" customFormat="1" ht="15" customHeight="1" x14ac:dyDescent="0.25">
      <c r="B33" s="238"/>
      <c r="AI33" s="237"/>
      <c r="BJ33" s="237"/>
      <c r="BK33" s="202"/>
    </row>
    <row r="34" spans="2:63" s="204" customFormat="1" ht="15" customHeight="1" x14ac:dyDescent="0.25">
      <c r="B34" s="238"/>
      <c r="AI34" s="237"/>
      <c r="BJ34" s="237"/>
      <c r="BK34" s="202"/>
    </row>
    <row r="35" spans="2:63" s="204" customFormat="1" ht="15" customHeight="1" x14ac:dyDescent="0.25">
      <c r="B35" s="238"/>
      <c r="AI35" s="237"/>
      <c r="BJ35" s="237"/>
      <c r="BK35" s="202"/>
    </row>
    <row r="36" spans="2:63" s="204" customFormat="1" ht="15" customHeight="1" x14ac:dyDescent="0.25">
      <c r="B36" s="238"/>
      <c r="AI36" s="237"/>
      <c r="BJ36" s="237"/>
      <c r="BK36" s="202"/>
    </row>
    <row r="37" spans="2:63" s="204" customFormat="1" ht="15" customHeight="1" x14ac:dyDescent="0.25">
      <c r="B37" s="238"/>
      <c r="AI37" s="237"/>
      <c r="BJ37" s="237"/>
      <c r="BK37" s="202"/>
    </row>
    <row r="38" spans="2:63" s="204" customFormat="1" ht="15" customHeight="1" x14ac:dyDescent="0.25">
      <c r="B38" s="238"/>
      <c r="AI38" s="237"/>
      <c r="BJ38" s="237"/>
      <c r="BK38" s="202"/>
    </row>
    <row r="39" spans="2:63" s="204" customFormat="1" ht="15" customHeight="1" x14ac:dyDescent="0.25">
      <c r="B39" s="238"/>
      <c r="AI39" s="237"/>
      <c r="BJ39" s="237"/>
      <c r="BK39" s="202"/>
    </row>
    <row r="40" spans="2:63" s="204" customFormat="1" ht="15" customHeight="1" x14ac:dyDescent="0.25">
      <c r="B40" s="238"/>
      <c r="AI40" s="237"/>
      <c r="BJ40" s="237"/>
      <c r="BK40" s="202"/>
    </row>
    <row r="41" spans="2:63" s="204" customFormat="1" ht="15" customHeight="1" x14ac:dyDescent="0.25">
      <c r="B41" s="238"/>
      <c r="AI41" s="237"/>
      <c r="BJ41" s="237"/>
      <c r="BK41" s="202"/>
    </row>
    <row r="42" spans="2:63" s="204" customFormat="1" ht="15" customHeight="1" x14ac:dyDescent="0.25">
      <c r="B42" s="238"/>
      <c r="AI42" s="237"/>
      <c r="BJ42" s="237"/>
      <c r="BK42" s="202"/>
    </row>
    <row r="43" spans="2:63" s="204" customFormat="1" ht="15" customHeight="1" x14ac:dyDescent="0.25">
      <c r="B43" s="238"/>
      <c r="AI43" s="237"/>
      <c r="BJ43" s="237"/>
      <c r="BK43" s="202"/>
    </row>
    <row r="44" spans="2:63" s="204" customFormat="1" ht="15" customHeight="1" x14ac:dyDescent="0.25">
      <c r="B44" s="238"/>
      <c r="AI44" s="237"/>
      <c r="BJ44" s="237"/>
      <c r="BK44" s="202"/>
    </row>
    <row r="45" spans="2:63" s="204" customFormat="1" ht="15" customHeight="1" x14ac:dyDescent="0.25">
      <c r="B45" s="238"/>
      <c r="AI45" s="237"/>
      <c r="BJ45" s="237"/>
      <c r="BK45" s="202"/>
    </row>
    <row r="46" spans="2:63" s="204" customFormat="1" ht="15" customHeight="1" x14ac:dyDescent="0.25">
      <c r="B46" s="238"/>
      <c r="AI46" s="237"/>
      <c r="BJ46" s="237"/>
      <c r="BK46" s="202"/>
    </row>
    <row r="47" spans="2:63" s="204" customFormat="1" ht="15" customHeight="1" x14ac:dyDescent="0.25">
      <c r="B47" s="238"/>
      <c r="AI47" s="237"/>
      <c r="BJ47" s="237"/>
      <c r="BK47" s="202"/>
    </row>
    <row r="48" spans="2:63" s="204" customFormat="1" ht="15" customHeight="1" x14ac:dyDescent="0.25">
      <c r="B48" s="238"/>
      <c r="AI48" s="237"/>
      <c r="BJ48" s="237"/>
      <c r="BK48" s="202"/>
    </row>
    <row r="49" spans="2:63" s="204" customFormat="1" ht="15" customHeight="1" x14ac:dyDescent="0.25">
      <c r="B49" s="238"/>
      <c r="AI49" s="237"/>
      <c r="BJ49" s="237"/>
      <c r="BK49" s="202"/>
    </row>
    <row r="50" spans="2:63" s="204" customFormat="1" ht="15" customHeight="1" x14ac:dyDescent="0.25">
      <c r="B50" s="238"/>
      <c r="AI50" s="237"/>
      <c r="BJ50" s="237"/>
      <c r="BK50" s="202"/>
    </row>
    <row r="51" spans="2:63" s="204" customFormat="1" ht="15" customHeight="1" x14ac:dyDescent="0.25">
      <c r="B51" s="238"/>
      <c r="AI51" s="237"/>
      <c r="BJ51" s="237"/>
      <c r="BK51" s="202"/>
    </row>
    <row r="52" spans="2:63" s="204" customFormat="1" ht="15" customHeight="1" x14ac:dyDescent="0.25">
      <c r="B52" s="238"/>
      <c r="AI52" s="237"/>
      <c r="BJ52" s="237"/>
      <c r="BK52" s="202"/>
    </row>
    <row r="53" spans="2:63" s="204" customFormat="1" ht="15" customHeight="1" x14ac:dyDescent="0.25">
      <c r="B53" s="238"/>
      <c r="AI53" s="237"/>
      <c r="BJ53" s="237"/>
      <c r="BK53" s="202"/>
    </row>
    <row r="54" spans="2:63" s="204" customFormat="1" ht="15" customHeight="1" x14ac:dyDescent="0.25">
      <c r="B54" s="238"/>
      <c r="AI54" s="237"/>
      <c r="BJ54" s="237"/>
      <c r="BK54" s="202"/>
    </row>
    <row r="55" spans="2:63" s="204" customFormat="1" ht="15" customHeight="1" x14ac:dyDescent="0.25">
      <c r="B55" s="238"/>
      <c r="AI55" s="237"/>
      <c r="BJ55" s="237"/>
      <c r="BK55" s="202"/>
    </row>
    <row r="56" spans="2:63" ht="15" customHeight="1" x14ac:dyDescent="0.25">
      <c r="B56" s="38"/>
      <c r="AI56" s="39"/>
      <c r="BJ56" s="39"/>
      <c r="BK56" s="34"/>
    </row>
    <row r="57" spans="2:63" ht="15" customHeight="1" x14ac:dyDescent="0.25">
      <c r="B57" s="38"/>
      <c r="AI57" s="39"/>
      <c r="BJ57" s="39"/>
      <c r="BK57" s="34"/>
    </row>
    <row r="58" spans="2:63" ht="15" customHeight="1" x14ac:dyDescent="0.25">
      <c r="B58" s="38"/>
      <c r="AI58" s="39"/>
      <c r="BJ58" s="39"/>
      <c r="BK58" s="34"/>
    </row>
    <row r="59" spans="2:63" ht="15" customHeight="1" x14ac:dyDescent="0.25">
      <c r="B59" s="38"/>
      <c r="AI59" s="39"/>
      <c r="BJ59" s="39"/>
      <c r="BK59" s="34"/>
    </row>
    <row r="60" spans="2:63" ht="15" customHeight="1" x14ac:dyDescent="0.25">
      <c r="B60" s="38"/>
      <c r="AI60" s="39"/>
      <c r="BJ60" s="39"/>
      <c r="BK60" s="34"/>
    </row>
    <row r="61" spans="2:63" ht="15" customHeight="1" x14ac:dyDescent="0.25">
      <c r="B61" s="38"/>
      <c r="AI61" s="39"/>
      <c r="BJ61" s="39"/>
      <c r="BK61" s="34"/>
    </row>
    <row r="62" spans="2:63" ht="15" customHeight="1" x14ac:dyDescent="0.25">
      <c r="B62" s="38"/>
      <c r="AI62" s="39"/>
      <c r="BJ62" s="39"/>
      <c r="BK62" s="34"/>
    </row>
    <row r="63" spans="2:63" ht="15" customHeight="1" x14ac:dyDescent="0.25">
      <c r="B63" s="38"/>
      <c r="AI63" s="39"/>
      <c r="BJ63" s="39"/>
      <c r="BK63" s="34"/>
    </row>
    <row r="64" spans="2:63" ht="15" customHeight="1" x14ac:dyDescent="0.25">
      <c r="B64" s="38"/>
      <c r="AI64" s="39"/>
      <c r="BJ64" s="39"/>
      <c r="BK64" s="34"/>
    </row>
    <row r="65" spans="2:63" ht="15" customHeight="1" x14ac:dyDescent="0.25">
      <c r="B65" s="38"/>
      <c r="AI65" s="39"/>
      <c r="BJ65" s="39"/>
      <c r="BK65" s="34"/>
    </row>
    <row r="66" spans="2:63" ht="15" customHeight="1" x14ac:dyDescent="0.25">
      <c r="B66" s="38"/>
      <c r="AI66" s="39"/>
      <c r="BJ66" s="39"/>
      <c r="BK66" s="34"/>
    </row>
    <row r="67" spans="2:63" ht="15" customHeight="1" x14ac:dyDescent="0.25">
      <c r="B67" s="38"/>
      <c r="AI67" s="39"/>
      <c r="BJ67" s="39"/>
      <c r="BK67" s="34"/>
    </row>
    <row r="68" spans="2:63" ht="15" customHeight="1" x14ac:dyDescent="0.25">
      <c r="B68" s="38"/>
      <c r="AI68" s="39"/>
      <c r="BJ68" s="39"/>
      <c r="BK68" s="34"/>
    </row>
    <row r="69" spans="2:63" ht="15" customHeight="1" x14ac:dyDescent="0.25">
      <c r="B69" s="38"/>
      <c r="AI69" s="39"/>
      <c r="BJ69" s="39"/>
      <c r="BK69" s="34"/>
    </row>
    <row r="70" spans="2:63" ht="15" customHeight="1" x14ac:dyDescent="0.25">
      <c r="B70" s="38"/>
      <c r="AI70" s="39"/>
      <c r="BJ70" s="39"/>
      <c r="BK70" s="34"/>
    </row>
    <row r="71" spans="2:63" ht="15" customHeight="1" x14ac:dyDescent="0.25">
      <c r="B71" s="38"/>
      <c r="AI71" s="39"/>
      <c r="BJ71" s="39"/>
      <c r="BK71" s="34"/>
    </row>
    <row r="72" spans="2:63" s="204" customFormat="1" ht="15" customHeight="1" x14ac:dyDescent="0.25">
      <c r="B72" s="238"/>
      <c r="AI72" s="237"/>
      <c r="BJ72" s="237"/>
      <c r="BK72" s="202"/>
    </row>
    <row r="73" spans="2:63" s="204" customFormat="1" ht="15" customHeight="1" x14ac:dyDescent="0.25">
      <c r="B73" s="238"/>
      <c r="AI73" s="237"/>
      <c r="BJ73" s="237"/>
      <c r="BK73" s="202"/>
    </row>
    <row r="74" spans="2:63" s="204" customFormat="1" ht="15" customHeight="1" x14ac:dyDescent="0.25">
      <c r="B74" s="238"/>
      <c r="AI74" s="237"/>
      <c r="BJ74" s="237"/>
      <c r="BK74" s="202"/>
    </row>
    <row r="75" spans="2:63" s="204" customFormat="1" ht="15" customHeight="1" x14ac:dyDescent="0.25">
      <c r="B75" s="238"/>
      <c r="AI75" s="237"/>
      <c r="BJ75" s="237"/>
      <c r="BK75" s="202"/>
    </row>
    <row r="76" spans="2:63" s="204" customFormat="1" ht="15" customHeight="1" x14ac:dyDescent="0.25">
      <c r="B76" s="238"/>
      <c r="AI76" s="237"/>
      <c r="BJ76" s="237"/>
      <c r="BK76" s="202"/>
    </row>
    <row r="77" spans="2:63" s="204" customFormat="1" ht="15" customHeight="1" x14ac:dyDescent="0.25">
      <c r="B77" s="238"/>
      <c r="AI77" s="237"/>
      <c r="BJ77" s="237"/>
      <c r="BK77" s="202"/>
    </row>
    <row r="78" spans="2:63" s="204" customFormat="1" ht="15" customHeight="1" x14ac:dyDescent="0.25">
      <c r="B78" s="238"/>
      <c r="AI78" s="237"/>
      <c r="BJ78" s="237"/>
      <c r="BK78" s="202"/>
    </row>
    <row r="79" spans="2:63" s="204" customFormat="1" ht="15" customHeight="1" x14ac:dyDescent="0.25">
      <c r="B79" s="238"/>
      <c r="AI79" s="237"/>
      <c r="BJ79" s="237"/>
      <c r="BK79" s="202"/>
    </row>
    <row r="80" spans="2:63" ht="15" customHeight="1" x14ac:dyDescent="0.25">
      <c r="B80" s="38"/>
      <c r="AI80" s="39"/>
      <c r="BJ80" s="39"/>
      <c r="BK80" s="34"/>
    </row>
    <row r="81" spans="2:63" ht="15" customHeight="1" x14ac:dyDescent="0.25">
      <c r="B81" s="38"/>
      <c r="AI81" s="39"/>
      <c r="BJ81" s="39"/>
      <c r="BK81" s="34"/>
    </row>
    <row r="82" spans="2:63" ht="15" customHeight="1" x14ac:dyDescent="0.25">
      <c r="B82" s="38"/>
      <c r="AI82" s="39"/>
      <c r="BJ82" s="39"/>
      <c r="BK82" s="34"/>
    </row>
    <row r="83" spans="2:63" ht="15" customHeight="1" x14ac:dyDescent="0.25">
      <c r="B83" s="38"/>
      <c r="AI83" s="39"/>
      <c r="BJ83" s="39"/>
      <c r="BK83" s="34"/>
    </row>
    <row r="84" spans="2:63" ht="15" customHeight="1" x14ac:dyDescent="0.25">
      <c r="B84" s="38"/>
      <c r="AI84" s="39"/>
      <c r="BJ84" s="39"/>
      <c r="BK84" s="34"/>
    </row>
    <row r="85" spans="2:63" ht="15" customHeight="1" x14ac:dyDescent="0.25">
      <c r="B85" s="38"/>
      <c r="AI85" s="39"/>
      <c r="BJ85" s="39"/>
      <c r="BK85" s="34"/>
    </row>
    <row r="86" spans="2:63" ht="15" customHeight="1" x14ac:dyDescent="0.25">
      <c r="B86" s="38"/>
      <c r="AI86" s="39"/>
      <c r="BJ86" s="39"/>
      <c r="BK86" s="34"/>
    </row>
    <row r="87" spans="2:63" ht="15" customHeight="1" x14ac:dyDescent="0.25">
      <c r="B87" s="38"/>
      <c r="AI87" s="39"/>
      <c r="BJ87" s="39"/>
      <c r="BK87" s="34"/>
    </row>
    <row r="88" spans="2:63" ht="15" customHeight="1" x14ac:dyDescent="0.25">
      <c r="B88" s="38"/>
      <c r="AI88" s="39"/>
      <c r="BJ88" s="39"/>
      <c r="BK88" s="34"/>
    </row>
    <row r="89" spans="2:63" ht="15" customHeight="1" x14ac:dyDescent="0.25">
      <c r="B89" s="38"/>
      <c r="AI89" s="39"/>
      <c r="BJ89" s="39"/>
      <c r="BK89" s="34"/>
    </row>
    <row r="90" spans="2:63" ht="15" customHeight="1" x14ac:dyDescent="0.25">
      <c r="B90" s="38"/>
      <c r="AI90" s="39"/>
      <c r="BJ90" s="39"/>
      <c r="BK90" s="34"/>
    </row>
    <row r="91" spans="2:63" ht="15" customHeight="1" x14ac:dyDescent="0.25">
      <c r="B91" s="38"/>
      <c r="AI91" s="39"/>
      <c r="BJ91" s="39"/>
      <c r="BK91" s="34"/>
    </row>
    <row r="92" spans="2:63" ht="15" customHeight="1" x14ac:dyDescent="0.25">
      <c r="B92" s="38"/>
      <c r="AI92" s="39"/>
      <c r="BJ92" s="39"/>
      <c r="BK92" s="34"/>
    </row>
    <row r="93" spans="2:63" ht="15" customHeight="1" x14ac:dyDescent="0.25">
      <c r="B93" s="38"/>
      <c r="AI93" s="39"/>
      <c r="BJ93" s="39"/>
      <c r="BK93" s="34"/>
    </row>
    <row r="94" spans="2:63" ht="15" customHeight="1" x14ac:dyDescent="0.25">
      <c r="B94" s="38"/>
      <c r="AI94" s="39"/>
      <c r="BJ94" s="39"/>
      <c r="BK94" s="34"/>
    </row>
    <row r="95" spans="2:63" ht="15" customHeight="1" x14ac:dyDescent="0.25">
      <c r="B95" s="38"/>
      <c r="AI95" s="39"/>
      <c r="BJ95" s="39"/>
      <c r="BK95" s="34"/>
    </row>
    <row r="96" spans="2:63" ht="15" customHeight="1" x14ac:dyDescent="0.25">
      <c r="B96" s="38"/>
      <c r="AI96" s="39"/>
      <c r="BJ96" s="39"/>
      <c r="BK96" s="34"/>
    </row>
    <row r="97" spans="2:63" ht="15" customHeight="1" x14ac:dyDescent="0.25">
      <c r="B97" s="38"/>
      <c r="AI97" s="39"/>
      <c r="BJ97" s="39"/>
      <c r="BK97" s="34"/>
    </row>
    <row r="98" spans="2:63" ht="15" customHeight="1" x14ac:dyDescent="0.25">
      <c r="B98" s="38"/>
      <c r="AI98" s="39"/>
      <c r="BJ98" s="39"/>
      <c r="BK98" s="34"/>
    </row>
    <row r="99" spans="2:63" ht="15" customHeight="1" x14ac:dyDescent="0.25">
      <c r="B99" s="38"/>
      <c r="AI99" s="39"/>
      <c r="BJ99" s="39"/>
      <c r="BK99" s="3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70" t="s">
        <v>54</v>
      </c>
      <c r="B1" s="171"/>
      <c r="C1" s="171"/>
      <c r="D1" s="171"/>
      <c r="E1" s="171"/>
      <c r="F1" s="171"/>
      <c r="G1" s="171"/>
      <c r="H1" s="171"/>
      <c r="I1" s="171"/>
      <c r="J1" s="172"/>
      <c r="K1" s="170" t="s">
        <v>55</v>
      </c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2"/>
      <c r="W1" s="173" t="str">
        <f>IF(表紙!W1="","",表紙!W1)</f>
        <v>詳細設計書</v>
      </c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5"/>
      <c r="AP1" s="176" t="s">
        <v>56</v>
      </c>
      <c r="AQ1" s="177"/>
      <c r="AR1" s="177"/>
      <c r="AS1" s="178"/>
      <c r="AT1" s="176" t="s">
        <v>57</v>
      </c>
      <c r="AU1" s="177"/>
      <c r="AV1" s="177"/>
      <c r="AW1" s="177"/>
      <c r="AX1" s="178"/>
      <c r="AY1" s="176" t="s">
        <v>58</v>
      </c>
      <c r="AZ1" s="177"/>
      <c r="BA1" s="177"/>
      <c r="BB1" s="178"/>
      <c r="BC1" s="176" t="s">
        <v>59</v>
      </c>
      <c r="BD1" s="177"/>
      <c r="BE1" s="177"/>
      <c r="BF1" s="177"/>
      <c r="BG1" s="178"/>
      <c r="BH1" s="176" t="s">
        <v>60</v>
      </c>
      <c r="BI1" s="177"/>
      <c r="BJ1" s="177"/>
      <c r="BK1" s="178"/>
    </row>
    <row r="2" spans="1:63" ht="15" customHeight="1" x14ac:dyDescent="0.25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POSサーバー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79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1"/>
      <c r="AP2" s="182" t="str">
        <f>IF(表紙!AP2="","",表紙!AP2)</f>
        <v>DuNT</v>
      </c>
      <c r="AQ2" s="183"/>
      <c r="AR2" s="183"/>
      <c r="AS2" s="184"/>
      <c r="AT2" s="185">
        <f>IF(表紙!AT2="","",表紙!AT2)</f>
        <v>45498</v>
      </c>
      <c r="AU2" s="186"/>
      <c r="AV2" s="186"/>
      <c r="AW2" s="186"/>
      <c r="AX2" s="187"/>
      <c r="AY2" s="182" t="str">
        <f>IF(表紙!AY2="","",表紙!AY2)</f>
        <v>DuNT</v>
      </c>
      <c r="AZ2" s="183"/>
      <c r="BA2" s="183"/>
      <c r="BB2" s="184"/>
      <c r="BC2" s="185">
        <f>IF(表紙!BC2="","",表紙!BC2)</f>
        <v>45621</v>
      </c>
      <c r="BD2" s="186"/>
      <c r="BE2" s="186"/>
      <c r="BF2" s="186"/>
      <c r="BG2" s="187"/>
      <c r="BH2" s="182">
        <f>IF(表紙!BH2="","",表紙!BH2)</f>
        <v>0.41</v>
      </c>
      <c r="BI2" s="183"/>
      <c r="BJ2" s="183"/>
      <c r="BK2" s="184"/>
    </row>
    <row r="3" spans="1:63" ht="15" customHeight="1" x14ac:dyDescent="0.25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88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90"/>
      <c r="AP3" s="191"/>
      <c r="AQ3" s="192"/>
      <c r="AR3" s="192"/>
      <c r="AS3" s="193"/>
      <c r="AT3" s="194"/>
      <c r="AU3" s="195"/>
      <c r="AV3" s="195"/>
      <c r="AW3" s="195"/>
      <c r="AX3" s="196"/>
      <c r="AY3" s="191"/>
      <c r="AZ3" s="192"/>
      <c r="BA3" s="192"/>
      <c r="BB3" s="193"/>
      <c r="BC3" s="194"/>
      <c r="BD3" s="195"/>
      <c r="BE3" s="195"/>
      <c r="BF3" s="195"/>
      <c r="BG3" s="196"/>
      <c r="BH3" s="191"/>
      <c r="BI3" s="192"/>
      <c r="BJ3" s="192"/>
      <c r="BK3" s="193"/>
    </row>
    <row r="4" spans="1:63" ht="24.95" customHeight="1" x14ac:dyDescent="0.25">
      <c r="A4" s="170" t="s">
        <v>61</v>
      </c>
      <c r="B4" s="171"/>
      <c r="C4" s="171"/>
      <c r="D4" s="171"/>
      <c r="E4" s="171"/>
      <c r="F4" s="171"/>
      <c r="G4" s="172"/>
      <c r="H4" s="108" t="str">
        <f>IF(表紙!H4="","",表紙!H4)</f>
        <v>AP7106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170" t="s">
        <v>62</v>
      </c>
      <c r="V4" s="171"/>
      <c r="W4" s="171"/>
      <c r="X4" s="171"/>
      <c r="Y4" s="172"/>
      <c r="Z4" s="108" t="str">
        <f>IF(表紙!Z4="","",表紙!Z4)</f>
        <v>API設計書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11" t="str">
        <f ca="1">MID(CELL("filename",A1),FIND("]",CELL("filename",A1))+1,255)</f>
        <v>テンプレート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04" customFormat="1" ht="15" customHeight="1" x14ac:dyDescent="0.25">
      <c r="BK7" s="202"/>
    </row>
    <row r="8" spans="1:63" s="204" customFormat="1" ht="15" customHeight="1" x14ac:dyDescent="0.25">
      <c r="BK8" s="202"/>
    </row>
    <row r="9" spans="1:63" s="204" customFormat="1" ht="15" customHeight="1" x14ac:dyDescent="0.25">
      <c r="BK9" s="202"/>
    </row>
    <row r="10" spans="1:63" s="204" customFormat="1" ht="15" customHeight="1" x14ac:dyDescent="0.25">
      <c r="BK10" s="202"/>
    </row>
    <row r="11" spans="1:63" s="204" customFormat="1" ht="15" customHeight="1" x14ac:dyDescent="0.25">
      <c r="BK11" s="202"/>
    </row>
    <row r="12" spans="1:63" s="204" customFormat="1" ht="15" customHeight="1" x14ac:dyDescent="0.25">
      <c r="BK12" s="202"/>
    </row>
    <row r="13" spans="1:63" s="204" customFormat="1" ht="15" customHeight="1" x14ac:dyDescent="0.25">
      <c r="BK13" s="202"/>
    </row>
    <row r="14" spans="1:63" s="204" customFormat="1" ht="15" customHeight="1" x14ac:dyDescent="0.25">
      <c r="BK14" s="202"/>
    </row>
    <row r="15" spans="1:63" s="204" customFormat="1" ht="15" customHeight="1" x14ac:dyDescent="0.25">
      <c r="BK15" s="202"/>
    </row>
    <row r="16" spans="1:63" s="204" customFormat="1" ht="15" customHeight="1" x14ac:dyDescent="0.25">
      <c r="BK16" s="202"/>
    </row>
    <row r="17" spans="63:63" s="204" customFormat="1" ht="15" customHeight="1" x14ac:dyDescent="0.25">
      <c r="BK17" s="202"/>
    </row>
    <row r="18" spans="63:63" s="204" customFormat="1" ht="15" customHeight="1" x14ac:dyDescent="0.25">
      <c r="BK18" s="202"/>
    </row>
    <row r="19" spans="63:63" s="204" customFormat="1" ht="15" customHeight="1" x14ac:dyDescent="0.25">
      <c r="BK19" s="202"/>
    </row>
    <row r="20" spans="63:63" s="204" customFormat="1" ht="15" customHeight="1" x14ac:dyDescent="0.25">
      <c r="BK20" s="202"/>
    </row>
    <row r="21" spans="63:63" s="204" customFormat="1" ht="15" customHeight="1" x14ac:dyDescent="0.25">
      <c r="BK21" s="202"/>
    </row>
    <row r="22" spans="63:63" s="204" customFormat="1" ht="15" customHeight="1" x14ac:dyDescent="0.25">
      <c r="BK22" s="202"/>
    </row>
    <row r="23" spans="63:63" s="204" customFormat="1" ht="15" customHeight="1" x14ac:dyDescent="0.25">
      <c r="BK23" s="202"/>
    </row>
    <row r="24" spans="63:63" s="204" customFormat="1" ht="15" customHeight="1" x14ac:dyDescent="0.25">
      <c r="BK24" s="202"/>
    </row>
    <row r="25" spans="63:63" s="204" customFormat="1" ht="15" customHeight="1" x14ac:dyDescent="0.25">
      <c r="BK25" s="202"/>
    </row>
    <row r="26" spans="63:63" s="204" customFormat="1" ht="15" customHeight="1" x14ac:dyDescent="0.25">
      <c r="BK26" s="202"/>
    </row>
    <row r="27" spans="63:63" s="204" customFormat="1" ht="15" customHeight="1" x14ac:dyDescent="0.25">
      <c r="BK27" s="202"/>
    </row>
    <row r="28" spans="63:63" s="204" customFormat="1" ht="15" customHeight="1" x14ac:dyDescent="0.25">
      <c r="BK28" s="202"/>
    </row>
    <row r="29" spans="63:63" s="204" customFormat="1" ht="15" customHeight="1" x14ac:dyDescent="0.25">
      <c r="BK29" s="202"/>
    </row>
    <row r="30" spans="63:63" s="204" customFormat="1" ht="15" customHeight="1" x14ac:dyDescent="0.25">
      <c r="BK30" s="202"/>
    </row>
    <row r="31" spans="63:63" s="204" customFormat="1" ht="15" customHeight="1" x14ac:dyDescent="0.25">
      <c r="BK31" s="202"/>
    </row>
    <row r="32" spans="63:63" s="204" customFormat="1" ht="15" customHeight="1" x14ac:dyDescent="0.25">
      <c r="BK32" s="202"/>
    </row>
    <row r="33" spans="63:63" s="204" customFormat="1" ht="15" customHeight="1" x14ac:dyDescent="0.25">
      <c r="BK33" s="202"/>
    </row>
    <row r="34" spans="63:63" s="204" customFormat="1" ht="15" customHeight="1" x14ac:dyDescent="0.25">
      <c r="BK34" s="202"/>
    </row>
    <row r="35" spans="63:63" s="204" customFormat="1" ht="15" customHeight="1" x14ac:dyDescent="0.25">
      <c r="BK35" s="202"/>
    </row>
    <row r="36" spans="63:63" s="204" customFormat="1" ht="15" customHeight="1" x14ac:dyDescent="0.25">
      <c r="BK36" s="202"/>
    </row>
    <row r="37" spans="63:63" s="204" customFormat="1" ht="15" customHeight="1" x14ac:dyDescent="0.25">
      <c r="BK37" s="202"/>
    </row>
    <row r="38" spans="63:63" s="204" customFormat="1" ht="15" customHeight="1" x14ac:dyDescent="0.25">
      <c r="BK38" s="202"/>
    </row>
    <row r="39" spans="63:63" s="204" customFormat="1" ht="15" customHeight="1" x14ac:dyDescent="0.25">
      <c r="BK39" s="202"/>
    </row>
    <row r="40" spans="63:63" s="204" customFormat="1" ht="15" customHeight="1" x14ac:dyDescent="0.25">
      <c r="BK40" s="202"/>
    </row>
    <row r="41" spans="63:63" s="204" customFormat="1" ht="15" customHeight="1" x14ac:dyDescent="0.25">
      <c r="BK41" s="202"/>
    </row>
    <row r="42" spans="63:63" s="204" customFormat="1" ht="15" customHeight="1" x14ac:dyDescent="0.25">
      <c r="BK42" s="202"/>
    </row>
    <row r="43" spans="63:63" s="204" customFormat="1" ht="15" customHeight="1" x14ac:dyDescent="0.25">
      <c r="BK43" s="202"/>
    </row>
    <row r="44" spans="63:63" s="204" customFormat="1" ht="15" customHeight="1" x14ac:dyDescent="0.25">
      <c r="BK44" s="202"/>
    </row>
    <row r="45" spans="63:63" s="204" customFormat="1" ht="15" customHeight="1" x14ac:dyDescent="0.25">
      <c r="BK45" s="202"/>
    </row>
    <row r="46" spans="63:63" s="204" customFormat="1" ht="15" customHeight="1" x14ac:dyDescent="0.25">
      <c r="BK46" s="202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C6F1E2-3249-4D56-8E7A-5759D36396FE}"/>
</file>

<file path=customXml/itemProps2.xml><?xml version="1.0" encoding="utf-8"?>
<ds:datastoreItem xmlns:ds="http://schemas.openxmlformats.org/officeDocument/2006/customXml" ds:itemID="{9D101557-76AA-4B86-9E89-724C133D61D9}"/>
</file>

<file path=customXml/itemProps3.xml><?xml version="1.0" encoding="utf-8"?>
<ds:datastoreItem xmlns:ds="http://schemas.openxmlformats.org/officeDocument/2006/customXml" ds:itemID="{48F175EB-66C5-4A03-9E63-B84C72BD958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AP7106</vt:lpstr>
      <vt:lpstr>処理フロー</vt:lpstr>
      <vt:lpstr>テンプレート</vt:lpstr>
      <vt:lpstr>'AP7106'!Print_Area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2024-12-09T09:00:18Z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