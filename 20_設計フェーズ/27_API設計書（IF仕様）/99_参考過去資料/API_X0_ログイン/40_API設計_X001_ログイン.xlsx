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X0_ログイン\"/>
    </mc:Choice>
  </mc:AlternateContent>
  <xr:revisionPtr revIDLastSave="0" documentId="13_ncr:1_{C5000D91-EC75-4813-8E20-30588399BE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1" sheetId="8" r:id="rId4"/>
    <sheet name="処理フロー" sheetId="9" r:id="rId5"/>
    <sheet name="テンプレート" sheetId="7" r:id="rId6"/>
  </sheets>
  <definedNames>
    <definedName name="_xlnm.Print_Area" localSheetId="3">'APX001'!$A$1:$BK$88</definedName>
    <definedName name="_xlnm.Print_Area" localSheetId="5">テンプレート!$A$1:$BK$54</definedName>
    <definedName name="_xlnm.Print_Area" localSheetId="4">処理フロー!$A$1:$BK$58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K2" i="9"/>
  <c r="A2" i="9"/>
  <c r="W1" i="9"/>
  <c r="C49" i="8"/>
  <c r="C50" i="8" s="1"/>
  <c r="C51" i="8" s="1"/>
  <c r="C52" i="8" s="1"/>
  <c r="C53" i="8" s="1"/>
  <c r="C47" i="8"/>
  <c r="C37" i="8"/>
  <c r="C38" i="8" s="1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C54" i="8" l="1"/>
  <c r="C55" i="8" s="1"/>
  <c r="C56" i="8" s="1"/>
  <c r="C57" i="8" s="1"/>
  <c r="C58" i="8" s="1"/>
  <c r="C59" i="8" s="1"/>
  <c r="AP2" i="3"/>
  <c r="BH2" i="3"/>
  <c r="AP2" i="10"/>
  <c r="BH2" i="10"/>
  <c r="BC2" i="9"/>
  <c r="AP2" i="7"/>
  <c r="BH2" i="7"/>
  <c r="AY2" i="8"/>
  <c r="AP2" i="9"/>
  <c r="BH2" i="9"/>
  <c r="AY2" i="3"/>
  <c r="AY2" i="10"/>
  <c r="BC2" i="8"/>
  <c r="AY2" i="7"/>
  <c r="BC2" i="3"/>
  <c r="BC2" i="10"/>
</calcChain>
</file>

<file path=xl/sharedStrings.xml><?xml version="1.0" encoding="utf-8"?>
<sst xmlns="http://schemas.openxmlformats.org/spreadsheetml/2006/main" count="231" uniqueCount="128">
  <si>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</si>
  <si>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</si>
  <si>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</si>
  <si>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</si>
  <si>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</si>
  <si>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</si>
  <si>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</si>
  <si>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</si>
  <si>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</si>
  <si>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</si>
  <si>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</si>
  <si>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</si>
  <si>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</si>
  <si>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</si>
  <si>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</si>
  <si>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</si>
  <si>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</si>
  <si>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</si>
  <si>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</si>
  <si>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</si>
  <si>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</si>
  <si>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</si>
  <si>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</si>
  <si>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</si>
  <si>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</si>
  <si>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t>{</t>
  </si>
  <si>
    <t>}</t>
  </si>
  <si>
    <t>]</t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</si>
  <si>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</si>
  <si>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ユーザーログインを実行する。</t>
    </r>
  </si>
  <si>
    <r>
      <rPr>
        <sz val="11"/>
        <color rgb="FF000000"/>
        <rFont val="Meiryo UI"/>
        <family val="2"/>
      </rPr>
      <t>api/v1/login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</si>
  <si>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</si>
  <si>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</si>
  <si>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</si>
  <si>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ログインユーザーが所属する企業コード</t>
    </r>
  </si>
  <si>
    <r>
      <rPr>
        <sz val="11"/>
        <color rgb="FF000000"/>
        <rFont val="Meiryo UI"/>
        <family val="2"/>
      </rPr>
      <t>ログイン名</t>
    </r>
  </si>
  <si>
    <r>
      <rPr>
        <sz val="11"/>
        <color rgb="FF000000"/>
        <rFont val="Meiryo UI"/>
        <family val="2"/>
      </rPr>
      <t>パスワード</t>
    </r>
  </si>
  <si>
    <r>
      <rPr>
        <sz val="11"/>
        <color rgb="FF000000"/>
        <rFont val="Meiryo UI"/>
        <family val="2"/>
      </rPr>
      <t>access_token</t>
    </r>
  </si>
  <si>
    <r>
      <rPr>
        <sz val="11"/>
        <color rgb="FF000000"/>
        <rFont val="Meiryo UI"/>
        <family val="2"/>
      </rPr>
      <t>refresh_token</t>
    </r>
  </si>
  <si>
    <r>
      <rPr>
        <sz val="11"/>
        <color rgb="FF000000"/>
        <rFont val="Meiryo UI"/>
        <family val="2"/>
      </rPr>
      <t>access token</t>
    </r>
  </si>
  <si>
    <r>
      <rPr>
        <sz val="11"/>
        <color rgb="FF000000"/>
        <rFont val="Meiryo UI"/>
        <family val="2"/>
      </rPr>
      <t>refresh token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</si>
  <si>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</si>
  <si>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role_code</t>
    </r>
  </si>
  <si>
    <r>
      <rPr>
        <sz val="11"/>
        <color rgb="FF000000"/>
        <rFont val="Meiryo UI"/>
        <family val="2"/>
      </rPr>
      <t>role_name</t>
    </r>
  </si>
  <si>
    <r>
      <rPr>
        <sz val="11"/>
        <color rgb="FF000000"/>
        <rFont val="Meiryo UI"/>
        <family val="2"/>
      </rPr>
      <t>有効期限：1日</t>
    </r>
  </si>
  <si>
    <r>
      <rPr>
        <sz val="11"/>
        <color rgb="FF000000"/>
        <rFont val="Meiryo UI"/>
        <family val="2"/>
      </rPr>
      <t>user_detail</t>
    </r>
  </si>
  <si>
    <r>
      <rPr>
        <sz val="11"/>
        <color rgb="FF000000"/>
        <rFont val="Meiryo UI"/>
        <family val="2"/>
      </rPr>
      <t>Object</t>
    </r>
  </si>
  <si>
    <r>
      <rPr>
        <sz val="11"/>
        <color rgb="FF000000"/>
        <rFont val="Meiryo UI"/>
        <family val="2"/>
      </rPr>
      <t>ユーザー詳細情報</t>
    </r>
  </si>
  <si>
    <r>
      <rPr>
        <sz val="11"/>
        <color rgb="FF000000"/>
        <rFont val="Meiryo UI"/>
        <family val="2"/>
      </rPr>
      <t>ユーザーログイン名</t>
    </r>
  </si>
  <si>
    <r>
      <rPr>
        <sz val="11"/>
        <color rgb="FF000000"/>
        <rFont val="Meiryo UI"/>
        <family val="2"/>
      </rPr>
      <t>表示に使用されるユーザー名</t>
    </r>
  </si>
  <si>
    <r>
      <rPr>
        <sz val="11"/>
        <color rgb="FF000000"/>
        <rFont val="Meiryo UI"/>
        <family val="2"/>
      </rPr>
      <t>ユーザーロールコード</t>
    </r>
  </si>
  <si>
    <r>
      <rPr>
        <sz val="11"/>
        <color rgb="FF000000"/>
        <rFont val="Meiryo UI"/>
        <family val="2"/>
      </rPr>
      <t>ユーザーロール名</t>
    </r>
  </si>
  <si>
    <r>
      <rPr>
        <sz val="11"/>
        <color rgb="FF000000"/>
        <rFont val="Meiryo UI"/>
        <family val="2"/>
      </rPr>
      <t>権限コード</t>
    </r>
  </si>
  <si>
    <r>
      <rPr>
        <sz val="11"/>
        <color rgb="FF000000"/>
        <rFont val="Meiryo UI"/>
        <family val="2"/>
      </rPr>
      <t>alias_name</t>
    </r>
  </si>
  <si>
    <r>
      <rPr>
        <sz val="11"/>
        <color rgb="FF000000"/>
        <rFont val="Meiryo UI"/>
        <family val="2"/>
      </rPr>
      <t>権限エイリアス名称</t>
    </r>
  </si>
  <si>
    <r>
      <rPr>
        <sz val="11"/>
        <color rgb="FF000000"/>
        <rFont val="Meiryo UI"/>
        <family val="2"/>
      </rPr>
      <t>01～99の機能のエイリアス名称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</si>
  <si>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</si>
  <si>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permissions</t>
    </r>
  </si>
  <si>
    <r>
      <rPr>
        <sz val="11"/>
        <color rgb="FF000000"/>
        <rFont val="Meiryo UI"/>
        <family val="2"/>
      </rPr>
      <t>アクセス可能権限一覧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</si>
  <si>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</si>
  <si>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</si>
  <si>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</si>
  <si>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</si>
  <si>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</si>
  <si>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</si>
  <si>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</si>
  <si>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</si>
  <si>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</si>
  <si>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</si>
  <si>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</si>
  <si>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</si>
  <si>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</si>
  <si>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</si>
  <si>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</si>
  <si>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</si>
  <si>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</si>
  <si>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</si>
  <si>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</si>
  <si>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</si>
  <si>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</si>
  <si>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</si>
  <si>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</si>
  <si>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</si>
  <si>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</si>
  <si>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</si>
  <si>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</si>
  <si>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</si>
  <si>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</si>
  <si>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</si>
  <si>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100: カスミ, 800：いなげや</t>
  </si>
  <si>
    <t>入力バリデーションチェック：MSG_VAL_001。その中、{0}がuser_nameである。</t>
  </si>
  <si>
    <t>入力バリデーションチェック：MSG_VAL_001。その中、{0}がpasswordである。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</si>
  <si>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</si>
  <si>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</si>
  <si>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</si>
  <si>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3つのユーザーロールがある：
・00: System administrator (企業の全て店舗にアクセスする権限)
・01 : Headquarters user (複数の店舗にアクセスする権限)
・02 : Store user (1つの店舗のみにアクセスする権限)</t>
    </r>
  </si>
  <si>
    <r>
      <rPr>
        <sz val="11"/>
        <color rgb="FF000000"/>
        <rFont val="Meiryo UI"/>
        <family val="2"/>
      </rPr>
      <t>01 - 99: 01～99の機能に該当する。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</si>
  <si>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</si>
  <si>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</si>
  <si>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AnhDD</t>
  </si>
  <si>
    <t>トークンアクセスの有効期限の修正</t>
  </si>
  <si>
    <r>
      <t>有効期限：</t>
    </r>
    <r>
      <rPr>
        <sz val="11"/>
        <color rgb="FFFF0000"/>
        <rFont val="Meiryo UI"/>
        <family val="2"/>
      </rPr>
      <t>5分</t>
    </r>
  </si>
  <si>
    <t>company_name</t>
  </si>
  <si>
    <t>string</t>
  </si>
  <si>
    <t>store_code</t>
  </si>
  <si>
    <t>StoreMaster.Code</t>
  </si>
  <si>
    <t>store_name</t>
  </si>
  <si>
    <t>StoreMaster.Name</t>
  </si>
  <si>
    <t>100: カスミ, 800：いなげや
Company.Code</t>
  </si>
  <si>
    <t>100: カスミ、800：いなげや
Company.Name</t>
  </si>
  <si>
    <t>会社名</t>
  </si>
  <si>
    <t>会社コード</t>
  </si>
  <si>
    <t>店舗コード</t>
  </si>
  <si>
    <t>店舗名</t>
  </si>
  <si>
    <t>"access_token": "eyJhbGciOiJIUzI1NiIsInR5cCI6IkpXVCJ9.eyJpc3MiOiJodHRwczovL2V4YW1wbGUuYXV0aDAuY29tLyIsImF1ZCI6Imh0dHBzOi8vYXBpLmV4YW1wbGUuY29tL2NhbGFuZGFyL3YxLyIsInN1YiI6InVzcl8xMjMiLCJpYXQiOjE0NTg3ODU3OTYsImV4cCI6MTQ1ODg3MjE5Nn0.CA7eaHjIHz5NxeIJoFK9krqaeZrPLwmMmgI_XiQiIkQ",</t>
  </si>
  <si>
    <t>"refresh_token": "i6mapTIAVSp2oJkgUnCACKKfZxt_H5MBLiqcybBBd04",</t>
  </si>
  <si>
    <t>"user_detail": {</t>
  </si>
  <si>
    <t>"user_name": "LUVINA02"</t>
  </si>
  <si>
    <t>"name": "Luvina Test"</t>
  </si>
  <si>
    <t>"role_code": "02"</t>
  </si>
  <si>
    <t>"role_name": "Store User"</t>
  </si>
  <si>
    <t>"company_code": "100",</t>
  </si>
  <si>
    <t>"company_name": "Kasumi",</t>
  </si>
  <si>
    <t>"store_code": "09176",</t>
  </si>
  <si>
    <t>"store_name": "湖北店",</t>
  </si>
  <si>
    <t>"permisisons": [</t>
  </si>
  <si>
    <t>code: "01"</t>
  </si>
  <si>
    <t>"alias_name": "Product_managerment"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</si>
</sst>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8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19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3" fillId="0" borderId="0" xfId="0" applyFont="1" applyAlignment="1">
      <alignment horizontal="left" vertical="top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33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51887"/>
            <a:gd name="adj2" fmla="val 470"/>
            <a:gd name="adj3" fmla="val 70510"/>
            <a:gd name="adj4" fmla="val -995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・2つのパスワードが同じ場合、「5. レスポンス情報取得」を実行する。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・2つのパスワードが異なっている場合、ログを記録し、以下のレスポンスを返す。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 = MSG_ERR_005</a:t>
          </a:r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762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以下を満たすUsersテーブルのユーザーを取得する。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・Users.UserName = Request.user_name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・Users.CompanyCode = Request.company_code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41098"/>
            <a:gd name="adj4" fmla="val -969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リクエストからパスワードをBcrypt形式で暗号化する。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「1.企業コートとIDの参照」で取得されたuser.Passwordを確認する。</a:t>
          </a: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156882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236324" y="3922059"/>
          <a:ext cx="6353735" cy="918882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・レコードが存在している場合、「3. パスワード参照」を実行する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 = MSG_ERR_005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1.企業コートとIDの参照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8</xdr:col>
      <xdr:colOff>0</xdr:colOff>
      <xdr:row>51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9639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53</xdr:row>
      <xdr:rowOff>22412</xdr:rowOff>
    </xdr:from>
    <xdr:to>
      <xdr:col>8</xdr:col>
      <xdr:colOff>0</xdr:colOff>
      <xdr:row>55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10229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28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53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982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50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333500" cy="5429250"/>
        </a:xfrm>
        <a:prstGeom prst="bentConnector4">
          <a:avLst>
            <a:gd name="adj1" fmla="val -19429"/>
            <a:gd name="adj2" fmla="val 92776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3.パスワード参照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179294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659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4.パスワードが同じ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7</xdr:col>
      <xdr:colOff>0</xdr:colOff>
      <xdr:row>40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754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37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400300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32</xdr:row>
      <xdr:rowOff>0</xdr:rowOff>
    </xdr:from>
    <xdr:to>
      <xdr:col>6</xdr:col>
      <xdr:colOff>1</xdr:colOff>
      <xdr:row>34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28" idx="2"/>
          <a:endCxn id="33" idx="0"/>
        </xdr:cNvCxnSpPr>
      </xdr:nvCxnSpPr>
      <xdr:spPr>
        <a:xfrm>
          <a:off x="1600200" y="6210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95250</xdr:rowOff>
    </xdr:from>
    <xdr:to>
      <xdr:col>11</xdr:col>
      <xdr:colOff>0</xdr:colOff>
      <xdr:row>50</xdr:row>
      <xdr:rowOff>0</xdr:rowOff>
    </xdr:to>
    <xdr:cxnSp macro="">
      <xdr:nvCxnSpPr>
        <xdr:cNvPr id="45" name="Straight Arrow Connector 3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35" idx="3"/>
          <a:endCxn id="19" idx="0"/>
        </xdr:cNvCxnSpPr>
      </xdr:nvCxnSpPr>
      <xdr:spPr>
        <a:xfrm flipH="1">
          <a:off x="1600200" y="7067550"/>
          <a:ext cx="1333500" cy="2571750"/>
        </a:xfrm>
        <a:prstGeom prst="bentConnector4">
          <a:avLst>
            <a:gd name="adj1" fmla="val -19429"/>
            <a:gd name="adj2" fmla="val 84532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40</xdr:row>
      <xdr:rowOff>0</xdr:rowOff>
    </xdr:from>
    <xdr:to>
      <xdr:col>6</xdr:col>
      <xdr:colOff>1</xdr:colOff>
      <xdr:row>42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34" idx="2"/>
          <a:endCxn id="61" idx="0"/>
        </xdr:cNvCxnSpPr>
      </xdr:nvCxnSpPr>
      <xdr:spPr>
        <a:xfrm>
          <a:off x="1600200" y="773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9</xdr:col>
      <xdr:colOff>0</xdr:colOff>
      <xdr:row>46</xdr:row>
      <xdr:rowOff>0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811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5.レスポンス情報取得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</xdr:colOff>
      <xdr:row>50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61" idx="2"/>
          <a:endCxn id="19" idx="0"/>
        </xdr:cNvCxnSpPr>
      </xdr:nvCxnSpPr>
      <xdr:spPr>
        <a:xfrm flipH="1">
          <a:off x="1600200" y="8877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0</xdr:rowOff>
    </xdr:from>
    <xdr:to>
      <xdr:col>62</xdr:col>
      <xdr:colOff>0</xdr:colOff>
      <xdr:row>51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7543800"/>
          <a:ext cx="7200900" cy="2286000"/>
        </a:xfrm>
        <a:prstGeom prst="borderCallout1">
          <a:avLst>
            <a:gd name="adj1" fmla="val 51887"/>
            <a:gd name="adj2" fmla="val 470"/>
            <a:gd name="adj3" fmla="val 41784"/>
            <a:gd name="adj4" fmla="val -969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・access_token, refresh_tokenを生成する。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・以下を満たすPermissionsテーブルから1～99の機能のpermissionsを取得する。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ON Permissions.Code = PermissionRole.PermissionCode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PermissionRole.RoleCode = user.RoleCode AND PermisisonRole.status 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・以下を満たすRolesテーブルからRoleNameを取得する。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Roles.Code = user.RoleCode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・レスポンス情報を取得し、permissionsがない場合は空のpermission一覧を返す -&gt;ログを記録し、レスポンスを返す。</a:t>
          </a:r>
        </a:p>
      </xdr:txBody>
    </xdr: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10020300"/>
          <a:ext cx="7200900" cy="381000"/>
        </a:xfrm>
        <a:prstGeom prst="borderCallout1">
          <a:avLst>
            <a:gd name="adj1" fmla="val 46004"/>
            <a:gd name="adj2" fmla="val 117"/>
            <a:gd name="adj3" fmla="val -75372"/>
            <a:gd name="adj4" fmla="val -10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96" t="s">
        <v>59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60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8" t="s">
        <v>61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17" t="s">
        <v>67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81" t="str">
        <f>改訂履歴!$H$11</f>
        <v>LoiLV</v>
      </c>
      <c r="AQ2" s="82"/>
      <c r="AR2" s="82"/>
      <c r="AS2" s="83"/>
      <c r="AT2" s="111">
        <f>改訂履歴!$B$11</f>
        <v>45467</v>
      </c>
      <c r="AU2" s="112"/>
      <c r="AV2" s="112"/>
      <c r="AW2" s="112"/>
      <c r="AX2" s="113"/>
      <c r="AY2" s="81" t="str">
        <f>LOOKUP(2,1/(改訂履歴!H11:H30000&lt;&gt;""),改訂履歴!H11:H30000)</f>
        <v>AnhDD</v>
      </c>
      <c r="AZ2" s="82"/>
      <c r="BA2" s="82"/>
      <c r="BB2" s="83"/>
      <c r="BC2" s="111">
        <f>LOOKUP(2,1/(改訂履歴!B11:B30000&lt;&gt;""),改訂履歴!B11:B30000)</f>
        <v>45483</v>
      </c>
      <c r="BD2" s="112"/>
      <c r="BE2" s="112"/>
      <c r="BF2" s="112"/>
      <c r="BG2" s="113"/>
      <c r="BH2" s="105">
        <f>LOOKUP(2,1/(改訂履歴!O11:O30000&lt;&gt;""),改訂履歴!O11:O30000)</f>
        <v>0.11</v>
      </c>
      <c r="BI2" s="106"/>
      <c r="BJ2" s="106"/>
      <c r="BK2" s="10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96" t="s">
        <v>68</v>
      </c>
      <c r="B4" s="97"/>
      <c r="C4" s="97"/>
      <c r="D4" s="97"/>
      <c r="E4" s="97"/>
      <c r="F4" s="97"/>
      <c r="G4" s="98"/>
      <c r="H4" s="101" t="s">
        <v>28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69</v>
      </c>
      <c r="V4" s="97"/>
      <c r="W4" s="97"/>
      <c r="X4" s="97"/>
      <c r="Y4" s="98"/>
      <c r="Z4" s="104" t="s">
        <v>70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表紙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6" spans="1:63" ht="15" customHeight="1" x14ac:dyDescent="0.25">
      <c r="A6" s="54"/>
      <c r="BK6" s="55"/>
    </row>
    <row r="7" spans="1:63" ht="15" customHeight="1" x14ac:dyDescent="0.25">
      <c r="A7" s="54"/>
      <c r="BK7" s="55"/>
    </row>
    <row r="8" spans="1:63" ht="15" customHeight="1" x14ac:dyDescent="0.25">
      <c r="A8" s="54"/>
      <c r="BK8" s="55"/>
    </row>
    <row r="9" spans="1:63" ht="15" customHeight="1" x14ac:dyDescent="0.25">
      <c r="A9" s="54"/>
      <c r="BK9" s="55"/>
    </row>
    <row r="10" spans="1:63" ht="15" customHeight="1" x14ac:dyDescent="0.25">
      <c r="A10" s="54"/>
      <c r="BK10" s="55"/>
    </row>
    <row r="11" spans="1:63" ht="15" customHeight="1" x14ac:dyDescent="0.25">
      <c r="A11" s="54"/>
      <c r="BK11" s="55"/>
    </row>
    <row r="12" spans="1:63" ht="15" customHeight="1" x14ac:dyDescent="0.25">
      <c r="A12" s="54"/>
      <c r="BK12" s="55"/>
    </row>
    <row r="13" spans="1:63" ht="15" customHeight="1" x14ac:dyDescent="0.25">
      <c r="A13" s="54"/>
      <c r="BK13" s="55"/>
    </row>
    <row r="14" spans="1:63" ht="15" customHeight="1" thickBot="1" x14ac:dyDescent="0.3">
      <c r="A14" s="54"/>
      <c r="BK14" s="55"/>
    </row>
    <row r="15" spans="1:63" ht="15" customHeight="1" thickTop="1" x14ac:dyDescent="0.25">
      <c r="A15" s="54"/>
      <c r="K15" s="56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8"/>
      <c r="BK15" s="55"/>
    </row>
    <row r="16" spans="1:63" ht="15" customHeight="1" x14ac:dyDescent="0.25">
      <c r="A16" s="54"/>
      <c r="K16" s="59"/>
      <c r="L16" s="99" t="s">
        <v>71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60"/>
      <c r="BK16" s="55"/>
    </row>
    <row r="17" spans="1:63" ht="15" customHeight="1" x14ac:dyDescent="0.25">
      <c r="A17" s="54"/>
      <c r="K17" s="5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60"/>
      <c r="BK17" s="55"/>
    </row>
    <row r="18" spans="1:63" ht="15" customHeight="1" x14ac:dyDescent="0.25">
      <c r="A18" s="54"/>
      <c r="K18" s="5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60"/>
      <c r="BK18" s="55"/>
    </row>
    <row r="19" spans="1:63" ht="15" customHeight="1" x14ac:dyDescent="0.25">
      <c r="A19" s="54"/>
      <c r="K19" s="5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60"/>
      <c r="BK19" s="55"/>
    </row>
    <row r="20" spans="1:63" ht="15" customHeight="1" x14ac:dyDescent="0.25">
      <c r="A20" s="54"/>
      <c r="K20" s="5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60"/>
      <c r="BK20" s="55"/>
    </row>
    <row r="21" spans="1:63" ht="15" customHeight="1" x14ac:dyDescent="0.25">
      <c r="A21" s="54"/>
      <c r="K21" s="5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60"/>
      <c r="BK21" s="55"/>
    </row>
    <row r="22" spans="1:63" ht="15" customHeight="1" thickBot="1" x14ac:dyDescent="0.3">
      <c r="A22" s="54"/>
      <c r="K22" s="59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0"/>
      <c r="BK22" s="55"/>
    </row>
    <row r="23" spans="1:63" ht="15" customHeight="1" x14ac:dyDescent="0.25">
      <c r="A23" s="54"/>
      <c r="K23" s="59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0"/>
      <c r="BK23" s="55"/>
    </row>
    <row r="24" spans="1:63" ht="15" customHeight="1" x14ac:dyDescent="0.25">
      <c r="A24" s="54"/>
      <c r="K24" s="59"/>
      <c r="L24" s="100" t="str">
        <f>K2&amp;"/"&amp;H4&amp;"/"&amp;Z4</f>
        <v>POSサーバー/APX001/API設計書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60"/>
      <c r="BK24" s="55"/>
    </row>
    <row r="25" spans="1:63" ht="15" customHeight="1" x14ac:dyDescent="0.25">
      <c r="A25" s="54"/>
      <c r="K25" s="5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60"/>
      <c r="BK25" s="55"/>
    </row>
    <row r="26" spans="1:63" ht="15" customHeight="1" x14ac:dyDescent="0.25">
      <c r="A26" s="54"/>
      <c r="K26" s="5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60"/>
      <c r="BK26" s="55"/>
    </row>
    <row r="27" spans="1:63" ht="15" customHeight="1" x14ac:dyDescent="0.25">
      <c r="A27" s="54"/>
      <c r="K27" s="5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60"/>
      <c r="BK27" s="55"/>
    </row>
    <row r="28" spans="1:63" ht="15" customHeight="1" x14ac:dyDescent="0.25">
      <c r="A28" s="54"/>
      <c r="K28" s="5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60"/>
      <c r="BK28" s="55"/>
    </row>
    <row r="29" spans="1:63" ht="15" customHeight="1" x14ac:dyDescent="0.25">
      <c r="A29" s="54"/>
      <c r="K29" s="5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60"/>
      <c r="BK29" s="55"/>
    </row>
    <row r="30" spans="1:63" ht="15" customHeight="1" x14ac:dyDescent="0.25">
      <c r="A30" s="54"/>
      <c r="K30" s="5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60"/>
      <c r="BK30" s="55"/>
    </row>
    <row r="31" spans="1:63" ht="15" customHeight="1" x14ac:dyDescent="0.25">
      <c r="A31" s="54"/>
      <c r="K31" s="5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60"/>
      <c r="BK31" s="55"/>
    </row>
    <row r="32" spans="1:63" ht="15" customHeight="1" x14ac:dyDescent="0.25">
      <c r="A32" s="54"/>
      <c r="K32" s="5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60"/>
      <c r="BK32" s="55"/>
    </row>
    <row r="33" spans="1:63" ht="15" customHeight="1" x14ac:dyDescent="0.25">
      <c r="A33" s="54"/>
      <c r="K33" s="5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60"/>
      <c r="BK33" s="55"/>
    </row>
    <row r="34" spans="1:63" ht="15" customHeight="1" x14ac:dyDescent="0.25">
      <c r="A34" s="54"/>
      <c r="K34" s="5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60"/>
      <c r="BK34" s="55"/>
    </row>
    <row r="35" spans="1:63" ht="15" customHeight="1" x14ac:dyDescent="0.25">
      <c r="A35" s="54"/>
      <c r="K35" s="5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60"/>
      <c r="BK35" s="55"/>
    </row>
    <row r="36" spans="1:63" ht="15" customHeight="1" x14ac:dyDescent="0.25">
      <c r="A36" s="54"/>
      <c r="K36" s="5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60"/>
      <c r="BK36" s="55"/>
    </row>
    <row r="37" spans="1:63" ht="15" customHeight="1" thickBot="1" x14ac:dyDescent="0.3">
      <c r="A37" s="54"/>
      <c r="K37" s="6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K37" s="55"/>
    </row>
    <row r="38" spans="1:63" ht="15" customHeight="1" thickTop="1" x14ac:dyDescent="0.25">
      <c r="A38" s="54"/>
      <c r="BK38" s="55"/>
    </row>
    <row r="39" spans="1:63" ht="15" customHeight="1" x14ac:dyDescent="0.25">
      <c r="A39" s="54"/>
      <c r="BK39" s="55"/>
    </row>
    <row r="40" spans="1:63" ht="15" customHeight="1" x14ac:dyDescent="0.25">
      <c r="A40" s="54"/>
      <c r="BK40" s="55"/>
    </row>
    <row r="41" spans="1:63" ht="15" customHeight="1" x14ac:dyDescent="0.25">
      <c r="A41" s="54"/>
      <c r="BK41" s="55"/>
    </row>
    <row r="42" spans="1:63" ht="15" customHeight="1" x14ac:dyDescent="0.25">
      <c r="A42" s="54"/>
      <c r="BK42" s="55"/>
    </row>
    <row r="43" spans="1:63" ht="15" customHeight="1" x14ac:dyDescent="0.25">
      <c r="A43" s="54"/>
      <c r="BK43" s="55"/>
    </row>
    <row r="44" spans="1:63" ht="15" customHeight="1" x14ac:dyDescent="0.25">
      <c r="A44" s="54"/>
      <c r="Q44" s="90" t="s">
        <v>72</v>
      </c>
      <c r="R44" s="91"/>
      <c r="S44" s="91"/>
      <c r="T44" s="91"/>
      <c r="U44" s="91"/>
      <c r="V44" s="91"/>
      <c r="W44" s="91"/>
      <c r="X44" s="91"/>
      <c r="Y44" s="91"/>
      <c r="Z44" s="92"/>
      <c r="AA44" s="90" t="s">
        <v>73</v>
      </c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  <c r="AQ44" s="90" t="s">
        <v>66</v>
      </c>
      <c r="AR44" s="91"/>
      <c r="AS44" s="91"/>
      <c r="AT44" s="91"/>
      <c r="AU44" s="92"/>
      <c r="BK44" s="55"/>
    </row>
    <row r="45" spans="1:63" ht="15" customHeight="1" x14ac:dyDescent="0.25">
      <c r="A45" s="54"/>
      <c r="Q45" s="93"/>
      <c r="R45" s="94"/>
      <c r="S45" s="94"/>
      <c r="T45" s="94"/>
      <c r="U45" s="94"/>
      <c r="V45" s="94"/>
      <c r="W45" s="94"/>
      <c r="X45" s="94"/>
      <c r="Y45" s="94"/>
      <c r="Z45" s="95"/>
      <c r="AA45" s="93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5"/>
      <c r="AQ45" s="93"/>
      <c r="AR45" s="94"/>
      <c r="AS45" s="94"/>
      <c r="AT45" s="94"/>
      <c r="AU45" s="95"/>
      <c r="BK45" s="55"/>
    </row>
    <row r="46" spans="1:63" ht="15" customHeight="1" x14ac:dyDescent="0.25">
      <c r="A46" s="54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55"/>
    </row>
    <row r="47" spans="1:63" ht="15" customHeight="1" x14ac:dyDescent="0.25">
      <c r="A47" s="54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55"/>
    </row>
    <row r="48" spans="1:63" ht="15" customHeight="1" x14ac:dyDescent="0.25">
      <c r="A48" s="54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55"/>
    </row>
    <row r="49" spans="1:63" ht="15" customHeight="1" x14ac:dyDescent="0.25">
      <c r="A49" s="54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55"/>
    </row>
    <row r="50" spans="1:63" ht="15" customHeight="1" x14ac:dyDescent="0.25">
      <c r="A50" s="54"/>
      <c r="BK50" s="55"/>
    </row>
    <row r="51" spans="1:63" ht="15" customHeight="1" x14ac:dyDescent="0.25">
      <c r="A51" s="54"/>
      <c r="BK51" s="55"/>
    </row>
    <row r="52" spans="1:63" ht="15" customHeight="1" x14ac:dyDescent="0.25">
      <c r="A52" s="54"/>
      <c r="BK52" s="55"/>
    </row>
    <row r="53" spans="1:63" ht="15" customHeight="1" x14ac:dyDescent="0.25">
      <c r="A53" s="54"/>
      <c r="BK53" s="55"/>
    </row>
    <row r="54" spans="1:63" ht="15" customHeight="1" x14ac:dyDescent="0.25">
      <c r="A54" s="54"/>
      <c r="BK54" s="55"/>
    </row>
    <row r="55" spans="1:63" ht="15" customHeight="1" x14ac:dyDescent="0.25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96" t="s">
        <v>59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60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53" t="str">
        <f>IF(表紙!W1="","",表紙!W1)</f>
        <v>詳細設計書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96" t="s">
        <v>74</v>
      </c>
      <c r="B4" s="97"/>
      <c r="C4" s="97"/>
      <c r="D4" s="97"/>
      <c r="E4" s="97"/>
      <c r="F4" s="97"/>
      <c r="G4" s="98"/>
      <c r="H4" s="101" t="str">
        <f>IF(表紙!H4="","",表紙!H4)</f>
        <v>APX001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69</v>
      </c>
      <c r="V4" s="97"/>
      <c r="W4" s="97"/>
      <c r="X4" s="97"/>
      <c r="Y4" s="98"/>
      <c r="Z4" s="101" t="str">
        <f>IF(表紙!Z4="","",表紙!Z4)</f>
        <v>API設計書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改訂履歴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6" spans="1:63" ht="15" customHeight="1" x14ac:dyDescent="0.25">
      <c r="A6" s="54"/>
      <c r="BK6" s="55"/>
    </row>
    <row r="7" spans="1:63" ht="15" customHeight="1" x14ac:dyDescent="0.25">
      <c r="A7" s="54"/>
      <c r="BK7" s="55"/>
    </row>
    <row r="8" spans="1:63" ht="15" customHeight="1" x14ac:dyDescent="0.25">
      <c r="A8" s="54"/>
      <c r="B8" s="50" t="s">
        <v>0</v>
      </c>
      <c r="BK8" s="55"/>
    </row>
    <row r="9" spans="1:63" ht="15" customHeight="1" x14ac:dyDescent="0.25">
      <c r="A9" s="54"/>
      <c r="BK9" s="55"/>
    </row>
    <row r="10" spans="1:63" ht="15" customHeight="1" x14ac:dyDescent="0.25">
      <c r="A10" s="54"/>
      <c r="B10" s="139" t="s">
        <v>65</v>
      </c>
      <c r="C10" s="139"/>
      <c r="D10" s="139"/>
      <c r="E10" s="139"/>
      <c r="F10" s="139"/>
      <c r="G10" s="139"/>
      <c r="H10" s="139" t="s">
        <v>64</v>
      </c>
      <c r="I10" s="139"/>
      <c r="J10" s="139"/>
      <c r="K10" s="139"/>
      <c r="L10" s="139"/>
      <c r="M10" s="139"/>
      <c r="N10" s="139"/>
      <c r="O10" s="139" t="s">
        <v>66</v>
      </c>
      <c r="P10" s="139"/>
      <c r="Q10" s="139"/>
      <c r="R10" s="139"/>
      <c r="S10" s="139" t="s">
        <v>75</v>
      </c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 t="s">
        <v>72</v>
      </c>
      <c r="AY10" s="139"/>
      <c r="AZ10" s="139"/>
      <c r="BA10" s="139"/>
      <c r="BB10" s="139"/>
      <c r="BC10" s="139"/>
      <c r="BD10" s="139" t="s">
        <v>73</v>
      </c>
      <c r="BE10" s="139"/>
      <c r="BF10" s="139"/>
      <c r="BG10" s="139"/>
      <c r="BH10" s="139"/>
      <c r="BI10" s="139"/>
      <c r="BJ10" s="139"/>
      <c r="BK10" s="55"/>
    </row>
    <row r="11" spans="1:63" ht="15" customHeight="1" x14ac:dyDescent="0.25">
      <c r="A11" s="54"/>
      <c r="B11" s="111">
        <v>45467</v>
      </c>
      <c r="C11" s="82"/>
      <c r="D11" s="82"/>
      <c r="E11" s="82"/>
      <c r="F11" s="82"/>
      <c r="G11" s="83"/>
      <c r="H11" s="117" t="s">
        <v>76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7" t="s">
        <v>2</v>
      </c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9"/>
      <c r="AX11" s="130"/>
      <c r="AY11" s="130"/>
      <c r="AZ11" s="130"/>
      <c r="BA11" s="130"/>
      <c r="BB11" s="130"/>
      <c r="BC11" s="131"/>
      <c r="BD11" s="134"/>
      <c r="BE11" s="130"/>
      <c r="BF11" s="130"/>
      <c r="BG11" s="130"/>
      <c r="BH11" s="130"/>
      <c r="BI11" s="130"/>
      <c r="BJ11" s="131"/>
      <c r="BK11" s="55"/>
    </row>
    <row r="12" spans="1:63" ht="15" customHeight="1" x14ac:dyDescent="0.25">
      <c r="A12" s="54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6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8"/>
      <c r="AX12" s="132"/>
      <c r="AY12" s="132"/>
      <c r="AZ12" s="132"/>
      <c r="BA12" s="132"/>
      <c r="BB12" s="132"/>
      <c r="BC12" s="133"/>
      <c r="BD12" s="135"/>
      <c r="BE12" s="132"/>
      <c r="BF12" s="132"/>
      <c r="BG12" s="132"/>
      <c r="BH12" s="132"/>
      <c r="BI12" s="132"/>
      <c r="BJ12" s="133"/>
      <c r="BK12" s="55"/>
    </row>
    <row r="13" spans="1:63" ht="15" customHeight="1" x14ac:dyDescent="0.25">
      <c r="A13" s="54"/>
      <c r="B13" s="143">
        <v>45483</v>
      </c>
      <c r="C13" s="144"/>
      <c r="D13" s="144"/>
      <c r="E13" s="144"/>
      <c r="F13" s="144"/>
      <c r="G13" s="145"/>
      <c r="H13" s="149" t="s">
        <v>99</v>
      </c>
      <c r="I13" s="144"/>
      <c r="J13" s="144"/>
      <c r="K13" s="144"/>
      <c r="L13" s="144"/>
      <c r="M13" s="144"/>
      <c r="N13" s="145"/>
      <c r="O13" s="149">
        <v>0.11</v>
      </c>
      <c r="P13" s="144"/>
      <c r="Q13" s="144"/>
      <c r="R13" s="144"/>
      <c r="S13" s="150" t="s">
        <v>100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30"/>
      <c r="AY13" s="130"/>
      <c r="AZ13" s="130"/>
      <c r="BA13" s="130"/>
      <c r="BB13" s="130"/>
      <c r="BC13" s="131"/>
      <c r="BD13" s="134"/>
      <c r="BE13" s="130"/>
      <c r="BF13" s="130"/>
      <c r="BG13" s="130"/>
      <c r="BH13" s="130"/>
      <c r="BI13" s="130"/>
      <c r="BJ13" s="131"/>
      <c r="BK13" s="55"/>
    </row>
    <row r="14" spans="1:63" ht="15" customHeight="1" x14ac:dyDescent="0.25">
      <c r="A14" s="54"/>
      <c r="B14" s="146"/>
      <c r="C14" s="147"/>
      <c r="D14" s="147"/>
      <c r="E14" s="147"/>
      <c r="F14" s="147"/>
      <c r="G14" s="148"/>
      <c r="H14" s="146"/>
      <c r="I14" s="147"/>
      <c r="J14" s="147"/>
      <c r="K14" s="147"/>
      <c r="L14" s="147"/>
      <c r="M14" s="147"/>
      <c r="N14" s="148"/>
      <c r="O14" s="146"/>
      <c r="P14" s="147"/>
      <c r="Q14" s="147"/>
      <c r="R14" s="147"/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2"/>
      <c r="AX14" s="132"/>
      <c r="AY14" s="132"/>
      <c r="AZ14" s="132"/>
      <c r="BA14" s="132"/>
      <c r="BB14" s="132"/>
      <c r="BC14" s="133"/>
      <c r="BD14" s="135"/>
      <c r="BE14" s="132"/>
      <c r="BF14" s="132"/>
      <c r="BG14" s="132"/>
      <c r="BH14" s="132"/>
      <c r="BI14" s="132"/>
      <c r="BJ14" s="133"/>
      <c r="BK14" s="55"/>
    </row>
    <row r="15" spans="1:63" ht="15" customHeight="1" x14ac:dyDescent="0.25">
      <c r="A15" s="54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7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9"/>
      <c r="AX15" s="130"/>
      <c r="AY15" s="130"/>
      <c r="AZ15" s="130"/>
      <c r="BA15" s="130"/>
      <c r="BB15" s="130"/>
      <c r="BC15" s="131"/>
      <c r="BD15" s="134"/>
      <c r="BE15" s="130"/>
      <c r="BF15" s="130"/>
      <c r="BG15" s="130"/>
      <c r="BH15" s="130"/>
      <c r="BI15" s="130"/>
      <c r="BJ15" s="131"/>
      <c r="BK15" s="55"/>
    </row>
    <row r="16" spans="1:63" ht="15" customHeight="1" x14ac:dyDescent="0.25">
      <c r="A16" s="54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6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8"/>
      <c r="AX16" s="132"/>
      <c r="AY16" s="132"/>
      <c r="AZ16" s="132"/>
      <c r="BA16" s="132"/>
      <c r="BB16" s="132"/>
      <c r="BC16" s="133"/>
      <c r="BD16" s="135"/>
      <c r="BE16" s="132"/>
      <c r="BF16" s="132"/>
      <c r="BG16" s="132"/>
      <c r="BH16" s="132"/>
      <c r="BI16" s="132"/>
      <c r="BJ16" s="133"/>
      <c r="BK16" s="55"/>
    </row>
    <row r="17" spans="1:63" ht="15" customHeight="1" x14ac:dyDescent="0.25">
      <c r="A17" s="54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7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9"/>
      <c r="AX17" s="130"/>
      <c r="AY17" s="130"/>
      <c r="AZ17" s="130"/>
      <c r="BA17" s="130"/>
      <c r="BB17" s="130"/>
      <c r="BC17" s="131"/>
      <c r="BD17" s="134"/>
      <c r="BE17" s="130"/>
      <c r="BF17" s="130"/>
      <c r="BG17" s="130"/>
      <c r="BH17" s="130"/>
      <c r="BI17" s="130"/>
      <c r="BJ17" s="131"/>
      <c r="BK17" s="55"/>
    </row>
    <row r="18" spans="1:63" ht="15" customHeight="1" x14ac:dyDescent="0.25">
      <c r="A18" s="54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6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8"/>
      <c r="AX18" s="132"/>
      <c r="AY18" s="132"/>
      <c r="AZ18" s="132"/>
      <c r="BA18" s="132"/>
      <c r="BB18" s="132"/>
      <c r="BC18" s="133"/>
      <c r="BD18" s="135"/>
      <c r="BE18" s="132"/>
      <c r="BF18" s="132"/>
      <c r="BG18" s="132"/>
      <c r="BH18" s="132"/>
      <c r="BI18" s="132"/>
      <c r="BJ18" s="133"/>
      <c r="BK18" s="55"/>
    </row>
    <row r="19" spans="1:63" ht="15" customHeight="1" x14ac:dyDescent="0.25">
      <c r="A19" s="54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7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9"/>
      <c r="AX19" s="130"/>
      <c r="AY19" s="130"/>
      <c r="AZ19" s="130"/>
      <c r="BA19" s="130"/>
      <c r="BB19" s="130"/>
      <c r="BC19" s="131"/>
      <c r="BD19" s="134"/>
      <c r="BE19" s="130"/>
      <c r="BF19" s="130"/>
      <c r="BG19" s="130"/>
      <c r="BH19" s="130"/>
      <c r="BI19" s="130"/>
      <c r="BJ19" s="131"/>
      <c r="BK19" s="55"/>
    </row>
    <row r="20" spans="1:63" ht="15" customHeight="1" x14ac:dyDescent="0.25">
      <c r="A20" s="54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6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8"/>
      <c r="AX20" s="132"/>
      <c r="AY20" s="132"/>
      <c r="AZ20" s="132"/>
      <c r="BA20" s="132"/>
      <c r="BB20" s="132"/>
      <c r="BC20" s="133"/>
      <c r="BD20" s="135"/>
      <c r="BE20" s="132"/>
      <c r="BF20" s="132"/>
      <c r="BG20" s="132"/>
      <c r="BH20" s="132"/>
      <c r="BI20" s="132"/>
      <c r="BJ20" s="133"/>
      <c r="BK20" s="55"/>
    </row>
    <row r="21" spans="1:63" ht="15" customHeight="1" x14ac:dyDescent="0.25">
      <c r="A21" s="54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7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9"/>
      <c r="AX21" s="130"/>
      <c r="AY21" s="130"/>
      <c r="AZ21" s="130"/>
      <c r="BA21" s="130"/>
      <c r="BB21" s="130"/>
      <c r="BC21" s="131"/>
      <c r="BD21" s="134"/>
      <c r="BE21" s="130"/>
      <c r="BF21" s="130"/>
      <c r="BG21" s="130"/>
      <c r="BH21" s="130"/>
      <c r="BI21" s="130"/>
      <c r="BJ21" s="131"/>
      <c r="BK21" s="55"/>
    </row>
    <row r="22" spans="1:63" ht="15" customHeight="1" x14ac:dyDescent="0.25">
      <c r="A22" s="54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6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8"/>
      <c r="AX22" s="132"/>
      <c r="AY22" s="132"/>
      <c r="AZ22" s="132"/>
      <c r="BA22" s="132"/>
      <c r="BB22" s="132"/>
      <c r="BC22" s="133"/>
      <c r="BD22" s="135"/>
      <c r="BE22" s="132"/>
      <c r="BF22" s="132"/>
      <c r="BG22" s="132"/>
      <c r="BH22" s="132"/>
      <c r="BI22" s="132"/>
      <c r="BJ22" s="133"/>
      <c r="BK22" s="55"/>
    </row>
    <row r="23" spans="1:63" ht="15" customHeight="1" x14ac:dyDescent="0.25">
      <c r="A23" s="54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7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9"/>
      <c r="AX23" s="130"/>
      <c r="AY23" s="130"/>
      <c r="AZ23" s="130"/>
      <c r="BA23" s="130"/>
      <c r="BB23" s="130"/>
      <c r="BC23" s="131"/>
      <c r="BD23" s="134"/>
      <c r="BE23" s="130"/>
      <c r="BF23" s="130"/>
      <c r="BG23" s="130"/>
      <c r="BH23" s="130"/>
      <c r="BI23" s="130"/>
      <c r="BJ23" s="131"/>
      <c r="BK23" s="55"/>
    </row>
    <row r="24" spans="1:63" ht="15" customHeight="1" x14ac:dyDescent="0.25">
      <c r="A24" s="54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6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8"/>
      <c r="AX24" s="132"/>
      <c r="AY24" s="132"/>
      <c r="AZ24" s="132"/>
      <c r="BA24" s="132"/>
      <c r="BB24" s="132"/>
      <c r="BC24" s="133"/>
      <c r="BD24" s="135"/>
      <c r="BE24" s="132"/>
      <c r="BF24" s="132"/>
      <c r="BG24" s="132"/>
      <c r="BH24" s="132"/>
      <c r="BI24" s="132"/>
      <c r="BJ24" s="133"/>
      <c r="BK24" s="55"/>
    </row>
    <row r="25" spans="1:63" ht="15" customHeight="1" x14ac:dyDescent="0.25">
      <c r="A25" s="54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7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9"/>
      <c r="AX25" s="130"/>
      <c r="AY25" s="130"/>
      <c r="AZ25" s="130"/>
      <c r="BA25" s="130"/>
      <c r="BB25" s="130"/>
      <c r="BC25" s="131"/>
      <c r="BD25" s="134"/>
      <c r="BE25" s="130"/>
      <c r="BF25" s="130"/>
      <c r="BG25" s="130"/>
      <c r="BH25" s="130"/>
      <c r="BI25" s="130"/>
      <c r="BJ25" s="131"/>
      <c r="BK25" s="55"/>
    </row>
    <row r="26" spans="1:63" ht="15" customHeight="1" x14ac:dyDescent="0.25">
      <c r="A26" s="54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6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8"/>
      <c r="AX26" s="132"/>
      <c r="AY26" s="132"/>
      <c r="AZ26" s="132"/>
      <c r="BA26" s="132"/>
      <c r="BB26" s="132"/>
      <c r="BC26" s="133"/>
      <c r="BD26" s="135"/>
      <c r="BE26" s="132"/>
      <c r="BF26" s="132"/>
      <c r="BG26" s="132"/>
      <c r="BH26" s="132"/>
      <c r="BI26" s="132"/>
      <c r="BJ26" s="133"/>
      <c r="BK26" s="55"/>
    </row>
    <row r="27" spans="1:63" ht="15" customHeight="1" x14ac:dyDescent="0.25">
      <c r="A27" s="54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7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9"/>
      <c r="AX27" s="130"/>
      <c r="AY27" s="130"/>
      <c r="AZ27" s="130"/>
      <c r="BA27" s="130"/>
      <c r="BB27" s="130"/>
      <c r="BC27" s="131"/>
      <c r="BD27" s="134"/>
      <c r="BE27" s="130"/>
      <c r="BF27" s="130"/>
      <c r="BG27" s="130"/>
      <c r="BH27" s="130"/>
      <c r="BI27" s="130"/>
      <c r="BJ27" s="131"/>
      <c r="BK27" s="55"/>
    </row>
    <row r="28" spans="1:63" ht="15" customHeight="1" x14ac:dyDescent="0.25">
      <c r="A28" s="54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6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8"/>
      <c r="AX28" s="132"/>
      <c r="AY28" s="132"/>
      <c r="AZ28" s="132"/>
      <c r="BA28" s="132"/>
      <c r="BB28" s="132"/>
      <c r="BC28" s="133"/>
      <c r="BD28" s="135"/>
      <c r="BE28" s="132"/>
      <c r="BF28" s="132"/>
      <c r="BG28" s="132"/>
      <c r="BH28" s="132"/>
      <c r="BI28" s="132"/>
      <c r="BJ28" s="133"/>
      <c r="BK28" s="55"/>
    </row>
    <row r="29" spans="1:63" ht="15" customHeight="1" x14ac:dyDescent="0.25">
      <c r="A29" s="54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7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9"/>
      <c r="AX29" s="130"/>
      <c r="AY29" s="130"/>
      <c r="AZ29" s="130"/>
      <c r="BA29" s="130"/>
      <c r="BB29" s="130"/>
      <c r="BC29" s="131"/>
      <c r="BD29" s="134"/>
      <c r="BE29" s="130"/>
      <c r="BF29" s="130"/>
      <c r="BG29" s="130"/>
      <c r="BH29" s="130"/>
      <c r="BI29" s="130"/>
      <c r="BJ29" s="131"/>
      <c r="BK29" s="55"/>
    </row>
    <row r="30" spans="1:63" ht="15" customHeight="1" x14ac:dyDescent="0.25">
      <c r="A30" s="54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6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8"/>
      <c r="AX30" s="132"/>
      <c r="AY30" s="132"/>
      <c r="AZ30" s="132"/>
      <c r="BA30" s="132"/>
      <c r="BB30" s="132"/>
      <c r="BC30" s="133"/>
      <c r="BD30" s="135"/>
      <c r="BE30" s="132"/>
      <c r="BF30" s="132"/>
      <c r="BG30" s="132"/>
      <c r="BH30" s="132"/>
      <c r="BI30" s="132"/>
      <c r="BJ30" s="133"/>
      <c r="BK30" s="55"/>
    </row>
    <row r="31" spans="1:63" ht="15" customHeight="1" x14ac:dyDescent="0.25">
      <c r="A31" s="54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7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9"/>
      <c r="AX31" s="130"/>
      <c r="AY31" s="130"/>
      <c r="AZ31" s="130"/>
      <c r="BA31" s="130"/>
      <c r="BB31" s="130"/>
      <c r="BC31" s="131"/>
      <c r="BD31" s="134"/>
      <c r="BE31" s="130"/>
      <c r="BF31" s="130"/>
      <c r="BG31" s="130"/>
      <c r="BH31" s="130"/>
      <c r="BI31" s="130"/>
      <c r="BJ31" s="131"/>
      <c r="BK31" s="55"/>
    </row>
    <row r="32" spans="1:63" ht="15" customHeight="1" x14ac:dyDescent="0.25">
      <c r="A32" s="54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6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8"/>
      <c r="AX32" s="132"/>
      <c r="AY32" s="132"/>
      <c r="AZ32" s="132"/>
      <c r="BA32" s="132"/>
      <c r="BB32" s="132"/>
      <c r="BC32" s="133"/>
      <c r="BD32" s="135"/>
      <c r="BE32" s="132"/>
      <c r="BF32" s="132"/>
      <c r="BG32" s="132"/>
      <c r="BH32" s="132"/>
      <c r="BI32" s="132"/>
      <c r="BJ32" s="133"/>
      <c r="BK32" s="55"/>
    </row>
    <row r="33" spans="1:63" ht="15" customHeight="1" x14ac:dyDescent="0.25">
      <c r="A33" s="54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7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9"/>
      <c r="AX33" s="130"/>
      <c r="AY33" s="130"/>
      <c r="AZ33" s="130"/>
      <c r="BA33" s="130"/>
      <c r="BB33" s="130"/>
      <c r="BC33" s="131"/>
      <c r="BD33" s="134"/>
      <c r="BE33" s="130"/>
      <c r="BF33" s="130"/>
      <c r="BG33" s="130"/>
      <c r="BH33" s="130"/>
      <c r="BI33" s="130"/>
      <c r="BJ33" s="131"/>
      <c r="BK33" s="55"/>
    </row>
    <row r="34" spans="1:63" ht="15" customHeight="1" x14ac:dyDescent="0.25">
      <c r="A34" s="54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6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8"/>
      <c r="AX34" s="132"/>
      <c r="AY34" s="132"/>
      <c r="AZ34" s="132"/>
      <c r="BA34" s="132"/>
      <c r="BB34" s="132"/>
      <c r="BC34" s="133"/>
      <c r="BD34" s="135"/>
      <c r="BE34" s="132"/>
      <c r="BF34" s="132"/>
      <c r="BG34" s="132"/>
      <c r="BH34" s="132"/>
      <c r="BI34" s="132"/>
      <c r="BJ34" s="133"/>
      <c r="BK34" s="55"/>
    </row>
    <row r="35" spans="1:63" ht="15" customHeight="1" x14ac:dyDescent="0.25">
      <c r="A35" s="54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7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9"/>
      <c r="AX35" s="130"/>
      <c r="AY35" s="130"/>
      <c r="AZ35" s="130"/>
      <c r="BA35" s="130"/>
      <c r="BB35" s="130"/>
      <c r="BC35" s="131"/>
      <c r="BD35" s="134"/>
      <c r="BE35" s="130"/>
      <c r="BF35" s="130"/>
      <c r="BG35" s="130"/>
      <c r="BH35" s="130"/>
      <c r="BI35" s="130"/>
      <c r="BJ35" s="131"/>
      <c r="BK35" s="55"/>
    </row>
    <row r="36" spans="1:63" ht="15" customHeight="1" x14ac:dyDescent="0.25">
      <c r="A36" s="54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6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8"/>
      <c r="AX36" s="132"/>
      <c r="AY36" s="132"/>
      <c r="AZ36" s="132"/>
      <c r="BA36" s="132"/>
      <c r="BB36" s="132"/>
      <c r="BC36" s="133"/>
      <c r="BD36" s="135"/>
      <c r="BE36" s="132"/>
      <c r="BF36" s="132"/>
      <c r="BG36" s="132"/>
      <c r="BH36" s="132"/>
      <c r="BI36" s="132"/>
      <c r="BJ36" s="133"/>
      <c r="BK36" s="55"/>
    </row>
    <row r="37" spans="1:63" ht="15" customHeight="1" x14ac:dyDescent="0.25">
      <c r="A37" s="54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7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9"/>
      <c r="AX37" s="130"/>
      <c r="AY37" s="130"/>
      <c r="AZ37" s="130"/>
      <c r="BA37" s="130"/>
      <c r="BB37" s="130"/>
      <c r="BC37" s="131"/>
      <c r="BD37" s="134"/>
      <c r="BE37" s="130"/>
      <c r="BF37" s="130"/>
      <c r="BG37" s="130"/>
      <c r="BH37" s="130"/>
      <c r="BI37" s="130"/>
      <c r="BJ37" s="131"/>
      <c r="BK37" s="55"/>
    </row>
    <row r="38" spans="1:63" ht="15" customHeight="1" x14ac:dyDescent="0.25">
      <c r="A38" s="54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6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8"/>
      <c r="AX38" s="132"/>
      <c r="AY38" s="132"/>
      <c r="AZ38" s="132"/>
      <c r="BA38" s="132"/>
      <c r="BB38" s="132"/>
      <c r="BC38" s="133"/>
      <c r="BD38" s="135"/>
      <c r="BE38" s="132"/>
      <c r="BF38" s="132"/>
      <c r="BG38" s="132"/>
      <c r="BH38" s="132"/>
      <c r="BI38" s="132"/>
      <c r="BJ38" s="133"/>
      <c r="BK38" s="55"/>
    </row>
    <row r="39" spans="1:63" ht="15" customHeight="1" x14ac:dyDescent="0.25">
      <c r="A39" s="54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7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9"/>
      <c r="AX39" s="130"/>
      <c r="AY39" s="130"/>
      <c r="AZ39" s="130"/>
      <c r="BA39" s="130"/>
      <c r="BB39" s="130"/>
      <c r="BC39" s="131"/>
      <c r="BD39" s="134"/>
      <c r="BE39" s="130"/>
      <c r="BF39" s="130"/>
      <c r="BG39" s="130"/>
      <c r="BH39" s="130"/>
      <c r="BI39" s="130"/>
      <c r="BJ39" s="131"/>
      <c r="BK39" s="55"/>
    </row>
    <row r="40" spans="1:63" ht="15" customHeight="1" x14ac:dyDescent="0.25">
      <c r="A40" s="54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6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8"/>
      <c r="AX40" s="132"/>
      <c r="AY40" s="132"/>
      <c r="AZ40" s="132"/>
      <c r="BA40" s="132"/>
      <c r="BB40" s="132"/>
      <c r="BC40" s="133"/>
      <c r="BD40" s="135"/>
      <c r="BE40" s="132"/>
      <c r="BF40" s="132"/>
      <c r="BG40" s="132"/>
      <c r="BH40" s="132"/>
      <c r="BI40" s="132"/>
      <c r="BJ40" s="133"/>
      <c r="BK40" s="55"/>
    </row>
    <row r="41" spans="1:63" ht="15" customHeight="1" x14ac:dyDescent="0.25">
      <c r="A41" s="54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7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9"/>
      <c r="AX41" s="130"/>
      <c r="AY41" s="130"/>
      <c r="AZ41" s="130"/>
      <c r="BA41" s="130"/>
      <c r="BB41" s="130"/>
      <c r="BC41" s="131"/>
      <c r="BD41" s="134"/>
      <c r="BE41" s="130"/>
      <c r="BF41" s="130"/>
      <c r="BG41" s="130"/>
      <c r="BH41" s="130"/>
      <c r="BI41" s="130"/>
      <c r="BJ41" s="131"/>
      <c r="BK41" s="55"/>
    </row>
    <row r="42" spans="1:63" ht="15" customHeight="1" x14ac:dyDescent="0.25">
      <c r="A42" s="54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6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8"/>
      <c r="AX42" s="132"/>
      <c r="AY42" s="132"/>
      <c r="AZ42" s="132"/>
      <c r="BA42" s="132"/>
      <c r="BB42" s="132"/>
      <c r="BC42" s="133"/>
      <c r="BD42" s="135"/>
      <c r="BE42" s="132"/>
      <c r="BF42" s="132"/>
      <c r="BG42" s="132"/>
      <c r="BH42" s="132"/>
      <c r="BI42" s="132"/>
      <c r="BJ42" s="133"/>
      <c r="BK42" s="55"/>
    </row>
    <row r="43" spans="1:63" ht="15" customHeight="1" x14ac:dyDescent="0.25">
      <c r="A43" s="54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7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9"/>
      <c r="AX43" s="130"/>
      <c r="AY43" s="130"/>
      <c r="AZ43" s="130"/>
      <c r="BA43" s="130"/>
      <c r="BB43" s="130"/>
      <c r="BC43" s="131"/>
      <c r="BD43" s="134"/>
      <c r="BE43" s="130"/>
      <c r="BF43" s="130"/>
      <c r="BG43" s="130"/>
      <c r="BH43" s="130"/>
      <c r="BI43" s="130"/>
      <c r="BJ43" s="131"/>
      <c r="BK43" s="55"/>
    </row>
    <row r="44" spans="1:63" ht="15" customHeight="1" x14ac:dyDescent="0.25">
      <c r="A44" s="54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6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8"/>
      <c r="AX44" s="132"/>
      <c r="AY44" s="132"/>
      <c r="AZ44" s="132"/>
      <c r="BA44" s="132"/>
      <c r="BB44" s="132"/>
      <c r="BC44" s="133"/>
      <c r="BD44" s="135"/>
      <c r="BE44" s="132"/>
      <c r="BF44" s="132"/>
      <c r="BG44" s="132"/>
      <c r="BH44" s="132"/>
      <c r="BI44" s="132"/>
      <c r="BJ44" s="133"/>
      <c r="BK44" s="55"/>
    </row>
    <row r="45" spans="1:63" ht="15" customHeight="1" x14ac:dyDescent="0.25">
      <c r="A45" s="54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7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9"/>
      <c r="AX45" s="130"/>
      <c r="AY45" s="130"/>
      <c r="AZ45" s="130"/>
      <c r="BA45" s="130"/>
      <c r="BB45" s="130"/>
      <c r="BC45" s="131"/>
      <c r="BD45" s="134"/>
      <c r="BE45" s="130"/>
      <c r="BF45" s="130"/>
      <c r="BG45" s="130"/>
      <c r="BH45" s="130"/>
      <c r="BI45" s="130"/>
      <c r="BJ45" s="131"/>
      <c r="BK45" s="55"/>
    </row>
    <row r="46" spans="1:63" ht="15" customHeight="1" x14ac:dyDescent="0.25">
      <c r="A46" s="54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6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8"/>
      <c r="AX46" s="132"/>
      <c r="AY46" s="132"/>
      <c r="AZ46" s="132"/>
      <c r="BA46" s="132"/>
      <c r="BB46" s="132"/>
      <c r="BC46" s="133"/>
      <c r="BD46" s="135"/>
      <c r="BE46" s="132"/>
      <c r="BF46" s="132"/>
      <c r="BG46" s="132"/>
      <c r="BH46" s="132"/>
      <c r="BI46" s="132"/>
      <c r="BJ46" s="133"/>
      <c r="BK46" s="55"/>
    </row>
    <row r="47" spans="1:63" ht="15" customHeight="1" x14ac:dyDescent="0.25">
      <c r="A47" s="54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7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9"/>
      <c r="AX47" s="130"/>
      <c r="AY47" s="130"/>
      <c r="AZ47" s="130"/>
      <c r="BA47" s="130"/>
      <c r="BB47" s="130"/>
      <c r="BC47" s="131"/>
      <c r="BD47" s="134"/>
      <c r="BE47" s="130"/>
      <c r="BF47" s="130"/>
      <c r="BG47" s="130"/>
      <c r="BH47" s="130"/>
      <c r="BI47" s="130"/>
      <c r="BJ47" s="131"/>
      <c r="BK47" s="55"/>
    </row>
    <row r="48" spans="1:63" ht="15" customHeight="1" x14ac:dyDescent="0.25">
      <c r="A48" s="54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6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8"/>
      <c r="AX48" s="132"/>
      <c r="AY48" s="132"/>
      <c r="AZ48" s="132"/>
      <c r="BA48" s="132"/>
      <c r="BB48" s="132"/>
      <c r="BC48" s="133"/>
      <c r="BD48" s="135"/>
      <c r="BE48" s="132"/>
      <c r="BF48" s="132"/>
      <c r="BG48" s="132"/>
      <c r="BH48" s="132"/>
      <c r="BI48" s="132"/>
      <c r="BJ48" s="133"/>
      <c r="BK48" s="55"/>
    </row>
    <row r="49" spans="1:63" ht="15" customHeight="1" x14ac:dyDescent="0.25">
      <c r="A49" s="54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7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9"/>
      <c r="AX49" s="130"/>
      <c r="AY49" s="130"/>
      <c r="AZ49" s="130"/>
      <c r="BA49" s="130"/>
      <c r="BB49" s="130"/>
      <c r="BC49" s="131"/>
      <c r="BD49" s="134"/>
      <c r="BE49" s="130"/>
      <c r="BF49" s="130"/>
      <c r="BG49" s="130"/>
      <c r="BH49" s="130"/>
      <c r="BI49" s="130"/>
      <c r="BJ49" s="131"/>
      <c r="BK49" s="55"/>
    </row>
    <row r="50" spans="1:63" ht="15" customHeight="1" x14ac:dyDescent="0.25">
      <c r="A50" s="54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6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8"/>
      <c r="AX50" s="132"/>
      <c r="AY50" s="132"/>
      <c r="AZ50" s="132"/>
      <c r="BA50" s="132"/>
      <c r="BB50" s="132"/>
      <c r="BC50" s="133"/>
      <c r="BD50" s="135"/>
      <c r="BE50" s="132"/>
      <c r="BF50" s="132"/>
      <c r="BG50" s="132"/>
      <c r="BH50" s="132"/>
      <c r="BI50" s="132"/>
      <c r="BJ50" s="133"/>
      <c r="BK50" s="55"/>
    </row>
    <row r="51" spans="1:63" ht="15" customHeight="1" x14ac:dyDescent="0.25">
      <c r="A51" s="54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7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9"/>
      <c r="AX51" s="130"/>
      <c r="AY51" s="130"/>
      <c r="AZ51" s="130"/>
      <c r="BA51" s="130"/>
      <c r="BB51" s="130"/>
      <c r="BC51" s="131"/>
      <c r="BD51" s="134"/>
      <c r="BE51" s="130"/>
      <c r="BF51" s="130"/>
      <c r="BG51" s="130"/>
      <c r="BH51" s="130"/>
      <c r="BI51" s="130"/>
      <c r="BJ51" s="131"/>
      <c r="BK51" s="55"/>
    </row>
    <row r="52" spans="1:63" ht="15" customHeight="1" x14ac:dyDescent="0.25">
      <c r="A52" s="54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6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8"/>
      <c r="AX52" s="132"/>
      <c r="AY52" s="132"/>
      <c r="AZ52" s="132"/>
      <c r="BA52" s="132"/>
      <c r="BB52" s="132"/>
      <c r="BC52" s="133"/>
      <c r="BD52" s="135"/>
      <c r="BE52" s="132"/>
      <c r="BF52" s="132"/>
      <c r="BG52" s="132"/>
      <c r="BH52" s="132"/>
      <c r="BI52" s="132"/>
      <c r="BJ52" s="133"/>
      <c r="BK52" s="55"/>
    </row>
    <row r="53" spans="1:63" ht="15" customHeight="1" x14ac:dyDescent="0.25">
      <c r="A53" s="54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7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9"/>
      <c r="AX53" s="130"/>
      <c r="AY53" s="130"/>
      <c r="AZ53" s="130"/>
      <c r="BA53" s="130"/>
      <c r="BB53" s="130"/>
      <c r="BC53" s="131"/>
      <c r="BD53" s="134"/>
      <c r="BE53" s="130"/>
      <c r="BF53" s="130"/>
      <c r="BG53" s="130"/>
      <c r="BH53" s="130"/>
      <c r="BI53" s="130"/>
      <c r="BJ53" s="131"/>
      <c r="BK53" s="55"/>
    </row>
    <row r="54" spans="1:63" ht="15" customHeight="1" x14ac:dyDescent="0.25">
      <c r="A54" s="54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6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8"/>
      <c r="AX54" s="132"/>
      <c r="AY54" s="132"/>
      <c r="AZ54" s="132"/>
      <c r="BA54" s="132"/>
      <c r="BB54" s="132"/>
      <c r="BC54" s="133"/>
      <c r="BD54" s="135"/>
      <c r="BE54" s="132"/>
      <c r="BF54" s="132"/>
      <c r="BG54" s="132"/>
      <c r="BH54" s="132"/>
      <c r="BI54" s="132"/>
      <c r="BJ54" s="133"/>
      <c r="BK54" s="55"/>
    </row>
    <row r="55" spans="1:63" ht="15" customHeight="1" x14ac:dyDescent="0.25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処理フロー凡例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0" customFormat="1" ht="15" customHeight="1" x14ac:dyDescent="0.25">
      <c r="A7" s="66"/>
      <c r="B7" s="67" t="s">
        <v>77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70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9"/>
      <c r="BJ7" s="68"/>
      <c r="BK7" s="71"/>
    </row>
    <row r="8" spans="1:63" s="72" customFormat="1" ht="15" customHeight="1" x14ac:dyDescent="0.25">
      <c r="BK8" s="71"/>
    </row>
    <row r="9" spans="1:63" s="72" customFormat="1" ht="15" customHeight="1" x14ac:dyDescent="0.25">
      <c r="BK9" s="71"/>
    </row>
    <row r="10" spans="1:63" s="72" customFormat="1" ht="15" customHeight="1" x14ac:dyDescent="0.25">
      <c r="BK10" s="71"/>
    </row>
    <row r="11" spans="1:63" s="72" customFormat="1" ht="15" customHeight="1" x14ac:dyDescent="0.25">
      <c r="BK11" s="71"/>
    </row>
    <row r="12" spans="1:63" s="72" customFormat="1" ht="15" customHeight="1" x14ac:dyDescent="0.25">
      <c r="BK12" s="71"/>
    </row>
    <row r="13" spans="1:63" s="72" customFormat="1" ht="15" customHeight="1" x14ac:dyDescent="0.25">
      <c r="BK13" s="71"/>
    </row>
    <row r="14" spans="1:63" s="72" customFormat="1" ht="15" customHeight="1" x14ac:dyDescent="0.25">
      <c r="BK14" s="71"/>
    </row>
    <row r="15" spans="1:63" s="72" customFormat="1" ht="15" customHeight="1" x14ac:dyDescent="0.25">
      <c r="BK15" s="71"/>
    </row>
    <row r="16" spans="1:63" s="72" customFormat="1" ht="15" customHeight="1" x14ac:dyDescent="0.25">
      <c r="BK16" s="71"/>
    </row>
    <row r="17" spans="63:63" s="72" customFormat="1" ht="15" customHeight="1" x14ac:dyDescent="0.25">
      <c r="BK17" s="71"/>
    </row>
    <row r="18" spans="63:63" s="72" customFormat="1" ht="15" customHeight="1" x14ac:dyDescent="0.25">
      <c r="BK18" s="71"/>
    </row>
    <row r="19" spans="63:63" s="72" customFormat="1" ht="15" customHeight="1" x14ac:dyDescent="0.25">
      <c r="BK19" s="71"/>
    </row>
    <row r="20" spans="63:63" s="72" customFormat="1" ht="15" customHeight="1" x14ac:dyDescent="0.25">
      <c r="BK20" s="71"/>
    </row>
    <row r="21" spans="63:63" s="72" customFormat="1" ht="15" customHeight="1" x14ac:dyDescent="0.25">
      <c r="BK21" s="71"/>
    </row>
    <row r="22" spans="63:63" s="72" customFormat="1" ht="15" customHeight="1" x14ac:dyDescent="0.25">
      <c r="BK22" s="71"/>
    </row>
    <row r="23" spans="63:63" s="72" customFormat="1" ht="15" customHeight="1" x14ac:dyDescent="0.25">
      <c r="BK23" s="71"/>
    </row>
    <row r="24" spans="63:63" s="72" customFormat="1" ht="15" customHeight="1" x14ac:dyDescent="0.25">
      <c r="BK24" s="71"/>
    </row>
    <row r="25" spans="63:63" s="72" customFormat="1" ht="15" customHeight="1" x14ac:dyDescent="0.25">
      <c r="BK25" s="71"/>
    </row>
    <row r="26" spans="63:63" s="72" customFormat="1" ht="15" customHeight="1" x14ac:dyDescent="0.25">
      <c r="BK26" s="71"/>
    </row>
    <row r="27" spans="63:63" s="72" customFormat="1" ht="15" customHeight="1" x14ac:dyDescent="0.25">
      <c r="BK27" s="71"/>
    </row>
    <row r="28" spans="63:63" s="72" customFormat="1" ht="15" customHeight="1" x14ac:dyDescent="0.25">
      <c r="BK28" s="71"/>
    </row>
    <row r="29" spans="63:63" s="72" customFormat="1" ht="15" customHeight="1" x14ac:dyDescent="0.25">
      <c r="BK29" s="71"/>
    </row>
    <row r="30" spans="63:63" s="72" customFormat="1" ht="15" customHeight="1" x14ac:dyDescent="0.25">
      <c r="BK30" s="71"/>
    </row>
    <row r="31" spans="63:63" s="72" customFormat="1" ht="15" customHeight="1" x14ac:dyDescent="0.25">
      <c r="BK31" s="71"/>
    </row>
    <row r="32" spans="63:63" s="72" customFormat="1" ht="15" customHeight="1" x14ac:dyDescent="0.25">
      <c r="BK32" s="71"/>
    </row>
    <row r="33" spans="63:63" s="72" customFormat="1" ht="15" customHeight="1" x14ac:dyDescent="0.25">
      <c r="BK33" s="71"/>
    </row>
    <row r="34" spans="63:63" s="72" customFormat="1" ht="15" customHeight="1" x14ac:dyDescent="0.25">
      <c r="BK34" s="71"/>
    </row>
    <row r="35" spans="63:63" s="72" customFormat="1" ht="15" customHeight="1" x14ac:dyDescent="0.25">
      <c r="BK35" s="71"/>
    </row>
    <row r="36" spans="63:63" s="72" customFormat="1" ht="15" customHeight="1" x14ac:dyDescent="0.25">
      <c r="BK36" s="71"/>
    </row>
    <row r="37" spans="63:63" s="72" customFormat="1" ht="15" customHeight="1" x14ac:dyDescent="0.25">
      <c r="BK37" s="71"/>
    </row>
    <row r="38" spans="63:63" s="72" customFormat="1" ht="15" customHeight="1" x14ac:dyDescent="0.25">
      <c r="BK38" s="71"/>
    </row>
    <row r="39" spans="63:63" s="72" customFormat="1" ht="15" customHeight="1" x14ac:dyDescent="0.25">
      <c r="BK39" s="71"/>
    </row>
    <row r="40" spans="63:63" s="72" customFormat="1" ht="15" customHeight="1" x14ac:dyDescent="0.25">
      <c r="BK40" s="71"/>
    </row>
    <row r="41" spans="63:63" s="72" customFormat="1" ht="15" customHeight="1" x14ac:dyDescent="0.25">
      <c r="BK41" s="71"/>
    </row>
    <row r="42" spans="63:63" s="72" customFormat="1" ht="15" customHeight="1" x14ac:dyDescent="0.25">
      <c r="BK42" s="71"/>
    </row>
    <row r="43" spans="63:63" s="72" customFormat="1" ht="15" customHeight="1" x14ac:dyDescent="0.25">
      <c r="BK43" s="71"/>
    </row>
    <row r="44" spans="63:63" s="72" customFormat="1" ht="15" customHeight="1" x14ac:dyDescent="0.25">
      <c r="BK44" s="71"/>
    </row>
    <row r="45" spans="63:63" s="72" customFormat="1" ht="15" customHeight="1" x14ac:dyDescent="0.25">
      <c r="BK45" s="71"/>
    </row>
    <row r="46" spans="63:63" s="72" customFormat="1" ht="15" customHeight="1" x14ac:dyDescent="0.25">
      <c r="BK46" s="7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664062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APX001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3"/>
      <c r="AQ7" s="73"/>
      <c r="AR7" s="73"/>
      <c r="AS7" s="73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4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4"/>
      <c r="AQ8" s="74"/>
      <c r="AR8" s="74"/>
      <c r="AS8" s="74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4"/>
      <c r="AQ9" s="74"/>
      <c r="AR9" s="74"/>
      <c r="AS9" s="74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4"/>
      <c r="AQ10" s="74"/>
      <c r="AR10" s="74"/>
      <c r="AS10" s="74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80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76" t="s">
        <v>12</v>
      </c>
      <c r="D15" s="178"/>
      <c r="E15" s="176" t="s">
        <v>13</v>
      </c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8"/>
      <c r="AG15" s="176" t="s">
        <v>14</v>
      </c>
      <c r="AH15" s="177"/>
      <c r="AI15" s="177"/>
      <c r="AJ15" s="177"/>
      <c r="AK15" s="177"/>
      <c r="AL15" s="177"/>
      <c r="AM15" s="177"/>
      <c r="AN15" s="177"/>
      <c r="AO15" s="177"/>
      <c r="AP15" s="178"/>
      <c r="AQ15" s="176" t="s">
        <v>15</v>
      </c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8"/>
      <c r="BK15" s="17"/>
    </row>
    <row r="16" spans="1:63" s="18" customFormat="1" ht="15" customHeight="1" x14ac:dyDescent="0.25">
      <c r="A16" s="13"/>
      <c r="B16" s="20"/>
      <c r="C16" s="182">
        <v>1</v>
      </c>
      <c r="D16" s="181"/>
      <c r="E16" s="227" t="s">
        <v>30</v>
      </c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9"/>
      <c r="AG16" s="182" t="s">
        <v>31</v>
      </c>
      <c r="AH16" s="180"/>
      <c r="AI16" s="180"/>
      <c r="AJ16" s="180"/>
      <c r="AK16" s="180"/>
      <c r="AL16" s="180"/>
      <c r="AM16" s="180"/>
      <c r="AN16" s="180"/>
      <c r="AO16" s="180"/>
      <c r="AP16" s="181"/>
      <c r="AQ16" s="179" t="s">
        <v>5</v>
      </c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81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4" t="s">
        <v>82</v>
      </c>
      <c r="D20" s="206"/>
      <c r="E20" s="204" t="s">
        <v>83</v>
      </c>
      <c r="F20" s="205"/>
      <c r="G20" s="205"/>
      <c r="H20" s="205"/>
      <c r="I20" s="205"/>
      <c r="J20" s="205"/>
      <c r="K20" s="206"/>
      <c r="L20" s="176" t="s">
        <v>16</v>
      </c>
      <c r="M20" s="177"/>
      <c r="N20" s="178"/>
      <c r="O20" s="176" t="s">
        <v>17</v>
      </c>
      <c r="P20" s="177"/>
      <c r="Q20" s="177"/>
      <c r="R20" s="178"/>
      <c r="S20" s="176" t="s">
        <v>18</v>
      </c>
      <c r="T20" s="177"/>
      <c r="U20" s="177"/>
      <c r="V20" s="177"/>
      <c r="W20" s="177"/>
      <c r="X20" s="177"/>
      <c r="Y20" s="178"/>
      <c r="Z20" s="204" t="s">
        <v>84</v>
      </c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176" t="s">
        <v>15</v>
      </c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8"/>
      <c r="BK20" s="17"/>
    </row>
    <row r="21" spans="1:63" s="18" customFormat="1" ht="15" customHeight="1" x14ac:dyDescent="0.25">
      <c r="A21" s="13"/>
      <c r="B21" s="20"/>
      <c r="C21" s="182">
        <v>1</v>
      </c>
      <c r="D21" s="181"/>
      <c r="E21" s="192" t="s">
        <v>6</v>
      </c>
      <c r="F21" s="193"/>
      <c r="G21" s="193"/>
      <c r="H21" s="193"/>
      <c r="I21" s="193"/>
      <c r="J21" s="193"/>
      <c r="K21" s="194"/>
      <c r="L21" s="219" t="s">
        <v>5</v>
      </c>
      <c r="M21" s="220"/>
      <c r="N21" s="221"/>
      <c r="O21" s="182" t="s">
        <v>4</v>
      </c>
      <c r="P21" s="180"/>
      <c r="Q21" s="180"/>
      <c r="R21" s="181"/>
      <c r="S21" s="182" t="s">
        <v>5</v>
      </c>
      <c r="T21" s="180"/>
      <c r="U21" s="180"/>
      <c r="V21" s="180"/>
      <c r="W21" s="180"/>
      <c r="X21" s="180"/>
      <c r="Y21" s="181"/>
      <c r="Z21" s="192" t="s">
        <v>6</v>
      </c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4"/>
      <c r="AQ21" s="232" t="s">
        <v>7</v>
      </c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4"/>
      <c r="BK21" s="17"/>
    </row>
    <row r="22" spans="1:63" s="18" customFormat="1" ht="18" customHeight="1" x14ac:dyDescent="0.25">
      <c r="A22" s="13"/>
      <c r="B22" s="20"/>
      <c r="C22" s="213">
        <v>2</v>
      </c>
      <c r="D22" s="214"/>
      <c r="E22" s="250" t="s">
        <v>8</v>
      </c>
      <c r="F22" s="251"/>
      <c r="G22" s="251"/>
      <c r="H22" s="251"/>
      <c r="I22" s="251"/>
      <c r="J22" s="251"/>
      <c r="K22" s="252"/>
      <c r="L22" s="241" t="s">
        <v>5</v>
      </c>
      <c r="M22" s="242"/>
      <c r="N22" s="243"/>
      <c r="O22" s="183" t="s">
        <v>4</v>
      </c>
      <c r="P22" s="184"/>
      <c r="Q22" s="184"/>
      <c r="R22" s="185"/>
      <c r="S22" s="183" t="s">
        <v>5</v>
      </c>
      <c r="T22" s="184"/>
      <c r="U22" s="184"/>
      <c r="V22" s="184"/>
      <c r="W22" s="184"/>
      <c r="X22" s="184"/>
      <c r="Y22" s="185"/>
      <c r="Z22" s="195" t="s">
        <v>8</v>
      </c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7"/>
      <c r="AQ22" s="235" t="s">
        <v>85</v>
      </c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6"/>
      <c r="BK22" s="17"/>
    </row>
    <row r="23" spans="1:63" s="18" customFormat="1" ht="18" customHeight="1" x14ac:dyDescent="0.25">
      <c r="A23" s="13"/>
      <c r="B23" s="20"/>
      <c r="C23" s="215"/>
      <c r="D23" s="216"/>
      <c r="E23" s="253"/>
      <c r="F23" s="254"/>
      <c r="G23" s="254"/>
      <c r="H23" s="254"/>
      <c r="I23" s="254"/>
      <c r="J23" s="254"/>
      <c r="K23" s="255"/>
      <c r="L23" s="244"/>
      <c r="M23" s="245"/>
      <c r="N23" s="246"/>
      <c r="O23" s="186"/>
      <c r="P23" s="187"/>
      <c r="Q23" s="187"/>
      <c r="R23" s="188"/>
      <c r="S23" s="186"/>
      <c r="T23" s="187"/>
      <c r="U23" s="187"/>
      <c r="V23" s="187"/>
      <c r="W23" s="187"/>
      <c r="X23" s="187"/>
      <c r="Y23" s="188"/>
      <c r="Z23" s="198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200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  <c r="BK23" s="17"/>
    </row>
    <row r="24" spans="1:63" s="18" customFormat="1" ht="18" customHeight="1" x14ac:dyDescent="0.25">
      <c r="A24" s="13"/>
      <c r="B24" s="20"/>
      <c r="C24" s="217"/>
      <c r="D24" s="218"/>
      <c r="E24" s="256"/>
      <c r="F24" s="257"/>
      <c r="G24" s="257"/>
      <c r="H24" s="257"/>
      <c r="I24" s="257"/>
      <c r="J24" s="257"/>
      <c r="K24" s="258"/>
      <c r="L24" s="247"/>
      <c r="M24" s="248"/>
      <c r="N24" s="249"/>
      <c r="O24" s="189"/>
      <c r="P24" s="190"/>
      <c r="Q24" s="190"/>
      <c r="R24" s="191"/>
      <c r="S24" s="189"/>
      <c r="T24" s="190"/>
      <c r="U24" s="190"/>
      <c r="V24" s="190"/>
      <c r="W24" s="190"/>
      <c r="X24" s="190"/>
      <c r="Y24" s="191"/>
      <c r="Z24" s="201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3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  <c r="BK24" s="17"/>
    </row>
    <row r="25" spans="1:63" s="18" customFormat="1" ht="15" customHeight="1" x14ac:dyDescent="0.25">
      <c r="A25" s="13"/>
      <c r="B25" s="20"/>
      <c r="C25" s="182">
        <v>3</v>
      </c>
      <c r="D25" s="181"/>
      <c r="E25" s="192" t="s">
        <v>9</v>
      </c>
      <c r="F25" s="193"/>
      <c r="G25" s="193"/>
      <c r="H25" s="193"/>
      <c r="I25" s="193"/>
      <c r="J25" s="193"/>
      <c r="K25" s="194"/>
      <c r="L25" s="219" t="s">
        <v>5</v>
      </c>
      <c r="M25" s="220"/>
      <c r="N25" s="221"/>
      <c r="O25" s="182" t="s">
        <v>4</v>
      </c>
      <c r="P25" s="180"/>
      <c r="Q25" s="180"/>
      <c r="R25" s="181"/>
      <c r="S25" s="182" t="s">
        <v>5</v>
      </c>
      <c r="T25" s="180"/>
      <c r="U25" s="180"/>
      <c r="V25" s="180"/>
      <c r="W25" s="180"/>
      <c r="X25" s="180"/>
      <c r="Y25" s="181"/>
      <c r="Z25" s="192" t="s">
        <v>9</v>
      </c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4"/>
      <c r="AQ25" s="232" t="s">
        <v>10</v>
      </c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4"/>
      <c r="BK25" s="17"/>
    </row>
    <row r="26" spans="1:63" s="18" customFormat="1" ht="15" customHeight="1" x14ac:dyDescent="0.25">
      <c r="A26" s="13"/>
      <c r="B26" s="20"/>
      <c r="C26" s="182">
        <v>4</v>
      </c>
      <c r="D26" s="181"/>
      <c r="E26" s="192" t="s">
        <v>11</v>
      </c>
      <c r="F26" s="193"/>
      <c r="G26" s="193"/>
      <c r="H26" s="193"/>
      <c r="I26" s="193"/>
      <c r="J26" s="193"/>
      <c r="K26" s="194"/>
      <c r="L26" s="219" t="s">
        <v>5</v>
      </c>
      <c r="M26" s="220"/>
      <c r="N26" s="221"/>
      <c r="O26" s="182" t="s">
        <v>4</v>
      </c>
      <c r="P26" s="180"/>
      <c r="Q26" s="180"/>
      <c r="R26" s="181"/>
      <c r="S26" s="182" t="s">
        <v>5</v>
      </c>
      <c r="T26" s="180"/>
      <c r="U26" s="180"/>
      <c r="V26" s="180"/>
      <c r="W26" s="180"/>
      <c r="X26" s="180"/>
      <c r="Y26" s="181"/>
      <c r="Z26" s="192" t="s">
        <v>11</v>
      </c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4"/>
      <c r="AQ26" s="232" t="s">
        <v>86</v>
      </c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4"/>
      <c r="BK26" s="17"/>
    </row>
    <row r="27" spans="1:63" s="18" customFormat="1" ht="15" customHeight="1" x14ac:dyDescent="0.25">
      <c r="A27" s="13"/>
      <c r="B27" s="20"/>
      <c r="C27" s="20"/>
      <c r="D27" s="20"/>
      <c r="E27" s="74"/>
      <c r="F27" s="74"/>
      <c r="G27" s="74"/>
      <c r="H27" s="74"/>
      <c r="I27" s="20"/>
      <c r="J27" s="20"/>
      <c r="K27" s="20"/>
      <c r="L27" s="77"/>
      <c r="M27" s="74"/>
      <c r="N27" s="74"/>
      <c r="O27" s="74"/>
      <c r="P27" s="74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74"/>
      <c r="AH27" s="74"/>
      <c r="AI27" s="74"/>
      <c r="AJ27" s="74"/>
      <c r="AK27" s="74"/>
      <c r="AL27" s="74"/>
      <c r="AM27" s="74"/>
      <c r="AN27" s="74"/>
      <c r="AO27" s="74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74"/>
      <c r="F28" s="74"/>
      <c r="G28" s="74"/>
      <c r="H28" s="74"/>
      <c r="I28" s="20"/>
      <c r="J28" s="20"/>
      <c r="K28" s="20"/>
      <c r="L28" s="29"/>
      <c r="M28" s="74"/>
      <c r="N28" s="74"/>
      <c r="O28" s="74"/>
      <c r="P28" s="74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4"/>
      <c r="AH28" s="74"/>
      <c r="AI28" s="74"/>
      <c r="AJ28" s="74"/>
      <c r="AK28" s="74"/>
      <c r="AL28" s="74"/>
      <c r="AM28" s="74"/>
      <c r="AN28" s="74"/>
      <c r="AO28" s="74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87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0"/>
      <c r="D31" s="20" t="s">
        <v>22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23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22" t="s">
        <v>12</v>
      </c>
      <c r="D35" s="223"/>
      <c r="E35" s="224" t="s">
        <v>19</v>
      </c>
      <c r="F35" s="225"/>
      <c r="G35" s="225"/>
      <c r="H35" s="225"/>
      <c r="I35" s="225"/>
      <c r="J35" s="225"/>
      <c r="K35" s="226"/>
      <c r="L35" s="176" t="s">
        <v>16</v>
      </c>
      <c r="M35" s="177"/>
      <c r="N35" s="178"/>
      <c r="O35" s="176" t="s">
        <v>17</v>
      </c>
      <c r="P35" s="177"/>
      <c r="Q35" s="177"/>
      <c r="R35" s="178"/>
      <c r="S35" s="176" t="s">
        <v>18</v>
      </c>
      <c r="T35" s="177"/>
      <c r="U35" s="177"/>
      <c r="V35" s="177"/>
      <c r="W35" s="177"/>
      <c r="X35" s="177"/>
      <c r="Y35" s="178"/>
      <c r="Z35" s="204" t="s">
        <v>84</v>
      </c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6"/>
      <c r="AQ35" s="259" t="s">
        <v>15</v>
      </c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1"/>
      <c r="BK35" s="17"/>
    </row>
    <row r="36" spans="1:63" s="18" customFormat="1" ht="15" customHeight="1" x14ac:dyDescent="0.25">
      <c r="A36" s="13"/>
      <c r="B36" s="20"/>
      <c r="C36" s="182">
        <v>1</v>
      </c>
      <c r="D36" s="181"/>
      <c r="E36" s="192" t="s">
        <v>32</v>
      </c>
      <c r="F36" s="193"/>
      <c r="G36" s="193"/>
      <c r="H36" s="193"/>
      <c r="I36" s="193"/>
      <c r="J36" s="193"/>
      <c r="K36" s="194"/>
      <c r="L36" s="219" t="s">
        <v>3</v>
      </c>
      <c r="M36" s="220"/>
      <c r="N36" s="221"/>
      <c r="O36" s="182" t="s">
        <v>20</v>
      </c>
      <c r="P36" s="180"/>
      <c r="Q36" s="180"/>
      <c r="R36" s="181"/>
      <c r="S36" s="227" t="s">
        <v>5</v>
      </c>
      <c r="T36" s="180"/>
      <c r="U36" s="180"/>
      <c r="V36" s="180"/>
      <c r="W36" s="180"/>
      <c r="X36" s="180"/>
      <c r="Y36" s="181"/>
      <c r="Z36" s="192" t="s">
        <v>34</v>
      </c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4"/>
      <c r="AQ36" s="179" t="s">
        <v>89</v>
      </c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1"/>
      <c r="BK36" s="17"/>
    </row>
    <row r="37" spans="1:63" s="18" customFormat="1" ht="15" customHeight="1" x14ac:dyDescent="0.25">
      <c r="A37" s="13"/>
      <c r="B37" s="20"/>
      <c r="C37" s="182">
        <f>C36+1</f>
        <v>2</v>
      </c>
      <c r="D37" s="181"/>
      <c r="E37" s="192" t="s">
        <v>41</v>
      </c>
      <c r="F37" s="193"/>
      <c r="G37" s="193"/>
      <c r="H37" s="193"/>
      <c r="I37" s="193"/>
      <c r="J37" s="193"/>
      <c r="K37" s="194"/>
      <c r="L37" s="219" t="s">
        <v>3</v>
      </c>
      <c r="M37" s="220"/>
      <c r="N37" s="221"/>
      <c r="O37" s="182" t="s">
        <v>20</v>
      </c>
      <c r="P37" s="180"/>
      <c r="Q37" s="180"/>
      <c r="R37" s="181"/>
      <c r="S37" s="227" t="s">
        <v>5</v>
      </c>
      <c r="T37" s="180"/>
      <c r="U37" s="180"/>
      <c r="V37" s="180"/>
      <c r="W37" s="180"/>
      <c r="X37" s="180"/>
      <c r="Y37" s="181"/>
      <c r="Z37" s="192" t="s">
        <v>35</v>
      </c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4"/>
      <c r="AQ37" s="179" t="s">
        <v>90</v>
      </c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1"/>
      <c r="BK37" s="17"/>
    </row>
    <row r="38" spans="1:63" s="18" customFormat="1" ht="15" customHeight="1" x14ac:dyDescent="0.25">
      <c r="A38" s="13"/>
      <c r="B38" s="20"/>
      <c r="C38" s="182">
        <f t="shared" ref="C38" si="0">C37+1</f>
        <v>3</v>
      </c>
      <c r="D38" s="181"/>
      <c r="E38" s="192" t="s">
        <v>33</v>
      </c>
      <c r="F38" s="193"/>
      <c r="G38" s="193"/>
      <c r="H38" s="193"/>
      <c r="I38" s="193"/>
      <c r="J38" s="193"/>
      <c r="K38" s="194"/>
      <c r="L38" s="219" t="s">
        <v>3</v>
      </c>
      <c r="M38" s="220"/>
      <c r="N38" s="221"/>
      <c r="O38" s="182" t="s">
        <v>20</v>
      </c>
      <c r="P38" s="180"/>
      <c r="Q38" s="180"/>
      <c r="R38" s="181"/>
      <c r="S38" s="227" t="s">
        <v>5</v>
      </c>
      <c r="T38" s="180"/>
      <c r="U38" s="180"/>
      <c r="V38" s="180"/>
      <c r="W38" s="180"/>
      <c r="X38" s="180"/>
      <c r="Y38" s="181"/>
      <c r="Z38" s="192" t="s">
        <v>36</v>
      </c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4"/>
      <c r="AQ38" s="179" t="s">
        <v>91</v>
      </c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1"/>
      <c r="BK38" s="17"/>
    </row>
    <row r="39" spans="1:63" s="18" customFormat="1" ht="15" customHeight="1" x14ac:dyDescent="0.25">
      <c r="A39" s="13"/>
      <c r="B39" s="20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4" t="s">
        <v>92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6"/>
      <c r="BI41" s="16"/>
      <c r="BJ41" s="16"/>
      <c r="BK41" s="17"/>
    </row>
    <row r="42" spans="1:63" s="18" customFormat="1" ht="15" customHeight="1" x14ac:dyDescent="0.25">
      <c r="A42" s="13"/>
      <c r="B42" s="19"/>
      <c r="C42" s="23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19"/>
      <c r="C43" s="23" t="s">
        <v>93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19"/>
      <c r="C44" s="23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176" t="s">
        <v>12</v>
      </c>
      <c r="D45" s="178"/>
      <c r="E45" s="204" t="s">
        <v>94</v>
      </c>
      <c r="F45" s="205"/>
      <c r="G45" s="205"/>
      <c r="H45" s="205"/>
      <c r="I45" s="205"/>
      <c r="J45" s="205"/>
      <c r="K45" s="206"/>
      <c r="L45" s="176" t="s">
        <v>17</v>
      </c>
      <c r="M45" s="177"/>
      <c r="N45" s="177"/>
      <c r="O45" s="177"/>
      <c r="P45" s="177"/>
      <c r="Q45" s="177"/>
      <c r="R45" s="178"/>
      <c r="S45" s="207" t="s">
        <v>84</v>
      </c>
      <c r="T45" s="208"/>
      <c r="U45" s="208"/>
      <c r="V45" s="208"/>
      <c r="W45" s="208"/>
      <c r="X45" s="208"/>
      <c r="Y45" s="208"/>
      <c r="Z45" s="208"/>
      <c r="AA45" s="208"/>
      <c r="AB45" s="209"/>
      <c r="AC45" s="176" t="s">
        <v>15</v>
      </c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8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182">
        <v>1</v>
      </c>
      <c r="D46" s="181"/>
      <c r="E46" s="182" t="s">
        <v>37</v>
      </c>
      <c r="F46" s="180"/>
      <c r="G46" s="180"/>
      <c r="H46" s="180"/>
      <c r="I46" s="180"/>
      <c r="J46" s="180"/>
      <c r="K46" s="181"/>
      <c r="L46" s="182" t="s">
        <v>20</v>
      </c>
      <c r="M46" s="180"/>
      <c r="N46" s="180"/>
      <c r="O46" s="180"/>
      <c r="P46" s="180"/>
      <c r="Q46" s="180"/>
      <c r="R46" s="181"/>
      <c r="S46" s="210" t="s">
        <v>39</v>
      </c>
      <c r="T46" s="211"/>
      <c r="U46" s="211"/>
      <c r="V46" s="211"/>
      <c r="W46" s="211"/>
      <c r="X46" s="211"/>
      <c r="Y46" s="211"/>
      <c r="Z46" s="211"/>
      <c r="AA46" s="211"/>
      <c r="AB46" s="212"/>
      <c r="AC46" s="179" t="s">
        <v>101</v>
      </c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1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182">
        <f>C46+1</f>
        <v>2</v>
      </c>
      <c r="D47" s="181"/>
      <c r="E47" s="182" t="s">
        <v>38</v>
      </c>
      <c r="F47" s="180"/>
      <c r="G47" s="180"/>
      <c r="H47" s="180"/>
      <c r="I47" s="180"/>
      <c r="J47" s="180"/>
      <c r="K47" s="181"/>
      <c r="L47" s="182" t="s">
        <v>20</v>
      </c>
      <c r="M47" s="180"/>
      <c r="N47" s="180"/>
      <c r="O47" s="180"/>
      <c r="P47" s="180"/>
      <c r="Q47" s="180"/>
      <c r="R47" s="181"/>
      <c r="S47" s="210" t="s">
        <v>40</v>
      </c>
      <c r="T47" s="211"/>
      <c r="U47" s="211"/>
      <c r="V47" s="211"/>
      <c r="W47" s="211"/>
      <c r="X47" s="211"/>
      <c r="Y47" s="211"/>
      <c r="Z47" s="211"/>
      <c r="AA47" s="211"/>
      <c r="AB47" s="212"/>
      <c r="AC47" s="182" t="s">
        <v>44</v>
      </c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1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182">
        <v>3</v>
      </c>
      <c r="D48" s="181"/>
      <c r="E48" s="182" t="s">
        <v>45</v>
      </c>
      <c r="F48" s="180"/>
      <c r="G48" s="180"/>
      <c r="H48" s="180"/>
      <c r="I48" s="180"/>
      <c r="J48" s="180"/>
      <c r="K48" s="181"/>
      <c r="L48" s="182" t="s">
        <v>46</v>
      </c>
      <c r="M48" s="180"/>
      <c r="N48" s="180"/>
      <c r="O48" s="180"/>
      <c r="P48" s="180"/>
      <c r="Q48" s="180"/>
      <c r="R48" s="181"/>
      <c r="S48" s="210" t="s">
        <v>47</v>
      </c>
      <c r="T48" s="211"/>
      <c r="U48" s="211"/>
      <c r="V48" s="211"/>
      <c r="W48" s="211"/>
      <c r="X48" s="211"/>
      <c r="Y48" s="211"/>
      <c r="Z48" s="211"/>
      <c r="AA48" s="211"/>
      <c r="AB48" s="212"/>
      <c r="AC48" s="182" t="s">
        <v>5</v>
      </c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1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182">
        <f t="shared" ref="C49:C59" si="1">C48+1</f>
        <v>4</v>
      </c>
      <c r="D49" s="181"/>
      <c r="E49" s="262" t="s">
        <v>41</v>
      </c>
      <c r="F49" s="263"/>
      <c r="G49" s="263"/>
      <c r="H49" s="263"/>
      <c r="I49" s="263"/>
      <c r="J49" s="263"/>
      <c r="K49" s="264"/>
      <c r="L49" s="182" t="s">
        <v>20</v>
      </c>
      <c r="M49" s="180"/>
      <c r="N49" s="180"/>
      <c r="O49" s="180"/>
      <c r="P49" s="180"/>
      <c r="Q49" s="180"/>
      <c r="R49" s="181"/>
      <c r="S49" s="210" t="s">
        <v>48</v>
      </c>
      <c r="T49" s="211"/>
      <c r="U49" s="211"/>
      <c r="V49" s="211"/>
      <c r="W49" s="211"/>
      <c r="X49" s="211"/>
      <c r="Y49" s="211"/>
      <c r="Z49" s="211"/>
      <c r="AA49" s="211"/>
      <c r="AB49" s="212"/>
      <c r="AC49" s="182" t="s">
        <v>5</v>
      </c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1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182">
        <f t="shared" si="1"/>
        <v>5</v>
      </c>
      <c r="D50" s="181"/>
      <c r="E50" s="262" t="s">
        <v>24</v>
      </c>
      <c r="F50" s="263"/>
      <c r="G50" s="263"/>
      <c r="H50" s="263"/>
      <c r="I50" s="263"/>
      <c r="J50" s="263"/>
      <c r="K50" s="264"/>
      <c r="L50" s="182" t="s">
        <v>20</v>
      </c>
      <c r="M50" s="180"/>
      <c r="N50" s="180"/>
      <c r="O50" s="180"/>
      <c r="P50" s="180"/>
      <c r="Q50" s="180"/>
      <c r="R50" s="181"/>
      <c r="S50" s="210" t="s">
        <v>49</v>
      </c>
      <c r="T50" s="211"/>
      <c r="U50" s="211"/>
      <c r="V50" s="211"/>
      <c r="W50" s="211"/>
      <c r="X50" s="211"/>
      <c r="Y50" s="211"/>
      <c r="Z50" s="211"/>
      <c r="AA50" s="211"/>
      <c r="AB50" s="212"/>
      <c r="AC50" s="182" t="s">
        <v>5</v>
      </c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1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86.25" customHeight="1" x14ac:dyDescent="0.25">
      <c r="A51" s="13"/>
      <c r="B51" s="20"/>
      <c r="C51" s="182">
        <f t="shared" si="1"/>
        <v>6</v>
      </c>
      <c r="D51" s="181"/>
      <c r="E51" s="262" t="s">
        <v>42</v>
      </c>
      <c r="F51" s="263"/>
      <c r="G51" s="263"/>
      <c r="H51" s="263"/>
      <c r="I51" s="263"/>
      <c r="J51" s="263"/>
      <c r="K51" s="264"/>
      <c r="L51" s="182" t="s">
        <v>20</v>
      </c>
      <c r="M51" s="180"/>
      <c r="N51" s="180"/>
      <c r="O51" s="180"/>
      <c r="P51" s="180"/>
      <c r="Q51" s="180"/>
      <c r="R51" s="181"/>
      <c r="S51" s="210" t="s">
        <v>50</v>
      </c>
      <c r="T51" s="211"/>
      <c r="U51" s="211"/>
      <c r="V51" s="211"/>
      <c r="W51" s="211"/>
      <c r="X51" s="211"/>
      <c r="Y51" s="211"/>
      <c r="Z51" s="211"/>
      <c r="AA51" s="211"/>
      <c r="AB51" s="212"/>
      <c r="AC51" s="265" t="s">
        <v>95</v>
      </c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7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182">
        <f t="shared" si="1"/>
        <v>7</v>
      </c>
      <c r="D52" s="181"/>
      <c r="E52" s="262" t="s">
        <v>43</v>
      </c>
      <c r="F52" s="263"/>
      <c r="G52" s="263"/>
      <c r="H52" s="263"/>
      <c r="I52" s="263"/>
      <c r="J52" s="263"/>
      <c r="K52" s="264"/>
      <c r="L52" s="182" t="s">
        <v>20</v>
      </c>
      <c r="M52" s="180"/>
      <c r="N52" s="180"/>
      <c r="O52" s="180"/>
      <c r="P52" s="180"/>
      <c r="Q52" s="180"/>
      <c r="R52" s="181"/>
      <c r="S52" s="210" t="s">
        <v>51</v>
      </c>
      <c r="T52" s="211"/>
      <c r="U52" s="211"/>
      <c r="V52" s="211"/>
      <c r="W52" s="211"/>
      <c r="X52" s="211"/>
      <c r="Y52" s="211"/>
      <c r="Z52" s="211"/>
      <c r="AA52" s="211"/>
      <c r="AB52" s="212"/>
      <c r="AC52" s="182" t="s">
        <v>5</v>
      </c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1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33.75" customHeight="1" x14ac:dyDescent="0.25">
      <c r="A53" s="13"/>
      <c r="B53" s="20"/>
      <c r="C53" s="182">
        <f t="shared" si="1"/>
        <v>8</v>
      </c>
      <c r="D53" s="181"/>
      <c r="E53" s="262" t="s">
        <v>32</v>
      </c>
      <c r="F53" s="263"/>
      <c r="G53" s="263"/>
      <c r="H53" s="263"/>
      <c r="I53" s="263"/>
      <c r="J53" s="263"/>
      <c r="K53" s="264"/>
      <c r="L53" s="182" t="s">
        <v>20</v>
      </c>
      <c r="M53" s="180"/>
      <c r="N53" s="180"/>
      <c r="O53" s="180"/>
      <c r="P53" s="180"/>
      <c r="Q53" s="180"/>
      <c r="R53" s="181"/>
      <c r="S53" s="283" t="s">
        <v>111</v>
      </c>
      <c r="T53" s="211"/>
      <c r="U53" s="211"/>
      <c r="V53" s="211"/>
      <c r="W53" s="211"/>
      <c r="X53" s="211"/>
      <c r="Y53" s="211"/>
      <c r="Z53" s="211"/>
      <c r="AA53" s="211"/>
      <c r="AB53" s="212"/>
      <c r="AC53" s="282" t="s">
        <v>108</v>
      </c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1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33" customHeight="1" x14ac:dyDescent="0.25">
      <c r="A54" s="13"/>
      <c r="B54" s="20"/>
      <c r="C54" s="275">
        <f t="shared" si="1"/>
        <v>9</v>
      </c>
      <c r="D54" s="276"/>
      <c r="E54" s="277" t="s">
        <v>102</v>
      </c>
      <c r="F54" s="278"/>
      <c r="G54" s="278"/>
      <c r="H54" s="278"/>
      <c r="I54" s="278"/>
      <c r="J54" s="278"/>
      <c r="K54" s="279"/>
      <c r="L54" s="182" t="s">
        <v>103</v>
      </c>
      <c r="M54" s="180"/>
      <c r="N54" s="180"/>
      <c r="O54" s="180"/>
      <c r="P54" s="180"/>
      <c r="Q54" s="180"/>
      <c r="R54" s="181"/>
      <c r="S54" s="210" t="s">
        <v>110</v>
      </c>
      <c r="T54" s="211"/>
      <c r="U54" s="211"/>
      <c r="V54" s="211"/>
      <c r="W54" s="211"/>
      <c r="X54" s="211"/>
      <c r="Y54" s="211"/>
      <c r="Z54" s="211"/>
      <c r="AA54" s="211"/>
      <c r="AB54" s="212"/>
      <c r="AC54" s="280" t="s">
        <v>109</v>
      </c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76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275">
        <f t="shared" si="1"/>
        <v>10</v>
      </c>
      <c r="D55" s="276"/>
      <c r="E55" s="277" t="s">
        <v>104</v>
      </c>
      <c r="F55" s="278"/>
      <c r="G55" s="278"/>
      <c r="H55" s="278"/>
      <c r="I55" s="278"/>
      <c r="J55" s="278"/>
      <c r="K55" s="279"/>
      <c r="L55" s="182" t="s">
        <v>103</v>
      </c>
      <c r="M55" s="180"/>
      <c r="N55" s="180"/>
      <c r="O55" s="180"/>
      <c r="P55" s="180"/>
      <c r="Q55" s="180"/>
      <c r="R55" s="181"/>
      <c r="S55" s="210" t="s">
        <v>112</v>
      </c>
      <c r="T55" s="211"/>
      <c r="U55" s="211"/>
      <c r="V55" s="211"/>
      <c r="W55" s="211"/>
      <c r="X55" s="211"/>
      <c r="Y55" s="211"/>
      <c r="Z55" s="211"/>
      <c r="AA55" s="211"/>
      <c r="AB55" s="212"/>
      <c r="AC55" s="275" t="s">
        <v>105</v>
      </c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  <c r="AP55" s="281"/>
      <c r="AQ55" s="281"/>
      <c r="AR55" s="281"/>
      <c r="AS55" s="281"/>
      <c r="AT55" s="281"/>
      <c r="AU55" s="276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x14ac:dyDescent="0.25">
      <c r="A56" s="13"/>
      <c r="B56" s="20"/>
      <c r="C56" s="275">
        <f t="shared" si="1"/>
        <v>11</v>
      </c>
      <c r="D56" s="276"/>
      <c r="E56" s="277" t="s">
        <v>106</v>
      </c>
      <c r="F56" s="278"/>
      <c r="G56" s="278"/>
      <c r="H56" s="278"/>
      <c r="I56" s="278"/>
      <c r="J56" s="278"/>
      <c r="K56" s="279"/>
      <c r="L56" s="182" t="s">
        <v>103</v>
      </c>
      <c r="M56" s="180"/>
      <c r="N56" s="180"/>
      <c r="O56" s="180"/>
      <c r="P56" s="180"/>
      <c r="Q56" s="180"/>
      <c r="R56" s="181"/>
      <c r="S56" s="210" t="s">
        <v>113</v>
      </c>
      <c r="T56" s="211"/>
      <c r="U56" s="211"/>
      <c r="V56" s="211"/>
      <c r="W56" s="211"/>
      <c r="X56" s="211"/>
      <c r="Y56" s="211"/>
      <c r="Z56" s="211"/>
      <c r="AA56" s="211"/>
      <c r="AB56" s="212"/>
      <c r="AC56" s="275" t="s">
        <v>107</v>
      </c>
      <c r="AD56" s="281"/>
      <c r="AE56" s="281"/>
      <c r="AF56" s="281"/>
      <c r="AG56" s="281"/>
      <c r="AH56" s="281"/>
      <c r="AI56" s="281"/>
      <c r="AJ56" s="281"/>
      <c r="AK56" s="281"/>
      <c r="AL56" s="281"/>
      <c r="AM56" s="281"/>
      <c r="AN56" s="281"/>
      <c r="AO56" s="281"/>
      <c r="AP56" s="281"/>
      <c r="AQ56" s="281"/>
      <c r="AR56" s="281"/>
      <c r="AS56" s="281"/>
      <c r="AT56" s="281"/>
      <c r="AU56" s="276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33" customHeight="1" x14ac:dyDescent="0.25">
      <c r="A57" s="13"/>
      <c r="B57" s="20"/>
      <c r="C57" s="275">
        <f t="shared" si="1"/>
        <v>12</v>
      </c>
      <c r="D57" s="276"/>
      <c r="E57" s="262" t="s">
        <v>57</v>
      </c>
      <c r="F57" s="263"/>
      <c r="G57" s="263"/>
      <c r="H57" s="263"/>
      <c r="I57" s="263"/>
      <c r="J57" s="263"/>
      <c r="K57" s="264"/>
      <c r="L57" s="182" t="s">
        <v>21</v>
      </c>
      <c r="M57" s="180"/>
      <c r="N57" s="180"/>
      <c r="O57" s="180"/>
      <c r="P57" s="180"/>
      <c r="Q57" s="180"/>
      <c r="R57" s="181"/>
      <c r="S57" s="272" t="s">
        <v>58</v>
      </c>
      <c r="T57" s="273"/>
      <c r="U57" s="273"/>
      <c r="V57" s="273"/>
      <c r="W57" s="273"/>
      <c r="X57" s="273"/>
      <c r="Y57" s="273"/>
      <c r="Z57" s="273"/>
      <c r="AA57" s="273"/>
      <c r="AB57" s="274"/>
      <c r="AC57" s="182" t="s">
        <v>5</v>
      </c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1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75">
        <f t="shared" si="1"/>
        <v>13</v>
      </c>
      <c r="D58" s="276"/>
      <c r="E58" s="268" t="s">
        <v>23</v>
      </c>
      <c r="F58" s="269"/>
      <c r="G58" s="269"/>
      <c r="H58" s="269"/>
      <c r="I58" s="269"/>
      <c r="J58" s="269"/>
      <c r="K58" s="270"/>
      <c r="L58" s="182" t="s">
        <v>20</v>
      </c>
      <c r="M58" s="180"/>
      <c r="N58" s="180"/>
      <c r="O58" s="180"/>
      <c r="P58" s="180"/>
      <c r="Q58" s="180"/>
      <c r="R58" s="181"/>
      <c r="S58" s="210" t="s">
        <v>52</v>
      </c>
      <c r="T58" s="211"/>
      <c r="U58" s="211"/>
      <c r="V58" s="211"/>
      <c r="W58" s="211"/>
      <c r="X58" s="211"/>
      <c r="Y58" s="211"/>
      <c r="Z58" s="211"/>
      <c r="AA58" s="211"/>
      <c r="AB58" s="212"/>
      <c r="AC58" s="182" t="s">
        <v>96</v>
      </c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1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75">
        <f t="shared" si="1"/>
        <v>14</v>
      </c>
      <c r="D59" s="276"/>
      <c r="E59" s="268" t="s">
        <v>53</v>
      </c>
      <c r="F59" s="269"/>
      <c r="G59" s="269"/>
      <c r="H59" s="269"/>
      <c r="I59" s="269"/>
      <c r="J59" s="269"/>
      <c r="K59" s="270"/>
      <c r="L59" s="182" t="s">
        <v>20</v>
      </c>
      <c r="M59" s="180"/>
      <c r="N59" s="180"/>
      <c r="O59" s="180"/>
      <c r="P59" s="180"/>
      <c r="Q59" s="180"/>
      <c r="R59" s="181"/>
      <c r="S59" s="210" t="s">
        <v>54</v>
      </c>
      <c r="T59" s="211"/>
      <c r="U59" s="211"/>
      <c r="V59" s="211"/>
      <c r="W59" s="211"/>
      <c r="X59" s="211"/>
      <c r="Y59" s="211"/>
      <c r="Z59" s="211"/>
      <c r="AA59" s="211"/>
      <c r="AB59" s="212"/>
      <c r="AC59" s="182" t="s">
        <v>55</v>
      </c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1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20"/>
      <c r="D60" s="20"/>
      <c r="E60" s="74"/>
      <c r="F60" s="74"/>
      <c r="G60" s="74"/>
      <c r="H60" s="74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74"/>
      <c r="T60" s="74"/>
      <c r="U60" s="74"/>
      <c r="V60" s="74"/>
      <c r="W60" s="74"/>
      <c r="X60" s="74"/>
      <c r="Y60" s="74"/>
      <c r="Z60" s="74"/>
      <c r="AA60" s="74"/>
      <c r="AB60" s="20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23" t="s">
        <v>97</v>
      </c>
      <c r="D61" s="20"/>
      <c r="E61" s="74"/>
      <c r="F61" s="20"/>
      <c r="G61" s="74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23"/>
      <c r="D62" s="74"/>
      <c r="E62" s="74"/>
      <c r="F62" s="20"/>
      <c r="G62" s="7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24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76"/>
      <c r="D64" s="20" t="s">
        <v>25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70.5" customHeight="1" x14ac:dyDescent="0.25">
      <c r="A65" s="13"/>
      <c r="B65" s="20"/>
      <c r="C65" s="76"/>
      <c r="D65" s="20"/>
      <c r="E65" s="271" t="s">
        <v>114</v>
      </c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0"/>
      <c r="AU65" s="25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76"/>
      <c r="D66" s="20"/>
      <c r="E66" s="20" t="s">
        <v>115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48" customFormat="1" ht="15" customHeight="1" x14ac:dyDescent="0.25">
      <c r="A67" s="42"/>
      <c r="B67" s="43"/>
      <c r="C67" s="44"/>
      <c r="D67" s="43"/>
      <c r="E67" s="20" t="s">
        <v>116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5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6"/>
      <c r="BI67" s="46"/>
      <c r="BJ67" s="46"/>
      <c r="BK67" s="47"/>
    </row>
    <row r="68" spans="1:63" s="48" customFormat="1" ht="15" customHeight="1" x14ac:dyDescent="0.25">
      <c r="A68" s="42"/>
      <c r="B68" s="43"/>
      <c r="C68" s="44"/>
      <c r="D68" s="43"/>
      <c r="E68" s="43"/>
      <c r="F68" s="43" t="s">
        <v>117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5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6"/>
      <c r="BI68" s="46"/>
      <c r="BJ68" s="46"/>
      <c r="BK68" s="47"/>
    </row>
    <row r="69" spans="1:63" s="48" customFormat="1" ht="15" customHeight="1" x14ac:dyDescent="0.25">
      <c r="A69" s="42"/>
      <c r="B69" s="43"/>
      <c r="C69" s="44"/>
      <c r="D69" s="43"/>
      <c r="E69" s="43"/>
      <c r="F69" s="43" t="s">
        <v>118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5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6"/>
      <c r="BI69" s="46"/>
      <c r="BJ69" s="46"/>
      <c r="BK69" s="47"/>
    </row>
    <row r="70" spans="1:63" s="48" customFormat="1" ht="15" customHeight="1" x14ac:dyDescent="0.25">
      <c r="A70" s="42"/>
      <c r="B70" s="43"/>
      <c r="C70" s="44"/>
      <c r="D70" s="43"/>
      <c r="E70" s="43"/>
      <c r="F70" s="43" t="s">
        <v>119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5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6"/>
      <c r="BI70" s="46"/>
      <c r="BJ70" s="46"/>
      <c r="BK70" s="47"/>
    </row>
    <row r="71" spans="1:63" s="48" customFormat="1" ht="15" customHeight="1" x14ac:dyDescent="0.25">
      <c r="A71" s="42"/>
      <c r="B71" s="43"/>
      <c r="C71" s="44"/>
      <c r="D71" s="43"/>
      <c r="E71" s="43"/>
      <c r="F71" s="43" t="s">
        <v>120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5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6"/>
      <c r="BI71" s="46"/>
      <c r="BJ71" s="46"/>
      <c r="BK71" s="47"/>
    </row>
    <row r="72" spans="1:63" s="48" customFormat="1" ht="14.25" customHeight="1" x14ac:dyDescent="0.25">
      <c r="A72" s="42"/>
      <c r="B72" s="43"/>
      <c r="C72" s="44"/>
      <c r="D72" s="43"/>
      <c r="E72" s="43"/>
      <c r="F72" s="43" t="s">
        <v>121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5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6"/>
      <c r="BI72" s="46"/>
      <c r="BJ72" s="46"/>
      <c r="BK72" s="47"/>
    </row>
    <row r="73" spans="1:63" s="48" customFormat="1" ht="14.25" customHeight="1" x14ac:dyDescent="0.25">
      <c r="A73" s="42"/>
      <c r="B73" s="43"/>
      <c r="C73" s="44"/>
      <c r="D73" s="43"/>
      <c r="E73" s="43"/>
      <c r="F73" s="43" t="s">
        <v>122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5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6"/>
      <c r="BI73" s="46"/>
      <c r="BJ73" s="46"/>
      <c r="BK73" s="47"/>
    </row>
    <row r="74" spans="1:63" s="48" customFormat="1" ht="14.25" customHeight="1" x14ac:dyDescent="0.25">
      <c r="A74" s="42"/>
      <c r="B74" s="43"/>
      <c r="C74" s="44"/>
      <c r="D74" s="43"/>
      <c r="E74" s="43"/>
      <c r="F74" s="43" t="s">
        <v>123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5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6"/>
      <c r="BI74" s="46"/>
      <c r="BJ74" s="46"/>
      <c r="BK74" s="47"/>
    </row>
    <row r="75" spans="1:63" s="48" customFormat="1" ht="15" customHeight="1" x14ac:dyDescent="0.25">
      <c r="A75" s="42"/>
      <c r="B75" s="43"/>
      <c r="C75" s="44"/>
      <c r="D75" s="43"/>
      <c r="E75" s="43"/>
      <c r="F75" s="43" t="s">
        <v>124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5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6"/>
      <c r="BI75" s="46"/>
      <c r="BJ75" s="46"/>
      <c r="BK75" s="47"/>
    </row>
    <row r="76" spans="1:63" s="18" customFormat="1" ht="15" customHeight="1" x14ac:dyDescent="0.25">
      <c r="A76" s="13"/>
      <c r="B76" s="20"/>
      <c r="C76" s="76"/>
      <c r="D76" s="20"/>
      <c r="E76" s="20"/>
      <c r="F76" s="20" t="s">
        <v>125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48" customFormat="1" ht="15" customHeight="1" x14ac:dyDescent="0.25">
      <c r="A77" s="42"/>
      <c r="B77" s="43"/>
      <c r="C77" s="44"/>
      <c r="D77" s="43"/>
      <c r="E77" s="43"/>
      <c r="F77" s="43"/>
      <c r="G77" s="43" t="s">
        <v>25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5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6"/>
      <c r="BI77" s="46"/>
      <c r="BJ77" s="46"/>
      <c r="BK77" s="47"/>
    </row>
    <row r="78" spans="1:63" s="48" customFormat="1" ht="15" customHeight="1" x14ac:dyDescent="0.25">
      <c r="A78" s="42"/>
      <c r="B78" s="43"/>
      <c r="C78" s="44"/>
      <c r="D78" s="43"/>
      <c r="E78" s="43"/>
      <c r="F78" s="43"/>
      <c r="G78" s="43"/>
      <c r="H78" s="43" t="s">
        <v>126</v>
      </c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5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6"/>
      <c r="BI78" s="46"/>
      <c r="BJ78" s="46"/>
      <c r="BK78" s="47"/>
    </row>
    <row r="79" spans="1:63" s="48" customFormat="1" ht="15" customHeight="1" x14ac:dyDescent="0.25">
      <c r="A79" s="42"/>
      <c r="B79" s="43"/>
      <c r="C79" s="44"/>
      <c r="D79" s="43"/>
      <c r="E79" s="43"/>
      <c r="F79" s="43"/>
      <c r="G79" s="43"/>
      <c r="H79" s="43" t="s">
        <v>127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5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6"/>
      <c r="BI79" s="46"/>
      <c r="BJ79" s="46"/>
      <c r="BK79" s="47"/>
    </row>
    <row r="80" spans="1:63" s="48" customFormat="1" ht="15" customHeight="1" x14ac:dyDescent="0.25">
      <c r="A80" s="42"/>
      <c r="B80" s="43"/>
      <c r="C80" s="44"/>
      <c r="D80" s="43"/>
      <c r="E80" s="43"/>
      <c r="F80" s="43"/>
      <c r="G80" s="43" t="s">
        <v>26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5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6"/>
      <c r="BI80" s="46"/>
      <c r="BJ80" s="46"/>
      <c r="BK80" s="47"/>
    </row>
    <row r="81" spans="1:63" s="18" customFormat="1" ht="15" customHeight="1" x14ac:dyDescent="0.25">
      <c r="A81" s="13"/>
      <c r="B81" s="20"/>
      <c r="C81" s="76"/>
      <c r="D81" s="20"/>
      <c r="E81" s="20"/>
      <c r="F81" s="20" t="s">
        <v>27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5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76"/>
      <c r="D82" s="20" t="s">
        <v>26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5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78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26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 t="s">
        <v>98</v>
      </c>
      <c r="D85" s="20"/>
      <c r="E85" s="74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19"/>
      <c r="D86" s="20"/>
      <c r="E86" s="74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0" t="s">
        <v>56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39" customFormat="1" ht="15" customHeight="1" x14ac:dyDescent="0.25">
      <c r="A88" s="34"/>
      <c r="B88" s="35"/>
      <c r="C88" s="35"/>
      <c r="D88" s="35"/>
      <c r="E88" s="36"/>
      <c r="F88" s="36"/>
      <c r="G88" s="36"/>
      <c r="H88" s="36"/>
      <c r="I88" s="36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7"/>
      <c r="BI88" s="37"/>
      <c r="BJ88" s="37"/>
      <c r="BK88" s="38"/>
    </row>
  </sheetData>
  <mergeCells count="167">
    <mergeCell ref="C56:D56"/>
    <mergeCell ref="E56:K56"/>
    <mergeCell ref="L56:R56"/>
    <mergeCell ref="S56:AB56"/>
    <mergeCell ref="AC56:AU56"/>
    <mergeCell ref="E65:AS65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C59:D59"/>
    <mergeCell ref="E59:K59"/>
    <mergeCell ref="L59:R59"/>
    <mergeCell ref="S59:AB59"/>
    <mergeCell ref="AC59:AU59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AC53:AU53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48:D48"/>
    <mergeCell ref="E48:K48"/>
    <mergeCell ref="L48:R48"/>
    <mergeCell ref="S48:AB48"/>
    <mergeCell ref="AC48:AU48"/>
    <mergeCell ref="C49:D49"/>
    <mergeCell ref="E49:K49"/>
    <mergeCell ref="L49:R49"/>
    <mergeCell ref="S49:AB49"/>
    <mergeCell ref="AC49:AU49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O21:R21"/>
    <mergeCell ref="L21:N21"/>
    <mergeCell ref="O26:R26"/>
    <mergeCell ref="O22:R24"/>
    <mergeCell ref="L22:N24"/>
    <mergeCell ref="E22:K24"/>
    <mergeCell ref="E25:K2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6:D46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25:AP25"/>
    <mergeCell ref="E20:K20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S35:Y35"/>
    <mergeCell ref="C37:D37"/>
    <mergeCell ref="E37:K37"/>
    <mergeCell ref="L37:N37"/>
    <mergeCell ref="O37:R37"/>
    <mergeCell ref="S37:Y37"/>
    <mergeCell ref="E26:K26"/>
    <mergeCell ref="O25:R25"/>
    <mergeCell ref="C45:D45"/>
    <mergeCell ref="C26:D26"/>
    <mergeCell ref="L25:N25"/>
    <mergeCell ref="L26:N26"/>
    <mergeCell ref="C25:D25"/>
    <mergeCell ref="L45:R45"/>
    <mergeCell ref="C35:D35"/>
    <mergeCell ref="E35:K35"/>
    <mergeCell ref="L35:N35"/>
    <mergeCell ref="O35:R35"/>
    <mergeCell ref="AC45:AU45"/>
    <mergeCell ref="AC46:AU46"/>
    <mergeCell ref="AC47:AU47"/>
    <mergeCell ref="E46:K46"/>
    <mergeCell ref="E47:K47"/>
    <mergeCell ref="C21:D21"/>
    <mergeCell ref="AQ20:BJ20"/>
    <mergeCell ref="O20:R20"/>
    <mergeCell ref="L20:N20"/>
    <mergeCell ref="S21:Y21"/>
    <mergeCell ref="S22:Y24"/>
    <mergeCell ref="Z26:AP26"/>
    <mergeCell ref="Z22:AP24"/>
    <mergeCell ref="E21:K21"/>
    <mergeCell ref="L46:R46"/>
    <mergeCell ref="L47:R47"/>
    <mergeCell ref="E45:K45"/>
    <mergeCell ref="S45:AB45"/>
    <mergeCell ref="S46:AB46"/>
    <mergeCell ref="S47:AB47"/>
    <mergeCell ref="C22:D24"/>
    <mergeCell ref="C47:D47"/>
    <mergeCell ref="S25:Y25"/>
    <mergeCell ref="S26:Y26"/>
  </mergeCells>
  <pageMargins left="0.7" right="0.7" top="0.75" bottom="0.75" header="0.3" footer="0.3"/>
  <pageSetup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処理フロー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2" customFormat="1" ht="15" customHeight="1" x14ac:dyDescent="0.25">
      <c r="B7" s="40"/>
      <c r="C7" s="21"/>
      <c r="D7" s="21"/>
      <c r="E7" s="21"/>
      <c r="F7" s="21"/>
      <c r="G7" s="21"/>
      <c r="AI7" s="79"/>
      <c r="BJ7" s="79"/>
      <c r="BK7" s="71"/>
    </row>
    <row r="8" spans="1:63" s="72" customFormat="1" ht="15" customHeight="1" x14ac:dyDescent="0.25">
      <c r="B8" s="40"/>
      <c r="C8" s="21"/>
      <c r="D8" s="21"/>
      <c r="E8" s="21"/>
      <c r="F8" s="21"/>
      <c r="G8" s="21"/>
      <c r="AI8" s="79"/>
      <c r="BJ8" s="79"/>
      <c r="BK8" s="71"/>
    </row>
    <row r="9" spans="1:63" s="72" customFormat="1" ht="15" customHeight="1" x14ac:dyDescent="0.25">
      <c r="B9" s="40"/>
      <c r="C9" s="21"/>
      <c r="D9" s="21"/>
      <c r="E9" s="21"/>
      <c r="F9" s="21"/>
      <c r="G9" s="21"/>
      <c r="AI9" s="79"/>
      <c r="BJ9" s="79"/>
      <c r="BK9" s="71"/>
    </row>
    <row r="10" spans="1:63" s="72" customFormat="1" ht="15" customHeight="1" x14ac:dyDescent="0.25">
      <c r="B10" s="40"/>
      <c r="C10" s="21"/>
      <c r="D10" s="21"/>
      <c r="E10" s="21"/>
      <c r="F10" s="21"/>
      <c r="G10" s="21"/>
      <c r="AI10" s="79"/>
      <c r="BJ10" s="79"/>
      <c r="BK10" s="71"/>
    </row>
    <row r="11" spans="1:63" s="72" customFormat="1" ht="15" customHeight="1" x14ac:dyDescent="0.25">
      <c r="B11" s="80"/>
      <c r="AI11" s="79"/>
      <c r="BJ11" s="79"/>
      <c r="BK11" s="71"/>
    </row>
    <row r="12" spans="1:63" s="72" customFormat="1" ht="15" customHeight="1" x14ac:dyDescent="0.25">
      <c r="B12" s="80"/>
      <c r="AI12" s="79"/>
      <c r="BJ12" s="79"/>
      <c r="BK12" s="71"/>
    </row>
    <row r="13" spans="1:63" s="72" customFormat="1" ht="15" customHeight="1" x14ac:dyDescent="0.25">
      <c r="B13" s="80"/>
      <c r="AI13" s="79"/>
      <c r="BJ13" s="79"/>
      <c r="BK13" s="71"/>
    </row>
    <row r="14" spans="1:63" s="72" customFormat="1" ht="15" customHeight="1" x14ac:dyDescent="0.25">
      <c r="B14" s="80"/>
      <c r="AI14" s="79"/>
      <c r="BJ14" s="79"/>
      <c r="BK14" s="71"/>
    </row>
    <row r="15" spans="1:63" s="72" customFormat="1" ht="15" customHeight="1" x14ac:dyDescent="0.25">
      <c r="B15" s="80"/>
      <c r="AI15" s="79"/>
      <c r="BJ15" s="79"/>
      <c r="BK15" s="71"/>
    </row>
    <row r="16" spans="1:63" s="72" customFormat="1" ht="15" customHeight="1" x14ac:dyDescent="0.25">
      <c r="B16" s="80"/>
      <c r="AI16" s="79"/>
      <c r="BJ16" s="79"/>
      <c r="BK16" s="71"/>
    </row>
    <row r="17" spans="2:63" s="72" customFormat="1" ht="15" customHeight="1" x14ac:dyDescent="0.25">
      <c r="B17" s="80"/>
      <c r="AI17" s="79"/>
      <c r="BJ17" s="79"/>
      <c r="BK17" s="71"/>
    </row>
    <row r="18" spans="2:63" s="72" customFormat="1" ht="15" customHeight="1" x14ac:dyDescent="0.25">
      <c r="B18" s="80"/>
      <c r="AI18" s="79"/>
      <c r="BJ18" s="79"/>
      <c r="BK18" s="71"/>
    </row>
    <row r="19" spans="2:63" s="72" customFormat="1" ht="15" customHeight="1" x14ac:dyDescent="0.25">
      <c r="B19" s="80"/>
      <c r="AI19" s="79"/>
      <c r="BJ19" s="79"/>
      <c r="BK19" s="71"/>
    </row>
    <row r="20" spans="2:63" s="72" customFormat="1" ht="15" customHeight="1" x14ac:dyDescent="0.25">
      <c r="B20" s="80"/>
      <c r="AI20" s="79"/>
      <c r="BJ20" s="79"/>
      <c r="BK20" s="71"/>
    </row>
    <row r="21" spans="2:63" s="72" customFormat="1" ht="15" customHeight="1" x14ac:dyDescent="0.25">
      <c r="B21" s="80"/>
      <c r="AI21" s="79"/>
      <c r="BJ21" s="79"/>
      <c r="BK21" s="71"/>
    </row>
    <row r="22" spans="2:63" s="72" customFormat="1" ht="15" customHeight="1" x14ac:dyDescent="0.25">
      <c r="B22" s="80"/>
      <c r="AI22" s="79"/>
      <c r="BJ22" s="79"/>
      <c r="BK22" s="71"/>
    </row>
    <row r="23" spans="2:63" s="72" customFormat="1" ht="15" customHeight="1" x14ac:dyDescent="0.25">
      <c r="B23" s="80"/>
      <c r="AI23" s="79"/>
      <c r="BJ23" s="79"/>
      <c r="BK23" s="71"/>
    </row>
    <row r="24" spans="2:63" s="72" customFormat="1" ht="15" customHeight="1" x14ac:dyDescent="0.25">
      <c r="B24" s="80"/>
      <c r="AI24" s="79"/>
      <c r="BJ24" s="79"/>
      <c r="BK24" s="71"/>
    </row>
    <row r="25" spans="2:63" s="72" customFormat="1" ht="15" customHeight="1" x14ac:dyDescent="0.25">
      <c r="B25" s="80"/>
      <c r="AI25" s="79"/>
      <c r="BJ25" s="79"/>
      <c r="BK25" s="71"/>
    </row>
    <row r="26" spans="2:63" s="72" customFormat="1" ht="15" customHeight="1" x14ac:dyDescent="0.25">
      <c r="B26" s="80"/>
      <c r="AI26" s="79"/>
      <c r="BJ26" s="79"/>
      <c r="BK26" s="71"/>
    </row>
    <row r="27" spans="2:63" s="72" customFormat="1" ht="15" customHeight="1" x14ac:dyDescent="0.25">
      <c r="B27" s="80"/>
      <c r="AI27" s="79"/>
      <c r="BJ27" s="79"/>
      <c r="BK27" s="71"/>
    </row>
    <row r="28" spans="2:63" s="72" customFormat="1" ht="15" customHeight="1" x14ac:dyDescent="0.25">
      <c r="B28" s="80"/>
      <c r="AI28" s="79"/>
      <c r="BJ28" s="79"/>
      <c r="BK28" s="71"/>
    </row>
    <row r="29" spans="2:63" s="72" customFormat="1" ht="15" customHeight="1" x14ac:dyDescent="0.25">
      <c r="B29" s="80"/>
      <c r="AI29" s="79"/>
      <c r="BJ29" s="79"/>
      <c r="BK29" s="71"/>
    </row>
    <row r="30" spans="2:63" s="72" customFormat="1" ht="15" customHeight="1" x14ac:dyDescent="0.25">
      <c r="B30" s="80"/>
      <c r="AI30" s="79"/>
      <c r="BJ30" s="79"/>
      <c r="BK30" s="71"/>
    </row>
    <row r="31" spans="2:63" s="72" customFormat="1" ht="15" customHeight="1" x14ac:dyDescent="0.25">
      <c r="B31" s="80"/>
      <c r="AI31" s="79"/>
      <c r="BJ31" s="79"/>
      <c r="BK31" s="71"/>
    </row>
    <row r="32" spans="2:63" s="72" customFormat="1" ht="15" customHeight="1" x14ac:dyDescent="0.25">
      <c r="B32" s="80"/>
      <c r="AI32" s="79"/>
      <c r="BJ32" s="79"/>
      <c r="BK32" s="71"/>
    </row>
    <row r="33" spans="2:63" s="72" customFormat="1" ht="15" customHeight="1" x14ac:dyDescent="0.25">
      <c r="B33" s="80"/>
      <c r="AI33" s="79"/>
      <c r="BJ33" s="79"/>
      <c r="BK33" s="71"/>
    </row>
    <row r="34" spans="2:63" s="72" customFormat="1" ht="15" customHeight="1" x14ac:dyDescent="0.25">
      <c r="B34" s="80"/>
      <c r="AI34" s="79"/>
      <c r="BJ34" s="79"/>
      <c r="BK34" s="71"/>
    </row>
    <row r="35" spans="2:63" s="72" customFormat="1" ht="15" customHeight="1" x14ac:dyDescent="0.25">
      <c r="B35" s="80"/>
      <c r="AI35" s="79"/>
      <c r="BJ35" s="79"/>
      <c r="BK35" s="71"/>
    </row>
    <row r="36" spans="2:63" s="72" customFormat="1" ht="15" customHeight="1" x14ac:dyDescent="0.25">
      <c r="B36" s="80"/>
      <c r="AI36" s="79"/>
      <c r="BJ36" s="79"/>
      <c r="BK36" s="71"/>
    </row>
    <row r="37" spans="2:63" s="72" customFormat="1" ht="15" customHeight="1" x14ac:dyDescent="0.25">
      <c r="B37" s="80"/>
      <c r="AI37" s="79"/>
      <c r="BJ37" s="79"/>
      <c r="BK37" s="71"/>
    </row>
    <row r="38" spans="2:63" s="72" customFormat="1" ht="15" customHeight="1" x14ac:dyDescent="0.25">
      <c r="B38" s="80"/>
      <c r="AI38" s="79"/>
      <c r="BJ38" s="79"/>
      <c r="BK38" s="71"/>
    </row>
    <row r="39" spans="2:63" s="72" customFormat="1" ht="15" customHeight="1" x14ac:dyDescent="0.25">
      <c r="B39" s="80"/>
      <c r="AI39" s="79"/>
      <c r="BJ39" s="79"/>
      <c r="BK39" s="71"/>
    </row>
    <row r="40" spans="2:63" s="72" customFormat="1" ht="15" customHeight="1" x14ac:dyDescent="0.25">
      <c r="B40" s="80"/>
      <c r="AI40" s="79"/>
      <c r="BJ40" s="79"/>
      <c r="BK40" s="71"/>
    </row>
    <row r="41" spans="2:63" s="72" customFormat="1" ht="15" customHeight="1" x14ac:dyDescent="0.25">
      <c r="B41" s="80"/>
      <c r="AI41" s="79"/>
      <c r="BJ41" s="79"/>
      <c r="BK41" s="71"/>
    </row>
    <row r="42" spans="2:63" s="72" customFormat="1" ht="15" customHeight="1" x14ac:dyDescent="0.25">
      <c r="B42" s="80"/>
      <c r="AG42" s="49"/>
      <c r="AI42" s="79"/>
      <c r="BJ42" s="79"/>
      <c r="BK42" s="71"/>
    </row>
    <row r="43" spans="2:63" s="72" customFormat="1" ht="15" customHeight="1" x14ac:dyDescent="0.25">
      <c r="B43" s="80"/>
      <c r="AG43" s="49"/>
      <c r="AI43" s="79"/>
      <c r="BJ43" s="79"/>
      <c r="BK43" s="71"/>
    </row>
    <row r="44" spans="2:63" s="72" customFormat="1" ht="15" customHeight="1" x14ac:dyDescent="0.25">
      <c r="B44" s="80"/>
      <c r="AI44" s="79"/>
      <c r="BJ44" s="79"/>
      <c r="BK44" s="71"/>
    </row>
    <row r="45" spans="2:63" s="72" customFormat="1" ht="15" customHeight="1" x14ac:dyDescent="0.25">
      <c r="B45" s="80"/>
      <c r="AI45" s="79"/>
      <c r="BJ45" s="79"/>
      <c r="BK45" s="71"/>
    </row>
    <row r="46" spans="2:63" s="72" customFormat="1" ht="15" customHeight="1" x14ac:dyDescent="0.25">
      <c r="B46" s="80"/>
      <c r="AI46" s="79"/>
      <c r="BJ46" s="79"/>
      <c r="BK46" s="71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B54" s="9"/>
      <c r="AI54" s="11"/>
      <c r="BJ54" s="11"/>
      <c r="BK54" s="5"/>
    </row>
    <row r="55" spans="1:63" ht="15" customHeight="1" x14ac:dyDescent="0.25">
      <c r="B55" s="9"/>
      <c r="AI55" s="11"/>
      <c r="BJ55" s="11"/>
      <c r="BK55" s="5"/>
    </row>
    <row r="56" spans="1:63" ht="15" customHeight="1" x14ac:dyDescent="0.25">
      <c r="B56" s="9"/>
      <c r="AI56" s="11"/>
      <c r="BJ56" s="11"/>
      <c r="BK56" s="5"/>
    </row>
    <row r="57" spans="1:63" ht="15" customHeight="1" x14ac:dyDescent="0.25">
      <c r="B57" s="9"/>
      <c r="AI57" s="11"/>
      <c r="BJ57" s="11"/>
      <c r="BK57" s="5"/>
    </row>
    <row r="58" spans="1:63" ht="15" customHeight="1" x14ac:dyDescent="0.25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2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12"/>
      <c r="BK5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テンプレート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2" customFormat="1" ht="15" customHeight="1" x14ac:dyDescent="0.25">
      <c r="BK7" s="71"/>
    </row>
    <row r="8" spans="1:63" s="72" customFormat="1" ht="15" customHeight="1" x14ac:dyDescent="0.25">
      <c r="BK8" s="71"/>
    </row>
    <row r="9" spans="1:63" s="72" customFormat="1" ht="15" customHeight="1" x14ac:dyDescent="0.25">
      <c r="BK9" s="71"/>
    </row>
    <row r="10" spans="1:63" s="72" customFormat="1" ht="15" customHeight="1" x14ac:dyDescent="0.25">
      <c r="BK10" s="71"/>
    </row>
    <row r="11" spans="1:63" s="72" customFormat="1" ht="15" customHeight="1" x14ac:dyDescent="0.25">
      <c r="BK11" s="71"/>
    </row>
    <row r="12" spans="1:63" s="72" customFormat="1" ht="15" customHeight="1" x14ac:dyDescent="0.25">
      <c r="BK12" s="71"/>
    </row>
    <row r="13" spans="1:63" s="72" customFormat="1" ht="15" customHeight="1" x14ac:dyDescent="0.25">
      <c r="BK13" s="71"/>
    </row>
    <row r="14" spans="1:63" s="72" customFormat="1" ht="15" customHeight="1" x14ac:dyDescent="0.25">
      <c r="BK14" s="71"/>
    </row>
    <row r="15" spans="1:63" s="72" customFormat="1" ht="15" customHeight="1" x14ac:dyDescent="0.25">
      <c r="BK15" s="71"/>
    </row>
    <row r="16" spans="1:63" s="72" customFormat="1" ht="15" customHeight="1" x14ac:dyDescent="0.25">
      <c r="BK16" s="71"/>
    </row>
    <row r="17" spans="63:63" s="72" customFormat="1" ht="15" customHeight="1" x14ac:dyDescent="0.25">
      <c r="BK17" s="71"/>
    </row>
    <row r="18" spans="63:63" s="72" customFormat="1" ht="15" customHeight="1" x14ac:dyDescent="0.25">
      <c r="BK18" s="71"/>
    </row>
    <row r="19" spans="63:63" s="72" customFormat="1" ht="15" customHeight="1" x14ac:dyDescent="0.25">
      <c r="BK19" s="71"/>
    </row>
    <row r="20" spans="63:63" s="72" customFormat="1" ht="15" customHeight="1" x14ac:dyDescent="0.25">
      <c r="BK20" s="71"/>
    </row>
    <row r="21" spans="63:63" s="72" customFormat="1" ht="15" customHeight="1" x14ac:dyDescent="0.25">
      <c r="BK21" s="71"/>
    </row>
    <row r="22" spans="63:63" s="72" customFormat="1" ht="15" customHeight="1" x14ac:dyDescent="0.25">
      <c r="BK22" s="71"/>
    </row>
    <row r="23" spans="63:63" s="72" customFormat="1" ht="15" customHeight="1" x14ac:dyDescent="0.25">
      <c r="BK23" s="71"/>
    </row>
    <row r="24" spans="63:63" s="72" customFormat="1" ht="15" customHeight="1" x14ac:dyDescent="0.25">
      <c r="BK24" s="71"/>
    </row>
    <row r="25" spans="63:63" s="72" customFormat="1" ht="15" customHeight="1" x14ac:dyDescent="0.25">
      <c r="BK25" s="71"/>
    </row>
    <row r="26" spans="63:63" s="72" customFormat="1" ht="15" customHeight="1" x14ac:dyDescent="0.25">
      <c r="BK26" s="71"/>
    </row>
    <row r="27" spans="63:63" s="72" customFormat="1" ht="15" customHeight="1" x14ac:dyDescent="0.25">
      <c r="BK27" s="71"/>
    </row>
    <row r="28" spans="63:63" s="72" customFormat="1" ht="15" customHeight="1" x14ac:dyDescent="0.25">
      <c r="BK28" s="71"/>
    </row>
    <row r="29" spans="63:63" s="72" customFormat="1" ht="15" customHeight="1" x14ac:dyDescent="0.25">
      <c r="BK29" s="71"/>
    </row>
    <row r="30" spans="63:63" s="72" customFormat="1" ht="15" customHeight="1" x14ac:dyDescent="0.25">
      <c r="BK30" s="71"/>
    </row>
    <row r="31" spans="63:63" s="72" customFormat="1" ht="15" customHeight="1" x14ac:dyDescent="0.25">
      <c r="BK31" s="71"/>
    </row>
    <row r="32" spans="63:63" s="72" customFormat="1" ht="15" customHeight="1" x14ac:dyDescent="0.25">
      <c r="BK32" s="71"/>
    </row>
    <row r="33" spans="63:63" s="72" customFormat="1" ht="15" customHeight="1" x14ac:dyDescent="0.25">
      <c r="BK33" s="71"/>
    </row>
    <row r="34" spans="63:63" s="72" customFormat="1" ht="15" customHeight="1" x14ac:dyDescent="0.25">
      <c r="BK34" s="71"/>
    </row>
    <row r="35" spans="63:63" s="72" customFormat="1" ht="15" customHeight="1" x14ac:dyDescent="0.25">
      <c r="BK35" s="71"/>
    </row>
    <row r="36" spans="63:63" s="72" customFormat="1" ht="15" customHeight="1" x14ac:dyDescent="0.25">
      <c r="BK36" s="71"/>
    </row>
    <row r="37" spans="63:63" s="72" customFormat="1" ht="15" customHeight="1" x14ac:dyDescent="0.25">
      <c r="BK37" s="71"/>
    </row>
    <row r="38" spans="63:63" s="72" customFormat="1" ht="15" customHeight="1" x14ac:dyDescent="0.25">
      <c r="BK38" s="71"/>
    </row>
    <row r="39" spans="63:63" s="72" customFormat="1" ht="15" customHeight="1" x14ac:dyDescent="0.25">
      <c r="BK39" s="71"/>
    </row>
    <row r="40" spans="63:63" s="72" customFormat="1" ht="15" customHeight="1" x14ac:dyDescent="0.25">
      <c r="BK40" s="71"/>
    </row>
    <row r="41" spans="63:63" s="72" customFormat="1" ht="15" customHeight="1" x14ac:dyDescent="0.25">
      <c r="BK41" s="71"/>
    </row>
    <row r="42" spans="63:63" s="72" customFormat="1" ht="15" customHeight="1" x14ac:dyDescent="0.25">
      <c r="BK42" s="71"/>
    </row>
    <row r="43" spans="63:63" s="72" customFormat="1" ht="15" customHeight="1" x14ac:dyDescent="0.25">
      <c r="BK43" s="71"/>
    </row>
    <row r="44" spans="63:63" s="72" customFormat="1" ht="15" customHeight="1" x14ac:dyDescent="0.25">
      <c r="BK44" s="71"/>
    </row>
    <row r="45" spans="63:63" s="72" customFormat="1" ht="15" customHeight="1" x14ac:dyDescent="0.25">
      <c r="BK45" s="71"/>
    </row>
    <row r="46" spans="63:63" s="72" customFormat="1" ht="15" customHeight="1" x14ac:dyDescent="0.25">
      <c r="BK46" s="7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54BE7-E7BB-4813-BA59-667785A59EF4}"/>
</file>

<file path=customXml/itemProps2.xml><?xml version="1.0" encoding="utf-8"?>
<ds:datastoreItem xmlns:ds="http://schemas.openxmlformats.org/officeDocument/2006/customXml" ds:itemID="{6A0C7ECB-AEAE-4F1E-A404-EA85DA67DA0A}"/>
</file>

<file path=customXml/itemProps3.xml><?xml version="1.0" encoding="utf-8"?>
<ds:datastoreItem xmlns:ds="http://schemas.openxmlformats.org/officeDocument/2006/customXml" ds:itemID="{92BB6EF4-1B28-4AB3-8A8B-E3B85DAAF6D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APX001</vt:lpstr>
      <vt:lpstr>処理フロー</vt:lpstr>
      <vt:lpstr>テンプレート</vt:lpstr>
      <vt:lpstr>'APX001'!Print_Area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2024-11-07T07:38:40Z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