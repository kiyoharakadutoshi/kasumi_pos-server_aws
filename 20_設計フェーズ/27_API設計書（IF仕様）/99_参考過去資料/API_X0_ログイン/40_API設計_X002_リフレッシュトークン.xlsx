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D:\Pos system\40_API設計\API_X0_ログイン\"/>
    </mc:Choice>
  </mc:AlternateContent>
  <xr:revisionPtr revIDLastSave="0" documentId="13_ncr:1_{319DE530-C7A8-4976-BC23-5BC589FFC230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表紙" sheetId="4" r:id="rId1"/>
    <sheet name="改訂履歴" sheetId="3" r:id="rId2"/>
    <sheet name="処理フロー凡例" sheetId="10" r:id="rId3"/>
    <sheet name="APX002" sheetId="8" r:id="rId4"/>
    <sheet name="処理フロー" sheetId="9" r:id="rId5"/>
    <sheet name="テンプレート" sheetId="7" r:id="rId6"/>
  </sheets>
  <definedNames>
    <definedName name="_xlnm.Print_Area" localSheetId="3">'APX002'!$A$1:$BK$82</definedName>
    <definedName name="_xlnm.Print_Area" localSheetId="5">テンプレート!$A$1:$BK$54</definedName>
    <definedName name="_xlnm.Print_Area" localSheetId="4">処理フロー!$A$1:$BK$58</definedName>
    <definedName name="_xlnm.Print_Area" localSheetId="2">処理フロー凡例!$A$1:$BK$54</definedName>
    <definedName name="_xlnm.Print_Area" localSheetId="1">改訂履歴!$A$1:$BK$55</definedName>
    <definedName name="_xlnm.Print_Area" localSheetId="0">表紙!$A$1:$BK$55</definedName>
    <definedName name="_xlnm.Print_Titles" localSheetId="1">改訂履歴!$1:$5</definedName>
    <definedName name="_xlnm.Print_Titles" localSheetId="0">表紙!$1:$5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54" i="8" l="1"/>
  <c r="C55" i="8" s="1"/>
  <c r="C56" i="8" s="1"/>
  <c r="AP4" i="7"/>
  <c r="Z4" i="7"/>
  <c r="H4" i="7"/>
  <c r="K2" i="7"/>
  <c r="A2" i="7"/>
  <c r="W1" i="7"/>
  <c r="AP4" i="9"/>
  <c r="Z4" i="9"/>
  <c r="H4" i="9"/>
  <c r="K2" i="9"/>
  <c r="A2" i="9"/>
  <c r="W1" i="9"/>
  <c r="C46" i="8"/>
  <c r="C47" i="8" s="1"/>
  <c r="C48" i="8" s="1"/>
  <c r="C49" i="8" s="1"/>
  <c r="C50" i="8" s="1"/>
  <c r="C44" i="8"/>
  <c r="AP4" i="8"/>
  <c r="Z4" i="8"/>
  <c r="H4" i="8"/>
  <c r="K2" i="8"/>
  <c r="A2" i="8"/>
  <c r="W1" i="8"/>
  <c r="AP4" i="10"/>
  <c r="Z4" i="10"/>
  <c r="H4" i="10"/>
  <c r="K2" i="10"/>
  <c r="A2" i="10"/>
  <c r="W1" i="10"/>
  <c r="AP4" i="3" a="1"/>
  <c r="AP4" i="3" s="1"/>
  <c r="Z4" i="3"/>
  <c r="H4" i="3"/>
  <c r="K2" i="3"/>
  <c r="A2" i="3"/>
  <c r="W1" i="3"/>
  <c r="L24" i="4"/>
  <c r="AP4" i="4" a="1"/>
  <c r="AP4" i="4" s="1"/>
  <c r="BH2" i="4"/>
  <c r="BH2" i="10" s="1"/>
  <c r="BC2" i="4"/>
  <c r="BC2" i="7" s="1"/>
  <c r="AY2" i="4"/>
  <c r="AY2" i="9" s="1"/>
  <c r="AT2" i="4"/>
  <c r="AT2" i="10" s="1"/>
  <c r="AP2" i="4"/>
  <c r="AP2" i="10" s="1"/>
  <c r="C51" i="8" l="1"/>
  <c r="C52" i="8" s="1"/>
  <c r="C53" i="8" s="1"/>
  <c r="AY2" i="3"/>
  <c r="AY2" i="10"/>
  <c r="BC2" i="8"/>
  <c r="BC2" i="9"/>
  <c r="AP2" i="7"/>
  <c r="BH2" i="7"/>
  <c r="BC2" i="3"/>
  <c r="BC2" i="10"/>
  <c r="AP2" i="8"/>
  <c r="BH2" i="8"/>
  <c r="AP2" i="9"/>
  <c r="BH2" i="9"/>
  <c r="AT2" i="7"/>
  <c r="AP2" i="3"/>
  <c r="BH2" i="3"/>
  <c r="AT2" i="8"/>
  <c r="AT2" i="9"/>
  <c r="AY2" i="7"/>
  <c r="AT2" i="3"/>
  <c r="AY2" i="8"/>
</calcChain>
</file>

<file path=xl/sharedStrings.xml><?xml version="1.0" encoding="utf-8"?>
<sst xmlns="http://schemas.openxmlformats.org/spreadsheetml/2006/main" count="213" uniqueCount="120">
  <si>
    <r>
      <rPr>
        <sz val="11"/>
        <color rgb="FF000000"/>
        <rFont val="Meiryo UI"/>
        <family val="2"/>
      </rPr>
      <t>■改訂履歴</t>
    </r>
  </si>
  <si>
    <r>
      <rPr>
        <sz val="11"/>
        <color rgb="FF000000"/>
        <rFont val="Meiryo UI"/>
        <family val="2"/>
      </rPr>
      <t>POSサーバ</t>
    </r>
  </si>
  <si>
    <r>
      <rPr>
        <sz val="11"/>
        <color rgb="FF000000"/>
        <rFont val="Meiryo UI"/>
        <family val="2"/>
      </rPr>
      <t>新規作成</t>
    </r>
  </si>
  <si>
    <t>○</t>
  </si>
  <si>
    <r>
      <rPr>
        <sz val="11"/>
        <color rgb="FF000000"/>
        <rFont val="Meiryo UI"/>
        <family val="2"/>
      </rPr>
      <t>String</t>
    </r>
  </si>
  <si>
    <t>-</t>
  </si>
  <si>
    <r>
      <rPr>
        <sz val="11"/>
        <color rgb="FF000000"/>
        <rFont val="Meiryo UI"/>
        <family val="2"/>
      </rPr>
      <t>Accept</t>
    </r>
  </si>
  <si>
    <r>
      <rPr>
        <sz val="11"/>
        <color rgb="FF000000"/>
        <rFont val="Meiryo UI"/>
        <family val="2"/>
      </rPr>
      <t>サーバーが返却できるデータ種類情報を説明する。</t>
    </r>
  </si>
  <si>
    <r>
      <rPr>
        <sz val="11"/>
        <color rgb="FF000000"/>
        <rFont val="Meiryo UI"/>
        <family val="2"/>
      </rPr>
      <t>Content-Type</t>
    </r>
  </si>
  <si>
    <r>
      <rPr>
        <sz val="11"/>
        <color rgb="FF000000"/>
        <rFont val="Meiryo UI"/>
        <family val="2"/>
      </rPr>
      <t>User-Agent</t>
    </r>
  </si>
  <si>
    <r>
      <rPr>
        <sz val="11"/>
        <color rgb="FF000000"/>
        <rFont val="Meiryo UI"/>
        <family val="2"/>
      </rPr>
      <t>サーバーを呼び出すクライアントのアプリケーション/ソフトウェア/ブラウザを定義する。</t>
    </r>
  </si>
  <si>
    <r>
      <rPr>
        <sz val="11"/>
        <color rgb="FF000000"/>
        <rFont val="Meiryo UI"/>
        <family val="2"/>
      </rPr>
      <t>Accept-Encoding</t>
    </r>
  </si>
  <si>
    <r>
      <rPr>
        <b/>
        <sz val="11"/>
        <color rgb="FF000000"/>
        <rFont val="Meiryo UI"/>
        <family val="2"/>
      </rPr>
      <t xml:space="preserve">No. </t>
    </r>
    <r>
      <rPr>
        <sz val="11"/>
        <color rgb="FF000000"/>
        <rFont val="Meiryo UI"/>
        <family val="2"/>
      </rPr>
      <t xml:space="preserve"> </t>
    </r>
  </si>
  <si>
    <r>
      <rPr>
        <b/>
        <sz val="11"/>
        <color rgb="FF000000"/>
        <rFont val="Meiryo UI"/>
        <family val="2"/>
      </rPr>
      <t>URL</t>
    </r>
  </si>
  <si>
    <r>
      <rPr>
        <b/>
        <sz val="11"/>
        <color rgb="FF000000"/>
        <rFont val="Meiryo UI"/>
        <family val="2"/>
      </rPr>
      <t>HTTPメソッド</t>
    </r>
  </si>
  <si>
    <r>
      <rPr>
        <b/>
        <sz val="11"/>
        <color rgb="FF000000"/>
        <rFont val="Meiryo UI"/>
        <family val="2"/>
      </rPr>
      <t>備考</t>
    </r>
  </si>
  <si>
    <r>
      <rPr>
        <b/>
        <sz val="11"/>
        <color rgb="FF000000"/>
        <rFont val="Meiryo UI"/>
        <family val="2"/>
      </rPr>
      <t>必須</t>
    </r>
  </si>
  <si>
    <r>
      <rPr>
        <b/>
        <sz val="11"/>
        <color rgb="FF000000"/>
        <rFont val="Meiryo UI"/>
        <family val="2"/>
      </rPr>
      <t>型</t>
    </r>
  </si>
  <si>
    <r>
      <rPr>
        <b/>
        <sz val="11"/>
        <color rgb="FF000000"/>
        <rFont val="Meiryo UI"/>
        <family val="2"/>
      </rPr>
      <t>デフォルト値</t>
    </r>
  </si>
  <si>
    <r>
      <rPr>
        <sz val="11"/>
        <color rgb="FF000000"/>
        <rFont val="Meiryo UI"/>
        <family val="2"/>
      </rPr>
      <t>NA</t>
    </r>
  </si>
  <si>
    <t>{</t>
  </si>
  <si>
    <t>}</t>
  </si>
  <si>
    <r>
      <rPr>
        <sz val="11"/>
        <color rgb="FF000000"/>
        <rFont val="Meiryo UI"/>
        <family val="2"/>
      </rPr>
      <t>POST</t>
    </r>
  </si>
  <si>
    <r>
      <rPr>
        <sz val="11"/>
        <color rgb="FF000000"/>
        <rFont val="Meiryo UI"/>
        <family val="2"/>
      </rPr>
      <t>access_token</t>
    </r>
  </si>
  <si>
    <r>
      <rPr>
        <sz val="11"/>
        <color rgb="FF000000"/>
        <rFont val="Meiryo UI"/>
        <family val="2"/>
      </rPr>
      <t>refresh_token</t>
    </r>
  </si>
  <si>
    <r>
      <rPr>
        <sz val="11"/>
        <color rgb="FF000000"/>
        <rFont val="Meiryo UI"/>
        <family val="2"/>
      </rPr>
      <t>access token</t>
    </r>
  </si>
  <si>
    <r>
      <rPr>
        <sz val="11"/>
        <color rgb="FF000000"/>
        <rFont val="Meiryo UI"/>
        <family val="2"/>
      </rPr>
      <t>refresh token</t>
    </r>
  </si>
  <si>
    <r>
      <rPr>
        <sz val="11"/>
        <color rgb="FF000000"/>
        <rFont val="Meiryo UI"/>
        <family val="2"/>
      </rPr>
      <t>有効期限：1日</t>
    </r>
  </si>
  <si>
    <r>
      <rPr>
        <sz val="11"/>
        <color rgb="FF000000"/>
        <rFont val="Meiryo UI"/>
        <family val="2"/>
      </rPr>
      <t>"access_token": "eyJhbGciOiJIUzI1NiIsInR5cCI6IkpXVCJ9.eyJpc3MiOiJodHRwczovL2V4YW1wbGUuYXV0aDAuY29tLyIsImF1ZCI6Imh0dHBzOi8vYXBpLmV4YW1wbGUuY29tL2NhbGFuZGFyL3YxLyIsInN1YiI6InVzcl8xMjMiLCJpYXQiOjE0NTg3ODU3OTYsImV4cCI6MTQ1ODg3MjE5Nn0.CA7eaHjIHz5NxeIJoFK9krqaeZrPLwmMmgI_XiQiIkQ",</t>
    </r>
  </si>
  <si>
    <r>
      <rPr>
        <sz val="11"/>
        <color rgb="FF000000"/>
        <rFont val="Meiryo UI"/>
        <family val="2"/>
      </rPr>
      <t>「30_機能設計_00_共通.xlsx」ファイルの「共通APIレスポンス」シートをご参照ください。</t>
    </r>
  </si>
  <si>
    <r>
      <rPr>
        <sz val="11"/>
        <color rgb="FF000000"/>
        <rFont val="Meiryo UI"/>
        <family val="2"/>
      </rPr>
      <t>Refresh-Token</t>
    </r>
  </si>
  <si>
    <r>
      <rPr>
        <sz val="11"/>
        <color rgb="FF000000"/>
        <rFont val="Meiryo UI"/>
        <family val="2"/>
      </rPr>
      <t>APX002</t>
    </r>
  </si>
  <si>
    <r>
      <rPr>
        <sz val="11"/>
        <color rgb="FF000000"/>
        <rFont val="Meiryo UI"/>
        <family val="2"/>
      </rPr>
      <t>トークンアクセス対象APIが401エラーになっている場合、新しいトークンをリフレッシュする。</t>
    </r>
  </si>
  <si>
    <r>
      <rPr>
        <sz val="11"/>
        <color rgb="FF000000"/>
        <rFont val="Meiryo UI"/>
        <family val="2"/>
      </rPr>
      <t>api/v1/auth/refresh</t>
    </r>
  </si>
  <si>
    <r>
      <rPr>
        <sz val="11"/>
        <color rgb="FF000000"/>
        <rFont val="Meiryo UI"/>
        <family val="2"/>
      </rPr>
      <t>"refresh_token": "i6mapTIAVSp2oJkgUnCACKKfZxt_H5MBLiqcybBBd04",</t>
    </r>
  </si>
  <si>
    <t>]</t>
  </si>
  <si>
    <r>
      <rPr>
        <sz val="11"/>
        <color rgb="FF000000"/>
        <rFont val="Meiryo UI"/>
        <family val="2"/>
      </rPr>
      <t xml:space="preserve">有効期限： </t>
    </r>
    <r>
      <rPr>
        <sz val="11"/>
        <color rgb="FFFF0000"/>
        <rFont val="Meiryo UI"/>
        <family val="2"/>
      </rPr>
      <t>5分</t>
    </r>
  </si>
  <si>
    <r>
      <rPr>
        <sz val="11"/>
        <color rgb="FF000000"/>
        <rFont val="Meiryo UI"/>
        <family val="2"/>
      </rPr>
      <t>string</t>
    </r>
  </si>
  <si>
    <r>
      <rPr>
        <sz val="11"/>
        <color rgb="FFFFFFFF"/>
        <rFont val="Meiryo UI"/>
        <family val="2"/>
      </rPr>
      <t>システム名</t>
    </r>
  </si>
  <si>
    <r>
      <rPr>
        <sz val="11"/>
        <color rgb="FFFFFFFF"/>
        <rFont val="Meiryo UI"/>
        <family val="2"/>
      </rPr>
      <t>システム種別</t>
    </r>
  </si>
  <si>
    <t>詳細設計書</t>
  </si>
  <si>
    <r>
      <rPr>
        <sz val="11"/>
        <color rgb="FFFFFFFF"/>
        <rFont val="Meiryo UI"/>
        <family val="2"/>
      </rPr>
      <t>作成者</t>
    </r>
  </si>
  <si>
    <r>
      <rPr>
        <sz val="11"/>
        <color rgb="FFFFFFFF"/>
        <rFont val="Meiryo UI"/>
        <family val="2"/>
      </rPr>
      <t>作成日</t>
    </r>
  </si>
  <si>
    <r>
      <rPr>
        <sz val="11"/>
        <color rgb="FFFFFFFF"/>
        <rFont val="Meiryo UI"/>
        <family val="2"/>
      </rPr>
      <t>更新者</t>
    </r>
  </si>
  <si>
    <r>
      <rPr>
        <sz val="11"/>
        <color rgb="FFFFFFFF"/>
        <rFont val="Meiryo UI"/>
        <family val="2"/>
      </rPr>
      <t>更新日</t>
    </r>
  </si>
  <si>
    <r>
      <rPr>
        <sz val="11"/>
        <color rgb="FFFFFFFF"/>
        <rFont val="Meiryo UI"/>
        <family val="2"/>
      </rPr>
      <t>版数</t>
    </r>
  </si>
  <si>
    <t>POSサーバー</t>
  </si>
  <si>
    <r>
      <rPr>
        <sz val="11"/>
        <color rgb="FFFFFFFF"/>
        <rFont val="Meiryo UI"/>
        <family val="2"/>
      </rPr>
      <t>機能カテゴリ</t>
    </r>
  </si>
  <si>
    <r>
      <rPr>
        <sz val="11"/>
        <color rgb="FFFFFFFF"/>
        <rFont val="Meiryo UI"/>
        <family val="2"/>
      </rPr>
      <t>項目</t>
    </r>
  </si>
  <si>
    <t>API設計書</t>
  </si>
  <si>
    <t>POSサーバーの詳細設計書</t>
  </si>
  <si>
    <r>
      <rPr>
        <sz val="11"/>
        <color rgb="FFFFFFFF"/>
        <rFont val="Meiryo UI"/>
        <family val="2"/>
      </rPr>
      <t>承認日</t>
    </r>
  </si>
  <si>
    <r>
      <rPr>
        <sz val="11"/>
        <color rgb="FFFFFFFF"/>
        <rFont val="Meiryo UI"/>
        <family val="2"/>
      </rPr>
      <t>承認者</t>
    </r>
  </si>
  <si>
    <r>
      <rPr>
        <sz val="11"/>
        <color rgb="FFFFFFFF"/>
        <rFont val="Meiryo UI"/>
        <family val="2"/>
      </rPr>
      <t>機能カテゴリー</t>
    </r>
  </si>
  <si>
    <r>
      <rPr>
        <sz val="11"/>
        <color rgb="FFFFFFFF"/>
        <rFont val="Meiryo UI"/>
        <family val="2"/>
      </rPr>
      <t>更新内容</t>
    </r>
  </si>
  <si>
    <t>LoiLV</t>
  </si>
  <si>
    <t>レスポンス成功の更新</t>
  </si>
  <si>
    <t>AnhDD</t>
  </si>
  <si>
    <t>●API処理フロー</t>
  </si>
  <si>
    <r>
      <rPr>
        <b/>
        <sz val="11"/>
        <color rgb="FF000000"/>
        <rFont val="Meiryo UI"/>
        <family val="2"/>
      </rPr>
      <t>1. 概要</t>
    </r>
  </si>
  <si>
    <t>2. リクエスト</t>
  </si>
  <si>
    <t>2.1 Request URL</t>
  </si>
  <si>
    <t>2. 2 Request Header</t>
  </si>
  <si>
    <r>
      <t xml:space="preserve">No. </t>
    </r>
    <r>
      <rPr>
        <sz val="11"/>
        <color rgb="FF000000"/>
        <rFont val="Meiryo UI"/>
        <family val="2"/>
      </rPr>
      <t xml:space="preserve"> </t>
    </r>
  </si>
  <si>
    <t>ヘッダー</t>
  </si>
  <si>
    <t>項目説明</t>
  </si>
  <si>
    <r>
      <rPr>
        <sz val="11"/>
        <color rgb="FF000000"/>
        <rFont val="Meiryo UI"/>
        <family val="2"/>
      </rPr>
      <t>送信リクエストの本文情報のタイプを定義する。例: application/json, mutilpart/form-data.
転送データのタイプによって、content-typeが必須又は必須ではない。例：
・入力がjsonの場合、content-typeが</t>
    </r>
    <r>
      <rPr>
        <b/>
        <sz val="11"/>
        <color rgb="FF000000"/>
        <rFont val="Meiryo UI"/>
        <family val="2"/>
      </rPr>
      <t>必須</t>
    </r>
    <r>
      <rPr>
        <sz val="11"/>
        <color rgb="FF000000"/>
        <rFont val="Meiryo UI"/>
        <family val="2"/>
      </rPr>
      <t>であり、</t>
    </r>
    <r>
      <rPr>
        <b/>
        <sz val="11"/>
        <color rgb="FF000000"/>
        <rFont val="Meiryo UI"/>
        <family val="2"/>
      </rPr>
      <t>application/json</t>
    </r>
    <r>
      <rPr>
        <sz val="11"/>
        <color rgb="FF000000"/>
        <rFont val="Meiryo UI"/>
        <family val="2"/>
      </rPr>
      <t>の値を受け取る。</t>
    </r>
  </si>
  <si>
    <r>
      <rPr>
        <sz val="11"/>
        <color rgb="FF000000"/>
        <rFont val="Meiryo UI"/>
        <family val="2"/>
      </rPr>
      <t>データ暗号化アルゴリズムを定義する。サーバーから受信したデータに使用できる： zip、gzip、png、gif等</t>
    </r>
  </si>
  <si>
    <t>2.3 Query Parameter/ path parameter</t>
  </si>
  <si>
    <t>2.4 Request Body</t>
  </si>
  <si>
    <r>
      <rPr>
        <b/>
        <sz val="11"/>
        <color rgb="FF000000"/>
        <rFont val="Meiryo UI"/>
        <family val="2"/>
      </rPr>
      <t>3. レスポンス</t>
    </r>
  </si>
  <si>
    <t>3.1. 正常の場合のレスポンスフォーマット</t>
  </si>
  <si>
    <t>JSON name</t>
  </si>
  <si>
    <t>user_detail</t>
  </si>
  <si>
    <t>Object</t>
  </si>
  <si>
    <t>ユーザー詳細情報</t>
  </si>
  <si>
    <t>user_name</t>
  </si>
  <si>
    <t>string</t>
  </si>
  <si>
    <t>ユーザーログイン名</t>
  </si>
  <si>
    <t>name</t>
  </si>
  <si>
    <t>表示に使用されるユーザー名</t>
  </si>
  <si>
    <t>role_code</t>
  </si>
  <si>
    <t>ユーザーロールコード</t>
  </si>
  <si>
    <t>3つのユーザーロールがある：
・00: System administrator (企業の全て店舗にアクセスする権限)
・01 : Headquarters user (複数の店舗にアクセスする権限)
・02 : Store user (1つの店舗のみにアクセスする権限)</t>
  </si>
  <si>
    <t>role_name</t>
  </si>
  <si>
    <t>ユーザーロール名</t>
  </si>
  <si>
    <t>company_code</t>
  </si>
  <si>
    <t>100: カスミ、800：いなげや</t>
  </si>
  <si>
    <t>permissions</t>
  </si>
  <si>
    <t>List&lt;Object&gt;</t>
  </si>
  <si>
    <t>アクセス可能権限一覧</t>
  </si>
  <si>
    <t>code</t>
  </si>
  <si>
    <t>権限コード</t>
  </si>
  <si>
    <t>01 - 99: 01～99の機能に該当する。</t>
  </si>
  <si>
    <t>alias_name</t>
  </si>
  <si>
    <t>権限エイリアス名称</t>
  </si>
  <si>
    <t>01～99の機能のエイリアス名称</t>
  </si>
  <si>
    <t>※サンプル</t>
  </si>
  <si>
    <t>"user_detail": {</t>
  </si>
  <si>
    <t>"user_name": "LUVINA02"</t>
  </si>
  <si>
    <t>"name": "Luvina Test"</t>
  </si>
  <si>
    <t>"role_code": "02"</t>
  </si>
  <si>
    <t>"role_name": "Store User"</t>
  </si>
  <si>
    <t>"company_code": "100",</t>
  </si>
  <si>
    <t>"permisisons": [</t>
  </si>
  <si>
    <t>code: "01"</t>
  </si>
  <si>
    <t>"alias_name": "Product_managerment"</t>
  </si>
  <si>
    <r>
      <rPr>
        <b/>
        <sz val="11"/>
        <color rgb="FF000000"/>
        <rFont val="Meiryo UI"/>
        <family val="2"/>
      </rPr>
      <t>3.2. エラーの場合のレスポンスフォーマット</t>
    </r>
  </si>
  <si>
    <t>APX002</t>
  </si>
  <si>
    <t>トークンアクセスの有効期限を修正する
ユーザーから返された情報を追加する</t>
  </si>
  <si>
    <t>company_name</t>
  </si>
  <si>
    <t>store_code</t>
  </si>
  <si>
    <t>StoreMaster.Code</t>
  </si>
  <si>
    <t>store_name</t>
  </si>
  <si>
    <t>StoreMaster.Name</t>
  </si>
  <si>
    <t>会社コード</t>
  </si>
  <si>
    <t>会社名</t>
  </si>
  <si>
    <t>店舗コード</t>
  </si>
  <si>
    <t>店舗名</t>
  </si>
  <si>
    <t>100：カスミ、800：いなげや
Company.Name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</si>
</sst>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&quot;¥&quot;* #,##0_-;\-&quot;¥&quot;* #,##0_-;_-&quot;¥&quot;* &quot;-&quot;_-;_-@_-"/>
    <numFmt numFmtId="165" formatCode="_-* #,##0_-;\-* #,##0_-;_-* &quot;-&quot;_-;_-@_-"/>
    <numFmt numFmtId="166" formatCode="_-&quot;¥&quot;* #,##0.00_-;\-&quot;¥&quot;* #,##0.00_-;_-&quot;¥&quot;* &quot;-&quot;??_-;_-@_-"/>
    <numFmt numFmtId="167" formatCode="_-* #,##0.00_-;\-* #,##0.00_-;_-* &quot;-&quot;??_-;_-@_-"/>
  </numFmts>
  <fonts count="23" x14ac:knownFonts="1">
    <font>
      <sz val="11"/>
      <name val="Meiryo UI"/>
      <family val="3"/>
      <charset val="128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Meiryo UI"/>
      <family val="2"/>
    </font>
    <font>
      <sz val="11"/>
      <color rgb="FF000000"/>
      <name val="Meiryo UI"/>
      <family val="2"/>
    </font>
    <font>
      <b/>
      <sz val="11"/>
      <color theme="1"/>
      <name val="Meiryo UI"/>
      <family val="2"/>
    </font>
    <font>
      <b/>
      <sz val="11"/>
      <color rgb="FF000000"/>
      <name val="Meiryo UI"/>
      <family val="2"/>
    </font>
    <font>
      <sz val="11"/>
      <color rgb="FF00B050"/>
      <name val="Meiryo UI"/>
      <family val="2"/>
    </font>
    <font>
      <sz val="11"/>
      <color rgb="FFFF0000"/>
      <name val="Meiryo UI"/>
      <family val="2"/>
    </font>
    <font>
      <sz val="11"/>
      <color rgb="FFC00000"/>
      <name val="Meiryo UI"/>
      <family val="2"/>
    </font>
    <font>
      <sz val="10"/>
      <color theme="1"/>
      <name val="Meiryo UI"/>
      <family val="2"/>
    </font>
    <font>
      <sz val="10"/>
      <color rgb="FFC00000"/>
      <name val="Meiryo UI"/>
      <family val="2"/>
    </font>
    <font>
      <sz val="10"/>
      <color rgb="FF000000"/>
      <name val="Meiryo UI"/>
      <family val="2"/>
    </font>
    <font>
      <sz val="11"/>
      <color rgb="FF0070C0"/>
      <name val="Meiryo UI"/>
      <family val="2"/>
    </font>
    <font>
      <i/>
      <sz val="11"/>
      <color rgb="FF0070C0"/>
      <name val="Meiryo UI"/>
      <family val="2"/>
    </font>
    <font>
      <sz val="11"/>
      <name val="Meiryo UI"/>
      <family val="3"/>
      <charset val="128"/>
    </font>
    <font>
      <sz val="11"/>
      <color theme="0"/>
      <name val="Meiryo UI"/>
      <family val="2"/>
    </font>
    <font>
      <sz val="11"/>
      <color rgb="FFFFFFFF"/>
      <name val="Meiryo UI"/>
      <family val="2"/>
    </font>
    <font>
      <sz val="18"/>
      <color rgb="FF000000"/>
      <name val="Meiryo UI"/>
      <family val="2"/>
    </font>
    <font>
      <sz val="18"/>
      <name val="Meiryo UI"/>
      <family val="2"/>
    </font>
    <font>
      <sz val="11"/>
      <name val="Meiryo UI"/>
      <family val="2"/>
    </font>
    <font>
      <sz val="24"/>
      <color rgb="FF000000"/>
      <name val="Meiryo UI"/>
      <family val="2"/>
    </font>
    <font>
      <b/>
      <sz val="24"/>
      <name val="Meiryo UI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333399"/>
        <bgColor indexed="64"/>
      </patternFill>
    </fill>
    <fill>
      <patternFill patternType="solid">
        <fgColor theme="4" tint="0.79995117038483843"/>
        <bgColor indexed="64"/>
      </patternFill>
    </fill>
  </fills>
  <borders count="32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ck">
        <color rgb="FF000080"/>
      </left>
      <right/>
      <top/>
      <bottom/>
      <diagonal/>
    </border>
    <border>
      <left style="thick">
        <color rgb="FF000080"/>
      </left>
      <right/>
      <top style="thick">
        <color rgb="FF000080"/>
      </top>
      <bottom/>
      <diagonal/>
    </border>
    <border>
      <left/>
      <right/>
      <top style="thick">
        <color rgb="FF000080"/>
      </top>
      <bottom/>
      <diagonal/>
    </border>
    <border>
      <left style="thick">
        <color rgb="FF000080"/>
      </left>
      <right/>
      <top/>
      <bottom style="thick">
        <color rgb="FF000080"/>
      </bottom>
      <diagonal/>
    </border>
    <border>
      <left/>
      <right/>
      <top/>
      <bottom style="thick">
        <color rgb="FF000080"/>
      </bottom>
      <diagonal/>
    </border>
    <border>
      <left/>
      <right style="thick">
        <color rgb="FF000080"/>
      </right>
      <top style="thick">
        <color rgb="FF000080"/>
      </top>
      <bottom/>
      <diagonal/>
    </border>
    <border>
      <left/>
      <right style="thick">
        <color rgb="FF000080"/>
      </right>
      <top/>
      <bottom/>
      <diagonal/>
    </border>
    <border>
      <left/>
      <right style="thick">
        <color rgb="FF000080"/>
      </right>
      <top/>
      <bottom style="thick">
        <color rgb="FF000080"/>
      </bottom>
      <diagonal/>
    </border>
    <border>
      <left/>
      <right/>
      <top/>
      <bottom style="medium">
        <color rgb="FF000080"/>
      </bottom>
      <diagonal/>
    </border>
    <border>
      <left/>
      <right/>
      <top style="medium">
        <color rgb="FF000080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/>
      <top/>
      <bottom style="thin">
        <color auto="1"/>
      </bottom>
      <diagonal/>
    </border>
    <border>
      <left/>
      <right style="hair">
        <color auto="1"/>
      </right>
      <top/>
      <bottom/>
      <diagonal/>
    </border>
    <border>
      <left/>
      <right style="hair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/>
      <right style="thin">
        <color auto="1"/>
      </right>
      <top style="hair">
        <color auto="1"/>
      </top>
      <bottom style="thin">
        <color auto="1"/>
      </bottom>
      <diagonal/>
    </border>
  </borders>
  <cellStyleXfs count="9">
    <xf numFmtId="0" fontId="0" fillId="0" borderId="0"/>
    <xf numFmtId="9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2" fillId="0" borderId="0"/>
    <xf numFmtId="0" fontId="15" fillId="0" borderId="0">
      <alignment vertical="center"/>
    </xf>
    <xf numFmtId="0" fontId="2" fillId="0" borderId="0">
      <alignment vertical="center"/>
    </xf>
  </cellStyleXfs>
  <cellXfs count="301">
    <xf numFmtId="0" fontId="0" fillId="0" borderId="0" xfId="0"/>
    <xf numFmtId="0" fontId="3" fillId="0" borderId="0" xfId="6" applyFont="1" applyAlignment="1">
      <alignment vertical="center"/>
    </xf>
    <xf numFmtId="0" fontId="3" fillId="0" borderId="2" xfId="6" applyFont="1" applyBorder="1" applyAlignment="1">
      <alignment vertical="center"/>
    </xf>
    <xf numFmtId="0" fontId="3" fillId="0" borderId="3" xfId="6" applyFont="1" applyBorder="1" applyAlignment="1">
      <alignment vertical="center"/>
    </xf>
    <xf numFmtId="0" fontId="3" fillId="0" borderId="5" xfId="6" applyFont="1" applyBorder="1" applyAlignment="1">
      <alignment vertical="center"/>
    </xf>
    <xf numFmtId="0" fontId="3" fillId="0" borderId="4" xfId="6" applyFont="1" applyBorder="1" applyAlignment="1">
      <alignment vertical="center"/>
    </xf>
    <xf numFmtId="0" fontId="3" fillId="0" borderId="16" xfId="6" applyFont="1" applyBorder="1" applyAlignment="1">
      <alignment vertical="center"/>
    </xf>
    <xf numFmtId="0" fontId="3" fillId="0" borderId="17" xfId="6" applyFont="1" applyBorder="1" applyAlignment="1">
      <alignment vertical="center"/>
    </xf>
    <xf numFmtId="0" fontId="3" fillId="0" borderId="18" xfId="6" applyFont="1" applyBorder="1" applyAlignment="1">
      <alignment vertical="center"/>
    </xf>
    <xf numFmtId="0" fontId="3" fillId="0" borderId="19" xfId="6" applyFont="1" applyBorder="1" applyAlignment="1">
      <alignment vertical="center"/>
    </xf>
    <xf numFmtId="0" fontId="3" fillId="0" borderId="20" xfId="6" applyFont="1" applyBorder="1" applyAlignment="1">
      <alignment vertical="center"/>
    </xf>
    <xf numFmtId="0" fontId="3" fillId="0" borderId="21" xfId="6" applyFont="1" applyBorder="1" applyAlignment="1">
      <alignment vertical="center"/>
    </xf>
    <xf numFmtId="0" fontId="3" fillId="0" borderId="22" xfId="6" applyFont="1" applyBorder="1" applyAlignment="1">
      <alignment vertical="center"/>
    </xf>
    <xf numFmtId="0" fontId="3" fillId="0" borderId="1" xfId="0" applyFont="1" applyBorder="1" applyAlignment="1">
      <alignment horizontal="left" vertical="center"/>
    </xf>
    <xf numFmtId="0" fontId="5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3" fillId="2" borderId="0" xfId="0" applyFont="1" applyFill="1" applyAlignment="1">
      <alignment vertical="center"/>
    </xf>
    <xf numFmtId="0" fontId="3" fillId="0" borderId="4" xfId="0" applyFont="1" applyBorder="1" applyAlignment="1">
      <alignment vertical="center"/>
    </xf>
    <xf numFmtId="0" fontId="3" fillId="3" borderId="0" xfId="0" applyFont="1" applyFill="1" applyAlignment="1">
      <alignment vertical="center"/>
    </xf>
    <xf numFmtId="0" fontId="5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vertical="center"/>
    </xf>
    <xf numFmtId="0" fontId="6" fillId="2" borderId="0" xfId="0" applyFont="1" applyFill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3" fillId="0" borderId="18" xfId="0" applyFont="1" applyBorder="1" applyAlignment="1">
      <alignment horizontal="left" vertical="center"/>
    </xf>
    <xf numFmtId="0" fontId="3" fillId="0" borderId="4" xfId="0" applyFont="1" applyBorder="1" applyAlignment="1">
      <alignment horizontal="left" vertical="center"/>
    </xf>
    <xf numFmtId="0" fontId="3" fillId="0" borderId="5" xfId="0" applyFont="1" applyBorder="1" applyAlignment="1">
      <alignment horizontal="left" vertical="center"/>
    </xf>
    <xf numFmtId="0" fontId="3" fillId="0" borderId="0" xfId="0" quotePrefix="1" applyFont="1" applyAlignment="1">
      <alignment horizontal="left" vertical="center"/>
    </xf>
    <xf numFmtId="0" fontId="7" fillId="0" borderId="0" xfId="0" quotePrefix="1" applyFont="1" applyAlignment="1">
      <alignment horizontal="left" vertical="center" wrapText="1"/>
    </xf>
    <xf numFmtId="0" fontId="8" fillId="0" borderId="0" xfId="0" quotePrefix="1" applyFont="1" applyAlignment="1">
      <alignment horizontal="left" vertical="center"/>
    </xf>
    <xf numFmtId="0" fontId="9" fillId="0" borderId="17" xfId="0" applyFont="1" applyBorder="1" applyAlignment="1">
      <alignment horizontal="left" vertical="center"/>
    </xf>
    <xf numFmtId="0" fontId="3" fillId="0" borderId="17" xfId="0" applyFont="1" applyBorder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10" fillId="0" borderId="2" xfId="0" applyFont="1" applyBorder="1" applyAlignment="1">
      <alignment horizontal="left" vertical="center"/>
    </xf>
    <xf numFmtId="0" fontId="10" fillId="0" borderId="3" xfId="0" applyFont="1" applyBorder="1" applyAlignment="1">
      <alignment horizontal="left" vertical="center"/>
    </xf>
    <xf numFmtId="0" fontId="11" fillId="0" borderId="3" xfId="0" applyFont="1" applyBorder="1" applyAlignment="1">
      <alignment horizontal="left" vertical="center"/>
    </xf>
    <xf numFmtId="0" fontId="10" fillId="0" borderId="3" xfId="0" applyFont="1" applyBorder="1" applyAlignment="1">
      <alignment vertical="center"/>
    </xf>
    <xf numFmtId="0" fontId="10" fillId="0" borderId="5" xfId="0" applyFont="1" applyBorder="1" applyAlignment="1">
      <alignment vertical="center"/>
    </xf>
    <xf numFmtId="0" fontId="10" fillId="3" borderId="0" xfId="0" applyFont="1" applyFill="1" applyAlignment="1">
      <alignment vertical="center"/>
    </xf>
    <xf numFmtId="0" fontId="3" fillId="0" borderId="19" xfId="0" applyFont="1" applyBorder="1" applyAlignment="1">
      <alignment vertical="center"/>
    </xf>
    <xf numFmtId="0" fontId="4" fillId="0" borderId="0" xfId="0" applyFont="1" applyAlignment="1">
      <alignment horizontal="left" vertical="center"/>
    </xf>
    <xf numFmtId="0" fontId="12" fillId="0" borderId="0" xfId="0" applyFont="1" applyAlignment="1">
      <alignment horizontal="left" vertical="center"/>
    </xf>
    <xf numFmtId="0" fontId="13" fillId="0" borderId="1" xfId="0" applyFont="1" applyBorder="1" applyAlignment="1">
      <alignment horizontal="left" vertical="center"/>
    </xf>
    <xf numFmtId="0" fontId="13" fillId="0" borderId="0" xfId="0" applyFont="1" applyAlignment="1">
      <alignment horizontal="left" vertical="center"/>
    </xf>
    <xf numFmtId="0" fontId="13" fillId="0" borderId="0" xfId="0" applyFont="1" applyAlignment="1">
      <alignment vertical="center"/>
    </xf>
    <xf numFmtId="0" fontId="13" fillId="0" borderId="4" xfId="0" applyFont="1" applyBorder="1" applyAlignment="1">
      <alignment vertical="center"/>
    </xf>
    <xf numFmtId="0" fontId="13" fillId="3" borderId="0" xfId="0" applyFont="1" applyFill="1" applyAlignment="1">
      <alignment vertical="center"/>
    </xf>
    <xf numFmtId="0" fontId="14" fillId="0" borderId="1" xfId="0" applyFont="1" applyBorder="1" applyAlignment="1">
      <alignment horizontal="left" vertical="center"/>
    </xf>
    <xf numFmtId="0" fontId="14" fillId="0" borderId="0" xfId="0" applyFont="1" applyAlignment="1">
      <alignment horizontal="left" vertical="center"/>
    </xf>
    <xf numFmtId="0" fontId="14" fillId="0" borderId="4" xfId="0" applyFont="1" applyBorder="1" applyAlignment="1">
      <alignment horizontal="left" vertical="center"/>
    </xf>
    <xf numFmtId="0" fontId="14" fillId="0" borderId="0" xfId="0" applyFont="1" applyAlignment="1">
      <alignment vertical="center"/>
    </xf>
    <xf numFmtId="0" fontId="14" fillId="0" borderId="4" xfId="0" applyFont="1" applyBorder="1" applyAlignment="1">
      <alignment vertical="center"/>
    </xf>
    <xf numFmtId="0" fontId="14" fillId="3" borderId="0" xfId="0" applyFont="1" applyFill="1" applyAlignment="1">
      <alignment vertical="center"/>
    </xf>
    <xf numFmtId="0" fontId="13" fillId="0" borderId="4" xfId="0" applyFont="1" applyBorder="1" applyAlignment="1">
      <alignment horizontal="left" vertical="center"/>
    </xf>
    <xf numFmtId="0" fontId="20" fillId="0" borderId="0" xfId="0" applyFont="1"/>
    <xf numFmtId="0" fontId="20" fillId="0" borderId="2" xfId="0" applyFont="1" applyBorder="1"/>
    <xf numFmtId="0" fontId="20" fillId="0" borderId="3" xfId="0" applyFont="1" applyBorder="1"/>
    <xf numFmtId="0" fontId="20" fillId="0" borderId="5" xfId="0" applyFont="1" applyBorder="1"/>
    <xf numFmtId="0" fontId="20" fillId="0" borderId="1" xfId="0" applyFont="1" applyBorder="1"/>
    <xf numFmtId="0" fontId="20" fillId="0" borderId="4" xfId="0" applyFont="1" applyBorder="1"/>
    <xf numFmtId="0" fontId="20" fillId="0" borderId="7" xfId="0" applyFont="1" applyBorder="1"/>
    <xf numFmtId="0" fontId="20" fillId="0" borderId="8" xfId="0" applyFont="1" applyBorder="1"/>
    <xf numFmtId="0" fontId="20" fillId="0" borderId="11" xfId="0" applyFont="1" applyBorder="1"/>
    <xf numFmtId="0" fontId="20" fillId="0" borderId="6" xfId="0" applyFont="1" applyBorder="1"/>
    <xf numFmtId="0" fontId="20" fillId="0" borderId="12" xfId="0" applyFont="1" applyBorder="1"/>
    <xf numFmtId="0" fontId="20" fillId="0" borderId="14" xfId="0" applyFont="1" applyBorder="1"/>
    <xf numFmtId="0" fontId="20" fillId="0" borderId="15" xfId="0" applyFont="1" applyBorder="1"/>
    <xf numFmtId="0" fontId="20" fillId="0" borderId="9" xfId="0" applyFont="1" applyBorder="1"/>
    <xf numFmtId="0" fontId="20" fillId="0" borderId="10" xfId="0" applyFont="1" applyBorder="1"/>
    <xf numFmtId="0" fontId="20" fillId="0" borderId="13" xfId="0" applyFont="1" applyBorder="1"/>
    <xf numFmtId="0" fontId="20" fillId="0" borderId="1" xfId="0" applyFont="1" applyBorder="1" applyAlignment="1">
      <alignment vertical="center"/>
    </xf>
    <xf numFmtId="0" fontId="17" fillId="4" borderId="19" xfId="0" applyFont="1" applyFill="1" applyBorder="1" applyAlignment="1">
      <alignment vertical="center"/>
    </xf>
    <xf numFmtId="0" fontId="16" fillId="4" borderId="0" xfId="0" applyFont="1" applyFill="1" applyAlignment="1">
      <alignment vertical="center"/>
    </xf>
    <xf numFmtId="0" fontId="16" fillId="4" borderId="21" xfId="0" applyFont="1" applyFill="1" applyBorder="1" applyAlignment="1">
      <alignment vertical="center"/>
    </xf>
    <xf numFmtId="0" fontId="16" fillId="4" borderId="19" xfId="0" applyFont="1" applyFill="1" applyBorder="1" applyAlignment="1">
      <alignment vertical="center"/>
    </xf>
    <xf numFmtId="0" fontId="20" fillId="0" borderId="4" xfId="0" applyFont="1" applyBorder="1" applyAlignment="1">
      <alignment vertical="center"/>
    </xf>
    <xf numFmtId="0" fontId="20" fillId="0" borderId="0" xfId="0" applyFont="1" applyAlignment="1">
      <alignment vertical="center"/>
    </xf>
    <xf numFmtId="0" fontId="20" fillId="2" borderId="0" xfId="0" applyFont="1" applyFill="1" applyAlignment="1">
      <alignment horizontal="left" vertical="center"/>
    </xf>
    <xf numFmtId="0" fontId="20" fillId="0" borderId="0" xfId="0" applyFont="1" applyAlignment="1">
      <alignment horizontal="left" vertical="center"/>
    </xf>
    <xf numFmtId="0" fontId="20" fillId="0" borderId="16" xfId="0" applyFont="1" applyBorder="1" applyAlignment="1">
      <alignment horizontal="left" vertical="center"/>
    </xf>
    <xf numFmtId="0" fontId="20" fillId="0" borderId="1" xfId="0" applyFont="1" applyBorder="1" applyAlignment="1">
      <alignment horizontal="left" vertical="center"/>
    </xf>
    <xf numFmtId="0" fontId="20" fillId="0" borderId="0" xfId="0" quotePrefix="1" applyFont="1" applyAlignment="1">
      <alignment horizontal="left" vertical="center"/>
    </xf>
    <xf numFmtId="0" fontId="20" fillId="0" borderId="2" xfId="0" applyFont="1" applyBorder="1" applyAlignment="1">
      <alignment horizontal="left" vertical="center"/>
    </xf>
    <xf numFmtId="0" fontId="20" fillId="0" borderId="21" xfId="0" applyFont="1" applyBorder="1" applyAlignment="1">
      <alignment vertical="center"/>
    </xf>
    <xf numFmtId="0" fontId="20" fillId="0" borderId="19" xfId="0" applyFont="1" applyBorder="1" applyAlignment="1">
      <alignment vertical="center"/>
    </xf>
    <xf numFmtId="0" fontId="20" fillId="0" borderId="16" xfId="0" applyFont="1" applyBorder="1" applyAlignment="1">
      <alignment horizontal="center" vertical="center"/>
    </xf>
    <xf numFmtId="0" fontId="20" fillId="0" borderId="17" xfId="0" applyFont="1" applyBorder="1" applyAlignment="1">
      <alignment horizontal="center" vertical="center"/>
    </xf>
    <xf numFmtId="0" fontId="20" fillId="0" borderId="18" xfId="0" applyFont="1" applyBorder="1" applyAlignment="1">
      <alignment horizontal="center" vertical="center"/>
    </xf>
    <xf numFmtId="0" fontId="20" fillId="0" borderId="1" xfId="0" applyFont="1" applyBorder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20" fillId="0" borderId="4" xfId="0" applyFont="1" applyBorder="1" applyAlignment="1">
      <alignment horizontal="center" vertical="center"/>
    </xf>
    <xf numFmtId="0" fontId="20" fillId="0" borderId="2" xfId="0" applyFont="1" applyBorder="1" applyAlignment="1">
      <alignment horizontal="center" vertical="center"/>
    </xf>
    <xf numFmtId="0" fontId="20" fillId="0" borderId="3" xfId="0" applyFont="1" applyBorder="1" applyAlignment="1">
      <alignment horizontal="center" vertical="center"/>
    </xf>
    <xf numFmtId="0" fontId="20" fillId="0" borderId="5" xfId="0" applyFont="1" applyBorder="1" applyAlignment="1">
      <alignment horizontal="center" vertical="center"/>
    </xf>
    <xf numFmtId="0" fontId="16" fillId="4" borderId="16" xfId="0" applyFont="1" applyFill="1" applyBorder="1" applyAlignment="1">
      <alignment horizontal="center" vertical="center"/>
    </xf>
    <xf numFmtId="0" fontId="16" fillId="4" borderId="17" xfId="0" applyFont="1" applyFill="1" applyBorder="1" applyAlignment="1">
      <alignment horizontal="center" vertical="center"/>
    </xf>
    <xf numFmtId="0" fontId="16" fillId="4" borderId="18" xfId="0" applyFont="1" applyFill="1" applyBorder="1" applyAlignment="1">
      <alignment horizontal="center" vertical="center"/>
    </xf>
    <xf numFmtId="0" fontId="16" fillId="4" borderId="2" xfId="0" applyFont="1" applyFill="1" applyBorder="1" applyAlignment="1">
      <alignment horizontal="center" vertical="center"/>
    </xf>
    <xf numFmtId="0" fontId="16" fillId="4" borderId="3" xfId="0" applyFont="1" applyFill="1" applyBorder="1" applyAlignment="1">
      <alignment horizontal="center" vertical="center"/>
    </xf>
    <xf numFmtId="0" fontId="16" fillId="4" borderId="5" xfId="0" applyFont="1" applyFill="1" applyBorder="1" applyAlignment="1">
      <alignment horizontal="center" vertical="center"/>
    </xf>
    <xf numFmtId="0" fontId="16" fillId="4" borderId="23" xfId="0" applyFont="1" applyFill="1" applyBorder="1" applyAlignment="1">
      <alignment horizontal="center" vertical="center"/>
    </xf>
    <xf numFmtId="0" fontId="16" fillId="4" borderId="24" xfId="0" applyFont="1" applyFill="1" applyBorder="1" applyAlignment="1">
      <alignment horizontal="center" vertical="center"/>
    </xf>
    <xf numFmtId="0" fontId="16" fillId="4" borderId="25" xfId="0" applyFont="1" applyFill="1" applyBorder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0" fontId="20" fillId="0" borderId="24" xfId="0" applyFont="1" applyBorder="1" applyAlignment="1">
      <alignment horizontal="center" vertical="center"/>
    </xf>
    <xf numFmtId="0" fontId="20" fillId="0" borderId="25" xfId="0" applyFont="1" applyBorder="1" applyAlignment="1">
      <alignment horizontal="center" vertical="center"/>
    </xf>
    <xf numFmtId="0" fontId="4" fillId="0" borderId="23" xfId="0" applyFont="1" applyBorder="1" applyAlignment="1">
      <alignment horizontal="center" vertical="center"/>
    </xf>
    <xf numFmtId="2" fontId="20" fillId="0" borderId="16" xfId="0" applyNumberFormat="1" applyFont="1" applyBorder="1" applyAlignment="1">
      <alignment horizontal="center" vertical="center"/>
    </xf>
    <xf numFmtId="2" fontId="20" fillId="0" borderId="17" xfId="0" applyNumberFormat="1" applyFont="1" applyBorder="1" applyAlignment="1">
      <alignment horizontal="center" vertical="center"/>
    </xf>
    <xf numFmtId="2" fontId="20" fillId="0" borderId="18" xfId="0" applyNumberFormat="1" applyFont="1" applyBorder="1" applyAlignment="1">
      <alignment horizontal="center" vertical="center"/>
    </xf>
    <xf numFmtId="2" fontId="20" fillId="0" borderId="2" xfId="0" applyNumberFormat="1" applyFont="1" applyBorder="1" applyAlignment="1">
      <alignment horizontal="center" vertical="center"/>
    </xf>
    <xf numFmtId="2" fontId="20" fillId="0" borderId="3" xfId="0" applyNumberFormat="1" applyFont="1" applyBorder="1" applyAlignment="1">
      <alignment horizontal="center" vertical="center"/>
    </xf>
    <xf numFmtId="2" fontId="20" fillId="0" borderId="5" xfId="0" applyNumberFormat="1" applyFont="1" applyBorder="1" applyAlignment="1">
      <alignment horizontal="center" vertical="center"/>
    </xf>
    <xf numFmtId="14" fontId="20" fillId="0" borderId="16" xfId="0" applyNumberFormat="1" applyFont="1" applyBorder="1" applyAlignment="1">
      <alignment horizontal="center" vertical="center"/>
    </xf>
    <xf numFmtId="14" fontId="20" fillId="0" borderId="17" xfId="0" applyNumberFormat="1" applyFont="1" applyBorder="1" applyAlignment="1">
      <alignment horizontal="center" vertical="center"/>
    </xf>
    <xf numFmtId="14" fontId="20" fillId="0" borderId="18" xfId="0" applyNumberFormat="1" applyFont="1" applyBorder="1" applyAlignment="1">
      <alignment horizontal="center" vertical="center"/>
    </xf>
    <xf numFmtId="14" fontId="20" fillId="0" borderId="2" xfId="0" applyNumberFormat="1" applyFont="1" applyBorder="1" applyAlignment="1">
      <alignment horizontal="center" vertical="center"/>
    </xf>
    <xf numFmtId="14" fontId="20" fillId="0" borderId="3" xfId="0" applyNumberFormat="1" applyFont="1" applyBorder="1" applyAlignment="1">
      <alignment horizontal="center" vertical="center"/>
    </xf>
    <xf numFmtId="14" fontId="20" fillId="0" borderId="5" xfId="0" applyNumberFormat="1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18" fillId="0" borderId="16" xfId="0" applyFont="1" applyBorder="1" applyAlignment="1">
      <alignment horizontal="center" vertical="center"/>
    </xf>
    <xf numFmtId="0" fontId="19" fillId="0" borderId="17" xfId="0" applyFont="1" applyBorder="1" applyAlignment="1">
      <alignment horizontal="center" vertical="center"/>
    </xf>
    <xf numFmtId="0" fontId="19" fillId="0" borderId="18" xfId="0" applyFont="1" applyBorder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19" fillId="0" borderId="4" xfId="0" applyFont="1" applyBorder="1" applyAlignment="1">
      <alignment horizontal="center" vertical="center"/>
    </xf>
    <xf numFmtId="0" fontId="19" fillId="0" borderId="2" xfId="0" applyFont="1" applyBorder="1" applyAlignment="1">
      <alignment horizontal="center" vertical="center"/>
    </xf>
    <xf numFmtId="0" fontId="19" fillId="0" borderId="3" xfId="0" applyFont="1" applyBorder="1" applyAlignment="1">
      <alignment horizontal="center" vertical="center"/>
    </xf>
    <xf numFmtId="0" fontId="19" fillId="0" borderId="5" xfId="0" applyFont="1" applyBorder="1" applyAlignment="1">
      <alignment horizontal="center" vertical="center"/>
    </xf>
    <xf numFmtId="0" fontId="20" fillId="0" borderId="26" xfId="0" applyFont="1" applyBorder="1"/>
    <xf numFmtId="0" fontId="20" fillId="0" borderId="27" xfId="0" applyFont="1" applyBorder="1"/>
    <xf numFmtId="0" fontId="20" fillId="0" borderId="28" xfId="0" applyFont="1" applyBorder="1"/>
    <xf numFmtId="0" fontId="20" fillId="0" borderId="17" xfId="0" applyFont="1" applyBorder="1"/>
    <xf numFmtId="0" fontId="20" fillId="0" borderId="18" xfId="0" applyFont="1" applyBorder="1"/>
    <xf numFmtId="0" fontId="20" fillId="0" borderId="3" xfId="0" applyFont="1" applyBorder="1"/>
    <xf numFmtId="0" fontId="20" fillId="0" borderId="5" xfId="0" applyFont="1" applyBorder="1"/>
    <xf numFmtId="0" fontId="20" fillId="0" borderId="16" xfId="0" applyFont="1" applyBorder="1"/>
    <xf numFmtId="0" fontId="20" fillId="0" borderId="2" xfId="0" applyFont="1" applyBorder="1"/>
    <xf numFmtId="0" fontId="20" fillId="0" borderId="29" xfId="0" applyFont="1" applyBorder="1"/>
    <xf numFmtId="0" fontId="20" fillId="0" borderId="30" xfId="0" applyFont="1" applyBorder="1"/>
    <xf numFmtId="0" fontId="20" fillId="0" borderId="31" xfId="0" applyFont="1" applyBorder="1"/>
    <xf numFmtId="0" fontId="16" fillId="4" borderId="0" xfId="0" applyFont="1" applyFill="1"/>
    <xf numFmtId="0" fontId="13" fillId="0" borderId="29" xfId="0" applyFont="1" applyBorder="1"/>
    <xf numFmtId="0" fontId="13" fillId="0" borderId="30" xfId="0" applyFont="1" applyBorder="1"/>
    <xf numFmtId="0" fontId="13" fillId="0" borderId="31" xfId="0" applyFont="1" applyBorder="1"/>
    <xf numFmtId="14" fontId="8" fillId="0" borderId="16" xfId="0" applyNumberFormat="1" applyFont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0" fontId="8" fillId="0" borderId="18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8" fillId="0" borderId="26" xfId="0" applyFont="1" applyBorder="1"/>
    <xf numFmtId="0" fontId="8" fillId="0" borderId="27" xfId="0" applyFont="1" applyBorder="1"/>
    <xf numFmtId="0" fontId="8" fillId="0" borderId="28" xfId="0" applyFont="1" applyBorder="1"/>
    <xf numFmtId="14" fontId="13" fillId="0" borderId="16" xfId="0" applyNumberFormat="1" applyFont="1" applyBorder="1" applyAlignment="1">
      <alignment horizontal="center" vertical="center"/>
    </xf>
    <xf numFmtId="0" fontId="13" fillId="0" borderId="17" xfId="0" applyFont="1" applyBorder="1" applyAlignment="1">
      <alignment horizontal="center" vertical="center"/>
    </xf>
    <xf numFmtId="0" fontId="13" fillId="0" borderId="18" xfId="0" applyFont="1" applyBorder="1" applyAlignment="1">
      <alignment horizontal="center" vertical="center"/>
    </xf>
    <xf numFmtId="0" fontId="13" fillId="0" borderId="2" xfId="0" applyFont="1" applyBorder="1" applyAlignment="1">
      <alignment horizontal="center" vertical="center"/>
    </xf>
    <xf numFmtId="0" fontId="13" fillId="0" borderId="3" xfId="0" applyFont="1" applyBorder="1" applyAlignment="1">
      <alignment horizontal="center" vertical="center"/>
    </xf>
    <xf numFmtId="0" fontId="13" fillId="0" borderId="5" xfId="0" applyFont="1" applyBorder="1" applyAlignment="1">
      <alignment horizontal="center" vertical="center"/>
    </xf>
    <xf numFmtId="0" fontId="13" fillId="0" borderId="16" xfId="0" applyFont="1" applyBorder="1" applyAlignment="1">
      <alignment horizontal="center" vertical="center"/>
    </xf>
    <xf numFmtId="0" fontId="13" fillId="0" borderId="26" xfId="0" applyFont="1" applyBorder="1"/>
    <xf numFmtId="0" fontId="13" fillId="0" borderId="27" xfId="0" applyFont="1" applyBorder="1"/>
    <xf numFmtId="0" fontId="13" fillId="0" borderId="28" xfId="0" applyFont="1" applyBorder="1"/>
    <xf numFmtId="0" fontId="19" fillId="0" borderId="16" xfId="0" applyFont="1" applyBorder="1" applyAlignment="1">
      <alignment horizontal="center" vertical="center"/>
    </xf>
    <xf numFmtId="0" fontId="3" fillId="0" borderId="16" xfId="6" applyFont="1" applyBorder="1" applyAlignment="1">
      <alignment horizontal="center" vertical="center"/>
    </xf>
    <xf numFmtId="0" fontId="3" fillId="0" borderId="17" xfId="6" applyFont="1" applyBorder="1" applyAlignment="1">
      <alignment horizontal="center" vertical="center"/>
    </xf>
    <xf numFmtId="0" fontId="3" fillId="0" borderId="18" xfId="6" applyFont="1" applyBorder="1" applyAlignment="1">
      <alignment horizontal="center" vertical="center"/>
    </xf>
    <xf numFmtId="0" fontId="3" fillId="0" borderId="2" xfId="6" applyFont="1" applyBorder="1" applyAlignment="1">
      <alignment horizontal="center" vertical="center"/>
    </xf>
    <xf numFmtId="0" fontId="3" fillId="0" borderId="3" xfId="6" applyFont="1" applyBorder="1" applyAlignment="1">
      <alignment horizontal="center" vertical="center"/>
    </xf>
    <xf numFmtId="0" fontId="3" fillId="0" borderId="5" xfId="6" applyFont="1" applyBorder="1" applyAlignment="1">
      <alignment horizontal="center" vertical="center"/>
    </xf>
    <xf numFmtId="0" fontId="16" fillId="4" borderId="23" xfId="6" applyFont="1" applyFill="1" applyBorder="1" applyAlignment="1">
      <alignment horizontal="center" vertical="center"/>
    </xf>
    <xf numFmtId="0" fontId="16" fillId="4" borderId="24" xfId="6" applyFont="1" applyFill="1" applyBorder="1" applyAlignment="1">
      <alignment horizontal="center" vertical="center"/>
    </xf>
    <xf numFmtId="0" fontId="16" fillId="4" borderId="25" xfId="6" applyFont="1" applyFill="1" applyBorder="1" applyAlignment="1">
      <alignment horizontal="center" vertical="center"/>
    </xf>
    <xf numFmtId="0" fontId="19" fillId="0" borderId="16" xfId="6" applyFont="1" applyBorder="1" applyAlignment="1">
      <alignment horizontal="center" vertical="center"/>
    </xf>
    <xf numFmtId="0" fontId="19" fillId="0" borderId="17" xfId="6" applyFont="1" applyBorder="1" applyAlignment="1">
      <alignment horizontal="center" vertical="center"/>
    </xf>
    <xf numFmtId="0" fontId="19" fillId="0" borderId="18" xfId="6" applyFont="1" applyBorder="1" applyAlignment="1">
      <alignment horizontal="center" vertical="center"/>
    </xf>
    <xf numFmtId="0" fontId="19" fillId="0" borderId="1" xfId="6" applyFont="1" applyBorder="1" applyAlignment="1">
      <alignment horizontal="center" vertical="center"/>
    </xf>
    <xf numFmtId="0" fontId="19" fillId="0" borderId="0" xfId="6" applyFont="1" applyAlignment="1">
      <alignment horizontal="center" vertical="center"/>
    </xf>
    <xf numFmtId="0" fontId="19" fillId="0" borderId="4" xfId="6" applyFont="1" applyBorder="1" applyAlignment="1">
      <alignment horizontal="center" vertical="center"/>
    </xf>
    <xf numFmtId="0" fontId="19" fillId="0" borderId="2" xfId="6" applyFont="1" applyBorder="1" applyAlignment="1">
      <alignment horizontal="center" vertical="center"/>
    </xf>
    <xf numFmtId="0" fontId="19" fillId="0" borderId="3" xfId="6" applyFont="1" applyBorder="1" applyAlignment="1">
      <alignment horizontal="center" vertical="center"/>
    </xf>
    <xf numFmtId="0" fontId="19" fillId="0" borderId="5" xfId="6" applyFont="1" applyBorder="1" applyAlignment="1">
      <alignment horizontal="center" vertical="center"/>
    </xf>
    <xf numFmtId="0" fontId="3" fillId="0" borderId="23" xfId="6" applyFont="1" applyBorder="1" applyAlignment="1">
      <alignment horizontal="center" vertical="center"/>
    </xf>
    <xf numFmtId="0" fontId="3" fillId="0" borderId="24" xfId="6" applyFont="1" applyBorder="1" applyAlignment="1">
      <alignment horizontal="center" vertical="center"/>
    </xf>
    <xf numFmtId="0" fontId="3" fillId="0" borderId="25" xfId="6" applyFont="1" applyBorder="1" applyAlignment="1">
      <alignment horizontal="center" vertical="center"/>
    </xf>
    <xf numFmtId="0" fontId="4" fillId="0" borderId="23" xfId="6" applyFont="1" applyBorder="1" applyAlignment="1">
      <alignment horizontal="center" vertical="center"/>
    </xf>
    <xf numFmtId="0" fontId="3" fillId="0" borderId="23" xfId="0" applyFont="1" applyBorder="1" applyAlignment="1">
      <alignment horizontal="left" vertical="center"/>
    </xf>
    <xf numFmtId="0" fontId="3" fillId="0" borderId="24" xfId="0" applyFont="1" applyBorder="1" applyAlignment="1">
      <alignment horizontal="left" vertical="center"/>
    </xf>
    <xf numFmtId="0" fontId="3" fillId="0" borderId="25" xfId="0" applyFont="1" applyBorder="1" applyAlignment="1">
      <alignment horizontal="left" vertical="center"/>
    </xf>
    <xf numFmtId="0" fontId="5" fillId="5" borderId="23" xfId="0" applyFont="1" applyFill="1" applyBorder="1" applyAlignment="1">
      <alignment horizontal="left" vertical="center"/>
    </xf>
    <xf numFmtId="0" fontId="5" fillId="5" borderId="25" xfId="0" applyFont="1" applyFill="1" applyBorder="1" applyAlignment="1">
      <alignment horizontal="left" vertical="center"/>
    </xf>
    <xf numFmtId="0" fontId="5" fillId="5" borderId="24" xfId="0" applyFont="1" applyFill="1" applyBorder="1" applyAlignment="1">
      <alignment horizontal="left" vertical="center"/>
    </xf>
    <xf numFmtId="0" fontId="3" fillId="0" borderId="23" xfId="0" applyFont="1" applyBorder="1" applyAlignment="1">
      <alignment vertical="center"/>
    </xf>
    <xf numFmtId="0" fontId="3" fillId="0" borderId="24" xfId="0" applyFont="1" applyBorder="1" applyAlignment="1">
      <alignment vertical="center"/>
    </xf>
    <xf numFmtId="0" fontId="3" fillId="0" borderId="25" xfId="0" applyFont="1" applyBorder="1" applyAlignment="1">
      <alignment vertical="center"/>
    </xf>
    <xf numFmtId="0" fontId="6" fillId="5" borderId="23" xfId="0" applyFont="1" applyFill="1" applyBorder="1" applyAlignment="1">
      <alignment horizontal="left" vertical="center"/>
    </xf>
    <xf numFmtId="0" fontId="6" fillId="5" borderId="24" xfId="0" applyFont="1" applyFill="1" applyBorder="1" applyAlignment="1">
      <alignment horizontal="left" vertical="center"/>
    </xf>
    <xf numFmtId="0" fontId="6" fillId="5" borderId="25" xfId="0" applyFont="1" applyFill="1" applyBorder="1" applyAlignment="1">
      <alignment horizontal="left" vertical="center"/>
    </xf>
    <xf numFmtId="0" fontId="6" fillId="5" borderId="23" xfId="0" applyFont="1" applyFill="1" applyBorder="1" applyAlignment="1">
      <alignment vertical="center"/>
    </xf>
    <xf numFmtId="0" fontId="6" fillId="5" borderId="24" xfId="0" applyFont="1" applyFill="1" applyBorder="1" applyAlignment="1">
      <alignment vertical="center"/>
    </xf>
    <xf numFmtId="0" fontId="6" fillId="5" borderId="25" xfId="0" applyFont="1" applyFill="1" applyBorder="1" applyAlignment="1">
      <alignment vertical="center"/>
    </xf>
    <xf numFmtId="0" fontId="20" fillId="0" borderId="23" xfId="0" applyFont="1" applyBorder="1" applyAlignment="1">
      <alignment horizontal="left" vertical="center"/>
    </xf>
    <xf numFmtId="0" fontId="20" fillId="0" borderId="24" xfId="0" applyFont="1" applyBorder="1" applyAlignment="1">
      <alignment horizontal="left" vertical="center"/>
    </xf>
    <xf numFmtId="0" fontId="20" fillId="0" borderId="25" xfId="0" applyFont="1" applyBorder="1" applyAlignment="1">
      <alignment horizontal="left" vertical="center"/>
    </xf>
    <xf numFmtId="0" fontId="20" fillId="0" borderId="23" xfId="0" quotePrefix="1" applyFont="1" applyBorder="1" applyAlignment="1">
      <alignment horizontal="left" vertical="center"/>
    </xf>
    <xf numFmtId="0" fontId="20" fillId="0" borderId="24" xfId="0" quotePrefix="1" applyFont="1" applyBorder="1" applyAlignment="1">
      <alignment horizontal="left" vertical="center"/>
    </xf>
    <xf numFmtId="0" fontId="20" fillId="0" borderId="25" xfId="0" quotePrefix="1" applyFont="1" applyBorder="1" applyAlignment="1">
      <alignment horizontal="left" vertical="center"/>
    </xf>
    <xf numFmtId="0" fontId="20" fillId="0" borderId="16" xfId="0" quotePrefix="1" applyFont="1" applyBorder="1" applyAlignment="1">
      <alignment horizontal="center" vertical="center"/>
    </xf>
    <xf numFmtId="0" fontId="20" fillId="0" borderId="17" xfId="0" quotePrefix="1" applyFont="1" applyBorder="1" applyAlignment="1">
      <alignment horizontal="center" vertical="center"/>
    </xf>
    <xf numFmtId="0" fontId="20" fillId="0" borderId="18" xfId="0" quotePrefix="1" applyFont="1" applyBorder="1" applyAlignment="1">
      <alignment horizontal="center" vertical="center"/>
    </xf>
    <xf numFmtId="0" fontId="20" fillId="0" borderId="1" xfId="0" quotePrefix="1" applyFont="1" applyBorder="1" applyAlignment="1">
      <alignment horizontal="center" vertical="center"/>
    </xf>
    <xf numFmtId="0" fontId="20" fillId="0" borderId="0" xfId="0" quotePrefix="1" applyFont="1" applyAlignment="1">
      <alignment horizontal="center" vertical="center"/>
    </xf>
    <xf numFmtId="0" fontId="20" fillId="0" borderId="4" xfId="0" quotePrefix="1" applyFont="1" applyBorder="1" applyAlignment="1">
      <alignment horizontal="center" vertical="center"/>
    </xf>
    <xf numFmtId="0" fontId="20" fillId="0" borderId="2" xfId="0" quotePrefix="1" applyFont="1" applyBorder="1" applyAlignment="1">
      <alignment horizontal="center" vertical="center"/>
    </xf>
    <xf numFmtId="0" fontId="20" fillId="0" borderId="3" xfId="0" quotePrefix="1" applyFont="1" applyBorder="1" applyAlignment="1">
      <alignment horizontal="center" vertical="center"/>
    </xf>
    <xf numFmtId="0" fontId="20" fillId="0" borderId="5" xfId="0" quotePrefix="1" applyFont="1" applyBorder="1" applyAlignment="1">
      <alignment horizontal="center" vertical="center"/>
    </xf>
    <xf numFmtId="0" fontId="3" fillId="0" borderId="23" xfId="0" quotePrefix="1" applyFont="1" applyBorder="1" applyAlignment="1">
      <alignment horizontal="left" vertical="center"/>
    </xf>
    <xf numFmtId="0" fontId="3" fillId="0" borderId="24" xfId="0" quotePrefix="1" applyFont="1" applyBorder="1" applyAlignment="1">
      <alignment horizontal="left" vertical="center"/>
    </xf>
    <xf numFmtId="0" fontId="3" fillId="0" borderId="25" xfId="0" quotePrefix="1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4" fillId="0" borderId="24" xfId="0" applyFont="1" applyBorder="1" applyAlignment="1">
      <alignment horizontal="left" vertical="center"/>
    </xf>
    <xf numFmtId="0" fontId="4" fillId="0" borderId="25" xfId="0" applyFont="1" applyBorder="1" applyAlignment="1">
      <alignment horizontal="left" vertical="center"/>
    </xf>
    <xf numFmtId="0" fontId="20" fillId="0" borderId="16" xfId="0" applyFont="1" applyBorder="1" applyAlignment="1">
      <alignment horizontal="left" vertical="top"/>
    </xf>
    <xf numFmtId="0" fontId="20" fillId="0" borderId="17" xfId="0" applyFont="1" applyBorder="1" applyAlignment="1">
      <alignment horizontal="left" vertical="top"/>
    </xf>
    <xf numFmtId="0" fontId="20" fillId="0" borderId="18" xfId="0" applyFont="1" applyBorder="1" applyAlignment="1">
      <alignment horizontal="left" vertical="top"/>
    </xf>
    <xf numFmtId="0" fontId="20" fillId="0" borderId="1" xfId="0" applyFont="1" applyBorder="1" applyAlignment="1">
      <alignment horizontal="left" vertical="top"/>
    </xf>
    <xf numFmtId="0" fontId="20" fillId="0" borderId="0" xfId="0" applyFont="1" applyAlignment="1">
      <alignment horizontal="left" vertical="top"/>
    </xf>
    <xf numFmtId="0" fontId="20" fillId="0" borderId="4" xfId="0" applyFont="1" applyBorder="1" applyAlignment="1">
      <alignment horizontal="left" vertical="top"/>
    </xf>
    <xf numFmtId="0" fontId="20" fillId="0" borderId="2" xfId="0" applyFont="1" applyBorder="1" applyAlignment="1">
      <alignment horizontal="left" vertical="top"/>
    </xf>
    <xf numFmtId="0" fontId="20" fillId="0" borderId="3" xfId="0" applyFont="1" applyBorder="1" applyAlignment="1">
      <alignment horizontal="left" vertical="top"/>
    </xf>
    <xf numFmtId="0" fontId="20" fillId="0" borderId="5" xfId="0" applyFont="1" applyBorder="1" applyAlignment="1">
      <alignment horizontal="left" vertical="top"/>
    </xf>
    <xf numFmtId="0" fontId="20" fillId="0" borderId="16" xfId="0" applyFont="1" applyBorder="1" applyAlignment="1">
      <alignment horizontal="left" vertical="center"/>
    </xf>
    <xf numFmtId="0" fontId="20" fillId="0" borderId="17" xfId="0" applyFont="1" applyBorder="1" applyAlignment="1">
      <alignment horizontal="left" vertical="center"/>
    </xf>
    <xf numFmtId="0" fontId="20" fillId="0" borderId="18" xfId="0" applyFont="1" applyBorder="1" applyAlignment="1">
      <alignment horizontal="left" vertical="center"/>
    </xf>
    <xf numFmtId="0" fontId="20" fillId="0" borderId="1" xfId="0" applyFont="1" applyBorder="1" applyAlignment="1">
      <alignment horizontal="left" vertical="center"/>
    </xf>
    <xf numFmtId="0" fontId="20" fillId="0" borderId="0" xfId="0" applyFont="1" applyAlignment="1">
      <alignment horizontal="left" vertical="center"/>
    </xf>
    <xf numFmtId="0" fontId="20" fillId="0" borderId="4" xfId="0" applyFont="1" applyBorder="1" applyAlignment="1">
      <alignment horizontal="left" vertical="center"/>
    </xf>
    <xf numFmtId="0" fontId="20" fillId="0" borderId="2" xfId="0" applyFont="1" applyBorder="1" applyAlignment="1">
      <alignment horizontal="left" vertical="center"/>
    </xf>
    <xf numFmtId="0" fontId="20" fillId="0" borderId="3" xfId="0" applyFont="1" applyBorder="1" applyAlignment="1">
      <alignment horizontal="left" vertical="center"/>
    </xf>
    <xf numFmtId="0" fontId="20" fillId="0" borderId="5" xfId="0" applyFont="1" applyBorder="1" applyAlignment="1">
      <alignment horizontal="left" vertical="center"/>
    </xf>
    <xf numFmtId="0" fontId="3" fillId="0" borderId="16" xfId="0" applyFont="1" applyBorder="1" applyAlignment="1">
      <alignment horizontal="left" vertical="center"/>
    </xf>
    <xf numFmtId="0" fontId="3" fillId="0" borderId="18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3" fillId="0" borderId="4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0" fontId="3" fillId="0" borderId="5" xfId="0" applyFont="1" applyBorder="1" applyAlignment="1">
      <alignment horizontal="left" vertical="center"/>
    </xf>
    <xf numFmtId="0" fontId="13" fillId="0" borderId="23" xfId="0" applyFont="1" applyBorder="1" applyAlignment="1">
      <alignment horizontal="left" vertical="center"/>
    </xf>
    <xf numFmtId="0" fontId="13" fillId="0" borderId="25" xfId="0" applyFont="1" applyBorder="1" applyAlignment="1">
      <alignment horizontal="left" vertical="center"/>
    </xf>
    <xf numFmtId="0" fontId="13" fillId="0" borderId="24" xfId="0" applyFont="1" applyBorder="1" applyAlignment="1">
      <alignment horizontal="left" vertical="center"/>
    </xf>
    <xf numFmtId="0" fontId="13" fillId="0" borderId="23" xfId="0" applyFont="1" applyBorder="1" applyAlignment="1">
      <alignment vertical="center"/>
    </xf>
    <xf numFmtId="0" fontId="13" fillId="0" borderId="24" xfId="0" applyFont="1" applyBorder="1" applyAlignment="1">
      <alignment vertical="center"/>
    </xf>
    <xf numFmtId="0" fontId="13" fillId="0" borderId="25" xfId="0" applyFont="1" applyBorder="1" applyAlignment="1">
      <alignment vertical="center"/>
    </xf>
    <xf numFmtId="0" fontId="3" fillId="0" borderId="23" xfId="0" applyFont="1" applyBorder="1" applyAlignment="1">
      <alignment horizontal="center" vertical="center"/>
    </xf>
    <xf numFmtId="0" fontId="3" fillId="0" borderId="24" xfId="0" applyFont="1" applyBorder="1" applyAlignment="1">
      <alignment horizontal="center" vertical="center"/>
    </xf>
    <xf numFmtId="0" fontId="3" fillId="0" borderId="25" xfId="0" applyFont="1" applyBorder="1" applyAlignment="1">
      <alignment horizontal="center" vertical="center"/>
    </xf>
    <xf numFmtId="0" fontId="20" fillId="0" borderId="17" xfId="0" quotePrefix="1" applyFont="1" applyBorder="1" applyAlignment="1">
      <alignment horizontal="left" vertical="top" wrapText="1"/>
    </xf>
    <xf numFmtId="0" fontId="20" fillId="0" borderId="18" xfId="0" quotePrefix="1" applyFont="1" applyBorder="1" applyAlignment="1">
      <alignment horizontal="left" vertical="top" wrapText="1"/>
    </xf>
    <xf numFmtId="0" fontId="20" fillId="0" borderId="0" xfId="0" quotePrefix="1" applyFont="1" applyAlignment="1">
      <alignment horizontal="left" vertical="top" wrapText="1"/>
    </xf>
    <xf numFmtId="0" fontId="20" fillId="0" borderId="4" xfId="0" quotePrefix="1" applyFont="1" applyBorder="1" applyAlignment="1">
      <alignment horizontal="left" vertical="top" wrapText="1"/>
    </xf>
    <xf numFmtId="0" fontId="20" fillId="0" borderId="3" xfId="0" quotePrefix="1" applyFont="1" applyBorder="1" applyAlignment="1">
      <alignment horizontal="left" vertical="top" wrapText="1"/>
    </xf>
    <xf numFmtId="0" fontId="20" fillId="0" borderId="5" xfId="0" quotePrefix="1" applyFont="1" applyBorder="1" applyAlignment="1">
      <alignment horizontal="left" vertical="top" wrapText="1"/>
    </xf>
    <xf numFmtId="0" fontId="20" fillId="0" borderId="16" xfId="0" quotePrefix="1" applyFont="1" applyBorder="1" applyAlignment="1">
      <alignment horizontal="left" vertical="center"/>
    </xf>
    <xf numFmtId="0" fontId="20" fillId="0" borderId="17" xfId="0" quotePrefix="1" applyFont="1" applyBorder="1" applyAlignment="1">
      <alignment horizontal="left" vertical="center"/>
    </xf>
    <xf numFmtId="0" fontId="20" fillId="0" borderId="18" xfId="0" quotePrefix="1" applyFont="1" applyBorder="1" applyAlignment="1">
      <alignment horizontal="left" vertical="center"/>
    </xf>
    <xf numFmtId="0" fontId="20" fillId="0" borderId="1" xfId="0" quotePrefix="1" applyFont="1" applyBorder="1" applyAlignment="1">
      <alignment horizontal="left" vertical="center"/>
    </xf>
    <xf numFmtId="0" fontId="20" fillId="0" borderId="0" xfId="0" quotePrefix="1" applyFont="1" applyAlignment="1">
      <alignment horizontal="left" vertical="center"/>
    </xf>
    <xf numFmtId="0" fontId="20" fillId="0" borderId="4" xfId="0" quotePrefix="1" applyFont="1" applyBorder="1" applyAlignment="1">
      <alignment horizontal="left" vertical="center"/>
    </xf>
    <xf numFmtId="0" fontId="20" fillId="0" borderId="2" xfId="0" quotePrefix="1" applyFont="1" applyBorder="1" applyAlignment="1">
      <alignment horizontal="left" vertical="center"/>
    </xf>
    <xf numFmtId="0" fontId="20" fillId="0" borderId="3" xfId="0" quotePrefix="1" applyFont="1" applyBorder="1" applyAlignment="1">
      <alignment horizontal="left" vertical="center"/>
    </xf>
    <xf numFmtId="0" fontId="20" fillId="0" borderId="5" xfId="0" quotePrefix="1" applyFont="1" applyBorder="1" applyAlignment="1">
      <alignment horizontal="left" vertical="center"/>
    </xf>
    <xf numFmtId="0" fontId="13" fillId="0" borderId="23" xfId="0" applyFont="1" applyBorder="1" applyAlignment="1">
      <alignment horizontal="left" vertical="center" indent="1"/>
    </xf>
    <xf numFmtId="0" fontId="13" fillId="0" borderId="24" xfId="0" applyFont="1" applyBorder="1" applyAlignment="1">
      <alignment horizontal="left" vertical="center" indent="1"/>
    </xf>
    <xf numFmtId="0" fontId="13" fillId="0" borderId="25" xfId="0" applyFont="1" applyBorder="1" applyAlignment="1">
      <alignment horizontal="left" vertical="center" indent="1"/>
    </xf>
    <xf numFmtId="0" fontId="13" fillId="0" borderId="23" xfId="0" applyFont="1" applyBorder="1" applyAlignment="1">
      <alignment horizontal="left" vertical="top" wrapText="1"/>
    </xf>
    <xf numFmtId="0" fontId="13" fillId="0" borderId="24" xfId="0" applyFont="1" applyBorder="1" applyAlignment="1">
      <alignment horizontal="left" vertical="top" wrapText="1"/>
    </xf>
    <xf numFmtId="0" fontId="13" fillId="0" borderId="25" xfId="0" applyFont="1" applyBorder="1" applyAlignment="1">
      <alignment horizontal="left" vertical="top" wrapText="1"/>
    </xf>
    <xf numFmtId="0" fontId="13" fillId="0" borderId="23" xfId="0" applyFont="1" applyBorder="1" applyAlignment="1">
      <alignment vertical="center" wrapText="1"/>
    </xf>
    <xf numFmtId="0" fontId="13" fillId="0" borderId="24" xfId="0" applyFont="1" applyBorder="1" applyAlignment="1">
      <alignment vertical="center" wrapText="1"/>
    </xf>
    <xf numFmtId="0" fontId="13" fillId="0" borderId="25" xfId="0" applyFont="1" applyBorder="1" applyAlignment="1">
      <alignment vertical="center" wrapText="1"/>
    </xf>
    <xf numFmtId="0" fontId="3" fillId="0" borderId="0" xfId="0" applyFont="1" applyAlignment="1">
      <alignment horizontal="left" vertical="top" wrapText="1"/>
    </xf>
    <xf numFmtId="0" fontId="13" fillId="0" borderId="23" xfId="0" applyFont="1" applyBorder="1" applyAlignment="1">
      <alignment horizontal="left" vertical="center" indent="2"/>
    </xf>
    <xf numFmtId="0" fontId="13" fillId="0" borderId="24" xfId="0" applyFont="1" applyBorder="1" applyAlignment="1">
      <alignment horizontal="left" vertical="center" indent="2"/>
    </xf>
    <xf numFmtId="0" fontId="13" fillId="0" borderId="25" xfId="0" applyFont="1" applyBorder="1" applyAlignment="1">
      <alignment horizontal="left" vertical="center" indent="2"/>
    </xf>
    <xf numFmtId="0" fontId="8" fillId="0" borderId="30" xfId="0" applyFont="1" applyBorder="1" applyAlignment="1">
      <alignment vertical="top"/>
    </xf>
    <xf numFmtId="0" fontId="8" fillId="0" borderId="31" xfId="0" applyFont="1" applyBorder="1" applyAlignment="1">
      <alignment vertical="top"/>
    </xf>
    <xf numFmtId="0" fontId="8" fillId="0" borderId="29" xfId="0" applyFont="1" applyBorder="1" applyAlignment="1">
      <alignment vertical="top" wrapText="1"/>
    </xf>
    <xf numFmtId="0" fontId="8" fillId="0" borderId="23" xfId="0" applyFont="1" applyBorder="1" applyAlignment="1">
      <alignment horizontal="left" vertical="center"/>
    </xf>
    <xf numFmtId="0" fontId="8" fillId="0" borderId="25" xfId="0" applyFont="1" applyBorder="1" applyAlignment="1">
      <alignment horizontal="left" vertical="center"/>
    </xf>
    <xf numFmtId="0" fontId="8" fillId="0" borderId="23" xfId="0" applyFont="1" applyBorder="1" applyAlignment="1">
      <alignment horizontal="left" vertical="center" indent="1"/>
    </xf>
    <xf numFmtId="0" fontId="8" fillId="0" borderId="24" xfId="0" applyFont="1" applyBorder="1" applyAlignment="1">
      <alignment horizontal="left" vertical="center" indent="1"/>
    </xf>
    <xf numFmtId="0" fontId="8" fillId="0" borderId="25" xfId="0" applyFont="1" applyBorder="1" applyAlignment="1">
      <alignment horizontal="left" vertical="center" indent="1"/>
    </xf>
    <xf numFmtId="0" fontId="8" fillId="0" borderId="23" xfId="0" applyFont="1" applyBorder="1" applyAlignment="1">
      <alignment horizontal="left" vertical="center" wrapText="1"/>
    </xf>
    <xf numFmtId="0" fontId="8" fillId="0" borderId="24" xfId="0" applyFont="1" applyBorder="1" applyAlignment="1">
      <alignment horizontal="left" vertical="center"/>
    </xf>
    <xf numFmtId="0" fontId="8" fillId="0" borderId="23" xfId="0" applyFont="1" applyBorder="1" applyAlignment="1">
      <alignment vertical="center"/>
    </xf>
    <xf numFmtId="0" fontId="8" fillId="0" borderId="24" xfId="0" applyFont="1" applyBorder="1" applyAlignment="1">
      <alignment vertical="center"/>
    </xf>
    <xf numFmtId="0" fontId="8" fillId="0" borderId="25" xfId="0" applyFont="1" applyBorder="1" applyAlignment="1">
      <alignment vertical="center"/>
    </xf>
  </cellXfs>
  <cellStyles count="9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Normal 2" xfId="7" xr:uid="{00000000-0005-0000-0000-000007000000}"/>
    <cellStyle name="Normal 2 2" xfId="8" xr:uid="{00000000-0005-0000-0000-000008000000}"/>
    <cellStyle name="Percent" xfId="1" xr:uid="{00000000-0005-0000-0000-000001000000}"/>
    <cellStyle name="標準 2" xfId="6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17</xdr:row>
      <xdr:rowOff>179294</xdr:rowOff>
    </xdr:from>
    <xdr:to>
      <xdr:col>26</xdr:col>
      <xdr:colOff>0</xdr:colOff>
      <xdr:row>22</xdr:row>
      <xdr:rowOff>0</xdr:rowOff>
    </xdr:to>
    <xdr:sp macro="" textlink="" fLocksText="0">
      <xdr:nvSpPr>
        <xdr:cNvPr id="2" name="吹き出し: 線 10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2400300" y="3533775"/>
          <a:ext cx="4533900" cy="771525"/>
        </a:xfrm>
        <a:prstGeom prst="borderCallout1">
          <a:avLst>
            <a:gd name="adj1" fmla="val 75416"/>
            <a:gd name="adj2" fmla="val -565"/>
            <a:gd name="adj3" fmla="val 57499"/>
            <a:gd name="adj4" fmla="val -16088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/>
              <a:ea typeface="Meiryo UI"/>
            </a:rPr>
            <a:t>処理方法・方式の説明</a:t>
          </a:r>
          <a:endParaRPr lang="ja-JP" altLang="en-US" sz="1100" b="0" i="0" u="none" baseline="0">
            <a:solidFill>
              <a:srgbClr val="000000"/>
            </a:solidFill>
            <a:latin typeface="Meiryo UI"/>
            <a:ea typeface="Meiryo UI"/>
          </a:endParaRPr>
        </a:p>
      </xdr:txBody>
    </xdr:sp>
    <xdr:clientData/>
  </xdr:twoCellAnchor>
  <xdr:twoCellAnchor>
    <xdr:from>
      <xdr:col>1</xdr:col>
      <xdr:colOff>1</xdr:colOff>
      <xdr:row>18</xdr:row>
      <xdr:rowOff>0</xdr:rowOff>
    </xdr:from>
    <xdr:to>
      <xdr:col>7</xdr:col>
      <xdr:colOff>2</xdr:colOff>
      <xdr:row>22</xdr:row>
      <xdr:rowOff>0</xdr:rowOff>
    </xdr:to>
    <xdr:sp macro="" textlink="" fLocksText="0">
      <xdr:nvSpPr>
        <xdr:cNvPr id="3" name="Rectangle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266700" y="3543300"/>
          <a:ext cx="1600200" cy="76200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ステップ、処理内容</a:t>
          </a:r>
          <a:endParaRPr lang="en-US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</xdr:col>
      <xdr:colOff>0</xdr:colOff>
      <xdr:row>9</xdr:row>
      <xdr:rowOff>11206</xdr:rowOff>
    </xdr:from>
    <xdr:to>
      <xdr:col>5</xdr:col>
      <xdr:colOff>0</xdr:colOff>
      <xdr:row>11</xdr:row>
      <xdr:rowOff>0</xdr:rowOff>
    </xdr:to>
    <xdr:sp macro="" textlink="" fLocksText="0">
      <xdr:nvSpPr>
        <xdr:cNvPr id="4" name="Oval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266700" y="1838325"/>
          <a:ext cx="1066800" cy="371475"/>
        </a:xfrm>
        <a:prstGeom prst="ellipse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/>
              <a:ea typeface="Meiryo UI"/>
            </a:rPr>
            <a:t>開始</a:t>
          </a:r>
        </a:p>
      </xdr:txBody>
    </xdr:sp>
    <xdr:clientData/>
  </xdr:twoCellAnchor>
  <xdr:twoCellAnchor>
    <xdr:from>
      <xdr:col>1</xdr:col>
      <xdr:colOff>0</xdr:colOff>
      <xdr:row>13</xdr:row>
      <xdr:rowOff>0</xdr:rowOff>
    </xdr:from>
    <xdr:to>
      <xdr:col>5</xdr:col>
      <xdr:colOff>0</xdr:colOff>
      <xdr:row>15</xdr:row>
      <xdr:rowOff>0</xdr:rowOff>
    </xdr:to>
    <xdr:sp macro="" textlink="" fLocksText="0">
      <xdr:nvSpPr>
        <xdr:cNvPr id="5" name="Oval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266700" y="2590800"/>
          <a:ext cx="1066800" cy="381000"/>
        </a:xfrm>
        <a:prstGeom prst="ellipse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/>
              <a:ea typeface="Meiryo UI"/>
            </a:rPr>
            <a:t>終了</a:t>
          </a:r>
        </a:p>
      </xdr:txBody>
    </xdr:sp>
    <xdr:clientData/>
  </xdr:twoCellAnchor>
  <xdr:twoCellAnchor>
    <xdr:from>
      <xdr:col>9</xdr:col>
      <xdr:colOff>0</xdr:colOff>
      <xdr:row>9</xdr:row>
      <xdr:rowOff>0</xdr:rowOff>
    </xdr:from>
    <xdr:to>
      <xdr:col>26</xdr:col>
      <xdr:colOff>0</xdr:colOff>
      <xdr:row>11</xdr:row>
      <xdr:rowOff>0</xdr:rowOff>
    </xdr:to>
    <xdr:sp macro="" textlink="" fLocksText="0">
      <xdr:nvSpPr>
        <xdr:cNvPr id="6" name="吹き出し: 線 10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2400300" y="1828800"/>
          <a:ext cx="4533900" cy="381000"/>
        </a:xfrm>
        <a:prstGeom prst="borderCallout1">
          <a:avLst>
            <a:gd name="adj1" fmla="val 75416"/>
            <a:gd name="adj2" fmla="val -565"/>
            <a:gd name="adj3" fmla="val 51617"/>
            <a:gd name="adj4" fmla="val -24088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/>
              <a:ea typeface="Meiryo UI"/>
            </a:rPr>
            <a:t>API処理フロー開始</a:t>
          </a:r>
          <a:endParaRPr lang="ja-JP" altLang="en-US" sz="1100" b="0" i="0" u="none" baseline="0">
            <a:solidFill>
              <a:srgbClr val="000000"/>
            </a:solidFill>
            <a:latin typeface="Meiryo UI"/>
            <a:ea typeface="Meiryo UI"/>
          </a:endParaRPr>
        </a:p>
      </xdr:txBody>
    </xdr:sp>
    <xdr:clientData/>
  </xdr:twoCellAnchor>
  <xdr:twoCellAnchor>
    <xdr:from>
      <xdr:col>9</xdr:col>
      <xdr:colOff>0</xdr:colOff>
      <xdr:row>13</xdr:row>
      <xdr:rowOff>0</xdr:rowOff>
    </xdr:from>
    <xdr:to>
      <xdr:col>26</xdr:col>
      <xdr:colOff>0</xdr:colOff>
      <xdr:row>15</xdr:row>
      <xdr:rowOff>0</xdr:rowOff>
    </xdr:to>
    <xdr:sp macro="" textlink="" fLocksText="0">
      <xdr:nvSpPr>
        <xdr:cNvPr id="7" name="吹き出し: 線 10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2400300" y="2590800"/>
          <a:ext cx="4533900" cy="381000"/>
        </a:xfrm>
        <a:prstGeom prst="borderCallout1">
          <a:avLst>
            <a:gd name="adj1" fmla="val 75416"/>
            <a:gd name="adj2" fmla="val -565"/>
            <a:gd name="adj3" fmla="val 45734"/>
            <a:gd name="adj4" fmla="val -25970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/>
              <a:ea typeface="Meiryo UI"/>
            </a:rPr>
            <a:t>API処理フロー終了</a:t>
          </a:r>
          <a:endParaRPr lang="ja-JP" altLang="en-US" sz="1100" b="0" i="0" u="none" baseline="0">
            <a:solidFill>
              <a:srgbClr val="000000"/>
            </a:solidFill>
            <a:latin typeface="Meiryo UI"/>
            <a:ea typeface="Meiryo UI"/>
          </a:endParaRPr>
        </a:p>
      </xdr:txBody>
    </xdr:sp>
    <xdr:clientData/>
  </xdr:twoCellAnchor>
  <xdr:twoCellAnchor>
    <xdr:from>
      <xdr:col>1</xdr:col>
      <xdr:colOff>0</xdr:colOff>
      <xdr:row>26</xdr:row>
      <xdr:rowOff>0</xdr:rowOff>
    </xdr:from>
    <xdr:to>
      <xdr:col>7</xdr:col>
      <xdr:colOff>0</xdr:colOff>
      <xdr:row>30</xdr:row>
      <xdr:rowOff>0</xdr:rowOff>
    </xdr:to>
    <xdr:sp macro="" textlink="" fLocksText="0">
      <xdr:nvSpPr>
        <xdr:cNvPr id="8" name="フローチャート: 書類 11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266700" y="5067300"/>
          <a:ext cx="1600200" cy="762000"/>
        </a:xfrm>
        <a:prstGeom prst="flowChartDocumen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marL="0" indent="0" algn="ctr">
            <a:lnSpc>
              <a:spcPts val="1320"/>
            </a:lnSpc>
          </a:pPr>
          <a:r>
            <a: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プリンター</a:t>
          </a:r>
          <a:endParaRPr lang="en-US" altLang="ja-JP" sz="11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  <a:p>
          <a:pPr algn="ctr">
            <a:def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defRPr>
          </a:pPr>
          <a:r>
            <a: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●●</a:t>
          </a:r>
        </a:p>
      </xdr:txBody>
    </xdr:sp>
    <xdr:clientData/>
  </xdr:twoCellAnchor>
  <xdr:twoCellAnchor>
    <xdr:from>
      <xdr:col>9</xdr:col>
      <xdr:colOff>0</xdr:colOff>
      <xdr:row>26</xdr:row>
      <xdr:rowOff>0</xdr:rowOff>
    </xdr:from>
    <xdr:to>
      <xdr:col>26</xdr:col>
      <xdr:colOff>0</xdr:colOff>
      <xdr:row>30</xdr:row>
      <xdr:rowOff>0</xdr:rowOff>
    </xdr:to>
    <xdr:sp macro="" textlink="" fLocksText="0">
      <xdr:nvSpPr>
        <xdr:cNvPr id="9" name="吹き出し: 線 12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2400300" y="5067300"/>
          <a:ext cx="4533900" cy="762000"/>
        </a:xfrm>
        <a:prstGeom prst="borderCallout1">
          <a:avLst>
            <a:gd name="adj1" fmla="val 75416"/>
            <a:gd name="adj2" fmla="val -565"/>
            <a:gd name="adj3" fmla="val 42793"/>
            <a:gd name="adj4" fmla="val -19617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/>
              <a:ea typeface="Meiryo UI"/>
            </a:rPr>
            <a:t>印刷帳票書類作成</a:t>
          </a:r>
          <a:endParaRPr lang="ja-JP" altLang="en-US" sz="1100" b="0" i="0" u="none" baseline="0">
            <a:solidFill>
              <a:srgbClr val="000000"/>
            </a:solidFill>
            <a:latin typeface="Meiryo UI"/>
            <a:ea typeface="Meiryo UI"/>
          </a:endParaRPr>
        </a:p>
      </xdr:txBody>
    </xdr:sp>
    <xdr:clientData/>
  </xdr:twoCellAnchor>
  <xdr:twoCellAnchor>
    <xdr:from>
      <xdr:col>1</xdr:col>
      <xdr:colOff>0</xdr:colOff>
      <xdr:row>33</xdr:row>
      <xdr:rowOff>0</xdr:rowOff>
    </xdr:from>
    <xdr:to>
      <xdr:col>7</xdr:col>
      <xdr:colOff>0</xdr:colOff>
      <xdr:row>37</xdr:row>
      <xdr:rowOff>179294</xdr:rowOff>
    </xdr:to>
    <xdr:sp macro="" textlink="" fLocksText="0">
      <xdr:nvSpPr>
        <xdr:cNvPr id="10" name="Flowchart: Decision 9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SpPr/>
      </xdr:nvSpPr>
      <xdr:spPr>
        <a:xfrm>
          <a:off x="266700" y="6400800"/>
          <a:ext cx="1600200" cy="942975"/>
        </a:xfrm>
        <a:prstGeom prst="flowChartDecision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t"/>
        <a:lstStyle/>
        <a:p>
          <a:pPr algn="ctr"/>
          <a:r>
            <a:rPr lang="en-US" sz="900" b="0" i="0" u="none" baseline="0">
              <a:solidFill>
                <a:srgbClr val="FFFFFF"/>
              </a:solidFill>
              <a:latin typeface="Meiryo UI"/>
              <a:ea typeface="Meiryo UI"/>
            </a:rPr>
            <a:t>4. レコードが存在している</a:t>
          </a:r>
          <a:endParaRPr lang="en-US" sz="900"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9</xdr:col>
      <xdr:colOff>0</xdr:colOff>
      <xdr:row>33</xdr:row>
      <xdr:rowOff>0</xdr:rowOff>
    </xdr:from>
    <xdr:to>
      <xdr:col>26</xdr:col>
      <xdr:colOff>0</xdr:colOff>
      <xdr:row>37</xdr:row>
      <xdr:rowOff>0</xdr:rowOff>
    </xdr:to>
    <xdr:sp macro="" textlink="" fLocksText="0">
      <xdr:nvSpPr>
        <xdr:cNvPr id="11" name="吹き出し: 線 12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SpPr/>
      </xdr:nvSpPr>
      <xdr:spPr>
        <a:xfrm>
          <a:off x="2400300" y="6400800"/>
          <a:ext cx="4533900" cy="762000"/>
        </a:xfrm>
        <a:prstGeom prst="borderCallout1">
          <a:avLst>
            <a:gd name="adj1" fmla="val 75416"/>
            <a:gd name="adj2" fmla="val -565"/>
            <a:gd name="adj3" fmla="val 42793"/>
            <a:gd name="adj4" fmla="val -19617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/>
              <a:ea typeface="Meiryo UI"/>
            </a:rPr>
            <a:t>分岐ロジック</a:t>
          </a:r>
          <a:endParaRPr lang="ja-JP" altLang="en-US" sz="1100" b="0" i="0" u="none" baseline="0">
            <a:solidFill>
              <a:srgbClr val="000000"/>
            </a:solidFill>
            <a:latin typeface="Meiryo UI"/>
            <a:ea typeface="Meiryo UI"/>
          </a:endParaRPr>
        </a:p>
      </xdr:txBody>
    </xdr:sp>
    <xdr:clientData/>
  </xdr:twoCellAnchor>
  <xdr:twoCellAnchor>
    <xdr:from>
      <xdr:col>1</xdr:col>
      <xdr:colOff>0</xdr:colOff>
      <xdr:row>41</xdr:row>
      <xdr:rowOff>0</xdr:rowOff>
    </xdr:from>
    <xdr:to>
      <xdr:col>5</xdr:col>
      <xdr:colOff>0</xdr:colOff>
      <xdr:row>42</xdr:row>
      <xdr:rowOff>0</xdr:rowOff>
    </xdr:to>
    <xdr:sp macro="" textlink="" fLocksText="0">
      <xdr:nvSpPr>
        <xdr:cNvPr id="12" name="Rectangle 11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SpPr/>
      </xdr:nvSpPr>
      <xdr:spPr>
        <a:xfrm>
          <a:off x="266700" y="7924800"/>
          <a:ext cx="1066800" cy="190500"/>
        </a:xfrm>
        <a:prstGeom prst="rect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accent3">
            <a:shade val="15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/>
              <a:ea typeface="Meiryo UI"/>
            </a:rPr>
            <a:t>ログ記録</a:t>
          </a:r>
        </a:p>
      </xdr:txBody>
    </xdr:sp>
    <xdr:clientData/>
  </xdr:twoCellAnchor>
  <xdr:twoCellAnchor>
    <xdr:from>
      <xdr:col>9</xdr:col>
      <xdr:colOff>0</xdr:colOff>
      <xdr:row>41</xdr:row>
      <xdr:rowOff>0</xdr:rowOff>
    </xdr:from>
    <xdr:to>
      <xdr:col>26</xdr:col>
      <xdr:colOff>0</xdr:colOff>
      <xdr:row>43</xdr:row>
      <xdr:rowOff>0</xdr:rowOff>
    </xdr:to>
    <xdr:sp macro="" textlink="" fLocksText="0">
      <xdr:nvSpPr>
        <xdr:cNvPr id="13" name="吹き出し: 線 12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SpPr/>
      </xdr:nvSpPr>
      <xdr:spPr>
        <a:xfrm>
          <a:off x="2400300" y="7924800"/>
          <a:ext cx="4533900" cy="381000"/>
        </a:xfrm>
        <a:prstGeom prst="borderCallout1">
          <a:avLst>
            <a:gd name="adj1" fmla="val 75416"/>
            <a:gd name="adj2" fmla="val -565"/>
            <a:gd name="adj3" fmla="val 6028"/>
            <a:gd name="adj4" fmla="val -25499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/>
              <a:ea typeface="Meiryo UI"/>
            </a:rPr>
            <a:t>システム規定のフォーマットに従ってログを記録する。</a:t>
          </a:r>
          <a:endParaRPr lang="ja-JP" altLang="en-US" sz="1100" b="0" i="0" u="none" baseline="0">
            <a:solidFill>
              <a:srgbClr val="000000"/>
            </a:solidFill>
            <a:latin typeface="Meiryo UI"/>
            <a:ea typeface="Meiryo UI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35</xdr:col>
      <xdr:colOff>0</xdr:colOff>
      <xdr:row>38</xdr:row>
      <xdr:rowOff>0</xdr:rowOff>
    </xdr:from>
    <xdr:to>
      <xdr:col>62</xdr:col>
      <xdr:colOff>0</xdr:colOff>
      <xdr:row>40</xdr:row>
      <xdr:rowOff>0</xdr:rowOff>
    </xdr:to>
    <xdr:sp macro="" textlink="" fLocksText="0">
      <xdr:nvSpPr>
        <xdr:cNvPr id="80" name="吹き出し: 線 2">
          <a:extLst>
            <a:ext uri="{FF2B5EF4-FFF2-40B4-BE49-F238E27FC236}">
              <a16:creationId xmlns:a16="http://schemas.microsoft.com/office/drawing/2014/main" id="{00000000-0008-0000-0400-000050000000}"/>
            </a:ext>
          </a:extLst>
        </xdr:cNvPr>
        <xdr:cNvSpPr/>
      </xdr:nvSpPr>
      <xdr:spPr>
        <a:xfrm>
          <a:off x="9334500" y="7353300"/>
          <a:ext cx="7200900" cy="381000"/>
        </a:xfrm>
        <a:prstGeom prst="borderCallout1">
          <a:avLst>
            <a:gd name="adj1" fmla="val 46004"/>
            <a:gd name="adj2" fmla="val 117"/>
            <a:gd name="adj3" fmla="val -25372"/>
            <a:gd name="adj4" fmla="val -100543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common_logのファイルに従ってログを記録する。</a:t>
          </a:r>
          <a:endParaRPr lang="vi-VN" altLang="ja-JP" sz="1000" b="0" i="0" u="none" baseline="0">
            <a:solidFill>
              <a:srgbClr val="000000"/>
            </a:solidFill>
            <a:latin typeface="Meiryo UI"/>
            <a:ea typeface="Meiryo UI" panose="020B0604030504040204" pitchFamily="34" charset="-128"/>
          </a:endParaRPr>
        </a:p>
      </xdr:txBody>
    </xdr:sp>
    <xdr:clientData/>
  </xdr:twoCellAnchor>
  <xdr:twoCellAnchor>
    <xdr:from>
      <xdr:col>35</xdr:col>
      <xdr:colOff>0</xdr:colOff>
      <xdr:row>14</xdr:row>
      <xdr:rowOff>0</xdr:rowOff>
    </xdr:from>
    <xdr:to>
      <xdr:col>62</xdr:col>
      <xdr:colOff>0</xdr:colOff>
      <xdr:row>16</xdr:row>
      <xdr:rowOff>0</xdr:rowOff>
    </xdr:to>
    <xdr:sp macro="" textlink="" fLocksText="0">
      <xdr:nvSpPr>
        <xdr:cNvPr id="10" name="吹き出し: 線 2">
          <a:extLst>
            <a:ext uri="{FF2B5EF4-FFF2-40B4-BE49-F238E27FC236}">
              <a16:creationId xmlns:a16="http://schemas.microsoft.com/office/drawing/2014/main" id="{00000000-0008-0000-0400-00000A000000}"/>
            </a:ext>
          </a:extLst>
        </xdr:cNvPr>
        <xdr:cNvSpPr/>
      </xdr:nvSpPr>
      <xdr:spPr>
        <a:xfrm>
          <a:off x="9334500" y="2781300"/>
          <a:ext cx="7200900" cy="381000"/>
        </a:xfrm>
        <a:prstGeom prst="borderCallout1">
          <a:avLst>
            <a:gd name="adj1" fmla="val 51887"/>
            <a:gd name="adj2" fmla="val 470"/>
            <a:gd name="adj3" fmla="val 48697"/>
            <a:gd name="adj4" fmla="val -97106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1. 送信されたリクエストのリフレッシュトークンを復号化し、有効期限が切れていないリフレッシュトークンを確認する。</a:t>
          </a:r>
          <a:endParaRPr lang="vi-VN" altLang="ja-JP" sz="1000" b="0" i="0" u="none" baseline="0">
            <a:solidFill>
              <a:srgbClr val="000000"/>
            </a:solidFill>
            <a:latin typeface="Meiryo UI"/>
            <a:ea typeface="Meiryo UI" panose="020B0604030504040204" pitchFamily="34" charset="-128"/>
          </a:endParaRP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endParaRPr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35</xdr:col>
      <xdr:colOff>0</xdr:colOff>
      <xdr:row>26</xdr:row>
      <xdr:rowOff>0</xdr:rowOff>
    </xdr:from>
    <xdr:to>
      <xdr:col>62</xdr:col>
      <xdr:colOff>0</xdr:colOff>
      <xdr:row>37</xdr:row>
      <xdr:rowOff>0</xdr:rowOff>
    </xdr:to>
    <xdr:sp macro="" textlink="" fLocksText="0">
      <xdr:nvSpPr>
        <xdr:cNvPr id="38" name="吹き出し: 線 2">
          <a:extLst>
            <a:ext uri="{FF2B5EF4-FFF2-40B4-BE49-F238E27FC236}">
              <a16:creationId xmlns:a16="http://schemas.microsoft.com/office/drawing/2014/main" id="{00000000-0008-0000-0400-000026000000}"/>
            </a:ext>
          </a:extLst>
        </xdr:cNvPr>
        <xdr:cNvSpPr/>
      </xdr:nvSpPr>
      <xdr:spPr>
        <a:xfrm>
          <a:off x="9334500" y="5067300"/>
          <a:ext cx="7200900" cy="2095500"/>
        </a:xfrm>
        <a:prstGeom prst="borderCallout1">
          <a:avLst>
            <a:gd name="adj1" fmla="val 51887"/>
            <a:gd name="adj2" fmla="val 470"/>
            <a:gd name="adj3" fmla="val 41098"/>
            <a:gd name="adj4" fmla="val -96938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0" i="0" u="none" baseline="0">
              <a:solidFill>
                <a:srgbClr val="0070C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3.</a:t>
          </a:r>
        </a:p>
        <a:p>
          <a:pPr>
            <a:defRPr lang="en-US" altLang="ja-JP" sz="1000" b="0" i="0" u="none" baseline="0">
              <a:solidFill>
                <a:srgbClr val="0070C0"/>
              </a:solidFill>
              <a:latin typeface="Meiryo UI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70C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・新しいaccess_tokenを生成する。</a:t>
          </a:r>
        </a:p>
        <a:p>
          <a:pPr>
            <a:defRPr lang="en-US" altLang="ja-JP" sz="1000" b="0" i="0" u="none" baseline="0">
              <a:solidFill>
                <a:srgbClr val="0070C0"/>
              </a:solidFill>
              <a:latin typeface="Meiryo UI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70C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・以下を満たすPermissionsテーブルから1～99の機能のpermissionsを取得する。</a:t>
          </a:r>
        </a:p>
        <a:p>
          <a:pPr>
            <a:defRPr lang="en-US" altLang="ja-JP" sz="1000" b="0" i="0" u="none" baseline="0">
              <a:solidFill>
                <a:srgbClr val="0070C0"/>
              </a:solidFill>
              <a:latin typeface="Meiryo UI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70C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+ SELECT FROM PermissionRole</a:t>
          </a:r>
        </a:p>
        <a:p>
          <a:pPr>
            <a:defRPr lang="en-US" altLang="ja-JP" sz="1000" b="0" i="0" u="none" baseline="0">
              <a:solidFill>
                <a:srgbClr val="0070C0"/>
              </a:solidFill>
              <a:latin typeface="Meiryo UI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70C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+ INNER JOIN Permissions ON Permissions.Code = PermissionRole.PermissionCode</a:t>
          </a:r>
        </a:p>
        <a:p>
          <a:pPr>
            <a:defRPr lang="en-US" altLang="ja-JP" sz="1000" b="0" i="0" u="none" baseline="0">
              <a:solidFill>
                <a:srgbClr val="0070C0"/>
              </a:solidFill>
              <a:latin typeface="Meiryo UI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70C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+ WHERE PermissionRole.RoleCode = user.RoleCode AND PermisisonRole.status = 1</a:t>
          </a:r>
        </a:p>
        <a:p>
          <a:pPr>
            <a:defRPr lang="en-US" altLang="ja-JP" sz="1000" b="0" i="0" u="none" baseline="0">
              <a:solidFill>
                <a:srgbClr val="0070C0"/>
              </a:solidFill>
              <a:latin typeface="Meiryo UI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70C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・以下を満たすRolesテーブルからRoleNameを取得する。</a:t>
          </a:r>
        </a:p>
        <a:p>
          <a:pPr>
            <a:defRPr lang="en-US" altLang="ja-JP" sz="1000" b="0" i="0" u="none" baseline="0">
              <a:solidFill>
                <a:srgbClr val="0070C0"/>
              </a:solidFill>
              <a:latin typeface="Meiryo UI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70C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+ Roles.Code = user.RoleCode</a:t>
          </a:r>
        </a:p>
        <a:p>
          <a:pPr>
            <a:defRPr lang="en-US" altLang="ja-JP" sz="1000" b="0" i="0" u="none" baseline="0">
              <a:solidFill>
                <a:srgbClr val="0070C0"/>
              </a:solidFill>
              <a:latin typeface="Meiryo UI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70C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・レスポンス情報を取得し、permissionsがない場合は空のpermission一覧を返す -&gt;ログを記録し、レスポンスを返す。</a:t>
          </a:r>
        </a:p>
        <a:p>
          <a:pPr>
            <a:defRPr lang="en-US" altLang="ja-JP" sz="1000" b="0" i="0" u="none" baseline="0">
              <a:solidFill>
                <a:srgbClr val="0070C0"/>
              </a:solidFill>
              <a:latin typeface="Meiryo UI"/>
              <a:ea typeface="Meiryo UI" panose="020B0604030504040204" pitchFamily="34" charset="-128"/>
            </a:defRPr>
          </a:pPr>
          <a:endParaRPr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35</xdr:col>
      <xdr:colOff>0</xdr:colOff>
      <xdr:row>20</xdr:row>
      <xdr:rowOff>0</xdr:rowOff>
    </xdr:from>
    <xdr:to>
      <xdr:col>62</xdr:col>
      <xdr:colOff>0</xdr:colOff>
      <xdr:row>24</xdr:row>
      <xdr:rowOff>134470</xdr:rowOff>
    </xdr:to>
    <xdr:sp macro="" textlink="" fLocksText="0">
      <xdr:nvSpPr>
        <xdr:cNvPr id="36" name="吹き出し: 線 2">
          <a:extLst>
            <a:ext uri="{FF2B5EF4-FFF2-40B4-BE49-F238E27FC236}">
              <a16:creationId xmlns:a16="http://schemas.microsoft.com/office/drawing/2014/main" id="{00000000-0008-0000-0400-000024000000}"/>
            </a:ext>
          </a:extLst>
        </xdr:cNvPr>
        <xdr:cNvSpPr/>
      </xdr:nvSpPr>
      <xdr:spPr>
        <a:xfrm>
          <a:off x="8236324" y="3922059"/>
          <a:ext cx="6353735" cy="896470"/>
        </a:xfrm>
        <a:prstGeom prst="borderCallout1">
          <a:avLst>
            <a:gd name="adj1" fmla="val 51887"/>
            <a:gd name="adj2" fmla="val 470"/>
            <a:gd name="adj3" fmla="val 34921"/>
            <a:gd name="adj4" fmla="val -99358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2. 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・有効期限が切れていない場合、「3. レスポンス情報取得」を取得する。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・有効期限が切れた場合、ログを記録し、以下のレスポンスを返す。 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ja-JP" alt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　</a:t>
          </a: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status_code = 401, message: MSG_ERR_006</a:t>
          </a:r>
        </a:p>
      </xdr:txBody>
    </xdr:sp>
    <xdr:clientData/>
  </xdr:twoCellAnchor>
  <xdr:twoCellAnchor>
    <xdr:from>
      <xdr:col>4</xdr:col>
      <xdr:colOff>0</xdr:colOff>
      <xdr:row>6</xdr:row>
      <xdr:rowOff>0</xdr:rowOff>
    </xdr:from>
    <xdr:to>
      <xdr:col>8</xdr:col>
      <xdr:colOff>0</xdr:colOff>
      <xdr:row>7</xdr:row>
      <xdr:rowOff>179294</xdr:rowOff>
    </xdr:to>
    <xdr:sp macro="" textlink="" fLocksText="0">
      <xdr:nvSpPr>
        <xdr:cNvPr id="3" name="Oval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/>
      </xdr:nvSpPr>
      <xdr:spPr>
        <a:xfrm>
          <a:off x="1066800" y="1257300"/>
          <a:ext cx="1066800" cy="371475"/>
        </a:xfrm>
        <a:prstGeom prst="ellipse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開始</a:t>
          </a:r>
        </a:p>
      </xdr:txBody>
    </xdr:sp>
    <xdr:clientData/>
  </xdr:twoCellAnchor>
  <xdr:twoCellAnchor>
    <xdr:from>
      <xdr:col>6</xdr:col>
      <xdr:colOff>0</xdr:colOff>
      <xdr:row>7</xdr:row>
      <xdr:rowOff>179294</xdr:rowOff>
    </xdr:from>
    <xdr:to>
      <xdr:col>6</xdr:col>
      <xdr:colOff>0</xdr:colOff>
      <xdr:row>10</xdr:row>
      <xdr:rowOff>11206</xdr:rowOff>
    </xdr:to>
    <xdr:cxnSp macro="">
      <xdr:nvCxnSpPr>
        <xdr:cNvPr id="4" name="Straight Arrow Connector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CxnSpPr>
          <a:stCxn id="3" idx="4"/>
          <a:endCxn id="5" idx="0"/>
        </xdr:cNvCxnSpPr>
      </xdr:nvCxnSpPr>
      <xdr:spPr>
        <a:xfrm>
          <a:off x="1600200" y="1628775"/>
          <a:ext cx="0" cy="400050"/>
        </a:xfrm>
        <a:prstGeom prst="straightConnector1">
          <a:avLst/>
        </a:prstGeom>
        <a:ln>
          <a:solidFill>
            <a:srgbClr val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10</xdr:row>
      <xdr:rowOff>11206</xdr:rowOff>
    </xdr:from>
    <xdr:to>
      <xdr:col>8</xdr:col>
      <xdr:colOff>0</xdr:colOff>
      <xdr:row>11</xdr:row>
      <xdr:rowOff>0</xdr:rowOff>
    </xdr:to>
    <xdr:sp macro="" textlink="" fLocksText="0">
      <xdr:nvSpPr>
        <xdr:cNvPr id="5" name="Rectangle 4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SpPr/>
      </xdr:nvSpPr>
      <xdr:spPr>
        <a:xfrm>
          <a:off x="1066800" y="2028825"/>
          <a:ext cx="1066800" cy="180975"/>
        </a:xfrm>
        <a:prstGeom prst="rect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accent3">
            <a:shade val="15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ログ記録</a:t>
          </a:r>
        </a:p>
      </xdr:txBody>
    </xdr:sp>
    <xdr:clientData/>
  </xdr:twoCellAnchor>
  <xdr:twoCellAnchor>
    <xdr:from>
      <xdr:col>35</xdr:col>
      <xdr:colOff>0</xdr:colOff>
      <xdr:row>9</xdr:row>
      <xdr:rowOff>0</xdr:rowOff>
    </xdr:from>
    <xdr:to>
      <xdr:col>62</xdr:col>
      <xdr:colOff>0</xdr:colOff>
      <xdr:row>11</xdr:row>
      <xdr:rowOff>0</xdr:rowOff>
    </xdr:to>
    <xdr:sp macro="" textlink="" fLocksText="0">
      <xdr:nvSpPr>
        <xdr:cNvPr id="7" name="吹き出し: 線 2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SpPr/>
      </xdr:nvSpPr>
      <xdr:spPr>
        <a:xfrm>
          <a:off x="9334500" y="1828800"/>
          <a:ext cx="7200900" cy="381000"/>
        </a:xfrm>
        <a:prstGeom prst="borderCallout1">
          <a:avLst>
            <a:gd name="adj1" fmla="val 51887"/>
            <a:gd name="adj2" fmla="val 470"/>
            <a:gd name="adj3" fmla="val 86392"/>
            <a:gd name="adj4" fmla="val -100190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common_logのファイルに従ってログを記録する。</a:t>
          </a:r>
          <a:endParaRPr lang="vi-VN" altLang="ja-JP" sz="1000" b="0" i="0" u="none" baseline="0">
            <a:solidFill>
              <a:srgbClr val="000000"/>
            </a:solidFill>
            <a:latin typeface="Meiryo UI"/>
            <a:ea typeface="Meiryo UI" panose="020B0604030504040204" pitchFamily="34" charset="-128"/>
          </a:endParaRPr>
        </a:p>
      </xdr:txBody>
    </xdr:sp>
    <xdr:clientData/>
  </xdr:twoCellAnchor>
  <xdr:twoCellAnchor>
    <xdr:from>
      <xdr:col>3</xdr:col>
      <xdr:colOff>0</xdr:colOff>
      <xdr:row>13</xdr:row>
      <xdr:rowOff>0</xdr:rowOff>
    </xdr:from>
    <xdr:to>
      <xdr:col>9</xdr:col>
      <xdr:colOff>0</xdr:colOff>
      <xdr:row>17</xdr:row>
      <xdr:rowOff>0</xdr:rowOff>
    </xdr:to>
    <xdr:sp macro="" textlink="" fLocksText="0">
      <xdr:nvSpPr>
        <xdr:cNvPr id="8" name="Rectangle 7">
          <a:extLst>
            <a:ext uri="{FF2B5EF4-FFF2-40B4-BE49-F238E27FC236}">
              <a16:creationId xmlns:a16="http://schemas.microsoft.com/office/drawing/2014/main" id="{00000000-0008-0000-0400-000008000000}"/>
            </a:ext>
          </a:extLst>
        </xdr:cNvPr>
        <xdr:cNvSpPr/>
      </xdr:nvSpPr>
      <xdr:spPr>
        <a:xfrm>
          <a:off x="800100" y="2590800"/>
          <a:ext cx="1600200" cy="76200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1.リフレッシュトークンの有効期限が切れていないかを確認する。</a:t>
          </a:r>
          <a:endParaRPr lang="en-US" sz="10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6</xdr:col>
      <xdr:colOff>0</xdr:colOff>
      <xdr:row>11</xdr:row>
      <xdr:rowOff>0</xdr:rowOff>
    </xdr:from>
    <xdr:to>
      <xdr:col>6</xdr:col>
      <xdr:colOff>0</xdr:colOff>
      <xdr:row>13</xdr:row>
      <xdr:rowOff>22412</xdr:rowOff>
    </xdr:to>
    <xdr:cxnSp macro="">
      <xdr:nvCxnSpPr>
        <xdr:cNvPr id="9" name="Straight Arrow Connector 8">
          <a:extLst>
            <a:ext uri="{FF2B5EF4-FFF2-40B4-BE49-F238E27FC236}">
              <a16:creationId xmlns:a16="http://schemas.microsoft.com/office/drawing/2014/main" id="{00000000-0008-0000-0400-000009000000}"/>
            </a:ext>
          </a:extLst>
        </xdr:cNvPr>
        <xdr:cNvCxnSpPr/>
      </xdr:nvCxnSpPr>
      <xdr:spPr>
        <a:xfrm>
          <a:off x="1600200" y="2209800"/>
          <a:ext cx="0" cy="400050"/>
        </a:xfrm>
        <a:prstGeom prst="straightConnector1">
          <a:avLst/>
        </a:prstGeom>
        <a:ln>
          <a:solidFill>
            <a:srgbClr val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0</xdr:colOff>
      <xdr:row>19</xdr:row>
      <xdr:rowOff>0</xdr:rowOff>
    </xdr:from>
    <xdr:to>
      <xdr:col>10</xdr:col>
      <xdr:colOff>0</xdr:colOff>
      <xdr:row>24</xdr:row>
      <xdr:rowOff>0</xdr:rowOff>
    </xdr:to>
    <xdr:sp macro="" textlink="" fLocksText="0">
      <xdr:nvSpPr>
        <xdr:cNvPr id="11" name="Flowchart: Decision 10">
          <a:extLst>
            <a:ext uri="{FF2B5EF4-FFF2-40B4-BE49-F238E27FC236}">
              <a16:creationId xmlns:a16="http://schemas.microsoft.com/office/drawing/2014/main" id="{00000000-0008-0000-0400-00000B000000}"/>
            </a:ext>
          </a:extLst>
        </xdr:cNvPr>
        <xdr:cNvSpPr/>
      </xdr:nvSpPr>
      <xdr:spPr>
        <a:xfrm>
          <a:off x="470647" y="3731559"/>
          <a:ext cx="1882588" cy="952500"/>
        </a:xfrm>
        <a:prstGeom prst="flowChartDecision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8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2.リフレッシュトークンの有効期限が切れていない。</a:t>
          </a:r>
          <a:endParaRPr lang="en-US" sz="800"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6</xdr:col>
      <xdr:colOff>0</xdr:colOff>
      <xdr:row>17</xdr:row>
      <xdr:rowOff>0</xdr:rowOff>
    </xdr:from>
    <xdr:to>
      <xdr:col>6</xdr:col>
      <xdr:colOff>1</xdr:colOff>
      <xdr:row>19</xdr:row>
      <xdr:rowOff>0</xdr:rowOff>
    </xdr:to>
    <xdr:cxnSp macro="">
      <xdr:nvCxnSpPr>
        <xdr:cNvPr id="12" name="Straight Arrow Connector 11">
          <a:extLst>
            <a:ext uri="{FF2B5EF4-FFF2-40B4-BE49-F238E27FC236}">
              <a16:creationId xmlns:a16="http://schemas.microsoft.com/office/drawing/2014/main" id="{00000000-0008-0000-0400-00000C000000}"/>
            </a:ext>
          </a:extLst>
        </xdr:cNvPr>
        <xdr:cNvCxnSpPr>
          <a:stCxn id="8" idx="2"/>
          <a:endCxn id="11" idx="0"/>
        </xdr:cNvCxnSpPr>
      </xdr:nvCxnSpPr>
      <xdr:spPr>
        <a:xfrm flipH="1">
          <a:off x="1600200" y="3352800"/>
          <a:ext cx="0" cy="381000"/>
        </a:xfrm>
        <a:prstGeom prst="straightConnector1">
          <a:avLst/>
        </a:prstGeom>
        <a:ln>
          <a:solidFill>
            <a:srgbClr val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0</xdr:colOff>
      <xdr:row>25</xdr:row>
      <xdr:rowOff>0</xdr:rowOff>
    </xdr:from>
    <xdr:to>
      <xdr:col>7</xdr:col>
      <xdr:colOff>0</xdr:colOff>
      <xdr:row>26</xdr:row>
      <xdr:rowOff>0</xdr:rowOff>
    </xdr:to>
    <xdr:sp macro="" textlink="" fLocksText="0">
      <xdr:nvSpPr>
        <xdr:cNvPr id="16" name="Flowchart: Process 15">
          <a:extLst>
            <a:ext uri="{FF2B5EF4-FFF2-40B4-BE49-F238E27FC236}">
              <a16:creationId xmlns:a16="http://schemas.microsoft.com/office/drawing/2014/main" id="{00000000-0008-0000-0400-000010000000}"/>
            </a:ext>
          </a:extLst>
        </xdr:cNvPr>
        <xdr:cNvSpPr/>
      </xdr:nvSpPr>
      <xdr:spPr>
        <a:xfrm>
          <a:off x="1333500" y="4876800"/>
          <a:ext cx="533400" cy="190500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はい</a:t>
          </a:r>
        </a:p>
      </xdr:txBody>
    </xdr:sp>
    <xdr:clientData/>
  </xdr:twoCellAnchor>
  <xdr:twoCellAnchor>
    <xdr:from>
      <xdr:col>10</xdr:col>
      <xdr:colOff>0</xdr:colOff>
      <xdr:row>21</xdr:row>
      <xdr:rowOff>0</xdr:rowOff>
    </xdr:from>
    <xdr:to>
      <xdr:col>12</xdr:col>
      <xdr:colOff>0</xdr:colOff>
      <xdr:row>22</xdr:row>
      <xdr:rowOff>0</xdr:rowOff>
    </xdr:to>
    <xdr:sp macro="" textlink="" fLocksText="0">
      <xdr:nvSpPr>
        <xdr:cNvPr id="17" name="Flowchart: Process 16">
          <a:extLst>
            <a:ext uri="{FF2B5EF4-FFF2-40B4-BE49-F238E27FC236}">
              <a16:creationId xmlns:a16="http://schemas.microsoft.com/office/drawing/2014/main" id="{00000000-0008-0000-0400-000011000000}"/>
            </a:ext>
          </a:extLst>
        </xdr:cNvPr>
        <xdr:cNvSpPr/>
      </xdr:nvSpPr>
      <xdr:spPr>
        <a:xfrm>
          <a:off x="2667000" y="4114800"/>
          <a:ext cx="533400" cy="190500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8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いいえ</a:t>
          </a:r>
        </a:p>
      </xdr:txBody>
    </xdr:sp>
    <xdr:clientData/>
  </xdr:twoCellAnchor>
  <xdr:twoCellAnchor>
    <xdr:from>
      <xdr:col>4</xdr:col>
      <xdr:colOff>0</xdr:colOff>
      <xdr:row>37</xdr:row>
      <xdr:rowOff>0</xdr:rowOff>
    </xdr:from>
    <xdr:to>
      <xdr:col>8</xdr:col>
      <xdr:colOff>0</xdr:colOff>
      <xdr:row>38</xdr:row>
      <xdr:rowOff>0</xdr:rowOff>
    </xdr:to>
    <xdr:sp macro="" textlink="" fLocksText="0">
      <xdr:nvSpPr>
        <xdr:cNvPr id="19" name="Rectangle 18">
          <a:extLst>
            <a:ext uri="{FF2B5EF4-FFF2-40B4-BE49-F238E27FC236}">
              <a16:creationId xmlns:a16="http://schemas.microsoft.com/office/drawing/2014/main" id="{00000000-0008-0000-0400-000013000000}"/>
            </a:ext>
          </a:extLst>
        </xdr:cNvPr>
        <xdr:cNvSpPr/>
      </xdr:nvSpPr>
      <xdr:spPr>
        <a:xfrm>
          <a:off x="1066800" y="7162800"/>
          <a:ext cx="1066800" cy="190500"/>
        </a:xfrm>
        <a:prstGeom prst="rect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accent3">
            <a:shade val="15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ログ記録</a:t>
          </a:r>
        </a:p>
      </xdr:txBody>
    </xdr:sp>
    <xdr:clientData/>
  </xdr:twoCellAnchor>
  <xdr:twoCellAnchor>
    <xdr:from>
      <xdr:col>4</xdr:col>
      <xdr:colOff>0</xdr:colOff>
      <xdr:row>40</xdr:row>
      <xdr:rowOff>22412</xdr:rowOff>
    </xdr:from>
    <xdr:to>
      <xdr:col>8</xdr:col>
      <xdr:colOff>0</xdr:colOff>
      <xdr:row>42</xdr:row>
      <xdr:rowOff>0</xdr:rowOff>
    </xdr:to>
    <xdr:sp macro="" textlink="" fLocksText="0">
      <xdr:nvSpPr>
        <xdr:cNvPr id="20" name="Oval 19">
          <a:extLst>
            <a:ext uri="{FF2B5EF4-FFF2-40B4-BE49-F238E27FC236}">
              <a16:creationId xmlns:a16="http://schemas.microsoft.com/office/drawing/2014/main" id="{00000000-0008-0000-0400-000014000000}"/>
            </a:ext>
          </a:extLst>
        </xdr:cNvPr>
        <xdr:cNvSpPr/>
      </xdr:nvSpPr>
      <xdr:spPr>
        <a:xfrm>
          <a:off x="1066800" y="7753350"/>
          <a:ext cx="1066800" cy="361950"/>
        </a:xfrm>
        <a:prstGeom prst="ellipse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終了</a:t>
          </a:r>
        </a:p>
      </xdr:txBody>
    </xdr:sp>
    <xdr:clientData/>
  </xdr:twoCellAnchor>
  <xdr:twoCellAnchor>
    <xdr:from>
      <xdr:col>6</xdr:col>
      <xdr:colOff>1</xdr:colOff>
      <xdr:row>26</xdr:row>
      <xdr:rowOff>0</xdr:rowOff>
    </xdr:from>
    <xdr:to>
      <xdr:col>6</xdr:col>
      <xdr:colOff>1</xdr:colOff>
      <xdr:row>28</xdr:row>
      <xdr:rowOff>0</xdr:rowOff>
    </xdr:to>
    <xdr:cxnSp macro="">
      <xdr:nvCxnSpPr>
        <xdr:cNvPr id="26" name="Straight Arrow Connector 25">
          <a:extLst>
            <a:ext uri="{FF2B5EF4-FFF2-40B4-BE49-F238E27FC236}">
              <a16:creationId xmlns:a16="http://schemas.microsoft.com/office/drawing/2014/main" id="{00000000-0008-0000-0400-00001A000000}"/>
            </a:ext>
          </a:extLst>
        </xdr:cNvPr>
        <xdr:cNvCxnSpPr>
          <a:stCxn id="16" idx="2"/>
          <a:endCxn id="28" idx="0"/>
        </xdr:cNvCxnSpPr>
      </xdr:nvCxnSpPr>
      <xdr:spPr>
        <a:xfrm>
          <a:off x="1600200" y="5067300"/>
          <a:ext cx="0" cy="381000"/>
        </a:xfrm>
        <a:prstGeom prst="straightConnector1">
          <a:avLst/>
        </a:prstGeom>
        <a:ln>
          <a:solidFill>
            <a:srgbClr val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0</xdr:colOff>
      <xdr:row>38</xdr:row>
      <xdr:rowOff>0</xdr:rowOff>
    </xdr:from>
    <xdr:to>
      <xdr:col>6</xdr:col>
      <xdr:colOff>0</xdr:colOff>
      <xdr:row>40</xdr:row>
      <xdr:rowOff>22412</xdr:rowOff>
    </xdr:to>
    <xdr:cxnSp macro="">
      <xdr:nvCxnSpPr>
        <xdr:cNvPr id="29" name="Straight Arrow Connector 28">
          <a:extLst>
            <a:ext uri="{FF2B5EF4-FFF2-40B4-BE49-F238E27FC236}">
              <a16:creationId xmlns:a16="http://schemas.microsoft.com/office/drawing/2014/main" id="{00000000-0008-0000-0400-00001D000000}"/>
            </a:ext>
          </a:extLst>
        </xdr:cNvPr>
        <xdr:cNvCxnSpPr>
          <a:stCxn id="19" idx="2"/>
          <a:endCxn id="20" idx="0"/>
        </xdr:cNvCxnSpPr>
      </xdr:nvCxnSpPr>
      <xdr:spPr>
        <a:xfrm>
          <a:off x="1600200" y="7353300"/>
          <a:ext cx="0" cy="400050"/>
        </a:xfrm>
        <a:prstGeom prst="straightConnector1">
          <a:avLst/>
        </a:prstGeom>
        <a:ln>
          <a:solidFill>
            <a:srgbClr val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0</xdr:colOff>
      <xdr:row>21</xdr:row>
      <xdr:rowOff>95250</xdr:rowOff>
    </xdr:from>
    <xdr:to>
      <xdr:col>12</xdr:col>
      <xdr:colOff>0</xdr:colOff>
      <xdr:row>37</xdr:row>
      <xdr:rowOff>0</xdr:rowOff>
    </xdr:to>
    <xdr:cxnSp macro="">
      <xdr:nvCxnSpPr>
        <xdr:cNvPr id="32" name="Straight Arrow Connector 31">
          <a:extLst>
            <a:ext uri="{FF2B5EF4-FFF2-40B4-BE49-F238E27FC236}">
              <a16:creationId xmlns:a16="http://schemas.microsoft.com/office/drawing/2014/main" id="{00000000-0008-0000-0400-000020000000}"/>
            </a:ext>
          </a:extLst>
        </xdr:cNvPr>
        <xdr:cNvCxnSpPr>
          <a:stCxn id="17" idx="3"/>
          <a:endCxn id="19" idx="0"/>
        </xdr:cNvCxnSpPr>
      </xdr:nvCxnSpPr>
      <xdr:spPr>
        <a:xfrm flipH="1">
          <a:off x="1600200" y="4210050"/>
          <a:ext cx="1600200" cy="2952750"/>
        </a:xfrm>
        <a:prstGeom prst="bentConnector4">
          <a:avLst>
            <a:gd name="adj1" fmla="val -16190"/>
            <a:gd name="adj2" fmla="val 80456"/>
          </a:avLst>
        </a:prstGeom>
        <a:ln>
          <a:solidFill>
            <a:srgbClr val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28</xdr:row>
      <xdr:rowOff>0</xdr:rowOff>
    </xdr:from>
    <xdr:to>
      <xdr:col>9</xdr:col>
      <xdr:colOff>0</xdr:colOff>
      <xdr:row>32</xdr:row>
      <xdr:rowOff>0</xdr:rowOff>
    </xdr:to>
    <xdr:sp macro="" textlink="" fLocksText="0">
      <xdr:nvSpPr>
        <xdr:cNvPr id="28" name="Rectangle 27">
          <a:extLst>
            <a:ext uri="{FF2B5EF4-FFF2-40B4-BE49-F238E27FC236}">
              <a16:creationId xmlns:a16="http://schemas.microsoft.com/office/drawing/2014/main" id="{00000000-0008-0000-0400-00001C000000}"/>
            </a:ext>
          </a:extLst>
        </xdr:cNvPr>
        <xdr:cNvSpPr/>
      </xdr:nvSpPr>
      <xdr:spPr>
        <a:xfrm>
          <a:off x="800100" y="5448300"/>
          <a:ext cx="1600200" cy="76200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3.レスポンス情報取得</a:t>
          </a:r>
        </a:p>
      </xdr:txBody>
    </xdr:sp>
    <xdr:clientData/>
  </xdr:twoCellAnchor>
  <xdr:twoCellAnchor>
    <xdr:from>
      <xdr:col>6</xdr:col>
      <xdr:colOff>0</xdr:colOff>
      <xdr:row>32</xdr:row>
      <xdr:rowOff>0</xdr:rowOff>
    </xdr:from>
    <xdr:to>
      <xdr:col>6</xdr:col>
      <xdr:colOff>1</xdr:colOff>
      <xdr:row>37</xdr:row>
      <xdr:rowOff>0</xdr:rowOff>
    </xdr:to>
    <xdr:cxnSp macro="">
      <xdr:nvCxnSpPr>
        <xdr:cNvPr id="74" name="Straight Arrow Connector 73">
          <a:extLst>
            <a:ext uri="{FF2B5EF4-FFF2-40B4-BE49-F238E27FC236}">
              <a16:creationId xmlns:a16="http://schemas.microsoft.com/office/drawing/2014/main" id="{00000000-0008-0000-0400-00004A000000}"/>
            </a:ext>
          </a:extLst>
        </xdr:cNvPr>
        <xdr:cNvCxnSpPr>
          <a:stCxn id="28" idx="2"/>
          <a:endCxn id="19" idx="0"/>
        </xdr:cNvCxnSpPr>
      </xdr:nvCxnSpPr>
      <xdr:spPr>
        <a:xfrm flipH="1">
          <a:off x="1600200" y="6210300"/>
          <a:ext cx="0" cy="952500"/>
        </a:xfrm>
        <a:prstGeom prst="straightConnector1">
          <a:avLst/>
        </a:prstGeom>
        <a:ln>
          <a:solidFill>
            <a:srgbClr val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E144AB-92B0-4A85-B753-34D06DF7E670}">
  <sheetPr>
    <pageSetUpPr fitToPage="1"/>
  </sheetPr>
  <dimension ref="A1:BK55"/>
  <sheetViews>
    <sheetView tabSelected="1" view="pageBreakPreview" zoomScale="85" zoomScaleNormal="75" zoomScaleSheetLayoutView="85" workbookViewId="0">
      <selection sqref="A1:J1"/>
    </sheetView>
  </sheetViews>
  <sheetFormatPr defaultColWidth="2.77734375" defaultRowHeight="15" customHeight="1" x14ac:dyDescent="0.25"/>
  <cols>
    <col min="1" max="60" width="2.77734375" style="55" customWidth="1"/>
    <col min="61" max="16384" width="2.77734375" style="55"/>
  </cols>
  <sheetData>
    <row r="1" spans="1:63" ht="24.95" customHeight="1" x14ac:dyDescent="0.25">
      <c r="A1" s="101" t="s">
        <v>38</v>
      </c>
      <c r="B1" s="102"/>
      <c r="C1" s="102"/>
      <c r="D1" s="102"/>
      <c r="E1" s="102"/>
      <c r="F1" s="102"/>
      <c r="G1" s="102"/>
      <c r="H1" s="102"/>
      <c r="I1" s="102"/>
      <c r="J1" s="103"/>
      <c r="K1" s="101" t="s">
        <v>39</v>
      </c>
      <c r="L1" s="102"/>
      <c r="M1" s="102"/>
      <c r="N1" s="102"/>
      <c r="O1" s="102"/>
      <c r="P1" s="102"/>
      <c r="Q1" s="102"/>
      <c r="R1" s="102"/>
      <c r="S1" s="102"/>
      <c r="T1" s="102"/>
      <c r="U1" s="102"/>
      <c r="V1" s="103"/>
      <c r="W1" s="123" t="s">
        <v>40</v>
      </c>
      <c r="X1" s="124"/>
      <c r="Y1" s="124"/>
      <c r="Z1" s="124"/>
      <c r="AA1" s="124"/>
      <c r="AB1" s="124"/>
      <c r="AC1" s="124"/>
      <c r="AD1" s="124"/>
      <c r="AE1" s="124"/>
      <c r="AF1" s="124"/>
      <c r="AG1" s="124"/>
      <c r="AH1" s="124"/>
      <c r="AI1" s="124"/>
      <c r="AJ1" s="124"/>
      <c r="AK1" s="124"/>
      <c r="AL1" s="124"/>
      <c r="AM1" s="124"/>
      <c r="AN1" s="124"/>
      <c r="AO1" s="125"/>
      <c r="AP1" s="101" t="s">
        <v>41</v>
      </c>
      <c r="AQ1" s="102"/>
      <c r="AR1" s="102"/>
      <c r="AS1" s="103"/>
      <c r="AT1" s="101" t="s">
        <v>42</v>
      </c>
      <c r="AU1" s="102"/>
      <c r="AV1" s="102"/>
      <c r="AW1" s="102"/>
      <c r="AX1" s="103"/>
      <c r="AY1" s="101" t="s">
        <v>43</v>
      </c>
      <c r="AZ1" s="102"/>
      <c r="BA1" s="102"/>
      <c r="BB1" s="103"/>
      <c r="BC1" s="101" t="s">
        <v>44</v>
      </c>
      <c r="BD1" s="102"/>
      <c r="BE1" s="102"/>
      <c r="BF1" s="102"/>
      <c r="BG1" s="103"/>
      <c r="BH1" s="101" t="s">
        <v>45</v>
      </c>
      <c r="BI1" s="102"/>
      <c r="BJ1" s="102"/>
      <c r="BK1" s="103"/>
    </row>
    <row r="2" spans="1:63" ht="15" customHeight="1" x14ac:dyDescent="0.25">
      <c r="A2" s="122" t="s">
        <v>46</v>
      </c>
      <c r="B2" s="87"/>
      <c r="C2" s="87"/>
      <c r="D2" s="87"/>
      <c r="E2" s="87"/>
      <c r="F2" s="87"/>
      <c r="G2" s="87"/>
      <c r="H2" s="87"/>
      <c r="I2" s="87"/>
      <c r="J2" s="88"/>
      <c r="K2" s="86" t="s">
        <v>1</v>
      </c>
      <c r="L2" s="87"/>
      <c r="M2" s="87"/>
      <c r="N2" s="87"/>
      <c r="O2" s="87"/>
      <c r="P2" s="87"/>
      <c r="Q2" s="87"/>
      <c r="R2" s="87"/>
      <c r="S2" s="87"/>
      <c r="T2" s="87"/>
      <c r="U2" s="87"/>
      <c r="V2" s="88"/>
      <c r="W2" s="126"/>
      <c r="X2" s="127"/>
      <c r="Y2" s="127"/>
      <c r="Z2" s="127"/>
      <c r="AA2" s="127"/>
      <c r="AB2" s="127"/>
      <c r="AC2" s="127"/>
      <c r="AD2" s="127"/>
      <c r="AE2" s="127"/>
      <c r="AF2" s="127"/>
      <c r="AG2" s="127"/>
      <c r="AH2" s="127"/>
      <c r="AI2" s="127"/>
      <c r="AJ2" s="127"/>
      <c r="AK2" s="127"/>
      <c r="AL2" s="127"/>
      <c r="AM2" s="127"/>
      <c r="AN2" s="127"/>
      <c r="AO2" s="128"/>
      <c r="AP2" s="86" t="str">
        <f>改訂履歴!$H$11</f>
        <v>LoiLV</v>
      </c>
      <c r="AQ2" s="87"/>
      <c r="AR2" s="87"/>
      <c r="AS2" s="88"/>
      <c r="AT2" s="116">
        <f>改訂履歴!$B$11</f>
        <v>45468</v>
      </c>
      <c r="AU2" s="117"/>
      <c r="AV2" s="117"/>
      <c r="AW2" s="117"/>
      <c r="AX2" s="118"/>
      <c r="AY2" s="86" t="str">
        <f>LOOKUP(2,1/(改訂履歴!H11:H30000&lt;&gt;""),改訂履歴!H11:H30000)</f>
        <v>AnhDD</v>
      </c>
      <c r="AZ2" s="87"/>
      <c r="BA2" s="87"/>
      <c r="BB2" s="88"/>
      <c r="BC2" s="116">
        <f>LOOKUP(2,1/(改訂履歴!B11:B30000&lt;&gt;""),改訂履歴!B11:B30000)</f>
        <v>45515</v>
      </c>
      <c r="BD2" s="117"/>
      <c r="BE2" s="117"/>
      <c r="BF2" s="117"/>
      <c r="BG2" s="118"/>
      <c r="BH2" s="110">
        <f>LOOKUP(2,1/(改訂履歴!O11:O30000&lt;&gt;""),改訂履歴!O11:O30000)</f>
        <v>0.12</v>
      </c>
      <c r="BI2" s="111"/>
      <c r="BJ2" s="111"/>
      <c r="BK2" s="112"/>
    </row>
    <row r="3" spans="1:63" ht="15" customHeight="1" x14ac:dyDescent="0.25">
      <c r="A3" s="92"/>
      <c r="B3" s="93"/>
      <c r="C3" s="93"/>
      <c r="D3" s="93"/>
      <c r="E3" s="93"/>
      <c r="F3" s="93"/>
      <c r="G3" s="93"/>
      <c r="H3" s="93"/>
      <c r="I3" s="93"/>
      <c r="J3" s="94"/>
      <c r="K3" s="92"/>
      <c r="L3" s="93"/>
      <c r="M3" s="93"/>
      <c r="N3" s="93"/>
      <c r="O3" s="93"/>
      <c r="P3" s="93"/>
      <c r="Q3" s="93"/>
      <c r="R3" s="93"/>
      <c r="S3" s="93"/>
      <c r="T3" s="93"/>
      <c r="U3" s="93"/>
      <c r="V3" s="94"/>
      <c r="W3" s="129"/>
      <c r="X3" s="130"/>
      <c r="Y3" s="130"/>
      <c r="Z3" s="130"/>
      <c r="AA3" s="130"/>
      <c r="AB3" s="130"/>
      <c r="AC3" s="130"/>
      <c r="AD3" s="130"/>
      <c r="AE3" s="130"/>
      <c r="AF3" s="130"/>
      <c r="AG3" s="130"/>
      <c r="AH3" s="130"/>
      <c r="AI3" s="130"/>
      <c r="AJ3" s="130"/>
      <c r="AK3" s="130"/>
      <c r="AL3" s="130"/>
      <c r="AM3" s="130"/>
      <c r="AN3" s="130"/>
      <c r="AO3" s="131"/>
      <c r="AP3" s="92"/>
      <c r="AQ3" s="93"/>
      <c r="AR3" s="93"/>
      <c r="AS3" s="94"/>
      <c r="AT3" s="119"/>
      <c r="AU3" s="120"/>
      <c r="AV3" s="120"/>
      <c r="AW3" s="120"/>
      <c r="AX3" s="121"/>
      <c r="AY3" s="92"/>
      <c r="AZ3" s="93"/>
      <c r="BA3" s="93"/>
      <c r="BB3" s="94"/>
      <c r="BC3" s="119"/>
      <c r="BD3" s="120"/>
      <c r="BE3" s="120"/>
      <c r="BF3" s="120"/>
      <c r="BG3" s="121"/>
      <c r="BH3" s="113"/>
      <c r="BI3" s="114"/>
      <c r="BJ3" s="114"/>
      <c r="BK3" s="115"/>
    </row>
    <row r="4" spans="1:63" ht="24.95" customHeight="1" x14ac:dyDescent="0.25">
      <c r="A4" s="101" t="s">
        <v>47</v>
      </c>
      <c r="B4" s="102"/>
      <c r="C4" s="102"/>
      <c r="D4" s="102"/>
      <c r="E4" s="102"/>
      <c r="F4" s="102"/>
      <c r="G4" s="103"/>
      <c r="H4" s="106" t="s">
        <v>31</v>
      </c>
      <c r="I4" s="107"/>
      <c r="J4" s="107"/>
      <c r="K4" s="107"/>
      <c r="L4" s="107"/>
      <c r="M4" s="107"/>
      <c r="N4" s="107"/>
      <c r="O4" s="107"/>
      <c r="P4" s="107"/>
      <c r="Q4" s="107"/>
      <c r="R4" s="107"/>
      <c r="S4" s="107"/>
      <c r="T4" s="108"/>
      <c r="U4" s="101" t="s">
        <v>48</v>
      </c>
      <c r="V4" s="102"/>
      <c r="W4" s="102"/>
      <c r="X4" s="102"/>
      <c r="Y4" s="103"/>
      <c r="Z4" s="109" t="s">
        <v>49</v>
      </c>
      <c r="AA4" s="107"/>
      <c r="AB4" s="107"/>
      <c r="AC4" s="107"/>
      <c r="AD4" s="107"/>
      <c r="AE4" s="107"/>
      <c r="AF4" s="107"/>
      <c r="AG4" s="107"/>
      <c r="AH4" s="107"/>
      <c r="AI4" s="107"/>
      <c r="AJ4" s="107"/>
      <c r="AK4" s="107"/>
      <c r="AL4" s="107"/>
      <c r="AM4" s="107"/>
      <c r="AN4" s="107"/>
      <c r="AO4" s="108"/>
      <c r="AP4" s="106" t="str">
        <f t="array" aca="1" ref="AP4" ca="1">RIGHT(CELL("filename",$A$1),LEN(CELL("filename",$A$1))-FIND("]",CELL("filename",$A$1)))</f>
        <v>表紙</v>
      </c>
      <c r="AQ4" s="107"/>
      <c r="AR4" s="107"/>
      <c r="AS4" s="107"/>
      <c r="AT4" s="107"/>
      <c r="AU4" s="107"/>
      <c r="AV4" s="107"/>
      <c r="AW4" s="107"/>
      <c r="AX4" s="107"/>
      <c r="AY4" s="107"/>
      <c r="AZ4" s="107"/>
      <c r="BA4" s="107"/>
      <c r="BB4" s="107"/>
      <c r="BC4" s="107"/>
      <c r="BD4" s="107"/>
      <c r="BE4" s="107"/>
      <c r="BF4" s="107"/>
      <c r="BG4" s="107"/>
      <c r="BH4" s="107"/>
      <c r="BI4" s="107"/>
      <c r="BJ4" s="107"/>
      <c r="BK4" s="108"/>
    </row>
    <row r="5" spans="1:63" ht="5.0999999999999996" customHeight="1" x14ac:dyDescent="0.25">
      <c r="A5" s="56"/>
      <c r="B5" s="57"/>
      <c r="C5" s="57"/>
      <c r="D5" s="57"/>
      <c r="E5" s="57"/>
      <c r="F5" s="57"/>
      <c r="G5" s="57"/>
      <c r="H5" s="57"/>
      <c r="I5" s="57"/>
      <c r="J5" s="57"/>
      <c r="K5" s="57"/>
      <c r="L5" s="57"/>
      <c r="M5" s="57"/>
      <c r="N5" s="57"/>
      <c r="O5" s="57"/>
      <c r="P5" s="57"/>
      <c r="Q5" s="57"/>
      <c r="R5" s="57"/>
      <c r="S5" s="57"/>
      <c r="T5" s="57"/>
      <c r="U5" s="57"/>
      <c r="V5" s="57"/>
      <c r="W5" s="57"/>
      <c r="X5" s="57"/>
      <c r="Y5" s="57"/>
      <c r="Z5" s="57"/>
      <c r="AA5" s="57"/>
      <c r="AB5" s="57"/>
      <c r="AC5" s="57"/>
      <c r="AD5" s="57"/>
      <c r="AE5" s="57"/>
      <c r="AF5" s="57"/>
      <c r="AG5" s="57"/>
      <c r="AH5" s="57"/>
      <c r="AI5" s="57"/>
      <c r="AJ5" s="57"/>
      <c r="AK5" s="57"/>
      <c r="AL5" s="57"/>
      <c r="AM5" s="57"/>
      <c r="AN5" s="57"/>
      <c r="AO5" s="57"/>
      <c r="AP5" s="57"/>
      <c r="AQ5" s="57"/>
      <c r="AR5" s="57"/>
      <c r="AS5" s="57"/>
      <c r="AT5" s="57"/>
      <c r="AU5" s="57"/>
      <c r="AV5" s="57"/>
      <c r="AW5" s="57"/>
      <c r="AX5" s="57"/>
      <c r="AY5" s="57"/>
      <c r="AZ5" s="57"/>
      <c r="BA5" s="57"/>
      <c r="BB5" s="57"/>
      <c r="BC5" s="57"/>
      <c r="BD5" s="57"/>
      <c r="BE5" s="57"/>
      <c r="BF5" s="57"/>
      <c r="BG5" s="57"/>
      <c r="BH5" s="57"/>
      <c r="BI5" s="57"/>
      <c r="BJ5" s="57"/>
      <c r="BK5" s="58"/>
    </row>
    <row r="6" spans="1:63" ht="15" customHeight="1" x14ac:dyDescent="0.25">
      <c r="A6" s="59"/>
      <c r="BK6" s="60"/>
    </row>
    <row r="7" spans="1:63" ht="15" customHeight="1" x14ac:dyDescent="0.25">
      <c r="A7" s="59"/>
      <c r="BK7" s="60"/>
    </row>
    <row r="8" spans="1:63" ht="15" customHeight="1" x14ac:dyDescent="0.25">
      <c r="A8" s="59"/>
      <c r="BK8" s="60"/>
    </row>
    <row r="9" spans="1:63" ht="15" customHeight="1" x14ac:dyDescent="0.25">
      <c r="A9" s="59"/>
      <c r="BK9" s="60"/>
    </row>
    <row r="10" spans="1:63" ht="15" customHeight="1" x14ac:dyDescent="0.25">
      <c r="A10" s="59"/>
      <c r="BK10" s="60"/>
    </row>
    <row r="11" spans="1:63" ht="15" customHeight="1" x14ac:dyDescent="0.25">
      <c r="A11" s="59"/>
      <c r="BK11" s="60"/>
    </row>
    <row r="12" spans="1:63" ht="15" customHeight="1" x14ac:dyDescent="0.25">
      <c r="A12" s="59"/>
      <c r="BK12" s="60"/>
    </row>
    <row r="13" spans="1:63" ht="15" customHeight="1" x14ac:dyDescent="0.25">
      <c r="A13" s="59"/>
      <c r="BK13" s="60"/>
    </row>
    <row r="14" spans="1:63" ht="15" customHeight="1" thickBot="1" x14ac:dyDescent="0.3">
      <c r="A14" s="59"/>
      <c r="BK14" s="60"/>
    </row>
    <row r="15" spans="1:63" ht="15" customHeight="1" thickTop="1" x14ac:dyDescent="0.25">
      <c r="A15" s="59"/>
      <c r="K15" s="61"/>
      <c r="L15" s="62"/>
      <c r="M15" s="62"/>
      <c r="N15" s="62"/>
      <c r="O15" s="62"/>
      <c r="P15" s="62"/>
      <c r="Q15" s="62"/>
      <c r="R15" s="62"/>
      <c r="S15" s="62"/>
      <c r="T15" s="62"/>
      <c r="U15" s="62"/>
      <c r="V15" s="62"/>
      <c r="W15" s="62"/>
      <c r="X15" s="62"/>
      <c r="Y15" s="62"/>
      <c r="Z15" s="62"/>
      <c r="AA15" s="62"/>
      <c r="AB15" s="62"/>
      <c r="AC15" s="62"/>
      <c r="AD15" s="62"/>
      <c r="AE15" s="62"/>
      <c r="AF15" s="62"/>
      <c r="AG15" s="62"/>
      <c r="AH15" s="62"/>
      <c r="AI15" s="62"/>
      <c r="AJ15" s="62"/>
      <c r="AK15" s="62"/>
      <c r="AL15" s="62"/>
      <c r="AM15" s="62"/>
      <c r="AN15" s="62"/>
      <c r="AO15" s="62"/>
      <c r="AP15" s="62"/>
      <c r="AQ15" s="62"/>
      <c r="AR15" s="62"/>
      <c r="AS15" s="62"/>
      <c r="AT15" s="62"/>
      <c r="AU15" s="62"/>
      <c r="AV15" s="62"/>
      <c r="AW15" s="62"/>
      <c r="AX15" s="62"/>
      <c r="AY15" s="62"/>
      <c r="AZ15" s="62"/>
      <c r="BA15" s="63"/>
      <c r="BK15" s="60"/>
    </row>
    <row r="16" spans="1:63" ht="15" customHeight="1" x14ac:dyDescent="0.25">
      <c r="A16" s="59"/>
      <c r="K16" s="64"/>
      <c r="L16" s="104" t="s">
        <v>50</v>
      </c>
      <c r="M16" s="105"/>
      <c r="N16" s="105"/>
      <c r="O16" s="105"/>
      <c r="P16" s="105"/>
      <c r="Q16" s="105"/>
      <c r="R16" s="105"/>
      <c r="S16" s="105"/>
      <c r="T16" s="105"/>
      <c r="U16" s="105"/>
      <c r="V16" s="105"/>
      <c r="W16" s="105"/>
      <c r="X16" s="105"/>
      <c r="Y16" s="105"/>
      <c r="Z16" s="105"/>
      <c r="AA16" s="105"/>
      <c r="AB16" s="105"/>
      <c r="AC16" s="105"/>
      <c r="AD16" s="105"/>
      <c r="AE16" s="105"/>
      <c r="AF16" s="105"/>
      <c r="AG16" s="105"/>
      <c r="AH16" s="105"/>
      <c r="AI16" s="105"/>
      <c r="AJ16" s="105"/>
      <c r="AK16" s="105"/>
      <c r="AL16" s="105"/>
      <c r="AM16" s="105"/>
      <c r="AN16" s="105"/>
      <c r="AO16" s="105"/>
      <c r="AP16" s="105"/>
      <c r="AQ16" s="105"/>
      <c r="AR16" s="105"/>
      <c r="AS16" s="105"/>
      <c r="AT16" s="105"/>
      <c r="AU16" s="105"/>
      <c r="AV16" s="105"/>
      <c r="AW16" s="105"/>
      <c r="AX16" s="105"/>
      <c r="AY16" s="105"/>
      <c r="AZ16" s="105"/>
      <c r="BA16" s="65"/>
      <c r="BK16" s="60"/>
    </row>
    <row r="17" spans="1:63" ht="15" customHeight="1" x14ac:dyDescent="0.25">
      <c r="A17" s="59"/>
      <c r="K17" s="64"/>
      <c r="L17" s="105"/>
      <c r="M17" s="105"/>
      <c r="N17" s="105"/>
      <c r="O17" s="105"/>
      <c r="P17" s="105"/>
      <c r="Q17" s="105"/>
      <c r="R17" s="105"/>
      <c r="S17" s="105"/>
      <c r="T17" s="105"/>
      <c r="U17" s="105"/>
      <c r="V17" s="105"/>
      <c r="W17" s="105"/>
      <c r="X17" s="105"/>
      <c r="Y17" s="105"/>
      <c r="Z17" s="105"/>
      <c r="AA17" s="105"/>
      <c r="AB17" s="105"/>
      <c r="AC17" s="105"/>
      <c r="AD17" s="105"/>
      <c r="AE17" s="105"/>
      <c r="AF17" s="105"/>
      <c r="AG17" s="105"/>
      <c r="AH17" s="105"/>
      <c r="AI17" s="105"/>
      <c r="AJ17" s="105"/>
      <c r="AK17" s="105"/>
      <c r="AL17" s="105"/>
      <c r="AM17" s="105"/>
      <c r="AN17" s="105"/>
      <c r="AO17" s="105"/>
      <c r="AP17" s="105"/>
      <c r="AQ17" s="105"/>
      <c r="AR17" s="105"/>
      <c r="AS17" s="105"/>
      <c r="AT17" s="105"/>
      <c r="AU17" s="105"/>
      <c r="AV17" s="105"/>
      <c r="AW17" s="105"/>
      <c r="AX17" s="105"/>
      <c r="AY17" s="105"/>
      <c r="AZ17" s="105"/>
      <c r="BA17" s="65"/>
      <c r="BK17" s="60"/>
    </row>
    <row r="18" spans="1:63" ht="15" customHeight="1" x14ac:dyDescent="0.25">
      <c r="A18" s="59"/>
      <c r="K18" s="64"/>
      <c r="L18" s="105"/>
      <c r="M18" s="105"/>
      <c r="N18" s="105"/>
      <c r="O18" s="105"/>
      <c r="P18" s="105"/>
      <c r="Q18" s="105"/>
      <c r="R18" s="105"/>
      <c r="S18" s="105"/>
      <c r="T18" s="105"/>
      <c r="U18" s="105"/>
      <c r="V18" s="105"/>
      <c r="W18" s="105"/>
      <c r="X18" s="105"/>
      <c r="Y18" s="105"/>
      <c r="Z18" s="105"/>
      <c r="AA18" s="105"/>
      <c r="AB18" s="105"/>
      <c r="AC18" s="105"/>
      <c r="AD18" s="105"/>
      <c r="AE18" s="105"/>
      <c r="AF18" s="105"/>
      <c r="AG18" s="105"/>
      <c r="AH18" s="105"/>
      <c r="AI18" s="105"/>
      <c r="AJ18" s="105"/>
      <c r="AK18" s="105"/>
      <c r="AL18" s="105"/>
      <c r="AM18" s="105"/>
      <c r="AN18" s="105"/>
      <c r="AO18" s="105"/>
      <c r="AP18" s="105"/>
      <c r="AQ18" s="105"/>
      <c r="AR18" s="105"/>
      <c r="AS18" s="105"/>
      <c r="AT18" s="105"/>
      <c r="AU18" s="105"/>
      <c r="AV18" s="105"/>
      <c r="AW18" s="105"/>
      <c r="AX18" s="105"/>
      <c r="AY18" s="105"/>
      <c r="AZ18" s="105"/>
      <c r="BA18" s="65"/>
      <c r="BK18" s="60"/>
    </row>
    <row r="19" spans="1:63" ht="15" customHeight="1" x14ac:dyDescent="0.25">
      <c r="A19" s="59"/>
      <c r="K19" s="64"/>
      <c r="L19" s="105"/>
      <c r="M19" s="105"/>
      <c r="N19" s="105"/>
      <c r="O19" s="105"/>
      <c r="P19" s="105"/>
      <c r="Q19" s="105"/>
      <c r="R19" s="105"/>
      <c r="S19" s="105"/>
      <c r="T19" s="105"/>
      <c r="U19" s="105"/>
      <c r="V19" s="105"/>
      <c r="W19" s="105"/>
      <c r="X19" s="105"/>
      <c r="Y19" s="105"/>
      <c r="Z19" s="105"/>
      <c r="AA19" s="105"/>
      <c r="AB19" s="105"/>
      <c r="AC19" s="105"/>
      <c r="AD19" s="105"/>
      <c r="AE19" s="105"/>
      <c r="AF19" s="105"/>
      <c r="AG19" s="105"/>
      <c r="AH19" s="105"/>
      <c r="AI19" s="105"/>
      <c r="AJ19" s="105"/>
      <c r="AK19" s="105"/>
      <c r="AL19" s="105"/>
      <c r="AM19" s="105"/>
      <c r="AN19" s="105"/>
      <c r="AO19" s="105"/>
      <c r="AP19" s="105"/>
      <c r="AQ19" s="105"/>
      <c r="AR19" s="105"/>
      <c r="AS19" s="105"/>
      <c r="AT19" s="105"/>
      <c r="AU19" s="105"/>
      <c r="AV19" s="105"/>
      <c r="AW19" s="105"/>
      <c r="AX19" s="105"/>
      <c r="AY19" s="105"/>
      <c r="AZ19" s="105"/>
      <c r="BA19" s="65"/>
      <c r="BK19" s="60"/>
    </row>
    <row r="20" spans="1:63" ht="15" customHeight="1" x14ac:dyDescent="0.25">
      <c r="A20" s="59"/>
      <c r="K20" s="64"/>
      <c r="L20" s="105"/>
      <c r="M20" s="105"/>
      <c r="N20" s="105"/>
      <c r="O20" s="105"/>
      <c r="P20" s="105"/>
      <c r="Q20" s="105"/>
      <c r="R20" s="105"/>
      <c r="S20" s="105"/>
      <c r="T20" s="105"/>
      <c r="U20" s="105"/>
      <c r="V20" s="105"/>
      <c r="W20" s="105"/>
      <c r="X20" s="105"/>
      <c r="Y20" s="105"/>
      <c r="Z20" s="105"/>
      <c r="AA20" s="105"/>
      <c r="AB20" s="105"/>
      <c r="AC20" s="105"/>
      <c r="AD20" s="105"/>
      <c r="AE20" s="105"/>
      <c r="AF20" s="105"/>
      <c r="AG20" s="105"/>
      <c r="AH20" s="105"/>
      <c r="AI20" s="105"/>
      <c r="AJ20" s="105"/>
      <c r="AK20" s="105"/>
      <c r="AL20" s="105"/>
      <c r="AM20" s="105"/>
      <c r="AN20" s="105"/>
      <c r="AO20" s="105"/>
      <c r="AP20" s="105"/>
      <c r="AQ20" s="105"/>
      <c r="AR20" s="105"/>
      <c r="AS20" s="105"/>
      <c r="AT20" s="105"/>
      <c r="AU20" s="105"/>
      <c r="AV20" s="105"/>
      <c r="AW20" s="105"/>
      <c r="AX20" s="105"/>
      <c r="AY20" s="105"/>
      <c r="AZ20" s="105"/>
      <c r="BA20" s="65"/>
      <c r="BK20" s="60"/>
    </row>
    <row r="21" spans="1:63" ht="15" customHeight="1" x14ac:dyDescent="0.25">
      <c r="A21" s="59"/>
      <c r="K21" s="64"/>
      <c r="L21" s="105"/>
      <c r="M21" s="105"/>
      <c r="N21" s="105"/>
      <c r="O21" s="105"/>
      <c r="P21" s="105"/>
      <c r="Q21" s="105"/>
      <c r="R21" s="105"/>
      <c r="S21" s="105"/>
      <c r="T21" s="105"/>
      <c r="U21" s="105"/>
      <c r="V21" s="105"/>
      <c r="W21" s="105"/>
      <c r="X21" s="105"/>
      <c r="Y21" s="105"/>
      <c r="Z21" s="105"/>
      <c r="AA21" s="105"/>
      <c r="AB21" s="105"/>
      <c r="AC21" s="105"/>
      <c r="AD21" s="105"/>
      <c r="AE21" s="105"/>
      <c r="AF21" s="105"/>
      <c r="AG21" s="105"/>
      <c r="AH21" s="105"/>
      <c r="AI21" s="105"/>
      <c r="AJ21" s="105"/>
      <c r="AK21" s="105"/>
      <c r="AL21" s="105"/>
      <c r="AM21" s="105"/>
      <c r="AN21" s="105"/>
      <c r="AO21" s="105"/>
      <c r="AP21" s="105"/>
      <c r="AQ21" s="105"/>
      <c r="AR21" s="105"/>
      <c r="AS21" s="105"/>
      <c r="AT21" s="105"/>
      <c r="AU21" s="105"/>
      <c r="AV21" s="105"/>
      <c r="AW21" s="105"/>
      <c r="AX21" s="105"/>
      <c r="AY21" s="105"/>
      <c r="AZ21" s="105"/>
      <c r="BA21" s="65"/>
      <c r="BK21" s="60"/>
    </row>
    <row r="22" spans="1:63" ht="15" customHeight="1" thickBot="1" x14ac:dyDescent="0.3">
      <c r="A22" s="59"/>
      <c r="K22" s="64"/>
      <c r="L22" s="66"/>
      <c r="M22" s="66"/>
      <c r="N22" s="66"/>
      <c r="O22" s="66"/>
      <c r="P22" s="66"/>
      <c r="Q22" s="66"/>
      <c r="R22" s="66"/>
      <c r="S22" s="66"/>
      <c r="T22" s="66"/>
      <c r="U22" s="66"/>
      <c r="V22" s="66"/>
      <c r="W22" s="66"/>
      <c r="X22" s="66"/>
      <c r="Y22" s="66"/>
      <c r="Z22" s="66"/>
      <c r="AA22" s="66"/>
      <c r="AB22" s="66"/>
      <c r="AC22" s="66"/>
      <c r="AD22" s="66"/>
      <c r="AE22" s="66"/>
      <c r="AF22" s="66"/>
      <c r="AG22" s="66"/>
      <c r="AH22" s="66"/>
      <c r="AI22" s="66"/>
      <c r="AJ22" s="66"/>
      <c r="AK22" s="66"/>
      <c r="AL22" s="66"/>
      <c r="AM22" s="66"/>
      <c r="AN22" s="66"/>
      <c r="AO22" s="66"/>
      <c r="AP22" s="66"/>
      <c r="AQ22" s="66"/>
      <c r="AR22" s="66"/>
      <c r="AS22" s="66"/>
      <c r="AT22" s="66"/>
      <c r="AU22" s="66"/>
      <c r="AV22" s="66"/>
      <c r="AW22" s="66"/>
      <c r="AX22" s="66"/>
      <c r="AY22" s="66"/>
      <c r="AZ22" s="66"/>
      <c r="BA22" s="65"/>
      <c r="BK22" s="60"/>
    </row>
    <row r="23" spans="1:63" ht="15" customHeight="1" x14ac:dyDescent="0.25">
      <c r="A23" s="59"/>
      <c r="K23" s="64"/>
      <c r="L23" s="67"/>
      <c r="M23" s="67"/>
      <c r="N23" s="67"/>
      <c r="O23" s="67"/>
      <c r="P23" s="67"/>
      <c r="Q23" s="67"/>
      <c r="R23" s="67"/>
      <c r="S23" s="67"/>
      <c r="T23" s="67"/>
      <c r="U23" s="67"/>
      <c r="V23" s="67"/>
      <c r="W23" s="67"/>
      <c r="X23" s="67"/>
      <c r="Y23" s="67"/>
      <c r="Z23" s="67"/>
      <c r="AA23" s="67"/>
      <c r="AB23" s="67"/>
      <c r="AC23" s="67"/>
      <c r="AD23" s="67"/>
      <c r="AE23" s="67"/>
      <c r="AF23" s="67"/>
      <c r="AG23" s="67"/>
      <c r="AH23" s="67"/>
      <c r="AI23" s="67"/>
      <c r="AJ23" s="67"/>
      <c r="AK23" s="67"/>
      <c r="AL23" s="67"/>
      <c r="AM23" s="67"/>
      <c r="AN23" s="67"/>
      <c r="AO23" s="67"/>
      <c r="AP23" s="67"/>
      <c r="AQ23" s="67"/>
      <c r="AR23" s="67"/>
      <c r="AS23" s="67"/>
      <c r="AT23" s="67"/>
      <c r="AU23" s="67"/>
      <c r="AV23" s="67"/>
      <c r="AW23" s="67"/>
      <c r="AX23" s="67"/>
      <c r="AY23" s="67"/>
      <c r="AZ23" s="67"/>
      <c r="BA23" s="65"/>
      <c r="BK23" s="60"/>
    </row>
    <row r="24" spans="1:63" ht="15" customHeight="1" x14ac:dyDescent="0.25">
      <c r="A24" s="59"/>
      <c r="K24" s="64"/>
      <c r="L24" s="105" t="str">
        <f>K2&amp;"/"&amp;H4&amp;"/"&amp;Z4</f>
        <v>POSサーバ/APX002/API設計書</v>
      </c>
      <c r="M24" s="105"/>
      <c r="N24" s="105"/>
      <c r="O24" s="105"/>
      <c r="P24" s="105"/>
      <c r="Q24" s="105"/>
      <c r="R24" s="105"/>
      <c r="S24" s="105"/>
      <c r="T24" s="105"/>
      <c r="U24" s="105"/>
      <c r="V24" s="105"/>
      <c r="W24" s="105"/>
      <c r="X24" s="105"/>
      <c r="Y24" s="105"/>
      <c r="Z24" s="105"/>
      <c r="AA24" s="105"/>
      <c r="AB24" s="105"/>
      <c r="AC24" s="105"/>
      <c r="AD24" s="105"/>
      <c r="AE24" s="105"/>
      <c r="AF24" s="105"/>
      <c r="AG24" s="105"/>
      <c r="AH24" s="105"/>
      <c r="AI24" s="105"/>
      <c r="AJ24" s="105"/>
      <c r="AK24" s="105"/>
      <c r="AL24" s="105"/>
      <c r="AM24" s="105"/>
      <c r="AN24" s="105"/>
      <c r="AO24" s="105"/>
      <c r="AP24" s="105"/>
      <c r="AQ24" s="105"/>
      <c r="AR24" s="105"/>
      <c r="AS24" s="105"/>
      <c r="AT24" s="105"/>
      <c r="AU24" s="105"/>
      <c r="AV24" s="105"/>
      <c r="AW24" s="105"/>
      <c r="AX24" s="105"/>
      <c r="AY24" s="105"/>
      <c r="AZ24" s="105"/>
      <c r="BA24" s="65"/>
      <c r="BK24" s="60"/>
    </row>
    <row r="25" spans="1:63" ht="15" customHeight="1" x14ac:dyDescent="0.25">
      <c r="A25" s="59"/>
      <c r="K25" s="64"/>
      <c r="L25" s="105"/>
      <c r="M25" s="105"/>
      <c r="N25" s="105"/>
      <c r="O25" s="105"/>
      <c r="P25" s="105"/>
      <c r="Q25" s="105"/>
      <c r="R25" s="105"/>
      <c r="S25" s="105"/>
      <c r="T25" s="105"/>
      <c r="U25" s="105"/>
      <c r="V25" s="105"/>
      <c r="W25" s="105"/>
      <c r="X25" s="105"/>
      <c r="Y25" s="105"/>
      <c r="Z25" s="105"/>
      <c r="AA25" s="105"/>
      <c r="AB25" s="105"/>
      <c r="AC25" s="105"/>
      <c r="AD25" s="105"/>
      <c r="AE25" s="105"/>
      <c r="AF25" s="105"/>
      <c r="AG25" s="105"/>
      <c r="AH25" s="105"/>
      <c r="AI25" s="105"/>
      <c r="AJ25" s="105"/>
      <c r="AK25" s="105"/>
      <c r="AL25" s="105"/>
      <c r="AM25" s="105"/>
      <c r="AN25" s="105"/>
      <c r="AO25" s="105"/>
      <c r="AP25" s="105"/>
      <c r="AQ25" s="105"/>
      <c r="AR25" s="105"/>
      <c r="AS25" s="105"/>
      <c r="AT25" s="105"/>
      <c r="AU25" s="105"/>
      <c r="AV25" s="105"/>
      <c r="AW25" s="105"/>
      <c r="AX25" s="105"/>
      <c r="AY25" s="105"/>
      <c r="AZ25" s="105"/>
      <c r="BA25" s="65"/>
      <c r="BK25" s="60"/>
    </row>
    <row r="26" spans="1:63" ht="15" customHeight="1" x14ac:dyDescent="0.25">
      <c r="A26" s="59"/>
      <c r="K26" s="64"/>
      <c r="L26" s="105"/>
      <c r="M26" s="105"/>
      <c r="N26" s="105"/>
      <c r="O26" s="105"/>
      <c r="P26" s="105"/>
      <c r="Q26" s="105"/>
      <c r="R26" s="105"/>
      <c r="S26" s="105"/>
      <c r="T26" s="105"/>
      <c r="U26" s="105"/>
      <c r="V26" s="105"/>
      <c r="W26" s="105"/>
      <c r="X26" s="105"/>
      <c r="Y26" s="105"/>
      <c r="Z26" s="105"/>
      <c r="AA26" s="105"/>
      <c r="AB26" s="105"/>
      <c r="AC26" s="105"/>
      <c r="AD26" s="105"/>
      <c r="AE26" s="105"/>
      <c r="AF26" s="105"/>
      <c r="AG26" s="105"/>
      <c r="AH26" s="105"/>
      <c r="AI26" s="105"/>
      <c r="AJ26" s="105"/>
      <c r="AK26" s="105"/>
      <c r="AL26" s="105"/>
      <c r="AM26" s="105"/>
      <c r="AN26" s="105"/>
      <c r="AO26" s="105"/>
      <c r="AP26" s="105"/>
      <c r="AQ26" s="105"/>
      <c r="AR26" s="105"/>
      <c r="AS26" s="105"/>
      <c r="AT26" s="105"/>
      <c r="AU26" s="105"/>
      <c r="AV26" s="105"/>
      <c r="AW26" s="105"/>
      <c r="AX26" s="105"/>
      <c r="AY26" s="105"/>
      <c r="AZ26" s="105"/>
      <c r="BA26" s="65"/>
      <c r="BK26" s="60"/>
    </row>
    <row r="27" spans="1:63" ht="15" customHeight="1" x14ac:dyDescent="0.25">
      <c r="A27" s="59"/>
      <c r="K27" s="64"/>
      <c r="L27" s="105"/>
      <c r="M27" s="105"/>
      <c r="N27" s="105"/>
      <c r="O27" s="105"/>
      <c r="P27" s="105"/>
      <c r="Q27" s="105"/>
      <c r="R27" s="105"/>
      <c r="S27" s="105"/>
      <c r="T27" s="105"/>
      <c r="U27" s="105"/>
      <c r="V27" s="105"/>
      <c r="W27" s="105"/>
      <c r="X27" s="105"/>
      <c r="Y27" s="105"/>
      <c r="Z27" s="105"/>
      <c r="AA27" s="105"/>
      <c r="AB27" s="105"/>
      <c r="AC27" s="105"/>
      <c r="AD27" s="105"/>
      <c r="AE27" s="105"/>
      <c r="AF27" s="105"/>
      <c r="AG27" s="105"/>
      <c r="AH27" s="105"/>
      <c r="AI27" s="105"/>
      <c r="AJ27" s="105"/>
      <c r="AK27" s="105"/>
      <c r="AL27" s="105"/>
      <c r="AM27" s="105"/>
      <c r="AN27" s="105"/>
      <c r="AO27" s="105"/>
      <c r="AP27" s="105"/>
      <c r="AQ27" s="105"/>
      <c r="AR27" s="105"/>
      <c r="AS27" s="105"/>
      <c r="AT27" s="105"/>
      <c r="AU27" s="105"/>
      <c r="AV27" s="105"/>
      <c r="AW27" s="105"/>
      <c r="AX27" s="105"/>
      <c r="AY27" s="105"/>
      <c r="AZ27" s="105"/>
      <c r="BA27" s="65"/>
      <c r="BK27" s="60"/>
    </row>
    <row r="28" spans="1:63" ht="15" customHeight="1" x14ac:dyDescent="0.25">
      <c r="A28" s="59"/>
      <c r="K28" s="64"/>
      <c r="L28" s="105"/>
      <c r="M28" s="105"/>
      <c r="N28" s="105"/>
      <c r="O28" s="105"/>
      <c r="P28" s="105"/>
      <c r="Q28" s="105"/>
      <c r="R28" s="105"/>
      <c r="S28" s="105"/>
      <c r="T28" s="105"/>
      <c r="U28" s="105"/>
      <c r="V28" s="105"/>
      <c r="W28" s="105"/>
      <c r="X28" s="105"/>
      <c r="Y28" s="105"/>
      <c r="Z28" s="105"/>
      <c r="AA28" s="105"/>
      <c r="AB28" s="105"/>
      <c r="AC28" s="105"/>
      <c r="AD28" s="105"/>
      <c r="AE28" s="105"/>
      <c r="AF28" s="105"/>
      <c r="AG28" s="105"/>
      <c r="AH28" s="105"/>
      <c r="AI28" s="105"/>
      <c r="AJ28" s="105"/>
      <c r="AK28" s="105"/>
      <c r="AL28" s="105"/>
      <c r="AM28" s="105"/>
      <c r="AN28" s="105"/>
      <c r="AO28" s="105"/>
      <c r="AP28" s="105"/>
      <c r="AQ28" s="105"/>
      <c r="AR28" s="105"/>
      <c r="AS28" s="105"/>
      <c r="AT28" s="105"/>
      <c r="AU28" s="105"/>
      <c r="AV28" s="105"/>
      <c r="AW28" s="105"/>
      <c r="AX28" s="105"/>
      <c r="AY28" s="105"/>
      <c r="AZ28" s="105"/>
      <c r="BA28" s="65"/>
      <c r="BK28" s="60"/>
    </row>
    <row r="29" spans="1:63" ht="15" customHeight="1" x14ac:dyDescent="0.25">
      <c r="A29" s="59"/>
      <c r="K29" s="64"/>
      <c r="L29" s="105"/>
      <c r="M29" s="105"/>
      <c r="N29" s="105"/>
      <c r="O29" s="105"/>
      <c r="P29" s="105"/>
      <c r="Q29" s="105"/>
      <c r="R29" s="105"/>
      <c r="S29" s="105"/>
      <c r="T29" s="105"/>
      <c r="U29" s="105"/>
      <c r="V29" s="105"/>
      <c r="W29" s="105"/>
      <c r="X29" s="105"/>
      <c r="Y29" s="105"/>
      <c r="Z29" s="105"/>
      <c r="AA29" s="105"/>
      <c r="AB29" s="105"/>
      <c r="AC29" s="105"/>
      <c r="AD29" s="105"/>
      <c r="AE29" s="105"/>
      <c r="AF29" s="105"/>
      <c r="AG29" s="105"/>
      <c r="AH29" s="105"/>
      <c r="AI29" s="105"/>
      <c r="AJ29" s="105"/>
      <c r="AK29" s="105"/>
      <c r="AL29" s="105"/>
      <c r="AM29" s="105"/>
      <c r="AN29" s="105"/>
      <c r="AO29" s="105"/>
      <c r="AP29" s="105"/>
      <c r="AQ29" s="105"/>
      <c r="AR29" s="105"/>
      <c r="AS29" s="105"/>
      <c r="AT29" s="105"/>
      <c r="AU29" s="105"/>
      <c r="AV29" s="105"/>
      <c r="AW29" s="105"/>
      <c r="AX29" s="105"/>
      <c r="AY29" s="105"/>
      <c r="AZ29" s="105"/>
      <c r="BA29" s="65"/>
      <c r="BK29" s="60"/>
    </row>
    <row r="30" spans="1:63" ht="15" customHeight="1" x14ac:dyDescent="0.25">
      <c r="A30" s="59"/>
      <c r="K30" s="64"/>
      <c r="L30" s="105"/>
      <c r="M30" s="105"/>
      <c r="N30" s="105"/>
      <c r="O30" s="105"/>
      <c r="P30" s="105"/>
      <c r="Q30" s="105"/>
      <c r="R30" s="105"/>
      <c r="S30" s="105"/>
      <c r="T30" s="105"/>
      <c r="U30" s="105"/>
      <c r="V30" s="105"/>
      <c r="W30" s="105"/>
      <c r="X30" s="105"/>
      <c r="Y30" s="105"/>
      <c r="Z30" s="105"/>
      <c r="AA30" s="105"/>
      <c r="AB30" s="105"/>
      <c r="AC30" s="105"/>
      <c r="AD30" s="105"/>
      <c r="AE30" s="105"/>
      <c r="AF30" s="105"/>
      <c r="AG30" s="105"/>
      <c r="AH30" s="105"/>
      <c r="AI30" s="105"/>
      <c r="AJ30" s="105"/>
      <c r="AK30" s="105"/>
      <c r="AL30" s="105"/>
      <c r="AM30" s="105"/>
      <c r="AN30" s="105"/>
      <c r="AO30" s="105"/>
      <c r="AP30" s="105"/>
      <c r="AQ30" s="105"/>
      <c r="AR30" s="105"/>
      <c r="AS30" s="105"/>
      <c r="AT30" s="105"/>
      <c r="AU30" s="105"/>
      <c r="AV30" s="105"/>
      <c r="AW30" s="105"/>
      <c r="AX30" s="105"/>
      <c r="AY30" s="105"/>
      <c r="AZ30" s="105"/>
      <c r="BA30" s="65"/>
      <c r="BK30" s="60"/>
    </row>
    <row r="31" spans="1:63" ht="15" customHeight="1" x14ac:dyDescent="0.25">
      <c r="A31" s="59"/>
      <c r="K31" s="64"/>
      <c r="L31" s="105"/>
      <c r="M31" s="105"/>
      <c r="N31" s="105"/>
      <c r="O31" s="105"/>
      <c r="P31" s="105"/>
      <c r="Q31" s="105"/>
      <c r="R31" s="105"/>
      <c r="S31" s="105"/>
      <c r="T31" s="105"/>
      <c r="U31" s="105"/>
      <c r="V31" s="105"/>
      <c r="W31" s="105"/>
      <c r="X31" s="105"/>
      <c r="Y31" s="105"/>
      <c r="Z31" s="105"/>
      <c r="AA31" s="105"/>
      <c r="AB31" s="105"/>
      <c r="AC31" s="105"/>
      <c r="AD31" s="105"/>
      <c r="AE31" s="105"/>
      <c r="AF31" s="105"/>
      <c r="AG31" s="105"/>
      <c r="AH31" s="105"/>
      <c r="AI31" s="105"/>
      <c r="AJ31" s="105"/>
      <c r="AK31" s="105"/>
      <c r="AL31" s="105"/>
      <c r="AM31" s="105"/>
      <c r="AN31" s="105"/>
      <c r="AO31" s="105"/>
      <c r="AP31" s="105"/>
      <c r="AQ31" s="105"/>
      <c r="AR31" s="105"/>
      <c r="AS31" s="105"/>
      <c r="AT31" s="105"/>
      <c r="AU31" s="105"/>
      <c r="AV31" s="105"/>
      <c r="AW31" s="105"/>
      <c r="AX31" s="105"/>
      <c r="AY31" s="105"/>
      <c r="AZ31" s="105"/>
      <c r="BA31" s="65"/>
      <c r="BK31" s="60"/>
    </row>
    <row r="32" spans="1:63" ht="15" customHeight="1" x14ac:dyDescent="0.25">
      <c r="A32" s="59"/>
      <c r="K32" s="64"/>
      <c r="L32" s="105"/>
      <c r="M32" s="105"/>
      <c r="N32" s="105"/>
      <c r="O32" s="105"/>
      <c r="P32" s="105"/>
      <c r="Q32" s="105"/>
      <c r="R32" s="105"/>
      <c r="S32" s="105"/>
      <c r="T32" s="105"/>
      <c r="U32" s="105"/>
      <c r="V32" s="105"/>
      <c r="W32" s="105"/>
      <c r="X32" s="105"/>
      <c r="Y32" s="105"/>
      <c r="Z32" s="105"/>
      <c r="AA32" s="105"/>
      <c r="AB32" s="105"/>
      <c r="AC32" s="105"/>
      <c r="AD32" s="105"/>
      <c r="AE32" s="105"/>
      <c r="AF32" s="105"/>
      <c r="AG32" s="105"/>
      <c r="AH32" s="105"/>
      <c r="AI32" s="105"/>
      <c r="AJ32" s="105"/>
      <c r="AK32" s="105"/>
      <c r="AL32" s="105"/>
      <c r="AM32" s="105"/>
      <c r="AN32" s="105"/>
      <c r="AO32" s="105"/>
      <c r="AP32" s="105"/>
      <c r="AQ32" s="105"/>
      <c r="AR32" s="105"/>
      <c r="AS32" s="105"/>
      <c r="AT32" s="105"/>
      <c r="AU32" s="105"/>
      <c r="AV32" s="105"/>
      <c r="AW32" s="105"/>
      <c r="AX32" s="105"/>
      <c r="AY32" s="105"/>
      <c r="AZ32" s="105"/>
      <c r="BA32" s="65"/>
      <c r="BK32" s="60"/>
    </row>
    <row r="33" spans="1:63" ht="15" customHeight="1" x14ac:dyDescent="0.25">
      <c r="A33" s="59"/>
      <c r="K33" s="64"/>
      <c r="L33" s="105"/>
      <c r="M33" s="105"/>
      <c r="N33" s="105"/>
      <c r="O33" s="105"/>
      <c r="P33" s="105"/>
      <c r="Q33" s="105"/>
      <c r="R33" s="105"/>
      <c r="S33" s="105"/>
      <c r="T33" s="105"/>
      <c r="U33" s="105"/>
      <c r="V33" s="105"/>
      <c r="W33" s="105"/>
      <c r="X33" s="105"/>
      <c r="Y33" s="105"/>
      <c r="Z33" s="105"/>
      <c r="AA33" s="105"/>
      <c r="AB33" s="105"/>
      <c r="AC33" s="105"/>
      <c r="AD33" s="105"/>
      <c r="AE33" s="105"/>
      <c r="AF33" s="105"/>
      <c r="AG33" s="105"/>
      <c r="AH33" s="105"/>
      <c r="AI33" s="105"/>
      <c r="AJ33" s="105"/>
      <c r="AK33" s="105"/>
      <c r="AL33" s="105"/>
      <c r="AM33" s="105"/>
      <c r="AN33" s="105"/>
      <c r="AO33" s="105"/>
      <c r="AP33" s="105"/>
      <c r="AQ33" s="105"/>
      <c r="AR33" s="105"/>
      <c r="AS33" s="105"/>
      <c r="AT33" s="105"/>
      <c r="AU33" s="105"/>
      <c r="AV33" s="105"/>
      <c r="AW33" s="105"/>
      <c r="AX33" s="105"/>
      <c r="AY33" s="105"/>
      <c r="AZ33" s="105"/>
      <c r="BA33" s="65"/>
      <c r="BK33" s="60"/>
    </row>
    <row r="34" spans="1:63" ht="15" customHeight="1" x14ac:dyDescent="0.25">
      <c r="A34" s="59"/>
      <c r="K34" s="64"/>
      <c r="L34" s="105"/>
      <c r="M34" s="105"/>
      <c r="N34" s="105"/>
      <c r="O34" s="105"/>
      <c r="P34" s="105"/>
      <c r="Q34" s="105"/>
      <c r="R34" s="105"/>
      <c r="S34" s="105"/>
      <c r="T34" s="105"/>
      <c r="U34" s="105"/>
      <c r="V34" s="105"/>
      <c r="W34" s="105"/>
      <c r="X34" s="105"/>
      <c r="Y34" s="105"/>
      <c r="Z34" s="105"/>
      <c r="AA34" s="105"/>
      <c r="AB34" s="105"/>
      <c r="AC34" s="105"/>
      <c r="AD34" s="105"/>
      <c r="AE34" s="105"/>
      <c r="AF34" s="105"/>
      <c r="AG34" s="105"/>
      <c r="AH34" s="105"/>
      <c r="AI34" s="105"/>
      <c r="AJ34" s="105"/>
      <c r="AK34" s="105"/>
      <c r="AL34" s="105"/>
      <c r="AM34" s="105"/>
      <c r="AN34" s="105"/>
      <c r="AO34" s="105"/>
      <c r="AP34" s="105"/>
      <c r="AQ34" s="105"/>
      <c r="AR34" s="105"/>
      <c r="AS34" s="105"/>
      <c r="AT34" s="105"/>
      <c r="AU34" s="105"/>
      <c r="AV34" s="105"/>
      <c r="AW34" s="105"/>
      <c r="AX34" s="105"/>
      <c r="AY34" s="105"/>
      <c r="AZ34" s="105"/>
      <c r="BA34" s="65"/>
      <c r="BK34" s="60"/>
    </row>
    <row r="35" spans="1:63" ht="15" customHeight="1" x14ac:dyDescent="0.25">
      <c r="A35" s="59"/>
      <c r="K35" s="64"/>
      <c r="L35" s="105"/>
      <c r="M35" s="105"/>
      <c r="N35" s="105"/>
      <c r="O35" s="105"/>
      <c r="P35" s="105"/>
      <c r="Q35" s="105"/>
      <c r="R35" s="105"/>
      <c r="S35" s="105"/>
      <c r="T35" s="105"/>
      <c r="U35" s="105"/>
      <c r="V35" s="105"/>
      <c r="W35" s="105"/>
      <c r="X35" s="105"/>
      <c r="Y35" s="105"/>
      <c r="Z35" s="105"/>
      <c r="AA35" s="105"/>
      <c r="AB35" s="105"/>
      <c r="AC35" s="105"/>
      <c r="AD35" s="105"/>
      <c r="AE35" s="105"/>
      <c r="AF35" s="105"/>
      <c r="AG35" s="105"/>
      <c r="AH35" s="105"/>
      <c r="AI35" s="105"/>
      <c r="AJ35" s="105"/>
      <c r="AK35" s="105"/>
      <c r="AL35" s="105"/>
      <c r="AM35" s="105"/>
      <c r="AN35" s="105"/>
      <c r="AO35" s="105"/>
      <c r="AP35" s="105"/>
      <c r="AQ35" s="105"/>
      <c r="AR35" s="105"/>
      <c r="AS35" s="105"/>
      <c r="AT35" s="105"/>
      <c r="AU35" s="105"/>
      <c r="AV35" s="105"/>
      <c r="AW35" s="105"/>
      <c r="AX35" s="105"/>
      <c r="AY35" s="105"/>
      <c r="AZ35" s="105"/>
      <c r="BA35" s="65"/>
      <c r="BK35" s="60"/>
    </row>
    <row r="36" spans="1:63" ht="15" customHeight="1" x14ac:dyDescent="0.25">
      <c r="A36" s="59"/>
      <c r="K36" s="64"/>
      <c r="L36" s="105"/>
      <c r="M36" s="105"/>
      <c r="N36" s="105"/>
      <c r="O36" s="105"/>
      <c r="P36" s="105"/>
      <c r="Q36" s="105"/>
      <c r="R36" s="105"/>
      <c r="S36" s="105"/>
      <c r="T36" s="105"/>
      <c r="U36" s="105"/>
      <c r="V36" s="105"/>
      <c r="W36" s="105"/>
      <c r="X36" s="105"/>
      <c r="Y36" s="105"/>
      <c r="Z36" s="105"/>
      <c r="AA36" s="105"/>
      <c r="AB36" s="105"/>
      <c r="AC36" s="105"/>
      <c r="AD36" s="105"/>
      <c r="AE36" s="105"/>
      <c r="AF36" s="105"/>
      <c r="AG36" s="105"/>
      <c r="AH36" s="105"/>
      <c r="AI36" s="105"/>
      <c r="AJ36" s="105"/>
      <c r="AK36" s="105"/>
      <c r="AL36" s="105"/>
      <c r="AM36" s="105"/>
      <c r="AN36" s="105"/>
      <c r="AO36" s="105"/>
      <c r="AP36" s="105"/>
      <c r="AQ36" s="105"/>
      <c r="AR36" s="105"/>
      <c r="AS36" s="105"/>
      <c r="AT36" s="105"/>
      <c r="AU36" s="105"/>
      <c r="AV36" s="105"/>
      <c r="AW36" s="105"/>
      <c r="AX36" s="105"/>
      <c r="AY36" s="105"/>
      <c r="AZ36" s="105"/>
      <c r="BA36" s="65"/>
      <c r="BK36" s="60"/>
    </row>
    <row r="37" spans="1:63" ht="15" customHeight="1" thickBot="1" x14ac:dyDescent="0.3">
      <c r="A37" s="59"/>
      <c r="K37" s="68"/>
      <c r="L37" s="69"/>
      <c r="M37" s="69"/>
      <c r="N37" s="69"/>
      <c r="O37" s="69"/>
      <c r="P37" s="69"/>
      <c r="Q37" s="69"/>
      <c r="R37" s="69"/>
      <c r="S37" s="69"/>
      <c r="T37" s="69"/>
      <c r="U37" s="69"/>
      <c r="V37" s="69"/>
      <c r="W37" s="69"/>
      <c r="X37" s="69"/>
      <c r="Y37" s="69"/>
      <c r="Z37" s="69"/>
      <c r="AA37" s="69"/>
      <c r="AB37" s="69"/>
      <c r="AC37" s="69"/>
      <c r="AD37" s="69"/>
      <c r="AE37" s="69"/>
      <c r="AF37" s="69"/>
      <c r="AG37" s="69"/>
      <c r="AH37" s="69"/>
      <c r="AI37" s="69"/>
      <c r="AJ37" s="69"/>
      <c r="AK37" s="69"/>
      <c r="AL37" s="69"/>
      <c r="AM37" s="69"/>
      <c r="AN37" s="69"/>
      <c r="AO37" s="69"/>
      <c r="AP37" s="69"/>
      <c r="AQ37" s="69"/>
      <c r="AR37" s="69"/>
      <c r="AS37" s="69"/>
      <c r="AT37" s="69"/>
      <c r="AU37" s="69"/>
      <c r="AV37" s="69"/>
      <c r="AW37" s="69"/>
      <c r="AX37" s="69"/>
      <c r="AY37" s="69"/>
      <c r="AZ37" s="69"/>
      <c r="BA37" s="70"/>
      <c r="BK37" s="60"/>
    </row>
    <row r="38" spans="1:63" ht="15" customHeight="1" thickTop="1" x14ac:dyDescent="0.25">
      <c r="A38" s="59"/>
      <c r="BK38" s="60"/>
    </row>
    <row r="39" spans="1:63" ht="15" customHeight="1" x14ac:dyDescent="0.25">
      <c r="A39" s="59"/>
      <c r="BK39" s="60"/>
    </row>
    <row r="40" spans="1:63" ht="15" customHeight="1" x14ac:dyDescent="0.25">
      <c r="A40" s="59"/>
      <c r="BK40" s="60"/>
    </row>
    <row r="41" spans="1:63" ht="15" customHeight="1" x14ac:dyDescent="0.25">
      <c r="A41" s="59"/>
      <c r="BK41" s="60"/>
    </row>
    <row r="42" spans="1:63" ht="15" customHeight="1" x14ac:dyDescent="0.25">
      <c r="A42" s="59"/>
      <c r="BK42" s="60"/>
    </row>
    <row r="43" spans="1:63" ht="15" customHeight="1" x14ac:dyDescent="0.25">
      <c r="A43" s="59"/>
      <c r="BK43" s="60"/>
    </row>
    <row r="44" spans="1:63" ht="15" customHeight="1" x14ac:dyDescent="0.25">
      <c r="A44" s="59"/>
      <c r="Q44" s="95" t="s">
        <v>51</v>
      </c>
      <c r="R44" s="96"/>
      <c r="S44" s="96"/>
      <c r="T44" s="96"/>
      <c r="U44" s="96"/>
      <c r="V44" s="96"/>
      <c r="W44" s="96"/>
      <c r="X44" s="96"/>
      <c r="Y44" s="96"/>
      <c r="Z44" s="97"/>
      <c r="AA44" s="95" t="s">
        <v>52</v>
      </c>
      <c r="AB44" s="96"/>
      <c r="AC44" s="96"/>
      <c r="AD44" s="96"/>
      <c r="AE44" s="96"/>
      <c r="AF44" s="96"/>
      <c r="AG44" s="96"/>
      <c r="AH44" s="96"/>
      <c r="AI44" s="96"/>
      <c r="AJ44" s="96"/>
      <c r="AK44" s="96"/>
      <c r="AL44" s="96"/>
      <c r="AM44" s="96"/>
      <c r="AN44" s="96"/>
      <c r="AO44" s="96"/>
      <c r="AP44" s="97"/>
      <c r="AQ44" s="95" t="s">
        <v>45</v>
      </c>
      <c r="AR44" s="96"/>
      <c r="AS44" s="96"/>
      <c r="AT44" s="96"/>
      <c r="AU44" s="97"/>
      <c r="BK44" s="60"/>
    </row>
    <row r="45" spans="1:63" ht="15" customHeight="1" x14ac:dyDescent="0.25">
      <c r="A45" s="59"/>
      <c r="Q45" s="98"/>
      <c r="R45" s="99"/>
      <c r="S45" s="99"/>
      <c r="T45" s="99"/>
      <c r="U45" s="99"/>
      <c r="V45" s="99"/>
      <c r="W45" s="99"/>
      <c r="X45" s="99"/>
      <c r="Y45" s="99"/>
      <c r="Z45" s="100"/>
      <c r="AA45" s="98"/>
      <c r="AB45" s="99"/>
      <c r="AC45" s="99"/>
      <c r="AD45" s="99"/>
      <c r="AE45" s="99"/>
      <c r="AF45" s="99"/>
      <c r="AG45" s="99"/>
      <c r="AH45" s="99"/>
      <c r="AI45" s="99"/>
      <c r="AJ45" s="99"/>
      <c r="AK45" s="99"/>
      <c r="AL45" s="99"/>
      <c r="AM45" s="99"/>
      <c r="AN45" s="99"/>
      <c r="AO45" s="99"/>
      <c r="AP45" s="100"/>
      <c r="AQ45" s="98"/>
      <c r="AR45" s="99"/>
      <c r="AS45" s="99"/>
      <c r="AT45" s="99"/>
      <c r="AU45" s="100"/>
      <c r="BK45" s="60"/>
    </row>
    <row r="46" spans="1:63" ht="15" customHeight="1" x14ac:dyDescent="0.25">
      <c r="A46" s="59"/>
      <c r="Q46" s="86"/>
      <c r="R46" s="87"/>
      <c r="S46" s="87"/>
      <c r="T46" s="87"/>
      <c r="U46" s="87"/>
      <c r="V46" s="87"/>
      <c r="W46" s="87"/>
      <c r="X46" s="87"/>
      <c r="Y46" s="87"/>
      <c r="Z46" s="88"/>
      <c r="AA46" s="86"/>
      <c r="AB46" s="87"/>
      <c r="AC46" s="87"/>
      <c r="AD46" s="87"/>
      <c r="AE46" s="87"/>
      <c r="AF46" s="87"/>
      <c r="AG46" s="87"/>
      <c r="AH46" s="87"/>
      <c r="AI46" s="87"/>
      <c r="AJ46" s="87"/>
      <c r="AK46" s="87"/>
      <c r="AL46" s="87"/>
      <c r="AM46" s="87"/>
      <c r="AN46" s="87"/>
      <c r="AO46" s="87"/>
      <c r="AP46" s="88"/>
      <c r="AQ46" s="86"/>
      <c r="AR46" s="87"/>
      <c r="AS46" s="87"/>
      <c r="AT46" s="87"/>
      <c r="AU46" s="88"/>
      <c r="BK46" s="60"/>
    </row>
    <row r="47" spans="1:63" ht="15" customHeight="1" x14ac:dyDescent="0.25">
      <c r="A47" s="59"/>
      <c r="Q47" s="89"/>
      <c r="R47" s="90"/>
      <c r="S47" s="90"/>
      <c r="T47" s="90"/>
      <c r="U47" s="90"/>
      <c r="V47" s="90"/>
      <c r="W47" s="90"/>
      <c r="X47" s="90"/>
      <c r="Y47" s="90"/>
      <c r="Z47" s="91"/>
      <c r="AA47" s="89"/>
      <c r="AB47" s="90"/>
      <c r="AC47" s="90"/>
      <c r="AD47" s="90"/>
      <c r="AE47" s="90"/>
      <c r="AF47" s="90"/>
      <c r="AG47" s="90"/>
      <c r="AH47" s="90"/>
      <c r="AI47" s="90"/>
      <c r="AJ47" s="90"/>
      <c r="AK47" s="90"/>
      <c r="AL47" s="90"/>
      <c r="AM47" s="90"/>
      <c r="AN47" s="90"/>
      <c r="AO47" s="90"/>
      <c r="AP47" s="91"/>
      <c r="AQ47" s="89"/>
      <c r="AR47" s="90"/>
      <c r="AS47" s="90"/>
      <c r="AT47" s="90"/>
      <c r="AU47" s="91"/>
      <c r="BK47" s="60"/>
    </row>
    <row r="48" spans="1:63" ht="15" customHeight="1" x14ac:dyDescent="0.25">
      <c r="A48" s="59"/>
      <c r="Q48" s="89"/>
      <c r="R48" s="90"/>
      <c r="S48" s="90"/>
      <c r="T48" s="90"/>
      <c r="U48" s="90"/>
      <c r="V48" s="90"/>
      <c r="W48" s="90"/>
      <c r="X48" s="90"/>
      <c r="Y48" s="90"/>
      <c r="Z48" s="91"/>
      <c r="AA48" s="89"/>
      <c r="AB48" s="90"/>
      <c r="AC48" s="90"/>
      <c r="AD48" s="90"/>
      <c r="AE48" s="90"/>
      <c r="AF48" s="90"/>
      <c r="AG48" s="90"/>
      <c r="AH48" s="90"/>
      <c r="AI48" s="90"/>
      <c r="AJ48" s="90"/>
      <c r="AK48" s="90"/>
      <c r="AL48" s="90"/>
      <c r="AM48" s="90"/>
      <c r="AN48" s="90"/>
      <c r="AO48" s="90"/>
      <c r="AP48" s="91"/>
      <c r="AQ48" s="89"/>
      <c r="AR48" s="90"/>
      <c r="AS48" s="90"/>
      <c r="AT48" s="90"/>
      <c r="AU48" s="91"/>
      <c r="BK48" s="60"/>
    </row>
    <row r="49" spans="1:63" ht="15" customHeight="1" x14ac:dyDescent="0.25">
      <c r="A49" s="59"/>
      <c r="Q49" s="92"/>
      <c r="R49" s="93"/>
      <c r="S49" s="93"/>
      <c r="T49" s="93"/>
      <c r="U49" s="93"/>
      <c r="V49" s="93"/>
      <c r="W49" s="93"/>
      <c r="X49" s="93"/>
      <c r="Y49" s="93"/>
      <c r="Z49" s="94"/>
      <c r="AA49" s="92"/>
      <c r="AB49" s="93"/>
      <c r="AC49" s="93"/>
      <c r="AD49" s="93"/>
      <c r="AE49" s="93"/>
      <c r="AF49" s="93"/>
      <c r="AG49" s="93"/>
      <c r="AH49" s="93"/>
      <c r="AI49" s="93"/>
      <c r="AJ49" s="93"/>
      <c r="AK49" s="93"/>
      <c r="AL49" s="93"/>
      <c r="AM49" s="93"/>
      <c r="AN49" s="93"/>
      <c r="AO49" s="93"/>
      <c r="AP49" s="94"/>
      <c r="AQ49" s="92"/>
      <c r="AR49" s="93"/>
      <c r="AS49" s="93"/>
      <c r="AT49" s="93"/>
      <c r="AU49" s="94"/>
      <c r="BK49" s="60"/>
    </row>
    <row r="50" spans="1:63" ht="15" customHeight="1" x14ac:dyDescent="0.25">
      <c r="A50" s="59"/>
      <c r="BK50" s="60"/>
    </row>
    <row r="51" spans="1:63" ht="15" customHeight="1" x14ac:dyDescent="0.25">
      <c r="A51" s="59"/>
      <c r="BK51" s="60"/>
    </row>
    <row r="52" spans="1:63" ht="15" customHeight="1" x14ac:dyDescent="0.25">
      <c r="A52" s="59"/>
      <c r="BK52" s="60"/>
    </row>
    <row r="53" spans="1:63" ht="15" customHeight="1" x14ac:dyDescent="0.25">
      <c r="A53" s="59"/>
      <c r="BK53" s="60"/>
    </row>
    <row r="54" spans="1:63" ht="15" customHeight="1" x14ac:dyDescent="0.25">
      <c r="A54" s="59"/>
      <c r="BK54" s="60"/>
    </row>
    <row r="55" spans="1:63" ht="15" customHeight="1" x14ac:dyDescent="0.25">
      <c r="A55" s="56"/>
      <c r="B55" s="57"/>
      <c r="C55" s="57"/>
      <c r="D55" s="57"/>
      <c r="E55" s="57"/>
      <c r="F55" s="57"/>
      <c r="G55" s="57"/>
      <c r="H55" s="57"/>
      <c r="I55" s="57"/>
      <c r="J55" s="57"/>
      <c r="K55" s="57"/>
      <c r="L55" s="57"/>
      <c r="M55" s="57"/>
      <c r="N55" s="57"/>
      <c r="O55" s="57"/>
      <c r="P55" s="57"/>
      <c r="Q55" s="57"/>
      <c r="R55" s="57"/>
      <c r="S55" s="57"/>
      <c r="T55" s="57"/>
      <c r="U55" s="57"/>
      <c r="V55" s="57"/>
      <c r="W55" s="57"/>
      <c r="X55" s="57"/>
      <c r="Y55" s="57"/>
      <c r="Z55" s="57"/>
      <c r="AA55" s="57"/>
      <c r="AB55" s="57"/>
      <c r="AC55" s="57"/>
      <c r="AD55" s="57"/>
      <c r="AE55" s="57"/>
      <c r="AF55" s="57"/>
      <c r="AG55" s="57"/>
      <c r="AH55" s="57"/>
      <c r="AI55" s="57"/>
      <c r="AJ55" s="57"/>
      <c r="AK55" s="57"/>
      <c r="AL55" s="57"/>
      <c r="AM55" s="57"/>
      <c r="AN55" s="57"/>
      <c r="AO55" s="57"/>
      <c r="AP55" s="57"/>
      <c r="AQ55" s="57"/>
      <c r="AR55" s="57"/>
      <c r="AS55" s="57"/>
      <c r="AT55" s="57"/>
      <c r="AU55" s="57"/>
      <c r="AV55" s="57"/>
      <c r="AW55" s="57"/>
      <c r="AX55" s="57"/>
      <c r="AY55" s="57"/>
      <c r="AZ55" s="57"/>
      <c r="BA55" s="57"/>
      <c r="BB55" s="57"/>
      <c r="BC55" s="57"/>
      <c r="BD55" s="57"/>
      <c r="BE55" s="57"/>
      <c r="BF55" s="57"/>
      <c r="BG55" s="57"/>
      <c r="BH55" s="57"/>
      <c r="BI55" s="57"/>
      <c r="BJ55" s="57"/>
      <c r="BK55" s="58"/>
    </row>
  </sheetData>
  <mergeCells count="28">
    <mergeCell ref="A4:G4"/>
    <mergeCell ref="K2:V3"/>
    <mergeCell ref="A2:J3"/>
    <mergeCell ref="W1:AO3"/>
    <mergeCell ref="K1:V1"/>
    <mergeCell ref="A1:J1"/>
    <mergeCell ref="AY1:BB1"/>
    <mergeCell ref="AT1:AX1"/>
    <mergeCell ref="AP1:AS1"/>
    <mergeCell ref="L16:AZ21"/>
    <mergeCell ref="L24:AZ36"/>
    <mergeCell ref="AP4:BK4"/>
    <mergeCell ref="Z4:AO4"/>
    <mergeCell ref="U4:Y4"/>
    <mergeCell ref="BH2:BK3"/>
    <mergeCell ref="BC2:BG3"/>
    <mergeCell ref="AY2:BB3"/>
    <mergeCell ref="AT2:AX3"/>
    <mergeCell ref="AP2:AS3"/>
    <mergeCell ref="BH1:BK1"/>
    <mergeCell ref="BC1:BG1"/>
    <mergeCell ref="H4:T4"/>
    <mergeCell ref="AQ46:AU49"/>
    <mergeCell ref="AA46:AP49"/>
    <mergeCell ref="Q46:Z49"/>
    <mergeCell ref="AQ44:AU45"/>
    <mergeCell ref="AA44:AP45"/>
    <mergeCell ref="Q44:Z45"/>
  </mergeCells>
  <printOptions horizontalCentered="1" verticalCentered="1"/>
  <pageMargins left="0.59055118110236204" right="0.59055118110236204" top="0.39370078740157499" bottom="0.39370078740157499" header="0.31496062992126" footer="0.31496062992126"/>
  <pageSetup paperSize="9" scale="59" orientation="landscape" r:id="rId1"/>
  <headerFooter>
    <oddHeader>&amp;R&amp;F</oddHeader>
    <oddFooter>&amp;C&amp;P / &amp;N ページ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1BE07E-FA9B-4DC2-9800-9D0065CF166C}">
  <sheetPr>
    <pageSetUpPr fitToPage="1"/>
  </sheetPr>
  <dimension ref="A1:BK55"/>
  <sheetViews>
    <sheetView view="pageBreakPreview" zoomScale="85" zoomScaleNormal="75" zoomScaleSheetLayoutView="85" workbookViewId="0">
      <selection sqref="A1:J1"/>
    </sheetView>
  </sheetViews>
  <sheetFormatPr defaultColWidth="2.77734375" defaultRowHeight="15.75" customHeight="1" x14ac:dyDescent="0.25"/>
  <cols>
    <col min="1" max="60" width="2.77734375" style="55" customWidth="1"/>
    <col min="61" max="16384" width="2.77734375" style="55"/>
  </cols>
  <sheetData>
    <row r="1" spans="1:63" ht="24.95" customHeight="1" x14ac:dyDescent="0.25">
      <c r="A1" s="101" t="s">
        <v>38</v>
      </c>
      <c r="B1" s="102"/>
      <c r="C1" s="102"/>
      <c r="D1" s="102"/>
      <c r="E1" s="102"/>
      <c r="F1" s="102"/>
      <c r="G1" s="102"/>
      <c r="H1" s="102"/>
      <c r="I1" s="102"/>
      <c r="J1" s="103"/>
      <c r="K1" s="101" t="s">
        <v>39</v>
      </c>
      <c r="L1" s="102"/>
      <c r="M1" s="102"/>
      <c r="N1" s="102"/>
      <c r="O1" s="102"/>
      <c r="P1" s="102"/>
      <c r="Q1" s="102"/>
      <c r="R1" s="102"/>
      <c r="S1" s="102"/>
      <c r="T1" s="102"/>
      <c r="U1" s="102"/>
      <c r="V1" s="103"/>
      <c r="W1" s="168" t="str">
        <f>IF(表紙!W1="","",表紙!W1)</f>
        <v>詳細設計書</v>
      </c>
      <c r="X1" s="124"/>
      <c r="Y1" s="124"/>
      <c r="Z1" s="124"/>
      <c r="AA1" s="124"/>
      <c r="AB1" s="124"/>
      <c r="AC1" s="124"/>
      <c r="AD1" s="124"/>
      <c r="AE1" s="124"/>
      <c r="AF1" s="124"/>
      <c r="AG1" s="124"/>
      <c r="AH1" s="124"/>
      <c r="AI1" s="124"/>
      <c r="AJ1" s="124"/>
      <c r="AK1" s="124"/>
      <c r="AL1" s="124"/>
      <c r="AM1" s="124"/>
      <c r="AN1" s="124"/>
      <c r="AO1" s="125"/>
      <c r="AP1" s="101" t="s">
        <v>41</v>
      </c>
      <c r="AQ1" s="102"/>
      <c r="AR1" s="102"/>
      <c r="AS1" s="103"/>
      <c r="AT1" s="101" t="s">
        <v>42</v>
      </c>
      <c r="AU1" s="102"/>
      <c r="AV1" s="102"/>
      <c r="AW1" s="102"/>
      <c r="AX1" s="103"/>
      <c r="AY1" s="101" t="s">
        <v>43</v>
      </c>
      <c r="AZ1" s="102"/>
      <c r="BA1" s="102"/>
      <c r="BB1" s="103"/>
      <c r="BC1" s="101" t="s">
        <v>44</v>
      </c>
      <c r="BD1" s="102"/>
      <c r="BE1" s="102"/>
      <c r="BF1" s="102"/>
      <c r="BG1" s="103"/>
      <c r="BH1" s="101" t="s">
        <v>45</v>
      </c>
      <c r="BI1" s="102"/>
      <c r="BJ1" s="102"/>
      <c r="BK1" s="103"/>
    </row>
    <row r="2" spans="1:63" ht="15" customHeight="1" x14ac:dyDescent="0.25">
      <c r="A2" s="86" t="str">
        <f>IF(表紙!A2="","",表紙!A2)</f>
        <v>POSサーバー</v>
      </c>
      <c r="B2" s="87"/>
      <c r="C2" s="87"/>
      <c r="D2" s="87"/>
      <c r="E2" s="87"/>
      <c r="F2" s="87"/>
      <c r="G2" s="87"/>
      <c r="H2" s="87"/>
      <c r="I2" s="87"/>
      <c r="J2" s="88"/>
      <c r="K2" s="86" t="str">
        <f>IF(表紙!K2="","",表紙!K2)</f>
        <v>POSサーバ</v>
      </c>
      <c r="L2" s="87"/>
      <c r="M2" s="87"/>
      <c r="N2" s="87"/>
      <c r="O2" s="87"/>
      <c r="P2" s="87"/>
      <c r="Q2" s="87"/>
      <c r="R2" s="87"/>
      <c r="S2" s="87"/>
      <c r="T2" s="87"/>
      <c r="U2" s="87"/>
      <c r="V2" s="88"/>
      <c r="W2" s="126"/>
      <c r="X2" s="127"/>
      <c r="Y2" s="127"/>
      <c r="Z2" s="127"/>
      <c r="AA2" s="127"/>
      <c r="AB2" s="127"/>
      <c r="AC2" s="127"/>
      <c r="AD2" s="127"/>
      <c r="AE2" s="127"/>
      <c r="AF2" s="127"/>
      <c r="AG2" s="127"/>
      <c r="AH2" s="127"/>
      <c r="AI2" s="127"/>
      <c r="AJ2" s="127"/>
      <c r="AK2" s="127"/>
      <c r="AL2" s="127"/>
      <c r="AM2" s="127"/>
      <c r="AN2" s="127"/>
      <c r="AO2" s="128"/>
      <c r="AP2" s="86" t="str">
        <f>IF(表紙!AP2="","",表紙!AP2)</f>
        <v>LoiLV</v>
      </c>
      <c r="AQ2" s="87"/>
      <c r="AR2" s="87"/>
      <c r="AS2" s="88"/>
      <c r="AT2" s="116">
        <f>IF(表紙!AT2="","",表紙!AT2)</f>
        <v>45468</v>
      </c>
      <c r="AU2" s="117"/>
      <c r="AV2" s="117"/>
      <c r="AW2" s="117"/>
      <c r="AX2" s="118"/>
      <c r="AY2" s="86" t="str">
        <f>IF(表紙!AY2="","",表紙!AY2)</f>
        <v>AnhDD</v>
      </c>
      <c r="AZ2" s="87"/>
      <c r="BA2" s="87"/>
      <c r="BB2" s="88"/>
      <c r="BC2" s="116">
        <f>IF(表紙!BC2="","",表紙!BC2)</f>
        <v>45515</v>
      </c>
      <c r="BD2" s="117"/>
      <c r="BE2" s="117"/>
      <c r="BF2" s="117"/>
      <c r="BG2" s="118"/>
      <c r="BH2" s="86">
        <f>IF(表紙!BH2="","",表紙!BH2)</f>
        <v>0.12</v>
      </c>
      <c r="BI2" s="87"/>
      <c r="BJ2" s="87"/>
      <c r="BK2" s="88"/>
    </row>
    <row r="3" spans="1:63" ht="15" customHeight="1" x14ac:dyDescent="0.25">
      <c r="A3" s="92"/>
      <c r="B3" s="93"/>
      <c r="C3" s="93"/>
      <c r="D3" s="93"/>
      <c r="E3" s="93"/>
      <c r="F3" s="93"/>
      <c r="G3" s="93"/>
      <c r="H3" s="93"/>
      <c r="I3" s="93"/>
      <c r="J3" s="94"/>
      <c r="K3" s="92"/>
      <c r="L3" s="93"/>
      <c r="M3" s="93"/>
      <c r="N3" s="93"/>
      <c r="O3" s="93"/>
      <c r="P3" s="93"/>
      <c r="Q3" s="93"/>
      <c r="R3" s="93"/>
      <c r="S3" s="93"/>
      <c r="T3" s="93"/>
      <c r="U3" s="93"/>
      <c r="V3" s="94"/>
      <c r="W3" s="129"/>
      <c r="X3" s="130"/>
      <c r="Y3" s="130"/>
      <c r="Z3" s="130"/>
      <c r="AA3" s="130"/>
      <c r="AB3" s="130"/>
      <c r="AC3" s="130"/>
      <c r="AD3" s="130"/>
      <c r="AE3" s="130"/>
      <c r="AF3" s="130"/>
      <c r="AG3" s="130"/>
      <c r="AH3" s="130"/>
      <c r="AI3" s="130"/>
      <c r="AJ3" s="130"/>
      <c r="AK3" s="130"/>
      <c r="AL3" s="130"/>
      <c r="AM3" s="130"/>
      <c r="AN3" s="130"/>
      <c r="AO3" s="131"/>
      <c r="AP3" s="92"/>
      <c r="AQ3" s="93"/>
      <c r="AR3" s="93"/>
      <c r="AS3" s="94"/>
      <c r="AT3" s="119"/>
      <c r="AU3" s="120"/>
      <c r="AV3" s="120"/>
      <c r="AW3" s="120"/>
      <c r="AX3" s="121"/>
      <c r="AY3" s="92"/>
      <c r="AZ3" s="93"/>
      <c r="BA3" s="93"/>
      <c r="BB3" s="94"/>
      <c r="BC3" s="119"/>
      <c r="BD3" s="120"/>
      <c r="BE3" s="120"/>
      <c r="BF3" s="120"/>
      <c r="BG3" s="121"/>
      <c r="BH3" s="92"/>
      <c r="BI3" s="93"/>
      <c r="BJ3" s="93"/>
      <c r="BK3" s="94"/>
    </row>
    <row r="4" spans="1:63" ht="24.95" customHeight="1" x14ac:dyDescent="0.25">
      <c r="A4" s="101" t="s">
        <v>53</v>
      </c>
      <c r="B4" s="102"/>
      <c r="C4" s="102"/>
      <c r="D4" s="102"/>
      <c r="E4" s="102"/>
      <c r="F4" s="102"/>
      <c r="G4" s="103"/>
      <c r="H4" s="106" t="str">
        <f>IF(表紙!H4="","",表紙!H4)</f>
        <v>APX002</v>
      </c>
      <c r="I4" s="107"/>
      <c r="J4" s="107"/>
      <c r="K4" s="107"/>
      <c r="L4" s="107"/>
      <c r="M4" s="107"/>
      <c r="N4" s="107"/>
      <c r="O4" s="107"/>
      <c r="P4" s="107"/>
      <c r="Q4" s="107"/>
      <c r="R4" s="107"/>
      <c r="S4" s="107"/>
      <c r="T4" s="108"/>
      <c r="U4" s="101" t="s">
        <v>48</v>
      </c>
      <c r="V4" s="102"/>
      <c r="W4" s="102"/>
      <c r="X4" s="102"/>
      <c r="Y4" s="103"/>
      <c r="Z4" s="106" t="str">
        <f>IF(表紙!Z4="","",表紙!Z4)</f>
        <v>API設計書</v>
      </c>
      <c r="AA4" s="107"/>
      <c r="AB4" s="107"/>
      <c r="AC4" s="107"/>
      <c r="AD4" s="107"/>
      <c r="AE4" s="107"/>
      <c r="AF4" s="107"/>
      <c r="AG4" s="107"/>
      <c r="AH4" s="107"/>
      <c r="AI4" s="107"/>
      <c r="AJ4" s="107"/>
      <c r="AK4" s="107"/>
      <c r="AL4" s="107"/>
      <c r="AM4" s="107"/>
      <c r="AN4" s="107"/>
      <c r="AO4" s="108"/>
      <c r="AP4" s="106" t="str">
        <f t="array" aca="1" ref="AP4" ca="1">RIGHT(CELL("filename",$A$1),LEN(CELL("filename",$A$1))-FIND("]",CELL("filename",$A$1)))</f>
        <v>改訂履歴</v>
      </c>
      <c r="AQ4" s="107"/>
      <c r="AR4" s="107"/>
      <c r="AS4" s="107"/>
      <c r="AT4" s="107"/>
      <c r="AU4" s="107"/>
      <c r="AV4" s="107"/>
      <c r="AW4" s="107"/>
      <c r="AX4" s="107"/>
      <c r="AY4" s="107"/>
      <c r="AZ4" s="107"/>
      <c r="BA4" s="107"/>
      <c r="BB4" s="107"/>
      <c r="BC4" s="107"/>
      <c r="BD4" s="107"/>
      <c r="BE4" s="107"/>
      <c r="BF4" s="107"/>
      <c r="BG4" s="107"/>
      <c r="BH4" s="107"/>
      <c r="BI4" s="107"/>
      <c r="BJ4" s="107"/>
      <c r="BK4" s="108"/>
    </row>
    <row r="5" spans="1:63" ht="5.0999999999999996" customHeight="1" x14ac:dyDescent="0.25">
      <c r="A5" s="56"/>
      <c r="B5" s="57"/>
      <c r="C5" s="57"/>
      <c r="D5" s="57"/>
      <c r="E5" s="57"/>
      <c r="F5" s="57"/>
      <c r="G5" s="57"/>
      <c r="H5" s="57"/>
      <c r="I5" s="57"/>
      <c r="J5" s="57"/>
      <c r="K5" s="57"/>
      <c r="L5" s="57"/>
      <c r="M5" s="57"/>
      <c r="N5" s="57"/>
      <c r="O5" s="57"/>
      <c r="P5" s="57"/>
      <c r="Q5" s="57"/>
      <c r="R5" s="57"/>
      <c r="S5" s="57"/>
      <c r="T5" s="57"/>
      <c r="U5" s="57"/>
      <c r="V5" s="57"/>
      <c r="W5" s="57"/>
      <c r="X5" s="57"/>
      <c r="Y5" s="57"/>
      <c r="Z5" s="57"/>
      <c r="AA5" s="57"/>
      <c r="AB5" s="57"/>
      <c r="AC5" s="57"/>
      <c r="AD5" s="57"/>
      <c r="AE5" s="57"/>
      <c r="AF5" s="57"/>
      <c r="AG5" s="57"/>
      <c r="AH5" s="57"/>
      <c r="AI5" s="57"/>
      <c r="AJ5" s="57"/>
      <c r="AK5" s="57"/>
      <c r="AL5" s="57"/>
      <c r="AM5" s="57"/>
      <c r="AN5" s="57"/>
      <c r="AO5" s="57"/>
      <c r="AP5" s="57"/>
      <c r="AQ5" s="57"/>
      <c r="AR5" s="57"/>
      <c r="AS5" s="57"/>
      <c r="AT5" s="57"/>
      <c r="AU5" s="57"/>
      <c r="AV5" s="57"/>
      <c r="AW5" s="57"/>
      <c r="AX5" s="57"/>
      <c r="AY5" s="57"/>
      <c r="AZ5" s="57"/>
      <c r="BA5" s="57"/>
      <c r="BB5" s="57"/>
      <c r="BC5" s="57"/>
      <c r="BD5" s="57"/>
      <c r="BE5" s="57"/>
      <c r="BF5" s="57"/>
      <c r="BG5" s="57"/>
      <c r="BH5" s="57"/>
      <c r="BI5" s="57"/>
      <c r="BJ5" s="57"/>
      <c r="BK5" s="58"/>
    </row>
    <row r="6" spans="1:63" ht="15" customHeight="1" x14ac:dyDescent="0.25">
      <c r="A6" s="59"/>
      <c r="BK6" s="60"/>
    </row>
    <row r="7" spans="1:63" ht="15" customHeight="1" x14ac:dyDescent="0.25">
      <c r="A7" s="59"/>
      <c r="BK7" s="60"/>
    </row>
    <row r="8" spans="1:63" ht="15" customHeight="1" x14ac:dyDescent="0.25">
      <c r="A8" s="59"/>
      <c r="B8" s="55" t="s">
        <v>0</v>
      </c>
      <c r="BK8" s="60"/>
    </row>
    <row r="9" spans="1:63" ht="15" customHeight="1" x14ac:dyDescent="0.25">
      <c r="A9" s="59"/>
      <c r="BK9" s="60"/>
    </row>
    <row r="10" spans="1:63" ht="15" customHeight="1" x14ac:dyDescent="0.25">
      <c r="A10" s="59"/>
      <c r="B10" s="144" t="s">
        <v>44</v>
      </c>
      <c r="C10" s="144"/>
      <c r="D10" s="144"/>
      <c r="E10" s="144"/>
      <c r="F10" s="144"/>
      <c r="G10" s="144"/>
      <c r="H10" s="144" t="s">
        <v>43</v>
      </c>
      <c r="I10" s="144"/>
      <c r="J10" s="144"/>
      <c r="K10" s="144"/>
      <c r="L10" s="144"/>
      <c r="M10" s="144"/>
      <c r="N10" s="144"/>
      <c r="O10" s="144" t="s">
        <v>45</v>
      </c>
      <c r="P10" s="144"/>
      <c r="Q10" s="144"/>
      <c r="R10" s="144"/>
      <c r="S10" s="144" t="s">
        <v>54</v>
      </c>
      <c r="T10" s="144"/>
      <c r="U10" s="144"/>
      <c r="V10" s="144"/>
      <c r="W10" s="144"/>
      <c r="X10" s="144"/>
      <c r="Y10" s="144"/>
      <c r="Z10" s="144"/>
      <c r="AA10" s="144"/>
      <c r="AB10" s="144"/>
      <c r="AC10" s="144"/>
      <c r="AD10" s="144"/>
      <c r="AE10" s="144"/>
      <c r="AF10" s="144"/>
      <c r="AG10" s="144"/>
      <c r="AH10" s="144"/>
      <c r="AI10" s="144"/>
      <c r="AJ10" s="144"/>
      <c r="AK10" s="144"/>
      <c r="AL10" s="144"/>
      <c r="AM10" s="144"/>
      <c r="AN10" s="144"/>
      <c r="AO10" s="144"/>
      <c r="AP10" s="144"/>
      <c r="AQ10" s="144"/>
      <c r="AR10" s="144"/>
      <c r="AS10" s="144"/>
      <c r="AT10" s="144"/>
      <c r="AU10" s="144"/>
      <c r="AV10" s="144"/>
      <c r="AW10" s="144"/>
      <c r="AX10" s="144" t="s">
        <v>51</v>
      </c>
      <c r="AY10" s="144"/>
      <c r="AZ10" s="144"/>
      <c r="BA10" s="144"/>
      <c r="BB10" s="144"/>
      <c r="BC10" s="144"/>
      <c r="BD10" s="144" t="s">
        <v>52</v>
      </c>
      <c r="BE10" s="144"/>
      <c r="BF10" s="144"/>
      <c r="BG10" s="144"/>
      <c r="BH10" s="144"/>
      <c r="BI10" s="144"/>
      <c r="BJ10" s="144"/>
      <c r="BK10" s="60"/>
    </row>
    <row r="11" spans="1:63" ht="15" customHeight="1" x14ac:dyDescent="0.25">
      <c r="A11" s="59"/>
      <c r="B11" s="116">
        <v>45468</v>
      </c>
      <c r="C11" s="87"/>
      <c r="D11" s="87"/>
      <c r="E11" s="87"/>
      <c r="F11" s="87"/>
      <c r="G11" s="88"/>
      <c r="H11" s="122" t="s">
        <v>55</v>
      </c>
      <c r="I11" s="87"/>
      <c r="J11" s="87"/>
      <c r="K11" s="87"/>
      <c r="L11" s="87"/>
      <c r="M11" s="87"/>
      <c r="N11" s="88"/>
      <c r="O11" s="86">
        <v>0.1</v>
      </c>
      <c r="P11" s="87"/>
      <c r="Q11" s="87"/>
      <c r="R11" s="87"/>
      <c r="S11" s="132" t="s">
        <v>2</v>
      </c>
      <c r="T11" s="133"/>
      <c r="U11" s="133"/>
      <c r="V11" s="133"/>
      <c r="W11" s="133"/>
      <c r="X11" s="133"/>
      <c r="Y11" s="133"/>
      <c r="Z11" s="133"/>
      <c r="AA11" s="133"/>
      <c r="AB11" s="133"/>
      <c r="AC11" s="133"/>
      <c r="AD11" s="133"/>
      <c r="AE11" s="133"/>
      <c r="AF11" s="133"/>
      <c r="AG11" s="133"/>
      <c r="AH11" s="133"/>
      <c r="AI11" s="133"/>
      <c r="AJ11" s="133"/>
      <c r="AK11" s="133"/>
      <c r="AL11" s="133"/>
      <c r="AM11" s="133"/>
      <c r="AN11" s="133"/>
      <c r="AO11" s="133"/>
      <c r="AP11" s="133"/>
      <c r="AQ11" s="133"/>
      <c r="AR11" s="133"/>
      <c r="AS11" s="133"/>
      <c r="AT11" s="133"/>
      <c r="AU11" s="133"/>
      <c r="AV11" s="133"/>
      <c r="AW11" s="134"/>
      <c r="AX11" s="135"/>
      <c r="AY11" s="135"/>
      <c r="AZ11" s="135"/>
      <c r="BA11" s="135"/>
      <c r="BB11" s="135"/>
      <c r="BC11" s="136"/>
      <c r="BD11" s="139"/>
      <c r="BE11" s="135"/>
      <c r="BF11" s="135"/>
      <c r="BG11" s="135"/>
      <c r="BH11" s="135"/>
      <c r="BI11" s="135"/>
      <c r="BJ11" s="136"/>
      <c r="BK11" s="60"/>
    </row>
    <row r="12" spans="1:63" ht="15" customHeight="1" x14ac:dyDescent="0.25">
      <c r="A12" s="59"/>
      <c r="B12" s="92"/>
      <c r="C12" s="93"/>
      <c r="D12" s="93"/>
      <c r="E12" s="93"/>
      <c r="F12" s="93"/>
      <c r="G12" s="94"/>
      <c r="H12" s="92"/>
      <c r="I12" s="93"/>
      <c r="J12" s="93"/>
      <c r="K12" s="93"/>
      <c r="L12" s="93"/>
      <c r="M12" s="93"/>
      <c r="N12" s="94"/>
      <c r="O12" s="92"/>
      <c r="P12" s="93"/>
      <c r="Q12" s="93"/>
      <c r="R12" s="93"/>
      <c r="S12" s="141"/>
      <c r="T12" s="142"/>
      <c r="U12" s="142"/>
      <c r="V12" s="142"/>
      <c r="W12" s="142"/>
      <c r="X12" s="142"/>
      <c r="Y12" s="142"/>
      <c r="Z12" s="142"/>
      <c r="AA12" s="142"/>
      <c r="AB12" s="142"/>
      <c r="AC12" s="142"/>
      <c r="AD12" s="142"/>
      <c r="AE12" s="142"/>
      <c r="AF12" s="142"/>
      <c r="AG12" s="142"/>
      <c r="AH12" s="142"/>
      <c r="AI12" s="142"/>
      <c r="AJ12" s="142"/>
      <c r="AK12" s="142"/>
      <c r="AL12" s="142"/>
      <c r="AM12" s="142"/>
      <c r="AN12" s="142"/>
      <c r="AO12" s="142"/>
      <c r="AP12" s="142"/>
      <c r="AQ12" s="142"/>
      <c r="AR12" s="142"/>
      <c r="AS12" s="142"/>
      <c r="AT12" s="142"/>
      <c r="AU12" s="142"/>
      <c r="AV12" s="142"/>
      <c r="AW12" s="143"/>
      <c r="AX12" s="137"/>
      <c r="AY12" s="137"/>
      <c r="AZ12" s="137"/>
      <c r="BA12" s="137"/>
      <c r="BB12" s="137"/>
      <c r="BC12" s="138"/>
      <c r="BD12" s="140"/>
      <c r="BE12" s="137"/>
      <c r="BF12" s="137"/>
      <c r="BG12" s="137"/>
      <c r="BH12" s="137"/>
      <c r="BI12" s="137"/>
      <c r="BJ12" s="138"/>
      <c r="BK12" s="60"/>
    </row>
    <row r="13" spans="1:63" ht="15" customHeight="1" x14ac:dyDescent="0.25">
      <c r="A13" s="59"/>
      <c r="B13" s="158">
        <v>45476</v>
      </c>
      <c r="C13" s="159"/>
      <c r="D13" s="159"/>
      <c r="E13" s="159"/>
      <c r="F13" s="159"/>
      <c r="G13" s="160"/>
      <c r="H13" s="164" t="s">
        <v>55</v>
      </c>
      <c r="I13" s="159"/>
      <c r="J13" s="159"/>
      <c r="K13" s="159"/>
      <c r="L13" s="159"/>
      <c r="M13" s="159"/>
      <c r="N13" s="160"/>
      <c r="O13" s="164">
        <v>0.11</v>
      </c>
      <c r="P13" s="159"/>
      <c r="Q13" s="159"/>
      <c r="R13" s="159"/>
      <c r="S13" s="165" t="s">
        <v>56</v>
      </c>
      <c r="T13" s="166"/>
      <c r="U13" s="166"/>
      <c r="V13" s="166"/>
      <c r="W13" s="166"/>
      <c r="X13" s="166"/>
      <c r="Y13" s="166"/>
      <c r="Z13" s="166"/>
      <c r="AA13" s="166"/>
      <c r="AB13" s="166"/>
      <c r="AC13" s="166"/>
      <c r="AD13" s="166"/>
      <c r="AE13" s="166"/>
      <c r="AF13" s="166"/>
      <c r="AG13" s="166"/>
      <c r="AH13" s="166"/>
      <c r="AI13" s="166"/>
      <c r="AJ13" s="166"/>
      <c r="AK13" s="166"/>
      <c r="AL13" s="166"/>
      <c r="AM13" s="166"/>
      <c r="AN13" s="166"/>
      <c r="AO13" s="166"/>
      <c r="AP13" s="166"/>
      <c r="AQ13" s="166"/>
      <c r="AR13" s="166"/>
      <c r="AS13" s="166"/>
      <c r="AT13" s="166"/>
      <c r="AU13" s="166"/>
      <c r="AV13" s="166"/>
      <c r="AW13" s="167"/>
      <c r="AX13" s="135"/>
      <c r="AY13" s="135"/>
      <c r="AZ13" s="135"/>
      <c r="BA13" s="135"/>
      <c r="BB13" s="135"/>
      <c r="BC13" s="136"/>
      <c r="BD13" s="139"/>
      <c r="BE13" s="135"/>
      <c r="BF13" s="135"/>
      <c r="BG13" s="135"/>
      <c r="BH13" s="135"/>
      <c r="BI13" s="135"/>
      <c r="BJ13" s="136"/>
      <c r="BK13" s="60"/>
    </row>
    <row r="14" spans="1:63" ht="15" customHeight="1" x14ac:dyDescent="0.25">
      <c r="A14" s="59"/>
      <c r="B14" s="161"/>
      <c r="C14" s="162"/>
      <c r="D14" s="162"/>
      <c r="E14" s="162"/>
      <c r="F14" s="162"/>
      <c r="G14" s="163"/>
      <c r="H14" s="161"/>
      <c r="I14" s="162"/>
      <c r="J14" s="162"/>
      <c r="K14" s="162"/>
      <c r="L14" s="162"/>
      <c r="M14" s="162"/>
      <c r="N14" s="163"/>
      <c r="O14" s="161"/>
      <c r="P14" s="162"/>
      <c r="Q14" s="162"/>
      <c r="R14" s="162"/>
      <c r="S14" s="145"/>
      <c r="T14" s="146"/>
      <c r="U14" s="146"/>
      <c r="V14" s="146"/>
      <c r="W14" s="146"/>
      <c r="X14" s="146"/>
      <c r="Y14" s="146"/>
      <c r="Z14" s="146"/>
      <c r="AA14" s="146"/>
      <c r="AB14" s="146"/>
      <c r="AC14" s="146"/>
      <c r="AD14" s="146"/>
      <c r="AE14" s="146"/>
      <c r="AF14" s="146"/>
      <c r="AG14" s="146"/>
      <c r="AH14" s="146"/>
      <c r="AI14" s="146"/>
      <c r="AJ14" s="146"/>
      <c r="AK14" s="146"/>
      <c r="AL14" s="146"/>
      <c r="AM14" s="146"/>
      <c r="AN14" s="146"/>
      <c r="AO14" s="146"/>
      <c r="AP14" s="146"/>
      <c r="AQ14" s="146"/>
      <c r="AR14" s="146"/>
      <c r="AS14" s="146"/>
      <c r="AT14" s="146"/>
      <c r="AU14" s="146"/>
      <c r="AV14" s="146"/>
      <c r="AW14" s="147"/>
      <c r="AX14" s="137"/>
      <c r="AY14" s="137"/>
      <c r="AZ14" s="137"/>
      <c r="BA14" s="137"/>
      <c r="BB14" s="137"/>
      <c r="BC14" s="138"/>
      <c r="BD14" s="140"/>
      <c r="BE14" s="137"/>
      <c r="BF14" s="137"/>
      <c r="BG14" s="137"/>
      <c r="BH14" s="137"/>
      <c r="BI14" s="137"/>
      <c r="BJ14" s="138"/>
      <c r="BK14" s="60"/>
    </row>
    <row r="15" spans="1:63" ht="15" customHeight="1" x14ac:dyDescent="0.25">
      <c r="A15" s="59"/>
      <c r="B15" s="148">
        <v>45515</v>
      </c>
      <c r="C15" s="149"/>
      <c r="D15" s="149"/>
      <c r="E15" s="149"/>
      <c r="F15" s="149"/>
      <c r="G15" s="150"/>
      <c r="H15" s="154" t="s">
        <v>57</v>
      </c>
      <c r="I15" s="149"/>
      <c r="J15" s="149"/>
      <c r="K15" s="149"/>
      <c r="L15" s="149"/>
      <c r="M15" s="149"/>
      <c r="N15" s="150"/>
      <c r="O15" s="154">
        <v>0.12</v>
      </c>
      <c r="P15" s="149"/>
      <c r="Q15" s="149"/>
      <c r="R15" s="149"/>
      <c r="S15" s="155" t="s">
        <v>108</v>
      </c>
      <c r="T15" s="156"/>
      <c r="U15" s="156"/>
      <c r="V15" s="156"/>
      <c r="W15" s="156"/>
      <c r="X15" s="156"/>
      <c r="Y15" s="156"/>
      <c r="Z15" s="156"/>
      <c r="AA15" s="156"/>
      <c r="AB15" s="156"/>
      <c r="AC15" s="156"/>
      <c r="AD15" s="156"/>
      <c r="AE15" s="156"/>
      <c r="AF15" s="156"/>
      <c r="AG15" s="156"/>
      <c r="AH15" s="156"/>
      <c r="AI15" s="156"/>
      <c r="AJ15" s="156"/>
      <c r="AK15" s="156"/>
      <c r="AL15" s="156"/>
      <c r="AM15" s="156"/>
      <c r="AN15" s="156"/>
      <c r="AO15" s="156"/>
      <c r="AP15" s="156"/>
      <c r="AQ15" s="156"/>
      <c r="AR15" s="156"/>
      <c r="AS15" s="156"/>
      <c r="AT15" s="156"/>
      <c r="AU15" s="156"/>
      <c r="AV15" s="156"/>
      <c r="AW15" s="157"/>
      <c r="AX15" s="135"/>
      <c r="AY15" s="135"/>
      <c r="AZ15" s="135"/>
      <c r="BA15" s="135"/>
      <c r="BB15" s="135"/>
      <c r="BC15" s="136"/>
      <c r="BD15" s="139"/>
      <c r="BE15" s="135"/>
      <c r="BF15" s="135"/>
      <c r="BG15" s="135"/>
      <c r="BH15" s="135"/>
      <c r="BI15" s="135"/>
      <c r="BJ15" s="136"/>
      <c r="BK15" s="60"/>
    </row>
    <row r="16" spans="1:63" ht="39" customHeight="1" x14ac:dyDescent="0.25">
      <c r="A16" s="59"/>
      <c r="B16" s="151"/>
      <c r="C16" s="152"/>
      <c r="D16" s="152"/>
      <c r="E16" s="152"/>
      <c r="F16" s="152"/>
      <c r="G16" s="153"/>
      <c r="H16" s="151"/>
      <c r="I16" s="152"/>
      <c r="J16" s="152"/>
      <c r="K16" s="152"/>
      <c r="L16" s="152"/>
      <c r="M16" s="152"/>
      <c r="N16" s="153"/>
      <c r="O16" s="151"/>
      <c r="P16" s="152"/>
      <c r="Q16" s="152"/>
      <c r="R16" s="152"/>
      <c r="S16" s="290" t="s">
        <v>109</v>
      </c>
      <c r="T16" s="288"/>
      <c r="U16" s="288"/>
      <c r="V16" s="288"/>
      <c r="W16" s="288"/>
      <c r="X16" s="288"/>
      <c r="Y16" s="288"/>
      <c r="Z16" s="288"/>
      <c r="AA16" s="288"/>
      <c r="AB16" s="288"/>
      <c r="AC16" s="288"/>
      <c r="AD16" s="288"/>
      <c r="AE16" s="288"/>
      <c r="AF16" s="288"/>
      <c r="AG16" s="288"/>
      <c r="AH16" s="288"/>
      <c r="AI16" s="288"/>
      <c r="AJ16" s="288"/>
      <c r="AK16" s="288"/>
      <c r="AL16" s="288"/>
      <c r="AM16" s="288"/>
      <c r="AN16" s="288"/>
      <c r="AO16" s="288"/>
      <c r="AP16" s="288"/>
      <c r="AQ16" s="288"/>
      <c r="AR16" s="288"/>
      <c r="AS16" s="288"/>
      <c r="AT16" s="288"/>
      <c r="AU16" s="288"/>
      <c r="AV16" s="288"/>
      <c r="AW16" s="289"/>
      <c r="AX16" s="137"/>
      <c r="AY16" s="137"/>
      <c r="AZ16" s="137"/>
      <c r="BA16" s="137"/>
      <c r="BB16" s="137"/>
      <c r="BC16" s="138"/>
      <c r="BD16" s="140"/>
      <c r="BE16" s="137"/>
      <c r="BF16" s="137"/>
      <c r="BG16" s="137"/>
      <c r="BH16" s="137"/>
      <c r="BI16" s="137"/>
      <c r="BJ16" s="138"/>
      <c r="BK16" s="60"/>
    </row>
    <row r="17" spans="1:63" ht="15" customHeight="1" x14ac:dyDescent="0.25">
      <c r="A17" s="59"/>
      <c r="B17" s="86"/>
      <c r="C17" s="87"/>
      <c r="D17" s="87"/>
      <c r="E17" s="87"/>
      <c r="F17" s="87"/>
      <c r="G17" s="88"/>
      <c r="H17" s="86"/>
      <c r="I17" s="87"/>
      <c r="J17" s="87"/>
      <c r="K17" s="87"/>
      <c r="L17" s="87"/>
      <c r="M17" s="87"/>
      <c r="N17" s="88"/>
      <c r="O17" s="86"/>
      <c r="P17" s="87"/>
      <c r="Q17" s="87"/>
      <c r="R17" s="87"/>
      <c r="S17" s="132"/>
      <c r="T17" s="133"/>
      <c r="U17" s="133"/>
      <c r="V17" s="133"/>
      <c r="W17" s="133"/>
      <c r="X17" s="133"/>
      <c r="Y17" s="133"/>
      <c r="Z17" s="133"/>
      <c r="AA17" s="133"/>
      <c r="AB17" s="133"/>
      <c r="AC17" s="133"/>
      <c r="AD17" s="133"/>
      <c r="AE17" s="133"/>
      <c r="AF17" s="133"/>
      <c r="AG17" s="133"/>
      <c r="AH17" s="133"/>
      <c r="AI17" s="133"/>
      <c r="AJ17" s="133"/>
      <c r="AK17" s="133"/>
      <c r="AL17" s="133"/>
      <c r="AM17" s="133"/>
      <c r="AN17" s="133"/>
      <c r="AO17" s="133"/>
      <c r="AP17" s="133"/>
      <c r="AQ17" s="133"/>
      <c r="AR17" s="133"/>
      <c r="AS17" s="133"/>
      <c r="AT17" s="133"/>
      <c r="AU17" s="133"/>
      <c r="AV17" s="133"/>
      <c r="AW17" s="134"/>
      <c r="AX17" s="135"/>
      <c r="AY17" s="135"/>
      <c r="AZ17" s="135"/>
      <c r="BA17" s="135"/>
      <c r="BB17" s="135"/>
      <c r="BC17" s="136"/>
      <c r="BD17" s="139"/>
      <c r="BE17" s="135"/>
      <c r="BF17" s="135"/>
      <c r="BG17" s="135"/>
      <c r="BH17" s="135"/>
      <c r="BI17" s="135"/>
      <c r="BJ17" s="136"/>
      <c r="BK17" s="60"/>
    </row>
    <row r="18" spans="1:63" ht="15" customHeight="1" x14ac:dyDescent="0.25">
      <c r="A18" s="59"/>
      <c r="B18" s="92"/>
      <c r="C18" s="93"/>
      <c r="D18" s="93"/>
      <c r="E18" s="93"/>
      <c r="F18" s="93"/>
      <c r="G18" s="94"/>
      <c r="H18" s="92"/>
      <c r="I18" s="93"/>
      <c r="J18" s="93"/>
      <c r="K18" s="93"/>
      <c r="L18" s="93"/>
      <c r="M18" s="93"/>
      <c r="N18" s="94"/>
      <c r="O18" s="92"/>
      <c r="P18" s="93"/>
      <c r="Q18" s="93"/>
      <c r="R18" s="93"/>
      <c r="S18" s="141"/>
      <c r="T18" s="142"/>
      <c r="U18" s="142"/>
      <c r="V18" s="142"/>
      <c r="W18" s="142"/>
      <c r="X18" s="142"/>
      <c r="Y18" s="142"/>
      <c r="Z18" s="142"/>
      <c r="AA18" s="142"/>
      <c r="AB18" s="142"/>
      <c r="AC18" s="142"/>
      <c r="AD18" s="142"/>
      <c r="AE18" s="142"/>
      <c r="AF18" s="142"/>
      <c r="AG18" s="142"/>
      <c r="AH18" s="142"/>
      <c r="AI18" s="142"/>
      <c r="AJ18" s="142"/>
      <c r="AK18" s="142"/>
      <c r="AL18" s="142"/>
      <c r="AM18" s="142"/>
      <c r="AN18" s="142"/>
      <c r="AO18" s="142"/>
      <c r="AP18" s="142"/>
      <c r="AQ18" s="142"/>
      <c r="AR18" s="142"/>
      <c r="AS18" s="142"/>
      <c r="AT18" s="142"/>
      <c r="AU18" s="142"/>
      <c r="AV18" s="142"/>
      <c r="AW18" s="143"/>
      <c r="AX18" s="137"/>
      <c r="AY18" s="137"/>
      <c r="AZ18" s="137"/>
      <c r="BA18" s="137"/>
      <c r="BB18" s="137"/>
      <c r="BC18" s="138"/>
      <c r="BD18" s="140"/>
      <c r="BE18" s="137"/>
      <c r="BF18" s="137"/>
      <c r="BG18" s="137"/>
      <c r="BH18" s="137"/>
      <c r="BI18" s="137"/>
      <c r="BJ18" s="138"/>
      <c r="BK18" s="60"/>
    </row>
    <row r="19" spans="1:63" ht="15" customHeight="1" x14ac:dyDescent="0.25">
      <c r="A19" s="59"/>
      <c r="B19" s="86"/>
      <c r="C19" s="87"/>
      <c r="D19" s="87"/>
      <c r="E19" s="87"/>
      <c r="F19" s="87"/>
      <c r="G19" s="88"/>
      <c r="H19" s="86"/>
      <c r="I19" s="87"/>
      <c r="J19" s="87"/>
      <c r="K19" s="87"/>
      <c r="L19" s="87"/>
      <c r="M19" s="87"/>
      <c r="N19" s="88"/>
      <c r="O19" s="86"/>
      <c r="P19" s="87"/>
      <c r="Q19" s="87"/>
      <c r="R19" s="87"/>
      <c r="S19" s="132"/>
      <c r="T19" s="133"/>
      <c r="U19" s="133"/>
      <c r="V19" s="133"/>
      <c r="W19" s="133"/>
      <c r="X19" s="133"/>
      <c r="Y19" s="133"/>
      <c r="Z19" s="133"/>
      <c r="AA19" s="133"/>
      <c r="AB19" s="133"/>
      <c r="AC19" s="133"/>
      <c r="AD19" s="133"/>
      <c r="AE19" s="133"/>
      <c r="AF19" s="133"/>
      <c r="AG19" s="133"/>
      <c r="AH19" s="133"/>
      <c r="AI19" s="133"/>
      <c r="AJ19" s="133"/>
      <c r="AK19" s="133"/>
      <c r="AL19" s="133"/>
      <c r="AM19" s="133"/>
      <c r="AN19" s="133"/>
      <c r="AO19" s="133"/>
      <c r="AP19" s="133"/>
      <c r="AQ19" s="133"/>
      <c r="AR19" s="133"/>
      <c r="AS19" s="133"/>
      <c r="AT19" s="133"/>
      <c r="AU19" s="133"/>
      <c r="AV19" s="133"/>
      <c r="AW19" s="134"/>
      <c r="AX19" s="135"/>
      <c r="AY19" s="135"/>
      <c r="AZ19" s="135"/>
      <c r="BA19" s="135"/>
      <c r="BB19" s="135"/>
      <c r="BC19" s="136"/>
      <c r="BD19" s="139"/>
      <c r="BE19" s="135"/>
      <c r="BF19" s="135"/>
      <c r="BG19" s="135"/>
      <c r="BH19" s="135"/>
      <c r="BI19" s="135"/>
      <c r="BJ19" s="136"/>
      <c r="BK19" s="60"/>
    </row>
    <row r="20" spans="1:63" ht="15" customHeight="1" x14ac:dyDescent="0.25">
      <c r="A20" s="59"/>
      <c r="B20" s="92"/>
      <c r="C20" s="93"/>
      <c r="D20" s="93"/>
      <c r="E20" s="93"/>
      <c r="F20" s="93"/>
      <c r="G20" s="94"/>
      <c r="H20" s="92"/>
      <c r="I20" s="93"/>
      <c r="J20" s="93"/>
      <c r="K20" s="93"/>
      <c r="L20" s="93"/>
      <c r="M20" s="93"/>
      <c r="N20" s="94"/>
      <c r="O20" s="92"/>
      <c r="P20" s="93"/>
      <c r="Q20" s="93"/>
      <c r="R20" s="93"/>
      <c r="S20" s="141"/>
      <c r="T20" s="142"/>
      <c r="U20" s="142"/>
      <c r="V20" s="142"/>
      <c r="W20" s="142"/>
      <c r="X20" s="142"/>
      <c r="Y20" s="142"/>
      <c r="Z20" s="142"/>
      <c r="AA20" s="142"/>
      <c r="AB20" s="142"/>
      <c r="AC20" s="142"/>
      <c r="AD20" s="142"/>
      <c r="AE20" s="142"/>
      <c r="AF20" s="142"/>
      <c r="AG20" s="142"/>
      <c r="AH20" s="142"/>
      <c r="AI20" s="142"/>
      <c r="AJ20" s="142"/>
      <c r="AK20" s="142"/>
      <c r="AL20" s="142"/>
      <c r="AM20" s="142"/>
      <c r="AN20" s="142"/>
      <c r="AO20" s="142"/>
      <c r="AP20" s="142"/>
      <c r="AQ20" s="142"/>
      <c r="AR20" s="142"/>
      <c r="AS20" s="142"/>
      <c r="AT20" s="142"/>
      <c r="AU20" s="142"/>
      <c r="AV20" s="142"/>
      <c r="AW20" s="143"/>
      <c r="AX20" s="137"/>
      <c r="AY20" s="137"/>
      <c r="AZ20" s="137"/>
      <c r="BA20" s="137"/>
      <c r="BB20" s="137"/>
      <c r="BC20" s="138"/>
      <c r="BD20" s="140"/>
      <c r="BE20" s="137"/>
      <c r="BF20" s="137"/>
      <c r="BG20" s="137"/>
      <c r="BH20" s="137"/>
      <c r="BI20" s="137"/>
      <c r="BJ20" s="138"/>
      <c r="BK20" s="60"/>
    </row>
    <row r="21" spans="1:63" ht="15" customHeight="1" x14ac:dyDescent="0.25">
      <c r="A21" s="59"/>
      <c r="B21" s="86"/>
      <c r="C21" s="87"/>
      <c r="D21" s="87"/>
      <c r="E21" s="87"/>
      <c r="F21" s="87"/>
      <c r="G21" s="88"/>
      <c r="H21" s="86"/>
      <c r="I21" s="87"/>
      <c r="J21" s="87"/>
      <c r="K21" s="87"/>
      <c r="L21" s="87"/>
      <c r="M21" s="87"/>
      <c r="N21" s="88"/>
      <c r="O21" s="86"/>
      <c r="P21" s="87"/>
      <c r="Q21" s="87"/>
      <c r="R21" s="87"/>
      <c r="S21" s="132"/>
      <c r="T21" s="133"/>
      <c r="U21" s="133"/>
      <c r="V21" s="133"/>
      <c r="W21" s="133"/>
      <c r="X21" s="133"/>
      <c r="Y21" s="133"/>
      <c r="Z21" s="133"/>
      <c r="AA21" s="133"/>
      <c r="AB21" s="133"/>
      <c r="AC21" s="133"/>
      <c r="AD21" s="133"/>
      <c r="AE21" s="133"/>
      <c r="AF21" s="133"/>
      <c r="AG21" s="133"/>
      <c r="AH21" s="133"/>
      <c r="AI21" s="133"/>
      <c r="AJ21" s="133"/>
      <c r="AK21" s="133"/>
      <c r="AL21" s="133"/>
      <c r="AM21" s="133"/>
      <c r="AN21" s="133"/>
      <c r="AO21" s="133"/>
      <c r="AP21" s="133"/>
      <c r="AQ21" s="133"/>
      <c r="AR21" s="133"/>
      <c r="AS21" s="133"/>
      <c r="AT21" s="133"/>
      <c r="AU21" s="133"/>
      <c r="AV21" s="133"/>
      <c r="AW21" s="134"/>
      <c r="AX21" s="135"/>
      <c r="AY21" s="135"/>
      <c r="AZ21" s="135"/>
      <c r="BA21" s="135"/>
      <c r="BB21" s="135"/>
      <c r="BC21" s="136"/>
      <c r="BD21" s="139"/>
      <c r="BE21" s="135"/>
      <c r="BF21" s="135"/>
      <c r="BG21" s="135"/>
      <c r="BH21" s="135"/>
      <c r="BI21" s="135"/>
      <c r="BJ21" s="136"/>
      <c r="BK21" s="60"/>
    </row>
    <row r="22" spans="1:63" ht="15" customHeight="1" x14ac:dyDescent="0.25">
      <c r="A22" s="59"/>
      <c r="B22" s="92"/>
      <c r="C22" s="93"/>
      <c r="D22" s="93"/>
      <c r="E22" s="93"/>
      <c r="F22" s="93"/>
      <c r="G22" s="94"/>
      <c r="H22" s="92"/>
      <c r="I22" s="93"/>
      <c r="J22" s="93"/>
      <c r="K22" s="93"/>
      <c r="L22" s="93"/>
      <c r="M22" s="93"/>
      <c r="N22" s="94"/>
      <c r="O22" s="92"/>
      <c r="P22" s="93"/>
      <c r="Q22" s="93"/>
      <c r="R22" s="93"/>
      <c r="S22" s="141"/>
      <c r="T22" s="142"/>
      <c r="U22" s="142"/>
      <c r="V22" s="142"/>
      <c r="W22" s="142"/>
      <c r="X22" s="142"/>
      <c r="Y22" s="142"/>
      <c r="Z22" s="142"/>
      <c r="AA22" s="142"/>
      <c r="AB22" s="142"/>
      <c r="AC22" s="142"/>
      <c r="AD22" s="142"/>
      <c r="AE22" s="142"/>
      <c r="AF22" s="142"/>
      <c r="AG22" s="142"/>
      <c r="AH22" s="142"/>
      <c r="AI22" s="142"/>
      <c r="AJ22" s="142"/>
      <c r="AK22" s="142"/>
      <c r="AL22" s="142"/>
      <c r="AM22" s="142"/>
      <c r="AN22" s="142"/>
      <c r="AO22" s="142"/>
      <c r="AP22" s="142"/>
      <c r="AQ22" s="142"/>
      <c r="AR22" s="142"/>
      <c r="AS22" s="142"/>
      <c r="AT22" s="142"/>
      <c r="AU22" s="142"/>
      <c r="AV22" s="142"/>
      <c r="AW22" s="143"/>
      <c r="AX22" s="137"/>
      <c r="AY22" s="137"/>
      <c r="AZ22" s="137"/>
      <c r="BA22" s="137"/>
      <c r="BB22" s="137"/>
      <c r="BC22" s="138"/>
      <c r="BD22" s="140"/>
      <c r="BE22" s="137"/>
      <c r="BF22" s="137"/>
      <c r="BG22" s="137"/>
      <c r="BH22" s="137"/>
      <c r="BI22" s="137"/>
      <c r="BJ22" s="138"/>
      <c r="BK22" s="60"/>
    </row>
    <row r="23" spans="1:63" ht="15" customHeight="1" x14ac:dyDescent="0.25">
      <c r="A23" s="59"/>
      <c r="B23" s="86"/>
      <c r="C23" s="87"/>
      <c r="D23" s="87"/>
      <c r="E23" s="87"/>
      <c r="F23" s="87"/>
      <c r="G23" s="88"/>
      <c r="H23" s="86"/>
      <c r="I23" s="87"/>
      <c r="J23" s="87"/>
      <c r="K23" s="87"/>
      <c r="L23" s="87"/>
      <c r="M23" s="87"/>
      <c r="N23" s="88"/>
      <c r="O23" s="86"/>
      <c r="P23" s="87"/>
      <c r="Q23" s="87"/>
      <c r="R23" s="87"/>
      <c r="S23" s="132"/>
      <c r="T23" s="133"/>
      <c r="U23" s="133"/>
      <c r="V23" s="133"/>
      <c r="W23" s="133"/>
      <c r="X23" s="133"/>
      <c r="Y23" s="133"/>
      <c r="Z23" s="133"/>
      <c r="AA23" s="133"/>
      <c r="AB23" s="133"/>
      <c r="AC23" s="133"/>
      <c r="AD23" s="133"/>
      <c r="AE23" s="133"/>
      <c r="AF23" s="133"/>
      <c r="AG23" s="133"/>
      <c r="AH23" s="133"/>
      <c r="AI23" s="133"/>
      <c r="AJ23" s="133"/>
      <c r="AK23" s="133"/>
      <c r="AL23" s="133"/>
      <c r="AM23" s="133"/>
      <c r="AN23" s="133"/>
      <c r="AO23" s="133"/>
      <c r="AP23" s="133"/>
      <c r="AQ23" s="133"/>
      <c r="AR23" s="133"/>
      <c r="AS23" s="133"/>
      <c r="AT23" s="133"/>
      <c r="AU23" s="133"/>
      <c r="AV23" s="133"/>
      <c r="AW23" s="134"/>
      <c r="AX23" s="135"/>
      <c r="AY23" s="135"/>
      <c r="AZ23" s="135"/>
      <c r="BA23" s="135"/>
      <c r="BB23" s="135"/>
      <c r="BC23" s="136"/>
      <c r="BD23" s="139"/>
      <c r="BE23" s="135"/>
      <c r="BF23" s="135"/>
      <c r="BG23" s="135"/>
      <c r="BH23" s="135"/>
      <c r="BI23" s="135"/>
      <c r="BJ23" s="136"/>
      <c r="BK23" s="60"/>
    </row>
    <row r="24" spans="1:63" ht="15" customHeight="1" x14ac:dyDescent="0.25">
      <c r="A24" s="59"/>
      <c r="B24" s="92"/>
      <c r="C24" s="93"/>
      <c r="D24" s="93"/>
      <c r="E24" s="93"/>
      <c r="F24" s="93"/>
      <c r="G24" s="94"/>
      <c r="H24" s="92"/>
      <c r="I24" s="93"/>
      <c r="J24" s="93"/>
      <c r="K24" s="93"/>
      <c r="L24" s="93"/>
      <c r="M24" s="93"/>
      <c r="N24" s="94"/>
      <c r="O24" s="92"/>
      <c r="P24" s="93"/>
      <c r="Q24" s="93"/>
      <c r="R24" s="93"/>
      <c r="S24" s="141"/>
      <c r="T24" s="142"/>
      <c r="U24" s="142"/>
      <c r="V24" s="142"/>
      <c r="W24" s="142"/>
      <c r="X24" s="142"/>
      <c r="Y24" s="142"/>
      <c r="Z24" s="142"/>
      <c r="AA24" s="142"/>
      <c r="AB24" s="142"/>
      <c r="AC24" s="142"/>
      <c r="AD24" s="142"/>
      <c r="AE24" s="142"/>
      <c r="AF24" s="142"/>
      <c r="AG24" s="142"/>
      <c r="AH24" s="142"/>
      <c r="AI24" s="142"/>
      <c r="AJ24" s="142"/>
      <c r="AK24" s="142"/>
      <c r="AL24" s="142"/>
      <c r="AM24" s="142"/>
      <c r="AN24" s="142"/>
      <c r="AO24" s="142"/>
      <c r="AP24" s="142"/>
      <c r="AQ24" s="142"/>
      <c r="AR24" s="142"/>
      <c r="AS24" s="142"/>
      <c r="AT24" s="142"/>
      <c r="AU24" s="142"/>
      <c r="AV24" s="142"/>
      <c r="AW24" s="143"/>
      <c r="AX24" s="137"/>
      <c r="AY24" s="137"/>
      <c r="AZ24" s="137"/>
      <c r="BA24" s="137"/>
      <c r="BB24" s="137"/>
      <c r="BC24" s="138"/>
      <c r="BD24" s="140"/>
      <c r="BE24" s="137"/>
      <c r="BF24" s="137"/>
      <c r="BG24" s="137"/>
      <c r="BH24" s="137"/>
      <c r="BI24" s="137"/>
      <c r="BJ24" s="138"/>
      <c r="BK24" s="60"/>
    </row>
    <row r="25" spans="1:63" ht="15" customHeight="1" x14ac:dyDescent="0.25">
      <c r="A25" s="59"/>
      <c r="B25" s="86"/>
      <c r="C25" s="87"/>
      <c r="D25" s="87"/>
      <c r="E25" s="87"/>
      <c r="F25" s="87"/>
      <c r="G25" s="88"/>
      <c r="H25" s="86"/>
      <c r="I25" s="87"/>
      <c r="J25" s="87"/>
      <c r="K25" s="87"/>
      <c r="L25" s="87"/>
      <c r="M25" s="87"/>
      <c r="N25" s="88"/>
      <c r="O25" s="86"/>
      <c r="P25" s="87"/>
      <c r="Q25" s="87"/>
      <c r="R25" s="87"/>
      <c r="S25" s="132"/>
      <c r="T25" s="133"/>
      <c r="U25" s="133"/>
      <c r="V25" s="133"/>
      <c r="W25" s="133"/>
      <c r="X25" s="133"/>
      <c r="Y25" s="133"/>
      <c r="Z25" s="133"/>
      <c r="AA25" s="133"/>
      <c r="AB25" s="133"/>
      <c r="AC25" s="133"/>
      <c r="AD25" s="133"/>
      <c r="AE25" s="133"/>
      <c r="AF25" s="133"/>
      <c r="AG25" s="133"/>
      <c r="AH25" s="133"/>
      <c r="AI25" s="133"/>
      <c r="AJ25" s="133"/>
      <c r="AK25" s="133"/>
      <c r="AL25" s="133"/>
      <c r="AM25" s="133"/>
      <c r="AN25" s="133"/>
      <c r="AO25" s="133"/>
      <c r="AP25" s="133"/>
      <c r="AQ25" s="133"/>
      <c r="AR25" s="133"/>
      <c r="AS25" s="133"/>
      <c r="AT25" s="133"/>
      <c r="AU25" s="133"/>
      <c r="AV25" s="133"/>
      <c r="AW25" s="134"/>
      <c r="AX25" s="135"/>
      <c r="AY25" s="135"/>
      <c r="AZ25" s="135"/>
      <c r="BA25" s="135"/>
      <c r="BB25" s="135"/>
      <c r="BC25" s="136"/>
      <c r="BD25" s="139"/>
      <c r="BE25" s="135"/>
      <c r="BF25" s="135"/>
      <c r="BG25" s="135"/>
      <c r="BH25" s="135"/>
      <c r="BI25" s="135"/>
      <c r="BJ25" s="136"/>
      <c r="BK25" s="60"/>
    </row>
    <row r="26" spans="1:63" ht="15" customHeight="1" x14ac:dyDescent="0.25">
      <c r="A26" s="59"/>
      <c r="B26" s="92"/>
      <c r="C26" s="93"/>
      <c r="D26" s="93"/>
      <c r="E26" s="93"/>
      <c r="F26" s="93"/>
      <c r="G26" s="94"/>
      <c r="H26" s="92"/>
      <c r="I26" s="93"/>
      <c r="J26" s="93"/>
      <c r="K26" s="93"/>
      <c r="L26" s="93"/>
      <c r="M26" s="93"/>
      <c r="N26" s="94"/>
      <c r="O26" s="92"/>
      <c r="P26" s="93"/>
      <c r="Q26" s="93"/>
      <c r="R26" s="93"/>
      <c r="S26" s="141"/>
      <c r="T26" s="142"/>
      <c r="U26" s="142"/>
      <c r="V26" s="142"/>
      <c r="W26" s="142"/>
      <c r="X26" s="142"/>
      <c r="Y26" s="142"/>
      <c r="Z26" s="142"/>
      <c r="AA26" s="142"/>
      <c r="AB26" s="142"/>
      <c r="AC26" s="142"/>
      <c r="AD26" s="142"/>
      <c r="AE26" s="142"/>
      <c r="AF26" s="142"/>
      <c r="AG26" s="142"/>
      <c r="AH26" s="142"/>
      <c r="AI26" s="142"/>
      <c r="AJ26" s="142"/>
      <c r="AK26" s="142"/>
      <c r="AL26" s="142"/>
      <c r="AM26" s="142"/>
      <c r="AN26" s="142"/>
      <c r="AO26" s="142"/>
      <c r="AP26" s="142"/>
      <c r="AQ26" s="142"/>
      <c r="AR26" s="142"/>
      <c r="AS26" s="142"/>
      <c r="AT26" s="142"/>
      <c r="AU26" s="142"/>
      <c r="AV26" s="142"/>
      <c r="AW26" s="143"/>
      <c r="AX26" s="137"/>
      <c r="AY26" s="137"/>
      <c r="AZ26" s="137"/>
      <c r="BA26" s="137"/>
      <c r="BB26" s="137"/>
      <c r="BC26" s="138"/>
      <c r="BD26" s="140"/>
      <c r="BE26" s="137"/>
      <c r="BF26" s="137"/>
      <c r="BG26" s="137"/>
      <c r="BH26" s="137"/>
      <c r="BI26" s="137"/>
      <c r="BJ26" s="138"/>
      <c r="BK26" s="60"/>
    </row>
    <row r="27" spans="1:63" ht="15" customHeight="1" x14ac:dyDescent="0.25">
      <c r="A27" s="59"/>
      <c r="B27" s="86"/>
      <c r="C27" s="87"/>
      <c r="D27" s="87"/>
      <c r="E27" s="87"/>
      <c r="F27" s="87"/>
      <c r="G27" s="88"/>
      <c r="H27" s="86"/>
      <c r="I27" s="87"/>
      <c r="J27" s="87"/>
      <c r="K27" s="87"/>
      <c r="L27" s="87"/>
      <c r="M27" s="87"/>
      <c r="N27" s="88"/>
      <c r="O27" s="86"/>
      <c r="P27" s="87"/>
      <c r="Q27" s="87"/>
      <c r="R27" s="87"/>
      <c r="S27" s="132"/>
      <c r="T27" s="133"/>
      <c r="U27" s="133"/>
      <c r="V27" s="133"/>
      <c r="W27" s="133"/>
      <c r="X27" s="133"/>
      <c r="Y27" s="133"/>
      <c r="Z27" s="133"/>
      <c r="AA27" s="133"/>
      <c r="AB27" s="133"/>
      <c r="AC27" s="133"/>
      <c r="AD27" s="133"/>
      <c r="AE27" s="133"/>
      <c r="AF27" s="133"/>
      <c r="AG27" s="133"/>
      <c r="AH27" s="133"/>
      <c r="AI27" s="133"/>
      <c r="AJ27" s="133"/>
      <c r="AK27" s="133"/>
      <c r="AL27" s="133"/>
      <c r="AM27" s="133"/>
      <c r="AN27" s="133"/>
      <c r="AO27" s="133"/>
      <c r="AP27" s="133"/>
      <c r="AQ27" s="133"/>
      <c r="AR27" s="133"/>
      <c r="AS27" s="133"/>
      <c r="AT27" s="133"/>
      <c r="AU27" s="133"/>
      <c r="AV27" s="133"/>
      <c r="AW27" s="134"/>
      <c r="AX27" s="135"/>
      <c r="AY27" s="135"/>
      <c r="AZ27" s="135"/>
      <c r="BA27" s="135"/>
      <c r="BB27" s="135"/>
      <c r="BC27" s="136"/>
      <c r="BD27" s="139"/>
      <c r="BE27" s="135"/>
      <c r="BF27" s="135"/>
      <c r="BG27" s="135"/>
      <c r="BH27" s="135"/>
      <c r="BI27" s="135"/>
      <c r="BJ27" s="136"/>
      <c r="BK27" s="60"/>
    </row>
    <row r="28" spans="1:63" ht="15" customHeight="1" x14ac:dyDescent="0.25">
      <c r="A28" s="59"/>
      <c r="B28" s="92"/>
      <c r="C28" s="93"/>
      <c r="D28" s="93"/>
      <c r="E28" s="93"/>
      <c r="F28" s="93"/>
      <c r="G28" s="94"/>
      <c r="H28" s="92"/>
      <c r="I28" s="93"/>
      <c r="J28" s="93"/>
      <c r="K28" s="93"/>
      <c r="L28" s="93"/>
      <c r="M28" s="93"/>
      <c r="N28" s="94"/>
      <c r="O28" s="92"/>
      <c r="P28" s="93"/>
      <c r="Q28" s="93"/>
      <c r="R28" s="93"/>
      <c r="S28" s="141"/>
      <c r="T28" s="142"/>
      <c r="U28" s="142"/>
      <c r="V28" s="142"/>
      <c r="W28" s="142"/>
      <c r="X28" s="142"/>
      <c r="Y28" s="142"/>
      <c r="Z28" s="142"/>
      <c r="AA28" s="142"/>
      <c r="AB28" s="142"/>
      <c r="AC28" s="142"/>
      <c r="AD28" s="142"/>
      <c r="AE28" s="142"/>
      <c r="AF28" s="142"/>
      <c r="AG28" s="142"/>
      <c r="AH28" s="142"/>
      <c r="AI28" s="142"/>
      <c r="AJ28" s="142"/>
      <c r="AK28" s="142"/>
      <c r="AL28" s="142"/>
      <c r="AM28" s="142"/>
      <c r="AN28" s="142"/>
      <c r="AO28" s="142"/>
      <c r="AP28" s="142"/>
      <c r="AQ28" s="142"/>
      <c r="AR28" s="142"/>
      <c r="AS28" s="142"/>
      <c r="AT28" s="142"/>
      <c r="AU28" s="142"/>
      <c r="AV28" s="142"/>
      <c r="AW28" s="143"/>
      <c r="AX28" s="137"/>
      <c r="AY28" s="137"/>
      <c r="AZ28" s="137"/>
      <c r="BA28" s="137"/>
      <c r="BB28" s="137"/>
      <c r="BC28" s="138"/>
      <c r="BD28" s="140"/>
      <c r="BE28" s="137"/>
      <c r="BF28" s="137"/>
      <c r="BG28" s="137"/>
      <c r="BH28" s="137"/>
      <c r="BI28" s="137"/>
      <c r="BJ28" s="138"/>
      <c r="BK28" s="60"/>
    </row>
    <row r="29" spans="1:63" ht="15" customHeight="1" x14ac:dyDescent="0.25">
      <c r="A29" s="59"/>
      <c r="B29" s="86"/>
      <c r="C29" s="87"/>
      <c r="D29" s="87"/>
      <c r="E29" s="87"/>
      <c r="F29" s="87"/>
      <c r="G29" s="88"/>
      <c r="H29" s="86"/>
      <c r="I29" s="87"/>
      <c r="J29" s="87"/>
      <c r="K29" s="87"/>
      <c r="L29" s="87"/>
      <c r="M29" s="87"/>
      <c r="N29" s="88"/>
      <c r="O29" s="86"/>
      <c r="P29" s="87"/>
      <c r="Q29" s="87"/>
      <c r="R29" s="87"/>
      <c r="S29" s="132"/>
      <c r="T29" s="133"/>
      <c r="U29" s="133"/>
      <c r="V29" s="133"/>
      <c r="W29" s="133"/>
      <c r="X29" s="133"/>
      <c r="Y29" s="133"/>
      <c r="Z29" s="133"/>
      <c r="AA29" s="133"/>
      <c r="AB29" s="133"/>
      <c r="AC29" s="133"/>
      <c r="AD29" s="133"/>
      <c r="AE29" s="133"/>
      <c r="AF29" s="133"/>
      <c r="AG29" s="133"/>
      <c r="AH29" s="133"/>
      <c r="AI29" s="133"/>
      <c r="AJ29" s="133"/>
      <c r="AK29" s="133"/>
      <c r="AL29" s="133"/>
      <c r="AM29" s="133"/>
      <c r="AN29" s="133"/>
      <c r="AO29" s="133"/>
      <c r="AP29" s="133"/>
      <c r="AQ29" s="133"/>
      <c r="AR29" s="133"/>
      <c r="AS29" s="133"/>
      <c r="AT29" s="133"/>
      <c r="AU29" s="133"/>
      <c r="AV29" s="133"/>
      <c r="AW29" s="134"/>
      <c r="AX29" s="135"/>
      <c r="AY29" s="135"/>
      <c r="AZ29" s="135"/>
      <c r="BA29" s="135"/>
      <c r="BB29" s="135"/>
      <c r="BC29" s="136"/>
      <c r="BD29" s="139"/>
      <c r="BE29" s="135"/>
      <c r="BF29" s="135"/>
      <c r="BG29" s="135"/>
      <c r="BH29" s="135"/>
      <c r="BI29" s="135"/>
      <c r="BJ29" s="136"/>
      <c r="BK29" s="60"/>
    </row>
    <row r="30" spans="1:63" ht="15" customHeight="1" x14ac:dyDescent="0.25">
      <c r="A30" s="59"/>
      <c r="B30" s="92"/>
      <c r="C30" s="93"/>
      <c r="D30" s="93"/>
      <c r="E30" s="93"/>
      <c r="F30" s="93"/>
      <c r="G30" s="94"/>
      <c r="H30" s="92"/>
      <c r="I30" s="93"/>
      <c r="J30" s="93"/>
      <c r="K30" s="93"/>
      <c r="L30" s="93"/>
      <c r="M30" s="93"/>
      <c r="N30" s="94"/>
      <c r="O30" s="92"/>
      <c r="P30" s="93"/>
      <c r="Q30" s="93"/>
      <c r="R30" s="93"/>
      <c r="S30" s="141"/>
      <c r="T30" s="142"/>
      <c r="U30" s="142"/>
      <c r="V30" s="142"/>
      <c r="W30" s="142"/>
      <c r="X30" s="142"/>
      <c r="Y30" s="142"/>
      <c r="Z30" s="142"/>
      <c r="AA30" s="142"/>
      <c r="AB30" s="142"/>
      <c r="AC30" s="142"/>
      <c r="AD30" s="142"/>
      <c r="AE30" s="142"/>
      <c r="AF30" s="142"/>
      <c r="AG30" s="142"/>
      <c r="AH30" s="142"/>
      <c r="AI30" s="142"/>
      <c r="AJ30" s="142"/>
      <c r="AK30" s="142"/>
      <c r="AL30" s="142"/>
      <c r="AM30" s="142"/>
      <c r="AN30" s="142"/>
      <c r="AO30" s="142"/>
      <c r="AP30" s="142"/>
      <c r="AQ30" s="142"/>
      <c r="AR30" s="142"/>
      <c r="AS30" s="142"/>
      <c r="AT30" s="142"/>
      <c r="AU30" s="142"/>
      <c r="AV30" s="142"/>
      <c r="AW30" s="143"/>
      <c r="AX30" s="137"/>
      <c r="AY30" s="137"/>
      <c r="AZ30" s="137"/>
      <c r="BA30" s="137"/>
      <c r="BB30" s="137"/>
      <c r="BC30" s="138"/>
      <c r="BD30" s="140"/>
      <c r="BE30" s="137"/>
      <c r="BF30" s="137"/>
      <c r="BG30" s="137"/>
      <c r="BH30" s="137"/>
      <c r="BI30" s="137"/>
      <c r="BJ30" s="138"/>
      <c r="BK30" s="60"/>
    </row>
    <row r="31" spans="1:63" ht="15" customHeight="1" x14ac:dyDescent="0.25">
      <c r="A31" s="59"/>
      <c r="B31" s="86"/>
      <c r="C31" s="87"/>
      <c r="D31" s="87"/>
      <c r="E31" s="87"/>
      <c r="F31" s="87"/>
      <c r="G31" s="88"/>
      <c r="H31" s="86"/>
      <c r="I31" s="87"/>
      <c r="J31" s="87"/>
      <c r="K31" s="87"/>
      <c r="L31" s="87"/>
      <c r="M31" s="87"/>
      <c r="N31" s="88"/>
      <c r="O31" s="86"/>
      <c r="P31" s="87"/>
      <c r="Q31" s="87"/>
      <c r="R31" s="87"/>
      <c r="S31" s="132"/>
      <c r="T31" s="133"/>
      <c r="U31" s="133"/>
      <c r="V31" s="133"/>
      <c r="W31" s="133"/>
      <c r="X31" s="133"/>
      <c r="Y31" s="133"/>
      <c r="Z31" s="133"/>
      <c r="AA31" s="133"/>
      <c r="AB31" s="133"/>
      <c r="AC31" s="133"/>
      <c r="AD31" s="133"/>
      <c r="AE31" s="133"/>
      <c r="AF31" s="133"/>
      <c r="AG31" s="133"/>
      <c r="AH31" s="133"/>
      <c r="AI31" s="133"/>
      <c r="AJ31" s="133"/>
      <c r="AK31" s="133"/>
      <c r="AL31" s="133"/>
      <c r="AM31" s="133"/>
      <c r="AN31" s="133"/>
      <c r="AO31" s="133"/>
      <c r="AP31" s="133"/>
      <c r="AQ31" s="133"/>
      <c r="AR31" s="133"/>
      <c r="AS31" s="133"/>
      <c r="AT31" s="133"/>
      <c r="AU31" s="133"/>
      <c r="AV31" s="133"/>
      <c r="AW31" s="134"/>
      <c r="AX31" s="135"/>
      <c r="AY31" s="135"/>
      <c r="AZ31" s="135"/>
      <c r="BA31" s="135"/>
      <c r="BB31" s="135"/>
      <c r="BC31" s="136"/>
      <c r="BD31" s="139"/>
      <c r="BE31" s="135"/>
      <c r="BF31" s="135"/>
      <c r="BG31" s="135"/>
      <c r="BH31" s="135"/>
      <c r="BI31" s="135"/>
      <c r="BJ31" s="136"/>
      <c r="BK31" s="60"/>
    </row>
    <row r="32" spans="1:63" ht="15" customHeight="1" x14ac:dyDescent="0.25">
      <c r="A32" s="59"/>
      <c r="B32" s="92"/>
      <c r="C32" s="93"/>
      <c r="D32" s="93"/>
      <c r="E32" s="93"/>
      <c r="F32" s="93"/>
      <c r="G32" s="94"/>
      <c r="H32" s="92"/>
      <c r="I32" s="93"/>
      <c r="J32" s="93"/>
      <c r="K32" s="93"/>
      <c r="L32" s="93"/>
      <c r="M32" s="93"/>
      <c r="N32" s="94"/>
      <c r="O32" s="92"/>
      <c r="P32" s="93"/>
      <c r="Q32" s="93"/>
      <c r="R32" s="93"/>
      <c r="S32" s="141"/>
      <c r="T32" s="142"/>
      <c r="U32" s="142"/>
      <c r="V32" s="142"/>
      <c r="W32" s="142"/>
      <c r="X32" s="142"/>
      <c r="Y32" s="142"/>
      <c r="Z32" s="142"/>
      <c r="AA32" s="142"/>
      <c r="AB32" s="142"/>
      <c r="AC32" s="142"/>
      <c r="AD32" s="142"/>
      <c r="AE32" s="142"/>
      <c r="AF32" s="142"/>
      <c r="AG32" s="142"/>
      <c r="AH32" s="142"/>
      <c r="AI32" s="142"/>
      <c r="AJ32" s="142"/>
      <c r="AK32" s="142"/>
      <c r="AL32" s="142"/>
      <c r="AM32" s="142"/>
      <c r="AN32" s="142"/>
      <c r="AO32" s="142"/>
      <c r="AP32" s="142"/>
      <c r="AQ32" s="142"/>
      <c r="AR32" s="142"/>
      <c r="AS32" s="142"/>
      <c r="AT32" s="142"/>
      <c r="AU32" s="142"/>
      <c r="AV32" s="142"/>
      <c r="AW32" s="143"/>
      <c r="AX32" s="137"/>
      <c r="AY32" s="137"/>
      <c r="AZ32" s="137"/>
      <c r="BA32" s="137"/>
      <c r="BB32" s="137"/>
      <c r="BC32" s="138"/>
      <c r="BD32" s="140"/>
      <c r="BE32" s="137"/>
      <c r="BF32" s="137"/>
      <c r="BG32" s="137"/>
      <c r="BH32" s="137"/>
      <c r="BI32" s="137"/>
      <c r="BJ32" s="138"/>
      <c r="BK32" s="60"/>
    </row>
    <row r="33" spans="1:63" ht="15" customHeight="1" x14ac:dyDescent="0.25">
      <c r="A33" s="59"/>
      <c r="B33" s="86"/>
      <c r="C33" s="87"/>
      <c r="D33" s="87"/>
      <c r="E33" s="87"/>
      <c r="F33" s="87"/>
      <c r="G33" s="88"/>
      <c r="H33" s="86"/>
      <c r="I33" s="87"/>
      <c r="J33" s="87"/>
      <c r="K33" s="87"/>
      <c r="L33" s="87"/>
      <c r="M33" s="87"/>
      <c r="N33" s="88"/>
      <c r="O33" s="86"/>
      <c r="P33" s="87"/>
      <c r="Q33" s="87"/>
      <c r="R33" s="87"/>
      <c r="S33" s="132"/>
      <c r="T33" s="133"/>
      <c r="U33" s="133"/>
      <c r="V33" s="133"/>
      <c r="W33" s="133"/>
      <c r="X33" s="133"/>
      <c r="Y33" s="133"/>
      <c r="Z33" s="133"/>
      <c r="AA33" s="133"/>
      <c r="AB33" s="133"/>
      <c r="AC33" s="133"/>
      <c r="AD33" s="133"/>
      <c r="AE33" s="133"/>
      <c r="AF33" s="133"/>
      <c r="AG33" s="133"/>
      <c r="AH33" s="133"/>
      <c r="AI33" s="133"/>
      <c r="AJ33" s="133"/>
      <c r="AK33" s="133"/>
      <c r="AL33" s="133"/>
      <c r="AM33" s="133"/>
      <c r="AN33" s="133"/>
      <c r="AO33" s="133"/>
      <c r="AP33" s="133"/>
      <c r="AQ33" s="133"/>
      <c r="AR33" s="133"/>
      <c r="AS33" s="133"/>
      <c r="AT33" s="133"/>
      <c r="AU33" s="133"/>
      <c r="AV33" s="133"/>
      <c r="AW33" s="134"/>
      <c r="AX33" s="135"/>
      <c r="AY33" s="135"/>
      <c r="AZ33" s="135"/>
      <c r="BA33" s="135"/>
      <c r="BB33" s="135"/>
      <c r="BC33" s="136"/>
      <c r="BD33" s="139"/>
      <c r="BE33" s="135"/>
      <c r="BF33" s="135"/>
      <c r="BG33" s="135"/>
      <c r="BH33" s="135"/>
      <c r="BI33" s="135"/>
      <c r="BJ33" s="136"/>
      <c r="BK33" s="60"/>
    </row>
    <row r="34" spans="1:63" ht="15" customHeight="1" x14ac:dyDescent="0.25">
      <c r="A34" s="59"/>
      <c r="B34" s="92"/>
      <c r="C34" s="93"/>
      <c r="D34" s="93"/>
      <c r="E34" s="93"/>
      <c r="F34" s="93"/>
      <c r="G34" s="94"/>
      <c r="H34" s="92"/>
      <c r="I34" s="93"/>
      <c r="J34" s="93"/>
      <c r="K34" s="93"/>
      <c r="L34" s="93"/>
      <c r="M34" s="93"/>
      <c r="N34" s="94"/>
      <c r="O34" s="92"/>
      <c r="P34" s="93"/>
      <c r="Q34" s="93"/>
      <c r="R34" s="93"/>
      <c r="S34" s="141"/>
      <c r="T34" s="142"/>
      <c r="U34" s="142"/>
      <c r="V34" s="142"/>
      <c r="W34" s="142"/>
      <c r="X34" s="142"/>
      <c r="Y34" s="142"/>
      <c r="Z34" s="142"/>
      <c r="AA34" s="142"/>
      <c r="AB34" s="142"/>
      <c r="AC34" s="142"/>
      <c r="AD34" s="142"/>
      <c r="AE34" s="142"/>
      <c r="AF34" s="142"/>
      <c r="AG34" s="142"/>
      <c r="AH34" s="142"/>
      <c r="AI34" s="142"/>
      <c r="AJ34" s="142"/>
      <c r="AK34" s="142"/>
      <c r="AL34" s="142"/>
      <c r="AM34" s="142"/>
      <c r="AN34" s="142"/>
      <c r="AO34" s="142"/>
      <c r="AP34" s="142"/>
      <c r="AQ34" s="142"/>
      <c r="AR34" s="142"/>
      <c r="AS34" s="142"/>
      <c r="AT34" s="142"/>
      <c r="AU34" s="142"/>
      <c r="AV34" s="142"/>
      <c r="AW34" s="143"/>
      <c r="AX34" s="137"/>
      <c r="AY34" s="137"/>
      <c r="AZ34" s="137"/>
      <c r="BA34" s="137"/>
      <c r="BB34" s="137"/>
      <c r="BC34" s="138"/>
      <c r="BD34" s="140"/>
      <c r="BE34" s="137"/>
      <c r="BF34" s="137"/>
      <c r="BG34" s="137"/>
      <c r="BH34" s="137"/>
      <c r="BI34" s="137"/>
      <c r="BJ34" s="138"/>
      <c r="BK34" s="60"/>
    </row>
    <row r="35" spans="1:63" ht="15" customHeight="1" x14ac:dyDescent="0.25">
      <c r="A35" s="59"/>
      <c r="B35" s="86"/>
      <c r="C35" s="87"/>
      <c r="D35" s="87"/>
      <c r="E35" s="87"/>
      <c r="F35" s="87"/>
      <c r="G35" s="88"/>
      <c r="H35" s="86"/>
      <c r="I35" s="87"/>
      <c r="J35" s="87"/>
      <c r="K35" s="87"/>
      <c r="L35" s="87"/>
      <c r="M35" s="87"/>
      <c r="N35" s="88"/>
      <c r="O35" s="86"/>
      <c r="P35" s="87"/>
      <c r="Q35" s="87"/>
      <c r="R35" s="87"/>
      <c r="S35" s="132"/>
      <c r="T35" s="133"/>
      <c r="U35" s="133"/>
      <c r="V35" s="133"/>
      <c r="W35" s="133"/>
      <c r="X35" s="133"/>
      <c r="Y35" s="133"/>
      <c r="Z35" s="133"/>
      <c r="AA35" s="133"/>
      <c r="AB35" s="133"/>
      <c r="AC35" s="133"/>
      <c r="AD35" s="133"/>
      <c r="AE35" s="133"/>
      <c r="AF35" s="133"/>
      <c r="AG35" s="133"/>
      <c r="AH35" s="133"/>
      <c r="AI35" s="133"/>
      <c r="AJ35" s="133"/>
      <c r="AK35" s="133"/>
      <c r="AL35" s="133"/>
      <c r="AM35" s="133"/>
      <c r="AN35" s="133"/>
      <c r="AO35" s="133"/>
      <c r="AP35" s="133"/>
      <c r="AQ35" s="133"/>
      <c r="AR35" s="133"/>
      <c r="AS35" s="133"/>
      <c r="AT35" s="133"/>
      <c r="AU35" s="133"/>
      <c r="AV35" s="133"/>
      <c r="AW35" s="134"/>
      <c r="AX35" s="135"/>
      <c r="AY35" s="135"/>
      <c r="AZ35" s="135"/>
      <c r="BA35" s="135"/>
      <c r="BB35" s="135"/>
      <c r="BC35" s="136"/>
      <c r="BD35" s="139"/>
      <c r="BE35" s="135"/>
      <c r="BF35" s="135"/>
      <c r="BG35" s="135"/>
      <c r="BH35" s="135"/>
      <c r="BI35" s="135"/>
      <c r="BJ35" s="136"/>
      <c r="BK35" s="60"/>
    </row>
    <row r="36" spans="1:63" ht="15" customHeight="1" x14ac:dyDescent="0.25">
      <c r="A36" s="59"/>
      <c r="B36" s="92"/>
      <c r="C36" s="93"/>
      <c r="D36" s="93"/>
      <c r="E36" s="93"/>
      <c r="F36" s="93"/>
      <c r="G36" s="94"/>
      <c r="H36" s="92"/>
      <c r="I36" s="93"/>
      <c r="J36" s="93"/>
      <c r="K36" s="93"/>
      <c r="L36" s="93"/>
      <c r="M36" s="93"/>
      <c r="N36" s="94"/>
      <c r="O36" s="92"/>
      <c r="P36" s="93"/>
      <c r="Q36" s="93"/>
      <c r="R36" s="93"/>
      <c r="S36" s="141"/>
      <c r="T36" s="142"/>
      <c r="U36" s="142"/>
      <c r="V36" s="142"/>
      <c r="W36" s="142"/>
      <c r="X36" s="142"/>
      <c r="Y36" s="142"/>
      <c r="Z36" s="142"/>
      <c r="AA36" s="142"/>
      <c r="AB36" s="142"/>
      <c r="AC36" s="142"/>
      <c r="AD36" s="142"/>
      <c r="AE36" s="142"/>
      <c r="AF36" s="142"/>
      <c r="AG36" s="142"/>
      <c r="AH36" s="142"/>
      <c r="AI36" s="142"/>
      <c r="AJ36" s="142"/>
      <c r="AK36" s="142"/>
      <c r="AL36" s="142"/>
      <c r="AM36" s="142"/>
      <c r="AN36" s="142"/>
      <c r="AO36" s="142"/>
      <c r="AP36" s="142"/>
      <c r="AQ36" s="142"/>
      <c r="AR36" s="142"/>
      <c r="AS36" s="142"/>
      <c r="AT36" s="142"/>
      <c r="AU36" s="142"/>
      <c r="AV36" s="142"/>
      <c r="AW36" s="143"/>
      <c r="AX36" s="137"/>
      <c r="AY36" s="137"/>
      <c r="AZ36" s="137"/>
      <c r="BA36" s="137"/>
      <c r="BB36" s="137"/>
      <c r="BC36" s="138"/>
      <c r="BD36" s="140"/>
      <c r="BE36" s="137"/>
      <c r="BF36" s="137"/>
      <c r="BG36" s="137"/>
      <c r="BH36" s="137"/>
      <c r="BI36" s="137"/>
      <c r="BJ36" s="138"/>
      <c r="BK36" s="60"/>
    </row>
    <row r="37" spans="1:63" ht="15" customHeight="1" x14ac:dyDescent="0.25">
      <c r="A37" s="59"/>
      <c r="B37" s="86"/>
      <c r="C37" s="87"/>
      <c r="D37" s="87"/>
      <c r="E37" s="87"/>
      <c r="F37" s="87"/>
      <c r="G37" s="88"/>
      <c r="H37" s="86"/>
      <c r="I37" s="87"/>
      <c r="J37" s="87"/>
      <c r="K37" s="87"/>
      <c r="L37" s="87"/>
      <c r="M37" s="87"/>
      <c r="N37" s="88"/>
      <c r="O37" s="86"/>
      <c r="P37" s="87"/>
      <c r="Q37" s="87"/>
      <c r="R37" s="87"/>
      <c r="S37" s="132"/>
      <c r="T37" s="133"/>
      <c r="U37" s="133"/>
      <c r="V37" s="133"/>
      <c r="W37" s="133"/>
      <c r="X37" s="133"/>
      <c r="Y37" s="133"/>
      <c r="Z37" s="133"/>
      <c r="AA37" s="133"/>
      <c r="AB37" s="133"/>
      <c r="AC37" s="133"/>
      <c r="AD37" s="133"/>
      <c r="AE37" s="133"/>
      <c r="AF37" s="133"/>
      <c r="AG37" s="133"/>
      <c r="AH37" s="133"/>
      <c r="AI37" s="133"/>
      <c r="AJ37" s="133"/>
      <c r="AK37" s="133"/>
      <c r="AL37" s="133"/>
      <c r="AM37" s="133"/>
      <c r="AN37" s="133"/>
      <c r="AO37" s="133"/>
      <c r="AP37" s="133"/>
      <c r="AQ37" s="133"/>
      <c r="AR37" s="133"/>
      <c r="AS37" s="133"/>
      <c r="AT37" s="133"/>
      <c r="AU37" s="133"/>
      <c r="AV37" s="133"/>
      <c r="AW37" s="134"/>
      <c r="AX37" s="135"/>
      <c r="AY37" s="135"/>
      <c r="AZ37" s="135"/>
      <c r="BA37" s="135"/>
      <c r="BB37" s="135"/>
      <c r="BC37" s="136"/>
      <c r="BD37" s="139"/>
      <c r="BE37" s="135"/>
      <c r="BF37" s="135"/>
      <c r="BG37" s="135"/>
      <c r="BH37" s="135"/>
      <c r="BI37" s="135"/>
      <c r="BJ37" s="136"/>
      <c r="BK37" s="60"/>
    </row>
    <row r="38" spans="1:63" ht="15" customHeight="1" x14ac:dyDescent="0.25">
      <c r="A38" s="59"/>
      <c r="B38" s="92"/>
      <c r="C38" s="93"/>
      <c r="D38" s="93"/>
      <c r="E38" s="93"/>
      <c r="F38" s="93"/>
      <c r="G38" s="94"/>
      <c r="H38" s="92"/>
      <c r="I38" s="93"/>
      <c r="J38" s="93"/>
      <c r="K38" s="93"/>
      <c r="L38" s="93"/>
      <c r="M38" s="93"/>
      <c r="N38" s="94"/>
      <c r="O38" s="92"/>
      <c r="P38" s="93"/>
      <c r="Q38" s="93"/>
      <c r="R38" s="93"/>
      <c r="S38" s="141"/>
      <c r="T38" s="142"/>
      <c r="U38" s="142"/>
      <c r="V38" s="142"/>
      <c r="W38" s="142"/>
      <c r="X38" s="142"/>
      <c r="Y38" s="142"/>
      <c r="Z38" s="142"/>
      <c r="AA38" s="142"/>
      <c r="AB38" s="142"/>
      <c r="AC38" s="142"/>
      <c r="AD38" s="142"/>
      <c r="AE38" s="142"/>
      <c r="AF38" s="142"/>
      <c r="AG38" s="142"/>
      <c r="AH38" s="142"/>
      <c r="AI38" s="142"/>
      <c r="AJ38" s="142"/>
      <c r="AK38" s="142"/>
      <c r="AL38" s="142"/>
      <c r="AM38" s="142"/>
      <c r="AN38" s="142"/>
      <c r="AO38" s="142"/>
      <c r="AP38" s="142"/>
      <c r="AQ38" s="142"/>
      <c r="AR38" s="142"/>
      <c r="AS38" s="142"/>
      <c r="AT38" s="142"/>
      <c r="AU38" s="142"/>
      <c r="AV38" s="142"/>
      <c r="AW38" s="143"/>
      <c r="AX38" s="137"/>
      <c r="AY38" s="137"/>
      <c r="AZ38" s="137"/>
      <c r="BA38" s="137"/>
      <c r="BB38" s="137"/>
      <c r="BC38" s="138"/>
      <c r="BD38" s="140"/>
      <c r="BE38" s="137"/>
      <c r="BF38" s="137"/>
      <c r="BG38" s="137"/>
      <c r="BH38" s="137"/>
      <c r="BI38" s="137"/>
      <c r="BJ38" s="138"/>
      <c r="BK38" s="60"/>
    </row>
    <row r="39" spans="1:63" ht="15" customHeight="1" x14ac:dyDescent="0.25">
      <c r="A39" s="59"/>
      <c r="B39" s="86"/>
      <c r="C39" s="87"/>
      <c r="D39" s="87"/>
      <c r="E39" s="87"/>
      <c r="F39" s="87"/>
      <c r="G39" s="88"/>
      <c r="H39" s="86"/>
      <c r="I39" s="87"/>
      <c r="J39" s="87"/>
      <c r="K39" s="87"/>
      <c r="L39" s="87"/>
      <c r="M39" s="87"/>
      <c r="N39" s="88"/>
      <c r="O39" s="86"/>
      <c r="P39" s="87"/>
      <c r="Q39" s="87"/>
      <c r="R39" s="87"/>
      <c r="S39" s="132"/>
      <c r="T39" s="133"/>
      <c r="U39" s="133"/>
      <c r="V39" s="133"/>
      <c r="W39" s="133"/>
      <c r="X39" s="133"/>
      <c r="Y39" s="133"/>
      <c r="Z39" s="133"/>
      <c r="AA39" s="133"/>
      <c r="AB39" s="133"/>
      <c r="AC39" s="133"/>
      <c r="AD39" s="133"/>
      <c r="AE39" s="133"/>
      <c r="AF39" s="133"/>
      <c r="AG39" s="133"/>
      <c r="AH39" s="133"/>
      <c r="AI39" s="133"/>
      <c r="AJ39" s="133"/>
      <c r="AK39" s="133"/>
      <c r="AL39" s="133"/>
      <c r="AM39" s="133"/>
      <c r="AN39" s="133"/>
      <c r="AO39" s="133"/>
      <c r="AP39" s="133"/>
      <c r="AQ39" s="133"/>
      <c r="AR39" s="133"/>
      <c r="AS39" s="133"/>
      <c r="AT39" s="133"/>
      <c r="AU39" s="133"/>
      <c r="AV39" s="133"/>
      <c r="AW39" s="134"/>
      <c r="AX39" s="135"/>
      <c r="AY39" s="135"/>
      <c r="AZ39" s="135"/>
      <c r="BA39" s="135"/>
      <c r="BB39" s="135"/>
      <c r="BC39" s="136"/>
      <c r="BD39" s="139"/>
      <c r="BE39" s="135"/>
      <c r="BF39" s="135"/>
      <c r="BG39" s="135"/>
      <c r="BH39" s="135"/>
      <c r="BI39" s="135"/>
      <c r="BJ39" s="136"/>
      <c r="BK39" s="60"/>
    </row>
    <row r="40" spans="1:63" ht="15" customHeight="1" x14ac:dyDescent="0.25">
      <c r="A40" s="59"/>
      <c r="B40" s="92"/>
      <c r="C40" s="93"/>
      <c r="D40" s="93"/>
      <c r="E40" s="93"/>
      <c r="F40" s="93"/>
      <c r="G40" s="94"/>
      <c r="H40" s="92"/>
      <c r="I40" s="93"/>
      <c r="J40" s="93"/>
      <c r="K40" s="93"/>
      <c r="L40" s="93"/>
      <c r="M40" s="93"/>
      <c r="N40" s="94"/>
      <c r="O40" s="92"/>
      <c r="P40" s="93"/>
      <c r="Q40" s="93"/>
      <c r="R40" s="93"/>
      <c r="S40" s="141"/>
      <c r="T40" s="142"/>
      <c r="U40" s="142"/>
      <c r="V40" s="142"/>
      <c r="W40" s="142"/>
      <c r="X40" s="142"/>
      <c r="Y40" s="142"/>
      <c r="Z40" s="142"/>
      <c r="AA40" s="142"/>
      <c r="AB40" s="142"/>
      <c r="AC40" s="142"/>
      <c r="AD40" s="142"/>
      <c r="AE40" s="142"/>
      <c r="AF40" s="142"/>
      <c r="AG40" s="142"/>
      <c r="AH40" s="142"/>
      <c r="AI40" s="142"/>
      <c r="AJ40" s="142"/>
      <c r="AK40" s="142"/>
      <c r="AL40" s="142"/>
      <c r="AM40" s="142"/>
      <c r="AN40" s="142"/>
      <c r="AO40" s="142"/>
      <c r="AP40" s="142"/>
      <c r="AQ40" s="142"/>
      <c r="AR40" s="142"/>
      <c r="AS40" s="142"/>
      <c r="AT40" s="142"/>
      <c r="AU40" s="142"/>
      <c r="AV40" s="142"/>
      <c r="AW40" s="143"/>
      <c r="AX40" s="137"/>
      <c r="AY40" s="137"/>
      <c r="AZ40" s="137"/>
      <c r="BA40" s="137"/>
      <c r="BB40" s="137"/>
      <c r="BC40" s="138"/>
      <c r="BD40" s="140"/>
      <c r="BE40" s="137"/>
      <c r="BF40" s="137"/>
      <c r="BG40" s="137"/>
      <c r="BH40" s="137"/>
      <c r="BI40" s="137"/>
      <c r="BJ40" s="138"/>
      <c r="BK40" s="60"/>
    </row>
    <row r="41" spans="1:63" ht="15" customHeight="1" x14ac:dyDescent="0.25">
      <c r="A41" s="59"/>
      <c r="B41" s="86"/>
      <c r="C41" s="87"/>
      <c r="D41" s="87"/>
      <c r="E41" s="87"/>
      <c r="F41" s="87"/>
      <c r="G41" s="88"/>
      <c r="H41" s="86"/>
      <c r="I41" s="87"/>
      <c r="J41" s="87"/>
      <c r="K41" s="87"/>
      <c r="L41" s="87"/>
      <c r="M41" s="87"/>
      <c r="N41" s="88"/>
      <c r="O41" s="86"/>
      <c r="P41" s="87"/>
      <c r="Q41" s="87"/>
      <c r="R41" s="87"/>
      <c r="S41" s="132"/>
      <c r="T41" s="133"/>
      <c r="U41" s="133"/>
      <c r="V41" s="133"/>
      <c r="W41" s="133"/>
      <c r="X41" s="133"/>
      <c r="Y41" s="133"/>
      <c r="Z41" s="133"/>
      <c r="AA41" s="133"/>
      <c r="AB41" s="133"/>
      <c r="AC41" s="133"/>
      <c r="AD41" s="133"/>
      <c r="AE41" s="133"/>
      <c r="AF41" s="133"/>
      <c r="AG41" s="133"/>
      <c r="AH41" s="133"/>
      <c r="AI41" s="133"/>
      <c r="AJ41" s="133"/>
      <c r="AK41" s="133"/>
      <c r="AL41" s="133"/>
      <c r="AM41" s="133"/>
      <c r="AN41" s="133"/>
      <c r="AO41" s="133"/>
      <c r="AP41" s="133"/>
      <c r="AQ41" s="133"/>
      <c r="AR41" s="133"/>
      <c r="AS41" s="133"/>
      <c r="AT41" s="133"/>
      <c r="AU41" s="133"/>
      <c r="AV41" s="133"/>
      <c r="AW41" s="134"/>
      <c r="AX41" s="135"/>
      <c r="AY41" s="135"/>
      <c r="AZ41" s="135"/>
      <c r="BA41" s="135"/>
      <c r="BB41" s="135"/>
      <c r="BC41" s="136"/>
      <c r="BD41" s="139"/>
      <c r="BE41" s="135"/>
      <c r="BF41" s="135"/>
      <c r="BG41" s="135"/>
      <c r="BH41" s="135"/>
      <c r="BI41" s="135"/>
      <c r="BJ41" s="136"/>
      <c r="BK41" s="60"/>
    </row>
    <row r="42" spans="1:63" ht="15" customHeight="1" x14ac:dyDescent="0.25">
      <c r="A42" s="59"/>
      <c r="B42" s="92"/>
      <c r="C42" s="93"/>
      <c r="D42" s="93"/>
      <c r="E42" s="93"/>
      <c r="F42" s="93"/>
      <c r="G42" s="94"/>
      <c r="H42" s="92"/>
      <c r="I42" s="93"/>
      <c r="J42" s="93"/>
      <c r="K42" s="93"/>
      <c r="L42" s="93"/>
      <c r="M42" s="93"/>
      <c r="N42" s="94"/>
      <c r="O42" s="92"/>
      <c r="P42" s="93"/>
      <c r="Q42" s="93"/>
      <c r="R42" s="93"/>
      <c r="S42" s="141"/>
      <c r="T42" s="142"/>
      <c r="U42" s="142"/>
      <c r="V42" s="142"/>
      <c r="W42" s="142"/>
      <c r="X42" s="142"/>
      <c r="Y42" s="142"/>
      <c r="Z42" s="142"/>
      <c r="AA42" s="142"/>
      <c r="AB42" s="142"/>
      <c r="AC42" s="142"/>
      <c r="AD42" s="142"/>
      <c r="AE42" s="142"/>
      <c r="AF42" s="142"/>
      <c r="AG42" s="142"/>
      <c r="AH42" s="142"/>
      <c r="AI42" s="142"/>
      <c r="AJ42" s="142"/>
      <c r="AK42" s="142"/>
      <c r="AL42" s="142"/>
      <c r="AM42" s="142"/>
      <c r="AN42" s="142"/>
      <c r="AO42" s="142"/>
      <c r="AP42" s="142"/>
      <c r="AQ42" s="142"/>
      <c r="AR42" s="142"/>
      <c r="AS42" s="142"/>
      <c r="AT42" s="142"/>
      <c r="AU42" s="142"/>
      <c r="AV42" s="142"/>
      <c r="AW42" s="143"/>
      <c r="AX42" s="137"/>
      <c r="AY42" s="137"/>
      <c r="AZ42" s="137"/>
      <c r="BA42" s="137"/>
      <c r="BB42" s="137"/>
      <c r="BC42" s="138"/>
      <c r="BD42" s="140"/>
      <c r="BE42" s="137"/>
      <c r="BF42" s="137"/>
      <c r="BG42" s="137"/>
      <c r="BH42" s="137"/>
      <c r="BI42" s="137"/>
      <c r="BJ42" s="138"/>
      <c r="BK42" s="60"/>
    </row>
    <row r="43" spans="1:63" ht="15" customHeight="1" x14ac:dyDescent="0.25">
      <c r="A43" s="59"/>
      <c r="B43" s="86"/>
      <c r="C43" s="87"/>
      <c r="D43" s="87"/>
      <c r="E43" s="87"/>
      <c r="F43" s="87"/>
      <c r="G43" s="88"/>
      <c r="H43" s="86"/>
      <c r="I43" s="87"/>
      <c r="J43" s="87"/>
      <c r="K43" s="87"/>
      <c r="L43" s="87"/>
      <c r="M43" s="87"/>
      <c r="N43" s="88"/>
      <c r="O43" s="86"/>
      <c r="P43" s="87"/>
      <c r="Q43" s="87"/>
      <c r="R43" s="87"/>
      <c r="S43" s="132"/>
      <c r="T43" s="133"/>
      <c r="U43" s="133"/>
      <c r="V43" s="133"/>
      <c r="W43" s="133"/>
      <c r="X43" s="133"/>
      <c r="Y43" s="133"/>
      <c r="Z43" s="133"/>
      <c r="AA43" s="133"/>
      <c r="AB43" s="133"/>
      <c r="AC43" s="133"/>
      <c r="AD43" s="133"/>
      <c r="AE43" s="133"/>
      <c r="AF43" s="133"/>
      <c r="AG43" s="133"/>
      <c r="AH43" s="133"/>
      <c r="AI43" s="133"/>
      <c r="AJ43" s="133"/>
      <c r="AK43" s="133"/>
      <c r="AL43" s="133"/>
      <c r="AM43" s="133"/>
      <c r="AN43" s="133"/>
      <c r="AO43" s="133"/>
      <c r="AP43" s="133"/>
      <c r="AQ43" s="133"/>
      <c r="AR43" s="133"/>
      <c r="AS43" s="133"/>
      <c r="AT43" s="133"/>
      <c r="AU43" s="133"/>
      <c r="AV43" s="133"/>
      <c r="AW43" s="134"/>
      <c r="AX43" s="135"/>
      <c r="AY43" s="135"/>
      <c r="AZ43" s="135"/>
      <c r="BA43" s="135"/>
      <c r="BB43" s="135"/>
      <c r="BC43" s="136"/>
      <c r="BD43" s="139"/>
      <c r="BE43" s="135"/>
      <c r="BF43" s="135"/>
      <c r="BG43" s="135"/>
      <c r="BH43" s="135"/>
      <c r="BI43" s="135"/>
      <c r="BJ43" s="136"/>
      <c r="BK43" s="60"/>
    </row>
    <row r="44" spans="1:63" ht="15" customHeight="1" x14ac:dyDescent="0.25">
      <c r="A44" s="59"/>
      <c r="B44" s="92"/>
      <c r="C44" s="93"/>
      <c r="D44" s="93"/>
      <c r="E44" s="93"/>
      <c r="F44" s="93"/>
      <c r="G44" s="94"/>
      <c r="H44" s="92"/>
      <c r="I44" s="93"/>
      <c r="J44" s="93"/>
      <c r="K44" s="93"/>
      <c r="L44" s="93"/>
      <c r="M44" s="93"/>
      <c r="N44" s="94"/>
      <c r="O44" s="92"/>
      <c r="P44" s="93"/>
      <c r="Q44" s="93"/>
      <c r="R44" s="93"/>
      <c r="S44" s="141"/>
      <c r="T44" s="142"/>
      <c r="U44" s="142"/>
      <c r="V44" s="142"/>
      <c r="W44" s="142"/>
      <c r="X44" s="142"/>
      <c r="Y44" s="142"/>
      <c r="Z44" s="142"/>
      <c r="AA44" s="142"/>
      <c r="AB44" s="142"/>
      <c r="AC44" s="142"/>
      <c r="AD44" s="142"/>
      <c r="AE44" s="142"/>
      <c r="AF44" s="142"/>
      <c r="AG44" s="142"/>
      <c r="AH44" s="142"/>
      <c r="AI44" s="142"/>
      <c r="AJ44" s="142"/>
      <c r="AK44" s="142"/>
      <c r="AL44" s="142"/>
      <c r="AM44" s="142"/>
      <c r="AN44" s="142"/>
      <c r="AO44" s="142"/>
      <c r="AP44" s="142"/>
      <c r="AQ44" s="142"/>
      <c r="AR44" s="142"/>
      <c r="AS44" s="142"/>
      <c r="AT44" s="142"/>
      <c r="AU44" s="142"/>
      <c r="AV44" s="142"/>
      <c r="AW44" s="143"/>
      <c r="AX44" s="137"/>
      <c r="AY44" s="137"/>
      <c r="AZ44" s="137"/>
      <c r="BA44" s="137"/>
      <c r="BB44" s="137"/>
      <c r="BC44" s="138"/>
      <c r="BD44" s="140"/>
      <c r="BE44" s="137"/>
      <c r="BF44" s="137"/>
      <c r="BG44" s="137"/>
      <c r="BH44" s="137"/>
      <c r="BI44" s="137"/>
      <c r="BJ44" s="138"/>
      <c r="BK44" s="60"/>
    </row>
    <row r="45" spans="1:63" ht="15" customHeight="1" x14ac:dyDescent="0.25">
      <c r="A45" s="59"/>
      <c r="B45" s="86"/>
      <c r="C45" s="87"/>
      <c r="D45" s="87"/>
      <c r="E45" s="87"/>
      <c r="F45" s="87"/>
      <c r="G45" s="88"/>
      <c r="H45" s="86"/>
      <c r="I45" s="87"/>
      <c r="J45" s="87"/>
      <c r="K45" s="87"/>
      <c r="L45" s="87"/>
      <c r="M45" s="87"/>
      <c r="N45" s="88"/>
      <c r="O45" s="86"/>
      <c r="P45" s="87"/>
      <c r="Q45" s="87"/>
      <c r="R45" s="87"/>
      <c r="S45" s="132"/>
      <c r="T45" s="133"/>
      <c r="U45" s="133"/>
      <c r="V45" s="133"/>
      <c r="W45" s="133"/>
      <c r="X45" s="133"/>
      <c r="Y45" s="133"/>
      <c r="Z45" s="133"/>
      <c r="AA45" s="133"/>
      <c r="AB45" s="133"/>
      <c r="AC45" s="133"/>
      <c r="AD45" s="133"/>
      <c r="AE45" s="133"/>
      <c r="AF45" s="133"/>
      <c r="AG45" s="133"/>
      <c r="AH45" s="133"/>
      <c r="AI45" s="133"/>
      <c r="AJ45" s="133"/>
      <c r="AK45" s="133"/>
      <c r="AL45" s="133"/>
      <c r="AM45" s="133"/>
      <c r="AN45" s="133"/>
      <c r="AO45" s="133"/>
      <c r="AP45" s="133"/>
      <c r="AQ45" s="133"/>
      <c r="AR45" s="133"/>
      <c r="AS45" s="133"/>
      <c r="AT45" s="133"/>
      <c r="AU45" s="133"/>
      <c r="AV45" s="133"/>
      <c r="AW45" s="134"/>
      <c r="AX45" s="135"/>
      <c r="AY45" s="135"/>
      <c r="AZ45" s="135"/>
      <c r="BA45" s="135"/>
      <c r="BB45" s="135"/>
      <c r="BC45" s="136"/>
      <c r="BD45" s="139"/>
      <c r="BE45" s="135"/>
      <c r="BF45" s="135"/>
      <c r="BG45" s="135"/>
      <c r="BH45" s="135"/>
      <c r="BI45" s="135"/>
      <c r="BJ45" s="136"/>
      <c r="BK45" s="60"/>
    </row>
    <row r="46" spans="1:63" ht="15" customHeight="1" x14ac:dyDescent="0.25">
      <c r="A46" s="59"/>
      <c r="B46" s="92"/>
      <c r="C46" s="93"/>
      <c r="D46" s="93"/>
      <c r="E46" s="93"/>
      <c r="F46" s="93"/>
      <c r="G46" s="94"/>
      <c r="H46" s="92"/>
      <c r="I46" s="93"/>
      <c r="J46" s="93"/>
      <c r="K46" s="93"/>
      <c r="L46" s="93"/>
      <c r="M46" s="93"/>
      <c r="N46" s="94"/>
      <c r="O46" s="92"/>
      <c r="P46" s="93"/>
      <c r="Q46" s="93"/>
      <c r="R46" s="93"/>
      <c r="S46" s="141"/>
      <c r="T46" s="142"/>
      <c r="U46" s="142"/>
      <c r="V46" s="142"/>
      <c r="W46" s="142"/>
      <c r="X46" s="142"/>
      <c r="Y46" s="142"/>
      <c r="Z46" s="142"/>
      <c r="AA46" s="142"/>
      <c r="AB46" s="142"/>
      <c r="AC46" s="142"/>
      <c r="AD46" s="142"/>
      <c r="AE46" s="142"/>
      <c r="AF46" s="142"/>
      <c r="AG46" s="142"/>
      <c r="AH46" s="142"/>
      <c r="AI46" s="142"/>
      <c r="AJ46" s="142"/>
      <c r="AK46" s="142"/>
      <c r="AL46" s="142"/>
      <c r="AM46" s="142"/>
      <c r="AN46" s="142"/>
      <c r="AO46" s="142"/>
      <c r="AP46" s="142"/>
      <c r="AQ46" s="142"/>
      <c r="AR46" s="142"/>
      <c r="AS46" s="142"/>
      <c r="AT46" s="142"/>
      <c r="AU46" s="142"/>
      <c r="AV46" s="142"/>
      <c r="AW46" s="143"/>
      <c r="AX46" s="137"/>
      <c r="AY46" s="137"/>
      <c r="AZ46" s="137"/>
      <c r="BA46" s="137"/>
      <c r="BB46" s="137"/>
      <c r="BC46" s="138"/>
      <c r="BD46" s="140"/>
      <c r="BE46" s="137"/>
      <c r="BF46" s="137"/>
      <c r="BG46" s="137"/>
      <c r="BH46" s="137"/>
      <c r="BI46" s="137"/>
      <c r="BJ46" s="138"/>
      <c r="BK46" s="60"/>
    </row>
    <row r="47" spans="1:63" ht="15" customHeight="1" x14ac:dyDescent="0.25">
      <c r="A47" s="59"/>
      <c r="B47" s="86"/>
      <c r="C47" s="87"/>
      <c r="D47" s="87"/>
      <c r="E47" s="87"/>
      <c r="F47" s="87"/>
      <c r="G47" s="88"/>
      <c r="H47" s="86"/>
      <c r="I47" s="87"/>
      <c r="J47" s="87"/>
      <c r="K47" s="87"/>
      <c r="L47" s="87"/>
      <c r="M47" s="87"/>
      <c r="N47" s="88"/>
      <c r="O47" s="86"/>
      <c r="P47" s="87"/>
      <c r="Q47" s="87"/>
      <c r="R47" s="87"/>
      <c r="S47" s="132"/>
      <c r="T47" s="133"/>
      <c r="U47" s="133"/>
      <c r="V47" s="133"/>
      <c r="W47" s="133"/>
      <c r="X47" s="133"/>
      <c r="Y47" s="133"/>
      <c r="Z47" s="133"/>
      <c r="AA47" s="133"/>
      <c r="AB47" s="133"/>
      <c r="AC47" s="133"/>
      <c r="AD47" s="133"/>
      <c r="AE47" s="133"/>
      <c r="AF47" s="133"/>
      <c r="AG47" s="133"/>
      <c r="AH47" s="133"/>
      <c r="AI47" s="133"/>
      <c r="AJ47" s="133"/>
      <c r="AK47" s="133"/>
      <c r="AL47" s="133"/>
      <c r="AM47" s="133"/>
      <c r="AN47" s="133"/>
      <c r="AO47" s="133"/>
      <c r="AP47" s="133"/>
      <c r="AQ47" s="133"/>
      <c r="AR47" s="133"/>
      <c r="AS47" s="133"/>
      <c r="AT47" s="133"/>
      <c r="AU47" s="133"/>
      <c r="AV47" s="133"/>
      <c r="AW47" s="134"/>
      <c r="AX47" s="135"/>
      <c r="AY47" s="135"/>
      <c r="AZ47" s="135"/>
      <c r="BA47" s="135"/>
      <c r="BB47" s="135"/>
      <c r="BC47" s="136"/>
      <c r="BD47" s="139"/>
      <c r="BE47" s="135"/>
      <c r="BF47" s="135"/>
      <c r="BG47" s="135"/>
      <c r="BH47" s="135"/>
      <c r="BI47" s="135"/>
      <c r="BJ47" s="136"/>
      <c r="BK47" s="60"/>
    </row>
    <row r="48" spans="1:63" ht="15" customHeight="1" x14ac:dyDescent="0.25">
      <c r="A48" s="59"/>
      <c r="B48" s="92"/>
      <c r="C48" s="93"/>
      <c r="D48" s="93"/>
      <c r="E48" s="93"/>
      <c r="F48" s="93"/>
      <c r="G48" s="94"/>
      <c r="H48" s="92"/>
      <c r="I48" s="93"/>
      <c r="J48" s="93"/>
      <c r="K48" s="93"/>
      <c r="L48" s="93"/>
      <c r="M48" s="93"/>
      <c r="N48" s="94"/>
      <c r="O48" s="92"/>
      <c r="P48" s="93"/>
      <c r="Q48" s="93"/>
      <c r="R48" s="93"/>
      <c r="S48" s="141"/>
      <c r="T48" s="142"/>
      <c r="U48" s="142"/>
      <c r="V48" s="142"/>
      <c r="W48" s="142"/>
      <c r="X48" s="142"/>
      <c r="Y48" s="142"/>
      <c r="Z48" s="142"/>
      <c r="AA48" s="142"/>
      <c r="AB48" s="142"/>
      <c r="AC48" s="142"/>
      <c r="AD48" s="142"/>
      <c r="AE48" s="142"/>
      <c r="AF48" s="142"/>
      <c r="AG48" s="142"/>
      <c r="AH48" s="142"/>
      <c r="AI48" s="142"/>
      <c r="AJ48" s="142"/>
      <c r="AK48" s="142"/>
      <c r="AL48" s="142"/>
      <c r="AM48" s="142"/>
      <c r="AN48" s="142"/>
      <c r="AO48" s="142"/>
      <c r="AP48" s="142"/>
      <c r="AQ48" s="142"/>
      <c r="AR48" s="142"/>
      <c r="AS48" s="142"/>
      <c r="AT48" s="142"/>
      <c r="AU48" s="142"/>
      <c r="AV48" s="142"/>
      <c r="AW48" s="143"/>
      <c r="AX48" s="137"/>
      <c r="AY48" s="137"/>
      <c r="AZ48" s="137"/>
      <c r="BA48" s="137"/>
      <c r="BB48" s="137"/>
      <c r="BC48" s="138"/>
      <c r="BD48" s="140"/>
      <c r="BE48" s="137"/>
      <c r="BF48" s="137"/>
      <c r="BG48" s="137"/>
      <c r="BH48" s="137"/>
      <c r="BI48" s="137"/>
      <c r="BJ48" s="138"/>
      <c r="BK48" s="60"/>
    </row>
    <row r="49" spans="1:63" ht="15" customHeight="1" x14ac:dyDescent="0.25">
      <c r="A49" s="59"/>
      <c r="B49" s="86"/>
      <c r="C49" s="87"/>
      <c r="D49" s="87"/>
      <c r="E49" s="87"/>
      <c r="F49" s="87"/>
      <c r="G49" s="88"/>
      <c r="H49" s="86"/>
      <c r="I49" s="87"/>
      <c r="J49" s="87"/>
      <c r="K49" s="87"/>
      <c r="L49" s="87"/>
      <c r="M49" s="87"/>
      <c r="N49" s="88"/>
      <c r="O49" s="86"/>
      <c r="P49" s="87"/>
      <c r="Q49" s="87"/>
      <c r="R49" s="87"/>
      <c r="S49" s="132"/>
      <c r="T49" s="133"/>
      <c r="U49" s="133"/>
      <c r="V49" s="133"/>
      <c r="W49" s="133"/>
      <c r="X49" s="133"/>
      <c r="Y49" s="133"/>
      <c r="Z49" s="133"/>
      <c r="AA49" s="133"/>
      <c r="AB49" s="133"/>
      <c r="AC49" s="133"/>
      <c r="AD49" s="133"/>
      <c r="AE49" s="133"/>
      <c r="AF49" s="133"/>
      <c r="AG49" s="133"/>
      <c r="AH49" s="133"/>
      <c r="AI49" s="133"/>
      <c r="AJ49" s="133"/>
      <c r="AK49" s="133"/>
      <c r="AL49" s="133"/>
      <c r="AM49" s="133"/>
      <c r="AN49" s="133"/>
      <c r="AO49" s="133"/>
      <c r="AP49" s="133"/>
      <c r="AQ49" s="133"/>
      <c r="AR49" s="133"/>
      <c r="AS49" s="133"/>
      <c r="AT49" s="133"/>
      <c r="AU49" s="133"/>
      <c r="AV49" s="133"/>
      <c r="AW49" s="134"/>
      <c r="AX49" s="135"/>
      <c r="AY49" s="135"/>
      <c r="AZ49" s="135"/>
      <c r="BA49" s="135"/>
      <c r="BB49" s="135"/>
      <c r="BC49" s="136"/>
      <c r="BD49" s="139"/>
      <c r="BE49" s="135"/>
      <c r="BF49" s="135"/>
      <c r="BG49" s="135"/>
      <c r="BH49" s="135"/>
      <c r="BI49" s="135"/>
      <c r="BJ49" s="136"/>
      <c r="BK49" s="60"/>
    </row>
    <row r="50" spans="1:63" ht="15" customHeight="1" x14ac:dyDescent="0.25">
      <c r="A50" s="59"/>
      <c r="B50" s="92"/>
      <c r="C50" s="93"/>
      <c r="D50" s="93"/>
      <c r="E50" s="93"/>
      <c r="F50" s="93"/>
      <c r="G50" s="94"/>
      <c r="H50" s="92"/>
      <c r="I50" s="93"/>
      <c r="J50" s="93"/>
      <c r="K50" s="93"/>
      <c r="L50" s="93"/>
      <c r="M50" s="93"/>
      <c r="N50" s="94"/>
      <c r="O50" s="92"/>
      <c r="P50" s="93"/>
      <c r="Q50" s="93"/>
      <c r="R50" s="93"/>
      <c r="S50" s="141"/>
      <c r="T50" s="142"/>
      <c r="U50" s="142"/>
      <c r="V50" s="142"/>
      <c r="W50" s="142"/>
      <c r="X50" s="142"/>
      <c r="Y50" s="142"/>
      <c r="Z50" s="142"/>
      <c r="AA50" s="142"/>
      <c r="AB50" s="142"/>
      <c r="AC50" s="142"/>
      <c r="AD50" s="142"/>
      <c r="AE50" s="142"/>
      <c r="AF50" s="142"/>
      <c r="AG50" s="142"/>
      <c r="AH50" s="142"/>
      <c r="AI50" s="142"/>
      <c r="AJ50" s="142"/>
      <c r="AK50" s="142"/>
      <c r="AL50" s="142"/>
      <c r="AM50" s="142"/>
      <c r="AN50" s="142"/>
      <c r="AO50" s="142"/>
      <c r="AP50" s="142"/>
      <c r="AQ50" s="142"/>
      <c r="AR50" s="142"/>
      <c r="AS50" s="142"/>
      <c r="AT50" s="142"/>
      <c r="AU50" s="142"/>
      <c r="AV50" s="142"/>
      <c r="AW50" s="143"/>
      <c r="AX50" s="137"/>
      <c r="AY50" s="137"/>
      <c r="AZ50" s="137"/>
      <c r="BA50" s="137"/>
      <c r="BB50" s="137"/>
      <c r="BC50" s="138"/>
      <c r="BD50" s="140"/>
      <c r="BE50" s="137"/>
      <c r="BF50" s="137"/>
      <c r="BG50" s="137"/>
      <c r="BH50" s="137"/>
      <c r="BI50" s="137"/>
      <c r="BJ50" s="138"/>
      <c r="BK50" s="60"/>
    </row>
    <row r="51" spans="1:63" ht="15" customHeight="1" x14ac:dyDescent="0.25">
      <c r="A51" s="59"/>
      <c r="B51" s="86"/>
      <c r="C51" s="87"/>
      <c r="D51" s="87"/>
      <c r="E51" s="87"/>
      <c r="F51" s="87"/>
      <c r="G51" s="88"/>
      <c r="H51" s="86"/>
      <c r="I51" s="87"/>
      <c r="J51" s="87"/>
      <c r="K51" s="87"/>
      <c r="L51" s="87"/>
      <c r="M51" s="87"/>
      <c r="N51" s="88"/>
      <c r="O51" s="86"/>
      <c r="P51" s="87"/>
      <c r="Q51" s="87"/>
      <c r="R51" s="87"/>
      <c r="S51" s="132"/>
      <c r="T51" s="133"/>
      <c r="U51" s="133"/>
      <c r="V51" s="133"/>
      <c r="W51" s="133"/>
      <c r="X51" s="133"/>
      <c r="Y51" s="133"/>
      <c r="Z51" s="133"/>
      <c r="AA51" s="133"/>
      <c r="AB51" s="133"/>
      <c r="AC51" s="133"/>
      <c r="AD51" s="133"/>
      <c r="AE51" s="133"/>
      <c r="AF51" s="133"/>
      <c r="AG51" s="133"/>
      <c r="AH51" s="133"/>
      <c r="AI51" s="133"/>
      <c r="AJ51" s="133"/>
      <c r="AK51" s="133"/>
      <c r="AL51" s="133"/>
      <c r="AM51" s="133"/>
      <c r="AN51" s="133"/>
      <c r="AO51" s="133"/>
      <c r="AP51" s="133"/>
      <c r="AQ51" s="133"/>
      <c r="AR51" s="133"/>
      <c r="AS51" s="133"/>
      <c r="AT51" s="133"/>
      <c r="AU51" s="133"/>
      <c r="AV51" s="133"/>
      <c r="AW51" s="134"/>
      <c r="AX51" s="135"/>
      <c r="AY51" s="135"/>
      <c r="AZ51" s="135"/>
      <c r="BA51" s="135"/>
      <c r="BB51" s="135"/>
      <c r="BC51" s="136"/>
      <c r="BD51" s="139"/>
      <c r="BE51" s="135"/>
      <c r="BF51" s="135"/>
      <c r="BG51" s="135"/>
      <c r="BH51" s="135"/>
      <c r="BI51" s="135"/>
      <c r="BJ51" s="136"/>
      <c r="BK51" s="60"/>
    </row>
    <row r="52" spans="1:63" ht="15" customHeight="1" x14ac:dyDescent="0.25">
      <c r="A52" s="59"/>
      <c r="B52" s="92"/>
      <c r="C52" s="93"/>
      <c r="D52" s="93"/>
      <c r="E52" s="93"/>
      <c r="F52" s="93"/>
      <c r="G52" s="94"/>
      <c r="H52" s="92"/>
      <c r="I52" s="93"/>
      <c r="J52" s="93"/>
      <c r="K52" s="93"/>
      <c r="L52" s="93"/>
      <c r="M52" s="93"/>
      <c r="N52" s="94"/>
      <c r="O52" s="92"/>
      <c r="P52" s="93"/>
      <c r="Q52" s="93"/>
      <c r="R52" s="93"/>
      <c r="S52" s="141"/>
      <c r="T52" s="142"/>
      <c r="U52" s="142"/>
      <c r="V52" s="142"/>
      <c r="W52" s="142"/>
      <c r="X52" s="142"/>
      <c r="Y52" s="142"/>
      <c r="Z52" s="142"/>
      <c r="AA52" s="142"/>
      <c r="AB52" s="142"/>
      <c r="AC52" s="142"/>
      <c r="AD52" s="142"/>
      <c r="AE52" s="142"/>
      <c r="AF52" s="142"/>
      <c r="AG52" s="142"/>
      <c r="AH52" s="142"/>
      <c r="AI52" s="142"/>
      <c r="AJ52" s="142"/>
      <c r="AK52" s="142"/>
      <c r="AL52" s="142"/>
      <c r="AM52" s="142"/>
      <c r="AN52" s="142"/>
      <c r="AO52" s="142"/>
      <c r="AP52" s="142"/>
      <c r="AQ52" s="142"/>
      <c r="AR52" s="142"/>
      <c r="AS52" s="142"/>
      <c r="AT52" s="142"/>
      <c r="AU52" s="142"/>
      <c r="AV52" s="142"/>
      <c r="AW52" s="143"/>
      <c r="AX52" s="137"/>
      <c r="AY52" s="137"/>
      <c r="AZ52" s="137"/>
      <c r="BA52" s="137"/>
      <c r="BB52" s="137"/>
      <c r="BC52" s="138"/>
      <c r="BD52" s="140"/>
      <c r="BE52" s="137"/>
      <c r="BF52" s="137"/>
      <c r="BG52" s="137"/>
      <c r="BH52" s="137"/>
      <c r="BI52" s="137"/>
      <c r="BJ52" s="138"/>
      <c r="BK52" s="60"/>
    </row>
    <row r="53" spans="1:63" ht="15" customHeight="1" x14ac:dyDescent="0.25">
      <c r="A53" s="59"/>
      <c r="B53" s="86"/>
      <c r="C53" s="87"/>
      <c r="D53" s="87"/>
      <c r="E53" s="87"/>
      <c r="F53" s="87"/>
      <c r="G53" s="88"/>
      <c r="H53" s="86"/>
      <c r="I53" s="87"/>
      <c r="J53" s="87"/>
      <c r="K53" s="87"/>
      <c r="L53" s="87"/>
      <c r="M53" s="87"/>
      <c r="N53" s="88"/>
      <c r="O53" s="86"/>
      <c r="P53" s="87"/>
      <c r="Q53" s="87"/>
      <c r="R53" s="87"/>
      <c r="S53" s="132"/>
      <c r="T53" s="133"/>
      <c r="U53" s="133"/>
      <c r="V53" s="133"/>
      <c r="W53" s="133"/>
      <c r="X53" s="133"/>
      <c r="Y53" s="133"/>
      <c r="Z53" s="133"/>
      <c r="AA53" s="133"/>
      <c r="AB53" s="133"/>
      <c r="AC53" s="133"/>
      <c r="AD53" s="133"/>
      <c r="AE53" s="133"/>
      <c r="AF53" s="133"/>
      <c r="AG53" s="133"/>
      <c r="AH53" s="133"/>
      <c r="AI53" s="133"/>
      <c r="AJ53" s="133"/>
      <c r="AK53" s="133"/>
      <c r="AL53" s="133"/>
      <c r="AM53" s="133"/>
      <c r="AN53" s="133"/>
      <c r="AO53" s="133"/>
      <c r="AP53" s="133"/>
      <c r="AQ53" s="133"/>
      <c r="AR53" s="133"/>
      <c r="AS53" s="133"/>
      <c r="AT53" s="133"/>
      <c r="AU53" s="133"/>
      <c r="AV53" s="133"/>
      <c r="AW53" s="134"/>
      <c r="AX53" s="135"/>
      <c r="AY53" s="135"/>
      <c r="AZ53" s="135"/>
      <c r="BA53" s="135"/>
      <c r="BB53" s="135"/>
      <c r="BC53" s="136"/>
      <c r="BD53" s="139"/>
      <c r="BE53" s="135"/>
      <c r="BF53" s="135"/>
      <c r="BG53" s="135"/>
      <c r="BH53" s="135"/>
      <c r="BI53" s="135"/>
      <c r="BJ53" s="136"/>
      <c r="BK53" s="60"/>
    </row>
    <row r="54" spans="1:63" ht="15" customHeight="1" x14ac:dyDescent="0.25">
      <c r="A54" s="59"/>
      <c r="B54" s="92"/>
      <c r="C54" s="93"/>
      <c r="D54" s="93"/>
      <c r="E54" s="93"/>
      <c r="F54" s="93"/>
      <c r="G54" s="94"/>
      <c r="H54" s="92"/>
      <c r="I54" s="93"/>
      <c r="J54" s="93"/>
      <c r="K54" s="93"/>
      <c r="L54" s="93"/>
      <c r="M54" s="93"/>
      <c r="N54" s="94"/>
      <c r="O54" s="92"/>
      <c r="P54" s="93"/>
      <c r="Q54" s="93"/>
      <c r="R54" s="93"/>
      <c r="S54" s="141"/>
      <c r="T54" s="142"/>
      <c r="U54" s="142"/>
      <c r="V54" s="142"/>
      <c r="W54" s="142"/>
      <c r="X54" s="142"/>
      <c r="Y54" s="142"/>
      <c r="Z54" s="142"/>
      <c r="AA54" s="142"/>
      <c r="AB54" s="142"/>
      <c r="AC54" s="142"/>
      <c r="AD54" s="142"/>
      <c r="AE54" s="142"/>
      <c r="AF54" s="142"/>
      <c r="AG54" s="142"/>
      <c r="AH54" s="142"/>
      <c r="AI54" s="142"/>
      <c r="AJ54" s="142"/>
      <c r="AK54" s="142"/>
      <c r="AL54" s="142"/>
      <c r="AM54" s="142"/>
      <c r="AN54" s="142"/>
      <c r="AO54" s="142"/>
      <c r="AP54" s="142"/>
      <c r="AQ54" s="142"/>
      <c r="AR54" s="142"/>
      <c r="AS54" s="142"/>
      <c r="AT54" s="142"/>
      <c r="AU54" s="142"/>
      <c r="AV54" s="142"/>
      <c r="AW54" s="143"/>
      <c r="AX54" s="137"/>
      <c r="AY54" s="137"/>
      <c r="AZ54" s="137"/>
      <c r="BA54" s="137"/>
      <c r="BB54" s="137"/>
      <c r="BC54" s="138"/>
      <c r="BD54" s="140"/>
      <c r="BE54" s="137"/>
      <c r="BF54" s="137"/>
      <c r="BG54" s="137"/>
      <c r="BH54" s="137"/>
      <c r="BI54" s="137"/>
      <c r="BJ54" s="138"/>
      <c r="BK54" s="60"/>
    </row>
    <row r="55" spans="1:63" ht="15" customHeight="1" x14ac:dyDescent="0.25">
      <c r="A55" s="56"/>
      <c r="B55" s="57"/>
      <c r="C55" s="57"/>
      <c r="D55" s="57"/>
      <c r="E55" s="57"/>
      <c r="F55" s="57"/>
      <c r="G55" s="57"/>
      <c r="H55" s="57"/>
      <c r="I55" s="57"/>
      <c r="J55" s="57"/>
      <c r="K55" s="57"/>
      <c r="L55" s="57"/>
      <c r="M55" s="57"/>
      <c r="N55" s="57"/>
      <c r="O55" s="57"/>
      <c r="P55" s="57"/>
      <c r="Q55" s="57"/>
      <c r="R55" s="57"/>
      <c r="S55" s="57"/>
      <c r="T55" s="57"/>
      <c r="U55" s="57"/>
      <c r="V55" s="57"/>
      <c r="W55" s="57"/>
      <c r="X55" s="57"/>
      <c r="Y55" s="57"/>
      <c r="Z55" s="57"/>
      <c r="AA55" s="57"/>
      <c r="AB55" s="57"/>
      <c r="AC55" s="57"/>
      <c r="AD55" s="57"/>
      <c r="AE55" s="57"/>
      <c r="AF55" s="57"/>
      <c r="AG55" s="57"/>
      <c r="AH55" s="57"/>
      <c r="AI55" s="57"/>
      <c r="AJ55" s="57"/>
      <c r="AK55" s="57"/>
      <c r="AL55" s="57"/>
      <c r="AM55" s="57"/>
      <c r="AN55" s="57"/>
      <c r="AO55" s="57"/>
      <c r="AP55" s="57"/>
      <c r="AQ55" s="57"/>
      <c r="AR55" s="57"/>
      <c r="AS55" s="57"/>
      <c r="AT55" s="57"/>
      <c r="AU55" s="57"/>
      <c r="AV55" s="57"/>
      <c r="AW55" s="57"/>
      <c r="AX55" s="57"/>
      <c r="AY55" s="57"/>
      <c r="AZ55" s="57"/>
      <c r="BA55" s="57"/>
      <c r="BB55" s="57"/>
      <c r="BC55" s="57"/>
      <c r="BD55" s="57"/>
      <c r="BE55" s="57"/>
      <c r="BF55" s="57"/>
      <c r="BG55" s="57"/>
      <c r="BH55" s="57"/>
      <c r="BI55" s="57"/>
      <c r="BJ55" s="57"/>
      <c r="BK55" s="58"/>
    </row>
  </sheetData>
  <mergeCells count="180">
    <mergeCell ref="BH1:BK1"/>
    <mergeCell ref="BC1:BG1"/>
    <mergeCell ref="AY1:BB1"/>
    <mergeCell ref="AT1:AX1"/>
    <mergeCell ref="AP1:AS1"/>
    <mergeCell ref="W1:AO3"/>
    <mergeCell ref="K1:V1"/>
    <mergeCell ref="A1:J1"/>
    <mergeCell ref="AP4:BK4"/>
    <mergeCell ref="Z4:AO4"/>
    <mergeCell ref="U4:Y4"/>
    <mergeCell ref="H4:T4"/>
    <mergeCell ref="A4:G4"/>
    <mergeCell ref="BH2:BK3"/>
    <mergeCell ref="BC2:BG3"/>
    <mergeCell ref="AY2:BB3"/>
    <mergeCell ref="AT2:AX3"/>
    <mergeCell ref="AP2:AS3"/>
    <mergeCell ref="B11:G12"/>
    <mergeCell ref="B13:G14"/>
    <mergeCell ref="H13:N14"/>
    <mergeCell ref="O13:R14"/>
    <mergeCell ref="S13:AW13"/>
    <mergeCell ref="AX13:BC14"/>
    <mergeCell ref="BD11:BJ12"/>
    <mergeCell ref="AX11:BC12"/>
    <mergeCell ref="S12:AW12"/>
    <mergeCell ref="S11:AW11"/>
    <mergeCell ref="O11:R12"/>
    <mergeCell ref="H11:N12"/>
    <mergeCell ref="BD10:BJ10"/>
    <mergeCell ref="AX10:BC10"/>
    <mergeCell ref="S10:AW10"/>
    <mergeCell ref="O10:R10"/>
    <mergeCell ref="H10:N10"/>
    <mergeCell ref="B10:G10"/>
    <mergeCell ref="K2:V3"/>
    <mergeCell ref="A2:J3"/>
    <mergeCell ref="B17:G18"/>
    <mergeCell ref="H17:N18"/>
    <mergeCell ref="O17:R18"/>
    <mergeCell ref="S17:AW17"/>
    <mergeCell ref="AX17:BC18"/>
    <mergeCell ref="BD17:BJ18"/>
    <mergeCell ref="S18:AW18"/>
    <mergeCell ref="BD13:BJ14"/>
    <mergeCell ref="S14:AW14"/>
    <mergeCell ref="B15:G16"/>
    <mergeCell ref="H15:N16"/>
    <mergeCell ref="O15:R16"/>
    <mergeCell ref="S15:AW15"/>
    <mergeCell ref="AX15:BC16"/>
    <mergeCell ref="BD15:BJ16"/>
    <mergeCell ref="S16:AW16"/>
    <mergeCell ref="B21:G22"/>
    <mergeCell ref="H21:N22"/>
    <mergeCell ref="O21:R22"/>
    <mergeCell ref="S21:AW21"/>
    <mergeCell ref="AX21:BC22"/>
    <mergeCell ref="BD21:BJ22"/>
    <mergeCell ref="S22:AW22"/>
    <mergeCell ref="B19:G20"/>
    <mergeCell ref="H19:N20"/>
    <mergeCell ref="O19:R20"/>
    <mergeCell ref="S19:AW19"/>
    <mergeCell ref="AX19:BC20"/>
    <mergeCell ref="BD19:BJ20"/>
    <mergeCell ref="S20:AW20"/>
    <mergeCell ref="B25:G26"/>
    <mergeCell ref="H25:N26"/>
    <mergeCell ref="O25:R26"/>
    <mergeCell ref="S25:AW25"/>
    <mergeCell ref="AX25:BC26"/>
    <mergeCell ref="BD25:BJ26"/>
    <mergeCell ref="S26:AW26"/>
    <mergeCell ref="B23:G24"/>
    <mergeCell ref="H23:N24"/>
    <mergeCell ref="O23:R24"/>
    <mergeCell ref="S23:AW23"/>
    <mergeCell ref="AX23:BC24"/>
    <mergeCell ref="BD23:BJ24"/>
    <mergeCell ref="S24:AW24"/>
    <mergeCell ref="B29:G30"/>
    <mergeCell ref="H29:N30"/>
    <mergeCell ref="O29:R30"/>
    <mergeCell ref="S29:AW29"/>
    <mergeCell ref="AX29:BC30"/>
    <mergeCell ref="BD29:BJ30"/>
    <mergeCell ref="S30:AW30"/>
    <mergeCell ref="B27:G28"/>
    <mergeCell ref="H27:N28"/>
    <mergeCell ref="O27:R28"/>
    <mergeCell ref="S27:AW27"/>
    <mergeCell ref="AX27:BC28"/>
    <mergeCell ref="BD27:BJ28"/>
    <mergeCell ref="S28:AW28"/>
    <mergeCell ref="B33:G34"/>
    <mergeCell ref="H33:N34"/>
    <mergeCell ref="O33:R34"/>
    <mergeCell ref="S33:AW33"/>
    <mergeCell ref="AX33:BC34"/>
    <mergeCell ref="BD33:BJ34"/>
    <mergeCell ref="S34:AW34"/>
    <mergeCell ref="B31:G32"/>
    <mergeCell ref="H31:N32"/>
    <mergeCell ref="O31:R32"/>
    <mergeCell ref="S31:AW31"/>
    <mergeCell ref="AX31:BC32"/>
    <mergeCell ref="BD31:BJ32"/>
    <mergeCell ref="S32:AW32"/>
    <mergeCell ref="B37:G38"/>
    <mergeCell ref="H37:N38"/>
    <mergeCell ref="O37:R38"/>
    <mergeCell ref="S37:AW37"/>
    <mergeCell ref="AX37:BC38"/>
    <mergeCell ref="BD37:BJ38"/>
    <mergeCell ref="S38:AW38"/>
    <mergeCell ref="B35:G36"/>
    <mergeCell ref="H35:N36"/>
    <mergeCell ref="O35:R36"/>
    <mergeCell ref="S35:AW35"/>
    <mergeCell ref="AX35:BC36"/>
    <mergeCell ref="BD35:BJ36"/>
    <mergeCell ref="S36:AW36"/>
    <mergeCell ref="B41:G42"/>
    <mergeCell ref="H41:N42"/>
    <mergeCell ref="O41:R42"/>
    <mergeCell ref="S41:AW41"/>
    <mergeCell ref="AX41:BC42"/>
    <mergeCell ref="BD41:BJ42"/>
    <mergeCell ref="S42:AW42"/>
    <mergeCell ref="B39:G40"/>
    <mergeCell ref="H39:N40"/>
    <mergeCell ref="O39:R40"/>
    <mergeCell ref="S39:AW39"/>
    <mergeCell ref="AX39:BC40"/>
    <mergeCell ref="BD39:BJ40"/>
    <mergeCell ref="S40:AW40"/>
    <mergeCell ref="B45:G46"/>
    <mergeCell ref="H45:N46"/>
    <mergeCell ref="O45:R46"/>
    <mergeCell ref="S45:AW45"/>
    <mergeCell ref="AX45:BC46"/>
    <mergeCell ref="BD45:BJ46"/>
    <mergeCell ref="S46:AW46"/>
    <mergeCell ref="B43:G44"/>
    <mergeCell ref="H43:N44"/>
    <mergeCell ref="O43:R44"/>
    <mergeCell ref="S43:AW43"/>
    <mergeCell ref="AX43:BC44"/>
    <mergeCell ref="BD43:BJ44"/>
    <mergeCell ref="S44:AW44"/>
    <mergeCell ref="B49:G50"/>
    <mergeCell ref="H49:N50"/>
    <mergeCell ref="O49:R50"/>
    <mergeCell ref="S49:AW49"/>
    <mergeCell ref="AX49:BC50"/>
    <mergeCell ref="BD49:BJ50"/>
    <mergeCell ref="S50:AW50"/>
    <mergeCell ref="B47:G48"/>
    <mergeCell ref="H47:N48"/>
    <mergeCell ref="O47:R48"/>
    <mergeCell ref="S47:AW47"/>
    <mergeCell ref="AX47:BC48"/>
    <mergeCell ref="BD47:BJ48"/>
    <mergeCell ref="S48:AW48"/>
    <mergeCell ref="B53:G54"/>
    <mergeCell ref="H53:N54"/>
    <mergeCell ref="O53:R54"/>
    <mergeCell ref="S53:AW53"/>
    <mergeCell ref="AX53:BC54"/>
    <mergeCell ref="BD53:BJ54"/>
    <mergeCell ref="S54:AW54"/>
    <mergeCell ref="B51:G52"/>
    <mergeCell ref="H51:N52"/>
    <mergeCell ref="O51:R52"/>
    <mergeCell ref="S51:AW51"/>
    <mergeCell ref="AX51:BC52"/>
    <mergeCell ref="BD51:BJ52"/>
    <mergeCell ref="S52:AW52"/>
  </mergeCells>
  <printOptions horizontalCentered="1" verticalCentered="1"/>
  <pageMargins left="0.59055118110236204" right="0.59055118110236204" top="0.39370078740157499" bottom="0.39370078740157499" header="0.31496062992126" footer="0.31496062992126"/>
  <pageSetup paperSize="9" scale="57" orientation="landscape" r:id="rId1"/>
  <headerFooter>
    <oddHeader>&amp;R&amp;F</oddHeader>
    <oddFooter>&amp;C&amp;P / &amp;N ページ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C3802B-6936-45AA-9757-87208EB57C51}">
  <sheetPr>
    <pageSetUpPr fitToPage="1"/>
  </sheetPr>
  <dimension ref="A1:BK54"/>
  <sheetViews>
    <sheetView view="pageBreakPreview" zoomScale="85" zoomScaleNormal="100" zoomScaleSheetLayoutView="85" workbookViewId="0">
      <selection sqref="A1:J1"/>
    </sheetView>
  </sheetViews>
  <sheetFormatPr defaultColWidth="10.109375" defaultRowHeight="15.75" x14ac:dyDescent="0.25"/>
  <cols>
    <col min="1" max="63" width="2.77734375" style="1" customWidth="1"/>
    <col min="64" max="16384" width="10.109375" style="1"/>
  </cols>
  <sheetData>
    <row r="1" spans="1:63" ht="24.95" customHeight="1" x14ac:dyDescent="0.25">
      <c r="A1" s="175" t="s">
        <v>38</v>
      </c>
      <c r="B1" s="176"/>
      <c r="C1" s="176"/>
      <c r="D1" s="176"/>
      <c r="E1" s="176"/>
      <c r="F1" s="176"/>
      <c r="G1" s="176"/>
      <c r="H1" s="176"/>
      <c r="I1" s="176"/>
      <c r="J1" s="177"/>
      <c r="K1" s="175" t="s">
        <v>39</v>
      </c>
      <c r="L1" s="176"/>
      <c r="M1" s="176"/>
      <c r="N1" s="176"/>
      <c r="O1" s="176"/>
      <c r="P1" s="176"/>
      <c r="Q1" s="176"/>
      <c r="R1" s="176"/>
      <c r="S1" s="176"/>
      <c r="T1" s="176"/>
      <c r="U1" s="176"/>
      <c r="V1" s="177"/>
      <c r="W1" s="178" t="str">
        <f>IF(表紙!W1="","",表紙!W1)</f>
        <v>詳細設計書</v>
      </c>
      <c r="X1" s="179"/>
      <c r="Y1" s="179"/>
      <c r="Z1" s="179"/>
      <c r="AA1" s="179"/>
      <c r="AB1" s="179"/>
      <c r="AC1" s="179"/>
      <c r="AD1" s="179"/>
      <c r="AE1" s="179"/>
      <c r="AF1" s="179"/>
      <c r="AG1" s="179"/>
      <c r="AH1" s="179"/>
      <c r="AI1" s="179"/>
      <c r="AJ1" s="179"/>
      <c r="AK1" s="179"/>
      <c r="AL1" s="179"/>
      <c r="AM1" s="179"/>
      <c r="AN1" s="179"/>
      <c r="AO1" s="180"/>
      <c r="AP1" s="101" t="s">
        <v>41</v>
      </c>
      <c r="AQ1" s="102"/>
      <c r="AR1" s="102"/>
      <c r="AS1" s="103"/>
      <c r="AT1" s="101" t="s">
        <v>42</v>
      </c>
      <c r="AU1" s="102"/>
      <c r="AV1" s="102"/>
      <c r="AW1" s="102"/>
      <c r="AX1" s="103"/>
      <c r="AY1" s="101" t="s">
        <v>43</v>
      </c>
      <c r="AZ1" s="102"/>
      <c r="BA1" s="102"/>
      <c r="BB1" s="103"/>
      <c r="BC1" s="101" t="s">
        <v>44</v>
      </c>
      <c r="BD1" s="102"/>
      <c r="BE1" s="102"/>
      <c r="BF1" s="102"/>
      <c r="BG1" s="103"/>
      <c r="BH1" s="101" t="s">
        <v>45</v>
      </c>
      <c r="BI1" s="102"/>
      <c r="BJ1" s="102"/>
      <c r="BK1" s="103"/>
    </row>
    <row r="2" spans="1:63" ht="15" customHeight="1" x14ac:dyDescent="0.25">
      <c r="A2" s="169" t="str">
        <f>IF(表紙!A2="","",表紙!A2)</f>
        <v>POSサーバー</v>
      </c>
      <c r="B2" s="170"/>
      <c r="C2" s="170"/>
      <c r="D2" s="170"/>
      <c r="E2" s="170"/>
      <c r="F2" s="170"/>
      <c r="G2" s="170"/>
      <c r="H2" s="170"/>
      <c r="I2" s="170"/>
      <c r="J2" s="171"/>
      <c r="K2" s="169" t="str">
        <f>IF(表紙!K2="","",表紙!K2)</f>
        <v>POSサーバ</v>
      </c>
      <c r="L2" s="170"/>
      <c r="M2" s="170"/>
      <c r="N2" s="170"/>
      <c r="O2" s="170"/>
      <c r="P2" s="170"/>
      <c r="Q2" s="170"/>
      <c r="R2" s="170"/>
      <c r="S2" s="170"/>
      <c r="T2" s="170"/>
      <c r="U2" s="170"/>
      <c r="V2" s="171"/>
      <c r="W2" s="181"/>
      <c r="X2" s="182"/>
      <c r="Y2" s="182"/>
      <c r="Z2" s="182"/>
      <c r="AA2" s="182"/>
      <c r="AB2" s="182"/>
      <c r="AC2" s="182"/>
      <c r="AD2" s="182"/>
      <c r="AE2" s="182"/>
      <c r="AF2" s="182"/>
      <c r="AG2" s="182"/>
      <c r="AH2" s="182"/>
      <c r="AI2" s="182"/>
      <c r="AJ2" s="182"/>
      <c r="AK2" s="182"/>
      <c r="AL2" s="182"/>
      <c r="AM2" s="182"/>
      <c r="AN2" s="182"/>
      <c r="AO2" s="183"/>
      <c r="AP2" s="86" t="str">
        <f>IF(表紙!AP2="","",表紙!AP2)</f>
        <v>LoiLV</v>
      </c>
      <c r="AQ2" s="87"/>
      <c r="AR2" s="87"/>
      <c r="AS2" s="88"/>
      <c r="AT2" s="116">
        <f>IF(表紙!AT2="","",表紙!AT2)</f>
        <v>45468</v>
      </c>
      <c r="AU2" s="117"/>
      <c r="AV2" s="117"/>
      <c r="AW2" s="117"/>
      <c r="AX2" s="118"/>
      <c r="AY2" s="86" t="str">
        <f>IF(表紙!AY2="","",表紙!AY2)</f>
        <v>AnhDD</v>
      </c>
      <c r="AZ2" s="87"/>
      <c r="BA2" s="87"/>
      <c r="BB2" s="88"/>
      <c r="BC2" s="116">
        <f>IF(表紙!BC2="","",表紙!BC2)</f>
        <v>45515</v>
      </c>
      <c r="BD2" s="117"/>
      <c r="BE2" s="117"/>
      <c r="BF2" s="117"/>
      <c r="BG2" s="118"/>
      <c r="BH2" s="86">
        <f>IF(表紙!BH2="","",表紙!BH2)</f>
        <v>0.12</v>
      </c>
      <c r="BI2" s="87"/>
      <c r="BJ2" s="87"/>
      <c r="BK2" s="88"/>
    </row>
    <row r="3" spans="1:63" ht="15" customHeight="1" x14ac:dyDescent="0.25">
      <c r="A3" s="172"/>
      <c r="B3" s="173"/>
      <c r="C3" s="173"/>
      <c r="D3" s="173"/>
      <c r="E3" s="173"/>
      <c r="F3" s="173"/>
      <c r="G3" s="173"/>
      <c r="H3" s="173"/>
      <c r="I3" s="173"/>
      <c r="J3" s="174"/>
      <c r="K3" s="172"/>
      <c r="L3" s="173"/>
      <c r="M3" s="173"/>
      <c r="N3" s="173"/>
      <c r="O3" s="173"/>
      <c r="P3" s="173"/>
      <c r="Q3" s="173"/>
      <c r="R3" s="173"/>
      <c r="S3" s="173"/>
      <c r="T3" s="173"/>
      <c r="U3" s="173"/>
      <c r="V3" s="174"/>
      <c r="W3" s="184"/>
      <c r="X3" s="185"/>
      <c r="Y3" s="185"/>
      <c r="Z3" s="185"/>
      <c r="AA3" s="185"/>
      <c r="AB3" s="185"/>
      <c r="AC3" s="185"/>
      <c r="AD3" s="185"/>
      <c r="AE3" s="185"/>
      <c r="AF3" s="185"/>
      <c r="AG3" s="185"/>
      <c r="AH3" s="185"/>
      <c r="AI3" s="185"/>
      <c r="AJ3" s="185"/>
      <c r="AK3" s="185"/>
      <c r="AL3" s="185"/>
      <c r="AM3" s="185"/>
      <c r="AN3" s="185"/>
      <c r="AO3" s="186"/>
      <c r="AP3" s="92"/>
      <c r="AQ3" s="93"/>
      <c r="AR3" s="93"/>
      <c r="AS3" s="94"/>
      <c r="AT3" s="119"/>
      <c r="AU3" s="120"/>
      <c r="AV3" s="120"/>
      <c r="AW3" s="120"/>
      <c r="AX3" s="121"/>
      <c r="AY3" s="92"/>
      <c r="AZ3" s="93"/>
      <c r="BA3" s="93"/>
      <c r="BB3" s="94"/>
      <c r="BC3" s="119"/>
      <c r="BD3" s="120"/>
      <c r="BE3" s="120"/>
      <c r="BF3" s="120"/>
      <c r="BG3" s="121"/>
      <c r="BH3" s="92"/>
      <c r="BI3" s="93"/>
      <c r="BJ3" s="93"/>
      <c r="BK3" s="94"/>
    </row>
    <row r="4" spans="1:63" ht="24.95" customHeight="1" x14ac:dyDescent="0.25">
      <c r="A4" s="175" t="s">
        <v>47</v>
      </c>
      <c r="B4" s="176"/>
      <c r="C4" s="176"/>
      <c r="D4" s="176"/>
      <c r="E4" s="176"/>
      <c r="F4" s="176"/>
      <c r="G4" s="177"/>
      <c r="H4" s="187" t="str">
        <f>IF(表紙!H4="","",表紙!H4)</f>
        <v>APX002</v>
      </c>
      <c r="I4" s="188"/>
      <c r="J4" s="188"/>
      <c r="K4" s="188"/>
      <c r="L4" s="188"/>
      <c r="M4" s="188"/>
      <c r="N4" s="188"/>
      <c r="O4" s="188"/>
      <c r="P4" s="188"/>
      <c r="Q4" s="188"/>
      <c r="R4" s="188"/>
      <c r="S4" s="188"/>
      <c r="T4" s="189"/>
      <c r="U4" s="175" t="s">
        <v>48</v>
      </c>
      <c r="V4" s="176"/>
      <c r="W4" s="176"/>
      <c r="X4" s="176"/>
      <c r="Y4" s="177"/>
      <c r="Z4" s="187" t="str">
        <f>IF(表紙!Z4="","",表紙!Z4)</f>
        <v>API設計書</v>
      </c>
      <c r="AA4" s="188"/>
      <c r="AB4" s="188"/>
      <c r="AC4" s="188"/>
      <c r="AD4" s="188"/>
      <c r="AE4" s="188"/>
      <c r="AF4" s="188"/>
      <c r="AG4" s="188"/>
      <c r="AH4" s="188"/>
      <c r="AI4" s="188"/>
      <c r="AJ4" s="188"/>
      <c r="AK4" s="188"/>
      <c r="AL4" s="188"/>
      <c r="AM4" s="188"/>
      <c r="AN4" s="188"/>
      <c r="AO4" s="189"/>
      <c r="AP4" s="190" t="str">
        <f ca="1">MID(CELL("filename",A1),FIND("]",CELL("filename",A1))+1,255)</f>
        <v>処理フロー凡例</v>
      </c>
      <c r="AQ4" s="188"/>
      <c r="AR4" s="188"/>
      <c r="AS4" s="188"/>
      <c r="AT4" s="188"/>
      <c r="AU4" s="188"/>
      <c r="AV4" s="188"/>
      <c r="AW4" s="188"/>
      <c r="AX4" s="188"/>
      <c r="AY4" s="188"/>
      <c r="AZ4" s="188"/>
      <c r="BA4" s="188"/>
      <c r="BB4" s="188"/>
      <c r="BC4" s="188"/>
      <c r="BD4" s="188"/>
      <c r="BE4" s="188"/>
      <c r="BF4" s="188"/>
      <c r="BG4" s="188"/>
      <c r="BH4" s="188"/>
      <c r="BI4" s="188"/>
      <c r="BJ4" s="188"/>
      <c r="BK4" s="189"/>
    </row>
    <row r="5" spans="1:63" ht="5.0999999999999996" customHeight="1" x14ac:dyDescent="0.25">
      <c r="A5" s="2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4"/>
    </row>
    <row r="6" spans="1:63" ht="15" customHeight="1" x14ac:dyDescent="0.25">
      <c r="A6" s="6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8"/>
    </row>
    <row r="7" spans="1:63" s="55" customFormat="1" ht="15" customHeight="1" x14ac:dyDescent="0.25">
      <c r="A7" s="71"/>
      <c r="B7" s="72" t="s">
        <v>58</v>
      </c>
      <c r="C7" s="73"/>
      <c r="D7" s="73"/>
      <c r="E7" s="73"/>
      <c r="F7" s="73"/>
      <c r="G7" s="73"/>
      <c r="H7" s="73"/>
      <c r="I7" s="73"/>
      <c r="J7" s="73"/>
      <c r="K7" s="73"/>
      <c r="L7" s="73"/>
      <c r="M7" s="73"/>
      <c r="N7" s="73"/>
      <c r="O7" s="73"/>
      <c r="P7" s="73"/>
      <c r="Q7" s="73"/>
      <c r="R7" s="73"/>
      <c r="S7" s="73"/>
      <c r="T7" s="73"/>
      <c r="U7" s="73"/>
      <c r="V7" s="73"/>
      <c r="W7" s="73"/>
      <c r="X7" s="73"/>
      <c r="Y7" s="73"/>
      <c r="Z7" s="73"/>
      <c r="AA7" s="73"/>
      <c r="AB7" s="73"/>
      <c r="AC7" s="73"/>
      <c r="AD7" s="73"/>
      <c r="AE7" s="74"/>
      <c r="AF7" s="75"/>
      <c r="AG7" s="73"/>
      <c r="AH7" s="73"/>
      <c r="AI7" s="73"/>
      <c r="AJ7" s="73"/>
      <c r="AK7" s="73"/>
      <c r="AL7" s="73"/>
      <c r="AM7" s="73"/>
      <c r="AN7" s="73"/>
      <c r="AO7" s="73"/>
      <c r="AP7" s="73"/>
      <c r="AQ7" s="73"/>
      <c r="AR7" s="73"/>
      <c r="AS7" s="73"/>
      <c r="AT7" s="73"/>
      <c r="AU7" s="73"/>
      <c r="AV7" s="73"/>
      <c r="AW7" s="73"/>
      <c r="AX7" s="73"/>
      <c r="AY7" s="73"/>
      <c r="AZ7" s="73"/>
      <c r="BA7" s="73"/>
      <c r="BB7" s="73"/>
      <c r="BC7" s="73"/>
      <c r="BD7" s="73"/>
      <c r="BE7" s="73"/>
      <c r="BF7" s="73"/>
      <c r="BG7" s="73"/>
      <c r="BH7" s="73"/>
      <c r="BI7" s="74"/>
      <c r="BJ7" s="73"/>
      <c r="BK7" s="76"/>
    </row>
    <row r="8" spans="1:63" s="77" customFormat="1" ht="15" customHeight="1" x14ac:dyDescent="0.25">
      <c r="BK8" s="76"/>
    </row>
    <row r="9" spans="1:63" s="77" customFormat="1" ht="15" customHeight="1" x14ac:dyDescent="0.25">
      <c r="BK9" s="76"/>
    </row>
    <row r="10" spans="1:63" s="77" customFormat="1" ht="15" customHeight="1" x14ac:dyDescent="0.25">
      <c r="BK10" s="76"/>
    </row>
    <row r="11" spans="1:63" s="77" customFormat="1" ht="15" customHeight="1" x14ac:dyDescent="0.25">
      <c r="BK11" s="76"/>
    </row>
    <row r="12" spans="1:63" s="77" customFormat="1" ht="15" customHeight="1" x14ac:dyDescent="0.25">
      <c r="BK12" s="76"/>
    </row>
    <row r="13" spans="1:63" s="77" customFormat="1" ht="15" customHeight="1" x14ac:dyDescent="0.25">
      <c r="BK13" s="76"/>
    </row>
    <row r="14" spans="1:63" s="77" customFormat="1" ht="15" customHeight="1" x14ac:dyDescent="0.25">
      <c r="BK14" s="76"/>
    </row>
    <row r="15" spans="1:63" s="77" customFormat="1" ht="15" customHeight="1" x14ac:dyDescent="0.25">
      <c r="BK15" s="76"/>
    </row>
    <row r="16" spans="1:63" s="77" customFormat="1" ht="15" customHeight="1" x14ac:dyDescent="0.25">
      <c r="BK16" s="76"/>
    </row>
    <row r="17" spans="63:63" s="77" customFormat="1" ht="15" customHeight="1" x14ac:dyDescent="0.25">
      <c r="BK17" s="76"/>
    </row>
    <row r="18" spans="63:63" s="77" customFormat="1" ht="15" customHeight="1" x14ac:dyDescent="0.25">
      <c r="BK18" s="76"/>
    </row>
    <row r="19" spans="63:63" s="77" customFormat="1" ht="15" customHeight="1" x14ac:dyDescent="0.25">
      <c r="BK19" s="76"/>
    </row>
    <row r="20" spans="63:63" s="77" customFormat="1" ht="15" customHeight="1" x14ac:dyDescent="0.25">
      <c r="BK20" s="76"/>
    </row>
    <row r="21" spans="63:63" s="77" customFormat="1" ht="15" customHeight="1" x14ac:dyDescent="0.25">
      <c r="BK21" s="76"/>
    </row>
    <row r="22" spans="63:63" s="77" customFormat="1" ht="15" customHeight="1" x14ac:dyDescent="0.25">
      <c r="BK22" s="76"/>
    </row>
    <row r="23" spans="63:63" s="77" customFormat="1" ht="15" customHeight="1" x14ac:dyDescent="0.25">
      <c r="BK23" s="76"/>
    </row>
    <row r="24" spans="63:63" s="77" customFormat="1" ht="15" customHeight="1" x14ac:dyDescent="0.25">
      <c r="BK24" s="76"/>
    </row>
    <row r="25" spans="63:63" s="77" customFormat="1" ht="15" customHeight="1" x14ac:dyDescent="0.25">
      <c r="BK25" s="76"/>
    </row>
    <row r="26" spans="63:63" s="77" customFormat="1" ht="15" customHeight="1" x14ac:dyDescent="0.25">
      <c r="BK26" s="76"/>
    </row>
    <row r="27" spans="63:63" s="77" customFormat="1" ht="15" customHeight="1" x14ac:dyDescent="0.25">
      <c r="BK27" s="76"/>
    </row>
    <row r="28" spans="63:63" s="77" customFormat="1" ht="15" customHeight="1" x14ac:dyDescent="0.25">
      <c r="BK28" s="76"/>
    </row>
    <row r="29" spans="63:63" s="77" customFormat="1" ht="15" customHeight="1" x14ac:dyDescent="0.25">
      <c r="BK29" s="76"/>
    </row>
    <row r="30" spans="63:63" s="77" customFormat="1" ht="15" customHeight="1" x14ac:dyDescent="0.25">
      <c r="BK30" s="76"/>
    </row>
    <row r="31" spans="63:63" s="77" customFormat="1" ht="15" customHeight="1" x14ac:dyDescent="0.25">
      <c r="BK31" s="76"/>
    </row>
    <row r="32" spans="63:63" s="77" customFormat="1" ht="15" customHeight="1" x14ac:dyDescent="0.25">
      <c r="BK32" s="76"/>
    </row>
    <row r="33" spans="63:63" s="77" customFormat="1" ht="15" customHeight="1" x14ac:dyDescent="0.25">
      <c r="BK33" s="76"/>
    </row>
    <row r="34" spans="63:63" s="77" customFormat="1" ht="15" customHeight="1" x14ac:dyDescent="0.25">
      <c r="BK34" s="76"/>
    </row>
    <row r="35" spans="63:63" s="77" customFormat="1" ht="15" customHeight="1" x14ac:dyDescent="0.25">
      <c r="BK35" s="76"/>
    </row>
    <row r="36" spans="63:63" s="77" customFormat="1" ht="15" customHeight="1" x14ac:dyDescent="0.25">
      <c r="BK36" s="76"/>
    </row>
    <row r="37" spans="63:63" s="77" customFormat="1" ht="15" customHeight="1" x14ac:dyDescent="0.25">
      <c r="BK37" s="76"/>
    </row>
    <row r="38" spans="63:63" s="77" customFormat="1" ht="15" customHeight="1" x14ac:dyDescent="0.25">
      <c r="BK38" s="76"/>
    </row>
    <row r="39" spans="63:63" s="77" customFormat="1" ht="15" customHeight="1" x14ac:dyDescent="0.25">
      <c r="BK39" s="76"/>
    </row>
    <row r="40" spans="63:63" s="77" customFormat="1" ht="15" customHeight="1" x14ac:dyDescent="0.25">
      <c r="BK40" s="76"/>
    </row>
    <row r="41" spans="63:63" s="77" customFormat="1" ht="15" customHeight="1" x14ac:dyDescent="0.25">
      <c r="BK41" s="76"/>
    </row>
    <row r="42" spans="63:63" s="77" customFormat="1" ht="15" customHeight="1" x14ac:dyDescent="0.25">
      <c r="BK42" s="76"/>
    </row>
    <row r="43" spans="63:63" s="77" customFormat="1" ht="15" customHeight="1" x14ac:dyDescent="0.25">
      <c r="BK43" s="76"/>
    </row>
    <row r="44" spans="63:63" s="77" customFormat="1" ht="15" customHeight="1" x14ac:dyDescent="0.25">
      <c r="BK44" s="76"/>
    </row>
    <row r="45" spans="63:63" s="77" customFormat="1" ht="15" customHeight="1" x14ac:dyDescent="0.25">
      <c r="BK45" s="76"/>
    </row>
    <row r="46" spans="63:63" s="77" customFormat="1" ht="15" customHeight="1" x14ac:dyDescent="0.25">
      <c r="BK46" s="76"/>
    </row>
    <row r="47" spans="63:63" ht="15" customHeight="1" x14ac:dyDescent="0.25">
      <c r="BK47" s="5"/>
    </row>
    <row r="48" spans="63:63" ht="15" customHeight="1" x14ac:dyDescent="0.25">
      <c r="BK48" s="5"/>
    </row>
    <row r="49" spans="1:63" ht="15" customHeight="1" x14ac:dyDescent="0.25">
      <c r="BK49" s="5"/>
    </row>
    <row r="50" spans="1:63" ht="15" customHeight="1" x14ac:dyDescent="0.25">
      <c r="BK50" s="5"/>
    </row>
    <row r="51" spans="1:63" ht="15" customHeight="1" x14ac:dyDescent="0.25">
      <c r="BK51" s="5"/>
    </row>
    <row r="52" spans="1:63" ht="15" customHeight="1" x14ac:dyDescent="0.25">
      <c r="BK52" s="5"/>
    </row>
    <row r="53" spans="1:63" ht="15" customHeight="1" x14ac:dyDescent="0.25">
      <c r="BK53" s="5"/>
    </row>
    <row r="54" spans="1:63" ht="15" customHeight="1" x14ac:dyDescent="0.25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4"/>
    </row>
  </sheetData>
  <mergeCells count="20">
    <mergeCell ref="A4:G4"/>
    <mergeCell ref="H4:T4"/>
    <mergeCell ref="U4:Y4"/>
    <mergeCell ref="Z4:AO4"/>
    <mergeCell ref="AP4:BK4"/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</mergeCells>
  <pageMargins left="0.7" right="0.7" top="0.75" bottom="0.75" header="0.3" footer="0.3"/>
  <pageSetup scale="42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0A079-460B-422D-A1ED-1E0DF9A4D6BF}">
  <sheetPr>
    <tabColor rgb="FFFF0000"/>
    <pageSetUpPr fitToPage="1"/>
  </sheetPr>
  <dimension ref="A1:BK82"/>
  <sheetViews>
    <sheetView view="pageBreakPreview" zoomScale="85" zoomScaleNormal="100" zoomScaleSheetLayoutView="85" zoomScalePageLayoutView="70" workbookViewId="0">
      <selection sqref="A1:J1"/>
    </sheetView>
  </sheetViews>
  <sheetFormatPr defaultColWidth="10.109375" defaultRowHeight="15.75" x14ac:dyDescent="0.25"/>
  <cols>
    <col min="1" max="42" width="2.77734375" style="1" customWidth="1"/>
    <col min="43" max="62" width="4.109375" style="1" customWidth="1"/>
    <col min="63" max="63" width="2.77734375" style="1" customWidth="1"/>
    <col min="64" max="16384" width="10.109375" style="1"/>
  </cols>
  <sheetData>
    <row r="1" spans="1:63" ht="24.95" customHeight="1" x14ac:dyDescent="0.25">
      <c r="A1" s="175" t="s">
        <v>38</v>
      </c>
      <c r="B1" s="176"/>
      <c r="C1" s="176"/>
      <c r="D1" s="176"/>
      <c r="E1" s="176"/>
      <c r="F1" s="176"/>
      <c r="G1" s="176"/>
      <c r="H1" s="176"/>
      <c r="I1" s="176"/>
      <c r="J1" s="177"/>
      <c r="K1" s="175" t="s">
        <v>39</v>
      </c>
      <c r="L1" s="176"/>
      <c r="M1" s="176"/>
      <c r="N1" s="176"/>
      <c r="O1" s="176"/>
      <c r="P1" s="176"/>
      <c r="Q1" s="176"/>
      <c r="R1" s="176"/>
      <c r="S1" s="176"/>
      <c r="T1" s="176"/>
      <c r="U1" s="176"/>
      <c r="V1" s="177"/>
      <c r="W1" s="178" t="str">
        <f>IF(表紙!W1="","",表紙!W1)</f>
        <v>詳細設計書</v>
      </c>
      <c r="X1" s="179"/>
      <c r="Y1" s="179"/>
      <c r="Z1" s="179"/>
      <c r="AA1" s="179"/>
      <c r="AB1" s="179"/>
      <c r="AC1" s="179"/>
      <c r="AD1" s="179"/>
      <c r="AE1" s="179"/>
      <c r="AF1" s="179"/>
      <c r="AG1" s="179"/>
      <c r="AH1" s="179"/>
      <c r="AI1" s="179"/>
      <c r="AJ1" s="179"/>
      <c r="AK1" s="179"/>
      <c r="AL1" s="179"/>
      <c r="AM1" s="179"/>
      <c r="AN1" s="179"/>
      <c r="AO1" s="180"/>
      <c r="AP1" s="101" t="s">
        <v>41</v>
      </c>
      <c r="AQ1" s="102"/>
      <c r="AR1" s="102"/>
      <c r="AS1" s="103"/>
      <c r="AT1" s="101" t="s">
        <v>42</v>
      </c>
      <c r="AU1" s="102"/>
      <c r="AV1" s="102"/>
      <c r="AW1" s="102"/>
      <c r="AX1" s="103"/>
      <c r="AY1" s="101" t="s">
        <v>43</v>
      </c>
      <c r="AZ1" s="102"/>
      <c r="BA1" s="102"/>
      <c r="BB1" s="103"/>
      <c r="BC1" s="101" t="s">
        <v>44</v>
      </c>
      <c r="BD1" s="102"/>
      <c r="BE1" s="102"/>
      <c r="BF1" s="102"/>
      <c r="BG1" s="103"/>
      <c r="BH1" s="101" t="s">
        <v>45</v>
      </c>
      <c r="BI1" s="102"/>
      <c r="BJ1" s="102"/>
      <c r="BK1" s="103"/>
    </row>
    <row r="2" spans="1:63" ht="15" customHeight="1" x14ac:dyDescent="0.25">
      <c r="A2" s="169" t="str">
        <f>IF(表紙!A2="","",表紙!A2)</f>
        <v>POSサーバー</v>
      </c>
      <c r="B2" s="170"/>
      <c r="C2" s="170"/>
      <c r="D2" s="170"/>
      <c r="E2" s="170"/>
      <c r="F2" s="170"/>
      <c r="G2" s="170"/>
      <c r="H2" s="170"/>
      <c r="I2" s="170"/>
      <c r="J2" s="171"/>
      <c r="K2" s="169" t="str">
        <f>IF(表紙!K2="","",表紙!K2)</f>
        <v>POSサーバ</v>
      </c>
      <c r="L2" s="170"/>
      <c r="M2" s="170"/>
      <c r="N2" s="170"/>
      <c r="O2" s="170"/>
      <c r="P2" s="170"/>
      <c r="Q2" s="170"/>
      <c r="R2" s="170"/>
      <c r="S2" s="170"/>
      <c r="T2" s="170"/>
      <c r="U2" s="170"/>
      <c r="V2" s="171"/>
      <c r="W2" s="181"/>
      <c r="X2" s="182"/>
      <c r="Y2" s="182"/>
      <c r="Z2" s="182"/>
      <c r="AA2" s="182"/>
      <c r="AB2" s="182"/>
      <c r="AC2" s="182"/>
      <c r="AD2" s="182"/>
      <c r="AE2" s="182"/>
      <c r="AF2" s="182"/>
      <c r="AG2" s="182"/>
      <c r="AH2" s="182"/>
      <c r="AI2" s="182"/>
      <c r="AJ2" s="182"/>
      <c r="AK2" s="182"/>
      <c r="AL2" s="182"/>
      <c r="AM2" s="182"/>
      <c r="AN2" s="182"/>
      <c r="AO2" s="183"/>
      <c r="AP2" s="86" t="str">
        <f>IF(表紙!AP2="","",表紙!AP2)</f>
        <v>LoiLV</v>
      </c>
      <c r="AQ2" s="87"/>
      <c r="AR2" s="87"/>
      <c r="AS2" s="88"/>
      <c r="AT2" s="116">
        <f>IF(表紙!AT2="","",表紙!AT2)</f>
        <v>45468</v>
      </c>
      <c r="AU2" s="117"/>
      <c r="AV2" s="117"/>
      <c r="AW2" s="117"/>
      <c r="AX2" s="118"/>
      <c r="AY2" s="86" t="str">
        <f>IF(表紙!AY2="","",表紙!AY2)</f>
        <v>AnhDD</v>
      </c>
      <c r="AZ2" s="87"/>
      <c r="BA2" s="87"/>
      <c r="BB2" s="88"/>
      <c r="BC2" s="116">
        <f>IF(表紙!BC2="","",表紙!BC2)</f>
        <v>45515</v>
      </c>
      <c r="BD2" s="117"/>
      <c r="BE2" s="117"/>
      <c r="BF2" s="117"/>
      <c r="BG2" s="118"/>
      <c r="BH2" s="86">
        <f>IF(表紙!BH2="","",表紙!BH2)</f>
        <v>0.12</v>
      </c>
      <c r="BI2" s="87"/>
      <c r="BJ2" s="87"/>
      <c r="BK2" s="88"/>
    </row>
    <row r="3" spans="1:63" ht="15" customHeight="1" x14ac:dyDescent="0.25">
      <c r="A3" s="172"/>
      <c r="B3" s="173"/>
      <c r="C3" s="173"/>
      <c r="D3" s="173"/>
      <c r="E3" s="173"/>
      <c r="F3" s="173"/>
      <c r="G3" s="173"/>
      <c r="H3" s="173"/>
      <c r="I3" s="173"/>
      <c r="J3" s="174"/>
      <c r="K3" s="172"/>
      <c r="L3" s="173"/>
      <c r="M3" s="173"/>
      <c r="N3" s="173"/>
      <c r="O3" s="173"/>
      <c r="P3" s="173"/>
      <c r="Q3" s="173"/>
      <c r="R3" s="173"/>
      <c r="S3" s="173"/>
      <c r="T3" s="173"/>
      <c r="U3" s="173"/>
      <c r="V3" s="174"/>
      <c r="W3" s="184"/>
      <c r="X3" s="185"/>
      <c r="Y3" s="185"/>
      <c r="Z3" s="185"/>
      <c r="AA3" s="185"/>
      <c r="AB3" s="185"/>
      <c r="AC3" s="185"/>
      <c r="AD3" s="185"/>
      <c r="AE3" s="185"/>
      <c r="AF3" s="185"/>
      <c r="AG3" s="185"/>
      <c r="AH3" s="185"/>
      <c r="AI3" s="185"/>
      <c r="AJ3" s="185"/>
      <c r="AK3" s="185"/>
      <c r="AL3" s="185"/>
      <c r="AM3" s="185"/>
      <c r="AN3" s="185"/>
      <c r="AO3" s="186"/>
      <c r="AP3" s="92"/>
      <c r="AQ3" s="93"/>
      <c r="AR3" s="93"/>
      <c r="AS3" s="94"/>
      <c r="AT3" s="119"/>
      <c r="AU3" s="120"/>
      <c r="AV3" s="120"/>
      <c r="AW3" s="120"/>
      <c r="AX3" s="121"/>
      <c r="AY3" s="92"/>
      <c r="AZ3" s="93"/>
      <c r="BA3" s="93"/>
      <c r="BB3" s="94"/>
      <c r="BC3" s="119"/>
      <c r="BD3" s="120"/>
      <c r="BE3" s="120"/>
      <c r="BF3" s="120"/>
      <c r="BG3" s="121"/>
      <c r="BH3" s="92"/>
      <c r="BI3" s="93"/>
      <c r="BJ3" s="93"/>
      <c r="BK3" s="94"/>
    </row>
    <row r="4" spans="1:63" ht="24.95" customHeight="1" x14ac:dyDescent="0.25">
      <c r="A4" s="175" t="s">
        <v>47</v>
      </c>
      <c r="B4" s="176"/>
      <c r="C4" s="176"/>
      <c r="D4" s="176"/>
      <c r="E4" s="176"/>
      <c r="F4" s="176"/>
      <c r="G4" s="177"/>
      <c r="H4" s="187" t="str">
        <f>IF(表紙!H4="","",表紙!H4)</f>
        <v>APX002</v>
      </c>
      <c r="I4" s="188"/>
      <c r="J4" s="188"/>
      <c r="K4" s="188"/>
      <c r="L4" s="188"/>
      <c r="M4" s="188"/>
      <c r="N4" s="188"/>
      <c r="O4" s="188"/>
      <c r="P4" s="188"/>
      <c r="Q4" s="188"/>
      <c r="R4" s="188"/>
      <c r="S4" s="188"/>
      <c r="T4" s="189"/>
      <c r="U4" s="175" t="s">
        <v>48</v>
      </c>
      <c r="V4" s="176"/>
      <c r="W4" s="176"/>
      <c r="X4" s="176"/>
      <c r="Y4" s="177"/>
      <c r="Z4" s="187" t="str">
        <f>IF(表紙!Z4="","",表紙!Z4)</f>
        <v>API設計書</v>
      </c>
      <c r="AA4" s="188"/>
      <c r="AB4" s="188"/>
      <c r="AC4" s="188"/>
      <c r="AD4" s="188"/>
      <c r="AE4" s="188"/>
      <c r="AF4" s="188"/>
      <c r="AG4" s="188"/>
      <c r="AH4" s="188"/>
      <c r="AI4" s="188"/>
      <c r="AJ4" s="188"/>
      <c r="AK4" s="188"/>
      <c r="AL4" s="188"/>
      <c r="AM4" s="188"/>
      <c r="AN4" s="188"/>
      <c r="AO4" s="189"/>
      <c r="AP4" s="190" t="str">
        <f ca="1">MID(CELL("filename",A1),FIND("]",CELL("filename",A1))+1,255)</f>
        <v>APX002</v>
      </c>
      <c r="AQ4" s="188"/>
      <c r="AR4" s="188"/>
      <c r="AS4" s="188"/>
      <c r="AT4" s="188"/>
      <c r="AU4" s="188"/>
      <c r="AV4" s="188"/>
      <c r="AW4" s="188"/>
      <c r="AX4" s="188"/>
      <c r="AY4" s="188"/>
      <c r="AZ4" s="188"/>
      <c r="BA4" s="188"/>
      <c r="BB4" s="188"/>
      <c r="BC4" s="188"/>
      <c r="BD4" s="188"/>
      <c r="BE4" s="188"/>
      <c r="BF4" s="188"/>
      <c r="BG4" s="188"/>
      <c r="BH4" s="188"/>
      <c r="BI4" s="188"/>
      <c r="BJ4" s="188"/>
      <c r="BK4" s="189"/>
    </row>
    <row r="5" spans="1:63" ht="5.0999999999999996" customHeight="1" x14ac:dyDescent="0.25">
      <c r="A5" s="2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4"/>
    </row>
    <row r="6" spans="1:63" ht="15" customHeight="1" x14ac:dyDescent="0.25">
      <c r="A6" s="6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8"/>
    </row>
    <row r="7" spans="1:63" s="18" customFormat="1" ht="15" customHeight="1" x14ac:dyDescent="0.25">
      <c r="A7" s="13"/>
      <c r="B7" s="14" t="s">
        <v>59</v>
      </c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5"/>
      <c r="AH7" s="15"/>
      <c r="AI7" s="15"/>
      <c r="AJ7" s="15"/>
      <c r="AK7" s="15"/>
      <c r="AL7" s="15"/>
      <c r="AM7" s="15"/>
      <c r="AN7" s="15"/>
      <c r="AO7" s="15"/>
      <c r="AP7" s="78"/>
      <c r="AQ7" s="78"/>
      <c r="AR7" s="78"/>
      <c r="AS7" s="78"/>
      <c r="AT7" s="15"/>
      <c r="AU7" s="15"/>
      <c r="AV7" s="15"/>
      <c r="AW7" s="15"/>
      <c r="AX7" s="15"/>
      <c r="AY7" s="15"/>
      <c r="AZ7" s="15"/>
      <c r="BA7" s="15"/>
      <c r="BB7" s="15"/>
      <c r="BC7" s="15"/>
      <c r="BD7" s="15"/>
      <c r="BE7" s="15"/>
      <c r="BF7" s="15"/>
      <c r="BG7" s="15"/>
      <c r="BH7" s="16"/>
      <c r="BI7" s="16"/>
      <c r="BJ7" s="16"/>
      <c r="BK7" s="17"/>
    </row>
    <row r="8" spans="1:63" s="18" customFormat="1" ht="15" customHeight="1" x14ac:dyDescent="0.25">
      <c r="A8" s="13"/>
      <c r="B8" s="19"/>
      <c r="C8" s="41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79"/>
      <c r="AQ8" s="79"/>
      <c r="AR8" s="79"/>
      <c r="AS8" s="79"/>
      <c r="AT8" s="20"/>
      <c r="AU8" s="20"/>
      <c r="AV8" s="20"/>
      <c r="AW8" s="20"/>
      <c r="AX8" s="20"/>
      <c r="AY8" s="20"/>
      <c r="AZ8" s="20"/>
      <c r="BA8" s="20"/>
      <c r="BB8" s="20"/>
      <c r="BC8" s="20"/>
      <c r="BD8" s="20"/>
      <c r="BE8" s="20"/>
      <c r="BF8" s="20"/>
      <c r="BG8" s="20"/>
      <c r="BH8" s="21"/>
      <c r="BI8" s="21"/>
      <c r="BJ8" s="21"/>
      <c r="BK8" s="17"/>
    </row>
    <row r="9" spans="1:63" s="18" customFormat="1" ht="15" customHeight="1" x14ac:dyDescent="0.25">
      <c r="A9" s="13"/>
      <c r="B9" s="19"/>
      <c r="C9" s="20" t="s">
        <v>32</v>
      </c>
      <c r="D9" s="20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79"/>
      <c r="AQ9" s="79"/>
      <c r="AR9" s="79"/>
      <c r="AS9" s="79"/>
      <c r="AT9" s="20"/>
      <c r="AU9" s="20"/>
      <c r="AV9" s="20"/>
      <c r="AW9" s="20"/>
      <c r="AX9" s="20"/>
      <c r="AY9" s="20"/>
      <c r="AZ9" s="20"/>
      <c r="BA9" s="20"/>
      <c r="BB9" s="20"/>
      <c r="BC9" s="20"/>
      <c r="BD9" s="20"/>
      <c r="BE9" s="20"/>
      <c r="BF9" s="20"/>
      <c r="BG9" s="20"/>
      <c r="BH9" s="21"/>
      <c r="BI9" s="21"/>
      <c r="BJ9" s="21"/>
      <c r="BK9" s="17"/>
    </row>
    <row r="10" spans="1:63" s="18" customFormat="1" ht="15" customHeight="1" x14ac:dyDescent="0.25">
      <c r="A10" s="13"/>
      <c r="B10" s="20"/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79"/>
      <c r="AQ10" s="79"/>
      <c r="AR10" s="79"/>
      <c r="AS10" s="79"/>
      <c r="AT10" s="20"/>
      <c r="AU10" s="20"/>
      <c r="AV10" s="20"/>
      <c r="AW10" s="20"/>
      <c r="AX10" s="20"/>
      <c r="AY10" s="20"/>
      <c r="AZ10" s="20"/>
      <c r="BA10" s="20"/>
      <c r="BB10" s="20"/>
      <c r="BC10" s="20"/>
      <c r="BD10" s="20"/>
      <c r="BE10" s="20"/>
      <c r="BF10" s="20"/>
      <c r="BG10" s="20"/>
      <c r="BH10" s="21"/>
      <c r="BI10" s="21"/>
      <c r="BJ10" s="21"/>
      <c r="BK10" s="17"/>
    </row>
    <row r="11" spans="1:63" s="18" customFormat="1" ht="15" customHeight="1" x14ac:dyDescent="0.25">
      <c r="A11" s="13"/>
      <c r="B11" s="22" t="s">
        <v>60</v>
      </c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/>
      <c r="AL11" s="15"/>
      <c r="AM11" s="15"/>
      <c r="AN11" s="15"/>
      <c r="AO11" s="15"/>
      <c r="AP11" s="15"/>
      <c r="AQ11" s="15"/>
      <c r="AR11" s="15"/>
      <c r="AS11" s="15"/>
      <c r="AT11" s="15"/>
      <c r="AU11" s="15"/>
      <c r="AV11" s="15"/>
      <c r="AW11" s="15"/>
      <c r="AX11" s="15"/>
      <c r="AY11" s="15"/>
      <c r="AZ11" s="15"/>
      <c r="BA11" s="15"/>
      <c r="BB11" s="15"/>
      <c r="BC11" s="15"/>
      <c r="BD11" s="15"/>
      <c r="BE11" s="15"/>
      <c r="BF11" s="15"/>
      <c r="BG11" s="15"/>
      <c r="BH11" s="16"/>
      <c r="BI11" s="16"/>
      <c r="BJ11" s="16"/>
      <c r="BK11" s="17"/>
    </row>
    <row r="12" spans="1:63" s="18" customFormat="1" ht="15" customHeight="1" x14ac:dyDescent="0.25">
      <c r="A12" s="13"/>
      <c r="B12" s="20"/>
      <c r="C12" s="23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  <c r="AY12" s="20"/>
      <c r="AZ12" s="20"/>
      <c r="BA12" s="20"/>
      <c r="BB12" s="20"/>
      <c r="BC12" s="20"/>
      <c r="BD12" s="20"/>
      <c r="BE12" s="20"/>
      <c r="BF12" s="20"/>
      <c r="BG12" s="20"/>
      <c r="BH12" s="21"/>
      <c r="BI12" s="21"/>
      <c r="BJ12" s="21"/>
      <c r="BK12" s="17"/>
    </row>
    <row r="13" spans="1:63" s="18" customFormat="1" ht="15" customHeight="1" x14ac:dyDescent="0.25">
      <c r="A13" s="13"/>
      <c r="B13" s="20"/>
      <c r="C13" s="23" t="s">
        <v>61</v>
      </c>
      <c r="D13" s="20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  <c r="AY13" s="20"/>
      <c r="AZ13" s="20"/>
      <c r="BA13" s="20"/>
      <c r="BB13" s="20"/>
      <c r="BC13" s="20"/>
      <c r="BD13" s="20"/>
      <c r="BE13" s="20"/>
      <c r="BF13" s="20"/>
      <c r="BG13" s="20"/>
      <c r="BH13" s="21"/>
      <c r="BI13" s="21"/>
      <c r="BJ13" s="21"/>
      <c r="BK13" s="17"/>
    </row>
    <row r="14" spans="1:63" s="18" customFormat="1" ht="15" customHeight="1" x14ac:dyDescent="0.25">
      <c r="A14" s="13"/>
      <c r="B14" s="20"/>
      <c r="C14" s="19"/>
      <c r="D14" s="20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  <c r="AY14" s="20"/>
      <c r="AZ14" s="20"/>
      <c r="BA14" s="20"/>
      <c r="BB14" s="20"/>
      <c r="BC14" s="20"/>
      <c r="BD14" s="20"/>
      <c r="BE14" s="20"/>
      <c r="BF14" s="20"/>
      <c r="BG14" s="20"/>
      <c r="BH14" s="21"/>
      <c r="BI14" s="21"/>
      <c r="BJ14" s="21"/>
      <c r="BK14" s="17"/>
    </row>
    <row r="15" spans="1:63" s="18" customFormat="1" ht="15" customHeight="1" x14ac:dyDescent="0.25">
      <c r="A15" s="13"/>
      <c r="B15" s="20"/>
      <c r="C15" s="194" t="s">
        <v>12</v>
      </c>
      <c r="D15" s="195"/>
      <c r="E15" s="194" t="s">
        <v>13</v>
      </c>
      <c r="F15" s="196"/>
      <c r="G15" s="196"/>
      <c r="H15" s="196"/>
      <c r="I15" s="196"/>
      <c r="J15" s="196"/>
      <c r="K15" s="196"/>
      <c r="L15" s="196"/>
      <c r="M15" s="196"/>
      <c r="N15" s="196"/>
      <c r="O15" s="196"/>
      <c r="P15" s="196"/>
      <c r="Q15" s="196"/>
      <c r="R15" s="196"/>
      <c r="S15" s="196"/>
      <c r="T15" s="196"/>
      <c r="U15" s="196"/>
      <c r="V15" s="196"/>
      <c r="W15" s="196"/>
      <c r="X15" s="196"/>
      <c r="Y15" s="196"/>
      <c r="Z15" s="196"/>
      <c r="AA15" s="196"/>
      <c r="AB15" s="196"/>
      <c r="AC15" s="196"/>
      <c r="AD15" s="196"/>
      <c r="AE15" s="196"/>
      <c r="AF15" s="195"/>
      <c r="AG15" s="194" t="s">
        <v>14</v>
      </c>
      <c r="AH15" s="196"/>
      <c r="AI15" s="196"/>
      <c r="AJ15" s="196"/>
      <c r="AK15" s="196"/>
      <c r="AL15" s="196"/>
      <c r="AM15" s="196"/>
      <c r="AN15" s="196"/>
      <c r="AO15" s="196"/>
      <c r="AP15" s="195"/>
      <c r="AQ15" s="194" t="s">
        <v>15</v>
      </c>
      <c r="AR15" s="196"/>
      <c r="AS15" s="196"/>
      <c r="AT15" s="196"/>
      <c r="AU15" s="196"/>
      <c r="AV15" s="196"/>
      <c r="AW15" s="196"/>
      <c r="AX15" s="196"/>
      <c r="AY15" s="196"/>
      <c r="AZ15" s="196"/>
      <c r="BA15" s="196"/>
      <c r="BB15" s="196"/>
      <c r="BC15" s="196"/>
      <c r="BD15" s="196"/>
      <c r="BE15" s="196"/>
      <c r="BF15" s="196"/>
      <c r="BG15" s="196"/>
      <c r="BH15" s="196"/>
      <c r="BI15" s="196"/>
      <c r="BJ15" s="195"/>
      <c r="BK15" s="17"/>
    </row>
    <row r="16" spans="1:63" s="18" customFormat="1" ht="15" customHeight="1" x14ac:dyDescent="0.25">
      <c r="A16" s="13"/>
      <c r="B16" s="20"/>
      <c r="C16" s="191">
        <v>1</v>
      </c>
      <c r="D16" s="193"/>
      <c r="E16" s="221" t="s">
        <v>33</v>
      </c>
      <c r="F16" s="222"/>
      <c r="G16" s="222"/>
      <c r="H16" s="222"/>
      <c r="I16" s="222"/>
      <c r="J16" s="222"/>
      <c r="K16" s="222"/>
      <c r="L16" s="222"/>
      <c r="M16" s="222"/>
      <c r="N16" s="222"/>
      <c r="O16" s="222"/>
      <c r="P16" s="222"/>
      <c r="Q16" s="222"/>
      <c r="R16" s="222"/>
      <c r="S16" s="222"/>
      <c r="T16" s="222"/>
      <c r="U16" s="222"/>
      <c r="V16" s="222"/>
      <c r="W16" s="222"/>
      <c r="X16" s="222"/>
      <c r="Y16" s="222"/>
      <c r="Z16" s="222"/>
      <c r="AA16" s="222"/>
      <c r="AB16" s="222"/>
      <c r="AC16" s="222"/>
      <c r="AD16" s="222"/>
      <c r="AE16" s="222"/>
      <c r="AF16" s="223"/>
      <c r="AG16" s="191" t="s">
        <v>22</v>
      </c>
      <c r="AH16" s="192"/>
      <c r="AI16" s="192"/>
      <c r="AJ16" s="192"/>
      <c r="AK16" s="192"/>
      <c r="AL16" s="192"/>
      <c r="AM16" s="192"/>
      <c r="AN16" s="192"/>
      <c r="AO16" s="192"/>
      <c r="AP16" s="193"/>
      <c r="AQ16" s="224" t="s">
        <v>5</v>
      </c>
      <c r="AR16" s="225"/>
      <c r="AS16" s="225"/>
      <c r="AT16" s="225"/>
      <c r="AU16" s="225"/>
      <c r="AV16" s="225"/>
      <c r="AW16" s="225"/>
      <c r="AX16" s="225"/>
      <c r="AY16" s="225"/>
      <c r="AZ16" s="225"/>
      <c r="BA16" s="225"/>
      <c r="BB16" s="225"/>
      <c r="BC16" s="225"/>
      <c r="BD16" s="225"/>
      <c r="BE16" s="225"/>
      <c r="BF16" s="225"/>
      <c r="BG16" s="225"/>
      <c r="BH16" s="225"/>
      <c r="BI16" s="225"/>
      <c r="BJ16" s="226"/>
      <c r="BK16" s="17"/>
    </row>
    <row r="17" spans="1:63" s="18" customFormat="1" ht="15" customHeight="1" x14ac:dyDescent="0.25">
      <c r="A17" s="13"/>
      <c r="B17" s="20"/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  <c r="AY17" s="20"/>
      <c r="AZ17" s="20"/>
      <c r="BA17" s="20"/>
      <c r="BB17" s="20"/>
      <c r="BC17" s="20"/>
      <c r="BD17" s="20"/>
      <c r="BE17" s="20"/>
      <c r="BF17" s="20"/>
      <c r="BG17" s="20"/>
      <c r="BH17" s="21"/>
      <c r="BI17" s="21"/>
      <c r="BJ17" s="21"/>
      <c r="BK17" s="17"/>
    </row>
    <row r="18" spans="1:63" s="18" customFormat="1" ht="15" customHeight="1" x14ac:dyDescent="0.25">
      <c r="A18" s="13"/>
      <c r="B18" s="20"/>
      <c r="C18" s="23" t="s">
        <v>62</v>
      </c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  <c r="AY18" s="20"/>
      <c r="AZ18" s="20"/>
      <c r="BA18" s="20"/>
      <c r="BB18" s="20"/>
      <c r="BC18" s="20"/>
      <c r="BD18" s="20"/>
      <c r="BE18" s="20"/>
      <c r="BF18" s="20"/>
      <c r="BG18" s="20"/>
      <c r="BH18" s="21"/>
      <c r="BI18" s="21"/>
      <c r="BJ18" s="21"/>
      <c r="BK18" s="17"/>
    </row>
    <row r="19" spans="1:63" s="18" customFormat="1" ht="15" customHeight="1" x14ac:dyDescent="0.25">
      <c r="A19" s="13"/>
      <c r="B19" s="20"/>
      <c r="C19" s="23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  <c r="AY19" s="20"/>
      <c r="AZ19" s="20"/>
      <c r="BA19" s="20"/>
      <c r="BB19" s="20"/>
      <c r="BC19" s="20"/>
      <c r="BD19" s="20"/>
      <c r="BE19" s="20"/>
      <c r="BF19" s="20"/>
      <c r="BG19" s="20"/>
      <c r="BH19" s="21"/>
      <c r="BI19" s="21"/>
      <c r="BJ19" s="21"/>
      <c r="BK19" s="17"/>
    </row>
    <row r="20" spans="1:63" s="18" customFormat="1" ht="15" customHeight="1" x14ac:dyDescent="0.25">
      <c r="A20" s="13"/>
      <c r="B20" s="20"/>
      <c r="C20" s="200" t="s">
        <v>63</v>
      </c>
      <c r="D20" s="202"/>
      <c r="E20" s="200" t="s">
        <v>64</v>
      </c>
      <c r="F20" s="201"/>
      <c r="G20" s="201"/>
      <c r="H20" s="201"/>
      <c r="I20" s="201"/>
      <c r="J20" s="201"/>
      <c r="K20" s="202"/>
      <c r="L20" s="194" t="s">
        <v>16</v>
      </c>
      <c r="M20" s="196"/>
      <c r="N20" s="195"/>
      <c r="O20" s="194" t="s">
        <v>17</v>
      </c>
      <c r="P20" s="196"/>
      <c r="Q20" s="196"/>
      <c r="R20" s="195"/>
      <c r="S20" s="194" t="s">
        <v>18</v>
      </c>
      <c r="T20" s="196"/>
      <c r="U20" s="196"/>
      <c r="V20" s="196"/>
      <c r="W20" s="196"/>
      <c r="X20" s="196"/>
      <c r="Y20" s="195"/>
      <c r="Z20" s="200" t="s">
        <v>65</v>
      </c>
      <c r="AA20" s="201"/>
      <c r="AB20" s="201"/>
      <c r="AC20" s="201"/>
      <c r="AD20" s="201"/>
      <c r="AE20" s="201"/>
      <c r="AF20" s="201"/>
      <c r="AG20" s="201"/>
      <c r="AH20" s="201"/>
      <c r="AI20" s="201"/>
      <c r="AJ20" s="201"/>
      <c r="AK20" s="201"/>
      <c r="AL20" s="201"/>
      <c r="AM20" s="201"/>
      <c r="AN20" s="201"/>
      <c r="AO20" s="201"/>
      <c r="AP20" s="202"/>
      <c r="AQ20" s="194" t="s">
        <v>15</v>
      </c>
      <c r="AR20" s="196"/>
      <c r="AS20" s="196"/>
      <c r="AT20" s="196"/>
      <c r="AU20" s="196"/>
      <c r="AV20" s="196"/>
      <c r="AW20" s="196"/>
      <c r="AX20" s="196"/>
      <c r="AY20" s="196"/>
      <c r="AZ20" s="196"/>
      <c r="BA20" s="196"/>
      <c r="BB20" s="196"/>
      <c r="BC20" s="196"/>
      <c r="BD20" s="196"/>
      <c r="BE20" s="196"/>
      <c r="BF20" s="196"/>
      <c r="BG20" s="196"/>
      <c r="BH20" s="196"/>
      <c r="BI20" s="196"/>
      <c r="BJ20" s="195"/>
      <c r="BK20" s="17"/>
    </row>
    <row r="21" spans="1:63" s="18" customFormat="1" ht="15" customHeight="1" x14ac:dyDescent="0.25">
      <c r="A21" s="13"/>
      <c r="B21" s="20"/>
      <c r="C21" s="191">
        <v>1</v>
      </c>
      <c r="D21" s="193"/>
      <c r="E21" s="206" t="s">
        <v>30</v>
      </c>
      <c r="F21" s="207"/>
      <c r="G21" s="207"/>
      <c r="H21" s="207"/>
      <c r="I21" s="207"/>
      <c r="J21" s="207"/>
      <c r="K21" s="208"/>
      <c r="L21" s="257" t="s">
        <v>3</v>
      </c>
      <c r="M21" s="258"/>
      <c r="N21" s="259"/>
      <c r="O21" s="191" t="s">
        <v>4</v>
      </c>
      <c r="P21" s="192"/>
      <c r="Q21" s="192"/>
      <c r="R21" s="193"/>
      <c r="S21" s="191" t="s">
        <v>5</v>
      </c>
      <c r="T21" s="192"/>
      <c r="U21" s="192"/>
      <c r="V21" s="192"/>
      <c r="W21" s="192"/>
      <c r="X21" s="192"/>
      <c r="Y21" s="193"/>
      <c r="Z21" s="206" t="s">
        <v>30</v>
      </c>
      <c r="AA21" s="207"/>
      <c r="AB21" s="207"/>
      <c r="AC21" s="207"/>
      <c r="AD21" s="207"/>
      <c r="AE21" s="207"/>
      <c r="AF21" s="207"/>
      <c r="AG21" s="207"/>
      <c r="AH21" s="207"/>
      <c r="AI21" s="207"/>
      <c r="AJ21" s="207"/>
      <c r="AK21" s="207"/>
      <c r="AL21" s="207"/>
      <c r="AM21" s="207"/>
      <c r="AN21" s="207"/>
      <c r="AO21" s="207"/>
      <c r="AP21" s="208"/>
      <c r="AQ21" s="209" t="s">
        <v>5</v>
      </c>
      <c r="AR21" s="210"/>
      <c r="AS21" s="210"/>
      <c r="AT21" s="210"/>
      <c r="AU21" s="210"/>
      <c r="AV21" s="210"/>
      <c r="AW21" s="210"/>
      <c r="AX21" s="210"/>
      <c r="AY21" s="210"/>
      <c r="AZ21" s="210"/>
      <c r="BA21" s="210"/>
      <c r="BB21" s="210"/>
      <c r="BC21" s="210"/>
      <c r="BD21" s="210"/>
      <c r="BE21" s="210"/>
      <c r="BF21" s="210"/>
      <c r="BG21" s="210"/>
      <c r="BH21" s="210"/>
      <c r="BI21" s="210"/>
      <c r="BJ21" s="211"/>
      <c r="BK21" s="17"/>
    </row>
    <row r="22" spans="1:63" s="18" customFormat="1" ht="15" customHeight="1" x14ac:dyDescent="0.25">
      <c r="A22" s="13"/>
      <c r="B22" s="20"/>
      <c r="C22" s="191">
        <v>2</v>
      </c>
      <c r="D22" s="193"/>
      <c r="E22" s="206" t="s">
        <v>6</v>
      </c>
      <c r="F22" s="207"/>
      <c r="G22" s="207"/>
      <c r="H22" s="207"/>
      <c r="I22" s="207"/>
      <c r="J22" s="207"/>
      <c r="K22" s="208"/>
      <c r="L22" s="257" t="s">
        <v>5</v>
      </c>
      <c r="M22" s="258"/>
      <c r="N22" s="259"/>
      <c r="O22" s="191" t="s">
        <v>4</v>
      </c>
      <c r="P22" s="192"/>
      <c r="Q22" s="192"/>
      <c r="R22" s="193"/>
      <c r="S22" s="191" t="s">
        <v>5</v>
      </c>
      <c r="T22" s="192"/>
      <c r="U22" s="192"/>
      <c r="V22" s="192"/>
      <c r="W22" s="192"/>
      <c r="X22" s="192"/>
      <c r="Y22" s="193"/>
      <c r="Z22" s="206" t="s">
        <v>6</v>
      </c>
      <c r="AA22" s="207"/>
      <c r="AB22" s="207"/>
      <c r="AC22" s="207"/>
      <c r="AD22" s="207"/>
      <c r="AE22" s="207"/>
      <c r="AF22" s="207"/>
      <c r="AG22" s="207"/>
      <c r="AH22" s="207"/>
      <c r="AI22" s="207"/>
      <c r="AJ22" s="207"/>
      <c r="AK22" s="207"/>
      <c r="AL22" s="207"/>
      <c r="AM22" s="207"/>
      <c r="AN22" s="207"/>
      <c r="AO22" s="207"/>
      <c r="AP22" s="208"/>
      <c r="AQ22" s="209" t="s">
        <v>7</v>
      </c>
      <c r="AR22" s="210"/>
      <c r="AS22" s="210"/>
      <c r="AT22" s="210"/>
      <c r="AU22" s="210"/>
      <c r="AV22" s="210"/>
      <c r="AW22" s="210"/>
      <c r="AX22" s="210"/>
      <c r="AY22" s="210"/>
      <c r="AZ22" s="210"/>
      <c r="BA22" s="210"/>
      <c r="BB22" s="210"/>
      <c r="BC22" s="210"/>
      <c r="BD22" s="210"/>
      <c r="BE22" s="210"/>
      <c r="BF22" s="210"/>
      <c r="BG22" s="210"/>
      <c r="BH22" s="210"/>
      <c r="BI22" s="210"/>
      <c r="BJ22" s="211"/>
      <c r="BK22" s="17"/>
    </row>
    <row r="23" spans="1:63" s="18" customFormat="1" ht="15" customHeight="1" x14ac:dyDescent="0.25">
      <c r="A23" s="13"/>
      <c r="B23" s="20"/>
      <c r="C23" s="245">
        <v>3</v>
      </c>
      <c r="D23" s="246"/>
      <c r="E23" s="236" t="s">
        <v>8</v>
      </c>
      <c r="F23" s="237"/>
      <c r="G23" s="237"/>
      <c r="H23" s="237"/>
      <c r="I23" s="237"/>
      <c r="J23" s="237"/>
      <c r="K23" s="238"/>
      <c r="L23" s="212" t="s">
        <v>5</v>
      </c>
      <c r="M23" s="213"/>
      <c r="N23" s="214"/>
      <c r="O23" s="266" t="s">
        <v>4</v>
      </c>
      <c r="P23" s="267"/>
      <c r="Q23" s="267"/>
      <c r="R23" s="268"/>
      <c r="S23" s="266" t="s">
        <v>5</v>
      </c>
      <c r="T23" s="267"/>
      <c r="U23" s="267"/>
      <c r="V23" s="267"/>
      <c r="W23" s="267"/>
      <c r="X23" s="267"/>
      <c r="Y23" s="268"/>
      <c r="Z23" s="227" t="s">
        <v>8</v>
      </c>
      <c r="AA23" s="228"/>
      <c r="AB23" s="228"/>
      <c r="AC23" s="228"/>
      <c r="AD23" s="228"/>
      <c r="AE23" s="228"/>
      <c r="AF23" s="228"/>
      <c r="AG23" s="228"/>
      <c r="AH23" s="228"/>
      <c r="AI23" s="228"/>
      <c r="AJ23" s="228"/>
      <c r="AK23" s="228"/>
      <c r="AL23" s="228"/>
      <c r="AM23" s="228"/>
      <c r="AN23" s="228"/>
      <c r="AO23" s="228"/>
      <c r="AP23" s="229"/>
      <c r="AQ23" s="260" t="s">
        <v>66</v>
      </c>
      <c r="AR23" s="260"/>
      <c r="AS23" s="260"/>
      <c r="AT23" s="260"/>
      <c r="AU23" s="260"/>
      <c r="AV23" s="260"/>
      <c r="AW23" s="260"/>
      <c r="AX23" s="260"/>
      <c r="AY23" s="260"/>
      <c r="AZ23" s="260"/>
      <c r="BA23" s="260"/>
      <c r="BB23" s="260"/>
      <c r="BC23" s="260"/>
      <c r="BD23" s="260"/>
      <c r="BE23" s="260"/>
      <c r="BF23" s="260"/>
      <c r="BG23" s="260"/>
      <c r="BH23" s="260"/>
      <c r="BI23" s="260"/>
      <c r="BJ23" s="261"/>
      <c r="BK23" s="17"/>
    </row>
    <row r="24" spans="1:63" s="18" customFormat="1" ht="15" customHeight="1" x14ac:dyDescent="0.25">
      <c r="A24" s="13"/>
      <c r="B24" s="20"/>
      <c r="C24" s="247"/>
      <c r="D24" s="248"/>
      <c r="E24" s="239"/>
      <c r="F24" s="240"/>
      <c r="G24" s="240"/>
      <c r="H24" s="240"/>
      <c r="I24" s="240"/>
      <c r="J24" s="240"/>
      <c r="K24" s="241"/>
      <c r="L24" s="215"/>
      <c r="M24" s="216"/>
      <c r="N24" s="217"/>
      <c r="O24" s="269"/>
      <c r="P24" s="270"/>
      <c r="Q24" s="270"/>
      <c r="R24" s="271"/>
      <c r="S24" s="269"/>
      <c r="T24" s="270"/>
      <c r="U24" s="270"/>
      <c r="V24" s="270"/>
      <c r="W24" s="270"/>
      <c r="X24" s="270"/>
      <c r="Y24" s="271"/>
      <c r="Z24" s="230"/>
      <c r="AA24" s="231"/>
      <c r="AB24" s="231"/>
      <c r="AC24" s="231"/>
      <c r="AD24" s="231"/>
      <c r="AE24" s="231"/>
      <c r="AF24" s="231"/>
      <c r="AG24" s="231"/>
      <c r="AH24" s="231"/>
      <c r="AI24" s="231"/>
      <c r="AJ24" s="231"/>
      <c r="AK24" s="231"/>
      <c r="AL24" s="231"/>
      <c r="AM24" s="231"/>
      <c r="AN24" s="231"/>
      <c r="AO24" s="231"/>
      <c r="AP24" s="232"/>
      <c r="AQ24" s="262"/>
      <c r="AR24" s="262"/>
      <c r="AS24" s="262"/>
      <c r="AT24" s="262"/>
      <c r="AU24" s="262"/>
      <c r="AV24" s="262"/>
      <c r="AW24" s="262"/>
      <c r="AX24" s="262"/>
      <c r="AY24" s="262"/>
      <c r="AZ24" s="262"/>
      <c r="BA24" s="262"/>
      <c r="BB24" s="262"/>
      <c r="BC24" s="262"/>
      <c r="BD24" s="262"/>
      <c r="BE24" s="262"/>
      <c r="BF24" s="262"/>
      <c r="BG24" s="262"/>
      <c r="BH24" s="262"/>
      <c r="BI24" s="262"/>
      <c r="BJ24" s="263"/>
      <c r="BK24" s="17"/>
    </row>
    <row r="25" spans="1:63" s="18" customFormat="1" ht="25.5" customHeight="1" x14ac:dyDescent="0.25">
      <c r="A25" s="13"/>
      <c r="B25" s="20"/>
      <c r="C25" s="249"/>
      <c r="D25" s="250"/>
      <c r="E25" s="242"/>
      <c r="F25" s="243"/>
      <c r="G25" s="243"/>
      <c r="H25" s="243"/>
      <c r="I25" s="243"/>
      <c r="J25" s="243"/>
      <c r="K25" s="244"/>
      <c r="L25" s="218"/>
      <c r="M25" s="219"/>
      <c r="N25" s="220"/>
      <c r="O25" s="272"/>
      <c r="P25" s="273"/>
      <c r="Q25" s="273"/>
      <c r="R25" s="274"/>
      <c r="S25" s="272"/>
      <c r="T25" s="273"/>
      <c r="U25" s="273"/>
      <c r="V25" s="273"/>
      <c r="W25" s="273"/>
      <c r="X25" s="273"/>
      <c r="Y25" s="274"/>
      <c r="Z25" s="233"/>
      <c r="AA25" s="234"/>
      <c r="AB25" s="234"/>
      <c r="AC25" s="234"/>
      <c r="AD25" s="234"/>
      <c r="AE25" s="234"/>
      <c r="AF25" s="234"/>
      <c r="AG25" s="234"/>
      <c r="AH25" s="234"/>
      <c r="AI25" s="234"/>
      <c r="AJ25" s="234"/>
      <c r="AK25" s="234"/>
      <c r="AL25" s="234"/>
      <c r="AM25" s="234"/>
      <c r="AN25" s="234"/>
      <c r="AO25" s="234"/>
      <c r="AP25" s="235"/>
      <c r="AQ25" s="264"/>
      <c r="AR25" s="264"/>
      <c r="AS25" s="264"/>
      <c r="AT25" s="264"/>
      <c r="AU25" s="264"/>
      <c r="AV25" s="264"/>
      <c r="AW25" s="264"/>
      <c r="AX25" s="264"/>
      <c r="AY25" s="264"/>
      <c r="AZ25" s="264"/>
      <c r="BA25" s="264"/>
      <c r="BB25" s="264"/>
      <c r="BC25" s="264"/>
      <c r="BD25" s="264"/>
      <c r="BE25" s="264"/>
      <c r="BF25" s="264"/>
      <c r="BG25" s="264"/>
      <c r="BH25" s="264"/>
      <c r="BI25" s="264"/>
      <c r="BJ25" s="265"/>
      <c r="BK25" s="17"/>
    </row>
    <row r="26" spans="1:63" s="18" customFormat="1" ht="15" customHeight="1" x14ac:dyDescent="0.25">
      <c r="A26" s="13"/>
      <c r="B26" s="20"/>
      <c r="C26" s="191">
        <v>4</v>
      </c>
      <c r="D26" s="193"/>
      <c r="E26" s="206" t="s">
        <v>9</v>
      </c>
      <c r="F26" s="207"/>
      <c r="G26" s="207"/>
      <c r="H26" s="207"/>
      <c r="I26" s="207"/>
      <c r="J26" s="207"/>
      <c r="K26" s="208"/>
      <c r="L26" s="257" t="s">
        <v>5</v>
      </c>
      <c r="M26" s="258"/>
      <c r="N26" s="259"/>
      <c r="O26" s="191" t="s">
        <v>4</v>
      </c>
      <c r="P26" s="192"/>
      <c r="Q26" s="192"/>
      <c r="R26" s="193"/>
      <c r="S26" s="191" t="s">
        <v>5</v>
      </c>
      <c r="T26" s="192"/>
      <c r="U26" s="192"/>
      <c r="V26" s="192"/>
      <c r="W26" s="192"/>
      <c r="X26" s="192"/>
      <c r="Y26" s="193"/>
      <c r="Z26" s="206" t="s">
        <v>9</v>
      </c>
      <c r="AA26" s="207"/>
      <c r="AB26" s="207"/>
      <c r="AC26" s="207"/>
      <c r="AD26" s="207"/>
      <c r="AE26" s="207"/>
      <c r="AF26" s="207"/>
      <c r="AG26" s="207"/>
      <c r="AH26" s="207"/>
      <c r="AI26" s="207"/>
      <c r="AJ26" s="207"/>
      <c r="AK26" s="207"/>
      <c r="AL26" s="207"/>
      <c r="AM26" s="207"/>
      <c r="AN26" s="207"/>
      <c r="AO26" s="207"/>
      <c r="AP26" s="208"/>
      <c r="AQ26" s="209" t="s">
        <v>10</v>
      </c>
      <c r="AR26" s="210"/>
      <c r="AS26" s="210"/>
      <c r="AT26" s="210"/>
      <c r="AU26" s="210"/>
      <c r="AV26" s="210"/>
      <c r="AW26" s="210"/>
      <c r="AX26" s="210"/>
      <c r="AY26" s="210"/>
      <c r="AZ26" s="210"/>
      <c r="BA26" s="210"/>
      <c r="BB26" s="210"/>
      <c r="BC26" s="210"/>
      <c r="BD26" s="210"/>
      <c r="BE26" s="210"/>
      <c r="BF26" s="210"/>
      <c r="BG26" s="210"/>
      <c r="BH26" s="210"/>
      <c r="BI26" s="210"/>
      <c r="BJ26" s="211"/>
      <c r="BK26" s="17"/>
    </row>
    <row r="27" spans="1:63" s="18" customFormat="1" ht="15" customHeight="1" x14ac:dyDescent="0.25">
      <c r="A27" s="13"/>
      <c r="B27" s="20"/>
      <c r="C27" s="191">
        <v>5</v>
      </c>
      <c r="D27" s="193"/>
      <c r="E27" s="206" t="s">
        <v>11</v>
      </c>
      <c r="F27" s="207"/>
      <c r="G27" s="207"/>
      <c r="H27" s="207"/>
      <c r="I27" s="207"/>
      <c r="J27" s="207"/>
      <c r="K27" s="208"/>
      <c r="L27" s="257" t="s">
        <v>5</v>
      </c>
      <c r="M27" s="258"/>
      <c r="N27" s="259"/>
      <c r="O27" s="191" t="s">
        <v>4</v>
      </c>
      <c r="P27" s="192"/>
      <c r="Q27" s="192"/>
      <c r="R27" s="193"/>
      <c r="S27" s="191" t="s">
        <v>5</v>
      </c>
      <c r="T27" s="192"/>
      <c r="U27" s="192"/>
      <c r="V27" s="192"/>
      <c r="W27" s="192"/>
      <c r="X27" s="192"/>
      <c r="Y27" s="193"/>
      <c r="Z27" s="206" t="s">
        <v>11</v>
      </c>
      <c r="AA27" s="207"/>
      <c r="AB27" s="207"/>
      <c r="AC27" s="207"/>
      <c r="AD27" s="207"/>
      <c r="AE27" s="207"/>
      <c r="AF27" s="207"/>
      <c r="AG27" s="207"/>
      <c r="AH27" s="207"/>
      <c r="AI27" s="207"/>
      <c r="AJ27" s="207"/>
      <c r="AK27" s="207"/>
      <c r="AL27" s="207"/>
      <c r="AM27" s="207"/>
      <c r="AN27" s="207"/>
      <c r="AO27" s="207"/>
      <c r="AP27" s="208"/>
      <c r="AQ27" s="209" t="s">
        <v>67</v>
      </c>
      <c r="AR27" s="210"/>
      <c r="AS27" s="210"/>
      <c r="AT27" s="210"/>
      <c r="AU27" s="210"/>
      <c r="AV27" s="210"/>
      <c r="AW27" s="210"/>
      <c r="AX27" s="210"/>
      <c r="AY27" s="210"/>
      <c r="AZ27" s="210"/>
      <c r="BA27" s="210"/>
      <c r="BB27" s="210"/>
      <c r="BC27" s="210"/>
      <c r="BD27" s="210"/>
      <c r="BE27" s="210"/>
      <c r="BF27" s="210"/>
      <c r="BG27" s="210"/>
      <c r="BH27" s="210"/>
      <c r="BI27" s="210"/>
      <c r="BJ27" s="211"/>
      <c r="BK27" s="17"/>
    </row>
    <row r="28" spans="1:63" s="18" customFormat="1" ht="15" customHeight="1" x14ac:dyDescent="0.25">
      <c r="A28" s="13"/>
      <c r="B28" s="20"/>
      <c r="C28" s="20"/>
      <c r="D28" s="20"/>
      <c r="E28" s="79"/>
      <c r="F28" s="79"/>
      <c r="G28" s="79"/>
      <c r="H28" s="79"/>
      <c r="I28" s="20"/>
      <c r="J28" s="20"/>
      <c r="K28" s="20"/>
      <c r="L28" s="82"/>
      <c r="M28" s="79"/>
      <c r="N28" s="79"/>
      <c r="O28" s="79"/>
      <c r="P28" s="79"/>
      <c r="Q28" s="20"/>
      <c r="R28" s="20"/>
      <c r="S28" s="20"/>
      <c r="T28" s="20"/>
      <c r="U28" s="20"/>
      <c r="V28" s="20"/>
      <c r="W28" s="20"/>
      <c r="X28" s="20"/>
      <c r="Y28" s="20"/>
      <c r="Z28" s="27"/>
      <c r="AA28" s="20"/>
      <c r="AB28" s="20"/>
      <c r="AC28" s="20"/>
      <c r="AD28" s="20"/>
      <c r="AE28" s="20"/>
      <c r="AF28" s="20"/>
      <c r="AG28" s="79"/>
      <c r="AH28" s="79"/>
      <c r="AI28" s="79"/>
      <c r="AJ28" s="79"/>
      <c r="AK28" s="79"/>
      <c r="AL28" s="79"/>
      <c r="AM28" s="79"/>
      <c r="AN28" s="79"/>
      <c r="AO28" s="79"/>
      <c r="AP28" s="20"/>
      <c r="AQ28" s="28"/>
      <c r="AR28" s="28"/>
      <c r="AS28" s="28"/>
      <c r="AT28" s="28"/>
      <c r="AU28" s="28"/>
      <c r="AV28" s="28"/>
      <c r="AW28" s="28"/>
      <c r="AX28" s="28"/>
      <c r="AY28" s="28"/>
      <c r="AZ28" s="28"/>
      <c r="BA28" s="28"/>
      <c r="BB28" s="28"/>
      <c r="BC28" s="28"/>
      <c r="BD28" s="28"/>
      <c r="BE28" s="28"/>
      <c r="BF28" s="28"/>
      <c r="BG28" s="28"/>
      <c r="BH28" s="21"/>
      <c r="BI28" s="21"/>
      <c r="BJ28" s="21"/>
      <c r="BK28" s="17"/>
    </row>
    <row r="29" spans="1:63" s="18" customFormat="1" ht="15" customHeight="1" x14ac:dyDescent="0.25">
      <c r="A29" s="13"/>
      <c r="B29" s="20"/>
      <c r="C29" s="20"/>
      <c r="D29" s="20"/>
      <c r="E29" s="79"/>
      <c r="F29" s="79"/>
      <c r="G29" s="79"/>
      <c r="H29" s="79"/>
      <c r="I29" s="20"/>
      <c r="J29" s="20"/>
      <c r="K29" s="20"/>
      <c r="L29" s="29"/>
      <c r="M29" s="79"/>
      <c r="N29" s="79"/>
      <c r="O29" s="79"/>
      <c r="P29" s="79"/>
      <c r="Q29" s="20"/>
      <c r="R29" s="20"/>
      <c r="S29" s="20"/>
      <c r="T29" s="20"/>
      <c r="U29" s="20"/>
      <c r="V29" s="20"/>
      <c r="W29" s="20"/>
      <c r="X29" s="20"/>
      <c r="Y29" s="20"/>
      <c r="Z29" s="27"/>
      <c r="AA29" s="20"/>
      <c r="AB29" s="20"/>
      <c r="AC29" s="20"/>
      <c r="AD29" s="20"/>
      <c r="AE29" s="20"/>
      <c r="AF29" s="20"/>
      <c r="AG29" s="79"/>
      <c r="AH29" s="79"/>
      <c r="AI29" s="79"/>
      <c r="AJ29" s="79"/>
      <c r="AK29" s="79"/>
      <c r="AL29" s="79"/>
      <c r="AM29" s="79"/>
      <c r="AN29" s="79"/>
      <c r="AO29" s="79"/>
      <c r="AP29" s="20"/>
      <c r="AQ29" s="28"/>
      <c r="AR29" s="28"/>
      <c r="AS29" s="28"/>
      <c r="AT29" s="28"/>
      <c r="AU29" s="28"/>
      <c r="AV29" s="28"/>
      <c r="AW29" s="28"/>
      <c r="AX29" s="28"/>
      <c r="AY29" s="28"/>
      <c r="AZ29" s="28"/>
      <c r="BA29" s="28"/>
      <c r="BB29" s="28"/>
      <c r="BC29" s="28"/>
      <c r="BD29" s="28"/>
      <c r="BE29" s="28"/>
      <c r="BF29" s="28"/>
      <c r="BG29" s="28"/>
      <c r="BH29" s="21"/>
      <c r="BI29" s="21"/>
      <c r="BJ29" s="21"/>
      <c r="BK29" s="17"/>
    </row>
    <row r="30" spans="1:63" s="18" customFormat="1" ht="15" customHeight="1" x14ac:dyDescent="0.25">
      <c r="A30" s="13"/>
      <c r="B30" s="20"/>
      <c r="C30" s="23" t="s">
        <v>68</v>
      </c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  <c r="AY30" s="20"/>
      <c r="AZ30" s="20"/>
      <c r="BA30" s="20"/>
      <c r="BB30" s="20"/>
      <c r="BC30" s="20"/>
      <c r="BD30" s="20"/>
      <c r="BE30" s="20"/>
      <c r="BF30" s="20"/>
      <c r="BG30" s="20"/>
      <c r="BH30" s="21"/>
      <c r="BI30" s="21"/>
      <c r="BJ30" s="21"/>
      <c r="BK30" s="17"/>
    </row>
    <row r="31" spans="1:63" s="18" customFormat="1" ht="15" customHeight="1" x14ac:dyDescent="0.25">
      <c r="A31" s="13"/>
      <c r="B31" s="20"/>
      <c r="C31" s="19"/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  <c r="AY31" s="20"/>
      <c r="AZ31" s="20"/>
      <c r="BA31" s="20"/>
      <c r="BB31" s="20"/>
      <c r="BC31" s="20"/>
      <c r="BD31" s="20"/>
      <c r="BE31" s="20"/>
      <c r="BF31" s="20"/>
      <c r="BG31" s="20"/>
      <c r="BH31" s="21"/>
      <c r="BI31" s="21"/>
      <c r="BJ31" s="21"/>
      <c r="BK31" s="17"/>
    </row>
    <row r="32" spans="1:63" s="18" customFormat="1" ht="15" customHeight="1" x14ac:dyDescent="0.25">
      <c r="A32" s="13"/>
      <c r="B32" s="20"/>
      <c r="C32" s="20"/>
      <c r="D32" s="20" t="s">
        <v>19</v>
      </c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  <c r="AY32" s="20"/>
      <c r="AZ32" s="20"/>
      <c r="BA32" s="20"/>
      <c r="BB32" s="20"/>
      <c r="BC32" s="20"/>
      <c r="BD32" s="20"/>
      <c r="BE32" s="20"/>
      <c r="BF32" s="20"/>
      <c r="BG32" s="20"/>
      <c r="BH32" s="21"/>
      <c r="BI32" s="21"/>
      <c r="BJ32" s="21"/>
      <c r="BK32" s="17"/>
    </row>
    <row r="33" spans="1:63" s="18" customFormat="1" ht="15" customHeight="1" x14ac:dyDescent="0.25">
      <c r="A33" s="13"/>
      <c r="B33" s="20"/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  <c r="AY33" s="20"/>
      <c r="AZ33" s="20"/>
      <c r="BA33" s="20"/>
      <c r="BB33" s="20"/>
      <c r="BC33" s="20"/>
      <c r="BD33" s="20"/>
      <c r="BE33" s="20"/>
      <c r="BF33" s="20"/>
      <c r="BG33" s="20"/>
      <c r="BH33" s="21"/>
      <c r="BI33" s="21"/>
      <c r="BJ33" s="21"/>
      <c r="BK33" s="17"/>
    </row>
    <row r="34" spans="1:63" s="18" customFormat="1" ht="15" customHeight="1" x14ac:dyDescent="0.25">
      <c r="A34" s="13"/>
      <c r="B34" s="20"/>
      <c r="C34" s="23" t="s">
        <v>69</v>
      </c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  <c r="AY34" s="20"/>
      <c r="AZ34" s="20"/>
      <c r="BA34" s="20"/>
      <c r="BB34" s="20"/>
      <c r="BC34" s="20"/>
      <c r="BD34" s="20"/>
      <c r="BE34" s="20"/>
      <c r="BF34" s="20"/>
      <c r="BG34" s="20"/>
      <c r="BH34" s="21"/>
      <c r="BI34" s="21"/>
      <c r="BJ34" s="21"/>
      <c r="BK34" s="17"/>
    </row>
    <row r="35" spans="1:63" s="18" customFormat="1" ht="15" customHeight="1" x14ac:dyDescent="0.25">
      <c r="A35" s="13"/>
      <c r="B35" s="20"/>
      <c r="C35" s="23"/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  <c r="AY35" s="20"/>
      <c r="AZ35" s="20"/>
      <c r="BA35" s="20"/>
      <c r="BB35" s="20"/>
      <c r="BC35" s="20"/>
      <c r="BD35" s="20"/>
      <c r="BE35" s="20"/>
      <c r="BF35" s="20"/>
      <c r="BG35" s="20"/>
      <c r="BH35" s="21"/>
      <c r="BI35" s="21"/>
      <c r="BJ35" s="21"/>
      <c r="BK35" s="17"/>
    </row>
    <row r="36" spans="1:63" s="18" customFormat="1" ht="15" customHeight="1" x14ac:dyDescent="0.25">
      <c r="A36" s="13"/>
      <c r="B36" s="20"/>
      <c r="C36" s="20"/>
      <c r="D36" s="20" t="s">
        <v>19</v>
      </c>
      <c r="E36" s="20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  <c r="AY36" s="20"/>
      <c r="AZ36" s="20"/>
      <c r="BA36" s="20"/>
      <c r="BB36" s="20"/>
      <c r="BC36" s="20"/>
      <c r="BD36" s="20"/>
      <c r="BE36" s="20"/>
      <c r="BF36" s="20"/>
      <c r="BG36" s="20"/>
      <c r="BH36" s="21"/>
      <c r="BI36" s="21"/>
      <c r="BJ36" s="21"/>
      <c r="BK36" s="17"/>
    </row>
    <row r="37" spans="1:63" s="18" customFormat="1" ht="15" customHeight="1" x14ac:dyDescent="0.25">
      <c r="A37" s="13"/>
      <c r="B37" s="20"/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  <c r="AY37" s="20"/>
      <c r="AZ37" s="20"/>
      <c r="BA37" s="20"/>
      <c r="BB37" s="20"/>
      <c r="BC37" s="20"/>
      <c r="BD37" s="20"/>
      <c r="BE37" s="20"/>
      <c r="BF37" s="20"/>
      <c r="BG37" s="20"/>
      <c r="BH37" s="21"/>
      <c r="BI37" s="21"/>
      <c r="BJ37" s="21"/>
      <c r="BK37" s="17"/>
    </row>
    <row r="38" spans="1:63" s="18" customFormat="1" ht="15" customHeight="1" x14ac:dyDescent="0.25">
      <c r="A38" s="13"/>
      <c r="B38" s="14" t="s">
        <v>70</v>
      </c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  <c r="AD38" s="15"/>
      <c r="AE38" s="15"/>
      <c r="AF38" s="15"/>
      <c r="AG38" s="15"/>
      <c r="AH38" s="15"/>
      <c r="AI38" s="15"/>
      <c r="AJ38" s="15"/>
      <c r="AK38" s="15"/>
      <c r="AL38" s="15"/>
      <c r="AM38" s="15"/>
      <c r="AN38" s="15"/>
      <c r="AO38" s="15"/>
      <c r="AP38" s="15"/>
      <c r="AQ38" s="15"/>
      <c r="AR38" s="15"/>
      <c r="AS38" s="15"/>
      <c r="AT38" s="15"/>
      <c r="AU38" s="15"/>
      <c r="AV38" s="15"/>
      <c r="AW38" s="15"/>
      <c r="AX38" s="15"/>
      <c r="AY38" s="15"/>
      <c r="AZ38" s="15"/>
      <c r="BA38" s="15"/>
      <c r="BB38" s="15"/>
      <c r="BC38" s="15"/>
      <c r="BD38" s="15"/>
      <c r="BE38" s="15"/>
      <c r="BF38" s="15"/>
      <c r="BG38" s="15"/>
      <c r="BH38" s="16"/>
      <c r="BI38" s="16"/>
      <c r="BJ38" s="16"/>
      <c r="BK38" s="17"/>
    </row>
    <row r="39" spans="1:63" s="18" customFormat="1" ht="15" customHeight="1" x14ac:dyDescent="0.25">
      <c r="A39" s="13"/>
      <c r="B39" s="19"/>
      <c r="C39" s="23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  <c r="AY39" s="20"/>
      <c r="AZ39" s="20"/>
      <c r="BA39" s="20"/>
      <c r="BB39" s="20"/>
      <c r="BC39" s="20"/>
      <c r="BD39" s="20"/>
      <c r="BE39" s="20"/>
      <c r="BF39" s="20"/>
      <c r="BG39" s="20"/>
      <c r="BH39" s="21"/>
      <c r="BI39" s="21"/>
      <c r="BJ39" s="21"/>
      <c r="BK39" s="17"/>
    </row>
    <row r="40" spans="1:63" s="18" customFormat="1" ht="15" customHeight="1" x14ac:dyDescent="0.25">
      <c r="A40" s="13"/>
      <c r="B40" s="19"/>
      <c r="C40" s="23" t="s">
        <v>71</v>
      </c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  <c r="AY40" s="20"/>
      <c r="AZ40" s="20"/>
      <c r="BA40" s="20"/>
      <c r="BB40" s="20"/>
      <c r="BC40" s="20"/>
      <c r="BD40" s="20"/>
      <c r="BE40" s="20"/>
      <c r="BF40" s="20"/>
      <c r="BG40" s="20"/>
      <c r="BH40" s="21"/>
      <c r="BI40" s="21"/>
      <c r="BJ40" s="21"/>
      <c r="BK40" s="17"/>
    </row>
    <row r="41" spans="1:63" s="18" customFormat="1" ht="15" customHeight="1" x14ac:dyDescent="0.25">
      <c r="A41" s="13"/>
      <c r="B41" s="19"/>
      <c r="C41" s="23"/>
      <c r="D41" s="20"/>
      <c r="E41" s="20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  <c r="AY41" s="20"/>
      <c r="AZ41" s="20"/>
      <c r="BA41" s="20"/>
      <c r="BB41" s="20"/>
      <c r="BC41" s="20"/>
      <c r="BD41" s="20"/>
      <c r="BE41" s="20"/>
      <c r="BF41" s="20"/>
      <c r="BG41" s="20"/>
      <c r="BH41" s="21"/>
      <c r="BI41" s="21"/>
      <c r="BJ41" s="21"/>
      <c r="BK41" s="17"/>
    </row>
    <row r="42" spans="1:63" s="18" customFormat="1" ht="15" customHeight="1" x14ac:dyDescent="0.25">
      <c r="A42" s="13"/>
      <c r="B42" s="20"/>
      <c r="C42" s="194" t="s">
        <v>12</v>
      </c>
      <c r="D42" s="195"/>
      <c r="E42" s="200" t="s">
        <v>72</v>
      </c>
      <c r="F42" s="201"/>
      <c r="G42" s="201"/>
      <c r="H42" s="201"/>
      <c r="I42" s="201"/>
      <c r="J42" s="201"/>
      <c r="K42" s="202"/>
      <c r="L42" s="194" t="s">
        <v>17</v>
      </c>
      <c r="M42" s="196"/>
      <c r="N42" s="196"/>
      <c r="O42" s="196"/>
      <c r="P42" s="196"/>
      <c r="Q42" s="196"/>
      <c r="R42" s="195"/>
      <c r="S42" s="203" t="s">
        <v>65</v>
      </c>
      <c r="T42" s="204"/>
      <c r="U42" s="204"/>
      <c r="V42" s="204"/>
      <c r="W42" s="204"/>
      <c r="X42" s="204"/>
      <c r="Y42" s="204"/>
      <c r="Z42" s="204"/>
      <c r="AA42" s="204"/>
      <c r="AB42" s="205"/>
      <c r="AC42" s="194" t="s">
        <v>15</v>
      </c>
      <c r="AD42" s="196"/>
      <c r="AE42" s="196"/>
      <c r="AF42" s="196"/>
      <c r="AG42" s="196"/>
      <c r="AH42" s="196"/>
      <c r="AI42" s="196"/>
      <c r="AJ42" s="196"/>
      <c r="AK42" s="196"/>
      <c r="AL42" s="196"/>
      <c r="AM42" s="196"/>
      <c r="AN42" s="196"/>
      <c r="AO42" s="196"/>
      <c r="AP42" s="196"/>
      <c r="AQ42" s="196"/>
      <c r="AR42" s="196"/>
      <c r="AS42" s="196"/>
      <c r="AT42" s="196"/>
      <c r="AU42" s="195"/>
      <c r="AV42" s="20"/>
      <c r="AW42" s="20"/>
      <c r="AX42" s="20"/>
      <c r="AY42" s="20"/>
      <c r="AZ42" s="20"/>
      <c r="BA42" s="20"/>
      <c r="BB42" s="20"/>
      <c r="BC42" s="20"/>
      <c r="BD42" s="20"/>
      <c r="BE42" s="20"/>
      <c r="BF42" s="20"/>
      <c r="BG42" s="20"/>
      <c r="BH42" s="21"/>
      <c r="BI42" s="21"/>
      <c r="BJ42" s="21"/>
      <c r="BK42" s="17"/>
    </row>
    <row r="43" spans="1:63" s="18" customFormat="1" ht="15" customHeight="1" x14ac:dyDescent="0.25">
      <c r="A43" s="13"/>
      <c r="B43" s="20"/>
      <c r="C43" s="191">
        <v>1</v>
      </c>
      <c r="D43" s="193"/>
      <c r="E43" s="191" t="s">
        <v>23</v>
      </c>
      <c r="F43" s="192"/>
      <c r="G43" s="192"/>
      <c r="H43" s="192"/>
      <c r="I43" s="192"/>
      <c r="J43" s="192"/>
      <c r="K43" s="193"/>
      <c r="L43" s="191" t="s">
        <v>37</v>
      </c>
      <c r="M43" s="192"/>
      <c r="N43" s="192"/>
      <c r="O43" s="192"/>
      <c r="P43" s="192"/>
      <c r="Q43" s="192"/>
      <c r="R43" s="193"/>
      <c r="S43" s="197" t="s">
        <v>25</v>
      </c>
      <c r="T43" s="198"/>
      <c r="U43" s="198"/>
      <c r="V43" s="198"/>
      <c r="W43" s="198"/>
      <c r="X43" s="198"/>
      <c r="Y43" s="198"/>
      <c r="Z43" s="198"/>
      <c r="AA43" s="198"/>
      <c r="AB43" s="199"/>
      <c r="AC43" s="191" t="s">
        <v>36</v>
      </c>
      <c r="AD43" s="192"/>
      <c r="AE43" s="192"/>
      <c r="AF43" s="192"/>
      <c r="AG43" s="192"/>
      <c r="AH43" s="192"/>
      <c r="AI43" s="192"/>
      <c r="AJ43" s="192"/>
      <c r="AK43" s="192"/>
      <c r="AL43" s="192"/>
      <c r="AM43" s="192"/>
      <c r="AN43" s="192"/>
      <c r="AO43" s="192"/>
      <c r="AP43" s="192"/>
      <c r="AQ43" s="192"/>
      <c r="AR43" s="192"/>
      <c r="AS43" s="192"/>
      <c r="AT43" s="192"/>
      <c r="AU43" s="193"/>
      <c r="AV43" s="20"/>
      <c r="AW43" s="20"/>
      <c r="AX43" s="20"/>
      <c r="AY43" s="20"/>
      <c r="AZ43" s="20"/>
      <c r="BA43" s="20"/>
      <c r="BB43" s="20"/>
      <c r="BC43" s="20"/>
      <c r="BD43" s="20"/>
      <c r="BE43" s="20"/>
      <c r="BF43" s="20"/>
      <c r="BG43" s="20"/>
      <c r="BH43" s="21"/>
      <c r="BI43" s="21"/>
      <c r="BJ43" s="21"/>
      <c r="BK43" s="17"/>
    </row>
    <row r="44" spans="1:63" s="18" customFormat="1" ht="15" customHeight="1" x14ac:dyDescent="0.25">
      <c r="A44" s="13"/>
      <c r="B44" s="20"/>
      <c r="C44" s="191">
        <f>C43+1</f>
        <v>2</v>
      </c>
      <c r="D44" s="193"/>
      <c r="E44" s="191" t="s">
        <v>24</v>
      </c>
      <c r="F44" s="192"/>
      <c r="G44" s="192"/>
      <c r="H44" s="192"/>
      <c r="I44" s="192"/>
      <c r="J44" s="192"/>
      <c r="K44" s="193"/>
      <c r="L44" s="191" t="s">
        <v>37</v>
      </c>
      <c r="M44" s="192"/>
      <c r="N44" s="192"/>
      <c r="O44" s="192"/>
      <c r="P44" s="192"/>
      <c r="Q44" s="192"/>
      <c r="R44" s="193"/>
      <c r="S44" s="197" t="s">
        <v>26</v>
      </c>
      <c r="T44" s="198"/>
      <c r="U44" s="198"/>
      <c r="V44" s="198"/>
      <c r="W44" s="198"/>
      <c r="X44" s="198"/>
      <c r="Y44" s="198"/>
      <c r="Z44" s="198"/>
      <c r="AA44" s="198"/>
      <c r="AB44" s="199"/>
      <c r="AC44" s="191" t="s">
        <v>27</v>
      </c>
      <c r="AD44" s="192"/>
      <c r="AE44" s="192"/>
      <c r="AF44" s="192"/>
      <c r="AG44" s="192"/>
      <c r="AH44" s="192"/>
      <c r="AI44" s="192"/>
      <c r="AJ44" s="192"/>
      <c r="AK44" s="192"/>
      <c r="AL44" s="192"/>
      <c r="AM44" s="192"/>
      <c r="AN44" s="192"/>
      <c r="AO44" s="192"/>
      <c r="AP44" s="192"/>
      <c r="AQ44" s="192"/>
      <c r="AR44" s="192"/>
      <c r="AS44" s="192"/>
      <c r="AT44" s="192"/>
      <c r="AU44" s="193"/>
      <c r="AV44" s="20"/>
      <c r="AW44" s="20"/>
      <c r="AX44" s="20"/>
      <c r="AY44" s="20"/>
      <c r="AZ44" s="20"/>
      <c r="BA44" s="20"/>
      <c r="BB44" s="20"/>
      <c r="BC44" s="20"/>
      <c r="BD44" s="20"/>
      <c r="BE44" s="20"/>
      <c r="BF44" s="20"/>
      <c r="BG44" s="20"/>
      <c r="BH44" s="21"/>
      <c r="BI44" s="21"/>
      <c r="BJ44" s="21"/>
      <c r="BK44" s="17"/>
    </row>
    <row r="45" spans="1:63" s="47" customFormat="1" ht="15" customHeight="1" x14ac:dyDescent="0.25">
      <c r="A45" s="43"/>
      <c r="B45" s="44"/>
      <c r="C45" s="251">
        <v>3</v>
      </c>
      <c r="D45" s="252"/>
      <c r="E45" s="251" t="s">
        <v>73</v>
      </c>
      <c r="F45" s="253"/>
      <c r="G45" s="253"/>
      <c r="H45" s="253"/>
      <c r="I45" s="253"/>
      <c r="J45" s="253"/>
      <c r="K45" s="252"/>
      <c r="L45" s="251" t="s">
        <v>74</v>
      </c>
      <c r="M45" s="253"/>
      <c r="N45" s="253"/>
      <c r="O45" s="253"/>
      <c r="P45" s="253"/>
      <c r="Q45" s="253"/>
      <c r="R45" s="252"/>
      <c r="S45" s="254" t="s">
        <v>75</v>
      </c>
      <c r="T45" s="255"/>
      <c r="U45" s="255"/>
      <c r="V45" s="255"/>
      <c r="W45" s="255"/>
      <c r="X45" s="255"/>
      <c r="Y45" s="255"/>
      <c r="Z45" s="255"/>
      <c r="AA45" s="255"/>
      <c r="AB45" s="256"/>
      <c r="AC45" s="251" t="s">
        <v>5</v>
      </c>
      <c r="AD45" s="253"/>
      <c r="AE45" s="253"/>
      <c r="AF45" s="253"/>
      <c r="AG45" s="253"/>
      <c r="AH45" s="253"/>
      <c r="AI45" s="253"/>
      <c r="AJ45" s="253"/>
      <c r="AK45" s="253"/>
      <c r="AL45" s="253"/>
      <c r="AM45" s="253"/>
      <c r="AN45" s="253"/>
      <c r="AO45" s="253"/>
      <c r="AP45" s="253"/>
      <c r="AQ45" s="253"/>
      <c r="AR45" s="253"/>
      <c r="AS45" s="253"/>
      <c r="AT45" s="253"/>
      <c r="AU45" s="252"/>
      <c r="AV45" s="44"/>
      <c r="AW45" s="44"/>
      <c r="AX45" s="44"/>
      <c r="AY45" s="44"/>
      <c r="AZ45" s="44"/>
      <c r="BA45" s="44"/>
      <c r="BB45" s="44"/>
      <c r="BC45" s="44"/>
      <c r="BD45" s="44"/>
      <c r="BE45" s="44"/>
      <c r="BF45" s="44"/>
      <c r="BG45" s="44"/>
      <c r="BH45" s="45"/>
      <c r="BI45" s="45"/>
      <c r="BJ45" s="45"/>
      <c r="BK45" s="46"/>
    </row>
    <row r="46" spans="1:63" s="47" customFormat="1" ht="15" customHeight="1" x14ac:dyDescent="0.25">
      <c r="A46" s="43"/>
      <c r="B46" s="44"/>
      <c r="C46" s="251">
        <f t="shared" ref="C46:C56" si="0">C45+1</f>
        <v>4</v>
      </c>
      <c r="D46" s="252"/>
      <c r="E46" s="275" t="s">
        <v>76</v>
      </c>
      <c r="F46" s="276"/>
      <c r="G46" s="276"/>
      <c r="H46" s="276"/>
      <c r="I46" s="276"/>
      <c r="J46" s="276"/>
      <c r="K46" s="277"/>
      <c r="L46" s="251" t="s">
        <v>77</v>
      </c>
      <c r="M46" s="253"/>
      <c r="N46" s="253"/>
      <c r="O46" s="253"/>
      <c r="P46" s="253"/>
      <c r="Q46" s="253"/>
      <c r="R46" s="252"/>
      <c r="S46" s="254" t="s">
        <v>78</v>
      </c>
      <c r="T46" s="255"/>
      <c r="U46" s="255"/>
      <c r="V46" s="255"/>
      <c r="W46" s="255"/>
      <c r="X46" s="255"/>
      <c r="Y46" s="255"/>
      <c r="Z46" s="255"/>
      <c r="AA46" s="255"/>
      <c r="AB46" s="256"/>
      <c r="AC46" s="251" t="s">
        <v>5</v>
      </c>
      <c r="AD46" s="253"/>
      <c r="AE46" s="253"/>
      <c r="AF46" s="253"/>
      <c r="AG46" s="253"/>
      <c r="AH46" s="253"/>
      <c r="AI46" s="253"/>
      <c r="AJ46" s="253"/>
      <c r="AK46" s="253"/>
      <c r="AL46" s="253"/>
      <c r="AM46" s="253"/>
      <c r="AN46" s="253"/>
      <c r="AO46" s="253"/>
      <c r="AP46" s="253"/>
      <c r="AQ46" s="253"/>
      <c r="AR46" s="253"/>
      <c r="AS46" s="253"/>
      <c r="AT46" s="253"/>
      <c r="AU46" s="252"/>
      <c r="AV46" s="44"/>
      <c r="AW46" s="44"/>
      <c r="AX46" s="44"/>
      <c r="AY46" s="44"/>
      <c r="AZ46" s="44"/>
      <c r="BA46" s="44"/>
      <c r="BB46" s="44"/>
      <c r="BC46" s="44"/>
      <c r="BD46" s="44"/>
      <c r="BE46" s="44"/>
      <c r="BF46" s="44"/>
      <c r="BG46" s="44"/>
      <c r="BH46" s="45"/>
      <c r="BI46" s="45"/>
      <c r="BJ46" s="45"/>
      <c r="BK46" s="46"/>
    </row>
    <row r="47" spans="1:63" s="47" customFormat="1" ht="15" customHeight="1" x14ac:dyDescent="0.25">
      <c r="A47" s="43"/>
      <c r="B47" s="44"/>
      <c r="C47" s="251">
        <f t="shared" si="0"/>
        <v>5</v>
      </c>
      <c r="D47" s="252"/>
      <c r="E47" s="275" t="s">
        <v>79</v>
      </c>
      <c r="F47" s="276"/>
      <c r="G47" s="276"/>
      <c r="H47" s="276"/>
      <c r="I47" s="276"/>
      <c r="J47" s="276"/>
      <c r="K47" s="277"/>
      <c r="L47" s="251" t="s">
        <v>77</v>
      </c>
      <c r="M47" s="253"/>
      <c r="N47" s="253"/>
      <c r="O47" s="253"/>
      <c r="P47" s="253"/>
      <c r="Q47" s="253"/>
      <c r="R47" s="252"/>
      <c r="S47" s="254" t="s">
        <v>80</v>
      </c>
      <c r="T47" s="255"/>
      <c r="U47" s="255"/>
      <c r="V47" s="255"/>
      <c r="W47" s="255"/>
      <c r="X47" s="255"/>
      <c r="Y47" s="255"/>
      <c r="Z47" s="255"/>
      <c r="AA47" s="255"/>
      <c r="AB47" s="256"/>
      <c r="AC47" s="251" t="s">
        <v>5</v>
      </c>
      <c r="AD47" s="253"/>
      <c r="AE47" s="253"/>
      <c r="AF47" s="253"/>
      <c r="AG47" s="253"/>
      <c r="AH47" s="253"/>
      <c r="AI47" s="253"/>
      <c r="AJ47" s="253"/>
      <c r="AK47" s="253"/>
      <c r="AL47" s="253"/>
      <c r="AM47" s="253"/>
      <c r="AN47" s="253"/>
      <c r="AO47" s="253"/>
      <c r="AP47" s="253"/>
      <c r="AQ47" s="253"/>
      <c r="AR47" s="253"/>
      <c r="AS47" s="253"/>
      <c r="AT47" s="253"/>
      <c r="AU47" s="252"/>
      <c r="AV47" s="44"/>
      <c r="AW47" s="44"/>
      <c r="AX47" s="44"/>
      <c r="AY47" s="44"/>
      <c r="AZ47" s="44"/>
      <c r="BA47" s="44"/>
      <c r="BB47" s="44"/>
      <c r="BC47" s="44"/>
      <c r="BD47" s="44"/>
      <c r="BE47" s="44"/>
      <c r="BF47" s="44"/>
      <c r="BG47" s="44"/>
      <c r="BH47" s="45"/>
      <c r="BI47" s="45"/>
      <c r="BJ47" s="45"/>
      <c r="BK47" s="46"/>
    </row>
    <row r="48" spans="1:63" s="47" customFormat="1" ht="86.25" customHeight="1" x14ac:dyDescent="0.25">
      <c r="A48" s="43"/>
      <c r="B48" s="44"/>
      <c r="C48" s="251">
        <f t="shared" si="0"/>
        <v>6</v>
      </c>
      <c r="D48" s="252"/>
      <c r="E48" s="275" t="s">
        <v>81</v>
      </c>
      <c r="F48" s="276"/>
      <c r="G48" s="276"/>
      <c r="H48" s="276"/>
      <c r="I48" s="276"/>
      <c r="J48" s="276"/>
      <c r="K48" s="277"/>
      <c r="L48" s="251" t="s">
        <v>77</v>
      </c>
      <c r="M48" s="253"/>
      <c r="N48" s="253"/>
      <c r="O48" s="253"/>
      <c r="P48" s="253"/>
      <c r="Q48" s="253"/>
      <c r="R48" s="252"/>
      <c r="S48" s="254" t="s">
        <v>82</v>
      </c>
      <c r="T48" s="255"/>
      <c r="U48" s="255"/>
      <c r="V48" s="255"/>
      <c r="W48" s="255"/>
      <c r="X48" s="255"/>
      <c r="Y48" s="255"/>
      <c r="Z48" s="255"/>
      <c r="AA48" s="255"/>
      <c r="AB48" s="256"/>
      <c r="AC48" s="278" t="s">
        <v>83</v>
      </c>
      <c r="AD48" s="279"/>
      <c r="AE48" s="279"/>
      <c r="AF48" s="279"/>
      <c r="AG48" s="279"/>
      <c r="AH48" s="279"/>
      <c r="AI48" s="279"/>
      <c r="AJ48" s="279"/>
      <c r="AK48" s="279"/>
      <c r="AL48" s="279"/>
      <c r="AM48" s="279"/>
      <c r="AN48" s="279"/>
      <c r="AO48" s="279"/>
      <c r="AP48" s="279"/>
      <c r="AQ48" s="279"/>
      <c r="AR48" s="279"/>
      <c r="AS48" s="279"/>
      <c r="AT48" s="279"/>
      <c r="AU48" s="280"/>
      <c r="AV48" s="44"/>
      <c r="AW48" s="44"/>
      <c r="AX48" s="44"/>
      <c r="AY48" s="44"/>
      <c r="AZ48" s="44"/>
      <c r="BA48" s="44"/>
      <c r="BB48" s="44"/>
      <c r="BC48" s="44"/>
      <c r="BD48" s="44"/>
      <c r="BE48" s="44"/>
      <c r="BF48" s="44"/>
      <c r="BG48" s="44"/>
      <c r="BH48" s="45"/>
      <c r="BI48" s="45"/>
      <c r="BJ48" s="45"/>
      <c r="BK48" s="46"/>
    </row>
    <row r="49" spans="1:63" s="47" customFormat="1" ht="15" customHeight="1" x14ac:dyDescent="0.25">
      <c r="A49" s="43"/>
      <c r="B49" s="44"/>
      <c r="C49" s="251">
        <f t="shared" si="0"/>
        <v>7</v>
      </c>
      <c r="D49" s="252"/>
      <c r="E49" s="275" t="s">
        <v>84</v>
      </c>
      <c r="F49" s="276"/>
      <c r="G49" s="276"/>
      <c r="H49" s="276"/>
      <c r="I49" s="276"/>
      <c r="J49" s="276"/>
      <c r="K49" s="277"/>
      <c r="L49" s="251" t="s">
        <v>77</v>
      </c>
      <c r="M49" s="253"/>
      <c r="N49" s="253"/>
      <c r="O49" s="253"/>
      <c r="P49" s="253"/>
      <c r="Q49" s="253"/>
      <c r="R49" s="252"/>
      <c r="S49" s="254" t="s">
        <v>85</v>
      </c>
      <c r="T49" s="255"/>
      <c r="U49" s="255"/>
      <c r="V49" s="255"/>
      <c r="W49" s="255"/>
      <c r="X49" s="255"/>
      <c r="Y49" s="255"/>
      <c r="Z49" s="255"/>
      <c r="AA49" s="255"/>
      <c r="AB49" s="256"/>
      <c r="AC49" s="251" t="s">
        <v>5</v>
      </c>
      <c r="AD49" s="253"/>
      <c r="AE49" s="253"/>
      <c r="AF49" s="253"/>
      <c r="AG49" s="253"/>
      <c r="AH49" s="253"/>
      <c r="AI49" s="253"/>
      <c r="AJ49" s="253"/>
      <c r="AK49" s="253"/>
      <c r="AL49" s="253"/>
      <c r="AM49" s="253"/>
      <c r="AN49" s="253"/>
      <c r="AO49" s="253"/>
      <c r="AP49" s="253"/>
      <c r="AQ49" s="253"/>
      <c r="AR49" s="253"/>
      <c r="AS49" s="253"/>
      <c r="AT49" s="253"/>
      <c r="AU49" s="252"/>
      <c r="AV49" s="44"/>
      <c r="AW49" s="44"/>
      <c r="AX49" s="44"/>
      <c r="AY49" s="44"/>
      <c r="AZ49" s="44"/>
      <c r="BA49" s="44"/>
      <c r="BB49" s="44"/>
      <c r="BC49" s="44"/>
      <c r="BD49" s="44"/>
      <c r="BE49" s="44"/>
      <c r="BF49" s="44"/>
      <c r="BG49" s="44"/>
      <c r="BH49" s="45"/>
      <c r="BI49" s="45"/>
      <c r="BJ49" s="45"/>
      <c r="BK49" s="46"/>
    </row>
    <row r="50" spans="1:63" s="47" customFormat="1" ht="15" customHeight="1" x14ac:dyDescent="0.25">
      <c r="A50" s="43"/>
      <c r="B50" s="44"/>
      <c r="C50" s="251">
        <f t="shared" si="0"/>
        <v>8</v>
      </c>
      <c r="D50" s="252"/>
      <c r="E50" s="275" t="s">
        <v>86</v>
      </c>
      <c r="F50" s="276"/>
      <c r="G50" s="276"/>
      <c r="H50" s="276"/>
      <c r="I50" s="276"/>
      <c r="J50" s="276"/>
      <c r="K50" s="277"/>
      <c r="L50" s="251" t="s">
        <v>77</v>
      </c>
      <c r="M50" s="253"/>
      <c r="N50" s="253"/>
      <c r="O50" s="253"/>
      <c r="P50" s="253"/>
      <c r="Q50" s="253"/>
      <c r="R50" s="252"/>
      <c r="S50" s="254" t="s">
        <v>115</v>
      </c>
      <c r="T50" s="255"/>
      <c r="U50" s="255"/>
      <c r="V50" s="255"/>
      <c r="W50" s="255"/>
      <c r="X50" s="255"/>
      <c r="Y50" s="255"/>
      <c r="Z50" s="255"/>
      <c r="AA50" s="255"/>
      <c r="AB50" s="256"/>
      <c r="AC50" s="251" t="s">
        <v>87</v>
      </c>
      <c r="AD50" s="253"/>
      <c r="AE50" s="253"/>
      <c r="AF50" s="253"/>
      <c r="AG50" s="253"/>
      <c r="AH50" s="253"/>
      <c r="AI50" s="253"/>
      <c r="AJ50" s="253"/>
      <c r="AK50" s="253"/>
      <c r="AL50" s="253"/>
      <c r="AM50" s="253"/>
      <c r="AN50" s="253"/>
      <c r="AO50" s="253"/>
      <c r="AP50" s="253"/>
      <c r="AQ50" s="253"/>
      <c r="AR50" s="253"/>
      <c r="AS50" s="253"/>
      <c r="AT50" s="253"/>
      <c r="AU50" s="252"/>
      <c r="AV50" s="44"/>
      <c r="AW50" s="44"/>
      <c r="AX50" s="44"/>
      <c r="AY50" s="44"/>
      <c r="AZ50" s="44"/>
      <c r="BA50" s="44"/>
      <c r="BB50" s="44"/>
      <c r="BC50" s="44"/>
      <c r="BD50" s="44"/>
      <c r="BE50" s="44"/>
      <c r="BF50" s="44"/>
      <c r="BG50" s="44"/>
      <c r="BH50" s="45"/>
      <c r="BI50" s="45"/>
      <c r="BJ50" s="45"/>
      <c r="BK50" s="46"/>
    </row>
    <row r="51" spans="1:63" s="47" customFormat="1" ht="38.25" customHeight="1" x14ac:dyDescent="0.25">
      <c r="A51" s="43"/>
      <c r="B51" s="44"/>
      <c r="C51" s="291">
        <f t="shared" si="0"/>
        <v>9</v>
      </c>
      <c r="D51" s="292"/>
      <c r="E51" s="293" t="s">
        <v>110</v>
      </c>
      <c r="F51" s="294"/>
      <c r="G51" s="294"/>
      <c r="H51" s="294"/>
      <c r="I51" s="294"/>
      <c r="J51" s="294"/>
      <c r="K51" s="295"/>
      <c r="L51" s="291" t="s">
        <v>77</v>
      </c>
      <c r="M51" s="297"/>
      <c r="N51" s="297"/>
      <c r="O51" s="297"/>
      <c r="P51" s="297"/>
      <c r="Q51" s="297"/>
      <c r="R51" s="292"/>
      <c r="S51" s="298" t="s">
        <v>116</v>
      </c>
      <c r="T51" s="299"/>
      <c r="U51" s="299"/>
      <c r="V51" s="299"/>
      <c r="W51" s="299"/>
      <c r="X51" s="299"/>
      <c r="Y51" s="299"/>
      <c r="Z51" s="299"/>
      <c r="AA51" s="299"/>
      <c r="AB51" s="300"/>
      <c r="AC51" s="296" t="s">
        <v>119</v>
      </c>
      <c r="AD51" s="297"/>
      <c r="AE51" s="297"/>
      <c r="AF51" s="297"/>
      <c r="AG51" s="297"/>
      <c r="AH51" s="297"/>
      <c r="AI51" s="297"/>
      <c r="AJ51" s="297"/>
      <c r="AK51" s="297"/>
      <c r="AL51" s="297"/>
      <c r="AM51" s="297"/>
      <c r="AN51" s="297"/>
      <c r="AO51" s="297"/>
      <c r="AP51" s="297"/>
      <c r="AQ51" s="297"/>
      <c r="AR51" s="297"/>
      <c r="AS51" s="297"/>
      <c r="AT51" s="297"/>
      <c r="AU51" s="292"/>
      <c r="AV51" s="44"/>
      <c r="AW51" s="44"/>
      <c r="AX51" s="44"/>
      <c r="AY51" s="44"/>
      <c r="AZ51" s="44"/>
      <c r="BA51" s="44"/>
      <c r="BB51" s="44"/>
      <c r="BC51" s="44"/>
      <c r="BD51" s="44"/>
      <c r="BE51" s="44"/>
      <c r="BF51" s="44"/>
      <c r="BG51" s="44"/>
      <c r="BH51" s="45"/>
      <c r="BI51" s="45"/>
      <c r="BJ51" s="45"/>
      <c r="BK51" s="46"/>
    </row>
    <row r="52" spans="1:63" s="47" customFormat="1" ht="15" customHeight="1" x14ac:dyDescent="0.25">
      <c r="A52" s="43"/>
      <c r="B52" s="44"/>
      <c r="C52" s="291">
        <f t="shared" si="0"/>
        <v>10</v>
      </c>
      <c r="D52" s="292"/>
      <c r="E52" s="293" t="s">
        <v>111</v>
      </c>
      <c r="F52" s="294"/>
      <c r="G52" s="294"/>
      <c r="H52" s="294"/>
      <c r="I52" s="294"/>
      <c r="J52" s="294"/>
      <c r="K52" s="295"/>
      <c r="L52" s="291" t="s">
        <v>77</v>
      </c>
      <c r="M52" s="297"/>
      <c r="N52" s="297"/>
      <c r="O52" s="297"/>
      <c r="P52" s="297"/>
      <c r="Q52" s="297"/>
      <c r="R52" s="292"/>
      <c r="S52" s="298" t="s">
        <v>117</v>
      </c>
      <c r="T52" s="299"/>
      <c r="U52" s="299"/>
      <c r="V52" s="299"/>
      <c r="W52" s="299"/>
      <c r="X52" s="299"/>
      <c r="Y52" s="299"/>
      <c r="Z52" s="299"/>
      <c r="AA52" s="299"/>
      <c r="AB52" s="300"/>
      <c r="AC52" s="291" t="s">
        <v>112</v>
      </c>
      <c r="AD52" s="297"/>
      <c r="AE52" s="297"/>
      <c r="AF52" s="297"/>
      <c r="AG52" s="297"/>
      <c r="AH52" s="297"/>
      <c r="AI52" s="297"/>
      <c r="AJ52" s="297"/>
      <c r="AK52" s="297"/>
      <c r="AL52" s="297"/>
      <c r="AM52" s="297"/>
      <c r="AN52" s="297"/>
      <c r="AO52" s="297"/>
      <c r="AP52" s="297"/>
      <c r="AQ52" s="297"/>
      <c r="AR52" s="297"/>
      <c r="AS52" s="297"/>
      <c r="AT52" s="297"/>
      <c r="AU52" s="292"/>
      <c r="AV52" s="44"/>
      <c r="AW52" s="44"/>
      <c r="AX52" s="44"/>
      <c r="AY52" s="44"/>
      <c r="AZ52" s="44"/>
      <c r="BA52" s="44"/>
      <c r="BB52" s="44"/>
      <c r="BC52" s="44"/>
      <c r="BD52" s="44"/>
      <c r="BE52" s="44"/>
      <c r="BF52" s="44"/>
      <c r="BG52" s="44"/>
      <c r="BH52" s="45"/>
      <c r="BI52" s="45"/>
      <c r="BJ52" s="45"/>
      <c r="BK52" s="46"/>
    </row>
    <row r="53" spans="1:63" s="47" customFormat="1" ht="15" customHeight="1" x14ac:dyDescent="0.25">
      <c r="A53" s="43"/>
      <c r="B53" s="44"/>
      <c r="C53" s="291">
        <f t="shared" si="0"/>
        <v>11</v>
      </c>
      <c r="D53" s="292"/>
      <c r="E53" s="293" t="s">
        <v>113</v>
      </c>
      <c r="F53" s="294"/>
      <c r="G53" s="294"/>
      <c r="H53" s="294"/>
      <c r="I53" s="294"/>
      <c r="J53" s="294"/>
      <c r="K53" s="295"/>
      <c r="L53" s="291" t="s">
        <v>77</v>
      </c>
      <c r="M53" s="297"/>
      <c r="N53" s="297"/>
      <c r="O53" s="297"/>
      <c r="P53" s="297"/>
      <c r="Q53" s="297"/>
      <c r="R53" s="292"/>
      <c r="S53" s="298" t="s">
        <v>118</v>
      </c>
      <c r="T53" s="299"/>
      <c r="U53" s="299"/>
      <c r="V53" s="299"/>
      <c r="W53" s="299"/>
      <c r="X53" s="299"/>
      <c r="Y53" s="299"/>
      <c r="Z53" s="299"/>
      <c r="AA53" s="299"/>
      <c r="AB53" s="300"/>
      <c r="AC53" s="291" t="s">
        <v>114</v>
      </c>
      <c r="AD53" s="297"/>
      <c r="AE53" s="297"/>
      <c r="AF53" s="297"/>
      <c r="AG53" s="297"/>
      <c r="AH53" s="297"/>
      <c r="AI53" s="297"/>
      <c r="AJ53" s="297"/>
      <c r="AK53" s="297"/>
      <c r="AL53" s="297"/>
      <c r="AM53" s="297"/>
      <c r="AN53" s="297"/>
      <c r="AO53" s="297"/>
      <c r="AP53" s="297"/>
      <c r="AQ53" s="297"/>
      <c r="AR53" s="297"/>
      <c r="AS53" s="297"/>
      <c r="AT53" s="297"/>
      <c r="AU53" s="292"/>
      <c r="AV53" s="44"/>
      <c r="AW53" s="44"/>
      <c r="AX53" s="44"/>
      <c r="AY53" s="44"/>
      <c r="AZ53" s="44"/>
      <c r="BA53" s="44"/>
      <c r="BB53" s="44"/>
      <c r="BC53" s="44"/>
      <c r="BD53" s="44"/>
      <c r="BE53" s="44"/>
      <c r="BF53" s="44"/>
      <c r="BG53" s="44"/>
      <c r="BH53" s="45"/>
      <c r="BI53" s="45"/>
      <c r="BJ53" s="45"/>
      <c r="BK53" s="46"/>
    </row>
    <row r="54" spans="1:63" s="47" customFormat="1" ht="33" customHeight="1" x14ac:dyDescent="0.25">
      <c r="A54" s="43"/>
      <c r="B54" s="44"/>
      <c r="C54" s="291">
        <f t="shared" si="0"/>
        <v>12</v>
      </c>
      <c r="D54" s="292"/>
      <c r="E54" s="275" t="s">
        <v>88</v>
      </c>
      <c r="F54" s="276"/>
      <c r="G54" s="276"/>
      <c r="H54" s="276"/>
      <c r="I54" s="276"/>
      <c r="J54" s="276"/>
      <c r="K54" s="277"/>
      <c r="L54" s="251" t="s">
        <v>89</v>
      </c>
      <c r="M54" s="253"/>
      <c r="N54" s="253"/>
      <c r="O54" s="253"/>
      <c r="P54" s="253"/>
      <c r="Q54" s="253"/>
      <c r="R54" s="252"/>
      <c r="S54" s="281" t="s">
        <v>90</v>
      </c>
      <c r="T54" s="282"/>
      <c r="U54" s="282"/>
      <c r="V54" s="282"/>
      <c r="W54" s="282"/>
      <c r="X54" s="282"/>
      <c r="Y54" s="282"/>
      <c r="Z54" s="282"/>
      <c r="AA54" s="282"/>
      <c r="AB54" s="283"/>
      <c r="AC54" s="251" t="s">
        <v>5</v>
      </c>
      <c r="AD54" s="253"/>
      <c r="AE54" s="253"/>
      <c r="AF54" s="253"/>
      <c r="AG54" s="253"/>
      <c r="AH54" s="253"/>
      <c r="AI54" s="253"/>
      <c r="AJ54" s="253"/>
      <c r="AK54" s="253"/>
      <c r="AL54" s="253"/>
      <c r="AM54" s="253"/>
      <c r="AN54" s="253"/>
      <c r="AO54" s="253"/>
      <c r="AP54" s="253"/>
      <c r="AQ54" s="253"/>
      <c r="AR54" s="253"/>
      <c r="AS54" s="253"/>
      <c r="AT54" s="253"/>
      <c r="AU54" s="252"/>
      <c r="AV54" s="44"/>
      <c r="AW54" s="44"/>
      <c r="AX54" s="44"/>
      <c r="AY54" s="44"/>
      <c r="AZ54" s="44"/>
      <c r="BA54" s="44"/>
      <c r="BB54" s="44"/>
      <c r="BC54" s="44"/>
      <c r="BD54" s="44"/>
      <c r="BE54" s="44"/>
      <c r="BF54" s="44"/>
      <c r="BG54" s="44"/>
      <c r="BH54" s="45"/>
      <c r="BI54" s="45"/>
      <c r="BJ54" s="45"/>
      <c r="BK54" s="46"/>
    </row>
    <row r="55" spans="1:63" s="47" customFormat="1" ht="15" customHeight="1" x14ac:dyDescent="0.25">
      <c r="A55" s="43"/>
      <c r="B55" s="44"/>
      <c r="C55" s="291">
        <f t="shared" si="0"/>
        <v>13</v>
      </c>
      <c r="D55" s="292"/>
      <c r="E55" s="285" t="s">
        <v>91</v>
      </c>
      <c r="F55" s="286"/>
      <c r="G55" s="286"/>
      <c r="H55" s="286"/>
      <c r="I55" s="286"/>
      <c r="J55" s="286"/>
      <c r="K55" s="287"/>
      <c r="L55" s="251" t="s">
        <v>77</v>
      </c>
      <c r="M55" s="253"/>
      <c r="N55" s="253"/>
      <c r="O55" s="253"/>
      <c r="P55" s="253"/>
      <c r="Q55" s="253"/>
      <c r="R55" s="252"/>
      <c r="S55" s="254" t="s">
        <v>92</v>
      </c>
      <c r="T55" s="255"/>
      <c r="U55" s="255"/>
      <c r="V55" s="255"/>
      <c r="W55" s="255"/>
      <c r="X55" s="255"/>
      <c r="Y55" s="255"/>
      <c r="Z55" s="255"/>
      <c r="AA55" s="255"/>
      <c r="AB55" s="256"/>
      <c r="AC55" s="251" t="s">
        <v>93</v>
      </c>
      <c r="AD55" s="253"/>
      <c r="AE55" s="253"/>
      <c r="AF55" s="253"/>
      <c r="AG55" s="253"/>
      <c r="AH55" s="253"/>
      <c r="AI55" s="253"/>
      <c r="AJ55" s="253"/>
      <c r="AK55" s="253"/>
      <c r="AL55" s="253"/>
      <c r="AM55" s="253"/>
      <c r="AN55" s="253"/>
      <c r="AO55" s="253"/>
      <c r="AP55" s="253"/>
      <c r="AQ55" s="253"/>
      <c r="AR55" s="253"/>
      <c r="AS55" s="253"/>
      <c r="AT55" s="253"/>
      <c r="AU55" s="252"/>
      <c r="AV55" s="44"/>
      <c r="AW55" s="44"/>
      <c r="AX55" s="44"/>
      <c r="AY55" s="44"/>
      <c r="AZ55" s="44"/>
      <c r="BA55" s="44"/>
      <c r="BB55" s="44"/>
      <c r="BC55" s="44"/>
      <c r="BD55" s="44"/>
      <c r="BE55" s="44"/>
      <c r="BF55" s="44"/>
      <c r="BG55" s="44"/>
      <c r="BH55" s="45"/>
      <c r="BI55" s="45"/>
      <c r="BJ55" s="45"/>
      <c r="BK55" s="46"/>
    </row>
    <row r="56" spans="1:63" s="47" customFormat="1" ht="15" customHeight="1" x14ac:dyDescent="0.25">
      <c r="A56" s="43"/>
      <c r="B56" s="44"/>
      <c r="C56" s="291">
        <f t="shared" si="0"/>
        <v>14</v>
      </c>
      <c r="D56" s="292"/>
      <c r="E56" s="285" t="s">
        <v>94</v>
      </c>
      <c r="F56" s="286"/>
      <c r="G56" s="286"/>
      <c r="H56" s="286"/>
      <c r="I56" s="286"/>
      <c r="J56" s="286"/>
      <c r="K56" s="287"/>
      <c r="L56" s="251" t="s">
        <v>77</v>
      </c>
      <c r="M56" s="253"/>
      <c r="N56" s="253"/>
      <c r="O56" s="253"/>
      <c r="P56" s="253"/>
      <c r="Q56" s="253"/>
      <c r="R56" s="252"/>
      <c r="S56" s="254" t="s">
        <v>95</v>
      </c>
      <c r="T56" s="255"/>
      <c r="U56" s="255"/>
      <c r="V56" s="255"/>
      <c r="W56" s="255"/>
      <c r="X56" s="255"/>
      <c r="Y56" s="255"/>
      <c r="Z56" s="255"/>
      <c r="AA56" s="255"/>
      <c r="AB56" s="256"/>
      <c r="AC56" s="251" t="s">
        <v>96</v>
      </c>
      <c r="AD56" s="253"/>
      <c r="AE56" s="253"/>
      <c r="AF56" s="253"/>
      <c r="AG56" s="253"/>
      <c r="AH56" s="253"/>
      <c r="AI56" s="253"/>
      <c r="AJ56" s="253"/>
      <c r="AK56" s="253"/>
      <c r="AL56" s="253"/>
      <c r="AM56" s="253"/>
      <c r="AN56" s="253"/>
      <c r="AO56" s="253"/>
      <c r="AP56" s="253"/>
      <c r="AQ56" s="253"/>
      <c r="AR56" s="253"/>
      <c r="AS56" s="253"/>
      <c r="AT56" s="253"/>
      <c r="AU56" s="252"/>
      <c r="AV56" s="44"/>
      <c r="AW56" s="44"/>
      <c r="AX56" s="44"/>
      <c r="AY56" s="44"/>
      <c r="AZ56" s="44"/>
      <c r="BA56" s="44"/>
      <c r="BB56" s="44"/>
      <c r="BC56" s="44"/>
      <c r="BD56" s="44"/>
      <c r="BE56" s="44"/>
      <c r="BF56" s="44"/>
      <c r="BG56" s="44"/>
      <c r="BH56" s="45"/>
      <c r="BI56" s="45"/>
      <c r="BJ56" s="45"/>
      <c r="BK56" s="46"/>
    </row>
    <row r="57" spans="1:63" s="18" customFormat="1" ht="15" customHeight="1" x14ac:dyDescent="0.25">
      <c r="A57" s="13"/>
      <c r="B57" s="20"/>
      <c r="C57" s="20"/>
      <c r="D57" s="20"/>
      <c r="E57" s="79"/>
      <c r="F57" s="79"/>
      <c r="G57" s="79"/>
      <c r="H57" s="79"/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79"/>
      <c r="T57" s="79"/>
      <c r="U57" s="79"/>
      <c r="V57" s="79"/>
      <c r="W57" s="79"/>
      <c r="X57" s="79"/>
      <c r="Y57" s="79"/>
      <c r="Z57" s="79"/>
      <c r="AA57" s="79"/>
      <c r="AB57" s="20"/>
      <c r="AC57" s="79"/>
      <c r="AD57" s="79"/>
      <c r="AE57" s="79"/>
      <c r="AF57" s="79"/>
      <c r="AG57" s="79"/>
      <c r="AH57" s="79"/>
      <c r="AI57" s="79"/>
      <c r="AJ57" s="79"/>
      <c r="AK57" s="79"/>
      <c r="AL57" s="79"/>
      <c r="AM57" s="20"/>
      <c r="AN57" s="20"/>
      <c r="AO57" s="20"/>
      <c r="AP57" s="20"/>
      <c r="AQ57" s="20"/>
      <c r="AR57" s="20"/>
      <c r="AS57" s="20"/>
      <c r="AT57" s="20"/>
      <c r="AU57" s="20"/>
      <c r="AV57" s="20"/>
      <c r="AW57" s="20"/>
      <c r="AX57" s="20"/>
      <c r="AY57" s="20"/>
      <c r="AZ57" s="20"/>
      <c r="BA57" s="20"/>
      <c r="BB57" s="20"/>
      <c r="BC57" s="20"/>
      <c r="BD57" s="20"/>
      <c r="BE57" s="20"/>
      <c r="BF57" s="20"/>
      <c r="BG57" s="20"/>
      <c r="BH57" s="21"/>
      <c r="BI57" s="21"/>
      <c r="BJ57" s="21"/>
      <c r="BK57" s="17"/>
    </row>
    <row r="58" spans="1:63" s="18" customFormat="1" ht="15" customHeight="1" x14ac:dyDescent="0.25">
      <c r="A58" s="13"/>
      <c r="B58" s="20"/>
      <c r="C58" s="23" t="s">
        <v>97</v>
      </c>
      <c r="D58" s="20"/>
      <c r="E58" s="79"/>
      <c r="F58" s="20"/>
      <c r="G58" s="79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  <c r="AA58" s="20"/>
      <c r="AB58" s="20"/>
      <c r="AC58" s="20"/>
      <c r="AD58" s="20"/>
      <c r="AE58" s="20"/>
      <c r="AF58" s="20"/>
      <c r="AG58" s="20"/>
      <c r="AH58" s="20"/>
      <c r="AI58" s="20"/>
      <c r="AJ58" s="20"/>
      <c r="AK58" s="20"/>
      <c r="AL58" s="20"/>
      <c r="AM58" s="20"/>
      <c r="AN58" s="20"/>
      <c r="AO58" s="20"/>
      <c r="AP58" s="20"/>
      <c r="AQ58" s="20"/>
      <c r="AR58" s="20"/>
      <c r="AS58" s="20"/>
      <c r="AT58" s="20"/>
      <c r="AU58" s="20"/>
      <c r="AV58" s="20"/>
      <c r="AW58" s="20"/>
      <c r="AX58" s="20"/>
      <c r="AY58" s="20"/>
      <c r="AZ58" s="20"/>
      <c r="BA58" s="20"/>
      <c r="BB58" s="20"/>
      <c r="BC58" s="20"/>
      <c r="BD58" s="20"/>
      <c r="BE58" s="20"/>
      <c r="BF58" s="20"/>
      <c r="BG58" s="20"/>
      <c r="BH58" s="21"/>
      <c r="BI58" s="21"/>
      <c r="BJ58" s="21"/>
      <c r="BK58" s="17"/>
    </row>
    <row r="59" spans="1:63" s="18" customFormat="1" ht="15" customHeight="1" x14ac:dyDescent="0.25">
      <c r="A59" s="13"/>
      <c r="B59" s="20"/>
      <c r="C59" s="23"/>
      <c r="D59" s="79"/>
      <c r="E59" s="79"/>
      <c r="F59" s="20"/>
      <c r="G59" s="79"/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  <c r="AA59" s="20"/>
      <c r="AB59" s="20"/>
      <c r="AC59" s="20"/>
      <c r="AD59" s="20"/>
      <c r="AE59" s="20"/>
      <c r="AF59" s="20"/>
      <c r="AG59" s="20"/>
      <c r="AH59" s="20"/>
      <c r="AI59" s="20"/>
      <c r="AJ59" s="20"/>
      <c r="AK59" s="20"/>
      <c r="AL59" s="20"/>
      <c r="AM59" s="20"/>
      <c r="AN59" s="20"/>
      <c r="AO59" s="20"/>
      <c r="AP59" s="20"/>
      <c r="AQ59" s="20"/>
      <c r="AR59" s="20"/>
      <c r="AS59" s="20"/>
      <c r="AT59" s="20"/>
      <c r="AU59" s="20"/>
      <c r="AV59" s="20"/>
      <c r="AW59" s="20"/>
      <c r="AX59" s="20"/>
      <c r="AY59" s="20"/>
      <c r="AZ59" s="20"/>
      <c r="BA59" s="20"/>
      <c r="BB59" s="20"/>
      <c r="BC59" s="20"/>
      <c r="BD59" s="20"/>
      <c r="BE59" s="20"/>
      <c r="BF59" s="20"/>
      <c r="BG59" s="20"/>
      <c r="BH59" s="21"/>
      <c r="BI59" s="21"/>
      <c r="BJ59" s="21"/>
      <c r="BK59" s="17"/>
    </row>
    <row r="60" spans="1:63" s="18" customFormat="1" ht="15" customHeight="1" x14ac:dyDescent="0.25">
      <c r="A60" s="13"/>
      <c r="B60" s="20"/>
      <c r="C60" s="80"/>
      <c r="D60" s="30"/>
      <c r="E60" s="30"/>
      <c r="F60" s="30"/>
      <c r="G60" s="30"/>
      <c r="H60" s="30"/>
      <c r="I60" s="30"/>
      <c r="J60" s="30"/>
      <c r="K60" s="30"/>
      <c r="L60" s="30"/>
      <c r="M60" s="30"/>
      <c r="N60" s="30"/>
      <c r="O60" s="30"/>
      <c r="P60" s="30"/>
      <c r="Q60" s="30"/>
      <c r="R60" s="30"/>
      <c r="S60" s="30"/>
      <c r="T60" s="30"/>
      <c r="U60" s="30"/>
      <c r="V60" s="30"/>
      <c r="W60" s="31"/>
      <c r="X60" s="31"/>
      <c r="Y60" s="31"/>
      <c r="Z60" s="31"/>
      <c r="AA60" s="31"/>
      <c r="AB60" s="31"/>
      <c r="AC60" s="31"/>
      <c r="AD60" s="31"/>
      <c r="AE60" s="31"/>
      <c r="AF60" s="31"/>
      <c r="AG60" s="31"/>
      <c r="AH60" s="31"/>
      <c r="AI60" s="31"/>
      <c r="AJ60" s="31"/>
      <c r="AK60" s="31"/>
      <c r="AL60" s="31"/>
      <c r="AM60" s="31"/>
      <c r="AN60" s="31"/>
      <c r="AO60" s="31"/>
      <c r="AP60" s="31"/>
      <c r="AQ60" s="31"/>
      <c r="AR60" s="31"/>
      <c r="AS60" s="31"/>
      <c r="AT60" s="31"/>
      <c r="AU60" s="24"/>
      <c r="AV60" s="20"/>
      <c r="AW60" s="20"/>
      <c r="AX60" s="20"/>
      <c r="AY60" s="20"/>
      <c r="AZ60" s="20"/>
      <c r="BA60" s="20"/>
      <c r="BB60" s="20"/>
      <c r="BC60" s="20"/>
      <c r="BD60" s="20"/>
      <c r="BE60" s="20"/>
      <c r="BF60" s="20"/>
      <c r="BG60" s="20"/>
      <c r="BH60" s="21"/>
      <c r="BI60" s="21"/>
      <c r="BJ60" s="21"/>
      <c r="BK60" s="17"/>
    </row>
    <row r="61" spans="1:63" s="18" customFormat="1" ht="15" customHeight="1" x14ac:dyDescent="0.25">
      <c r="A61" s="13"/>
      <c r="B61" s="20"/>
      <c r="C61" s="81"/>
      <c r="D61" s="20" t="s">
        <v>20</v>
      </c>
      <c r="E61" s="20"/>
      <c r="F61" s="20"/>
      <c r="G61" s="20"/>
      <c r="H61" s="20"/>
      <c r="I61" s="20"/>
      <c r="J61" s="20"/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  <c r="AA61" s="20"/>
      <c r="AB61" s="20"/>
      <c r="AC61" s="20"/>
      <c r="AD61" s="20"/>
      <c r="AE61" s="20"/>
      <c r="AF61" s="20"/>
      <c r="AG61" s="20"/>
      <c r="AH61" s="20"/>
      <c r="AI61" s="20"/>
      <c r="AJ61" s="20"/>
      <c r="AK61" s="20"/>
      <c r="AL61" s="20"/>
      <c r="AM61" s="20"/>
      <c r="AN61" s="20"/>
      <c r="AO61" s="20"/>
      <c r="AP61" s="20"/>
      <c r="AQ61" s="20"/>
      <c r="AR61" s="20"/>
      <c r="AS61" s="20"/>
      <c r="AT61" s="20"/>
      <c r="AU61" s="25"/>
      <c r="AV61" s="20"/>
      <c r="AW61" s="20"/>
      <c r="AX61" s="20"/>
      <c r="AY61" s="20"/>
      <c r="AZ61" s="20"/>
      <c r="BA61" s="20"/>
      <c r="BB61" s="20"/>
      <c r="BC61" s="20"/>
      <c r="BD61" s="20"/>
      <c r="BE61" s="20"/>
      <c r="BF61" s="20"/>
      <c r="BG61" s="20"/>
      <c r="BH61" s="21"/>
      <c r="BI61" s="21"/>
      <c r="BJ61" s="21"/>
      <c r="BK61" s="17"/>
    </row>
    <row r="62" spans="1:63" s="18" customFormat="1" ht="70.5" customHeight="1" x14ac:dyDescent="0.25">
      <c r="A62" s="13"/>
      <c r="B62" s="20"/>
      <c r="C62" s="81"/>
      <c r="D62" s="20"/>
      <c r="E62" s="284" t="s">
        <v>28</v>
      </c>
      <c r="F62" s="284"/>
      <c r="G62" s="284"/>
      <c r="H62" s="284"/>
      <c r="I62" s="284"/>
      <c r="J62" s="284"/>
      <c r="K62" s="284"/>
      <c r="L62" s="284"/>
      <c r="M62" s="284"/>
      <c r="N62" s="284"/>
      <c r="O62" s="284"/>
      <c r="P62" s="284"/>
      <c r="Q62" s="284"/>
      <c r="R62" s="284"/>
      <c r="S62" s="284"/>
      <c r="T62" s="284"/>
      <c r="U62" s="284"/>
      <c r="V62" s="284"/>
      <c r="W62" s="284"/>
      <c r="X62" s="284"/>
      <c r="Y62" s="284"/>
      <c r="Z62" s="284"/>
      <c r="AA62" s="284"/>
      <c r="AB62" s="284"/>
      <c r="AC62" s="284"/>
      <c r="AD62" s="284"/>
      <c r="AE62" s="284"/>
      <c r="AF62" s="284"/>
      <c r="AG62" s="284"/>
      <c r="AH62" s="284"/>
      <c r="AI62" s="284"/>
      <c r="AJ62" s="284"/>
      <c r="AK62" s="284"/>
      <c r="AL62" s="284"/>
      <c r="AM62" s="284"/>
      <c r="AN62" s="284"/>
      <c r="AO62" s="284"/>
      <c r="AP62" s="284"/>
      <c r="AQ62" s="284"/>
      <c r="AR62" s="284"/>
      <c r="AS62" s="284"/>
      <c r="AT62" s="20"/>
      <c r="AU62" s="25"/>
      <c r="AV62" s="20"/>
      <c r="AW62" s="20"/>
      <c r="AX62" s="20"/>
      <c r="AY62" s="20"/>
      <c r="AZ62" s="20"/>
      <c r="BA62" s="20"/>
      <c r="BB62" s="20"/>
      <c r="BC62" s="20"/>
      <c r="BD62" s="20"/>
      <c r="BE62" s="20"/>
      <c r="BF62" s="20"/>
      <c r="BG62" s="20"/>
      <c r="BH62" s="21"/>
      <c r="BI62" s="21"/>
      <c r="BJ62" s="21"/>
      <c r="BK62" s="17"/>
    </row>
    <row r="63" spans="1:63" s="18" customFormat="1" ht="15" customHeight="1" x14ac:dyDescent="0.25">
      <c r="A63" s="13"/>
      <c r="B63" s="20"/>
      <c r="C63" s="81"/>
      <c r="D63" s="20"/>
      <c r="E63" s="20" t="s">
        <v>34</v>
      </c>
      <c r="F63" s="20"/>
      <c r="G63" s="20"/>
      <c r="H63" s="20"/>
      <c r="I63" s="20"/>
      <c r="J63" s="20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  <c r="AA63" s="20"/>
      <c r="AB63" s="20"/>
      <c r="AC63" s="20"/>
      <c r="AD63" s="20"/>
      <c r="AE63" s="20"/>
      <c r="AF63" s="20"/>
      <c r="AG63" s="20"/>
      <c r="AH63" s="20"/>
      <c r="AI63" s="20"/>
      <c r="AJ63" s="20"/>
      <c r="AK63" s="20"/>
      <c r="AL63" s="20"/>
      <c r="AM63" s="20"/>
      <c r="AN63" s="20"/>
      <c r="AO63" s="20"/>
      <c r="AP63" s="20"/>
      <c r="AQ63" s="20"/>
      <c r="AR63" s="20"/>
      <c r="AS63" s="20"/>
      <c r="AT63" s="20"/>
      <c r="AU63" s="25"/>
      <c r="AV63" s="20"/>
      <c r="AW63" s="20"/>
      <c r="AX63" s="20"/>
      <c r="AY63" s="20"/>
      <c r="AZ63" s="20"/>
      <c r="BA63" s="20"/>
      <c r="BB63" s="20"/>
      <c r="BC63" s="20"/>
      <c r="BD63" s="20"/>
      <c r="BE63" s="20"/>
      <c r="BF63" s="20"/>
      <c r="BG63" s="20"/>
      <c r="BH63" s="21"/>
      <c r="BI63" s="21"/>
      <c r="BJ63" s="21"/>
      <c r="BK63" s="17"/>
    </row>
    <row r="64" spans="1:63" s="53" customFormat="1" ht="15" customHeight="1" x14ac:dyDescent="0.25">
      <c r="A64" s="48"/>
      <c r="B64" s="49"/>
      <c r="C64" s="48"/>
      <c r="D64" s="49"/>
      <c r="E64" s="44" t="s">
        <v>98</v>
      </c>
      <c r="F64" s="49"/>
      <c r="G64" s="49"/>
      <c r="H64" s="49"/>
      <c r="I64" s="49"/>
      <c r="J64" s="49"/>
      <c r="K64" s="49"/>
      <c r="L64" s="49"/>
      <c r="M64" s="49"/>
      <c r="N64" s="49"/>
      <c r="O64" s="49"/>
      <c r="P64" s="49"/>
      <c r="Q64" s="49"/>
      <c r="R64" s="49"/>
      <c r="S64" s="49"/>
      <c r="T64" s="49"/>
      <c r="U64" s="49"/>
      <c r="V64" s="49"/>
      <c r="W64" s="49"/>
      <c r="X64" s="49"/>
      <c r="Y64" s="49"/>
      <c r="Z64" s="49"/>
      <c r="AA64" s="49"/>
      <c r="AB64" s="49"/>
      <c r="AC64" s="49"/>
      <c r="AD64" s="49"/>
      <c r="AE64" s="49"/>
      <c r="AF64" s="49"/>
      <c r="AG64" s="49"/>
      <c r="AH64" s="49"/>
      <c r="AI64" s="49"/>
      <c r="AJ64" s="49"/>
      <c r="AK64" s="49"/>
      <c r="AL64" s="49"/>
      <c r="AM64" s="49"/>
      <c r="AN64" s="49"/>
      <c r="AO64" s="49"/>
      <c r="AP64" s="49"/>
      <c r="AQ64" s="49"/>
      <c r="AR64" s="49"/>
      <c r="AS64" s="49"/>
      <c r="AT64" s="49"/>
      <c r="AU64" s="50"/>
      <c r="AV64" s="49"/>
      <c r="AW64" s="49"/>
      <c r="AX64" s="49"/>
      <c r="AY64" s="49"/>
      <c r="AZ64" s="49"/>
      <c r="BA64" s="49"/>
      <c r="BB64" s="49"/>
      <c r="BC64" s="49"/>
      <c r="BD64" s="49"/>
      <c r="BE64" s="49"/>
      <c r="BF64" s="49"/>
      <c r="BG64" s="49"/>
      <c r="BH64" s="51"/>
      <c r="BI64" s="51"/>
      <c r="BJ64" s="51"/>
      <c r="BK64" s="52"/>
    </row>
    <row r="65" spans="1:63" s="53" customFormat="1" ht="15" customHeight="1" x14ac:dyDescent="0.25">
      <c r="A65" s="48"/>
      <c r="B65" s="49"/>
      <c r="C65" s="48"/>
      <c r="D65" s="49"/>
      <c r="E65" s="49"/>
      <c r="F65" s="49" t="s">
        <v>99</v>
      </c>
      <c r="G65" s="49"/>
      <c r="H65" s="49"/>
      <c r="I65" s="49"/>
      <c r="J65" s="49"/>
      <c r="K65" s="49"/>
      <c r="L65" s="49"/>
      <c r="M65" s="49"/>
      <c r="N65" s="49"/>
      <c r="O65" s="49"/>
      <c r="P65" s="49"/>
      <c r="Q65" s="49"/>
      <c r="R65" s="49"/>
      <c r="S65" s="49"/>
      <c r="T65" s="49"/>
      <c r="U65" s="49"/>
      <c r="V65" s="49"/>
      <c r="W65" s="49"/>
      <c r="X65" s="49"/>
      <c r="Y65" s="49"/>
      <c r="Z65" s="49"/>
      <c r="AA65" s="49"/>
      <c r="AB65" s="49"/>
      <c r="AC65" s="49"/>
      <c r="AD65" s="49"/>
      <c r="AE65" s="49"/>
      <c r="AF65" s="49"/>
      <c r="AG65" s="49"/>
      <c r="AH65" s="49"/>
      <c r="AI65" s="49"/>
      <c r="AJ65" s="49"/>
      <c r="AK65" s="49"/>
      <c r="AL65" s="49"/>
      <c r="AM65" s="49"/>
      <c r="AN65" s="49"/>
      <c r="AO65" s="49"/>
      <c r="AP65" s="49"/>
      <c r="AQ65" s="49"/>
      <c r="AR65" s="49"/>
      <c r="AS65" s="49"/>
      <c r="AT65" s="49"/>
      <c r="AU65" s="50"/>
      <c r="AV65" s="49"/>
      <c r="AW65" s="49"/>
      <c r="AX65" s="49"/>
      <c r="AY65" s="49"/>
      <c r="AZ65" s="49"/>
      <c r="BA65" s="49"/>
      <c r="BB65" s="49"/>
      <c r="BC65" s="49"/>
      <c r="BD65" s="49"/>
      <c r="BE65" s="49"/>
      <c r="BF65" s="49"/>
      <c r="BG65" s="49"/>
      <c r="BH65" s="51"/>
      <c r="BI65" s="51"/>
      <c r="BJ65" s="51"/>
      <c r="BK65" s="52"/>
    </row>
    <row r="66" spans="1:63" s="53" customFormat="1" ht="15" customHeight="1" x14ac:dyDescent="0.25">
      <c r="A66" s="48"/>
      <c r="B66" s="49"/>
      <c r="C66" s="48"/>
      <c r="D66" s="49"/>
      <c r="E66" s="49"/>
      <c r="F66" s="49" t="s">
        <v>100</v>
      </c>
      <c r="G66" s="49"/>
      <c r="H66" s="49"/>
      <c r="I66" s="49"/>
      <c r="J66" s="49"/>
      <c r="K66" s="49"/>
      <c r="L66" s="49"/>
      <c r="M66" s="49"/>
      <c r="N66" s="49"/>
      <c r="O66" s="49"/>
      <c r="P66" s="49"/>
      <c r="Q66" s="49"/>
      <c r="R66" s="49"/>
      <c r="S66" s="49"/>
      <c r="T66" s="49"/>
      <c r="U66" s="49"/>
      <c r="V66" s="49"/>
      <c r="W66" s="49"/>
      <c r="X66" s="49"/>
      <c r="Y66" s="49"/>
      <c r="Z66" s="49"/>
      <c r="AA66" s="49"/>
      <c r="AB66" s="49"/>
      <c r="AC66" s="49"/>
      <c r="AD66" s="49"/>
      <c r="AE66" s="49"/>
      <c r="AF66" s="49"/>
      <c r="AG66" s="49"/>
      <c r="AH66" s="49"/>
      <c r="AI66" s="49"/>
      <c r="AJ66" s="49"/>
      <c r="AK66" s="49"/>
      <c r="AL66" s="49"/>
      <c r="AM66" s="49"/>
      <c r="AN66" s="49"/>
      <c r="AO66" s="49"/>
      <c r="AP66" s="49"/>
      <c r="AQ66" s="49"/>
      <c r="AR66" s="49"/>
      <c r="AS66" s="49"/>
      <c r="AT66" s="49"/>
      <c r="AU66" s="50"/>
      <c r="AV66" s="49"/>
      <c r="AW66" s="49"/>
      <c r="AX66" s="49"/>
      <c r="AY66" s="49"/>
      <c r="AZ66" s="49"/>
      <c r="BA66" s="49"/>
      <c r="BB66" s="49"/>
      <c r="BC66" s="49"/>
      <c r="BD66" s="49"/>
      <c r="BE66" s="49"/>
      <c r="BF66" s="49"/>
      <c r="BG66" s="49"/>
      <c r="BH66" s="51"/>
      <c r="BI66" s="51"/>
      <c r="BJ66" s="51"/>
      <c r="BK66" s="52"/>
    </row>
    <row r="67" spans="1:63" s="53" customFormat="1" ht="15" customHeight="1" x14ac:dyDescent="0.25">
      <c r="A67" s="48"/>
      <c r="B67" s="49"/>
      <c r="C67" s="48"/>
      <c r="D67" s="49"/>
      <c r="E67" s="49"/>
      <c r="F67" s="49" t="s">
        <v>101</v>
      </c>
      <c r="G67" s="49"/>
      <c r="H67" s="49"/>
      <c r="I67" s="49"/>
      <c r="J67" s="49"/>
      <c r="K67" s="49"/>
      <c r="L67" s="49"/>
      <c r="M67" s="49"/>
      <c r="N67" s="49"/>
      <c r="O67" s="49"/>
      <c r="P67" s="49"/>
      <c r="Q67" s="49"/>
      <c r="R67" s="49"/>
      <c r="S67" s="49"/>
      <c r="T67" s="49"/>
      <c r="U67" s="49"/>
      <c r="V67" s="49"/>
      <c r="W67" s="49"/>
      <c r="X67" s="49"/>
      <c r="Y67" s="49"/>
      <c r="Z67" s="49"/>
      <c r="AA67" s="49"/>
      <c r="AB67" s="49"/>
      <c r="AC67" s="49"/>
      <c r="AD67" s="49"/>
      <c r="AE67" s="49"/>
      <c r="AF67" s="49"/>
      <c r="AG67" s="49"/>
      <c r="AH67" s="49"/>
      <c r="AI67" s="49"/>
      <c r="AJ67" s="49"/>
      <c r="AK67" s="49"/>
      <c r="AL67" s="49"/>
      <c r="AM67" s="49"/>
      <c r="AN67" s="49"/>
      <c r="AO67" s="49"/>
      <c r="AP67" s="49"/>
      <c r="AQ67" s="49"/>
      <c r="AR67" s="49"/>
      <c r="AS67" s="49"/>
      <c r="AT67" s="49"/>
      <c r="AU67" s="50"/>
      <c r="AV67" s="49"/>
      <c r="AW67" s="49"/>
      <c r="AX67" s="49"/>
      <c r="AY67" s="49"/>
      <c r="AZ67" s="49"/>
      <c r="BA67" s="49"/>
      <c r="BB67" s="49"/>
      <c r="BC67" s="49"/>
      <c r="BD67" s="49"/>
      <c r="BE67" s="49"/>
      <c r="BF67" s="49"/>
      <c r="BG67" s="49"/>
      <c r="BH67" s="51"/>
      <c r="BI67" s="51"/>
      <c r="BJ67" s="51"/>
      <c r="BK67" s="52"/>
    </row>
    <row r="68" spans="1:63" s="53" customFormat="1" ht="15" customHeight="1" x14ac:dyDescent="0.25">
      <c r="A68" s="48"/>
      <c r="B68" s="49"/>
      <c r="C68" s="48"/>
      <c r="D68" s="49"/>
      <c r="E68" s="49"/>
      <c r="F68" s="49" t="s">
        <v>102</v>
      </c>
      <c r="G68" s="49"/>
      <c r="H68" s="49"/>
      <c r="I68" s="49"/>
      <c r="J68" s="49"/>
      <c r="K68" s="49"/>
      <c r="L68" s="49"/>
      <c r="M68" s="49"/>
      <c r="N68" s="49"/>
      <c r="O68" s="49"/>
      <c r="P68" s="49"/>
      <c r="Q68" s="49"/>
      <c r="R68" s="49"/>
      <c r="S68" s="49"/>
      <c r="T68" s="49"/>
      <c r="U68" s="49"/>
      <c r="V68" s="49"/>
      <c r="W68" s="49"/>
      <c r="X68" s="49"/>
      <c r="Y68" s="49"/>
      <c r="Z68" s="49"/>
      <c r="AA68" s="49"/>
      <c r="AB68" s="49"/>
      <c r="AC68" s="49"/>
      <c r="AD68" s="49"/>
      <c r="AE68" s="49"/>
      <c r="AF68" s="49"/>
      <c r="AG68" s="49"/>
      <c r="AH68" s="49"/>
      <c r="AI68" s="49"/>
      <c r="AJ68" s="49"/>
      <c r="AK68" s="49"/>
      <c r="AL68" s="49"/>
      <c r="AM68" s="49"/>
      <c r="AN68" s="49"/>
      <c r="AO68" s="49"/>
      <c r="AP68" s="49"/>
      <c r="AQ68" s="49"/>
      <c r="AR68" s="49"/>
      <c r="AS68" s="49"/>
      <c r="AT68" s="49"/>
      <c r="AU68" s="50"/>
      <c r="AV68" s="49"/>
      <c r="AW68" s="49"/>
      <c r="AX68" s="49"/>
      <c r="AY68" s="49"/>
      <c r="AZ68" s="49"/>
      <c r="BA68" s="49"/>
      <c r="BB68" s="49"/>
      <c r="BC68" s="49"/>
      <c r="BD68" s="49"/>
      <c r="BE68" s="49"/>
      <c r="BF68" s="49"/>
      <c r="BG68" s="49"/>
      <c r="BH68" s="51"/>
      <c r="BI68" s="51"/>
      <c r="BJ68" s="51"/>
      <c r="BK68" s="52"/>
    </row>
    <row r="69" spans="1:63" s="53" customFormat="1" ht="15" customHeight="1" x14ac:dyDescent="0.25">
      <c r="A69" s="48"/>
      <c r="B69" s="49"/>
      <c r="C69" s="48"/>
      <c r="D69" s="49"/>
      <c r="E69" s="49"/>
      <c r="F69" s="49" t="s">
        <v>103</v>
      </c>
      <c r="G69" s="49"/>
      <c r="H69" s="49"/>
      <c r="I69" s="49"/>
      <c r="J69" s="49"/>
      <c r="K69" s="49"/>
      <c r="L69" s="49"/>
      <c r="M69" s="49"/>
      <c r="N69" s="49"/>
      <c r="O69" s="49"/>
      <c r="P69" s="49"/>
      <c r="Q69" s="49"/>
      <c r="R69" s="49"/>
      <c r="S69" s="49"/>
      <c r="T69" s="49"/>
      <c r="U69" s="49"/>
      <c r="V69" s="49"/>
      <c r="W69" s="49"/>
      <c r="X69" s="49"/>
      <c r="Y69" s="49"/>
      <c r="Z69" s="49"/>
      <c r="AA69" s="49"/>
      <c r="AB69" s="49"/>
      <c r="AC69" s="49"/>
      <c r="AD69" s="49"/>
      <c r="AE69" s="49"/>
      <c r="AF69" s="49"/>
      <c r="AG69" s="49"/>
      <c r="AH69" s="49"/>
      <c r="AI69" s="49"/>
      <c r="AJ69" s="49"/>
      <c r="AK69" s="49"/>
      <c r="AL69" s="49"/>
      <c r="AM69" s="49"/>
      <c r="AN69" s="49"/>
      <c r="AO69" s="49"/>
      <c r="AP69" s="49"/>
      <c r="AQ69" s="49"/>
      <c r="AR69" s="49"/>
      <c r="AS69" s="49"/>
      <c r="AT69" s="49"/>
      <c r="AU69" s="50"/>
      <c r="AV69" s="49"/>
      <c r="AW69" s="49"/>
      <c r="AX69" s="49"/>
      <c r="AY69" s="49"/>
      <c r="AZ69" s="49"/>
      <c r="BA69" s="49"/>
      <c r="BB69" s="49"/>
      <c r="BC69" s="49"/>
      <c r="BD69" s="49"/>
      <c r="BE69" s="49"/>
      <c r="BF69" s="49"/>
      <c r="BG69" s="49"/>
      <c r="BH69" s="51"/>
      <c r="BI69" s="51"/>
      <c r="BJ69" s="51"/>
      <c r="BK69" s="52"/>
    </row>
    <row r="70" spans="1:63" s="47" customFormat="1" ht="15" customHeight="1" x14ac:dyDescent="0.25">
      <c r="A70" s="43"/>
      <c r="B70" s="44"/>
      <c r="C70" s="43"/>
      <c r="D70" s="44"/>
      <c r="E70" s="44"/>
      <c r="F70" s="44" t="s">
        <v>104</v>
      </c>
      <c r="G70" s="44"/>
      <c r="H70" s="44"/>
      <c r="I70" s="44"/>
      <c r="J70" s="44"/>
      <c r="K70" s="44"/>
      <c r="L70" s="44"/>
      <c r="M70" s="44"/>
      <c r="N70" s="44"/>
      <c r="O70" s="44"/>
      <c r="P70" s="44"/>
      <c r="Q70" s="44"/>
      <c r="R70" s="44"/>
      <c r="S70" s="44"/>
      <c r="T70" s="44"/>
      <c r="U70" s="44"/>
      <c r="V70" s="44"/>
      <c r="W70" s="44"/>
      <c r="X70" s="44"/>
      <c r="Y70" s="44"/>
      <c r="Z70" s="44"/>
      <c r="AA70" s="44"/>
      <c r="AB70" s="44"/>
      <c r="AC70" s="44"/>
      <c r="AD70" s="44"/>
      <c r="AE70" s="44"/>
      <c r="AF70" s="44"/>
      <c r="AG70" s="44"/>
      <c r="AH70" s="44"/>
      <c r="AI70" s="44"/>
      <c r="AJ70" s="44"/>
      <c r="AK70" s="44"/>
      <c r="AL70" s="44"/>
      <c r="AM70" s="44"/>
      <c r="AN70" s="44"/>
      <c r="AO70" s="44"/>
      <c r="AP70" s="44"/>
      <c r="AQ70" s="44"/>
      <c r="AR70" s="44"/>
      <c r="AS70" s="44"/>
      <c r="AT70" s="44"/>
      <c r="AU70" s="54"/>
      <c r="AV70" s="44"/>
      <c r="AW70" s="44"/>
      <c r="AX70" s="44"/>
      <c r="AY70" s="44"/>
      <c r="AZ70" s="44"/>
      <c r="BA70" s="44"/>
      <c r="BB70" s="44"/>
      <c r="BC70" s="44"/>
      <c r="BD70" s="44"/>
      <c r="BE70" s="44"/>
      <c r="BF70" s="44"/>
      <c r="BG70" s="44"/>
      <c r="BH70" s="45"/>
      <c r="BI70" s="45"/>
      <c r="BJ70" s="45"/>
      <c r="BK70" s="46"/>
    </row>
    <row r="71" spans="1:63" s="53" customFormat="1" ht="15" customHeight="1" x14ac:dyDescent="0.25">
      <c r="A71" s="48"/>
      <c r="B71" s="49"/>
      <c r="C71" s="48"/>
      <c r="D71" s="49"/>
      <c r="E71" s="49"/>
      <c r="F71" s="49"/>
      <c r="G71" s="49" t="s">
        <v>20</v>
      </c>
      <c r="H71" s="49"/>
      <c r="I71" s="49"/>
      <c r="J71" s="49"/>
      <c r="K71" s="49"/>
      <c r="L71" s="49"/>
      <c r="M71" s="49"/>
      <c r="N71" s="49"/>
      <c r="O71" s="49"/>
      <c r="P71" s="49"/>
      <c r="Q71" s="49"/>
      <c r="R71" s="49"/>
      <c r="S71" s="49"/>
      <c r="T71" s="49"/>
      <c r="U71" s="49"/>
      <c r="V71" s="49"/>
      <c r="W71" s="49"/>
      <c r="X71" s="49"/>
      <c r="Y71" s="49"/>
      <c r="Z71" s="49"/>
      <c r="AA71" s="49"/>
      <c r="AB71" s="49"/>
      <c r="AC71" s="49"/>
      <c r="AD71" s="49"/>
      <c r="AE71" s="49"/>
      <c r="AF71" s="49"/>
      <c r="AG71" s="49"/>
      <c r="AH71" s="49"/>
      <c r="AI71" s="49"/>
      <c r="AJ71" s="49"/>
      <c r="AK71" s="49"/>
      <c r="AL71" s="49"/>
      <c r="AM71" s="49"/>
      <c r="AN71" s="49"/>
      <c r="AO71" s="49"/>
      <c r="AP71" s="49"/>
      <c r="AQ71" s="49"/>
      <c r="AR71" s="49"/>
      <c r="AS71" s="49"/>
      <c r="AT71" s="49"/>
      <c r="AU71" s="50"/>
      <c r="AV71" s="49"/>
      <c r="AW71" s="49"/>
      <c r="AX71" s="49"/>
      <c r="AY71" s="49"/>
      <c r="AZ71" s="49"/>
      <c r="BA71" s="49"/>
      <c r="BB71" s="49"/>
      <c r="BC71" s="49"/>
      <c r="BD71" s="49"/>
      <c r="BE71" s="49"/>
      <c r="BF71" s="49"/>
      <c r="BG71" s="49"/>
      <c r="BH71" s="51"/>
      <c r="BI71" s="51"/>
      <c r="BJ71" s="51"/>
      <c r="BK71" s="52"/>
    </row>
    <row r="72" spans="1:63" s="53" customFormat="1" ht="15" customHeight="1" x14ac:dyDescent="0.25">
      <c r="A72" s="48"/>
      <c r="B72" s="49"/>
      <c r="C72" s="48"/>
      <c r="D72" s="49"/>
      <c r="E72" s="49"/>
      <c r="F72" s="49"/>
      <c r="G72" s="49"/>
      <c r="H72" s="49" t="s">
        <v>105</v>
      </c>
      <c r="I72" s="49"/>
      <c r="J72" s="49"/>
      <c r="K72" s="49"/>
      <c r="L72" s="49"/>
      <c r="M72" s="49"/>
      <c r="N72" s="49"/>
      <c r="O72" s="49"/>
      <c r="P72" s="49"/>
      <c r="Q72" s="49"/>
      <c r="R72" s="49"/>
      <c r="S72" s="49"/>
      <c r="T72" s="49"/>
      <c r="U72" s="49"/>
      <c r="V72" s="49"/>
      <c r="W72" s="49"/>
      <c r="X72" s="49"/>
      <c r="Y72" s="49"/>
      <c r="Z72" s="49"/>
      <c r="AA72" s="49"/>
      <c r="AB72" s="49"/>
      <c r="AC72" s="49"/>
      <c r="AD72" s="49"/>
      <c r="AE72" s="49"/>
      <c r="AF72" s="49"/>
      <c r="AG72" s="49"/>
      <c r="AH72" s="49"/>
      <c r="AI72" s="49"/>
      <c r="AJ72" s="49"/>
      <c r="AK72" s="49"/>
      <c r="AL72" s="49"/>
      <c r="AM72" s="49"/>
      <c r="AN72" s="49"/>
      <c r="AO72" s="49"/>
      <c r="AP72" s="49"/>
      <c r="AQ72" s="49"/>
      <c r="AR72" s="49"/>
      <c r="AS72" s="49"/>
      <c r="AT72" s="49"/>
      <c r="AU72" s="50"/>
      <c r="AV72" s="49"/>
      <c r="AW72" s="49"/>
      <c r="AX72" s="49"/>
      <c r="AY72" s="49"/>
      <c r="AZ72" s="49"/>
      <c r="BA72" s="49"/>
      <c r="BB72" s="49"/>
      <c r="BC72" s="49"/>
      <c r="BD72" s="49"/>
      <c r="BE72" s="49"/>
      <c r="BF72" s="49"/>
      <c r="BG72" s="49"/>
      <c r="BH72" s="51"/>
      <c r="BI72" s="51"/>
      <c r="BJ72" s="51"/>
      <c r="BK72" s="52"/>
    </row>
    <row r="73" spans="1:63" s="53" customFormat="1" ht="15" customHeight="1" x14ac:dyDescent="0.25">
      <c r="A73" s="48"/>
      <c r="B73" s="49"/>
      <c r="C73" s="48"/>
      <c r="D73" s="49"/>
      <c r="E73" s="49"/>
      <c r="F73" s="49"/>
      <c r="G73" s="49"/>
      <c r="H73" s="49" t="s">
        <v>106</v>
      </c>
      <c r="I73" s="49"/>
      <c r="J73" s="49"/>
      <c r="K73" s="49"/>
      <c r="L73" s="49"/>
      <c r="M73" s="49"/>
      <c r="N73" s="49"/>
      <c r="O73" s="49"/>
      <c r="P73" s="49"/>
      <c r="Q73" s="49"/>
      <c r="R73" s="49"/>
      <c r="S73" s="49"/>
      <c r="T73" s="49"/>
      <c r="U73" s="49"/>
      <c r="V73" s="49"/>
      <c r="W73" s="49"/>
      <c r="X73" s="49"/>
      <c r="Y73" s="49"/>
      <c r="Z73" s="49"/>
      <c r="AA73" s="49"/>
      <c r="AB73" s="49"/>
      <c r="AC73" s="49"/>
      <c r="AD73" s="49"/>
      <c r="AE73" s="49"/>
      <c r="AF73" s="49"/>
      <c r="AG73" s="49"/>
      <c r="AH73" s="49"/>
      <c r="AI73" s="49"/>
      <c r="AJ73" s="49"/>
      <c r="AK73" s="49"/>
      <c r="AL73" s="49"/>
      <c r="AM73" s="49"/>
      <c r="AN73" s="49"/>
      <c r="AO73" s="49"/>
      <c r="AP73" s="49"/>
      <c r="AQ73" s="49"/>
      <c r="AR73" s="49"/>
      <c r="AS73" s="49"/>
      <c r="AT73" s="49"/>
      <c r="AU73" s="50"/>
      <c r="AV73" s="49"/>
      <c r="AW73" s="49"/>
      <c r="AX73" s="49"/>
      <c r="AY73" s="49"/>
      <c r="AZ73" s="49"/>
      <c r="BA73" s="49"/>
      <c r="BB73" s="49"/>
      <c r="BC73" s="49"/>
      <c r="BD73" s="49"/>
      <c r="BE73" s="49"/>
      <c r="BF73" s="49"/>
      <c r="BG73" s="49"/>
      <c r="BH73" s="51"/>
      <c r="BI73" s="51"/>
      <c r="BJ73" s="51"/>
      <c r="BK73" s="52"/>
    </row>
    <row r="74" spans="1:63" s="53" customFormat="1" ht="15" customHeight="1" x14ac:dyDescent="0.25">
      <c r="A74" s="48"/>
      <c r="B74" s="49"/>
      <c r="C74" s="48"/>
      <c r="D74" s="49"/>
      <c r="E74" s="49"/>
      <c r="F74" s="49"/>
      <c r="G74" s="49" t="s">
        <v>21</v>
      </c>
      <c r="H74" s="49"/>
      <c r="I74" s="49"/>
      <c r="J74" s="49"/>
      <c r="K74" s="49"/>
      <c r="L74" s="49"/>
      <c r="M74" s="49"/>
      <c r="N74" s="49"/>
      <c r="O74" s="49"/>
      <c r="P74" s="49"/>
      <c r="Q74" s="49"/>
      <c r="R74" s="49"/>
      <c r="S74" s="49"/>
      <c r="T74" s="49"/>
      <c r="U74" s="49"/>
      <c r="V74" s="49"/>
      <c r="W74" s="49"/>
      <c r="X74" s="49"/>
      <c r="Y74" s="49"/>
      <c r="Z74" s="49"/>
      <c r="AA74" s="49"/>
      <c r="AB74" s="49"/>
      <c r="AC74" s="49"/>
      <c r="AD74" s="49"/>
      <c r="AE74" s="49"/>
      <c r="AF74" s="49"/>
      <c r="AG74" s="49"/>
      <c r="AH74" s="49"/>
      <c r="AI74" s="49"/>
      <c r="AJ74" s="49"/>
      <c r="AK74" s="49"/>
      <c r="AL74" s="49"/>
      <c r="AM74" s="49"/>
      <c r="AN74" s="49"/>
      <c r="AO74" s="49"/>
      <c r="AP74" s="49"/>
      <c r="AQ74" s="49"/>
      <c r="AR74" s="49"/>
      <c r="AS74" s="49"/>
      <c r="AT74" s="49"/>
      <c r="AU74" s="50"/>
      <c r="AV74" s="49"/>
      <c r="AW74" s="49"/>
      <c r="AX74" s="49"/>
      <c r="AY74" s="49"/>
      <c r="AZ74" s="49"/>
      <c r="BA74" s="49"/>
      <c r="BB74" s="49"/>
      <c r="BC74" s="49"/>
      <c r="BD74" s="49"/>
      <c r="BE74" s="49"/>
      <c r="BF74" s="49"/>
      <c r="BG74" s="49"/>
      <c r="BH74" s="51"/>
      <c r="BI74" s="51"/>
      <c r="BJ74" s="51"/>
      <c r="BK74" s="52"/>
    </row>
    <row r="75" spans="1:63" s="47" customFormat="1" ht="15" customHeight="1" x14ac:dyDescent="0.25">
      <c r="A75" s="43"/>
      <c r="B75" s="44"/>
      <c r="C75" s="43"/>
      <c r="D75" s="44"/>
      <c r="E75" s="44"/>
      <c r="F75" s="44" t="s">
        <v>35</v>
      </c>
      <c r="G75" s="44"/>
      <c r="H75" s="44"/>
      <c r="I75" s="44"/>
      <c r="J75" s="44"/>
      <c r="K75" s="44"/>
      <c r="L75" s="44"/>
      <c r="M75" s="44"/>
      <c r="N75" s="44"/>
      <c r="O75" s="44"/>
      <c r="P75" s="44"/>
      <c r="Q75" s="44"/>
      <c r="R75" s="44"/>
      <c r="S75" s="44"/>
      <c r="T75" s="44"/>
      <c r="U75" s="44"/>
      <c r="V75" s="44"/>
      <c r="W75" s="44"/>
      <c r="X75" s="44"/>
      <c r="Y75" s="44"/>
      <c r="Z75" s="44"/>
      <c r="AA75" s="44"/>
      <c r="AB75" s="44"/>
      <c r="AC75" s="44"/>
      <c r="AD75" s="44"/>
      <c r="AE75" s="44"/>
      <c r="AF75" s="44"/>
      <c r="AG75" s="44"/>
      <c r="AH75" s="44"/>
      <c r="AI75" s="44"/>
      <c r="AJ75" s="44"/>
      <c r="AK75" s="44"/>
      <c r="AL75" s="44"/>
      <c r="AM75" s="44"/>
      <c r="AN75" s="44"/>
      <c r="AO75" s="44"/>
      <c r="AP75" s="44"/>
      <c r="AQ75" s="44"/>
      <c r="AR75" s="44"/>
      <c r="AS75" s="44"/>
      <c r="AT75" s="44"/>
      <c r="AU75" s="54"/>
      <c r="AV75" s="44"/>
      <c r="AW75" s="44"/>
      <c r="AX75" s="44"/>
      <c r="AY75" s="44"/>
      <c r="AZ75" s="44"/>
      <c r="BA75" s="44"/>
      <c r="BB75" s="44"/>
      <c r="BC75" s="44"/>
      <c r="BD75" s="44"/>
      <c r="BE75" s="44"/>
      <c r="BF75" s="44"/>
      <c r="BG75" s="44"/>
      <c r="BH75" s="45"/>
      <c r="BI75" s="45"/>
      <c r="BJ75" s="45"/>
      <c r="BK75" s="46"/>
    </row>
    <row r="76" spans="1:63" s="18" customFormat="1" ht="15" customHeight="1" x14ac:dyDescent="0.25">
      <c r="A76" s="13"/>
      <c r="B76" s="20"/>
      <c r="C76" s="81"/>
      <c r="D76" s="20" t="s">
        <v>21</v>
      </c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  <c r="AA76" s="20"/>
      <c r="AB76" s="20"/>
      <c r="AC76" s="20"/>
      <c r="AD76" s="20"/>
      <c r="AE76" s="20"/>
      <c r="AF76" s="20"/>
      <c r="AG76" s="20"/>
      <c r="AH76" s="20"/>
      <c r="AI76" s="20"/>
      <c r="AJ76" s="20"/>
      <c r="AK76" s="20"/>
      <c r="AL76" s="20"/>
      <c r="AM76" s="20"/>
      <c r="AN76" s="20"/>
      <c r="AO76" s="20"/>
      <c r="AP76" s="20"/>
      <c r="AQ76" s="20"/>
      <c r="AR76" s="20"/>
      <c r="AS76" s="20"/>
      <c r="AT76" s="20"/>
      <c r="AU76" s="25"/>
      <c r="AV76" s="20"/>
      <c r="AW76" s="20"/>
      <c r="AX76" s="20"/>
      <c r="AY76" s="20"/>
      <c r="AZ76" s="20"/>
      <c r="BA76" s="20"/>
      <c r="BB76" s="20"/>
      <c r="BC76" s="20"/>
      <c r="BD76" s="20"/>
      <c r="BE76" s="20"/>
      <c r="BF76" s="20"/>
      <c r="BG76" s="20"/>
      <c r="BH76" s="21"/>
      <c r="BI76" s="21"/>
      <c r="BJ76" s="21"/>
      <c r="BK76" s="17"/>
    </row>
    <row r="77" spans="1:63" s="18" customFormat="1" ht="15" customHeight="1" x14ac:dyDescent="0.25">
      <c r="A77" s="13"/>
      <c r="B77" s="20"/>
      <c r="C77" s="83"/>
      <c r="D77" s="33"/>
      <c r="E77" s="33"/>
      <c r="F77" s="33"/>
      <c r="G77" s="33"/>
      <c r="H77" s="33"/>
      <c r="I77" s="33"/>
      <c r="J77" s="33"/>
      <c r="K77" s="33"/>
      <c r="L77" s="33"/>
      <c r="M77" s="33"/>
      <c r="N77" s="33"/>
      <c r="O77" s="33"/>
      <c r="P77" s="33"/>
      <c r="Q77" s="33"/>
      <c r="R77" s="33"/>
      <c r="S77" s="33"/>
      <c r="T77" s="33"/>
      <c r="U77" s="33"/>
      <c r="V77" s="33"/>
      <c r="W77" s="33"/>
      <c r="X77" s="33"/>
      <c r="Y77" s="33"/>
      <c r="Z77" s="33"/>
      <c r="AA77" s="33"/>
      <c r="AB77" s="33"/>
      <c r="AC77" s="33"/>
      <c r="AD77" s="33"/>
      <c r="AE77" s="33"/>
      <c r="AF77" s="33"/>
      <c r="AG77" s="33"/>
      <c r="AH77" s="33"/>
      <c r="AI77" s="33"/>
      <c r="AJ77" s="33"/>
      <c r="AK77" s="33"/>
      <c r="AL77" s="33"/>
      <c r="AM77" s="33"/>
      <c r="AN77" s="33"/>
      <c r="AO77" s="33"/>
      <c r="AP77" s="33"/>
      <c r="AQ77" s="33"/>
      <c r="AR77" s="33"/>
      <c r="AS77" s="33"/>
      <c r="AT77" s="33"/>
      <c r="AU77" s="26"/>
      <c r="AV77" s="20"/>
      <c r="AW77" s="20"/>
      <c r="AX77" s="20"/>
      <c r="AY77" s="20"/>
      <c r="AZ77" s="20"/>
      <c r="BA77" s="20"/>
      <c r="BB77" s="20"/>
      <c r="BC77" s="20"/>
      <c r="BD77" s="20"/>
      <c r="BE77" s="20"/>
      <c r="BF77" s="20"/>
      <c r="BG77" s="20"/>
      <c r="BH77" s="21"/>
      <c r="BI77" s="21"/>
      <c r="BJ77" s="21"/>
      <c r="BK77" s="17"/>
    </row>
    <row r="78" spans="1:63" s="18" customFormat="1" ht="15" customHeight="1" x14ac:dyDescent="0.25">
      <c r="A78" s="13"/>
      <c r="B78" s="20"/>
      <c r="C78" s="20"/>
      <c r="D78" s="20"/>
      <c r="E78" s="20"/>
      <c r="F78" s="20"/>
      <c r="G78" s="20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  <c r="AA78" s="20"/>
      <c r="AB78" s="20"/>
      <c r="AC78" s="20"/>
      <c r="AD78" s="20"/>
      <c r="AE78" s="20"/>
      <c r="AF78" s="20"/>
      <c r="AG78" s="20"/>
      <c r="AH78" s="20"/>
      <c r="AI78" s="20"/>
      <c r="AJ78" s="20"/>
      <c r="AK78" s="20"/>
      <c r="AL78" s="20"/>
      <c r="AM78" s="20"/>
      <c r="AN78" s="20"/>
      <c r="AO78" s="20"/>
      <c r="AP78" s="20"/>
      <c r="AQ78" s="20"/>
      <c r="AR78" s="20"/>
      <c r="AS78" s="20"/>
      <c r="AT78" s="20"/>
      <c r="AU78" s="20"/>
      <c r="AV78" s="20"/>
      <c r="AW78" s="20"/>
      <c r="AX78" s="20"/>
      <c r="AY78" s="20"/>
      <c r="AZ78" s="20"/>
      <c r="BA78" s="20"/>
      <c r="BB78" s="20"/>
      <c r="BC78" s="20"/>
      <c r="BD78" s="20"/>
      <c r="BE78" s="20"/>
      <c r="BF78" s="20"/>
      <c r="BG78" s="20"/>
      <c r="BH78" s="21"/>
      <c r="BI78" s="21"/>
      <c r="BJ78" s="21"/>
      <c r="BK78" s="17"/>
    </row>
    <row r="79" spans="1:63" s="18" customFormat="1" ht="15" customHeight="1" x14ac:dyDescent="0.25">
      <c r="A79" s="13"/>
      <c r="B79" s="20"/>
      <c r="C79" s="19" t="s">
        <v>107</v>
      </c>
      <c r="D79" s="20"/>
      <c r="E79" s="79"/>
      <c r="F79" s="32"/>
      <c r="G79" s="32"/>
      <c r="H79" s="32"/>
      <c r="I79" s="32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2"/>
      <c r="X79" s="20"/>
      <c r="Y79" s="20"/>
      <c r="Z79" s="20"/>
      <c r="AA79" s="20"/>
      <c r="AB79" s="20"/>
      <c r="AC79" s="20"/>
      <c r="AD79" s="20"/>
      <c r="AE79" s="20"/>
      <c r="AF79" s="20"/>
      <c r="AG79" s="20"/>
      <c r="AH79" s="20"/>
      <c r="AI79" s="20"/>
      <c r="AJ79" s="20"/>
      <c r="AK79" s="20"/>
      <c r="AL79" s="20"/>
      <c r="AM79" s="20"/>
      <c r="AN79" s="20"/>
      <c r="AO79" s="20"/>
      <c r="AP79" s="20"/>
      <c r="AQ79" s="20"/>
      <c r="AR79" s="20"/>
      <c r="AS79" s="20"/>
      <c r="AT79" s="20"/>
      <c r="AU79" s="20"/>
      <c r="AV79" s="20"/>
      <c r="AW79" s="20"/>
      <c r="AX79" s="20"/>
      <c r="AY79" s="20"/>
      <c r="AZ79" s="20"/>
      <c r="BA79" s="20"/>
      <c r="BB79" s="20"/>
      <c r="BC79" s="20"/>
      <c r="BD79" s="20"/>
      <c r="BE79" s="20"/>
      <c r="BF79" s="20"/>
      <c r="BG79" s="20"/>
      <c r="BH79" s="21"/>
      <c r="BI79" s="21"/>
      <c r="BJ79" s="21"/>
      <c r="BK79" s="17"/>
    </row>
    <row r="80" spans="1:63" s="18" customFormat="1" ht="15" customHeight="1" x14ac:dyDescent="0.25">
      <c r="A80" s="13"/>
      <c r="B80" s="20"/>
      <c r="C80" s="19"/>
      <c r="D80" s="20"/>
      <c r="E80" s="79"/>
      <c r="F80" s="32"/>
      <c r="G80" s="32"/>
      <c r="H80" s="32"/>
      <c r="I80" s="32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2"/>
      <c r="X80" s="20"/>
      <c r="Y80" s="20"/>
      <c r="Z80" s="20"/>
      <c r="AA80" s="20"/>
      <c r="AB80" s="20"/>
      <c r="AC80" s="20"/>
      <c r="AD80" s="20"/>
      <c r="AE80" s="20"/>
      <c r="AF80" s="20"/>
      <c r="AG80" s="20"/>
      <c r="AH80" s="20"/>
      <c r="AI80" s="20"/>
      <c r="AJ80" s="20"/>
      <c r="AK80" s="20"/>
      <c r="AL80" s="20"/>
      <c r="AM80" s="20"/>
      <c r="AN80" s="20"/>
      <c r="AO80" s="20"/>
      <c r="AP80" s="20"/>
      <c r="AQ80" s="20"/>
      <c r="AR80" s="20"/>
      <c r="AS80" s="20"/>
      <c r="AT80" s="20"/>
      <c r="AU80" s="20"/>
      <c r="AV80" s="20"/>
      <c r="AW80" s="20"/>
      <c r="AX80" s="20"/>
      <c r="AY80" s="20"/>
      <c r="AZ80" s="20"/>
      <c r="BA80" s="20"/>
      <c r="BB80" s="20"/>
      <c r="BC80" s="20"/>
      <c r="BD80" s="20"/>
      <c r="BE80" s="20"/>
      <c r="BF80" s="20"/>
      <c r="BG80" s="20"/>
      <c r="BH80" s="21"/>
      <c r="BI80" s="21"/>
      <c r="BJ80" s="21"/>
      <c r="BK80" s="17"/>
    </row>
    <row r="81" spans="1:63" s="18" customFormat="1" ht="15" customHeight="1" x14ac:dyDescent="0.25">
      <c r="A81" s="13"/>
      <c r="B81" s="20"/>
      <c r="C81" s="20" t="s">
        <v>29</v>
      </c>
      <c r="D81" s="20"/>
      <c r="E81" s="20"/>
      <c r="F81" s="20"/>
      <c r="G81" s="20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  <c r="AA81" s="20"/>
      <c r="AB81" s="20"/>
      <c r="AC81" s="20"/>
      <c r="AD81" s="20"/>
      <c r="AE81" s="20"/>
      <c r="AF81" s="20"/>
      <c r="AG81" s="20"/>
      <c r="AH81" s="20"/>
      <c r="AI81" s="20"/>
      <c r="AJ81" s="20"/>
      <c r="AK81" s="20"/>
      <c r="AL81" s="20"/>
      <c r="AM81" s="20"/>
      <c r="AN81" s="20"/>
      <c r="AO81" s="20"/>
      <c r="AP81" s="20"/>
      <c r="AQ81" s="20"/>
      <c r="AR81" s="20"/>
      <c r="AS81" s="20"/>
      <c r="AT81" s="20"/>
      <c r="AU81" s="20"/>
      <c r="AV81" s="20"/>
      <c r="AW81" s="20"/>
      <c r="AX81" s="20"/>
      <c r="AY81" s="20"/>
      <c r="AZ81" s="20"/>
      <c r="BA81" s="20"/>
      <c r="BB81" s="20"/>
      <c r="BC81" s="20"/>
      <c r="BD81" s="20"/>
      <c r="BE81" s="20"/>
      <c r="BF81" s="20"/>
      <c r="BG81" s="20"/>
      <c r="BH81" s="21"/>
      <c r="BI81" s="21"/>
      <c r="BJ81" s="21"/>
      <c r="BK81" s="17"/>
    </row>
    <row r="82" spans="1:63" s="39" customFormat="1" ht="15" customHeight="1" x14ac:dyDescent="0.25">
      <c r="A82" s="34"/>
      <c r="B82" s="35"/>
      <c r="C82" s="35"/>
      <c r="D82" s="35"/>
      <c r="E82" s="36"/>
      <c r="F82" s="36"/>
      <c r="G82" s="36"/>
      <c r="H82" s="36"/>
      <c r="I82" s="36"/>
      <c r="J82" s="35"/>
      <c r="K82" s="35"/>
      <c r="L82" s="35"/>
      <c r="M82" s="35"/>
      <c r="N82" s="35"/>
      <c r="O82" s="35"/>
      <c r="P82" s="35"/>
      <c r="Q82" s="35"/>
      <c r="R82" s="35"/>
      <c r="S82" s="35"/>
      <c r="T82" s="35"/>
      <c r="U82" s="35"/>
      <c r="V82" s="35"/>
      <c r="W82" s="35"/>
      <c r="X82" s="35"/>
      <c r="Y82" s="35"/>
      <c r="Z82" s="35"/>
      <c r="AA82" s="35"/>
      <c r="AB82" s="35"/>
      <c r="AC82" s="35"/>
      <c r="AD82" s="35"/>
      <c r="AE82" s="35"/>
      <c r="AF82" s="35"/>
      <c r="AG82" s="35"/>
      <c r="AH82" s="35"/>
      <c r="AI82" s="35"/>
      <c r="AJ82" s="35"/>
      <c r="AK82" s="35"/>
      <c r="AL82" s="35"/>
      <c r="AM82" s="35"/>
      <c r="AN82" s="35"/>
      <c r="AO82" s="35"/>
      <c r="AP82" s="35"/>
      <c r="AQ82" s="35"/>
      <c r="AR82" s="35"/>
      <c r="AS82" s="35"/>
      <c r="AT82" s="35"/>
      <c r="AU82" s="35"/>
      <c r="AV82" s="35"/>
      <c r="AW82" s="35"/>
      <c r="AX82" s="35"/>
      <c r="AY82" s="35"/>
      <c r="AZ82" s="35"/>
      <c r="BA82" s="35"/>
      <c r="BB82" s="35"/>
      <c r="BC82" s="35"/>
      <c r="BD82" s="35"/>
      <c r="BE82" s="35"/>
      <c r="BF82" s="35"/>
      <c r="BG82" s="35"/>
      <c r="BH82" s="37"/>
      <c r="BI82" s="37"/>
      <c r="BJ82" s="37"/>
      <c r="BK82" s="38"/>
    </row>
  </sheetData>
  <mergeCells count="146">
    <mergeCell ref="AC53:AU53"/>
    <mergeCell ref="E62:AS62"/>
    <mergeCell ref="C56:D56"/>
    <mergeCell ref="E56:K56"/>
    <mergeCell ref="L56:R56"/>
    <mergeCell ref="S56:AB56"/>
    <mergeCell ref="AC56:AU56"/>
    <mergeCell ref="C55:D55"/>
    <mergeCell ref="E55:K55"/>
    <mergeCell ref="L55:R55"/>
    <mergeCell ref="S55:AB55"/>
    <mergeCell ref="AC55:AU55"/>
    <mergeCell ref="C54:D54"/>
    <mergeCell ref="E54:K54"/>
    <mergeCell ref="L54:R54"/>
    <mergeCell ref="S54:AB54"/>
    <mergeCell ref="AC54:AU54"/>
    <mergeCell ref="C50:D50"/>
    <mergeCell ref="E50:K50"/>
    <mergeCell ref="L50:R50"/>
    <mergeCell ref="S50:AB50"/>
    <mergeCell ref="AC50:AU50"/>
    <mergeCell ref="C51:D51"/>
    <mergeCell ref="E51:K51"/>
    <mergeCell ref="L51:R51"/>
    <mergeCell ref="S51:AB51"/>
    <mergeCell ref="AC51:AU51"/>
    <mergeCell ref="C52:D52"/>
    <mergeCell ref="E52:K52"/>
    <mergeCell ref="L52:R52"/>
    <mergeCell ref="S52:AB52"/>
    <mergeCell ref="AC52:AU52"/>
    <mergeCell ref="C53:D53"/>
    <mergeCell ref="E53:K53"/>
    <mergeCell ref="L53:R53"/>
    <mergeCell ref="S53:AB53"/>
    <mergeCell ref="C49:D49"/>
    <mergeCell ref="E49:K49"/>
    <mergeCell ref="L49:R49"/>
    <mergeCell ref="S49:AB49"/>
    <mergeCell ref="AC49:AU49"/>
    <mergeCell ref="C48:D48"/>
    <mergeCell ref="E48:K48"/>
    <mergeCell ref="L48:R48"/>
    <mergeCell ref="S48:AB48"/>
    <mergeCell ref="AC48:AU48"/>
    <mergeCell ref="L20:N20"/>
    <mergeCell ref="S22:Y22"/>
    <mergeCell ref="S23:Y25"/>
    <mergeCell ref="C47:D47"/>
    <mergeCell ref="E47:K47"/>
    <mergeCell ref="L47:R47"/>
    <mergeCell ref="S47:AB47"/>
    <mergeCell ref="AC47:AU47"/>
    <mergeCell ref="C46:D46"/>
    <mergeCell ref="E46:K46"/>
    <mergeCell ref="L46:R46"/>
    <mergeCell ref="S46:AB46"/>
    <mergeCell ref="AC46:AU46"/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  <mergeCell ref="C45:D45"/>
    <mergeCell ref="E45:K45"/>
    <mergeCell ref="L45:R45"/>
    <mergeCell ref="S45:AB45"/>
    <mergeCell ref="AQ27:BJ27"/>
    <mergeCell ref="AQ22:BJ22"/>
    <mergeCell ref="Z20:AP20"/>
    <mergeCell ref="C21:D21"/>
    <mergeCell ref="E21:K21"/>
    <mergeCell ref="L21:N21"/>
    <mergeCell ref="O21:R21"/>
    <mergeCell ref="S21:Y21"/>
    <mergeCell ref="Z21:AP21"/>
    <mergeCell ref="AQ21:BJ21"/>
    <mergeCell ref="AQ23:BJ25"/>
    <mergeCell ref="Z22:AP22"/>
    <mergeCell ref="O22:R22"/>
    <mergeCell ref="L22:N22"/>
    <mergeCell ref="O23:R25"/>
    <mergeCell ref="C27:D27"/>
    <mergeCell ref="L26:N26"/>
    <mergeCell ref="L27:N27"/>
    <mergeCell ref="C26:D26"/>
    <mergeCell ref="AC45:AU45"/>
    <mergeCell ref="L23:N25"/>
    <mergeCell ref="C22:D22"/>
    <mergeCell ref="AQ20:BJ20"/>
    <mergeCell ref="A4:G4"/>
    <mergeCell ref="H4:T4"/>
    <mergeCell ref="U4:Y4"/>
    <mergeCell ref="Z4:AO4"/>
    <mergeCell ref="AP4:BK4"/>
    <mergeCell ref="C15:D15"/>
    <mergeCell ref="C16:D16"/>
    <mergeCell ref="E15:AF15"/>
    <mergeCell ref="AG15:AP15"/>
    <mergeCell ref="AQ15:BJ15"/>
    <mergeCell ref="E16:AF16"/>
    <mergeCell ref="AQ16:BJ16"/>
    <mergeCell ref="AG16:AP16"/>
    <mergeCell ref="Z23:AP25"/>
    <mergeCell ref="E22:K22"/>
    <mergeCell ref="E23:K25"/>
    <mergeCell ref="C23:D25"/>
    <mergeCell ref="E20:K20"/>
    <mergeCell ref="C20:D20"/>
    <mergeCell ref="S20:Y20"/>
    <mergeCell ref="O20:R20"/>
    <mergeCell ref="S27:Y27"/>
    <mergeCell ref="O26:R26"/>
    <mergeCell ref="O27:R27"/>
    <mergeCell ref="C42:D42"/>
    <mergeCell ref="C43:D43"/>
    <mergeCell ref="AC42:AU42"/>
    <mergeCell ref="AC43:AU43"/>
    <mergeCell ref="AC44:AU44"/>
    <mergeCell ref="E43:K43"/>
    <mergeCell ref="E44:K44"/>
    <mergeCell ref="L44:R44"/>
    <mergeCell ref="S44:AB44"/>
    <mergeCell ref="C44:D44"/>
    <mergeCell ref="L42:R42"/>
    <mergeCell ref="L43:R43"/>
    <mergeCell ref="E42:K42"/>
    <mergeCell ref="S42:AB42"/>
    <mergeCell ref="S43:AB43"/>
    <mergeCell ref="E27:K27"/>
    <mergeCell ref="AQ26:BJ26"/>
    <mergeCell ref="Z27:AP27"/>
    <mergeCell ref="E26:K26"/>
    <mergeCell ref="S26:Y26"/>
    <mergeCell ref="Z26:AP26"/>
  </mergeCells>
  <pageMargins left="0.7" right="0.7" top="0.75" bottom="0.75" header="0.3" footer="0.3"/>
  <pageSetup scale="37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4174C8-5047-4CD6-876A-722AD9CB91A7}">
  <sheetPr>
    <tabColor rgb="FF0070C0"/>
    <pageSetUpPr fitToPage="1"/>
  </sheetPr>
  <dimension ref="A1:BK58"/>
  <sheetViews>
    <sheetView view="pageBreakPreview" zoomScale="85" zoomScaleNormal="100" zoomScaleSheetLayoutView="85" zoomScalePageLayoutView="70" workbookViewId="0">
      <selection sqref="A1:J1"/>
    </sheetView>
  </sheetViews>
  <sheetFormatPr defaultColWidth="10.109375" defaultRowHeight="15.75" x14ac:dyDescent="0.25"/>
  <cols>
    <col min="1" max="63" width="2.77734375" style="1" customWidth="1"/>
    <col min="64" max="16384" width="10.109375" style="1"/>
  </cols>
  <sheetData>
    <row r="1" spans="1:63" ht="24.95" customHeight="1" x14ac:dyDescent="0.25">
      <c r="A1" s="175" t="s">
        <v>38</v>
      </c>
      <c r="B1" s="176"/>
      <c r="C1" s="176"/>
      <c r="D1" s="176"/>
      <c r="E1" s="176"/>
      <c r="F1" s="176"/>
      <c r="G1" s="176"/>
      <c r="H1" s="176"/>
      <c r="I1" s="176"/>
      <c r="J1" s="177"/>
      <c r="K1" s="175" t="s">
        <v>39</v>
      </c>
      <c r="L1" s="176"/>
      <c r="M1" s="176"/>
      <c r="N1" s="176"/>
      <c r="O1" s="176"/>
      <c r="P1" s="176"/>
      <c r="Q1" s="176"/>
      <c r="R1" s="176"/>
      <c r="S1" s="176"/>
      <c r="T1" s="176"/>
      <c r="U1" s="176"/>
      <c r="V1" s="177"/>
      <c r="W1" s="178" t="str">
        <f>IF(表紙!W1="","",表紙!W1)</f>
        <v>詳細設計書</v>
      </c>
      <c r="X1" s="179"/>
      <c r="Y1" s="179"/>
      <c r="Z1" s="179"/>
      <c r="AA1" s="179"/>
      <c r="AB1" s="179"/>
      <c r="AC1" s="179"/>
      <c r="AD1" s="179"/>
      <c r="AE1" s="179"/>
      <c r="AF1" s="179"/>
      <c r="AG1" s="179"/>
      <c r="AH1" s="179"/>
      <c r="AI1" s="179"/>
      <c r="AJ1" s="179"/>
      <c r="AK1" s="179"/>
      <c r="AL1" s="179"/>
      <c r="AM1" s="179"/>
      <c r="AN1" s="179"/>
      <c r="AO1" s="180"/>
      <c r="AP1" s="101" t="s">
        <v>41</v>
      </c>
      <c r="AQ1" s="102"/>
      <c r="AR1" s="102"/>
      <c r="AS1" s="103"/>
      <c r="AT1" s="101" t="s">
        <v>42</v>
      </c>
      <c r="AU1" s="102"/>
      <c r="AV1" s="102"/>
      <c r="AW1" s="102"/>
      <c r="AX1" s="103"/>
      <c r="AY1" s="101" t="s">
        <v>43</v>
      </c>
      <c r="AZ1" s="102"/>
      <c r="BA1" s="102"/>
      <c r="BB1" s="103"/>
      <c r="BC1" s="101" t="s">
        <v>44</v>
      </c>
      <c r="BD1" s="102"/>
      <c r="BE1" s="102"/>
      <c r="BF1" s="102"/>
      <c r="BG1" s="103"/>
      <c r="BH1" s="101" t="s">
        <v>45</v>
      </c>
      <c r="BI1" s="102"/>
      <c r="BJ1" s="102"/>
      <c r="BK1" s="103"/>
    </row>
    <row r="2" spans="1:63" ht="15" customHeight="1" x14ac:dyDescent="0.25">
      <c r="A2" s="169" t="str">
        <f>IF(表紙!A2="","",表紙!A2)</f>
        <v>POSサーバー</v>
      </c>
      <c r="B2" s="170"/>
      <c r="C2" s="170"/>
      <c r="D2" s="170"/>
      <c r="E2" s="170"/>
      <c r="F2" s="170"/>
      <c r="G2" s="170"/>
      <c r="H2" s="170"/>
      <c r="I2" s="170"/>
      <c r="J2" s="171"/>
      <c r="K2" s="169" t="str">
        <f>IF(表紙!K2="","",表紙!K2)</f>
        <v>POSサーバ</v>
      </c>
      <c r="L2" s="170"/>
      <c r="M2" s="170"/>
      <c r="N2" s="170"/>
      <c r="O2" s="170"/>
      <c r="P2" s="170"/>
      <c r="Q2" s="170"/>
      <c r="R2" s="170"/>
      <c r="S2" s="170"/>
      <c r="T2" s="170"/>
      <c r="U2" s="170"/>
      <c r="V2" s="171"/>
      <c r="W2" s="181"/>
      <c r="X2" s="182"/>
      <c r="Y2" s="182"/>
      <c r="Z2" s="182"/>
      <c r="AA2" s="182"/>
      <c r="AB2" s="182"/>
      <c r="AC2" s="182"/>
      <c r="AD2" s="182"/>
      <c r="AE2" s="182"/>
      <c r="AF2" s="182"/>
      <c r="AG2" s="182"/>
      <c r="AH2" s="182"/>
      <c r="AI2" s="182"/>
      <c r="AJ2" s="182"/>
      <c r="AK2" s="182"/>
      <c r="AL2" s="182"/>
      <c r="AM2" s="182"/>
      <c r="AN2" s="182"/>
      <c r="AO2" s="183"/>
      <c r="AP2" s="86" t="str">
        <f>IF(表紙!AP2="","",表紙!AP2)</f>
        <v>LoiLV</v>
      </c>
      <c r="AQ2" s="87"/>
      <c r="AR2" s="87"/>
      <c r="AS2" s="88"/>
      <c r="AT2" s="116">
        <f>IF(表紙!AT2="","",表紙!AT2)</f>
        <v>45468</v>
      </c>
      <c r="AU2" s="117"/>
      <c r="AV2" s="117"/>
      <c r="AW2" s="117"/>
      <c r="AX2" s="118"/>
      <c r="AY2" s="86" t="str">
        <f>IF(表紙!AY2="","",表紙!AY2)</f>
        <v>AnhDD</v>
      </c>
      <c r="AZ2" s="87"/>
      <c r="BA2" s="87"/>
      <c r="BB2" s="88"/>
      <c r="BC2" s="116">
        <f>IF(表紙!BC2="","",表紙!BC2)</f>
        <v>45515</v>
      </c>
      <c r="BD2" s="117"/>
      <c r="BE2" s="117"/>
      <c r="BF2" s="117"/>
      <c r="BG2" s="118"/>
      <c r="BH2" s="86">
        <f>IF(表紙!BH2="","",表紙!BH2)</f>
        <v>0.12</v>
      </c>
      <c r="BI2" s="87"/>
      <c r="BJ2" s="87"/>
      <c r="BK2" s="88"/>
    </row>
    <row r="3" spans="1:63" ht="15" customHeight="1" x14ac:dyDescent="0.25">
      <c r="A3" s="172"/>
      <c r="B3" s="173"/>
      <c r="C3" s="173"/>
      <c r="D3" s="173"/>
      <c r="E3" s="173"/>
      <c r="F3" s="173"/>
      <c r="G3" s="173"/>
      <c r="H3" s="173"/>
      <c r="I3" s="173"/>
      <c r="J3" s="174"/>
      <c r="K3" s="172"/>
      <c r="L3" s="173"/>
      <c r="M3" s="173"/>
      <c r="N3" s="173"/>
      <c r="O3" s="173"/>
      <c r="P3" s="173"/>
      <c r="Q3" s="173"/>
      <c r="R3" s="173"/>
      <c r="S3" s="173"/>
      <c r="T3" s="173"/>
      <c r="U3" s="173"/>
      <c r="V3" s="174"/>
      <c r="W3" s="184"/>
      <c r="X3" s="185"/>
      <c r="Y3" s="185"/>
      <c r="Z3" s="185"/>
      <c r="AA3" s="185"/>
      <c r="AB3" s="185"/>
      <c r="AC3" s="185"/>
      <c r="AD3" s="185"/>
      <c r="AE3" s="185"/>
      <c r="AF3" s="185"/>
      <c r="AG3" s="185"/>
      <c r="AH3" s="185"/>
      <c r="AI3" s="185"/>
      <c r="AJ3" s="185"/>
      <c r="AK3" s="185"/>
      <c r="AL3" s="185"/>
      <c r="AM3" s="185"/>
      <c r="AN3" s="185"/>
      <c r="AO3" s="186"/>
      <c r="AP3" s="92"/>
      <c r="AQ3" s="93"/>
      <c r="AR3" s="93"/>
      <c r="AS3" s="94"/>
      <c r="AT3" s="119"/>
      <c r="AU3" s="120"/>
      <c r="AV3" s="120"/>
      <c r="AW3" s="120"/>
      <c r="AX3" s="121"/>
      <c r="AY3" s="92"/>
      <c r="AZ3" s="93"/>
      <c r="BA3" s="93"/>
      <c r="BB3" s="94"/>
      <c r="BC3" s="119"/>
      <c r="BD3" s="120"/>
      <c r="BE3" s="120"/>
      <c r="BF3" s="120"/>
      <c r="BG3" s="121"/>
      <c r="BH3" s="92"/>
      <c r="BI3" s="93"/>
      <c r="BJ3" s="93"/>
      <c r="BK3" s="94"/>
    </row>
    <row r="4" spans="1:63" ht="24.95" customHeight="1" x14ac:dyDescent="0.25">
      <c r="A4" s="175" t="s">
        <v>47</v>
      </c>
      <c r="B4" s="176"/>
      <c r="C4" s="176"/>
      <c r="D4" s="176"/>
      <c r="E4" s="176"/>
      <c r="F4" s="176"/>
      <c r="G4" s="177"/>
      <c r="H4" s="187" t="str">
        <f>IF(表紙!H4="","",表紙!H4)</f>
        <v>APX002</v>
      </c>
      <c r="I4" s="188"/>
      <c r="J4" s="188"/>
      <c r="K4" s="188"/>
      <c r="L4" s="188"/>
      <c r="M4" s="188"/>
      <c r="N4" s="188"/>
      <c r="O4" s="188"/>
      <c r="P4" s="188"/>
      <c r="Q4" s="188"/>
      <c r="R4" s="188"/>
      <c r="S4" s="188"/>
      <c r="T4" s="189"/>
      <c r="U4" s="175" t="s">
        <v>48</v>
      </c>
      <c r="V4" s="176"/>
      <c r="W4" s="176"/>
      <c r="X4" s="176"/>
      <c r="Y4" s="177"/>
      <c r="Z4" s="187" t="str">
        <f>IF(表紙!Z4="","",表紙!Z4)</f>
        <v>API設計書</v>
      </c>
      <c r="AA4" s="188"/>
      <c r="AB4" s="188"/>
      <c r="AC4" s="188"/>
      <c r="AD4" s="188"/>
      <c r="AE4" s="188"/>
      <c r="AF4" s="188"/>
      <c r="AG4" s="188"/>
      <c r="AH4" s="188"/>
      <c r="AI4" s="188"/>
      <c r="AJ4" s="188"/>
      <c r="AK4" s="188"/>
      <c r="AL4" s="188"/>
      <c r="AM4" s="188"/>
      <c r="AN4" s="188"/>
      <c r="AO4" s="189"/>
      <c r="AP4" s="190" t="str">
        <f ca="1">MID(CELL("filename",A1),FIND("]",CELL("filename",A1))+1,255)</f>
        <v>処理フロー</v>
      </c>
      <c r="AQ4" s="188"/>
      <c r="AR4" s="188"/>
      <c r="AS4" s="188"/>
      <c r="AT4" s="188"/>
      <c r="AU4" s="188"/>
      <c r="AV4" s="188"/>
      <c r="AW4" s="188"/>
      <c r="AX4" s="188"/>
      <c r="AY4" s="188"/>
      <c r="AZ4" s="188"/>
      <c r="BA4" s="188"/>
      <c r="BB4" s="188"/>
      <c r="BC4" s="188"/>
      <c r="BD4" s="188"/>
      <c r="BE4" s="188"/>
      <c r="BF4" s="188"/>
      <c r="BG4" s="188"/>
      <c r="BH4" s="188"/>
      <c r="BI4" s="188"/>
      <c r="BJ4" s="188"/>
      <c r="BK4" s="189"/>
    </row>
    <row r="5" spans="1:63" ht="5.0999999999999996" customHeight="1" x14ac:dyDescent="0.25">
      <c r="A5" s="2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4"/>
    </row>
    <row r="6" spans="1:63" ht="15" customHeight="1" x14ac:dyDescent="0.25">
      <c r="A6" s="6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8"/>
    </row>
    <row r="7" spans="1:63" s="77" customFormat="1" ht="15" customHeight="1" x14ac:dyDescent="0.25">
      <c r="B7" s="40"/>
      <c r="C7" s="21"/>
      <c r="D7" s="21"/>
      <c r="E7" s="21"/>
      <c r="F7" s="21"/>
      <c r="G7" s="21"/>
      <c r="AI7" s="84"/>
      <c r="BJ7" s="84"/>
      <c r="BK7" s="76"/>
    </row>
    <row r="8" spans="1:63" s="77" customFormat="1" ht="15" customHeight="1" x14ac:dyDescent="0.25">
      <c r="B8" s="40"/>
      <c r="C8" s="21"/>
      <c r="D8" s="21"/>
      <c r="E8" s="21"/>
      <c r="F8" s="21"/>
      <c r="G8" s="21"/>
      <c r="AI8" s="84"/>
      <c r="BJ8" s="84"/>
      <c r="BK8" s="76"/>
    </row>
    <row r="9" spans="1:63" s="77" customFormat="1" ht="15" customHeight="1" x14ac:dyDescent="0.25">
      <c r="B9" s="40"/>
      <c r="C9" s="21"/>
      <c r="D9" s="21"/>
      <c r="E9" s="21"/>
      <c r="F9" s="21"/>
      <c r="G9" s="21"/>
      <c r="AI9" s="84"/>
      <c r="BJ9" s="84"/>
      <c r="BK9" s="76"/>
    </row>
    <row r="10" spans="1:63" s="77" customFormat="1" ht="15" customHeight="1" x14ac:dyDescent="0.25">
      <c r="B10" s="40"/>
      <c r="C10" s="21"/>
      <c r="D10" s="21"/>
      <c r="E10" s="21"/>
      <c r="F10" s="21"/>
      <c r="G10" s="21"/>
      <c r="AI10" s="84"/>
      <c r="BJ10" s="84"/>
      <c r="BK10" s="76"/>
    </row>
    <row r="11" spans="1:63" s="77" customFormat="1" ht="15" customHeight="1" x14ac:dyDescent="0.25">
      <c r="B11" s="85"/>
      <c r="AI11" s="84"/>
      <c r="BJ11" s="84"/>
      <c r="BK11" s="76"/>
    </row>
    <row r="12" spans="1:63" s="77" customFormat="1" ht="15" customHeight="1" x14ac:dyDescent="0.25">
      <c r="B12" s="85"/>
      <c r="AI12" s="84"/>
      <c r="BJ12" s="84"/>
      <c r="BK12" s="76"/>
    </row>
    <row r="13" spans="1:63" s="77" customFormat="1" ht="15" customHeight="1" x14ac:dyDescent="0.25">
      <c r="B13" s="85"/>
      <c r="AI13" s="84"/>
      <c r="BJ13" s="84"/>
      <c r="BK13" s="76"/>
    </row>
    <row r="14" spans="1:63" s="77" customFormat="1" ht="15" customHeight="1" x14ac:dyDescent="0.25">
      <c r="B14" s="85"/>
      <c r="AI14" s="84"/>
      <c r="BJ14" s="84"/>
      <c r="BK14" s="76"/>
    </row>
    <row r="15" spans="1:63" s="77" customFormat="1" ht="15" customHeight="1" x14ac:dyDescent="0.25">
      <c r="B15" s="85"/>
      <c r="AI15" s="84"/>
      <c r="BJ15" s="84"/>
      <c r="BK15" s="76"/>
    </row>
    <row r="16" spans="1:63" s="77" customFormat="1" ht="15" customHeight="1" x14ac:dyDescent="0.25">
      <c r="B16" s="85"/>
      <c r="AI16" s="84"/>
      <c r="BJ16" s="84"/>
      <c r="BK16" s="76"/>
    </row>
    <row r="17" spans="2:63" s="77" customFormat="1" ht="15" customHeight="1" x14ac:dyDescent="0.25">
      <c r="B17" s="85"/>
      <c r="AI17" s="84"/>
      <c r="BJ17" s="84"/>
      <c r="BK17" s="76"/>
    </row>
    <row r="18" spans="2:63" s="77" customFormat="1" ht="15" customHeight="1" x14ac:dyDescent="0.25">
      <c r="B18" s="85"/>
      <c r="AI18" s="84"/>
      <c r="BJ18" s="84"/>
      <c r="BK18" s="76"/>
    </row>
    <row r="19" spans="2:63" s="77" customFormat="1" ht="15" customHeight="1" x14ac:dyDescent="0.25">
      <c r="B19" s="85"/>
      <c r="AI19" s="84"/>
      <c r="BJ19" s="84"/>
      <c r="BK19" s="76"/>
    </row>
    <row r="20" spans="2:63" s="77" customFormat="1" ht="15" customHeight="1" x14ac:dyDescent="0.25">
      <c r="B20" s="85"/>
      <c r="AI20" s="84"/>
      <c r="BJ20" s="84"/>
      <c r="BK20" s="76"/>
    </row>
    <row r="21" spans="2:63" s="77" customFormat="1" ht="15" customHeight="1" x14ac:dyDescent="0.25">
      <c r="B21" s="85"/>
      <c r="AI21" s="84"/>
      <c r="BJ21" s="84"/>
      <c r="BK21" s="76"/>
    </row>
    <row r="22" spans="2:63" s="77" customFormat="1" ht="15" customHeight="1" x14ac:dyDescent="0.25">
      <c r="B22" s="85"/>
      <c r="AI22" s="84"/>
      <c r="BJ22" s="84"/>
      <c r="BK22" s="76"/>
    </row>
    <row r="23" spans="2:63" s="77" customFormat="1" ht="15" customHeight="1" x14ac:dyDescent="0.25">
      <c r="B23" s="85"/>
      <c r="AI23" s="84"/>
      <c r="BJ23" s="84"/>
      <c r="BK23" s="76"/>
    </row>
    <row r="24" spans="2:63" s="77" customFormat="1" ht="15" customHeight="1" x14ac:dyDescent="0.25">
      <c r="B24" s="85"/>
      <c r="AI24" s="84"/>
      <c r="BJ24" s="84"/>
      <c r="BK24" s="76"/>
    </row>
    <row r="25" spans="2:63" s="77" customFormat="1" ht="15" customHeight="1" x14ac:dyDescent="0.25">
      <c r="B25" s="85"/>
      <c r="AI25" s="84"/>
      <c r="BJ25" s="84"/>
      <c r="BK25" s="76"/>
    </row>
    <row r="26" spans="2:63" s="77" customFormat="1" ht="15" customHeight="1" x14ac:dyDescent="0.25">
      <c r="B26" s="85"/>
      <c r="AI26" s="84"/>
      <c r="BJ26" s="84"/>
      <c r="BK26" s="76"/>
    </row>
    <row r="27" spans="2:63" s="77" customFormat="1" ht="15" customHeight="1" x14ac:dyDescent="0.25">
      <c r="B27" s="85"/>
      <c r="AI27" s="84"/>
      <c r="BJ27" s="84"/>
      <c r="BK27" s="76"/>
    </row>
    <row r="28" spans="2:63" s="77" customFormat="1" ht="15" customHeight="1" x14ac:dyDescent="0.25">
      <c r="B28" s="85"/>
      <c r="AI28" s="84"/>
      <c r="BJ28" s="84"/>
      <c r="BK28" s="76"/>
    </row>
    <row r="29" spans="2:63" s="77" customFormat="1" ht="15" customHeight="1" x14ac:dyDescent="0.25">
      <c r="B29" s="85"/>
      <c r="AI29" s="84"/>
      <c r="BJ29" s="84"/>
      <c r="BK29" s="76"/>
    </row>
    <row r="30" spans="2:63" s="77" customFormat="1" ht="15" customHeight="1" x14ac:dyDescent="0.25">
      <c r="B30" s="85"/>
      <c r="AI30" s="84"/>
      <c r="BJ30" s="84"/>
      <c r="BK30" s="76"/>
    </row>
    <row r="31" spans="2:63" s="77" customFormat="1" ht="15" customHeight="1" x14ac:dyDescent="0.25">
      <c r="B31" s="85"/>
      <c r="AI31" s="84"/>
      <c r="BJ31" s="84"/>
      <c r="BK31" s="76"/>
    </row>
    <row r="32" spans="2:63" s="77" customFormat="1" ht="15" customHeight="1" x14ac:dyDescent="0.25">
      <c r="B32" s="85"/>
      <c r="AI32" s="84"/>
      <c r="BJ32" s="84"/>
      <c r="BK32" s="76"/>
    </row>
    <row r="33" spans="2:63" s="77" customFormat="1" ht="15" customHeight="1" x14ac:dyDescent="0.25">
      <c r="B33" s="85"/>
      <c r="AI33" s="84"/>
      <c r="BJ33" s="84"/>
      <c r="BK33" s="76"/>
    </row>
    <row r="34" spans="2:63" s="77" customFormat="1" ht="15" customHeight="1" x14ac:dyDescent="0.25">
      <c r="B34" s="85"/>
      <c r="AI34" s="84"/>
      <c r="BJ34" s="84"/>
      <c r="BK34" s="76"/>
    </row>
    <row r="35" spans="2:63" s="77" customFormat="1" ht="15" customHeight="1" x14ac:dyDescent="0.25">
      <c r="B35" s="85"/>
      <c r="AI35" s="84"/>
      <c r="BJ35" s="84"/>
      <c r="BK35" s="76"/>
    </row>
    <row r="36" spans="2:63" s="77" customFormat="1" ht="15" customHeight="1" x14ac:dyDescent="0.25">
      <c r="B36" s="85"/>
      <c r="AI36" s="84"/>
      <c r="BJ36" s="84"/>
      <c r="BK36" s="76"/>
    </row>
    <row r="37" spans="2:63" s="77" customFormat="1" ht="15" customHeight="1" x14ac:dyDescent="0.25">
      <c r="B37" s="85"/>
      <c r="AI37" s="84"/>
      <c r="BJ37" s="84"/>
      <c r="BK37" s="76"/>
    </row>
    <row r="38" spans="2:63" s="77" customFormat="1" ht="15" customHeight="1" x14ac:dyDescent="0.25">
      <c r="B38" s="85"/>
      <c r="AI38" s="84"/>
      <c r="BJ38" s="84"/>
      <c r="BK38" s="76"/>
    </row>
    <row r="39" spans="2:63" s="77" customFormat="1" ht="15" customHeight="1" x14ac:dyDescent="0.25">
      <c r="B39" s="85"/>
      <c r="AI39" s="84"/>
      <c r="BJ39" s="84"/>
      <c r="BK39" s="76"/>
    </row>
    <row r="40" spans="2:63" s="77" customFormat="1" ht="15" customHeight="1" x14ac:dyDescent="0.25">
      <c r="B40" s="85"/>
      <c r="AI40" s="84"/>
      <c r="BJ40" s="84"/>
      <c r="BK40" s="76"/>
    </row>
    <row r="41" spans="2:63" s="77" customFormat="1" ht="15" customHeight="1" x14ac:dyDescent="0.25">
      <c r="B41" s="85"/>
      <c r="AI41" s="84"/>
      <c r="BJ41" s="84"/>
      <c r="BK41" s="76"/>
    </row>
    <row r="42" spans="2:63" s="77" customFormat="1" ht="15" customHeight="1" x14ac:dyDescent="0.25">
      <c r="B42" s="85"/>
      <c r="AG42" s="42"/>
      <c r="AI42" s="84"/>
      <c r="BJ42" s="84"/>
      <c r="BK42" s="76"/>
    </row>
    <row r="43" spans="2:63" s="77" customFormat="1" ht="15" customHeight="1" x14ac:dyDescent="0.25">
      <c r="B43" s="85"/>
      <c r="AG43" s="42"/>
      <c r="AI43" s="84"/>
      <c r="BJ43" s="84"/>
      <c r="BK43" s="76"/>
    </row>
    <row r="44" spans="2:63" s="77" customFormat="1" ht="15" customHeight="1" x14ac:dyDescent="0.25">
      <c r="B44" s="85"/>
      <c r="AI44" s="84"/>
      <c r="BJ44" s="84"/>
      <c r="BK44" s="76"/>
    </row>
    <row r="45" spans="2:63" s="77" customFormat="1" ht="15" customHeight="1" x14ac:dyDescent="0.25">
      <c r="B45" s="85"/>
      <c r="AI45" s="84"/>
      <c r="BJ45" s="84"/>
      <c r="BK45" s="76"/>
    </row>
    <row r="46" spans="2:63" s="77" customFormat="1" ht="15" customHeight="1" x14ac:dyDescent="0.25">
      <c r="B46" s="85"/>
      <c r="AI46" s="84"/>
      <c r="BJ46" s="84"/>
      <c r="BK46" s="76"/>
    </row>
    <row r="47" spans="2:63" ht="15" customHeight="1" x14ac:dyDescent="0.25">
      <c r="B47" s="9"/>
      <c r="AI47" s="11"/>
      <c r="BJ47" s="11"/>
      <c r="BK47" s="5"/>
    </row>
    <row r="48" spans="2:63" ht="15" customHeight="1" x14ac:dyDescent="0.25">
      <c r="B48" s="9"/>
      <c r="AI48" s="11"/>
      <c r="BJ48" s="11"/>
      <c r="BK48" s="5"/>
    </row>
    <row r="49" spans="1:63" ht="15" customHeight="1" x14ac:dyDescent="0.25">
      <c r="B49" s="9"/>
      <c r="AI49" s="11"/>
      <c r="BJ49" s="11"/>
      <c r="BK49" s="5"/>
    </row>
    <row r="50" spans="1:63" ht="15" customHeight="1" x14ac:dyDescent="0.25">
      <c r="B50" s="9"/>
      <c r="AI50" s="11"/>
      <c r="BJ50" s="11"/>
      <c r="BK50" s="5"/>
    </row>
    <row r="51" spans="1:63" ht="15" customHeight="1" x14ac:dyDescent="0.25">
      <c r="B51" s="9"/>
      <c r="AI51" s="11"/>
      <c r="BJ51" s="11"/>
      <c r="BK51" s="5"/>
    </row>
    <row r="52" spans="1:63" ht="15" customHeight="1" x14ac:dyDescent="0.25">
      <c r="B52" s="9"/>
      <c r="AI52" s="11"/>
      <c r="BJ52" s="11"/>
      <c r="BK52" s="5"/>
    </row>
    <row r="53" spans="1:63" ht="15" customHeight="1" x14ac:dyDescent="0.25">
      <c r="B53" s="9"/>
      <c r="AI53" s="11"/>
      <c r="BJ53" s="11"/>
      <c r="BK53" s="5"/>
    </row>
    <row r="54" spans="1:63" ht="15" customHeight="1" x14ac:dyDescent="0.25">
      <c r="B54" s="9"/>
      <c r="AI54" s="11"/>
      <c r="BJ54" s="11"/>
      <c r="BK54" s="5"/>
    </row>
    <row r="55" spans="1:63" ht="15" customHeight="1" x14ac:dyDescent="0.25">
      <c r="B55" s="9"/>
      <c r="AI55" s="11"/>
      <c r="BJ55" s="11"/>
      <c r="BK55" s="5"/>
    </row>
    <row r="56" spans="1:63" ht="15" customHeight="1" x14ac:dyDescent="0.25">
      <c r="B56" s="9"/>
      <c r="AI56" s="11"/>
      <c r="BJ56" s="11"/>
      <c r="BK56" s="5"/>
    </row>
    <row r="57" spans="1:63" ht="15" customHeight="1" x14ac:dyDescent="0.25">
      <c r="B57" s="9"/>
      <c r="AI57" s="11"/>
      <c r="BJ57" s="11"/>
      <c r="BK57" s="5"/>
    </row>
    <row r="58" spans="1:63" ht="15" customHeight="1" x14ac:dyDescent="0.25">
      <c r="A58" s="3"/>
      <c r="B58" s="10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12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12"/>
      <c r="BK58" s="4"/>
    </row>
  </sheetData>
  <mergeCells count="20"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  <mergeCell ref="A4:G4"/>
    <mergeCell ref="H4:T4"/>
    <mergeCell ref="U4:Y4"/>
    <mergeCell ref="Z4:AO4"/>
    <mergeCell ref="AP4:BK4"/>
  </mergeCells>
  <pageMargins left="0.7" right="0.7" top="0.75" bottom="0.75" header="0.3" footer="0.3"/>
  <pageSetup scale="42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F4D393-4C00-455B-89BD-98B128A7740D}">
  <sheetPr>
    <pageSetUpPr fitToPage="1"/>
  </sheetPr>
  <dimension ref="A1:BK54"/>
  <sheetViews>
    <sheetView view="pageBreakPreview" zoomScale="85" zoomScaleNormal="100" zoomScaleSheetLayoutView="85" workbookViewId="0">
      <selection sqref="A1:J1"/>
    </sheetView>
  </sheetViews>
  <sheetFormatPr defaultColWidth="10.109375" defaultRowHeight="15.75" x14ac:dyDescent="0.25"/>
  <cols>
    <col min="1" max="63" width="2.77734375" style="1" customWidth="1"/>
    <col min="64" max="16384" width="10.109375" style="1"/>
  </cols>
  <sheetData>
    <row r="1" spans="1:63" ht="24.95" customHeight="1" x14ac:dyDescent="0.25">
      <c r="A1" s="175" t="s">
        <v>38</v>
      </c>
      <c r="B1" s="176"/>
      <c r="C1" s="176"/>
      <c r="D1" s="176"/>
      <c r="E1" s="176"/>
      <c r="F1" s="176"/>
      <c r="G1" s="176"/>
      <c r="H1" s="176"/>
      <c r="I1" s="176"/>
      <c r="J1" s="177"/>
      <c r="K1" s="175" t="s">
        <v>39</v>
      </c>
      <c r="L1" s="176"/>
      <c r="M1" s="176"/>
      <c r="N1" s="176"/>
      <c r="O1" s="176"/>
      <c r="P1" s="176"/>
      <c r="Q1" s="176"/>
      <c r="R1" s="176"/>
      <c r="S1" s="176"/>
      <c r="T1" s="176"/>
      <c r="U1" s="176"/>
      <c r="V1" s="177"/>
      <c r="W1" s="178" t="str">
        <f>IF(表紙!W1="","",表紙!W1)</f>
        <v>詳細設計書</v>
      </c>
      <c r="X1" s="179"/>
      <c r="Y1" s="179"/>
      <c r="Z1" s="179"/>
      <c r="AA1" s="179"/>
      <c r="AB1" s="179"/>
      <c r="AC1" s="179"/>
      <c r="AD1" s="179"/>
      <c r="AE1" s="179"/>
      <c r="AF1" s="179"/>
      <c r="AG1" s="179"/>
      <c r="AH1" s="179"/>
      <c r="AI1" s="179"/>
      <c r="AJ1" s="179"/>
      <c r="AK1" s="179"/>
      <c r="AL1" s="179"/>
      <c r="AM1" s="179"/>
      <c r="AN1" s="179"/>
      <c r="AO1" s="180"/>
      <c r="AP1" s="101" t="s">
        <v>41</v>
      </c>
      <c r="AQ1" s="102"/>
      <c r="AR1" s="102"/>
      <c r="AS1" s="103"/>
      <c r="AT1" s="101" t="s">
        <v>42</v>
      </c>
      <c r="AU1" s="102"/>
      <c r="AV1" s="102"/>
      <c r="AW1" s="102"/>
      <c r="AX1" s="103"/>
      <c r="AY1" s="101" t="s">
        <v>43</v>
      </c>
      <c r="AZ1" s="102"/>
      <c r="BA1" s="102"/>
      <c r="BB1" s="103"/>
      <c r="BC1" s="101" t="s">
        <v>44</v>
      </c>
      <c r="BD1" s="102"/>
      <c r="BE1" s="102"/>
      <c r="BF1" s="102"/>
      <c r="BG1" s="103"/>
      <c r="BH1" s="101" t="s">
        <v>45</v>
      </c>
      <c r="BI1" s="102"/>
      <c r="BJ1" s="102"/>
      <c r="BK1" s="103"/>
    </row>
    <row r="2" spans="1:63" ht="15" customHeight="1" x14ac:dyDescent="0.25">
      <c r="A2" s="169" t="str">
        <f>IF(表紙!A2="","",表紙!A2)</f>
        <v>POSサーバー</v>
      </c>
      <c r="B2" s="170"/>
      <c r="C2" s="170"/>
      <c r="D2" s="170"/>
      <c r="E2" s="170"/>
      <c r="F2" s="170"/>
      <c r="G2" s="170"/>
      <c r="H2" s="170"/>
      <c r="I2" s="170"/>
      <c r="J2" s="171"/>
      <c r="K2" s="169" t="str">
        <f>IF(表紙!K2="","",表紙!K2)</f>
        <v>POSサーバ</v>
      </c>
      <c r="L2" s="170"/>
      <c r="M2" s="170"/>
      <c r="N2" s="170"/>
      <c r="O2" s="170"/>
      <c r="P2" s="170"/>
      <c r="Q2" s="170"/>
      <c r="R2" s="170"/>
      <c r="S2" s="170"/>
      <c r="T2" s="170"/>
      <c r="U2" s="170"/>
      <c r="V2" s="171"/>
      <c r="W2" s="181"/>
      <c r="X2" s="182"/>
      <c r="Y2" s="182"/>
      <c r="Z2" s="182"/>
      <c r="AA2" s="182"/>
      <c r="AB2" s="182"/>
      <c r="AC2" s="182"/>
      <c r="AD2" s="182"/>
      <c r="AE2" s="182"/>
      <c r="AF2" s="182"/>
      <c r="AG2" s="182"/>
      <c r="AH2" s="182"/>
      <c r="AI2" s="182"/>
      <c r="AJ2" s="182"/>
      <c r="AK2" s="182"/>
      <c r="AL2" s="182"/>
      <c r="AM2" s="182"/>
      <c r="AN2" s="182"/>
      <c r="AO2" s="183"/>
      <c r="AP2" s="86" t="str">
        <f>IF(表紙!AP2="","",表紙!AP2)</f>
        <v>LoiLV</v>
      </c>
      <c r="AQ2" s="87"/>
      <c r="AR2" s="87"/>
      <c r="AS2" s="88"/>
      <c r="AT2" s="116">
        <f>IF(表紙!AT2="","",表紙!AT2)</f>
        <v>45468</v>
      </c>
      <c r="AU2" s="117"/>
      <c r="AV2" s="117"/>
      <c r="AW2" s="117"/>
      <c r="AX2" s="118"/>
      <c r="AY2" s="86" t="str">
        <f>IF(表紙!AY2="","",表紙!AY2)</f>
        <v>AnhDD</v>
      </c>
      <c r="AZ2" s="87"/>
      <c r="BA2" s="87"/>
      <c r="BB2" s="88"/>
      <c r="BC2" s="116">
        <f>IF(表紙!BC2="","",表紙!BC2)</f>
        <v>45515</v>
      </c>
      <c r="BD2" s="117"/>
      <c r="BE2" s="117"/>
      <c r="BF2" s="117"/>
      <c r="BG2" s="118"/>
      <c r="BH2" s="86">
        <f>IF(表紙!BH2="","",表紙!BH2)</f>
        <v>0.12</v>
      </c>
      <c r="BI2" s="87"/>
      <c r="BJ2" s="87"/>
      <c r="BK2" s="88"/>
    </row>
    <row r="3" spans="1:63" ht="15" customHeight="1" x14ac:dyDescent="0.25">
      <c r="A3" s="172"/>
      <c r="B3" s="173"/>
      <c r="C3" s="173"/>
      <c r="D3" s="173"/>
      <c r="E3" s="173"/>
      <c r="F3" s="173"/>
      <c r="G3" s="173"/>
      <c r="H3" s="173"/>
      <c r="I3" s="173"/>
      <c r="J3" s="174"/>
      <c r="K3" s="172"/>
      <c r="L3" s="173"/>
      <c r="M3" s="173"/>
      <c r="N3" s="173"/>
      <c r="O3" s="173"/>
      <c r="P3" s="173"/>
      <c r="Q3" s="173"/>
      <c r="R3" s="173"/>
      <c r="S3" s="173"/>
      <c r="T3" s="173"/>
      <c r="U3" s="173"/>
      <c r="V3" s="174"/>
      <c r="W3" s="184"/>
      <c r="X3" s="185"/>
      <c r="Y3" s="185"/>
      <c r="Z3" s="185"/>
      <c r="AA3" s="185"/>
      <c r="AB3" s="185"/>
      <c r="AC3" s="185"/>
      <c r="AD3" s="185"/>
      <c r="AE3" s="185"/>
      <c r="AF3" s="185"/>
      <c r="AG3" s="185"/>
      <c r="AH3" s="185"/>
      <c r="AI3" s="185"/>
      <c r="AJ3" s="185"/>
      <c r="AK3" s="185"/>
      <c r="AL3" s="185"/>
      <c r="AM3" s="185"/>
      <c r="AN3" s="185"/>
      <c r="AO3" s="186"/>
      <c r="AP3" s="92"/>
      <c r="AQ3" s="93"/>
      <c r="AR3" s="93"/>
      <c r="AS3" s="94"/>
      <c r="AT3" s="119"/>
      <c r="AU3" s="120"/>
      <c r="AV3" s="120"/>
      <c r="AW3" s="120"/>
      <c r="AX3" s="121"/>
      <c r="AY3" s="92"/>
      <c r="AZ3" s="93"/>
      <c r="BA3" s="93"/>
      <c r="BB3" s="94"/>
      <c r="BC3" s="119"/>
      <c r="BD3" s="120"/>
      <c r="BE3" s="120"/>
      <c r="BF3" s="120"/>
      <c r="BG3" s="121"/>
      <c r="BH3" s="92"/>
      <c r="BI3" s="93"/>
      <c r="BJ3" s="93"/>
      <c r="BK3" s="94"/>
    </row>
    <row r="4" spans="1:63" ht="24.95" customHeight="1" x14ac:dyDescent="0.25">
      <c r="A4" s="175" t="s">
        <v>47</v>
      </c>
      <c r="B4" s="176"/>
      <c r="C4" s="176"/>
      <c r="D4" s="176"/>
      <c r="E4" s="176"/>
      <c r="F4" s="176"/>
      <c r="G4" s="177"/>
      <c r="H4" s="187" t="str">
        <f>IF(表紙!H4="","",表紙!H4)</f>
        <v>APX002</v>
      </c>
      <c r="I4" s="188"/>
      <c r="J4" s="188"/>
      <c r="K4" s="188"/>
      <c r="L4" s="188"/>
      <c r="M4" s="188"/>
      <c r="N4" s="188"/>
      <c r="O4" s="188"/>
      <c r="P4" s="188"/>
      <c r="Q4" s="188"/>
      <c r="R4" s="188"/>
      <c r="S4" s="188"/>
      <c r="T4" s="189"/>
      <c r="U4" s="175" t="s">
        <v>48</v>
      </c>
      <c r="V4" s="176"/>
      <c r="W4" s="176"/>
      <c r="X4" s="176"/>
      <c r="Y4" s="177"/>
      <c r="Z4" s="187" t="str">
        <f>IF(表紙!Z4="","",表紙!Z4)</f>
        <v>API設計書</v>
      </c>
      <c r="AA4" s="188"/>
      <c r="AB4" s="188"/>
      <c r="AC4" s="188"/>
      <c r="AD4" s="188"/>
      <c r="AE4" s="188"/>
      <c r="AF4" s="188"/>
      <c r="AG4" s="188"/>
      <c r="AH4" s="188"/>
      <c r="AI4" s="188"/>
      <c r="AJ4" s="188"/>
      <c r="AK4" s="188"/>
      <c r="AL4" s="188"/>
      <c r="AM4" s="188"/>
      <c r="AN4" s="188"/>
      <c r="AO4" s="189"/>
      <c r="AP4" s="190" t="str">
        <f ca="1">MID(CELL("filename",A1),FIND("]",CELL("filename",A1))+1,255)</f>
        <v>テンプレート</v>
      </c>
      <c r="AQ4" s="188"/>
      <c r="AR4" s="188"/>
      <c r="AS4" s="188"/>
      <c r="AT4" s="188"/>
      <c r="AU4" s="188"/>
      <c r="AV4" s="188"/>
      <c r="AW4" s="188"/>
      <c r="AX4" s="188"/>
      <c r="AY4" s="188"/>
      <c r="AZ4" s="188"/>
      <c r="BA4" s="188"/>
      <c r="BB4" s="188"/>
      <c r="BC4" s="188"/>
      <c r="BD4" s="188"/>
      <c r="BE4" s="188"/>
      <c r="BF4" s="188"/>
      <c r="BG4" s="188"/>
      <c r="BH4" s="188"/>
      <c r="BI4" s="188"/>
      <c r="BJ4" s="188"/>
      <c r="BK4" s="189"/>
    </row>
    <row r="5" spans="1:63" ht="5.0999999999999996" customHeight="1" x14ac:dyDescent="0.25">
      <c r="A5" s="2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4"/>
    </row>
    <row r="6" spans="1:63" ht="15" customHeight="1" x14ac:dyDescent="0.25">
      <c r="A6" s="6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8"/>
    </row>
    <row r="7" spans="1:63" s="77" customFormat="1" ht="15" customHeight="1" x14ac:dyDescent="0.25">
      <c r="BK7" s="76"/>
    </row>
    <row r="8" spans="1:63" s="77" customFormat="1" ht="15" customHeight="1" x14ac:dyDescent="0.25">
      <c r="BK8" s="76"/>
    </row>
    <row r="9" spans="1:63" s="77" customFormat="1" ht="15" customHeight="1" x14ac:dyDescent="0.25">
      <c r="BK9" s="76"/>
    </row>
    <row r="10" spans="1:63" s="77" customFormat="1" ht="15" customHeight="1" x14ac:dyDescent="0.25">
      <c r="BK10" s="76"/>
    </row>
    <row r="11" spans="1:63" s="77" customFormat="1" ht="15" customHeight="1" x14ac:dyDescent="0.25">
      <c r="BK11" s="76"/>
    </row>
    <row r="12" spans="1:63" s="77" customFormat="1" ht="15" customHeight="1" x14ac:dyDescent="0.25">
      <c r="BK12" s="76"/>
    </row>
    <row r="13" spans="1:63" s="77" customFormat="1" ht="15" customHeight="1" x14ac:dyDescent="0.25">
      <c r="BK13" s="76"/>
    </row>
    <row r="14" spans="1:63" s="77" customFormat="1" ht="15" customHeight="1" x14ac:dyDescent="0.25">
      <c r="BK14" s="76"/>
    </row>
    <row r="15" spans="1:63" s="77" customFormat="1" ht="15" customHeight="1" x14ac:dyDescent="0.25">
      <c r="BK15" s="76"/>
    </row>
    <row r="16" spans="1:63" s="77" customFormat="1" ht="15" customHeight="1" x14ac:dyDescent="0.25">
      <c r="BK16" s="76"/>
    </row>
    <row r="17" spans="63:63" s="77" customFormat="1" ht="15" customHeight="1" x14ac:dyDescent="0.25">
      <c r="BK17" s="76"/>
    </row>
    <row r="18" spans="63:63" s="77" customFormat="1" ht="15" customHeight="1" x14ac:dyDescent="0.25">
      <c r="BK18" s="76"/>
    </row>
    <row r="19" spans="63:63" s="77" customFormat="1" ht="15" customHeight="1" x14ac:dyDescent="0.25">
      <c r="BK19" s="76"/>
    </row>
    <row r="20" spans="63:63" s="77" customFormat="1" ht="15" customHeight="1" x14ac:dyDescent="0.25">
      <c r="BK20" s="76"/>
    </row>
    <row r="21" spans="63:63" s="77" customFormat="1" ht="15" customHeight="1" x14ac:dyDescent="0.25">
      <c r="BK21" s="76"/>
    </row>
    <row r="22" spans="63:63" s="77" customFormat="1" ht="15" customHeight="1" x14ac:dyDescent="0.25">
      <c r="BK22" s="76"/>
    </row>
    <row r="23" spans="63:63" s="77" customFormat="1" ht="15" customHeight="1" x14ac:dyDescent="0.25">
      <c r="BK23" s="76"/>
    </row>
    <row r="24" spans="63:63" s="77" customFormat="1" ht="15" customHeight="1" x14ac:dyDescent="0.25">
      <c r="BK24" s="76"/>
    </row>
    <row r="25" spans="63:63" s="77" customFormat="1" ht="15" customHeight="1" x14ac:dyDescent="0.25">
      <c r="BK25" s="76"/>
    </row>
    <row r="26" spans="63:63" s="77" customFormat="1" ht="15" customHeight="1" x14ac:dyDescent="0.25">
      <c r="BK26" s="76"/>
    </row>
    <row r="27" spans="63:63" s="77" customFormat="1" ht="15" customHeight="1" x14ac:dyDescent="0.25">
      <c r="BK27" s="76"/>
    </row>
    <row r="28" spans="63:63" s="77" customFormat="1" ht="15" customHeight="1" x14ac:dyDescent="0.25">
      <c r="BK28" s="76"/>
    </row>
    <row r="29" spans="63:63" s="77" customFormat="1" ht="15" customHeight="1" x14ac:dyDescent="0.25">
      <c r="BK29" s="76"/>
    </row>
    <row r="30" spans="63:63" s="77" customFormat="1" ht="15" customHeight="1" x14ac:dyDescent="0.25">
      <c r="BK30" s="76"/>
    </row>
    <row r="31" spans="63:63" s="77" customFormat="1" ht="15" customHeight="1" x14ac:dyDescent="0.25">
      <c r="BK31" s="76"/>
    </row>
    <row r="32" spans="63:63" s="77" customFormat="1" ht="15" customHeight="1" x14ac:dyDescent="0.25">
      <c r="BK32" s="76"/>
    </row>
    <row r="33" spans="63:63" s="77" customFormat="1" ht="15" customHeight="1" x14ac:dyDescent="0.25">
      <c r="BK33" s="76"/>
    </row>
    <row r="34" spans="63:63" s="77" customFormat="1" ht="15" customHeight="1" x14ac:dyDescent="0.25">
      <c r="BK34" s="76"/>
    </row>
    <row r="35" spans="63:63" s="77" customFormat="1" ht="15" customHeight="1" x14ac:dyDescent="0.25">
      <c r="BK35" s="76"/>
    </row>
    <row r="36" spans="63:63" s="77" customFormat="1" ht="15" customHeight="1" x14ac:dyDescent="0.25">
      <c r="BK36" s="76"/>
    </row>
    <row r="37" spans="63:63" s="77" customFormat="1" ht="15" customHeight="1" x14ac:dyDescent="0.25">
      <c r="BK37" s="76"/>
    </row>
    <row r="38" spans="63:63" s="77" customFormat="1" ht="15" customHeight="1" x14ac:dyDescent="0.25">
      <c r="BK38" s="76"/>
    </row>
    <row r="39" spans="63:63" s="77" customFormat="1" ht="15" customHeight="1" x14ac:dyDescent="0.25">
      <c r="BK39" s="76"/>
    </row>
    <row r="40" spans="63:63" s="77" customFormat="1" ht="15" customHeight="1" x14ac:dyDescent="0.25">
      <c r="BK40" s="76"/>
    </row>
    <row r="41" spans="63:63" s="77" customFormat="1" ht="15" customHeight="1" x14ac:dyDescent="0.25">
      <c r="BK41" s="76"/>
    </row>
    <row r="42" spans="63:63" s="77" customFormat="1" ht="15" customHeight="1" x14ac:dyDescent="0.25">
      <c r="BK42" s="76"/>
    </row>
    <row r="43" spans="63:63" s="77" customFormat="1" ht="15" customHeight="1" x14ac:dyDescent="0.25">
      <c r="BK43" s="76"/>
    </row>
    <row r="44" spans="63:63" s="77" customFormat="1" ht="15" customHeight="1" x14ac:dyDescent="0.25">
      <c r="BK44" s="76"/>
    </row>
    <row r="45" spans="63:63" s="77" customFormat="1" ht="15" customHeight="1" x14ac:dyDescent="0.25">
      <c r="BK45" s="76"/>
    </row>
    <row r="46" spans="63:63" s="77" customFormat="1" ht="15" customHeight="1" x14ac:dyDescent="0.25">
      <c r="BK46" s="76"/>
    </row>
    <row r="47" spans="63:63" ht="15" customHeight="1" x14ac:dyDescent="0.25">
      <c r="BK47" s="5"/>
    </row>
    <row r="48" spans="63:63" ht="15" customHeight="1" x14ac:dyDescent="0.25">
      <c r="BK48" s="5"/>
    </row>
    <row r="49" spans="1:63" ht="15" customHeight="1" x14ac:dyDescent="0.25">
      <c r="BK49" s="5"/>
    </row>
    <row r="50" spans="1:63" ht="15" customHeight="1" x14ac:dyDescent="0.25">
      <c r="BK50" s="5"/>
    </row>
    <row r="51" spans="1:63" ht="15" customHeight="1" x14ac:dyDescent="0.25">
      <c r="BK51" s="5"/>
    </row>
    <row r="52" spans="1:63" ht="15" customHeight="1" x14ac:dyDescent="0.25">
      <c r="BK52" s="5"/>
    </row>
    <row r="53" spans="1:63" ht="15" customHeight="1" x14ac:dyDescent="0.25">
      <c r="BK53" s="5"/>
    </row>
    <row r="54" spans="1:63" ht="15" customHeight="1" x14ac:dyDescent="0.25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4"/>
    </row>
  </sheetData>
  <mergeCells count="20">
    <mergeCell ref="A4:G4"/>
    <mergeCell ref="H4:T4"/>
    <mergeCell ref="U4:Y4"/>
    <mergeCell ref="Z4:AO4"/>
    <mergeCell ref="AP4:BK4"/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</mergeCells>
  <pageMargins left="0.7" right="0.7" top="0.75" bottom="0.75" header="0.3" footer="0.3"/>
  <pageSetup scale="42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8AB003DB5A4D644C9FB3BD19B5C7E000" ma:contentTypeVersion="11" ma:contentTypeDescription="新しいドキュメントを作成します。" ma:contentTypeScope="" ma:versionID="14213891138059eb724b9e737fafccea">
  <xsd:schema xmlns:xsd="http://www.w3.org/2001/XMLSchema" xmlns:xs="http://www.w3.org/2001/XMLSchema" xmlns:p="http://schemas.microsoft.com/office/2006/metadata/properties" xmlns:ns2="74a0992f-8328-4daf-870b-3d2b13d3e940" xmlns:ns3="4a37abda-15dd-4e37-8275-3b7fb2897b65" targetNamespace="http://schemas.microsoft.com/office/2006/metadata/properties" ma:root="true" ma:fieldsID="c0714e9ec9c019f03b39320eca5a0ecc" ns2:_="" ns3:_="">
    <xsd:import namespace="74a0992f-8328-4daf-870b-3d2b13d3e940"/>
    <xsd:import namespace="4a37abda-15dd-4e37-8275-3b7fb2897b6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a0992f-8328-4daf-870b-3d2b13d3e94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画像タグ" ma:readOnly="false" ma:fieldId="{5cf76f15-5ced-4ddc-b409-7134ff3c332f}" ma:taxonomyMulti="true" ma:sspId="e6619b5c-6674-40b7-9c01-33e12ba1bd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37abda-15dd-4e37-8275-3b7fb2897b65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f2a2e70a-4904-448e-b588-7989bbdb9dd5}" ma:internalName="TaxCatchAll" ma:showField="CatchAllData" ma:web="4a37abda-15dd-4e37-8275-3b7fb2897b6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a37abda-15dd-4e37-8275-3b7fb2897b65" xsi:nil="true"/>
    <lcf76f155ced4ddcb4097134ff3c332f xmlns="74a0992f-8328-4daf-870b-3d2b13d3e94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38BEB10-C8E2-45C8-90C1-021658B9E000}"/>
</file>

<file path=customXml/itemProps2.xml><?xml version="1.0" encoding="utf-8"?>
<ds:datastoreItem xmlns:ds="http://schemas.openxmlformats.org/officeDocument/2006/customXml" ds:itemID="{E94DA4C1-6562-4620-9B0A-F1CB6ED6751E}"/>
</file>

<file path=customXml/itemProps3.xml><?xml version="1.0" encoding="utf-8"?>
<ds:datastoreItem xmlns:ds="http://schemas.openxmlformats.org/officeDocument/2006/customXml" ds:itemID="{0E4423C4-6EF1-4535-A712-EF31B37B724A}"/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8</vt:i4>
      </vt:variant>
    </vt:vector>
  </HeadingPairs>
  <TitlesOfParts>
    <vt:vector size="14" baseType="lpstr">
      <vt:lpstr>表紙</vt:lpstr>
      <vt:lpstr>改訂履歴</vt:lpstr>
      <vt:lpstr>処理フロー凡例</vt:lpstr>
      <vt:lpstr>APX002</vt:lpstr>
      <vt:lpstr>処理フロー</vt:lpstr>
      <vt:lpstr>テンプレート</vt:lpstr>
      <vt:lpstr>'APX002'!Print_Area</vt:lpstr>
      <vt:lpstr>テンプレート!Print_Area</vt:lpstr>
      <vt:lpstr>処理フロー!Print_Area</vt:lpstr>
      <vt:lpstr>処理フロー凡例!Print_Area</vt:lpstr>
      <vt:lpstr>改訂履歴!Print_Area</vt:lpstr>
      <vt:lpstr>表紙!Print_Area</vt:lpstr>
      <vt:lpstr>改訂履歴!Print_Titles</vt:lpstr>
      <vt:lpstr>表紙!Print_Titles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kiyohara kadutoshi</dc:creator>
  <cp:keywords/>
  <dc:description/>
  <cp:lastModifiedBy>Le Thi Nhat Le</cp:lastModifiedBy>
  <dcterms:created xsi:type="dcterms:W3CDTF">2015-06-05T18:19:34Z</dcterms:created>
  <dcterms:modified xsi:type="dcterms:W3CDTF">2024-11-07T07:52:01Z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0x0101008AB003DB5A4D644C9FB3BD19B5C7E000</vt:lpwstr>
  </property>
</Properties>
</file>