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2_店舗マスタ設定\"/>
    </mc:Choice>
  </mc:AlternateContent>
  <xr:revisionPtr revIDLastSave="0" documentId="13_ncr:1_{0BF003E3-C669-433C-BBBD-13B788A8BF6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201" sheetId="8" r:id="rId4"/>
    <sheet name="処理フロー" sheetId="9" r:id="rId5"/>
  </sheets>
  <definedNames>
    <definedName name="_xlnm.Print_Area" localSheetId="3">'AP8201'!$A$1:$BK$150</definedName>
    <definedName name="_xlnm.Print_Area" localSheetId="4">処理フロー!$A$1:$BK$48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9" l="1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<sst xmlns="http://schemas.openxmlformats.org/spreadsheetml/2006/main" count="426" uniqueCount="226">
  <si>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</si>
  <si>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</si>
  <si>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</si>
  <si>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</si>
  <si>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</si>
  <si>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</si>
  <si>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</si>
  <si>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</si>
  <si>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</si>
  <si>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</si>
  <si>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</si>
  <si>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</si>
  <si>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</si>
  <si>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</si>
  <si>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</si>
  <si>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</si>
  <si>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</si>
  <si>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</si>
  <si>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</si>
  <si>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</si>
  <si>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</si>
  <si>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</si>
  <si>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</si>
  <si>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</si>
  <si>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</si>
  <si>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</si>
  <si>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</si>
  <si>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</si>
  <si>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</si>
  <si>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</si>
  <si>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</si>
  <si>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</si>
  <si>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b/>
        <sz val="11"/>
        <color rgb="FF000000"/>
        <rFont val="Meiryo UI"/>
        <family val="2"/>
      </rPr>
      <t>JSON name</t>
    </r>
  </si>
  <si>
    <r>
      <rPr>
        <b/>
        <sz val="11"/>
        <color rgb="FF000000"/>
        <rFont val="Meiryo UI"/>
        <family val="2"/>
      </rPr>
      <t>※サンプル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</si>
  <si>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</si>
  <si>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</si>
  <si>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</si>
  <si>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SmallInt</t>
    </r>
  </si>
  <si>
    <t>[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</si>
  <si>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</si>
  <si>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</si>
  <si>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code_filter_type</t>
    </r>
  </si>
  <si>
    <r>
      <rPr>
        <sz val="11"/>
        <color rgb="FF000000"/>
        <rFont val="Meiryo UI"/>
        <family val="2"/>
      </rPr>
      <t>name_filter_type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</si>
  <si>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</si>
  <si>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</si>
  <si>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List&lt;Store&gt;</t>
    </r>
  </si>
  <si>
    <r>
      <rPr>
        <sz val="11"/>
        <color rgb="FF000000"/>
        <rFont val="Meiryo UI"/>
        <family val="2"/>
      </rPr>
      <t>short_name</t>
    </r>
  </si>
  <si>
    <r>
      <rPr>
        <sz val="11"/>
        <color rgb="FF000000"/>
        <rFont val="Meiryo UI"/>
        <family val="2"/>
      </rPr>
      <t>post_code</t>
    </r>
  </si>
  <si>
    <r>
      <rPr>
        <sz val="11"/>
        <color rgb="FF000000"/>
        <rFont val="Meiryo UI"/>
        <family val="2"/>
      </rPr>
      <t>phone_number</t>
    </r>
  </si>
  <si>
    <r>
      <rPr>
        <sz val="11"/>
        <color rgb="FF000000"/>
        <rFont val="Meiryo UI"/>
        <family val="2"/>
      </rPr>
      <t>店舗名称</t>
    </r>
  </si>
  <si>
    <r>
      <rPr>
        <sz val="11"/>
        <color rgb="FF000000"/>
        <rFont val="Meiryo UI"/>
        <family val="2"/>
      </rPr>
      <t>店舗略称</t>
    </r>
  </si>
  <si>
    <r>
      <rPr>
        <sz val="11"/>
        <color rgb="FF000000"/>
        <rFont val="Meiryo UI"/>
        <family val="2"/>
      </rPr>
      <t>電話番号</t>
    </r>
  </si>
  <si>
    <r>
      <rPr>
        <sz val="11"/>
        <color rgb="FF000000"/>
        <rFont val="Meiryo UI"/>
        <family val="2"/>
      </rPr>
      <t>AP8201</t>
    </r>
  </si>
  <si>
    <r>
      <rPr>
        <sz val="11"/>
        <color rgb="FF000000"/>
        <rFont val="Meiryo UI"/>
        <family val="2"/>
      </rPr>
      <t>start_hours、end_hoursを追加</t>
    </r>
  </si>
  <si>
    <r>
      <rPr>
        <sz val="11"/>
        <color rgb="FF000000"/>
        <rFont val="Meiryo UI"/>
        <family val="2"/>
      </rPr>
      <t>GET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</si>
  <si>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</si>
  <si>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</si>
  <si>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</si>
  <si>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</si>
  <si>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</si>
  <si>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</si>
  <si>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</si>
  <si>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business_type_code</t>
    </r>
  </si>
  <si>
    <r>
      <rPr>
        <sz val="11"/>
        <color rgb="FF000000"/>
        <rFont val="Meiryo UI"/>
        <family val="2"/>
      </rPr>
      <t>業態</t>
    </r>
  </si>
  <si>
    <r>
      <rPr>
        <sz val="11"/>
        <color rgb="FF000000"/>
        <rFont val="Meiryo UI"/>
        <family val="2"/>
      </rPr>
      <t>total_count</t>
    </r>
  </si>
  <si>
    <r>
      <rPr>
        <sz val="11"/>
        <color rgb="FF000000"/>
        <rFont val="Meiryo UI"/>
        <family val="2"/>
      </rPr>
      <t>Long</t>
    </r>
  </si>
  <si>
    <r>
      <rPr>
        <sz val="11"/>
        <color rgb="FF000000"/>
        <rFont val="Meiryo UI"/>
        <family val="2"/>
      </rPr>
      <t>検索できた総件数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</si>
  <si>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</si>
  <si>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</si>
  <si>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store_type</t>
    </r>
  </si>
  <si>
    <r>
      <rPr>
        <sz val="11"/>
        <color rgb="FF000000"/>
        <rFont val="Meiryo UI"/>
        <family val="2"/>
      </rPr>
      <t>total_pos</t>
    </r>
  </si>
  <si>
    <r>
      <rPr>
        <sz val="11"/>
        <color rgb="FF000000"/>
        <rFont val="Meiryo UI"/>
        <family val="2"/>
      </rPr>
      <t>店舗で設定された合計POS台数</t>
    </r>
  </si>
  <si>
    <r>
      <rPr>
        <sz val="11"/>
        <color rgb="FF000000"/>
        <rFont val="Meiryo UI"/>
        <family val="2"/>
      </rPr>
      <t>住所項目：ADDRESS1 + ADDRESS2 + ADDRESS3を表示する。</t>
    </r>
  </si>
  <si>
    <r>
      <rPr>
        <sz val="11"/>
        <color rgb="FF000000"/>
        <rFont val="Meiryo UI"/>
        <family val="2"/>
      </rPr>
      <t>住所1</t>
    </r>
  </si>
  <si>
    <r>
      <rPr>
        <sz val="11"/>
        <color rgb="FF000000"/>
        <rFont val="Meiryo UI"/>
        <family val="2"/>
      </rPr>
      <t>住所3</t>
    </r>
  </si>
  <si>
    <r>
      <rPr>
        <sz val="11"/>
        <color rgb="FF000000"/>
        <rFont val="Meiryo UI"/>
        <family val="2"/>
      </rPr>
      <t>住所2</t>
    </r>
  </si>
  <si>
    <r>
      <rPr>
        <sz val="11"/>
        <color rgb="FF000000"/>
        <rFont val="Meiryo UI"/>
        <family val="2"/>
      </rPr>
      <t>address_1</t>
    </r>
  </si>
  <si>
    <r>
      <rPr>
        <sz val="11"/>
        <color rgb="FF000000"/>
        <rFont val="Meiryo UI"/>
        <family val="2"/>
      </rPr>
      <t>address_2</t>
    </r>
  </si>
  <si>
    <r>
      <rPr>
        <sz val="11"/>
        <color rgb="FF000000"/>
        <rFont val="Meiryo UI"/>
        <family val="2"/>
      </rPr>
      <t>address_3</t>
    </r>
  </si>
  <si>
    <r>
      <rPr>
        <sz val="11"/>
        <color rgb="FF000000"/>
        <rFont val="Meiryo UI"/>
        <family val="2"/>
      </rPr>
      <t>検索条件（店舗コード）</t>
    </r>
  </si>
  <si>
    <r>
      <rPr>
        <sz val="11"/>
        <color rgb="FF000000"/>
        <rFont val="Meiryo UI"/>
        <family val="2"/>
      </rPr>
      <t>検索条件（店舗名称）</t>
    </r>
  </si>
  <si>
    <r>
      <rPr>
        <sz val="11"/>
        <color rgb="FF000000"/>
        <rFont val="Meiryo UI"/>
        <family val="2"/>
      </rPr>
      <t>検索条件（店舗コード、店舗名称、業態）に基づいて店舗一覧を取得する。</t>
    </r>
  </si>
  <si>
    <r>
      <rPr>
        <sz val="11"/>
        <color rgb="FF000000"/>
        <rFont val="Meiryo UI"/>
        <family val="2"/>
      </rPr>
      <t>新しいチェックリストに基づいてDB設計を修正した後、マッピングDBを更新する。</t>
    </r>
  </si>
  <si>
    <r>
      <rPr>
        <sz val="11"/>
        <color rgb="FF000000"/>
        <rFont val="Meiryo UI"/>
        <family val="2"/>
      </rPr>
      <t>record_void_flag != 1のjoinロジックを追加</t>
    </r>
  </si>
  <si>
    <r>
      <rPr>
        <sz val="11"/>
        <color rgb="FF000000"/>
        <rFont val="Meiryo UI"/>
        <family val="2"/>
      </rPr>
      <t>stores.record_id</t>
    </r>
  </si>
  <si>
    <r>
      <rPr>
        <sz val="11"/>
        <color rgb="FF000000"/>
        <rFont val="Meiryo UI"/>
        <family val="2"/>
      </rPr>
      <t>stores.store_code</t>
    </r>
  </si>
  <si>
    <r>
      <rPr>
        <sz val="11"/>
        <color rgb="FF000000"/>
        <rFont val="Meiryo UI"/>
        <family val="2"/>
      </rPr>
      <t>stores.ten_name</t>
    </r>
  </si>
  <si>
    <r>
      <rPr>
        <sz val="11"/>
        <color rgb="FF000000"/>
        <rFont val="Meiryo UI"/>
        <family val="2"/>
      </rPr>
      <t>stores.ten_short_nm</t>
    </r>
  </si>
  <si>
    <r>
      <rPr>
        <sz val="11"/>
        <color rgb="FF000000"/>
        <rFont val="Meiryo UI"/>
        <family val="2"/>
      </rPr>
      <t>stores.post_cd</t>
    </r>
  </si>
  <si>
    <r>
      <rPr>
        <sz val="11"/>
        <color rgb="FF000000"/>
        <rFont val="Meiryo UI"/>
        <family val="2"/>
      </rPr>
      <t>stores.address1</t>
    </r>
  </si>
  <si>
    <r>
      <rPr>
        <sz val="11"/>
        <color rgb="FF000000"/>
        <rFont val="Meiryo UI"/>
        <family val="2"/>
      </rPr>
      <t>stores.address2</t>
    </r>
  </si>
  <si>
    <r>
      <rPr>
        <sz val="11"/>
        <color rgb="FF000000"/>
        <rFont val="Meiryo UI"/>
        <family val="2"/>
      </rPr>
      <t>stores.address3</t>
    </r>
  </si>
  <si>
    <r>
      <rPr>
        <sz val="11"/>
        <color rgb="FF000000"/>
        <rFont val="Meiryo UI"/>
        <family val="2"/>
      </rPr>
      <t>stores.phone_number</t>
    </r>
  </si>
  <si>
    <r>
      <rPr>
        <sz val="11"/>
        <color rgb="FF000000"/>
        <rFont val="Meiryo UI"/>
        <family val="2"/>
      </rPr>
      <t>stores.business_type_code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</si>
  <si>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</si>
  <si>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</si>
  <si>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シート：[AP8201]、[処理フロー]</t>
    </r>
  </si>
  <si>
    <r>
      <rPr>
        <sz val="11"/>
        <color rgb="FF000000"/>
        <rFont val="Meiryo UI"/>
        <family val="2"/>
      </rPr>
      <t>cash_registers</t>
    </r>
  </si>
  <si>
    <r>
      <rPr>
        <sz val="11"/>
        <color rgb="FF000000"/>
        <rFont val="Meiryo UI"/>
        <family val="2"/>
      </rPr>
      <t>店舗の支払方法設定ロジックを追加</t>
    </r>
  </si>
  <si>
    <r>
      <rPr>
        <sz val="11"/>
        <color rgb="FF000000"/>
        <rFont val="Meiryo UI"/>
        <family val="2"/>
      </rPr>
      <t>api/v1/stores</t>
    </r>
  </si>
  <si>
    <t xml:space="preserve">    {</t>
  </si>
  <si>
    <t xml:space="preserve">        },</t>
  </si>
  <si>
    <t xml:space="preserve">        }</t>
  </si>
  <si>
    <t xml:space="preserve">    }</t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</si>
  <si>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</si>
  <si>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シート[AP8201]</t>
    </r>
  </si>
  <si>
    <r>
      <rPr>
        <sz val="11"/>
        <color rgb="FF000000"/>
        <rFont val="Meiryo UI"/>
        <family val="2"/>
      </rPr>
      <t>Int</t>
    </r>
  </si>
  <si>
    <t>DuNT</t>
  </si>
  <si>
    <t>TuyenNH</t>
  </si>
  <si>
    <t>AP8201</t>
  </si>
  <si>
    <t>POSサーバー</t>
  </si>
  <si>
    <t>詳細設計書</t>
  </si>
  <si>
    <t>API設計書</t>
  </si>
  <si>
    <t>以下の項目の情報を取得
  ‣曜日の営業時間（開店・閉店時間）
  ‣取引データ連携有無
  ‣AFS コード決済加盟店番号(AEON PAY), AFS コード決済加盟店番号(他社ペイ)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</si>
  <si>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</si>
  <si>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</si>
  <si>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</si>
  <si>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</si>
  <si>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</si>
  <si>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</si>
  <si>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</si>
  <si>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</si>
  <si>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</si>
  <si>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</si>
  <si>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</si>
  <si>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</si>
  <si>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シート[AP8201]</t>
  </si>
  <si>
    <t>システム名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</si>
  <si>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</si>
  <si>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</si>
  <si>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</si>
  <si>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</si>
  <si>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</si>
  <si>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</si>
  <si>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t>store_code</t>
  </si>
  <si>
    <r>
      <rPr>
        <sz val="11"/>
        <color rgb="FF000000"/>
        <rFont val="Meiryo UI"/>
        <family val="2"/>
      </rPr>
      <t>数字のみ入力可能。</t>
    </r>
    <r>
      <rPr>
        <strike/>
        <sz val="11"/>
        <color rgb="FF7030A0"/>
        <rFont val="Meiryo UI"/>
        <family val="2"/>
      </rPr>
      <t>最大10桁。10桁を超えた場合、</t>
    </r>
    <r>
      <rPr>
        <sz val="11"/>
        <color rgb="FF7030A0"/>
        <rFont val="Meiryo UI"/>
        <family val="2"/>
      </rPr>
      <t>エラーメッセージ = MSG_VAL_006</t>
    </r>
    <r>
      <rPr>
        <sz val="11"/>
        <color rgb="FF000000"/>
        <rFont val="Meiryo UI"/>
        <family val="2"/>
      </rPr>
      <t xml:space="preserve">
入力されていない場合、全て検索する。</t>
    </r>
  </si>
  <si>
    <r>
      <rPr>
        <sz val="11"/>
        <color rgb="FF000000"/>
        <rFont val="Meiryo UI"/>
        <family val="2"/>
      </rPr>
      <t>0: 入力された文字を含む値を検索する。
1: 入力された文字で始まる値を検索する。
2: 入力された文字で終わる値を検索する。</t>
    </r>
  </si>
  <si>
    <t>store_name</t>
  </si>
  <si>
    <r>
      <rPr>
        <sz val="11"/>
        <color rgb="FF000000"/>
        <rFont val="Meiryo UI"/>
        <family val="2"/>
      </rPr>
      <t>「1」、「 2」、「3」、「4」の値のみ入力可能とする。上記以外値の場合、エラーメッセージ= MSG_VAL_019。値がない場合、全て検索する。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</si>
  <si>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</si>
  <si>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</si>
  <si>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sz val="11"/>
        <color rgb="FF000000"/>
        <rFont val="Meiryo UI"/>
        <family val="2"/>
      </rPr>
      <t xml:space="preserve">郵便番号 </t>
    </r>
  </si>
  <si>
    <t>business_day_sun</t>
  </si>
  <si>
    <t>Object</t>
  </si>
  <si>
    <t>日曜開始・終了時間設定</t>
  </si>
  <si>
    <t>business_day</t>
  </si>
  <si>
    <t>Int</t>
  </si>
  <si>
    <t>stores.business_day_sun</t>
  </si>
  <si>
    <t xml:space="preserve"> 0: 店休日、1：営業日</t>
  </si>
  <si>
    <t>business_open</t>
  </si>
  <si>
    <t>String</t>
  </si>
  <si>
    <t>stores.business_open_sun</t>
  </si>
  <si>
    <t>開始時間</t>
  </si>
  <si>
    <t>business_close</t>
  </si>
  <si>
    <t>stores.business_close_sun</t>
  </si>
  <si>
    <t>終了時間</t>
  </si>
  <si>
    <t>business_day_mon</t>
  </si>
  <si>
    <t>月曜開始・終了時間設定</t>
  </si>
  <si>
    <t>stores.business_day_mon</t>
  </si>
  <si>
    <t>stores.business_open_mon</t>
  </si>
  <si>
    <t>stores.business_close_mon</t>
  </si>
  <si>
    <t>business_day_tue</t>
  </si>
  <si>
    <t>火曜開始・終了時間設定</t>
  </si>
  <si>
    <t>stores.business_day_tue</t>
  </si>
  <si>
    <t>stores.business_open_tue</t>
  </si>
  <si>
    <t>stores.business_close_tue</t>
  </si>
  <si>
    <t>business_day_wed</t>
  </si>
  <si>
    <t>水曜開始・終了時間設定</t>
  </si>
  <si>
    <t>stores.business_day_wed</t>
  </si>
  <si>
    <t>stores.business_open_wed</t>
  </si>
  <si>
    <t>stores.business_close_wed</t>
  </si>
  <si>
    <t>business_day_thu</t>
  </si>
  <si>
    <t>木曜開始・終了時間設定</t>
  </si>
  <si>
    <t>stores.business_day_thu</t>
  </si>
  <si>
    <t>stores.business_open_thu</t>
  </si>
  <si>
    <t>stores.business_close_thu</t>
  </si>
  <si>
    <t>business_day_fri</t>
  </si>
  <si>
    <t>金曜開始・終了時間設定</t>
  </si>
  <si>
    <t>stores.business_day_fri</t>
  </si>
  <si>
    <t>stores.business_open_fri</t>
  </si>
  <si>
    <t>stores.business_close_fri</t>
  </si>
  <si>
    <t>business_day_sat</t>
  </si>
  <si>
    <t>土曜開始・終了時間設定</t>
  </si>
  <si>
    <t>stores.business_day_sat</t>
  </si>
  <si>
    <t>stores.business_open_sat</t>
  </si>
  <si>
    <t>stores.business_close_sat</t>
  </si>
  <si>
    <t>payment_methods</t>
  </si>
  <si>
    <t>リスト</t>
  </si>
  <si>
    <t>store_payment.payment_id</t>
  </si>
  <si>
    <t>支払方法</t>
  </si>
  <si>
    <t>code_pay_no_aeonpay</t>
  </si>
  <si>
    <t>stores.code_pay_no_aeonpay</t>
  </si>
  <si>
    <t>加盟店番号 (AEON PAY)</t>
  </si>
  <si>
    <t>code_pay_no_etc</t>
  </si>
  <si>
    <t>stores.code_pay_no_etc</t>
  </si>
  <si>
    <t>加盟店番号 (他社ペイ)</t>
  </si>
  <si>
    <r>
      <rPr>
        <sz val="11"/>
        <color rgb="FF000000"/>
        <rFont val="Meiryo UI"/>
        <family val="2"/>
      </rPr>
      <t xml:space="preserve">        "store_code": 9176,</t>
    </r>
  </si>
  <si>
    <r>
      <rPr>
        <sz val="11"/>
        <color rgb="FF000000"/>
        <rFont val="Meiryo UI"/>
        <family val="2"/>
      </rPr>
      <t xml:space="preserve">        "store_name": "検証店”,</t>
    </r>
  </si>
  <si>
    <r>
      <rPr>
        <sz val="11"/>
        <color rgb="FF000000"/>
        <rFont val="Meiryo UI"/>
        <family val="2"/>
      </rPr>
      <t xml:space="preserve">        "short_name": "検証店”,</t>
    </r>
  </si>
  <si>
    <r>
      <rPr>
        <sz val="11"/>
        <color rgb="FF000000"/>
        <rFont val="Meiryo UI"/>
        <family val="2"/>
      </rPr>
      <t xml:space="preserve">        "post_code": "0001",</t>
    </r>
  </si>
  <si>
    <r>
      <rPr>
        <sz val="11"/>
        <color rgb="FF000000"/>
        <rFont val="Meiryo UI"/>
        <family val="2"/>
      </rPr>
      <t xml:space="preserve">        "address_1": "",</t>
    </r>
  </si>
  <si>
    <r>
      <rPr>
        <sz val="11"/>
        <color rgb="FF000000"/>
        <rFont val="Meiryo UI"/>
        <family val="2"/>
      </rPr>
      <t xml:space="preserve">        "address_2": "",</t>
    </r>
  </si>
  <si>
    <r>
      <rPr>
        <sz val="11"/>
        <color rgb="FF000000"/>
        <rFont val="Meiryo UI"/>
        <family val="2"/>
      </rPr>
      <t xml:space="preserve">        "address_3": "",</t>
    </r>
  </si>
  <si>
    <r>
      <rPr>
        <sz val="11"/>
        <color rgb="FF000000"/>
        <rFont val="Meiryo UI"/>
        <family val="2"/>
      </rPr>
      <t xml:space="preserve">        "phone_number": "",</t>
    </r>
  </si>
  <si>
    <r>
      <rPr>
        <sz val="11"/>
        <color rgb="FF000000"/>
        <rFont val="Meiryo UI"/>
        <family val="2"/>
      </rPr>
      <t xml:space="preserve">        "business_type_code": "1",</t>
    </r>
  </si>
  <si>
    <r>
      <rPr>
        <sz val="11"/>
        <color rgb="FF000000"/>
        <rFont val="Meiryo UI"/>
        <family val="2"/>
      </rPr>
      <t xml:space="preserve">        "total_pos": 14,</t>
    </r>
  </si>
  <si>
    <t xml:space="preserve">        "tran_relay_flag": 1,</t>
  </si>
  <si>
    <t xml:space="preserve">        "business_day_mon": {</t>
  </si>
  <si>
    <t xml:space="preserve">            "business_day": 0,</t>
  </si>
  <si>
    <t xml:space="preserve">            "business_open": "09:00",</t>
  </si>
  <si>
    <t xml:space="preserve">            "business_close": "23:00"</t>
  </si>
  <si>
    <t xml:space="preserve">        "business_day_tue": {</t>
  </si>
  <si>
    <t xml:space="preserve">            "business_day": 1,</t>
  </si>
  <si>
    <t xml:space="preserve">            "business_close": "23:59"</t>
  </si>
  <si>
    <t xml:space="preserve">        "business_day_wed": {</t>
  </si>
  <si>
    <t xml:space="preserve">        "business_day_thu": {</t>
  </si>
  <si>
    <t xml:space="preserve">        "business_day_fri": {</t>
  </si>
  <si>
    <t xml:space="preserve">        "business_day_sat": {</t>
  </si>
  <si>
    <t xml:space="preserve">        "business_day_sun": {</t>
  </si>
  <si>
    <t xml:space="preserve">        "payment_methods": ["1","2"]</t>
  </si>
  <si>
    <t xml:space="preserve">        "code_pay_no_aeonpay": "123456789XX",</t>
  </si>
  <si>
    <t xml:space="preserve">        "code_pay_no_etc": "123456789XX"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</si>
  <si>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</si>
  <si>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最大50桁。50桁を超えた場合、エラーメッセージ = MSG_VAL_002。入力されていない場合、全て検索する。</t>
  </si>
  <si>
    <t>MinhNT</t>
  </si>
  <si>
    <t>Q&amp;A 35422による更新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</si>
</sst>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name val="Meiryo UI"/>
      <family val="2"/>
    </font>
    <font>
      <sz val="10"/>
      <name val="Meiryo UI"/>
      <family val="2"/>
    </font>
    <font>
      <sz val="11"/>
      <color rgb="FF00B050"/>
      <name val="Meiryo UI"/>
      <family val="2"/>
    </font>
    <font>
      <sz val="11"/>
      <color rgb="FF7030A0"/>
      <name val="Meiryo UI"/>
      <family val="2"/>
    </font>
    <font>
      <strike/>
      <sz val="11"/>
      <color rgb="FF7030A0"/>
      <name val="Meiryo UI"/>
      <family val="2"/>
    </font>
    <font>
      <strike/>
      <sz val="11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rgb="FF00B0F0"/>
      <name val="Meiryo UI"/>
      <family val="2"/>
    </font>
    <font>
      <sz val="11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3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9" xfId="0" applyFont="1" applyBorder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4" borderId="0" xfId="0" applyFont="1" applyFill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 applyAlignment="1">
      <alignment vertical="center"/>
    </xf>
    <xf numFmtId="0" fontId="13" fillId="4" borderId="0" xfId="0" applyFont="1" applyFill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4" borderId="0" xfId="0" applyFont="1" applyFill="1" applyAlignment="1">
      <alignment vertical="center"/>
    </xf>
    <xf numFmtId="0" fontId="16" fillId="0" borderId="0" xfId="0" applyFont="1" applyAlignment="1">
      <alignment horizontal="left" vertical="center"/>
    </xf>
    <xf numFmtId="0" fontId="22" fillId="0" borderId="0" xfId="0" applyFont="1"/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1" xfId="0" applyFont="1" applyBorder="1" applyAlignment="1">
      <alignment vertical="center"/>
    </xf>
    <xf numFmtId="0" fontId="20" fillId="3" borderId="19" xfId="0" applyFont="1" applyFill="1" applyBorder="1" applyAlignment="1">
      <alignment vertical="center"/>
    </xf>
    <xf numFmtId="0" fontId="19" fillId="3" borderId="0" xfId="0" applyFont="1" applyFill="1" applyAlignment="1">
      <alignment vertical="center"/>
    </xf>
    <xf numFmtId="0" fontId="19" fillId="3" borderId="21" xfId="0" applyFont="1" applyFill="1" applyBorder="1" applyAlignment="1">
      <alignment vertical="center"/>
    </xf>
    <xf numFmtId="0" fontId="19" fillId="3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6" applyFont="1" applyAlignment="1">
      <alignment vertical="center"/>
    </xf>
    <xf numFmtId="0" fontId="22" fillId="0" borderId="2" xfId="6" applyFont="1" applyBorder="1" applyAlignment="1">
      <alignment vertical="center"/>
    </xf>
    <xf numFmtId="0" fontId="22" fillId="0" borderId="3" xfId="6" applyFont="1" applyBorder="1" applyAlignment="1">
      <alignment vertical="center"/>
    </xf>
    <xf numFmtId="0" fontId="22" fillId="0" borderId="5" xfId="6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22" fillId="0" borderId="17" xfId="6" applyFont="1" applyBorder="1" applyAlignment="1">
      <alignment vertical="center"/>
    </xf>
    <xf numFmtId="0" fontId="22" fillId="0" borderId="18" xfId="6" applyFont="1" applyBorder="1" applyAlignment="1">
      <alignment vertical="center"/>
    </xf>
    <xf numFmtId="0" fontId="22" fillId="0" borderId="1" xfId="0" applyFont="1" applyBorder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vertical="center"/>
    </xf>
    <xf numFmtId="0" fontId="22" fillId="4" borderId="0" xfId="0" applyFont="1" applyFill="1" applyAlignment="1">
      <alignment vertical="center"/>
    </xf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0" xfId="0" quotePrefix="1" applyFont="1" applyAlignment="1">
      <alignment horizontal="left" vertical="center" wrapText="1"/>
    </xf>
    <xf numFmtId="0" fontId="22" fillId="0" borderId="4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indent="1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6" xfId="0" applyFont="1" applyBorder="1"/>
    <xf numFmtId="0" fontId="22" fillId="0" borderId="2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 applyAlignment="1">
      <alignment vertical="top" wrapText="1"/>
    </xf>
    <xf numFmtId="0" fontId="23" fillId="0" borderId="27" xfId="0" applyFont="1" applyBorder="1" applyAlignment="1">
      <alignment vertical="top"/>
    </xf>
    <xf numFmtId="0" fontId="23" fillId="0" borderId="28" xfId="0" applyFont="1" applyBorder="1" applyAlignment="1">
      <alignment vertical="top"/>
    </xf>
    <xf numFmtId="0" fontId="23" fillId="0" borderId="17" xfId="0" applyFont="1" applyBorder="1"/>
    <xf numFmtId="0" fontId="23" fillId="0" borderId="18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16" xfId="0" applyFont="1" applyBorder="1"/>
    <xf numFmtId="0" fontId="23" fillId="0" borderId="2" xfId="0" applyFont="1" applyBorder="1"/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14" fontId="22" fillId="0" borderId="16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vertical="top" wrapText="1"/>
    </xf>
    <xf numFmtId="0" fontId="22" fillId="0" borderId="27" xfId="0" applyFont="1" applyBorder="1" applyAlignment="1">
      <alignment vertical="top"/>
    </xf>
    <xf numFmtId="0" fontId="22" fillId="0" borderId="28" xfId="0" applyFont="1" applyBorder="1" applyAlignment="1">
      <alignment vertical="top"/>
    </xf>
    <xf numFmtId="0" fontId="19" fillId="3" borderId="0" xfId="0" applyFont="1" applyFill="1"/>
    <xf numFmtId="0" fontId="19" fillId="3" borderId="23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19" fillId="3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19" fillId="3" borderId="23" xfId="6" applyFont="1" applyFill="1" applyBorder="1" applyAlignment="1">
      <alignment horizontal="center" vertical="center"/>
    </xf>
    <xf numFmtId="0" fontId="19" fillId="3" borderId="24" xfId="6" applyFont="1" applyFill="1" applyBorder="1" applyAlignment="1">
      <alignment horizontal="center" vertical="center"/>
    </xf>
    <xf numFmtId="0" fontId="19" fillId="3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22" fillId="0" borderId="23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3" xfId="0" applyFont="1" applyBorder="1" applyAlignment="1">
      <alignment vertical="center"/>
    </xf>
    <xf numFmtId="0" fontId="22" fillId="0" borderId="24" xfId="0" applyFont="1" applyBorder="1" applyAlignment="1">
      <alignment vertical="center"/>
    </xf>
    <xf numFmtId="0" fontId="22" fillId="0" borderId="25" xfId="0" applyFont="1" applyBorder="1" applyAlignment="1">
      <alignment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11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22" fillId="5" borderId="23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16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23" xfId="6" applyFont="1" applyBorder="1" applyAlignment="1">
      <alignment horizontal="center" vertical="center"/>
    </xf>
    <xf numFmtId="0" fontId="22" fillId="0" borderId="24" xfId="6" applyFont="1" applyBorder="1" applyAlignment="1">
      <alignment horizontal="center" vertical="center"/>
    </xf>
    <xf numFmtId="0" fontId="22" fillId="0" borderId="25" xfId="6" applyFont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 indent="1"/>
    </xf>
    <xf numFmtId="0" fontId="23" fillId="0" borderId="24" xfId="0" applyFont="1" applyBorder="1" applyAlignment="1">
      <alignment horizontal="left" vertical="center" indent="1"/>
    </xf>
    <xf numFmtId="0" fontId="23" fillId="0" borderId="25" xfId="0" applyFont="1" applyBorder="1" applyAlignment="1">
      <alignment horizontal="left" vertical="center" indent="1"/>
    </xf>
    <xf numFmtId="0" fontId="23" fillId="0" borderId="23" xfId="0" applyFont="1" applyBorder="1" applyAlignment="1">
      <alignment vertical="center"/>
    </xf>
    <xf numFmtId="0" fontId="23" fillId="0" borderId="24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11205</xdr:colOff>
      <xdr:row>12</xdr:row>
      <xdr:rowOff>179295</xdr:rowOff>
    </xdr:from>
    <xdr:to>
      <xdr:col>9</xdr:col>
      <xdr:colOff>11205</xdr:colOff>
      <xdr:row>16</xdr:row>
      <xdr:rowOff>179295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9625" y="25812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店舗一覧を取得する。</a:t>
          </a:r>
        </a:p>
      </xdr:txBody>
    </xdr:sp>
    <xdr:clientData/>
  </xdr:twoCellAnchor>
  <xdr:twoCellAnchor>
    <xdr:from>
      <xdr:col>4</xdr:col>
      <xdr:colOff>19976</xdr:colOff>
      <xdr:row>39</xdr:row>
      <xdr:rowOff>0</xdr:rowOff>
    </xdr:from>
    <xdr:to>
      <xdr:col>8</xdr:col>
      <xdr:colOff>488</xdr:colOff>
      <xdr:row>40</xdr:row>
      <xdr:rowOff>190499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085850" y="7543800"/>
          <a:ext cx="10477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24849</xdr:colOff>
      <xdr:row>25</xdr:row>
      <xdr:rowOff>0</xdr:rowOff>
    </xdr:from>
    <xdr:to>
      <xdr:col>8</xdr:col>
      <xdr:colOff>235812</xdr:colOff>
      <xdr:row>29</xdr:row>
      <xdr:rowOff>179294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28675" y="4876800"/>
          <a:ext cx="154305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15105</xdr:colOff>
      <xdr:row>29</xdr:row>
      <xdr:rowOff>179294</xdr:rowOff>
    </xdr:from>
    <xdr:to>
      <xdr:col>7</xdr:col>
      <xdr:colOff>5360</xdr:colOff>
      <xdr:row>30</xdr:row>
      <xdr:rowOff>179294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52550" y="5819775"/>
          <a:ext cx="5238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235812</xdr:colOff>
      <xdr:row>26</xdr:row>
      <xdr:rowOff>179294</xdr:rowOff>
    </xdr:from>
    <xdr:to>
      <xdr:col>10</xdr:col>
      <xdr:colOff>215347</xdr:colOff>
      <xdr:row>28</xdr:row>
      <xdr:rowOff>8282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371725" y="524827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10232</xdr:colOff>
      <xdr:row>27</xdr:row>
      <xdr:rowOff>93788</xdr:rowOff>
    </xdr:from>
    <xdr:to>
      <xdr:col>10</xdr:col>
      <xdr:colOff>215347</xdr:colOff>
      <xdr:row>39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6" idx="0"/>
        </xdr:cNvCxnSpPr>
      </xdr:nvCxnSpPr>
      <xdr:spPr>
        <a:xfrm flipH="1">
          <a:off x="1609725" y="5353050"/>
          <a:ext cx="1276350" cy="2190750"/>
        </a:xfrm>
        <a:prstGeom prst="bentConnector4">
          <a:avLst>
            <a:gd name="adj1" fmla="val -19607"/>
            <a:gd name="adj2" fmla="val 5323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10232</xdr:colOff>
      <xdr:row>30</xdr:row>
      <xdr:rowOff>179294</xdr:rowOff>
    </xdr:from>
    <xdr:to>
      <xdr:col>6</xdr:col>
      <xdr:colOff>10233</xdr:colOff>
      <xdr:row>39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6" idx="0"/>
        </xdr:cNvCxnSpPr>
      </xdr:nvCxnSpPr>
      <xdr:spPr>
        <a:xfrm flipH="1">
          <a:off x="1609725" y="6010275"/>
          <a:ext cx="0" cy="1533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11206</xdr:colOff>
      <xdr:row>16</xdr:row>
      <xdr:rowOff>179295</xdr:rowOff>
    </xdr:from>
    <xdr:to>
      <xdr:col>6</xdr:col>
      <xdr:colOff>12669</xdr:colOff>
      <xdr:row>25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7" idx="0"/>
        </xdr:cNvCxnSpPr>
      </xdr:nvCxnSpPr>
      <xdr:spPr>
        <a:xfrm>
          <a:off x="1609725" y="3343275"/>
          <a:ext cx="0" cy="1533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40</xdr:row>
      <xdr:rowOff>0</xdr:rowOff>
    </xdr:from>
    <xdr:to>
      <xdr:col>62</xdr:col>
      <xdr:colOff>0</xdr:colOff>
      <xdr:row>47</xdr:row>
      <xdr:rowOff>0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7734300"/>
          <a:ext cx="7200900" cy="1333500"/>
        </a:xfrm>
        <a:prstGeom prst="borderCallout1">
          <a:avLst>
            <a:gd name="adj1" fmla="val 51887"/>
            <a:gd name="adj2" fmla="val 470"/>
            <a:gd name="adj3" fmla="val -119586"/>
            <a:gd name="adj4" fmla="val -1032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200、ボディが「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・data = [] </a:t>
          </a:r>
        </a:p>
      </xdr:txBody>
    </xdr:sp>
    <xdr:clientData/>
  </xdr:twoCellAnchor>
  <xdr:twoCellAnchor>
    <xdr:from>
      <xdr:col>35</xdr:col>
      <xdr:colOff>4872</xdr:colOff>
      <xdr:row>6</xdr:row>
      <xdr:rowOff>0</xdr:rowOff>
    </xdr:from>
    <xdr:to>
      <xdr:col>62</xdr:col>
      <xdr:colOff>0</xdr:colOff>
      <xdr:row>39</xdr:row>
      <xdr:rowOff>0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44025" y="1257300"/>
          <a:ext cx="7191375" cy="6286500"/>
        </a:xfrm>
        <a:prstGeom prst="borderCallout1">
          <a:avLst>
            <a:gd name="adj1" fmla="val 29262"/>
            <a:gd name="adj2" fmla="val 117"/>
            <a:gd name="adj3" fmla="val 29133"/>
            <a:gd name="adj4" fmla="val -972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1.1 storesテーブル内で、以下の条件を満たすレコード一覧を取得する。</a:t>
          </a:r>
        </a:p>
        <a:p>
          <a:pPr algn="l"/>
          <a:r>
            <a:rPr lang="en-US" altLang="ja-JP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current_user.role_code = '00' (</a:t>
          </a:r>
          <a:r>
            <a:rPr lang="ja-JP" altLang="en-US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システム権限</a:t>
          </a:r>
          <a:r>
            <a:rPr lang="en-US" altLang="ja-JP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s.company_code, s.store_code,s.ten_name, s.ten_short_nm,s.post_cd,s.address1,s.address2,s.address3, s.phone_number,s.start_hours,s.end_hours,</a:t>
          </a:r>
          <a:r>
            <a:rPr lang="en-US" altLang="ja-JP" sz="1000" b="0" i="0" u="none" strike="sng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s.business_type_code, s.default_point,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COUNT(c.store_code) as total_pos FROM stores s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▪LEFT JOIN instores c on s.company_code = c.company_code and s.store_code = c.store_code and c.record_void_flag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LEFT JOIN store_payment sp on s.company_code = sp.company_code and s.store_code = sp.store_code and c.record_void_flag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s.company_code = current_user.company_code AND s.record_void_flag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▪current_user.role_code</a:t>
          </a:r>
          <a:r>
            <a:rPr lang="ja-JP" altLang="en-US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が</a:t>
          </a:r>
          <a:r>
            <a:rPr lang="en-US" altLang="ja-JP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'02'</a:t>
          </a:r>
          <a:r>
            <a:rPr lang="ja-JP" altLang="en-US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（店舗ユーザー権限）または</a:t>
          </a:r>
          <a:r>
            <a:rPr lang="en-US" altLang="ja-JP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'01'</a:t>
          </a:r>
          <a:r>
            <a:rPr lang="ja-JP" altLang="en-US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の場合、エラー</a:t>
          </a:r>
          <a:r>
            <a:rPr lang="en-US" altLang="ja-JP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403</a:t>
          </a:r>
          <a:r>
            <a:rPr lang="ja-JP" altLang="en-US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を返す。</a:t>
          </a:r>
          <a:endParaRPr lang="en-US" altLang="ja-JP" sz="1000" b="0" i="0" u="none" baseline="0">
            <a:solidFill>
              <a:srgbClr val="EE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s.store_code = current_user.store_code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▪request.code != nullの場合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0の場合 =&gt; LPAD(s.store_code , 5, '0') LIKE %param {store_code}%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1の場合 =&gt; LPAD(s.store_code , 5, '0') LIKE param {store_code}%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code_filter_type = 2の場合 =&gt; LPAD(s.store_code , 5, '0') LIKE %param {store_code}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▪request.name != nullの場合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name_filter_type = 0の場合 =&gt; s.ten_name LIKE %param {store_name}% OR s.ten_short_nm LIKE %param {store_name}%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1の場合 =&gt; s.ten_name LIKE param {store_name}%  OR s.ten_short_nm LIKE param {name}%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2の場合 =&gt; s.ten_name LIKE %param {store_name}  OR s.ten_short_nm LIKE %param {store_name}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▪request.store_type != nullの場合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s.business_type_code = param {store_type}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▪group by s.store_code,s.ten_name, s.ten_short_nm,s.post_cd,s.address1,s.address2,s.address3, s.phone_number,s.start_hours,s.end_hours,</a:t>
          </a:r>
          <a:r>
            <a:rPr lang="en-US" altLang="ja-JP" sz="1000" b="0" i="0" u="none" strike="sngStrik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s.business_type_code, s.default_point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s.company_code, s.store_code ASC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▪LIMIT 1000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11206</xdr:colOff>
      <xdr:row>12</xdr:row>
      <xdr:rowOff>179295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952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9"/>
      <c r="K1" s="107" t="s">
        <v>2</v>
      </c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9"/>
      <c r="W1" s="129" t="s">
        <v>17</v>
      </c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1"/>
      <c r="AP1" s="107" t="s">
        <v>3</v>
      </c>
      <c r="AQ1" s="108"/>
      <c r="AR1" s="108"/>
      <c r="AS1" s="109"/>
      <c r="AT1" s="107" t="s">
        <v>4</v>
      </c>
      <c r="AU1" s="108"/>
      <c r="AV1" s="108"/>
      <c r="AW1" s="108"/>
      <c r="AX1" s="109"/>
      <c r="AY1" s="107" t="s">
        <v>5</v>
      </c>
      <c r="AZ1" s="108"/>
      <c r="BA1" s="108"/>
      <c r="BB1" s="109"/>
      <c r="BC1" s="107" t="s">
        <v>6</v>
      </c>
      <c r="BD1" s="108"/>
      <c r="BE1" s="108"/>
      <c r="BF1" s="108"/>
      <c r="BG1" s="109"/>
      <c r="BH1" s="107" t="s">
        <v>7</v>
      </c>
      <c r="BI1" s="108"/>
      <c r="BJ1" s="108"/>
      <c r="BK1" s="109"/>
    </row>
    <row r="2" spans="1:63" ht="15" customHeight="1" x14ac:dyDescent="0.25">
      <c r="A2" s="128" t="s">
        <v>15</v>
      </c>
      <c r="B2" s="93"/>
      <c r="C2" s="93"/>
      <c r="D2" s="93"/>
      <c r="E2" s="93"/>
      <c r="F2" s="93"/>
      <c r="G2" s="93"/>
      <c r="H2" s="93"/>
      <c r="I2" s="93"/>
      <c r="J2" s="94"/>
      <c r="K2" s="92" t="s">
        <v>12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4"/>
      <c r="W2" s="132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4"/>
      <c r="AP2" s="92" t="str">
        <f>改訂履歴!$H$11</f>
        <v>DuNT</v>
      </c>
      <c r="AQ2" s="93"/>
      <c r="AR2" s="93"/>
      <c r="AS2" s="94"/>
      <c r="AT2" s="122">
        <f>改訂履歴!$B$11</f>
        <v>45498</v>
      </c>
      <c r="AU2" s="123"/>
      <c r="AV2" s="123"/>
      <c r="AW2" s="123"/>
      <c r="AX2" s="124"/>
      <c r="AY2" s="92" t="str">
        <f>LOOKUP(2,1/(改訂履歴!H11:H30000&lt;&gt;""),改訂履歴!H11:H30000)</f>
        <v>MinhNT</v>
      </c>
      <c r="AZ2" s="93"/>
      <c r="BA2" s="93"/>
      <c r="BB2" s="94"/>
      <c r="BC2" s="122">
        <f>LOOKUP(2,1/(改訂履歴!B11:B30000&lt;&gt;""),改訂履歴!B11:B30000)</f>
        <v>45832</v>
      </c>
      <c r="BD2" s="123"/>
      <c r="BE2" s="123"/>
      <c r="BF2" s="123"/>
      <c r="BG2" s="124"/>
      <c r="BH2" s="116">
        <f>LOOKUP(2,1/(改訂履歴!O11:O30000&lt;&gt;""),改訂履歴!O11:O30000)</f>
        <v>0.13</v>
      </c>
      <c r="BI2" s="117"/>
      <c r="BJ2" s="117"/>
      <c r="BK2" s="118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135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7"/>
      <c r="AP3" s="98"/>
      <c r="AQ3" s="99"/>
      <c r="AR3" s="99"/>
      <c r="AS3" s="100"/>
      <c r="AT3" s="125"/>
      <c r="AU3" s="126"/>
      <c r="AV3" s="126"/>
      <c r="AW3" s="126"/>
      <c r="AX3" s="127"/>
      <c r="AY3" s="98"/>
      <c r="AZ3" s="99"/>
      <c r="BA3" s="99"/>
      <c r="BB3" s="100"/>
      <c r="BC3" s="125"/>
      <c r="BD3" s="126"/>
      <c r="BE3" s="126"/>
      <c r="BF3" s="126"/>
      <c r="BG3" s="127"/>
      <c r="BH3" s="119"/>
      <c r="BI3" s="120"/>
      <c r="BJ3" s="120"/>
      <c r="BK3" s="121"/>
    </row>
    <row r="4" spans="1:63" ht="24.95" customHeight="1" x14ac:dyDescent="0.25">
      <c r="A4" s="107" t="s">
        <v>1</v>
      </c>
      <c r="B4" s="108"/>
      <c r="C4" s="108"/>
      <c r="D4" s="108"/>
      <c r="E4" s="108"/>
      <c r="F4" s="108"/>
      <c r="G4" s="109"/>
      <c r="H4" s="112" t="s">
        <v>52</v>
      </c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4"/>
      <c r="U4" s="107" t="s">
        <v>8</v>
      </c>
      <c r="V4" s="108"/>
      <c r="W4" s="108"/>
      <c r="X4" s="108"/>
      <c r="Y4" s="109"/>
      <c r="Z4" s="115" t="s">
        <v>16</v>
      </c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4"/>
      <c r="AP4" s="112" t="str">
        <f t="array" aca="1" ref="AP4" ca="1">RIGHT(CELL("filename",$A$1),LEN(CELL("filename",$A$1))-FIND("]",CELL("filename",$A$1)))</f>
        <v>‎表紙</v>
      </c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110" t="s">
        <v>34</v>
      </c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2"/>
      <c r="BK16" s="4"/>
    </row>
    <row r="17" spans="1:63" ht="15" customHeight="1" x14ac:dyDescent="0.25">
      <c r="A17" s="1"/>
      <c r="K17" s="6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2"/>
      <c r="BK17" s="4"/>
    </row>
    <row r="18" spans="1:63" ht="15" customHeight="1" x14ac:dyDescent="0.25">
      <c r="A18" s="1"/>
      <c r="K18" s="6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2"/>
      <c r="BK18" s="4"/>
    </row>
    <row r="19" spans="1:63" ht="15" customHeight="1" x14ac:dyDescent="0.25">
      <c r="A19" s="1"/>
      <c r="K19" s="6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2"/>
      <c r="BK19" s="4"/>
    </row>
    <row r="20" spans="1:63" ht="15" customHeight="1" x14ac:dyDescent="0.25">
      <c r="A20" s="1"/>
      <c r="K20" s="6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2"/>
      <c r="BK20" s="4"/>
    </row>
    <row r="21" spans="1:63" ht="15" customHeight="1" x14ac:dyDescent="0.25">
      <c r="A21" s="1"/>
      <c r="K21" s="6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111" t="str">
        <f>K2&amp;"/"&amp;H4&amp;"/"&amp;Z4</f>
        <v>POSサーバー/AP8201/API設計書</v>
      </c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2"/>
      <c r="BK24" s="4"/>
    </row>
    <row r="25" spans="1:63" ht="15" customHeight="1" x14ac:dyDescent="0.25">
      <c r="A25" s="1"/>
      <c r="K25" s="6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2"/>
      <c r="BK25" s="4"/>
    </row>
    <row r="26" spans="1:63" ht="15" customHeight="1" x14ac:dyDescent="0.25">
      <c r="A26" s="1"/>
      <c r="K26" s="6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2"/>
      <c r="BK26" s="4"/>
    </row>
    <row r="27" spans="1:63" ht="15" customHeight="1" x14ac:dyDescent="0.25">
      <c r="A27" s="1"/>
      <c r="K27" s="6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2"/>
      <c r="BK27" s="4"/>
    </row>
    <row r="28" spans="1:63" ht="15" customHeight="1" x14ac:dyDescent="0.25">
      <c r="A28" s="1"/>
      <c r="K28" s="6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2"/>
      <c r="BK28" s="4"/>
    </row>
    <row r="29" spans="1:63" ht="15" customHeight="1" x14ac:dyDescent="0.25">
      <c r="A29" s="1"/>
      <c r="K29" s="6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2"/>
      <c r="BK29" s="4"/>
    </row>
    <row r="30" spans="1:63" ht="15" customHeight="1" x14ac:dyDescent="0.25">
      <c r="A30" s="1"/>
      <c r="K30" s="6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2"/>
      <c r="BK30" s="4"/>
    </row>
    <row r="31" spans="1:63" ht="15" customHeight="1" x14ac:dyDescent="0.25">
      <c r="A31" s="1"/>
      <c r="K31" s="6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2"/>
      <c r="BK31" s="4"/>
    </row>
    <row r="32" spans="1:63" ht="15" customHeight="1" x14ac:dyDescent="0.25">
      <c r="A32" s="1"/>
      <c r="K32" s="6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2"/>
      <c r="BK32" s="4"/>
    </row>
    <row r="33" spans="1:63" ht="15" customHeight="1" x14ac:dyDescent="0.25">
      <c r="A33" s="1"/>
      <c r="K33" s="6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2"/>
      <c r="BK33" s="4"/>
    </row>
    <row r="34" spans="1:63" ht="15" customHeight="1" x14ac:dyDescent="0.25">
      <c r="A34" s="1"/>
      <c r="K34" s="6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2"/>
      <c r="BK34" s="4"/>
    </row>
    <row r="35" spans="1:63" ht="15" customHeight="1" x14ac:dyDescent="0.25">
      <c r="A35" s="1"/>
      <c r="K35" s="6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2"/>
      <c r="BK35" s="4"/>
    </row>
    <row r="36" spans="1:63" ht="15" customHeight="1" x14ac:dyDescent="0.25">
      <c r="A36" s="1"/>
      <c r="K36" s="6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101" t="s">
        <v>10</v>
      </c>
      <c r="R44" s="102"/>
      <c r="S44" s="102"/>
      <c r="T44" s="102"/>
      <c r="U44" s="102"/>
      <c r="V44" s="102"/>
      <c r="W44" s="102"/>
      <c r="X44" s="102"/>
      <c r="Y44" s="102"/>
      <c r="Z44" s="103"/>
      <c r="AA44" s="101" t="s">
        <v>11</v>
      </c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3"/>
      <c r="AQ44" s="101" t="s">
        <v>7</v>
      </c>
      <c r="AR44" s="102"/>
      <c r="AS44" s="102"/>
      <c r="AT44" s="102"/>
      <c r="AU44" s="103"/>
      <c r="BK44" s="4"/>
    </row>
    <row r="45" spans="1:63" ht="15" customHeight="1" x14ac:dyDescent="0.25">
      <c r="A45" s="1"/>
      <c r="Q45" s="104"/>
      <c r="R45" s="105"/>
      <c r="S45" s="105"/>
      <c r="T45" s="105"/>
      <c r="U45" s="105"/>
      <c r="V45" s="105"/>
      <c r="W45" s="105"/>
      <c r="X45" s="105"/>
      <c r="Y45" s="105"/>
      <c r="Z45" s="106"/>
      <c r="AA45" s="104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6"/>
      <c r="AQ45" s="104"/>
      <c r="AR45" s="105"/>
      <c r="AS45" s="105"/>
      <c r="AT45" s="105"/>
      <c r="AU45" s="106"/>
      <c r="BK45" s="4"/>
    </row>
    <row r="46" spans="1:63" ht="15" customHeight="1" x14ac:dyDescent="0.25">
      <c r="A46" s="1"/>
      <c r="Q46" s="92"/>
      <c r="R46" s="93"/>
      <c r="S46" s="93"/>
      <c r="T46" s="93"/>
      <c r="U46" s="93"/>
      <c r="V46" s="93"/>
      <c r="W46" s="93"/>
      <c r="X46" s="93"/>
      <c r="Y46" s="93"/>
      <c r="Z46" s="94"/>
      <c r="AA46" s="92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4"/>
      <c r="AQ46" s="92"/>
      <c r="AR46" s="93"/>
      <c r="AS46" s="93"/>
      <c r="AT46" s="93"/>
      <c r="AU46" s="94"/>
      <c r="BK46" s="4"/>
    </row>
    <row r="47" spans="1:63" ht="15" customHeight="1" x14ac:dyDescent="0.25">
      <c r="A47" s="1"/>
      <c r="Q47" s="95"/>
      <c r="R47" s="96"/>
      <c r="S47" s="96"/>
      <c r="T47" s="96"/>
      <c r="U47" s="96"/>
      <c r="V47" s="96"/>
      <c r="W47" s="96"/>
      <c r="X47" s="96"/>
      <c r="Y47" s="96"/>
      <c r="Z47" s="97"/>
      <c r="AA47" s="95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7"/>
      <c r="AQ47" s="95"/>
      <c r="AR47" s="96"/>
      <c r="AS47" s="96"/>
      <c r="AT47" s="96"/>
      <c r="AU47" s="97"/>
      <c r="BK47" s="4"/>
    </row>
    <row r="48" spans="1:63" ht="15" customHeight="1" x14ac:dyDescent="0.25">
      <c r="A48" s="1"/>
      <c r="Q48" s="95"/>
      <c r="R48" s="96"/>
      <c r="S48" s="96"/>
      <c r="T48" s="96"/>
      <c r="U48" s="96"/>
      <c r="V48" s="96"/>
      <c r="W48" s="96"/>
      <c r="X48" s="96"/>
      <c r="Y48" s="96"/>
      <c r="Z48" s="97"/>
      <c r="AA48" s="95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7"/>
      <c r="AQ48" s="95"/>
      <c r="AR48" s="96"/>
      <c r="AS48" s="96"/>
      <c r="AT48" s="96"/>
      <c r="AU48" s="97"/>
      <c r="BK48" s="4"/>
    </row>
    <row r="49" spans="1:63" ht="15" customHeight="1" x14ac:dyDescent="0.25">
      <c r="A49" s="1"/>
      <c r="Q49" s="98"/>
      <c r="R49" s="99"/>
      <c r="S49" s="99"/>
      <c r="T49" s="99"/>
      <c r="U49" s="99"/>
      <c r="V49" s="99"/>
      <c r="W49" s="99"/>
      <c r="X49" s="99"/>
      <c r="Y49" s="99"/>
      <c r="Z49" s="100"/>
      <c r="AA49" s="98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100"/>
      <c r="AQ49" s="98"/>
      <c r="AR49" s="99"/>
      <c r="AS49" s="99"/>
      <c r="AT49" s="99"/>
      <c r="AU49" s="100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3" customWidth="1"/>
    <col min="61" max="16384" width="2.77734375" style="53"/>
  </cols>
  <sheetData>
    <row r="1" spans="1:63" ht="24.95" customHeight="1" x14ac:dyDescent="0.25">
      <c r="A1" s="192" t="s">
        <v>127</v>
      </c>
      <c r="B1" s="181"/>
      <c r="C1" s="181"/>
      <c r="D1" s="181"/>
      <c r="E1" s="181"/>
      <c r="F1" s="181"/>
      <c r="G1" s="181"/>
      <c r="H1" s="181"/>
      <c r="I1" s="181"/>
      <c r="J1" s="182"/>
      <c r="K1" s="180" t="s">
        <v>115</v>
      </c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2"/>
      <c r="W1" s="183" t="s">
        <v>111</v>
      </c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5"/>
      <c r="AP1" s="180" t="s">
        <v>116</v>
      </c>
      <c r="AQ1" s="181"/>
      <c r="AR1" s="181"/>
      <c r="AS1" s="182"/>
      <c r="AT1" s="180" t="s">
        <v>117</v>
      </c>
      <c r="AU1" s="181"/>
      <c r="AV1" s="181"/>
      <c r="AW1" s="181"/>
      <c r="AX1" s="182"/>
      <c r="AY1" s="180" t="s">
        <v>118</v>
      </c>
      <c r="AZ1" s="181"/>
      <c r="BA1" s="181"/>
      <c r="BB1" s="182"/>
      <c r="BC1" s="180" t="s">
        <v>119</v>
      </c>
      <c r="BD1" s="181"/>
      <c r="BE1" s="181"/>
      <c r="BF1" s="181"/>
      <c r="BG1" s="182"/>
      <c r="BH1" s="180" t="s">
        <v>120</v>
      </c>
      <c r="BI1" s="181"/>
      <c r="BJ1" s="181"/>
      <c r="BK1" s="182"/>
    </row>
    <row r="2" spans="1:63" ht="15" customHeight="1" x14ac:dyDescent="0.25">
      <c r="A2" s="138" t="s">
        <v>110</v>
      </c>
      <c r="B2" s="139"/>
      <c r="C2" s="139"/>
      <c r="D2" s="139"/>
      <c r="E2" s="139"/>
      <c r="F2" s="139"/>
      <c r="G2" s="139"/>
      <c r="H2" s="139"/>
      <c r="I2" s="139"/>
      <c r="J2" s="140"/>
      <c r="K2" s="138" t="s">
        <v>110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86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8"/>
      <c r="AP2" s="138" t="s">
        <v>107</v>
      </c>
      <c r="AQ2" s="139"/>
      <c r="AR2" s="139"/>
      <c r="AS2" s="140"/>
      <c r="AT2" s="175">
        <v>45498</v>
      </c>
      <c r="AU2" s="196"/>
      <c r="AV2" s="196"/>
      <c r="AW2" s="196"/>
      <c r="AX2" s="197"/>
      <c r="AY2" s="138" t="s">
        <v>108</v>
      </c>
      <c r="AZ2" s="139"/>
      <c r="BA2" s="139"/>
      <c r="BB2" s="140"/>
      <c r="BC2" s="175">
        <v>45805</v>
      </c>
      <c r="BD2" s="196"/>
      <c r="BE2" s="196"/>
      <c r="BF2" s="196"/>
      <c r="BG2" s="197"/>
      <c r="BH2" s="138">
        <v>0.33</v>
      </c>
      <c r="BI2" s="139"/>
      <c r="BJ2" s="139"/>
      <c r="BK2" s="140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89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1"/>
      <c r="AP3" s="141"/>
      <c r="AQ3" s="142"/>
      <c r="AR3" s="142"/>
      <c r="AS3" s="143"/>
      <c r="AT3" s="198"/>
      <c r="AU3" s="199"/>
      <c r="AV3" s="199"/>
      <c r="AW3" s="199"/>
      <c r="AX3" s="200"/>
      <c r="AY3" s="141"/>
      <c r="AZ3" s="142"/>
      <c r="BA3" s="142"/>
      <c r="BB3" s="143"/>
      <c r="BC3" s="198"/>
      <c r="BD3" s="199"/>
      <c r="BE3" s="199"/>
      <c r="BF3" s="199"/>
      <c r="BG3" s="200"/>
      <c r="BH3" s="141"/>
      <c r="BI3" s="142"/>
      <c r="BJ3" s="142"/>
      <c r="BK3" s="143"/>
    </row>
    <row r="4" spans="1:63" ht="24.95" customHeight="1" x14ac:dyDescent="0.25">
      <c r="A4" s="180" t="s">
        <v>121</v>
      </c>
      <c r="B4" s="181"/>
      <c r="C4" s="181"/>
      <c r="D4" s="181"/>
      <c r="E4" s="181"/>
      <c r="F4" s="181"/>
      <c r="G4" s="182"/>
      <c r="H4" s="193" t="s">
        <v>109</v>
      </c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5"/>
      <c r="U4" s="180" t="s">
        <v>122</v>
      </c>
      <c r="V4" s="181"/>
      <c r="W4" s="181"/>
      <c r="X4" s="181"/>
      <c r="Y4" s="182"/>
      <c r="Z4" s="193" t="s">
        <v>112</v>
      </c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5"/>
      <c r="AP4" s="193" t="str">
        <f t="array" aca="1" ref="AP4" ca="1">RIGHT(CELL("filename",$A$1),LEN(CELL("filename",$A$1))-FIND("]",CELL("filename",$A$1)))</f>
        <v>改訂履歴</v>
      </c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5"/>
    </row>
    <row r="5" spans="1:63" ht="5.0999999999999996" customHeight="1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</row>
    <row r="6" spans="1:63" ht="15" customHeight="1" x14ac:dyDescent="0.25">
      <c r="A6" s="57"/>
      <c r="BK6" s="58"/>
    </row>
    <row r="7" spans="1:63" ht="15" customHeight="1" x14ac:dyDescent="0.25">
      <c r="A7" s="57"/>
      <c r="BK7" s="58"/>
    </row>
    <row r="8" spans="1:63" ht="15" customHeight="1" x14ac:dyDescent="0.25">
      <c r="A8" s="57"/>
      <c r="B8" s="53" t="s">
        <v>9</v>
      </c>
      <c r="BK8" s="58"/>
    </row>
    <row r="9" spans="1:63" ht="15" customHeight="1" x14ac:dyDescent="0.25">
      <c r="A9" s="57"/>
      <c r="BK9" s="58"/>
    </row>
    <row r="10" spans="1:63" ht="15" customHeight="1" x14ac:dyDescent="0.25">
      <c r="A10" s="57"/>
      <c r="B10" s="179" t="s">
        <v>119</v>
      </c>
      <c r="C10" s="179"/>
      <c r="D10" s="179"/>
      <c r="E10" s="179"/>
      <c r="F10" s="179"/>
      <c r="G10" s="179"/>
      <c r="H10" s="179" t="s">
        <v>118</v>
      </c>
      <c r="I10" s="179"/>
      <c r="J10" s="179"/>
      <c r="K10" s="179"/>
      <c r="L10" s="179"/>
      <c r="M10" s="179"/>
      <c r="N10" s="179"/>
      <c r="O10" s="179" t="s">
        <v>120</v>
      </c>
      <c r="P10" s="179"/>
      <c r="Q10" s="179"/>
      <c r="R10" s="179"/>
      <c r="S10" s="179" t="s">
        <v>123</v>
      </c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 t="s">
        <v>124</v>
      </c>
      <c r="AY10" s="179"/>
      <c r="AZ10" s="179"/>
      <c r="BA10" s="179"/>
      <c r="BB10" s="179"/>
      <c r="BC10" s="179"/>
      <c r="BD10" s="179" t="s">
        <v>125</v>
      </c>
      <c r="BE10" s="179"/>
      <c r="BF10" s="179"/>
      <c r="BG10" s="179"/>
      <c r="BH10" s="179"/>
      <c r="BI10" s="179"/>
      <c r="BJ10" s="179"/>
      <c r="BK10" s="58"/>
    </row>
    <row r="11" spans="1:63" ht="15" customHeight="1" x14ac:dyDescent="0.25">
      <c r="A11" s="57"/>
      <c r="B11" s="175">
        <v>45498</v>
      </c>
      <c r="C11" s="139"/>
      <c r="D11" s="139"/>
      <c r="E11" s="139"/>
      <c r="F11" s="139"/>
      <c r="G11" s="140"/>
      <c r="H11" s="128" t="s">
        <v>107</v>
      </c>
      <c r="I11" s="139"/>
      <c r="J11" s="139"/>
      <c r="K11" s="139"/>
      <c r="L11" s="139"/>
      <c r="M11" s="139"/>
      <c r="N11" s="140"/>
      <c r="O11" s="138">
        <v>0.1</v>
      </c>
      <c r="P11" s="139"/>
      <c r="Q11" s="139"/>
      <c r="R11" s="139"/>
      <c r="S11" s="144" t="s">
        <v>13</v>
      </c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6"/>
      <c r="AX11" s="147"/>
      <c r="AY11" s="147"/>
      <c r="AZ11" s="147"/>
      <c r="BA11" s="147"/>
      <c r="BB11" s="147"/>
      <c r="BC11" s="148"/>
      <c r="BD11" s="151"/>
      <c r="BE11" s="147"/>
      <c r="BF11" s="147"/>
      <c r="BG11" s="147"/>
      <c r="BH11" s="147"/>
      <c r="BI11" s="147"/>
      <c r="BJ11" s="148"/>
      <c r="BK11" s="58"/>
    </row>
    <row r="12" spans="1:63" ht="15" customHeight="1" x14ac:dyDescent="0.25">
      <c r="A12" s="57"/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2"/>
      <c r="N12" s="143"/>
      <c r="O12" s="141"/>
      <c r="P12" s="142"/>
      <c r="Q12" s="142"/>
      <c r="R12" s="142"/>
      <c r="S12" s="153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5"/>
      <c r="AX12" s="149"/>
      <c r="AY12" s="149"/>
      <c r="AZ12" s="149"/>
      <c r="BA12" s="149"/>
      <c r="BB12" s="149"/>
      <c r="BC12" s="150"/>
      <c r="BD12" s="152"/>
      <c r="BE12" s="149"/>
      <c r="BF12" s="149"/>
      <c r="BG12" s="149"/>
      <c r="BH12" s="149"/>
      <c r="BI12" s="149"/>
      <c r="BJ12" s="150"/>
      <c r="BK12" s="58"/>
    </row>
    <row r="13" spans="1:63" ht="15" customHeight="1" x14ac:dyDescent="0.25">
      <c r="A13" s="57"/>
      <c r="B13" s="175">
        <v>45511</v>
      </c>
      <c r="C13" s="139"/>
      <c r="D13" s="139"/>
      <c r="E13" s="139"/>
      <c r="F13" s="139"/>
      <c r="G13" s="140"/>
      <c r="H13" s="138" t="s">
        <v>14</v>
      </c>
      <c r="I13" s="139"/>
      <c r="J13" s="139"/>
      <c r="K13" s="139"/>
      <c r="L13" s="139"/>
      <c r="M13" s="139"/>
      <c r="N13" s="140"/>
      <c r="O13" s="138">
        <v>0.2</v>
      </c>
      <c r="P13" s="139"/>
      <c r="Q13" s="139"/>
      <c r="R13" s="139"/>
      <c r="S13" s="144" t="s">
        <v>53</v>
      </c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6"/>
      <c r="AX13" s="147"/>
      <c r="AY13" s="147"/>
      <c r="AZ13" s="147"/>
      <c r="BA13" s="147"/>
      <c r="BB13" s="147"/>
      <c r="BC13" s="148"/>
      <c r="BD13" s="151"/>
      <c r="BE13" s="147"/>
      <c r="BF13" s="147"/>
      <c r="BG13" s="147"/>
      <c r="BH13" s="147"/>
      <c r="BI13" s="147"/>
      <c r="BJ13" s="148"/>
      <c r="BK13" s="58"/>
    </row>
    <row r="14" spans="1:63" ht="15" customHeight="1" x14ac:dyDescent="0.25">
      <c r="A14" s="57"/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2"/>
      <c r="N14" s="143"/>
      <c r="O14" s="141"/>
      <c r="P14" s="142"/>
      <c r="Q14" s="142"/>
      <c r="R14" s="142"/>
      <c r="S14" s="153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5"/>
      <c r="AX14" s="149"/>
      <c r="AY14" s="149"/>
      <c r="AZ14" s="149"/>
      <c r="BA14" s="149"/>
      <c r="BB14" s="149"/>
      <c r="BC14" s="150"/>
      <c r="BD14" s="152"/>
      <c r="BE14" s="149"/>
      <c r="BF14" s="149"/>
      <c r="BG14" s="149"/>
      <c r="BH14" s="149"/>
      <c r="BI14" s="149"/>
      <c r="BJ14" s="150"/>
      <c r="BK14" s="58"/>
    </row>
    <row r="15" spans="1:63" ht="15" customHeight="1" x14ac:dyDescent="0.25">
      <c r="A15" s="57"/>
      <c r="B15" s="175">
        <v>45705</v>
      </c>
      <c r="C15" s="139"/>
      <c r="D15" s="139"/>
      <c r="E15" s="139"/>
      <c r="F15" s="139"/>
      <c r="G15" s="140"/>
      <c r="H15" s="138" t="s">
        <v>104</v>
      </c>
      <c r="I15" s="139"/>
      <c r="J15" s="139"/>
      <c r="K15" s="139"/>
      <c r="L15" s="139"/>
      <c r="M15" s="139"/>
      <c r="N15" s="140"/>
      <c r="O15" s="138">
        <v>0.3</v>
      </c>
      <c r="P15" s="139"/>
      <c r="Q15" s="139"/>
      <c r="R15" s="139"/>
      <c r="S15" s="144" t="s">
        <v>72</v>
      </c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6"/>
      <c r="AX15" s="147"/>
      <c r="AY15" s="147"/>
      <c r="AZ15" s="147"/>
      <c r="BA15" s="147"/>
      <c r="BB15" s="147"/>
      <c r="BC15" s="148"/>
      <c r="BD15" s="151"/>
      <c r="BE15" s="147"/>
      <c r="BF15" s="147"/>
      <c r="BG15" s="147"/>
      <c r="BH15" s="147"/>
      <c r="BI15" s="147"/>
      <c r="BJ15" s="148"/>
      <c r="BK15" s="58"/>
    </row>
    <row r="16" spans="1:63" ht="15" customHeight="1" x14ac:dyDescent="0.25">
      <c r="A16" s="57"/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2"/>
      <c r="N16" s="143"/>
      <c r="O16" s="141"/>
      <c r="P16" s="142"/>
      <c r="Q16" s="142"/>
      <c r="R16" s="142"/>
      <c r="S16" s="153" t="s">
        <v>105</v>
      </c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5"/>
      <c r="AX16" s="149"/>
      <c r="AY16" s="149"/>
      <c r="AZ16" s="149"/>
      <c r="BA16" s="149"/>
      <c r="BB16" s="149"/>
      <c r="BC16" s="150"/>
      <c r="BD16" s="152"/>
      <c r="BE16" s="149"/>
      <c r="BF16" s="149"/>
      <c r="BG16" s="149"/>
      <c r="BH16" s="149"/>
      <c r="BI16" s="149"/>
      <c r="BJ16" s="150"/>
      <c r="BK16" s="58"/>
    </row>
    <row r="17" spans="1:63" ht="15" customHeight="1" x14ac:dyDescent="0.25">
      <c r="A17" s="57"/>
      <c r="B17" s="175">
        <v>45789</v>
      </c>
      <c r="C17" s="139"/>
      <c r="D17" s="139"/>
      <c r="E17" s="139"/>
      <c r="F17" s="139"/>
      <c r="G17" s="140"/>
      <c r="H17" s="138" t="s">
        <v>14</v>
      </c>
      <c r="I17" s="139"/>
      <c r="J17" s="139"/>
      <c r="K17" s="139"/>
      <c r="L17" s="139"/>
      <c r="M17" s="139"/>
      <c r="N17" s="140"/>
      <c r="O17" s="138">
        <v>0.31</v>
      </c>
      <c r="P17" s="139"/>
      <c r="Q17" s="139"/>
      <c r="R17" s="139"/>
      <c r="S17" s="144" t="s">
        <v>82</v>
      </c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6"/>
      <c r="AX17" s="147"/>
      <c r="AY17" s="147"/>
      <c r="AZ17" s="147"/>
      <c r="BA17" s="147"/>
      <c r="BB17" s="147"/>
      <c r="BC17" s="148"/>
      <c r="BD17" s="151"/>
      <c r="BE17" s="147"/>
      <c r="BF17" s="147"/>
      <c r="BG17" s="147"/>
      <c r="BH17" s="147"/>
      <c r="BI17" s="147"/>
      <c r="BJ17" s="148"/>
      <c r="BK17" s="58"/>
    </row>
    <row r="18" spans="1:63" ht="15" customHeight="1" x14ac:dyDescent="0.25">
      <c r="A18" s="57"/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2"/>
      <c r="N18" s="143"/>
      <c r="O18" s="141"/>
      <c r="P18" s="142"/>
      <c r="Q18" s="142"/>
      <c r="R18" s="142"/>
      <c r="S18" s="153" t="s">
        <v>83</v>
      </c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5"/>
      <c r="AX18" s="149"/>
      <c r="AY18" s="149"/>
      <c r="AZ18" s="149"/>
      <c r="BA18" s="149"/>
      <c r="BB18" s="149"/>
      <c r="BC18" s="150"/>
      <c r="BD18" s="152"/>
      <c r="BE18" s="149"/>
      <c r="BF18" s="149"/>
      <c r="BG18" s="149"/>
      <c r="BH18" s="149"/>
      <c r="BI18" s="149"/>
      <c r="BJ18" s="150"/>
      <c r="BK18" s="58"/>
    </row>
    <row r="19" spans="1:63" ht="19.5" customHeight="1" x14ac:dyDescent="0.25">
      <c r="A19" s="57"/>
      <c r="B19" s="175">
        <v>45797</v>
      </c>
      <c r="C19" s="139"/>
      <c r="D19" s="139"/>
      <c r="E19" s="139"/>
      <c r="F19" s="139"/>
      <c r="G19" s="140"/>
      <c r="H19" s="138" t="s">
        <v>104</v>
      </c>
      <c r="I19" s="139"/>
      <c r="J19" s="139"/>
      <c r="K19" s="139"/>
      <c r="L19" s="139"/>
      <c r="M19" s="139"/>
      <c r="N19" s="140"/>
      <c r="O19" s="138">
        <v>0.32</v>
      </c>
      <c r="P19" s="139"/>
      <c r="Q19" s="139"/>
      <c r="R19" s="139"/>
      <c r="S19" s="176" t="s">
        <v>98</v>
      </c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8"/>
      <c r="AX19" s="147"/>
      <c r="AY19" s="147"/>
      <c r="AZ19" s="147"/>
      <c r="BA19" s="147"/>
      <c r="BB19" s="147"/>
      <c r="BC19" s="148"/>
      <c r="BD19" s="151"/>
      <c r="BE19" s="147"/>
      <c r="BF19" s="147"/>
      <c r="BG19" s="147"/>
      <c r="BH19" s="147"/>
      <c r="BI19" s="147"/>
      <c r="BJ19" s="148"/>
      <c r="BK19" s="58"/>
    </row>
    <row r="20" spans="1:63" ht="15" customHeight="1" x14ac:dyDescent="0.25">
      <c r="A20" s="57"/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2"/>
      <c r="N20" s="143"/>
      <c r="O20" s="141"/>
      <c r="P20" s="142"/>
      <c r="Q20" s="142"/>
      <c r="R20" s="142"/>
      <c r="S20" s="153" t="s">
        <v>96</v>
      </c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5"/>
      <c r="AX20" s="149"/>
      <c r="AY20" s="149"/>
      <c r="AZ20" s="149"/>
      <c r="BA20" s="149"/>
      <c r="BB20" s="149"/>
      <c r="BC20" s="150"/>
      <c r="BD20" s="152"/>
      <c r="BE20" s="149"/>
      <c r="BF20" s="149"/>
      <c r="BG20" s="149"/>
      <c r="BH20" s="149"/>
      <c r="BI20" s="149"/>
      <c r="BJ20" s="150"/>
      <c r="BK20" s="58"/>
    </row>
    <row r="21" spans="1:63" ht="66.95" customHeight="1" x14ac:dyDescent="0.25">
      <c r="A21" s="57"/>
      <c r="B21" s="156">
        <v>45805</v>
      </c>
      <c r="C21" s="157"/>
      <c r="D21" s="157"/>
      <c r="E21" s="157"/>
      <c r="F21" s="157"/>
      <c r="G21" s="158"/>
      <c r="H21" s="162" t="s">
        <v>108</v>
      </c>
      <c r="I21" s="157"/>
      <c r="J21" s="157"/>
      <c r="K21" s="157"/>
      <c r="L21" s="157"/>
      <c r="M21" s="157"/>
      <c r="N21" s="158"/>
      <c r="O21" s="162">
        <v>0.33</v>
      </c>
      <c r="P21" s="157"/>
      <c r="Q21" s="157"/>
      <c r="R21" s="157"/>
      <c r="S21" s="163" t="s">
        <v>113</v>
      </c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5"/>
      <c r="AX21" s="166"/>
      <c r="AY21" s="166"/>
      <c r="AZ21" s="166"/>
      <c r="BA21" s="166"/>
      <c r="BB21" s="166"/>
      <c r="BC21" s="167"/>
      <c r="BD21" s="170"/>
      <c r="BE21" s="166"/>
      <c r="BF21" s="166"/>
      <c r="BG21" s="166"/>
      <c r="BH21" s="166"/>
      <c r="BI21" s="166"/>
      <c r="BJ21" s="167"/>
      <c r="BK21" s="58"/>
    </row>
    <row r="22" spans="1:63" ht="15" customHeight="1" x14ac:dyDescent="0.25">
      <c r="A22" s="57"/>
      <c r="B22" s="159"/>
      <c r="C22" s="160"/>
      <c r="D22" s="160"/>
      <c r="E22" s="160"/>
      <c r="F22" s="160"/>
      <c r="G22" s="161"/>
      <c r="H22" s="159"/>
      <c r="I22" s="160"/>
      <c r="J22" s="160"/>
      <c r="K22" s="160"/>
      <c r="L22" s="160"/>
      <c r="M22" s="160"/>
      <c r="N22" s="161"/>
      <c r="O22" s="159"/>
      <c r="P22" s="160"/>
      <c r="Q22" s="160"/>
      <c r="R22" s="160"/>
      <c r="S22" s="172" t="s">
        <v>126</v>
      </c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73"/>
      <c r="AP22" s="173"/>
      <c r="AQ22" s="173"/>
      <c r="AR22" s="173"/>
      <c r="AS22" s="173"/>
      <c r="AT22" s="173"/>
      <c r="AU22" s="173"/>
      <c r="AV22" s="173"/>
      <c r="AW22" s="174"/>
      <c r="AX22" s="168"/>
      <c r="AY22" s="168"/>
      <c r="AZ22" s="168"/>
      <c r="BA22" s="168"/>
      <c r="BB22" s="168"/>
      <c r="BC22" s="169"/>
      <c r="BD22" s="171"/>
      <c r="BE22" s="168"/>
      <c r="BF22" s="168"/>
      <c r="BG22" s="168"/>
      <c r="BH22" s="168"/>
      <c r="BI22" s="168"/>
      <c r="BJ22" s="169"/>
      <c r="BK22" s="58"/>
    </row>
    <row r="23" spans="1:63" ht="15" customHeight="1" x14ac:dyDescent="0.25">
      <c r="A23" s="57"/>
      <c r="B23" s="287">
        <v>45832</v>
      </c>
      <c r="C23" s="288"/>
      <c r="D23" s="288"/>
      <c r="E23" s="288"/>
      <c r="F23" s="288"/>
      <c r="G23" s="289"/>
      <c r="H23" s="290" t="s">
        <v>224</v>
      </c>
      <c r="I23" s="288"/>
      <c r="J23" s="288"/>
      <c r="K23" s="288"/>
      <c r="L23" s="288"/>
      <c r="M23" s="288"/>
      <c r="N23" s="289"/>
      <c r="O23" s="290">
        <v>0.13</v>
      </c>
      <c r="P23" s="288"/>
      <c r="Q23" s="288"/>
      <c r="R23" s="288"/>
      <c r="S23" s="291" t="s">
        <v>225</v>
      </c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2"/>
      <c r="AQ23" s="292"/>
      <c r="AR23" s="292"/>
      <c r="AS23" s="292"/>
      <c r="AT23" s="292"/>
      <c r="AU23" s="292"/>
      <c r="AV23" s="292"/>
      <c r="AW23" s="293"/>
      <c r="AX23" s="147"/>
      <c r="AY23" s="147"/>
      <c r="AZ23" s="147"/>
      <c r="BA23" s="147"/>
      <c r="BB23" s="147"/>
      <c r="BC23" s="148"/>
      <c r="BD23" s="151"/>
      <c r="BE23" s="147"/>
      <c r="BF23" s="147"/>
      <c r="BG23" s="147"/>
      <c r="BH23" s="147"/>
      <c r="BI23" s="147"/>
      <c r="BJ23" s="148"/>
      <c r="BK23" s="58"/>
    </row>
    <row r="24" spans="1:63" ht="15" customHeight="1" x14ac:dyDescent="0.25">
      <c r="A24" s="57"/>
      <c r="B24" s="294"/>
      <c r="C24" s="295"/>
      <c r="D24" s="295"/>
      <c r="E24" s="295"/>
      <c r="F24" s="295"/>
      <c r="G24" s="296"/>
      <c r="H24" s="294"/>
      <c r="I24" s="295"/>
      <c r="J24" s="295"/>
      <c r="K24" s="295"/>
      <c r="L24" s="295"/>
      <c r="M24" s="295"/>
      <c r="N24" s="296"/>
      <c r="O24" s="294"/>
      <c r="P24" s="295"/>
      <c r="Q24" s="295"/>
      <c r="R24" s="295"/>
      <c r="S24" s="297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9"/>
      <c r="AX24" s="149"/>
      <c r="AY24" s="149"/>
      <c r="AZ24" s="149"/>
      <c r="BA24" s="149"/>
      <c r="BB24" s="149"/>
      <c r="BC24" s="150"/>
      <c r="BD24" s="152"/>
      <c r="BE24" s="149"/>
      <c r="BF24" s="149"/>
      <c r="BG24" s="149"/>
      <c r="BH24" s="149"/>
      <c r="BI24" s="149"/>
      <c r="BJ24" s="150"/>
      <c r="BK24" s="58"/>
    </row>
    <row r="25" spans="1:63" ht="15" customHeight="1" x14ac:dyDescent="0.25">
      <c r="A25" s="57"/>
      <c r="B25" s="138"/>
      <c r="C25" s="139"/>
      <c r="D25" s="139"/>
      <c r="E25" s="139"/>
      <c r="F25" s="139"/>
      <c r="G25" s="140"/>
      <c r="H25" s="138"/>
      <c r="I25" s="139"/>
      <c r="J25" s="139"/>
      <c r="K25" s="139"/>
      <c r="L25" s="139"/>
      <c r="M25" s="139"/>
      <c r="N25" s="140"/>
      <c r="O25" s="138"/>
      <c r="P25" s="139"/>
      <c r="Q25" s="139"/>
      <c r="R25" s="139"/>
      <c r="S25" s="144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6"/>
      <c r="AX25" s="147"/>
      <c r="AY25" s="147"/>
      <c r="AZ25" s="147"/>
      <c r="BA25" s="147"/>
      <c r="BB25" s="147"/>
      <c r="BC25" s="148"/>
      <c r="BD25" s="151"/>
      <c r="BE25" s="147"/>
      <c r="BF25" s="147"/>
      <c r="BG25" s="147"/>
      <c r="BH25" s="147"/>
      <c r="BI25" s="147"/>
      <c r="BJ25" s="148"/>
      <c r="BK25" s="58"/>
    </row>
    <row r="26" spans="1:63" ht="15" customHeight="1" x14ac:dyDescent="0.25">
      <c r="A26" s="57"/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2"/>
      <c r="N26" s="143"/>
      <c r="O26" s="141"/>
      <c r="P26" s="142"/>
      <c r="Q26" s="142"/>
      <c r="R26" s="142"/>
      <c r="S26" s="153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5"/>
      <c r="AX26" s="149"/>
      <c r="AY26" s="149"/>
      <c r="AZ26" s="149"/>
      <c r="BA26" s="149"/>
      <c r="BB26" s="149"/>
      <c r="BC26" s="150"/>
      <c r="BD26" s="152"/>
      <c r="BE26" s="149"/>
      <c r="BF26" s="149"/>
      <c r="BG26" s="149"/>
      <c r="BH26" s="149"/>
      <c r="BI26" s="149"/>
      <c r="BJ26" s="150"/>
      <c r="BK26" s="58"/>
    </row>
    <row r="27" spans="1:63" ht="15" customHeight="1" x14ac:dyDescent="0.25">
      <c r="A27" s="57"/>
      <c r="B27" s="138"/>
      <c r="C27" s="139"/>
      <c r="D27" s="139"/>
      <c r="E27" s="139"/>
      <c r="F27" s="139"/>
      <c r="G27" s="140"/>
      <c r="H27" s="138"/>
      <c r="I27" s="139"/>
      <c r="J27" s="139"/>
      <c r="K27" s="139"/>
      <c r="L27" s="139"/>
      <c r="M27" s="139"/>
      <c r="N27" s="140"/>
      <c r="O27" s="138"/>
      <c r="P27" s="139"/>
      <c r="Q27" s="139"/>
      <c r="R27" s="139"/>
      <c r="S27" s="144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6"/>
      <c r="AX27" s="147"/>
      <c r="AY27" s="147"/>
      <c r="AZ27" s="147"/>
      <c r="BA27" s="147"/>
      <c r="BB27" s="147"/>
      <c r="BC27" s="148"/>
      <c r="BD27" s="151"/>
      <c r="BE27" s="147"/>
      <c r="BF27" s="147"/>
      <c r="BG27" s="147"/>
      <c r="BH27" s="147"/>
      <c r="BI27" s="147"/>
      <c r="BJ27" s="148"/>
      <c r="BK27" s="58"/>
    </row>
    <row r="28" spans="1:63" ht="15" customHeight="1" x14ac:dyDescent="0.25">
      <c r="A28" s="57"/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2"/>
      <c r="N28" s="143"/>
      <c r="O28" s="141"/>
      <c r="P28" s="142"/>
      <c r="Q28" s="142"/>
      <c r="R28" s="142"/>
      <c r="S28" s="153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5"/>
      <c r="AX28" s="149"/>
      <c r="AY28" s="149"/>
      <c r="AZ28" s="149"/>
      <c r="BA28" s="149"/>
      <c r="BB28" s="149"/>
      <c r="BC28" s="150"/>
      <c r="BD28" s="152"/>
      <c r="BE28" s="149"/>
      <c r="BF28" s="149"/>
      <c r="BG28" s="149"/>
      <c r="BH28" s="149"/>
      <c r="BI28" s="149"/>
      <c r="BJ28" s="150"/>
      <c r="BK28" s="58"/>
    </row>
    <row r="29" spans="1:63" ht="15" customHeight="1" x14ac:dyDescent="0.25">
      <c r="A29" s="57"/>
      <c r="B29" s="138"/>
      <c r="C29" s="139"/>
      <c r="D29" s="139"/>
      <c r="E29" s="139"/>
      <c r="F29" s="139"/>
      <c r="G29" s="140"/>
      <c r="H29" s="138"/>
      <c r="I29" s="139"/>
      <c r="J29" s="139"/>
      <c r="K29" s="139"/>
      <c r="L29" s="139"/>
      <c r="M29" s="139"/>
      <c r="N29" s="140"/>
      <c r="O29" s="138"/>
      <c r="P29" s="139"/>
      <c r="Q29" s="139"/>
      <c r="R29" s="139"/>
      <c r="S29" s="144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6"/>
      <c r="AX29" s="147"/>
      <c r="AY29" s="147"/>
      <c r="AZ29" s="147"/>
      <c r="BA29" s="147"/>
      <c r="BB29" s="147"/>
      <c r="BC29" s="148"/>
      <c r="BD29" s="151"/>
      <c r="BE29" s="147"/>
      <c r="BF29" s="147"/>
      <c r="BG29" s="147"/>
      <c r="BH29" s="147"/>
      <c r="BI29" s="147"/>
      <c r="BJ29" s="148"/>
      <c r="BK29" s="58"/>
    </row>
    <row r="30" spans="1:63" ht="15" customHeight="1" x14ac:dyDescent="0.25">
      <c r="A30" s="57"/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2"/>
      <c r="N30" s="143"/>
      <c r="O30" s="141"/>
      <c r="P30" s="142"/>
      <c r="Q30" s="142"/>
      <c r="R30" s="142"/>
      <c r="S30" s="153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5"/>
      <c r="AX30" s="149"/>
      <c r="AY30" s="149"/>
      <c r="AZ30" s="149"/>
      <c r="BA30" s="149"/>
      <c r="BB30" s="149"/>
      <c r="BC30" s="150"/>
      <c r="BD30" s="152"/>
      <c r="BE30" s="149"/>
      <c r="BF30" s="149"/>
      <c r="BG30" s="149"/>
      <c r="BH30" s="149"/>
      <c r="BI30" s="149"/>
      <c r="BJ30" s="150"/>
      <c r="BK30" s="58"/>
    </row>
    <row r="31" spans="1:63" ht="15" customHeight="1" x14ac:dyDescent="0.25">
      <c r="A31" s="57"/>
      <c r="B31" s="138"/>
      <c r="C31" s="139"/>
      <c r="D31" s="139"/>
      <c r="E31" s="139"/>
      <c r="F31" s="139"/>
      <c r="G31" s="140"/>
      <c r="H31" s="138"/>
      <c r="I31" s="139"/>
      <c r="J31" s="139"/>
      <c r="K31" s="139"/>
      <c r="L31" s="139"/>
      <c r="M31" s="139"/>
      <c r="N31" s="140"/>
      <c r="O31" s="138"/>
      <c r="P31" s="139"/>
      <c r="Q31" s="139"/>
      <c r="R31" s="139"/>
      <c r="S31" s="144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6"/>
      <c r="AX31" s="147"/>
      <c r="AY31" s="147"/>
      <c r="AZ31" s="147"/>
      <c r="BA31" s="147"/>
      <c r="BB31" s="147"/>
      <c r="BC31" s="148"/>
      <c r="BD31" s="151"/>
      <c r="BE31" s="147"/>
      <c r="BF31" s="147"/>
      <c r="BG31" s="147"/>
      <c r="BH31" s="147"/>
      <c r="BI31" s="147"/>
      <c r="BJ31" s="148"/>
      <c r="BK31" s="58"/>
    </row>
    <row r="32" spans="1:63" ht="15" customHeight="1" x14ac:dyDescent="0.25">
      <c r="A32" s="57"/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2"/>
      <c r="N32" s="143"/>
      <c r="O32" s="141"/>
      <c r="P32" s="142"/>
      <c r="Q32" s="142"/>
      <c r="R32" s="142"/>
      <c r="S32" s="153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5"/>
      <c r="AX32" s="149"/>
      <c r="AY32" s="149"/>
      <c r="AZ32" s="149"/>
      <c r="BA32" s="149"/>
      <c r="BB32" s="149"/>
      <c r="BC32" s="150"/>
      <c r="BD32" s="152"/>
      <c r="BE32" s="149"/>
      <c r="BF32" s="149"/>
      <c r="BG32" s="149"/>
      <c r="BH32" s="149"/>
      <c r="BI32" s="149"/>
      <c r="BJ32" s="150"/>
      <c r="BK32" s="58"/>
    </row>
    <row r="33" spans="1:63" ht="15" customHeight="1" x14ac:dyDescent="0.25">
      <c r="A33" s="57"/>
      <c r="B33" s="138"/>
      <c r="C33" s="139"/>
      <c r="D33" s="139"/>
      <c r="E33" s="139"/>
      <c r="F33" s="139"/>
      <c r="G33" s="140"/>
      <c r="H33" s="138"/>
      <c r="I33" s="139"/>
      <c r="J33" s="139"/>
      <c r="K33" s="139"/>
      <c r="L33" s="139"/>
      <c r="M33" s="139"/>
      <c r="N33" s="140"/>
      <c r="O33" s="138"/>
      <c r="P33" s="139"/>
      <c r="Q33" s="139"/>
      <c r="R33" s="139"/>
      <c r="S33" s="144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6"/>
      <c r="AX33" s="147"/>
      <c r="AY33" s="147"/>
      <c r="AZ33" s="147"/>
      <c r="BA33" s="147"/>
      <c r="BB33" s="147"/>
      <c r="BC33" s="148"/>
      <c r="BD33" s="151"/>
      <c r="BE33" s="147"/>
      <c r="BF33" s="147"/>
      <c r="BG33" s="147"/>
      <c r="BH33" s="147"/>
      <c r="BI33" s="147"/>
      <c r="BJ33" s="148"/>
      <c r="BK33" s="58"/>
    </row>
    <row r="34" spans="1:63" ht="15" customHeight="1" x14ac:dyDescent="0.25">
      <c r="A34" s="57"/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2"/>
      <c r="N34" s="143"/>
      <c r="O34" s="141"/>
      <c r="P34" s="142"/>
      <c r="Q34" s="142"/>
      <c r="R34" s="142"/>
      <c r="S34" s="153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5"/>
      <c r="AX34" s="149"/>
      <c r="AY34" s="149"/>
      <c r="AZ34" s="149"/>
      <c r="BA34" s="149"/>
      <c r="BB34" s="149"/>
      <c r="BC34" s="150"/>
      <c r="BD34" s="152"/>
      <c r="BE34" s="149"/>
      <c r="BF34" s="149"/>
      <c r="BG34" s="149"/>
      <c r="BH34" s="149"/>
      <c r="BI34" s="149"/>
      <c r="BJ34" s="150"/>
      <c r="BK34" s="58"/>
    </row>
    <row r="35" spans="1:63" ht="15" customHeight="1" x14ac:dyDescent="0.25">
      <c r="A35" s="57"/>
      <c r="B35" s="138"/>
      <c r="C35" s="139"/>
      <c r="D35" s="139"/>
      <c r="E35" s="139"/>
      <c r="F35" s="139"/>
      <c r="G35" s="140"/>
      <c r="H35" s="138"/>
      <c r="I35" s="139"/>
      <c r="J35" s="139"/>
      <c r="K35" s="139"/>
      <c r="L35" s="139"/>
      <c r="M35" s="139"/>
      <c r="N35" s="140"/>
      <c r="O35" s="138"/>
      <c r="P35" s="139"/>
      <c r="Q35" s="139"/>
      <c r="R35" s="139"/>
      <c r="S35" s="144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6"/>
      <c r="AX35" s="147"/>
      <c r="AY35" s="147"/>
      <c r="AZ35" s="147"/>
      <c r="BA35" s="147"/>
      <c r="BB35" s="147"/>
      <c r="BC35" s="148"/>
      <c r="BD35" s="151"/>
      <c r="BE35" s="147"/>
      <c r="BF35" s="147"/>
      <c r="BG35" s="147"/>
      <c r="BH35" s="147"/>
      <c r="BI35" s="147"/>
      <c r="BJ35" s="148"/>
      <c r="BK35" s="58"/>
    </row>
    <row r="36" spans="1:63" ht="15" customHeight="1" x14ac:dyDescent="0.25">
      <c r="A36" s="57"/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2"/>
      <c r="N36" s="143"/>
      <c r="O36" s="141"/>
      <c r="P36" s="142"/>
      <c r="Q36" s="142"/>
      <c r="R36" s="142"/>
      <c r="S36" s="153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5"/>
      <c r="AX36" s="149"/>
      <c r="AY36" s="149"/>
      <c r="AZ36" s="149"/>
      <c r="BA36" s="149"/>
      <c r="BB36" s="149"/>
      <c r="BC36" s="150"/>
      <c r="BD36" s="152"/>
      <c r="BE36" s="149"/>
      <c r="BF36" s="149"/>
      <c r="BG36" s="149"/>
      <c r="BH36" s="149"/>
      <c r="BI36" s="149"/>
      <c r="BJ36" s="150"/>
      <c r="BK36" s="58"/>
    </row>
    <row r="37" spans="1:63" ht="15" customHeight="1" x14ac:dyDescent="0.25">
      <c r="A37" s="57"/>
      <c r="B37" s="138"/>
      <c r="C37" s="139"/>
      <c r="D37" s="139"/>
      <c r="E37" s="139"/>
      <c r="F37" s="139"/>
      <c r="G37" s="140"/>
      <c r="H37" s="138"/>
      <c r="I37" s="139"/>
      <c r="J37" s="139"/>
      <c r="K37" s="139"/>
      <c r="L37" s="139"/>
      <c r="M37" s="139"/>
      <c r="N37" s="140"/>
      <c r="O37" s="138"/>
      <c r="P37" s="139"/>
      <c r="Q37" s="139"/>
      <c r="R37" s="139"/>
      <c r="S37" s="144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6"/>
      <c r="AX37" s="147"/>
      <c r="AY37" s="147"/>
      <c r="AZ37" s="147"/>
      <c r="BA37" s="147"/>
      <c r="BB37" s="147"/>
      <c r="BC37" s="148"/>
      <c r="BD37" s="151"/>
      <c r="BE37" s="147"/>
      <c r="BF37" s="147"/>
      <c r="BG37" s="147"/>
      <c r="BH37" s="147"/>
      <c r="BI37" s="147"/>
      <c r="BJ37" s="148"/>
      <c r="BK37" s="58"/>
    </row>
    <row r="38" spans="1:63" ht="15" customHeight="1" x14ac:dyDescent="0.25">
      <c r="A38" s="57"/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2"/>
      <c r="N38" s="143"/>
      <c r="O38" s="141"/>
      <c r="P38" s="142"/>
      <c r="Q38" s="142"/>
      <c r="R38" s="142"/>
      <c r="S38" s="153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5"/>
      <c r="AX38" s="149"/>
      <c r="AY38" s="149"/>
      <c r="AZ38" s="149"/>
      <c r="BA38" s="149"/>
      <c r="BB38" s="149"/>
      <c r="BC38" s="150"/>
      <c r="BD38" s="152"/>
      <c r="BE38" s="149"/>
      <c r="BF38" s="149"/>
      <c r="BG38" s="149"/>
      <c r="BH38" s="149"/>
      <c r="BI38" s="149"/>
      <c r="BJ38" s="150"/>
      <c r="BK38" s="58"/>
    </row>
    <row r="39" spans="1:63" ht="15" customHeight="1" x14ac:dyDescent="0.25">
      <c r="A39" s="57"/>
      <c r="B39" s="138"/>
      <c r="C39" s="139"/>
      <c r="D39" s="139"/>
      <c r="E39" s="139"/>
      <c r="F39" s="139"/>
      <c r="G39" s="140"/>
      <c r="H39" s="138"/>
      <c r="I39" s="139"/>
      <c r="J39" s="139"/>
      <c r="K39" s="139"/>
      <c r="L39" s="139"/>
      <c r="M39" s="139"/>
      <c r="N39" s="140"/>
      <c r="O39" s="138"/>
      <c r="P39" s="139"/>
      <c r="Q39" s="139"/>
      <c r="R39" s="139"/>
      <c r="S39" s="144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6"/>
      <c r="AX39" s="147"/>
      <c r="AY39" s="147"/>
      <c r="AZ39" s="147"/>
      <c r="BA39" s="147"/>
      <c r="BB39" s="147"/>
      <c r="BC39" s="148"/>
      <c r="BD39" s="151"/>
      <c r="BE39" s="147"/>
      <c r="BF39" s="147"/>
      <c r="BG39" s="147"/>
      <c r="BH39" s="147"/>
      <c r="BI39" s="147"/>
      <c r="BJ39" s="148"/>
      <c r="BK39" s="58"/>
    </row>
    <row r="40" spans="1:63" ht="15" customHeight="1" x14ac:dyDescent="0.25">
      <c r="A40" s="57"/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2"/>
      <c r="N40" s="143"/>
      <c r="O40" s="141"/>
      <c r="P40" s="142"/>
      <c r="Q40" s="142"/>
      <c r="R40" s="142"/>
      <c r="S40" s="153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5"/>
      <c r="AX40" s="149"/>
      <c r="AY40" s="149"/>
      <c r="AZ40" s="149"/>
      <c r="BA40" s="149"/>
      <c r="BB40" s="149"/>
      <c r="BC40" s="150"/>
      <c r="BD40" s="152"/>
      <c r="BE40" s="149"/>
      <c r="BF40" s="149"/>
      <c r="BG40" s="149"/>
      <c r="BH40" s="149"/>
      <c r="BI40" s="149"/>
      <c r="BJ40" s="150"/>
      <c r="BK40" s="58"/>
    </row>
    <row r="41" spans="1:63" ht="15" customHeight="1" x14ac:dyDescent="0.25">
      <c r="A41" s="57"/>
      <c r="B41" s="138"/>
      <c r="C41" s="139"/>
      <c r="D41" s="139"/>
      <c r="E41" s="139"/>
      <c r="F41" s="139"/>
      <c r="G41" s="140"/>
      <c r="H41" s="138"/>
      <c r="I41" s="139"/>
      <c r="J41" s="139"/>
      <c r="K41" s="139"/>
      <c r="L41" s="139"/>
      <c r="M41" s="139"/>
      <c r="N41" s="140"/>
      <c r="O41" s="138"/>
      <c r="P41" s="139"/>
      <c r="Q41" s="139"/>
      <c r="R41" s="139"/>
      <c r="S41" s="144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6"/>
      <c r="AX41" s="147"/>
      <c r="AY41" s="147"/>
      <c r="AZ41" s="147"/>
      <c r="BA41" s="147"/>
      <c r="BB41" s="147"/>
      <c r="BC41" s="148"/>
      <c r="BD41" s="151"/>
      <c r="BE41" s="147"/>
      <c r="BF41" s="147"/>
      <c r="BG41" s="147"/>
      <c r="BH41" s="147"/>
      <c r="BI41" s="147"/>
      <c r="BJ41" s="148"/>
      <c r="BK41" s="58"/>
    </row>
    <row r="42" spans="1:63" ht="15" customHeight="1" x14ac:dyDescent="0.25">
      <c r="A42" s="57"/>
      <c r="B42" s="141"/>
      <c r="C42" s="142"/>
      <c r="D42" s="142"/>
      <c r="E42" s="142"/>
      <c r="F42" s="142"/>
      <c r="G42" s="143"/>
      <c r="H42" s="141"/>
      <c r="I42" s="142"/>
      <c r="J42" s="142"/>
      <c r="K42" s="142"/>
      <c r="L42" s="142"/>
      <c r="M42" s="142"/>
      <c r="N42" s="143"/>
      <c r="O42" s="141"/>
      <c r="P42" s="142"/>
      <c r="Q42" s="142"/>
      <c r="R42" s="142"/>
      <c r="S42" s="153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5"/>
      <c r="AX42" s="149"/>
      <c r="AY42" s="149"/>
      <c r="AZ42" s="149"/>
      <c r="BA42" s="149"/>
      <c r="BB42" s="149"/>
      <c r="BC42" s="150"/>
      <c r="BD42" s="152"/>
      <c r="BE42" s="149"/>
      <c r="BF42" s="149"/>
      <c r="BG42" s="149"/>
      <c r="BH42" s="149"/>
      <c r="BI42" s="149"/>
      <c r="BJ42" s="150"/>
      <c r="BK42" s="58"/>
    </row>
    <row r="43" spans="1:63" ht="15" customHeight="1" x14ac:dyDescent="0.25">
      <c r="A43" s="57"/>
      <c r="B43" s="138"/>
      <c r="C43" s="139"/>
      <c r="D43" s="139"/>
      <c r="E43" s="139"/>
      <c r="F43" s="139"/>
      <c r="G43" s="140"/>
      <c r="H43" s="138"/>
      <c r="I43" s="139"/>
      <c r="J43" s="139"/>
      <c r="K43" s="139"/>
      <c r="L43" s="139"/>
      <c r="M43" s="139"/>
      <c r="N43" s="140"/>
      <c r="O43" s="138"/>
      <c r="P43" s="139"/>
      <c r="Q43" s="139"/>
      <c r="R43" s="139"/>
      <c r="S43" s="144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6"/>
      <c r="AX43" s="147"/>
      <c r="AY43" s="147"/>
      <c r="AZ43" s="147"/>
      <c r="BA43" s="147"/>
      <c r="BB43" s="147"/>
      <c r="BC43" s="148"/>
      <c r="BD43" s="151"/>
      <c r="BE43" s="147"/>
      <c r="BF43" s="147"/>
      <c r="BG43" s="147"/>
      <c r="BH43" s="147"/>
      <c r="BI43" s="147"/>
      <c r="BJ43" s="148"/>
      <c r="BK43" s="58"/>
    </row>
    <row r="44" spans="1:63" ht="15" customHeight="1" x14ac:dyDescent="0.25">
      <c r="A44" s="57"/>
      <c r="B44" s="141"/>
      <c r="C44" s="142"/>
      <c r="D44" s="142"/>
      <c r="E44" s="142"/>
      <c r="F44" s="142"/>
      <c r="G44" s="143"/>
      <c r="H44" s="141"/>
      <c r="I44" s="142"/>
      <c r="J44" s="142"/>
      <c r="K44" s="142"/>
      <c r="L44" s="142"/>
      <c r="M44" s="142"/>
      <c r="N44" s="143"/>
      <c r="O44" s="141"/>
      <c r="P44" s="142"/>
      <c r="Q44" s="142"/>
      <c r="R44" s="142"/>
      <c r="S44" s="153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5"/>
      <c r="AX44" s="149"/>
      <c r="AY44" s="149"/>
      <c r="AZ44" s="149"/>
      <c r="BA44" s="149"/>
      <c r="BB44" s="149"/>
      <c r="BC44" s="150"/>
      <c r="BD44" s="152"/>
      <c r="BE44" s="149"/>
      <c r="BF44" s="149"/>
      <c r="BG44" s="149"/>
      <c r="BH44" s="149"/>
      <c r="BI44" s="149"/>
      <c r="BJ44" s="150"/>
      <c r="BK44" s="58"/>
    </row>
    <row r="45" spans="1:63" ht="15" customHeight="1" x14ac:dyDescent="0.25">
      <c r="A45" s="57"/>
      <c r="B45" s="138"/>
      <c r="C45" s="139"/>
      <c r="D45" s="139"/>
      <c r="E45" s="139"/>
      <c r="F45" s="139"/>
      <c r="G45" s="140"/>
      <c r="H45" s="138"/>
      <c r="I45" s="139"/>
      <c r="J45" s="139"/>
      <c r="K45" s="139"/>
      <c r="L45" s="139"/>
      <c r="M45" s="139"/>
      <c r="N45" s="140"/>
      <c r="O45" s="138"/>
      <c r="P45" s="139"/>
      <c r="Q45" s="139"/>
      <c r="R45" s="139"/>
      <c r="S45" s="144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6"/>
      <c r="AX45" s="147"/>
      <c r="AY45" s="147"/>
      <c r="AZ45" s="147"/>
      <c r="BA45" s="147"/>
      <c r="BB45" s="147"/>
      <c r="BC45" s="148"/>
      <c r="BD45" s="151"/>
      <c r="BE45" s="147"/>
      <c r="BF45" s="147"/>
      <c r="BG45" s="147"/>
      <c r="BH45" s="147"/>
      <c r="BI45" s="147"/>
      <c r="BJ45" s="148"/>
      <c r="BK45" s="58"/>
    </row>
    <row r="46" spans="1:63" ht="15" customHeight="1" x14ac:dyDescent="0.25">
      <c r="A46" s="57"/>
      <c r="B46" s="141"/>
      <c r="C46" s="142"/>
      <c r="D46" s="142"/>
      <c r="E46" s="142"/>
      <c r="F46" s="142"/>
      <c r="G46" s="143"/>
      <c r="H46" s="141"/>
      <c r="I46" s="142"/>
      <c r="J46" s="142"/>
      <c r="K46" s="142"/>
      <c r="L46" s="142"/>
      <c r="M46" s="142"/>
      <c r="N46" s="143"/>
      <c r="O46" s="141"/>
      <c r="P46" s="142"/>
      <c r="Q46" s="142"/>
      <c r="R46" s="142"/>
      <c r="S46" s="153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5"/>
      <c r="AX46" s="149"/>
      <c r="AY46" s="149"/>
      <c r="AZ46" s="149"/>
      <c r="BA46" s="149"/>
      <c r="BB46" s="149"/>
      <c r="BC46" s="150"/>
      <c r="BD46" s="152"/>
      <c r="BE46" s="149"/>
      <c r="BF46" s="149"/>
      <c r="BG46" s="149"/>
      <c r="BH46" s="149"/>
      <c r="BI46" s="149"/>
      <c r="BJ46" s="150"/>
      <c r="BK46" s="58"/>
    </row>
    <row r="47" spans="1:63" ht="15" customHeight="1" x14ac:dyDescent="0.25">
      <c r="A47" s="57"/>
      <c r="B47" s="138"/>
      <c r="C47" s="139"/>
      <c r="D47" s="139"/>
      <c r="E47" s="139"/>
      <c r="F47" s="139"/>
      <c r="G47" s="140"/>
      <c r="H47" s="138"/>
      <c r="I47" s="139"/>
      <c r="J47" s="139"/>
      <c r="K47" s="139"/>
      <c r="L47" s="139"/>
      <c r="M47" s="139"/>
      <c r="N47" s="140"/>
      <c r="O47" s="138"/>
      <c r="P47" s="139"/>
      <c r="Q47" s="139"/>
      <c r="R47" s="139"/>
      <c r="S47" s="144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6"/>
      <c r="AX47" s="147"/>
      <c r="AY47" s="147"/>
      <c r="AZ47" s="147"/>
      <c r="BA47" s="147"/>
      <c r="BB47" s="147"/>
      <c r="BC47" s="148"/>
      <c r="BD47" s="151"/>
      <c r="BE47" s="147"/>
      <c r="BF47" s="147"/>
      <c r="BG47" s="147"/>
      <c r="BH47" s="147"/>
      <c r="BI47" s="147"/>
      <c r="BJ47" s="148"/>
      <c r="BK47" s="58"/>
    </row>
    <row r="48" spans="1:63" ht="15" customHeight="1" x14ac:dyDescent="0.25">
      <c r="A48" s="57"/>
      <c r="B48" s="141"/>
      <c r="C48" s="142"/>
      <c r="D48" s="142"/>
      <c r="E48" s="142"/>
      <c r="F48" s="142"/>
      <c r="G48" s="143"/>
      <c r="H48" s="141"/>
      <c r="I48" s="142"/>
      <c r="J48" s="142"/>
      <c r="K48" s="142"/>
      <c r="L48" s="142"/>
      <c r="M48" s="142"/>
      <c r="N48" s="143"/>
      <c r="O48" s="141"/>
      <c r="P48" s="142"/>
      <c r="Q48" s="142"/>
      <c r="R48" s="142"/>
      <c r="S48" s="153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5"/>
      <c r="AX48" s="149"/>
      <c r="AY48" s="149"/>
      <c r="AZ48" s="149"/>
      <c r="BA48" s="149"/>
      <c r="BB48" s="149"/>
      <c r="BC48" s="150"/>
      <c r="BD48" s="152"/>
      <c r="BE48" s="149"/>
      <c r="BF48" s="149"/>
      <c r="BG48" s="149"/>
      <c r="BH48" s="149"/>
      <c r="BI48" s="149"/>
      <c r="BJ48" s="150"/>
      <c r="BK48" s="58"/>
    </row>
    <row r="49" spans="1:63" ht="15" customHeight="1" x14ac:dyDescent="0.25">
      <c r="A49" s="57"/>
      <c r="B49" s="138"/>
      <c r="C49" s="139"/>
      <c r="D49" s="139"/>
      <c r="E49" s="139"/>
      <c r="F49" s="139"/>
      <c r="G49" s="140"/>
      <c r="H49" s="138"/>
      <c r="I49" s="139"/>
      <c r="J49" s="139"/>
      <c r="K49" s="139"/>
      <c r="L49" s="139"/>
      <c r="M49" s="139"/>
      <c r="N49" s="140"/>
      <c r="O49" s="138"/>
      <c r="P49" s="139"/>
      <c r="Q49" s="139"/>
      <c r="R49" s="139"/>
      <c r="S49" s="144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6"/>
      <c r="AX49" s="147"/>
      <c r="AY49" s="147"/>
      <c r="AZ49" s="147"/>
      <c r="BA49" s="147"/>
      <c r="BB49" s="147"/>
      <c r="BC49" s="148"/>
      <c r="BD49" s="151"/>
      <c r="BE49" s="147"/>
      <c r="BF49" s="147"/>
      <c r="BG49" s="147"/>
      <c r="BH49" s="147"/>
      <c r="BI49" s="147"/>
      <c r="BJ49" s="148"/>
      <c r="BK49" s="58"/>
    </row>
    <row r="50" spans="1:63" ht="15" customHeight="1" x14ac:dyDescent="0.25">
      <c r="A50" s="57"/>
      <c r="B50" s="141"/>
      <c r="C50" s="142"/>
      <c r="D50" s="142"/>
      <c r="E50" s="142"/>
      <c r="F50" s="142"/>
      <c r="G50" s="143"/>
      <c r="H50" s="141"/>
      <c r="I50" s="142"/>
      <c r="J50" s="142"/>
      <c r="K50" s="142"/>
      <c r="L50" s="142"/>
      <c r="M50" s="142"/>
      <c r="N50" s="143"/>
      <c r="O50" s="141"/>
      <c r="P50" s="142"/>
      <c r="Q50" s="142"/>
      <c r="R50" s="142"/>
      <c r="S50" s="153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5"/>
      <c r="AX50" s="149"/>
      <c r="AY50" s="149"/>
      <c r="AZ50" s="149"/>
      <c r="BA50" s="149"/>
      <c r="BB50" s="149"/>
      <c r="BC50" s="150"/>
      <c r="BD50" s="152"/>
      <c r="BE50" s="149"/>
      <c r="BF50" s="149"/>
      <c r="BG50" s="149"/>
      <c r="BH50" s="149"/>
      <c r="BI50" s="149"/>
      <c r="BJ50" s="150"/>
      <c r="BK50" s="58"/>
    </row>
    <row r="51" spans="1:63" ht="15" customHeight="1" x14ac:dyDescent="0.25">
      <c r="A51" s="57"/>
      <c r="B51" s="138"/>
      <c r="C51" s="139"/>
      <c r="D51" s="139"/>
      <c r="E51" s="139"/>
      <c r="F51" s="139"/>
      <c r="G51" s="140"/>
      <c r="H51" s="138"/>
      <c r="I51" s="139"/>
      <c r="J51" s="139"/>
      <c r="K51" s="139"/>
      <c r="L51" s="139"/>
      <c r="M51" s="139"/>
      <c r="N51" s="140"/>
      <c r="O51" s="138"/>
      <c r="P51" s="139"/>
      <c r="Q51" s="139"/>
      <c r="R51" s="139"/>
      <c r="S51" s="144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6"/>
      <c r="AX51" s="147"/>
      <c r="AY51" s="147"/>
      <c r="AZ51" s="147"/>
      <c r="BA51" s="147"/>
      <c r="BB51" s="147"/>
      <c r="BC51" s="148"/>
      <c r="BD51" s="151"/>
      <c r="BE51" s="147"/>
      <c r="BF51" s="147"/>
      <c r="BG51" s="147"/>
      <c r="BH51" s="147"/>
      <c r="BI51" s="147"/>
      <c r="BJ51" s="148"/>
      <c r="BK51" s="58"/>
    </row>
    <row r="52" spans="1:63" ht="15" customHeight="1" x14ac:dyDescent="0.25">
      <c r="A52" s="57"/>
      <c r="B52" s="141"/>
      <c r="C52" s="142"/>
      <c r="D52" s="142"/>
      <c r="E52" s="142"/>
      <c r="F52" s="142"/>
      <c r="G52" s="143"/>
      <c r="H52" s="141"/>
      <c r="I52" s="142"/>
      <c r="J52" s="142"/>
      <c r="K52" s="142"/>
      <c r="L52" s="142"/>
      <c r="M52" s="142"/>
      <c r="N52" s="143"/>
      <c r="O52" s="141"/>
      <c r="P52" s="142"/>
      <c r="Q52" s="142"/>
      <c r="R52" s="142"/>
      <c r="S52" s="153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5"/>
      <c r="AX52" s="149"/>
      <c r="AY52" s="149"/>
      <c r="AZ52" s="149"/>
      <c r="BA52" s="149"/>
      <c r="BB52" s="149"/>
      <c r="BC52" s="150"/>
      <c r="BD52" s="152"/>
      <c r="BE52" s="149"/>
      <c r="BF52" s="149"/>
      <c r="BG52" s="149"/>
      <c r="BH52" s="149"/>
      <c r="BI52" s="149"/>
      <c r="BJ52" s="150"/>
      <c r="BK52" s="58"/>
    </row>
    <row r="53" spans="1:63" ht="15" customHeight="1" x14ac:dyDescent="0.25">
      <c r="A53" s="57"/>
      <c r="B53" s="138"/>
      <c r="C53" s="139"/>
      <c r="D53" s="139"/>
      <c r="E53" s="139"/>
      <c r="F53" s="139"/>
      <c r="G53" s="140"/>
      <c r="H53" s="138"/>
      <c r="I53" s="139"/>
      <c r="J53" s="139"/>
      <c r="K53" s="139"/>
      <c r="L53" s="139"/>
      <c r="M53" s="139"/>
      <c r="N53" s="140"/>
      <c r="O53" s="138"/>
      <c r="P53" s="139"/>
      <c r="Q53" s="139"/>
      <c r="R53" s="139"/>
      <c r="S53" s="144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6"/>
      <c r="AX53" s="147"/>
      <c r="AY53" s="147"/>
      <c r="AZ53" s="147"/>
      <c r="BA53" s="147"/>
      <c r="BB53" s="147"/>
      <c r="BC53" s="148"/>
      <c r="BD53" s="151"/>
      <c r="BE53" s="147"/>
      <c r="BF53" s="147"/>
      <c r="BG53" s="147"/>
      <c r="BH53" s="147"/>
      <c r="BI53" s="147"/>
      <c r="BJ53" s="148"/>
      <c r="BK53" s="58"/>
    </row>
    <row r="54" spans="1:63" ht="15" customHeight="1" x14ac:dyDescent="0.25">
      <c r="A54" s="57"/>
      <c r="B54" s="141"/>
      <c r="C54" s="142"/>
      <c r="D54" s="142"/>
      <c r="E54" s="142"/>
      <c r="F54" s="142"/>
      <c r="G54" s="143"/>
      <c r="H54" s="141"/>
      <c r="I54" s="142"/>
      <c r="J54" s="142"/>
      <c r="K54" s="142"/>
      <c r="L54" s="142"/>
      <c r="M54" s="142"/>
      <c r="N54" s="143"/>
      <c r="O54" s="141"/>
      <c r="P54" s="142"/>
      <c r="Q54" s="142"/>
      <c r="R54" s="142"/>
      <c r="S54" s="153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5"/>
      <c r="AX54" s="149"/>
      <c r="AY54" s="149"/>
      <c r="AZ54" s="149"/>
      <c r="BA54" s="149"/>
      <c r="BB54" s="149"/>
      <c r="BC54" s="150"/>
      <c r="BD54" s="152"/>
      <c r="BE54" s="149"/>
      <c r="BF54" s="149"/>
      <c r="BG54" s="149"/>
      <c r="BH54" s="149"/>
      <c r="BI54" s="149"/>
      <c r="BJ54" s="150"/>
      <c r="BK54" s="58"/>
    </row>
    <row r="55" spans="1:63" ht="15" customHeight="1" x14ac:dyDescent="0.25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6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5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activeCell="U44" sqref="U44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207" t="s">
        <v>114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115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10" t="s">
        <v>111</v>
      </c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2"/>
      <c r="AP1" s="180" t="s">
        <v>116</v>
      </c>
      <c r="AQ1" s="181"/>
      <c r="AR1" s="181"/>
      <c r="AS1" s="182"/>
      <c r="AT1" s="180" t="s">
        <v>117</v>
      </c>
      <c r="AU1" s="181"/>
      <c r="AV1" s="181"/>
      <c r="AW1" s="181"/>
      <c r="AX1" s="182"/>
      <c r="AY1" s="180" t="s">
        <v>118</v>
      </c>
      <c r="AZ1" s="181"/>
      <c r="BA1" s="181"/>
      <c r="BB1" s="182"/>
      <c r="BC1" s="180" t="s">
        <v>119</v>
      </c>
      <c r="BD1" s="181"/>
      <c r="BE1" s="181"/>
      <c r="BF1" s="181"/>
      <c r="BG1" s="182"/>
      <c r="BH1" s="180" t="s">
        <v>120</v>
      </c>
      <c r="BI1" s="181"/>
      <c r="BJ1" s="181"/>
      <c r="BK1" s="182"/>
    </row>
    <row r="2" spans="1:63" ht="15" customHeight="1" x14ac:dyDescent="0.25">
      <c r="A2" s="201" t="s">
        <v>110</v>
      </c>
      <c r="B2" s="202"/>
      <c r="C2" s="202"/>
      <c r="D2" s="202"/>
      <c r="E2" s="202"/>
      <c r="F2" s="202"/>
      <c r="G2" s="202"/>
      <c r="H2" s="202"/>
      <c r="I2" s="202"/>
      <c r="J2" s="203"/>
      <c r="K2" s="201" t="s">
        <v>110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13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5"/>
      <c r="AP2" s="138" t="s">
        <v>107</v>
      </c>
      <c r="AQ2" s="139"/>
      <c r="AR2" s="139"/>
      <c r="AS2" s="140"/>
      <c r="AT2" s="175">
        <v>45498</v>
      </c>
      <c r="AU2" s="196"/>
      <c r="AV2" s="196"/>
      <c r="AW2" s="196"/>
      <c r="AX2" s="197"/>
      <c r="AY2" s="138" t="s">
        <v>108</v>
      </c>
      <c r="AZ2" s="139"/>
      <c r="BA2" s="139"/>
      <c r="BB2" s="140"/>
      <c r="BC2" s="175">
        <v>45805</v>
      </c>
      <c r="BD2" s="196"/>
      <c r="BE2" s="196"/>
      <c r="BF2" s="196"/>
      <c r="BG2" s="197"/>
      <c r="BH2" s="138">
        <v>0.33</v>
      </c>
      <c r="BI2" s="139"/>
      <c r="BJ2" s="139"/>
      <c r="BK2" s="140"/>
    </row>
    <row r="3" spans="1:63" ht="15" customHeight="1" x14ac:dyDescent="0.25">
      <c r="A3" s="204"/>
      <c r="B3" s="205"/>
      <c r="C3" s="205"/>
      <c r="D3" s="205"/>
      <c r="E3" s="205"/>
      <c r="F3" s="205"/>
      <c r="G3" s="205"/>
      <c r="H3" s="205"/>
      <c r="I3" s="205"/>
      <c r="J3" s="206"/>
      <c r="K3" s="204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6"/>
      <c r="W3" s="216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8"/>
      <c r="AP3" s="141"/>
      <c r="AQ3" s="142"/>
      <c r="AR3" s="142"/>
      <c r="AS3" s="143"/>
      <c r="AT3" s="198"/>
      <c r="AU3" s="199"/>
      <c r="AV3" s="199"/>
      <c r="AW3" s="199"/>
      <c r="AX3" s="200"/>
      <c r="AY3" s="141"/>
      <c r="AZ3" s="142"/>
      <c r="BA3" s="142"/>
      <c r="BB3" s="143"/>
      <c r="BC3" s="198"/>
      <c r="BD3" s="199"/>
      <c r="BE3" s="199"/>
      <c r="BF3" s="199"/>
      <c r="BG3" s="200"/>
      <c r="BH3" s="141"/>
      <c r="BI3" s="142"/>
      <c r="BJ3" s="142"/>
      <c r="BK3" s="143"/>
    </row>
    <row r="4" spans="1:63" ht="24.95" customHeight="1" x14ac:dyDescent="0.25">
      <c r="A4" s="207" t="s">
        <v>121</v>
      </c>
      <c r="B4" s="208"/>
      <c r="C4" s="208"/>
      <c r="D4" s="208"/>
      <c r="E4" s="208"/>
      <c r="F4" s="208"/>
      <c r="G4" s="209"/>
      <c r="H4" s="219" t="s">
        <v>109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  <c r="U4" s="207" t="s">
        <v>122</v>
      </c>
      <c r="V4" s="208"/>
      <c r="W4" s="208"/>
      <c r="X4" s="208"/>
      <c r="Y4" s="209"/>
      <c r="Z4" s="219" t="s">
        <v>112</v>
      </c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1"/>
      <c r="AP4" s="222" t="str">
        <f ca="1">MID(CELL("filename",A1),FIND("]",CELL("filename",A1))+1,255)</f>
        <v>処理フロー凡例</v>
      </c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  <c r="BB4" s="220"/>
      <c r="BC4" s="220"/>
      <c r="BD4" s="220"/>
      <c r="BE4" s="220"/>
      <c r="BF4" s="220"/>
      <c r="BG4" s="220"/>
      <c r="BH4" s="220"/>
      <c r="BI4" s="220"/>
      <c r="BJ4" s="220"/>
      <c r="BK4" s="221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3" customFormat="1" ht="15" customHeight="1" x14ac:dyDescent="0.25">
      <c r="A7" s="59"/>
      <c r="B7" s="60" t="s">
        <v>128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2"/>
      <c r="AF7" s="63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2"/>
      <c r="BJ7" s="61"/>
      <c r="BK7" s="64"/>
    </row>
    <row r="8" spans="1:63" s="65" customFormat="1" ht="15" customHeight="1" x14ac:dyDescent="0.25">
      <c r="BK8" s="64"/>
    </row>
    <row r="9" spans="1:63" s="65" customFormat="1" ht="15" customHeight="1" x14ac:dyDescent="0.25">
      <c r="BK9" s="64"/>
    </row>
    <row r="10" spans="1:63" s="65" customFormat="1" ht="15" customHeight="1" x14ac:dyDescent="0.25">
      <c r="BK10" s="64"/>
    </row>
    <row r="11" spans="1:63" s="65" customFormat="1" ht="15" customHeight="1" x14ac:dyDescent="0.25">
      <c r="BK11" s="64"/>
    </row>
    <row r="12" spans="1:63" s="65" customFormat="1" ht="15" customHeight="1" x14ac:dyDescent="0.25">
      <c r="BK12" s="64"/>
    </row>
    <row r="13" spans="1:63" s="65" customFormat="1" ht="15" customHeight="1" x14ac:dyDescent="0.25">
      <c r="BK13" s="64"/>
    </row>
    <row r="14" spans="1:63" s="65" customFormat="1" ht="15" customHeight="1" x14ac:dyDescent="0.25">
      <c r="BK14" s="64"/>
    </row>
    <row r="15" spans="1:63" s="65" customFormat="1" ht="15" customHeight="1" x14ac:dyDescent="0.25">
      <c r="BK15" s="64"/>
    </row>
    <row r="16" spans="1:63" s="65" customFormat="1" ht="15" customHeight="1" x14ac:dyDescent="0.25">
      <c r="BK16" s="64"/>
    </row>
    <row r="17" spans="63:63" s="65" customFormat="1" ht="15" customHeight="1" x14ac:dyDescent="0.25">
      <c r="BK17" s="64"/>
    </row>
    <row r="18" spans="63:63" s="65" customFormat="1" ht="15" customHeight="1" x14ac:dyDescent="0.25">
      <c r="BK18" s="64"/>
    </row>
    <row r="19" spans="63:63" s="65" customFormat="1" ht="15" customHeight="1" x14ac:dyDescent="0.25">
      <c r="BK19" s="64"/>
    </row>
    <row r="20" spans="63:63" s="65" customFormat="1" ht="15" customHeight="1" x14ac:dyDescent="0.25">
      <c r="BK20" s="64"/>
    </row>
    <row r="21" spans="63:63" s="65" customFormat="1" ht="15" customHeight="1" x14ac:dyDescent="0.25">
      <c r="BK21" s="64"/>
    </row>
    <row r="22" spans="63:63" s="65" customFormat="1" ht="15" customHeight="1" x14ac:dyDescent="0.25">
      <c r="BK22" s="64"/>
    </row>
    <row r="23" spans="63:63" s="65" customFormat="1" ht="15" customHeight="1" x14ac:dyDescent="0.25">
      <c r="BK23" s="64"/>
    </row>
    <row r="24" spans="63:63" s="65" customFormat="1" ht="15" customHeight="1" x14ac:dyDescent="0.25">
      <c r="BK24" s="64"/>
    </row>
    <row r="25" spans="63:63" s="65" customFormat="1" ht="15" customHeight="1" x14ac:dyDescent="0.25">
      <c r="BK25" s="64"/>
    </row>
    <row r="26" spans="63:63" s="65" customFormat="1" ht="15" customHeight="1" x14ac:dyDescent="0.25">
      <c r="BK26" s="64"/>
    </row>
    <row r="27" spans="63:63" s="65" customFormat="1" ht="15" customHeight="1" x14ac:dyDescent="0.25">
      <c r="BK27" s="64"/>
    </row>
    <row r="28" spans="63:63" s="65" customFormat="1" ht="15" customHeight="1" x14ac:dyDescent="0.25">
      <c r="BK28" s="64"/>
    </row>
    <row r="29" spans="63:63" s="65" customFormat="1" ht="15" customHeight="1" x14ac:dyDescent="0.25">
      <c r="BK29" s="64"/>
    </row>
    <row r="30" spans="63:63" s="65" customFormat="1" ht="15" customHeight="1" x14ac:dyDescent="0.25">
      <c r="BK30" s="64"/>
    </row>
    <row r="31" spans="63:63" s="65" customFormat="1" ht="15" customHeight="1" x14ac:dyDescent="0.25">
      <c r="BK31" s="64"/>
    </row>
    <row r="32" spans="63:63" s="65" customFormat="1" ht="15" customHeight="1" x14ac:dyDescent="0.25">
      <c r="BK32" s="64"/>
    </row>
    <row r="33" spans="63:63" s="65" customFormat="1" ht="15" customHeight="1" x14ac:dyDescent="0.25">
      <c r="BK33" s="64"/>
    </row>
    <row r="34" spans="63:63" s="65" customFormat="1" ht="15" customHeight="1" x14ac:dyDescent="0.25">
      <c r="BK34" s="64"/>
    </row>
    <row r="35" spans="63:63" s="65" customFormat="1" ht="15" customHeight="1" x14ac:dyDescent="0.25">
      <c r="BK35" s="64"/>
    </row>
    <row r="36" spans="63:63" s="65" customFormat="1" ht="15" customHeight="1" x14ac:dyDescent="0.25">
      <c r="BK36" s="64"/>
    </row>
    <row r="37" spans="63:63" s="65" customFormat="1" ht="15" customHeight="1" x14ac:dyDescent="0.25">
      <c r="BK37" s="64"/>
    </row>
    <row r="38" spans="63:63" s="65" customFormat="1" ht="15" customHeight="1" x14ac:dyDescent="0.25">
      <c r="BK38" s="64"/>
    </row>
    <row r="39" spans="63:63" s="65" customFormat="1" ht="15" customHeight="1" x14ac:dyDescent="0.25">
      <c r="BK39" s="64"/>
    </row>
    <row r="40" spans="63:63" s="65" customFormat="1" ht="15" customHeight="1" x14ac:dyDescent="0.25">
      <c r="BK40" s="64"/>
    </row>
    <row r="41" spans="63:63" s="65" customFormat="1" ht="15" customHeight="1" x14ac:dyDescent="0.25">
      <c r="BK41" s="64"/>
    </row>
    <row r="42" spans="63:63" s="65" customFormat="1" ht="15" customHeight="1" x14ac:dyDescent="0.25">
      <c r="BK42" s="64"/>
    </row>
    <row r="43" spans="63:63" s="65" customFormat="1" ht="15" customHeight="1" x14ac:dyDescent="0.25">
      <c r="BK43" s="64"/>
    </row>
    <row r="44" spans="63:63" s="65" customFormat="1" ht="15" customHeight="1" x14ac:dyDescent="0.25">
      <c r="BK44" s="64"/>
    </row>
    <row r="45" spans="63:63" s="65" customFormat="1" ht="15" customHeight="1" x14ac:dyDescent="0.25">
      <c r="BK45" s="64"/>
    </row>
    <row r="46" spans="63:63" s="65" customFormat="1" ht="15" customHeight="1" x14ac:dyDescent="0.25">
      <c r="BK46" s="64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B0F0"/>
    <pageSetUpPr fitToPage="1"/>
  </sheetPr>
  <dimension ref="A1:BK15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6" customWidth="1"/>
    <col min="64" max="16384" width="10.109375" style="66"/>
  </cols>
  <sheetData>
    <row r="1" spans="1:63" ht="24.95" customHeight="1" x14ac:dyDescent="0.25">
      <c r="A1" s="207" t="s">
        <v>114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115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10" t="s">
        <v>111</v>
      </c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2"/>
      <c r="AP1" s="180" t="s">
        <v>116</v>
      </c>
      <c r="AQ1" s="181"/>
      <c r="AR1" s="181"/>
      <c r="AS1" s="182"/>
      <c r="AT1" s="180" t="s">
        <v>117</v>
      </c>
      <c r="AU1" s="181"/>
      <c r="AV1" s="181"/>
      <c r="AW1" s="181"/>
      <c r="AX1" s="182"/>
      <c r="AY1" s="180" t="s">
        <v>118</v>
      </c>
      <c r="AZ1" s="181"/>
      <c r="BA1" s="181"/>
      <c r="BB1" s="182"/>
      <c r="BC1" s="180" t="s">
        <v>119</v>
      </c>
      <c r="BD1" s="181"/>
      <c r="BE1" s="181"/>
      <c r="BF1" s="181"/>
      <c r="BG1" s="182"/>
      <c r="BH1" s="180" t="s">
        <v>120</v>
      </c>
      <c r="BI1" s="181"/>
      <c r="BJ1" s="181"/>
      <c r="BK1" s="182"/>
    </row>
    <row r="2" spans="1:63" ht="15" customHeight="1" x14ac:dyDescent="0.25">
      <c r="A2" s="266" t="s">
        <v>110</v>
      </c>
      <c r="B2" s="267"/>
      <c r="C2" s="267"/>
      <c r="D2" s="267"/>
      <c r="E2" s="267"/>
      <c r="F2" s="267"/>
      <c r="G2" s="267"/>
      <c r="H2" s="267"/>
      <c r="I2" s="267"/>
      <c r="J2" s="268"/>
      <c r="K2" s="266" t="s">
        <v>110</v>
      </c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8"/>
      <c r="W2" s="213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5"/>
      <c r="AP2" s="138" t="s">
        <v>107</v>
      </c>
      <c r="AQ2" s="139"/>
      <c r="AR2" s="139"/>
      <c r="AS2" s="140"/>
      <c r="AT2" s="175">
        <v>45498</v>
      </c>
      <c r="AU2" s="196"/>
      <c r="AV2" s="196"/>
      <c r="AW2" s="196"/>
      <c r="AX2" s="197"/>
      <c r="AY2" s="138" t="s">
        <v>108</v>
      </c>
      <c r="AZ2" s="139"/>
      <c r="BA2" s="139"/>
      <c r="BB2" s="140"/>
      <c r="BC2" s="272">
        <v>45805</v>
      </c>
      <c r="BD2" s="273"/>
      <c r="BE2" s="273"/>
      <c r="BF2" s="273"/>
      <c r="BG2" s="274"/>
      <c r="BH2" s="138">
        <v>0.33</v>
      </c>
      <c r="BI2" s="139"/>
      <c r="BJ2" s="139"/>
      <c r="BK2" s="140"/>
    </row>
    <row r="3" spans="1:63" ht="15" customHeight="1" x14ac:dyDescent="0.25">
      <c r="A3" s="269"/>
      <c r="B3" s="270"/>
      <c r="C3" s="270"/>
      <c r="D3" s="270"/>
      <c r="E3" s="270"/>
      <c r="F3" s="270"/>
      <c r="G3" s="270"/>
      <c r="H3" s="270"/>
      <c r="I3" s="270"/>
      <c r="J3" s="271"/>
      <c r="K3" s="269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1"/>
      <c r="W3" s="216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8"/>
      <c r="AP3" s="141"/>
      <c r="AQ3" s="142"/>
      <c r="AR3" s="142"/>
      <c r="AS3" s="143"/>
      <c r="AT3" s="198"/>
      <c r="AU3" s="199"/>
      <c r="AV3" s="199"/>
      <c r="AW3" s="199"/>
      <c r="AX3" s="200"/>
      <c r="AY3" s="141"/>
      <c r="AZ3" s="142"/>
      <c r="BA3" s="142"/>
      <c r="BB3" s="143"/>
      <c r="BC3" s="275"/>
      <c r="BD3" s="276"/>
      <c r="BE3" s="276"/>
      <c r="BF3" s="276"/>
      <c r="BG3" s="277"/>
      <c r="BH3" s="141"/>
      <c r="BI3" s="142"/>
      <c r="BJ3" s="142"/>
      <c r="BK3" s="143"/>
    </row>
    <row r="4" spans="1:63" ht="24.95" customHeight="1" x14ac:dyDescent="0.25">
      <c r="A4" s="207" t="s">
        <v>121</v>
      </c>
      <c r="B4" s="208"/>
      <c r="C4" s="208"/>
      <c r="D4" s="208"/>
      <c r="E4" s="208"/>
      <c r="F4" s="208"/>
      <c r="G4" s="209"/>
      <c r="H4" s="263" t="s">
        <v>109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5"/>
      <c r="U4" s="207" t="s">
        <v>122</v>
      </c>
      <c r="V4" s="208"/>
      <c r="W4" s="208"/>
      <c r="X4" s="208"/>
      <c r="Y4" s="209"/>
      <c r="Z4" s="263" t="s">
        <v>112</v>
      </c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5"/>
      <c r="AP4" s="263" t="str">
        <f ca="1">MID(CELL("filename",A1),FIND("]",CELL("filename",A1))+1,255)</f>
        <v>AP8201</v>
      </c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5"/>
    </row>
    <row r="5" spans="1:63" ht="5.0999999999999996" customHeight="1" x14ac:dyDescent="0.25">
      <c r="A5" s="67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9"/>
    </row>
    <row r="6" spans="1:63" ht="15" customHeight="1" x14ac:dyDescent="0.25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2"/>
    </row>
    <row r="7" spans="1:63" s="76" customFormat="1" ht="15" customHeight="1" x14ac:dyDescent="0.25">
      <c r="A7" s="73"/>
      <c r="B7" s="30" t="s">
        <v>129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5"/>
      <c r="BI7" s="75"/>
      <c r="BJ7" s="75"/>
      <c r="BK7" s="64"/>
    </row>
    <row r="8" spans="1:63" s="76" customFormat="1" ht="15" customHeight="1" x14ac:dyDescent="0.25">
      <c r="A8" s="73"/>
      <c r="B8" s="31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65"/>
      <c r="BI8" s="65"/>
      <c r="BJ8" s="65"/>
      <c r="BK8" s="64"/>
    </row>
    <row r="9" spans="1:63" s="76" customFormat="1" ht="15" customHeight="1" x14ac:dyDescent="0.25">
      <c r="A9" s="73"/>
      <c r="B9" s="31"/>
      <c r="C9" s="77" t="s">
        <v>81</v>
      </c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8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65"/>
      <c r="BI9" s="65"/>
      <c r="BJ9" s="65"/>
      <c r="BK9" s="64"/>
    </row>
    <row r="10" spans="1:63" s="76" customFormat="1" ht="15" customHeight="1" x14ac:dyDescent="0.25">
      <c r="A10" s="73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65"/>
      <c r="BI10" s="65"/>
      <c r="BJ10" s="65"/>
      <c r="BK10" s="64"/>
    </row>
    <row r="11" spans="1:63" s="76" customFormat="1" ht="15" customHeight="1" x14ac:dyDescent="0.25">
      <c r="A11" s="73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65"/>
      <c r="BI11" s="65"/>
      <c r="BJ11" s="65"/>
      <c r="BK11" s="64"/>
    </row>
    <row r="12" spans="1:63" s="76" customFormat="1" ht="15" customHeight="1" x14ac:dyDescent="0.25">
      <c r="A12" s="73"/>
      <c r="B12" s="30" t="s">
        <v>130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5"/>
      <c r="BI12" s="75"/>
      <c r="BJ12" s="75"/>
      <c r="BK12" s="64"/>
    </row>
    <row r="13" spans="1:63" s="76" customFormat="1" ht="15" customHeight="1" x14ac:dyDescent="0.25">
      <c r="A13" s="73"/>
      <c r="B13" s="77"/>
      <c r="C13" s="31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65"/>
      <c r="BI13" s="65"/>
      <c r="BJ13" s="65"/>
      <c r="BK13" s="64"/>
    </row>
    <row r="14" spans="1:63" s="76" customFormat="1" ht="15" customHeight="1" x14ac:dyDescent="0.25">
      <c r="A14" s="73"/>
      <c r="B14" s="77"/>
      <c r="C14" s="31" t="s">
        <v>131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65"/>
      <c r="BI14" s="65"/>
      <c r="BJ14" s="65"/>
      <c r="BK14" s="64"/>
    </row>
    <row r="15" spans="1:63" s="76" customFormat="1" ht="15" customHeight="1" x14ac:dyDescent="0.25">
      <c r="A15" s="73"/>
      <c r="B15" s="77"/>
      <c r="C15" s="31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65"/>
      <c r="BI15" s="65"/>
      <c r="BJ15" s="65"/>
      <c r="BK15" s="64"/>
    </row>
    <row r="16" spans="1:63" s="76" customFormat="1" ht="15" customHeight="1" x14ac:dyDescent="0.25">
      <c r="A16" s="73"/>
      <c r="B16" s="77"/>
      <c r="C16" s="229" t="s">
        <v>28</v>
      </c>
      <c r="D16" s="231"/>
      <c r="E16" s="229" t="s">
        <v>55</v>
      </c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1"/>
      <c r="AG16" s="229" t="s">
        <v>56</v>
      </c>
      <c r="AH16" s="230"/>
      <c r="AI16" s="230"/>
      <c r="AJ16" s="230"/>
      <c r="AK16" s="230"/>
      <c r="AL16" s="230"/>
      <c r="AM16" s="230"/>
      <c r="AN16" s="230"/>
      <c r="AO16" s="230"/>
      <c r="AP16" s="231"/>
      <c r="AQ16" s="229" t="s">
        <v>57</v>
      </c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  <c r="BF16" s="230"/>
      <c r="BG16" s="230"/>
      <c r="BH16" s="230"/>
      <c r="BI16" s="230"/>
      <c r="BJ16" s="231"/>
      <c r="BK16" s="64"/>
    </row>
    <row r="17" spans="1:63" s="76" customFormat="1" ht="15" customHeight="1" x14ac:dyDescent="0.25">
      <c r="A17" s="73"/>
      <c r="B17" s="77"/>
      <c r="C17" s="223">
        <v>1</v>
      </c>
      <c r="D17" s="224"/>
      <c r="E17" s="232" t="s">
        <v>99</v>
      </c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4"/>
      <c r="AG17" s="223" t="s">
        <v>54</v>
      </c>
      <c r="AH17" s="225"/>
      <c r="AI17" s="225"/>
      <c r="AJ17" s="225"/>
      <c r="AK17" s="225"/>
      <c r="AL17" s="225"/>
      <c r="AM17" s="225"/>
      <c r="AN17" s="225"/>
      <c r="AO17" s="225"/>
      <c r="AP17" s="224"/>
      <c r="AQ17" s="223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4"/>
      <c r="BK17" s="64"/>
    </row>
    <row r="18" spans="1:63" s="76" customFormat="1" ht="15" customHeight="1" x14ac:dyDescent="0.25">
      <c r="A18" s="73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65"/>
      <c r="BI18" s="65"/>
      <c r="BJ18" s="65"/>
      <c r="BK18" s="64"/>
    </row>
    <row r="19" spans="1:63" s="76" customFormat="1" ht="15" customHeight="1" x14ac:dyDescent="0.25">
      <c r="A19" s="73"/>
      <c r="B19" s="77"/>
      <c r="C19" s="31" t="s">
        <v>132</v>
      </c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65"/>
      <c r="BI19" s="65"/>
      <c r="BJ19" s="65"/>
      <c r="BK19" s="64"/>
    </row>
    <row r="20" spans="1:63" s="76" customFormat="1" ht="15" customHeight="1" x14ac:dyDescent="0.25">
      <c r="A20" s="73"/>
      <c r="B20" s="77"/>
      <c r="C20" s="31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65"/>
      <c r="BI20" s="65"/>
      <c r="BJ20" s="65"/>
      <c r="BK20" s="64"/>
    </row>
    <row r="21" spans="1:63" s="76" customFormat="1" ht="15" customHeight="1" x14ac:dyDescent="0.25">
      <c r="A21" s="73"/>
      <c r="B21" s="77"/>
      <c r="C21" s="229" t="s">
        <v>28</v>
      </c>
      <c r="D21" s="231"/>
      <c r="E21" s="229" t="s">
        <v>18</v>
      </c>
      <c r="F21" s="230"/>
      <c r="G21" s="230"/>
      <c r="H21" s="230"/>
      <c r="I21" s="230"/>
      <c r="J21" s="230"/>
      <c r="K21" s="231"/>
      <c r="L21" s="229" t="s">
        <v>58</v>
      </c>
      <c r="M21" s="230"/>
      <c r="N21" s="231"/>
      <c r="O21" s="229" t="s">
        <v>59</v>
      </c>
      <c r="P21" s="230"/>
      <c r="Q21" s="230"/>
      <c r="R21" s="231"/>
      <c r="S21" s="229" t="s">
        <v>60</v>
      </c>
      <c r="T21" s="230"/>
      <c r="U21" s="230"/>
      <c r="V21" s="230"/>
      <c r="W21" s="230"/>
      <c r="X21" s="230"/>
      <c r="Y21" s="231"/>
      <c r="Z21" s="229" t="s">
        <v>30</v>
      </c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1"/>
      <c r="AQ21" s="229" t="s">
        <v>57</v>
      </c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1"/>
      <c r="BK21" s="64"/>
    </row>
    <row r="22" spans="1:63" s="76" customFormat="1" ht="15" customHeight="1" x14ac:dyDescent="0.25">
      <c r="A22" s="73"/>
      <c r="B22" s="77"/>
      <c r="C22" s="223">
        <v>1</v>
      </c>
      <c r="D22" s="224"/>
      <c r="E22" s="223" t="s">
        <v>19</v>
      </c>
      <c r="F22" s="225"/>
      <c r="G22" s="225"/>
      <c r="H22" s="225"/>
      <c r="I22" s="225"/>
      <c r="J22" s="225"/>
      <c r="K22" s="224"/>
      <c r="L22" s="193" t="s">
        <v>20</v>
      </c>
      <c r="M22" s="194"/>
      <c r="N22" s="195"/>
      <c r="O22" s="223" t="s">
        <v>21</v>
      </c>
      <c r="P22" s="225"/>
      <c r="Q22" s="225"/>
      <c r="R22" s="224"/>
      <c r="S22" s="223" t="s">
        <v>22</v>
      </c>
      <c r="T22" s="225"/>
      <c r="U22" s="225"/>
      <c r="V22" s="225"/>
      <c r="W22" s="225"/>
      <c r="X22" s="225"/>
      <c r="Y22" s="224"/>
      <c r="Z22" s="223" t="s">
        <v>23</v>
      </c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4"/>
      <c r="AQ22" s="232" t="s">
        <v>133</v>
      </c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4"/>
      <c r="BK22" s="64"/>
    </row>
    <row r="23" spans="1:63" s="76" customFormat="1" ht="15" customHeight="1" x14ac:dyDescent="0.25">
      <c r="A23" s="73"/>
      <c r="B23" s="77"/>
      <c r="C23" s="223">
        <v>2</v>
      </c>
      <c r="D23" s="224"/>
      <c r="E23" s="223" t="s">
        <v>24</v>
      </c>
      <c r="F23" s="225"/>
      <c r="G23" s="225"/>
      <c r="H23" s="225"/>
      <c r="I23" s="225"/>
      <c r="J23" s="225"/>
      <c r="K23" s="224"/>
      <c r="L23" s="193" t="s">
        <v>22</v>
      </c>
      <c r="M23" s="194"/>
      <c r="N23" s="195"/>
      <c r="O23" s="223" t="s">
        <v>21</v>
      </c>
      <c r="P23" s="225"/>
      <c r="Q23" s="225"/>
      <c r="R23" s="224"/>
      <c r="S23" s="223" t="s">
        <v>22</v>
      </c>
      <c r="T23" s="225"/>
      <c r="U23" s="225"/>
      <c r="V23" s="225"/>
      <c r="W23" s="225"/>
      <c r="X23" s="225"/>
      <c r="Y23" s="224"/>
      <c r="Z23" s="223" t="s">
        <v>24</v>
      </c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4"/>
      <c r="AQ23" s="232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4"/>
      <c r="BK23" s="64"/>
    </row>
    <row r="24" spans="1:63" s="76" customFormat="1" ht="15" customHeight="1" x14ac:dyDescent="0.25">
      <c r="A24" s="73"/>
      <c r="B24" s="77"/>
      <c r="C24" s="260">
        <v>3</v>
      </c>
      <c r="D24" s="261"/>
      <c r="E24" s="260" t="s">
        <v>25</v>
      </c>
      <c r="F24" s="262"/>
      <c r="G24" s="262"/>
      <c r="H24" s="262"/>
      <c r="I24" s="262"/>
      <c r="J24" s="262"/>
      <c r="K24" s="261"/>
      <c r="L24" s="249" t="s">
        <v>20</v>
      </c>
      <c r="M24" s="250"/>
      <c r="N24" s="251"/>
      <c r="O24" s="252" t="s">
        <v>21</v>
      </c>
      <c r="P24" s="253"/>
      <c r="Q24" s="253"/>
      <c r="R24" s="254"/>
      <c r="S24" s="252" t="s">
        <v>35</v>
      </c>
      <c r="T24" s="253"/>
      <c r="U24" s="253"/>
      <c r="V24" s="253"/>
      <c r="W24" s="253"/>
      <c r="X24" s="253"/>
      <c r="Y24" s="254"/>
      <c r="Z24" s="255" t="s">
        <v>35</v>
      </c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7"/>
      <c r="AQ24" s="258"/>
      <c r="AR24" s="258"/>
      <c r="AS24" s="258"/>
      <c r="AT24" s="258"/>
      <c r="AU24" s="258"/>
      <c r="AV24" s="258"/>
      <c r="AW24" s="258"/>
      <c r="AX24" s="258"/>
      <c r="AY24" s="258"/>
      <c r="AZ24" s="258"/>
      <c r="BA24" s="258"/>
      <c r="BB24" s="258"/>
      <c r="BC24" s="258"/>
      <c r="BD24" s="258"/>
      <c r="BE24" s="258"/>
      <c r="BF24" s="258"/>
      <c r="BG24" s="258"/>
      <c r="BH24" s="258"/>
      <c r="BI24" s="258"/>
      <c r="BJ24" s="259"/>
      <c r="BK24" s="64"/>
    </row>
    <row r="25" spans="1:63" s="76" customFormat="1" ht="15" customHeight="1" x14ac:dyDescent="0.25">
      <c r="A25" s="73"/>
      <c r="B25" s="77"/>
      <c r="C25" s="223">
        <v>4</v>
      </c>
      <c r="D25" s="224"/>
      <c r="E25" s="223" t="s">
        <v>26</v>
      </c>
      <c r="F25" s="225"/>
      <c r="G25" s="225"/>
      <c r="H25" s="225"/>
      <c r="I25" s="225"/>
      <c r="J25" s="225"/>
      <c r="K25" s="224"/>
      <c r="L25" s="193" t="s">
        <v>22</v>
      </c>
      <c r="M25" s="194"/>
      <c r="N25" s="195"/>
      <c r="O25" s="223" t="s">
        <v>21</v>
      </c>
      <c r="P25" s="225"/>
      <c r="Q25" s="225"/>
      <c r="R25" s="224"/>
      <c r="S25" s="223" t="s">
        <v>22</v>
      </c>
      <c r="T25" s="225"/>
      <c r="U25" s="225"/>
      <c r="V25" s="225"/>
      <c r="W25" s="225"/>
      <c r="X25" s="225"/>
      <c r="Y25" s="224"/>
      <c r="Z25" s="223" t="s">
        <v>26</v>
      </c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4"/>
      <c r="AQ25" s="232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4"/>
      <c r="BK25" s="64"/>
    </row>
    <row r="26" spans="1:63" s="76" customFormat="1" ht="15" customHeight="1" x14ac:dyDescent="0.25">
      <c r="A26" s="73"/>
      <c r="B26" s="77"/>
      <c r="C26" s="223">
        <v>5</v>
      </c>
      <c r="D26" s="224"/>
      <c r="E26" s="223" t="s">
        <v>27</v>
      </c>
      <c r="F26" s="225"/>
      <c r="G26" s="225"/>
      <c r="H26" s="225"/>
      <c r="I26" s="225"/>
      <c r="J26" s="225"/>
      <c r="K26" s="224"/>
      <c r="L26" s="193" t="s">
        <v>22</v>
      </c>
      <c r="M26" s="194"/>
      <c r="N26" s="195"/>
      <c r="O26" s="223" t="s">
        <v>21</v>
      </c>
      <c r="P26" s="225"/>
      <c r="Q26" s="225"/>
      <c r="R26" s="224"/>
      <c r="S26" s="223" t="s">
        <v>22</v>
      </c>
      <c r="T26" s="225"/>
      <c r="U26" s="225"/>
      <c r="V26" s="225"/>
      <c r="W26" s="225"/>
      <c r="X26" s="225"/>
      <c r="Y26" s="224"/>
      <c r="Z26" s="223" t="s">
        <v>27</v>
      </c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4"/>
      <c r="AQ26" s="232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4"/>
      <c r="BK26" s="64"/>
    </row>
    <row r="27" spans="1:63" s="76" customFormat="1" ht="15" customHeight="1" x14ac:dyDescent="0.25">
      <c r="A27" s="73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82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82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65"/>
      <c r="BI27" s="65"/>
      <c r="BJ27" s="65"/>
      <c r="BK27" s="64"/>
    </row>
    <row r="28" spans="1:63" s="76" customFormat="1" ht="15" customHeight="1" x14ac:dyDescent="0.25">
      <c r="A28" s="73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82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82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65"/>
      <c r="BI28" s="65"/>
      <c r="BJ28" s="65"/>
      <c r="BK28" s="64"/>
    </row>
    <row r="29" spans="1:63" s="76" customFormat="1" ht="15" customHeight="1" x14ac:dyDescent="0.25">
      <c r="A29" s="73"/>
      <c r="B29" s="77"/>
      <c r="C29" s="31" t="s">
        <v>31</v>
      </c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65"/>
      <c r="BI29" s="65"/>
      <c r="BJ29" s="65"/>
      <c r="BK29" s="64"/>
    </row>
    <row r="30" spans="1:63" s="76" customFormat="1" ht="15" customHeight="1" x14ac:dyDescent="0.25">
      <c r="A30" s="73"/>
      <c r="B30" s="77"/>
      <c r="C30" s="31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65"/>
      <c r="BI30" s="65"/>
      <c r="BJ30" s="65"/>
      <c r="BK30" s="64"/>
    </row>
    <row r="31" spans="1:63" s="76" customFormat="1" ht="15" customHeight="1" x14ac:dyDescent="0.25">
      <c r="A31" s="73"/>
      <c r="B31" s="77"/>
      <c r="C31" s="246" t="s">
        <v>28</v>
      </c>
      <c r="D31" s="248"/>
      <c r="E31" s="246" t="s">
        <v>61</v>
      </c>
      <c r="F31" s="247"/>
      <c r="G31" s="247"/>
      <c r="H31" s="247"/>
      <c r="I31" s="247"/>
      <c r="J31" s="247"/>
      <c r="K31" s="248"/>
      <c r="L31" s="229" t="s">
        <v>58</v>
      </c>
      <c r="M31" s="230"/>
      <c r="N31" s="231"/>
      <c r="O31" s="229" t="s">
        <v>59</v>
      </c>
      <c r="P31" s="230"/>
      <c r="Q31" s="230"/>
      <c r="R31" s="231"/>
      <c r="S31" s="229" t="s">
        <v>60</v>
      </c>
      <c r="T31" s="230"/>
      <c r="U31" s="230"/>
      <c r="V31" s="230"/>
      <c r="W31" s="230"/>
      <c r="X31" s="230"/>
      <c r="Y31" s="231"/>
      <c r="Z31" s="229" t="s">
        <v>30</v>
      </c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1"/>
      <c r="AQ31" s="246" t="s">
        <v>57</v>
      </c>
      <c r="AR31" s="247"/>
      <c r="AS31" s="247"/>
      <c r="AT31" s="247"/>
      <c r="AU31" s="247"/>
      <c r="AV31" s="247"/>
      <c r="AW31" s="247"/>
      <c r="AX31" s="247"/>
      <c r="AY31" s="247"/>
      <c r="AZ31" s="247"/>
      <c r="BA31" s="247"/>
      <c r="BB31" s="247"/>
      <c r="BC31" s="247"/>
      <c r="BD31" s="247"/>
      <c r="BE31" s="247"/>
      <c r="BF31" s="247"/>
      <c r="BG31" s="247"/>
      <c r="BH31" s="247"/>
      <c r="BI31" s="247"/>
      <c r="BJ31" s="248"/>
      <c r="BK31" s="64"/>
    </row>
    <row r="32" spans="1:63" s="76" customFormat="1" ht="54" customHeight="1" x14ac:dyDescent="0.25">
      <c r="A32" s="73"/>
      <c r="B32" s="77"/>
      <c r="C32" s="223">
        <v>1</v>
      </c>
      <c r="D32" s="224"/>
      <c r="E32" s="238" t="s">
        <v>134</v>
      </c>
      <c r="F32" s="239"/>
      <c r="G32" s="239"/>
      <c r="H32" s="239"/>
      <c r="I32" s="239"/>
      <c r="J32" s="239"/>
      <c r="K32" s="240"/>
      <c r="L32" s="193" t="s">
        <v>22</v>
      </c>
      <c r="M32" s="194"/>
      <c r="N32" s="195"/>
      <c r="O32" s="223" t="s">
        <v>21</v>
      </c>
      <c r="P32" s="225"/>
      <c r="Q32" s="225"/>
      <c r="R32" s="224"/>
      <c r="S32" s="232" t="s">
        <v>22</v>
      </c>
      <c r="T32" s="225"/>
      <c r="U32" s="225"/>
      <c r="V32" s="225"/>
      <c r="W32" s="225"/>
      <c r="X32" s="225"/>
      <c r="Y32" s="224"/>
      <c r="Z32" s="223" t="s">
        <v>43</v>
      </c>
      <c r="AA32" s="225"/>
      <c r="AB32" s="225"/>
      <c r="AC32" s="225"/>
      <c r="AD32" s="225"/>
      <c r="AE32" s="225"/>
      <c r="AF32" s="225"/>
      <c r="AG32" s="225"/>
      <c r="AH32" s="225"/>
      <c r="AI32" s="225"/>
      <c r="AJ32" s="225"/>
      <c r="AK32" s="225"/>
      <c r="AL32" s="225"/>
      <c r="AM32" s="225"/>
      <c r="AN32" s="225"/>
      <c r="AO32" s="225"/>
      <c r="AP32" s="224"/>
      <c r="AQ32" s="235" t="s">
        <v>135</v>
      </c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6"/>
      <c r="BJ32" s="237"/>
      <c r="BK32" s="64"/>
    </row>
    <row r="33" spans="1:63" s="76" customFormat="1" ht="57" customHeight="1" x14ac:dyDescent="0.25">
      <c r="A33" s="73"/>
      <c r="B33" s="77"/>
      <c r="C33" s="223">
        <v>2</v>
      </c>
      <c r="D33" s="224"/>
      <c r="E33" s="223" t="s">
        <v>41</v>
      </c>
      <c r="F33" s="225"/>
      <c r="G33" s="225"/>
      <c r="H33" s="225"/>
      <c r="I33" s="225"/>
      <c r="J33" s="225"/>
      <c r="K33" s="224"/>
      <c r="L33" s="193" t="s">
        <v>22</v>
      </c>
      <c r="M33" s="194"/>
      <c r="N33" s="195"/>
      <c r="O33" s="223" t="s">
        <v>37</v>
      </c>
      <c r="P33" s="225"/>
      <c r="Q33" s="225"/>
      <c r="R33" s="224"/>
      <c r="S33" s="232" t="s">
        <v>22</v>
      </c>
      <c r="T33" s="225"/>
      <c r="U33" s="225"/>
      <c r="V33" s="225"/>
      <c r="W33" s="225"/>
      <c r="X33" s="225"/>
      <c r="Y33" s="224"/>
      <c r="Z33" s="232" t="s">
        <v>79</v>
      </c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4"/>
      <c r="AQ33" s="241" t="s">
        <v>136</v>
      </c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225"/>
      <c r="BG33" s="225"/>
      <c r="BH33" s="225"/>
      <c r="BI33" s="225"/>
      <c r="BJ33" s="224"/>
      <c r="BK33" s="64"/>
    </row>
    <row r="34" spans="1:63" s="76" customFormat="1" ht="32.25" customHeight="1" x14ac:dyDescent="0.25">
      <c r="A34" s="73"/>
      <c r="B34" s="77"/>
      <c r="C34" s="223">
        <v>3</v>
      </c>
      <c r="D34" s="224"/>
      <c r="E34" s="238" t="s">
        <v>137</v>
      </c>
      <c r="F34" s="239"/>
      <c r="G34" s="239"/>
      <c r="H34" s="239"/>
      <c r="I34" s="239"/>
      <c r="J34" s="239"/>
      <c r="K34" s="240"/>
      <c r="L34" s="193" t="s">
        <v>22</v>
      </c>
      <c r="M34" s="194"/>
      <c r="N34" s="195"/>
      <c r="O34" s="223" t="s">
        <v>21</v>
      </c>
      <c r="P34" s="225"/>
      <c r="Q34" s="225"/>
      <c r="R34" s="224"/>
      <c r="S34" s="232" t="s">
        <v>22</v>
      </c>
      <c r="T34" s="225"/>
      <c r="U34" s="225"/>
      <c r="V34" s="225"/>
      <c r="W34" s="225"/>
      <c r="X34" s="225"/>
      <c r="Y34" s="224"/>
      <c r="Z34" s="223" t="s">
        <v>44</v>
      </c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4"/>
      <c r="AQ34" s="242" t="s">
        <v>223</v>
      </c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6"/>
      <c r="BJ34" s="237"/>
      <c r="BK34" s="64"/>
    </row>
    <row r="35" spans="1:63" s="76" customFormat="1" ht="45" customHeight="1" x14ac:dyDescent="0.25">
      <c r="A35" s="73"/>
      <c r="B35" s="77"/>
      <c r="C35" s="223">
        <v>4</v>
      </c>
      <c r="D35" s="224"/>
      <c r="E35" s="223" t="s">
        <v>42</v>
      </c>
      <c r="F35" s="225"/>
      <c r="G35" s="225"/>
      <c r="H35" s="225"/>
      <c r="I35" s="225"/>
      <c r="J35" s="225"/>
      <c r="K35" s="224"/>
      <c r="L35" s="193" t="s">
        <v>22</v>
      </c>
      <c r="M35" s="194"/>
      <c r="N35" s="195"/>
      <c r="O35" s="223" t="s">
        <v>37</v>
      </c>
      <c r="P35" s="225"/>
      <c r="Q35" s="225"/>
      <c r="R35" s="224"/>
      <c r="S35" s="232" t="s">
        <v>22</v>
      </c>
      <c r="T35" s="225"/>
      <c r="U35" s="225"/>
      <c r="V35" s="225"/>
      <c r="W35" s="225"/>
      <c r="X35" s="225"/>
      <c r="Y35" s="224"/>
      <c r="Z35" s="232" t="s">
        <v>80</v>
      </c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4"/>
      <c r="AQ35" s="241" t="s">
        <v>136</v>
      </c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4"/>
      <c r="BK35" s="64"/>
    </row>
    <row r="36" spans="1:63" s="40" customFormat="1" ht="45" customHeight="1" x14ac:dyDescent="0.25">
      <c r="A36" s="37"/>
      <c r="B36" s="38"/>
      <c r="C36" s="223">
        <v>5</v>
      </c>
      <c r="D36" s="224"/>
      <c r="E36" s="223" t="s">
        <v>69</v>
      </c>
      <c r="F36" s="225"/>
      <c r="G36" s="225"/>
      <c r="H36" s="225"/>
      <c r="I36" s="225"/>
      <c r="J36" s="225"/>
      <c r="K36" s="224"/>
      <c r="L36" s="193" t="s">
        <v>22</v>
      </c>
      <c r="M36" s="194"/>
      <c r="N36" s="195"/>
      <c r="O36" s="223" t="s">
        <v>37</v>
      </c>
      <c r="P36" s="225"/>
      <c r="Q36" s="225"/>
      <c r="R36" s="224"/>
      <c r="S36" s="232" t="s">
        <v>22</v>
      </c>
      <c r="T36" s="225"/>
      <c r="U36" s="225"/>
      <c r="V36" s="225"/>
      <c r="W36" s="225"/>
      <c r="X36" s="225"/>
      <c r="Y36" s="224"/>
      <c r="Z36" s="232" t="s">
        <v>63</v>
      </c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4"/>
      <c r="AQ36" s="235" t="s">
        <v>138</v>
      </c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  <c r="BC36" s="236"/>
      <c r="BD36" s="236"/>
      <c r="BE36" s="236"/>
      <c r="BF36" s="236"/>
      <c r="BG36" s="236"/>
      <c r="BH36" s="236"/>
      <c r="BI36" s="236"/>
      <c r="BJ36" s="237"/>
      <c r="BK36" s="39"/>
    </row>
    <row r="37" spans="1:63" s="76" customFormat="1" ht="15" customHeight="1" x14ac:dyDescent="0.25">
      <c r="A37" s="73"/>
      <c r="B37" s="77"/>
      <c r="C37" s="31" t="s">
        <v>29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65"/>
      <c r="BI37" s="65"/>
      <c r="BJ37" s="65"/>
      <c r="BK37" s="64"/>
    </row>
    <row r="38" spans="1:63" s="76" customFormat="1" ht="15" customHeight="1" x14ac:dyDescent="0.25">
      <c r="A38" s="73"/>
      <c r="B38" s="77"/>
      <c r="C38" s="31"/>
      <c r="D38" s="77" t="s">
        <v>36</v>
      </c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65"/>
      <c r="BI38" s="65"/>
      <c r="BJ38" s="65"/>
      <c r="BK38" s="64"/>
    </row>
    <row r="39" spans="1:63" s="76" customFormat="1" ht="15" customHeight="1" x14ac:dyDescent="0.25">
      <c r="A39" s="73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65"/>
      <c r="BI39" s="65"/>
      <c r="BJ39" s="65"/>
      <c r="BK39" s="64"/>
    </row>
    <row r="40" spans="1:63" s="76" customFormat="1" ht="15" customHeight="1" x14ac:dyDescent="0.25">
      <c r="A40" s="73"/>
      <c r="B40" s="30" t="s">
        <v>139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5"/>
      <c r="BI40" s="75"/>
      <c r="BJ40" s="75"/>
      <c r="BK40" s="64"/>
    </row>
    <row r="41" spans="1:63" s="76" customFormat="1" ht="15" customHeight="1" x14ac:dyDescent="0.25">
      <c r="A41" s="73"/>
      <c r="B41" s="31"/>
      <c r="C41" s="31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65"/>
      <c r="BI41" s="65"/>
      <c r="BJ41" s="65"/>
      <c r="BK41" s="64"/>
    </row>
    <row r="42" spans="1:63" s="76" customFormat="1" ht="15" customHeight="1" x14ac:dyDescent="0.25">
      <c r="A42" s="73"/>
      <c r="B42" s="31"/>
      <c r="C42" s="31" t="s">
        <v>140</v>
      </c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65"/>
      <c r="BI42" s="65"/>
      <c r="BJ42" s="65"/>
      <c r="BK42" s="64"/>
    </row>
    <row r="43" spans="1:63" s="76" customFormat="1" ht="15" customHeight="1" x14ac:dyDescent="0.25">
      <c r="A43" s="73"/>
      <c r="B43" s="31"/>
      <c r="C43" s="31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65"/>
      <c r="BI43" s="65"/>
      <c r="BJ43" s="65"/>
      <c r="BK43" s="64"/>
    </row>
    <row r="44" spans="1:63" s="76" customFormat="1" ht="15" customHeight="1" x14ac:dyDescent="0.25">
      <c r="A44" s="73"/>
      <c r="B44" s="77"/>
      <c r="C44" s="229" t="s">
        <v>28</v>
      </c>
      <c r="D44" s="231"/>
      <c r="E44" s="229" t="s">
        <v>32</v>
      </c>
      <c r="F44" s="230"/>
      <c r="G44" s="230"/>
      <c r="H44" s="230"/>
      <c r="I44" s="230"/>
      <c r="J44" s="230"/>
      <c r="K44" s="231"/>
      <c r="L44" s="229" t="s">
        <v>59</v>
      </c>
      <c r="M44" s="230"/>
      <c r="N44" s="230"/>
      <c r="O44" s="230"/>
      <c r="P44" s="230"/>
      <c r="Q44" s="230"/>
      <c r="R44" s="231"/>
      <c r="S44" s="243" t="s">
        <v>30</v>
      </c>
      <c r="T44" s="244"/>
      <c r="U44" s="244"/>
      <c r="V44" s="244"/>
      <c r="W44" s="244"/>
      <c r="X44" s="244"/>
      <c r="Y44" s="244"/>
      <c r="Z44" s="244"/>
      <c r="AA44" s="244"/>
      <c r="AB44" s="245"/>
      <c r="AC44" s="229" t="s">
        <v>57</v>
      </c>
      <c r="AD44" s="230"/>
      <c r="AE44" s="230"/>
      <c r="AF44" s="230"/>
      <c r="AG44" s="230"/>
      <c r="AH44" s="230"/>
      <c r="AI44" s="230"/>
      <c r="AJ44" s="230"/>
      <c r="AK44" s="230"/>
      <c r="AL44" s="230"/>
      <c r="AM44" s="230"/>
      <c r="AN44" s="230"/>
      <c r="AO44" s="230"/>
      <c r="AP44" s="230"/>
      <c r="AQ44" s="230"/>
      <c r="AR44" s="230"/>
      <c r="AS44" s="230"/>
      <c r="AT44" s="230"/>
      <c r="AU44" s="231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65"/>
      <c r="BI44" s="65"/>
      <c r="BJ44" s="65"/>
      <c r="BK44" s="64"/>
    </row>
    <row r="45" spans="1:63" s="76" customFormat="1" ht="15" customHeight="1" x14ac:dyDescent="0.25">
      <c r="A45" s="73"/>
      <c r="B45" s="77"/>
      <c r="C45" s="223">
        <v>1</v>
      </c>
      <c r="D45" s="224"/>
      <c r="E45" s="223" t="s">
        <v>64</v>
      </c>
      <c r="F45" s="225"/>
      <c r="G45" s="225"/>
      <c r="H45" s="225"/>
      <c r="I45" s="225"/>
      <c r="J45" s="225"/>
      <c r="K45" s="224"/>
      <c r="L45" s="223" t="s">
        <v>65</v>
      </c>
      <c r="M45" s="225"/>
      <c r="N45" s="225"/>
      <c r="O45" s="225"/>
      <c r="P45" s="225"/>
      <c r="Q45" s="225"/>
      <c r="R45" s="224"/>
      <c r="S45" s="226"/>
      <c r="T45" s="227"/>
      <c r="U45" s="227"/>
      <c r="V45" s="227"/>
      <c r="W45" s="227"/>
      <c r="X45" s="227"/>
      <c r="Y45" s="227"/>
      <c r="Z45" s="227"/>
      <c r="AA45" s="227"/>
      <c r="AB45" s="228"/>
      <c r="AC45" s="223" t="s">
        <v>66</v>
      </c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225"/>
      <c r="AP45" s="225"/>
      <c r="AQ45" s="225"/>
      <c r="AR45" s="225"/>
      <c r="AS45" s="225"/>
      <c r="AT45" s="225"/>
      <c r="AU45" s="224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65"/>
      <c r="BI45" s="65"/>
      <c r="BJ45" s="65"/>
      <c r="BK45" s="64"/>
    </row>
    <row r="46" spans="1:63" s="76" customFormat="1" ht="15" customHeight="1" x14ac:dyDescent="0.25">
      <c r="A46" s="73"/>
      <c r="B46" s="77"/>
      <c r="C46" s="223">
        <v>2</v>
      </c>
      <c r="D46" s="224"/>
      <c r="E46" s="223"/>
      <c r="F46" s="225"/>
      <c r="G46" s="225"/>
      <c r="H46" s="225"/>
      <c r="I46" s="225"/>
      <c r="J46" s="225"/>
      <c r="K46" s="224"/>
      <c r="L46" s="223" t="s">
        <v>45</v>
      </c>
      <c r="M46" s="225"/>
      <c r="N46" s="225"/>
      <c r="O46" s="225"/>
      <c r="P46" s="225"/>
      <c r="Q46" s="225"/>
      <c r="R46" s="224"/>
      <c r="S46" s="226"/>
      <c r="T46" s="227"/>
      <c r="U46" s="227"/>
      <c r="V46" s="227"/>
      <c r="W46" s="227"/>
      <c r="X46" s="227"/>
      <c r="Y46" s="227"/>
      <c r="Z46" s="227"/>
      <c r="AA46" s="227"/>
      <c r="AB46" s="228"/>
      <c r="AC46" s="223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4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65"/>
      <c r="BI46" s="65"/>
      <c r="BJ46" s="65"/>
      <c r="BK46" s="64"/>
    </row>
    <row r="47" spans="1:63" s="76" customFormat="1" ht="15" customHeight="1" x14ac:dyDescent="0.25">
      <c r="A47" s="73"/>
      <c r="B47" s="77"/>
      <c r="C47" s="223">
        <v>3</v>
      </c>
      <c r="D47" s="224"/>
      <c r="E47" s="223" t="s">
        <v>67</v>
      </c>
      <c r="F47" s="225"/>
      <c r="G47" s="225"/>
      <c r="H47" s="225"/>
      <c r="I47" s="225"/>
      <c r="J47" s="225"/>
      <c r="K47" s="224"/>
      <c r="L47" s="223" t="s">
        <v>68</v>
      </c>
      <c r="M47" s="225"/>
      <c r="N47" s="225"/>
      <c r="O47" s="225"/>
      <c r="P47" s="225"/>
      <c r="Q47" s="225"/>
      <c r="R47" s="224"/>
      <c r="S47" s="226" t="s">
        <v>84</v>
      </c>
      <c r="T47" s="227"/>
      <c r="U47" s="227"/>
      <c r="V47" s="227"/>
      <c r="W47" s="227"/>
      <c r="X47" s="227"/>
      <c r="Y47" s="227"/>
      <c r="Z47" s="227"/>
      <c r="AA47" s="227"/>
      <c r="AB47" s="228"/>
      <c r="AC47" s="223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5"/>
      <c r="AT47" s="225"/>
      <c r="AU47" s="224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65"/>
      <c r="BI47" s="65"/>
      <c r="BJ47" s="65"/>
      <c r="BK47" s="64"/>
    </row>
    <row r="48" spans="1:63" s="76" customFormat="1" ht="15" customHeight="1" x14ac:dyDescent="0.25">
      <c r="A48" s="73"/>
      <c r="B48" s="77"/>
      <c r="C48" s="223">
        <v>4</v>
      </c>
      <c r="D48" s="224"/>
      <c r="E48" s="223" t="s">
        <v>94</v>
      </c>
      <c r="F48" s="225"/>
      <c r="G48" s="225"/>
      <c r="H48" s="225"/>
      <c r="I48" s="225"/>
      <c r="J48" s="225"/>
      <c r="K48" s="224"/>
      <c r="L48" s="223" t="s">
        <v>106</v>
      </c>
      <c r="M48" s="225"/>
      <c r="N48" s="225"/>
      <c r="O48" s="225"/>
      <c r="P48" s="225"/>
      <c r="Q48" s="225"/>
      <c r="R48" s="224"/>
      <c r="S48" s="226" t="s">
        <v>85</v>
      </c>
      <c r="T48" s="227"/>
      <c r="U48" s="227"/>
      <c r="V48" s="227"/>
      <c r="W48" s="227"/>
      <c r="X48" s="227"/>
      <c r="Y48" s="227"/>
      <c r="Z48" s="227"/>
      <c r="AA48" s="227"/>
      <c r="AB48" s="228"/>
      <c r="AC48" s="223" t="s">
        <v>43</v>
      </c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4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65"/>
      <c r="BI48" s="65"/>
      <c r="BJ48" s="65"/>
      <c r="BK48" s="64"/>
    </row>
    <row r="49" spans="1:63" s="76" customFormat="1" ht="15" customHeight="1" x14ac:dyDescent="0.25">
      <c r="A49" s="73"/>
      <c r="B49" s="77"/>
      <c r="C49" s="223">
        <v>5</v>
      </c>
      <c r="D49" s="224"/>
      <c r="E49" s="223" t="s">
        <v>95</v>
      </c>
      <c r="F49" s="225"/>
      <c r="G49" s="225"/>
      <c r="H49" s="225"/>
      <c r="I49" s="225"/>
      <c r="J49" s="225"/>
      <c r="K49" s="224"/>
      <c r="L49" s="223" t="s">
        <v>21</v>
      </c>
      <c r="M49" s="225"/>
      <c r="N49" s="225"/>
      <c r="O49" s="225"/>
      <c r="P49" s="225"/>
      <c r="Q49" s="225"/>
      <c r="R49" s="224"/>
      <c r="S49" s="226" t="s">
        <v>86</v>
      </c>
      <c r="T49" s="227"/>
      <c r="U49" s="227"/>
      <c r="V49" s="227"/>
      <c r="W49" s="227"/>
      <c r="X49" s="227"/>
      <c r="Y49" s="227"/>
      <c r="Z49" s="227"/>
      <c r="AA49" s="227"/>
      <c r="AB49" s="228"/>
      <c r="AC49" s="223" t="s">
        <v>49</v>
      </c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5"/>
      <c r="AU49" s="224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65"/>
      <c r="BI49" s="65"/>
      <c r="BJ49" s="65"/>
      <c r="BK49" s="64"/>
    </row>
    <row r="50" spans="1:63" s="76" customFormat="1" ht="15" customHeight="1" x14ac:dyDescent="0.25">
      <c r="A50" s="73"/>
      <c r="B50" s="77"/>
      <c r="C50" s="223">
        <v>6</v>
      </c>
      <c r="D50" s="224"/>
      <c r="E50" s="223" t="s">
        <v>46</v>
      </c>
      <c r="F50" s="225"/>
      <c r="G50" s="225"/>
      <c r="H50" s="225"/>
      <c r="I50" s="225"/>
      <c r="J50" s="225"/>
      <c r="K50" s="224"/>
      <c r="L50" s="223" t="s">
        <v>21</v>
      </c>
      <c r="M50" s="225"/>
      <c r="N50" s="225"/>
      <c r="O50" s="225"/>
      <c r="P50" s="225"/>
      <c r="Q50" s="225"/>
      <c r="R50" s="224"/>
      <c r="S50" s="226" t="s">
        <v>87</v>
      </c>
      <c r="T50" s="227"/>
      <c r="U50" s="227"/>
      <c r="V50" s="227"/>
      <c r="W50" s="227"/>
      <c r="X50" s="227"/>
      <c r="Y50" s="227"/>
      <c r="Z50" s="227"/>
      <c r="AA50" s="227"/>
      <c r="AB50" s="228"/>
      <c r="AC50" s="223" t="s">
        <v>50</v>
      </c>
      <c r="AD50" s="225"/>
      <c r="AE50" s="225"/>
      <c r="AF50" s="225"/>
      <c r="AG50" s="225"/>
      <c r="AH50" s="225"/>
      <c r="AI50" s="225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5"/>
      <c r="AU50" s="224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65"/>
      <c r="BI50" s="65"/>
      <c r="BJ50" s="65"/>
      <c r="BK50" s="64"/>
    </row>
    <row r="51" spans="1:63" s="76" customFormat="1" ht="15" customHeight="1" x14ac:dyDescent="0.25">
      <c r="A51" s="73"/>
      <c r="B51" s="77"/>
      <c r="C51" s="223">
        <v>7</v>
      </c>
      <c r="D51" s="224"/>
      <c r="E51" s="223" t="s">
        <v>47</v>
      </c>
      <c r="F51" s="225"/>
      <c r="G51" s="225"/>
      <c r="H51" s="225"/>
      <c r="I51" s="225"/>
      <c r="J51" s="225"/>
      <c r="K51" s="224"/>
      <c r="L51" s="223" t="s">
        <v>21</v>
      </c>
      <c r="M51" s="225"/>
      <c r="N51" s="225"/>
      <c r="O51" s="225"/>
      <c r="P51" s="225"/>
      <c r="Q51" s="225"/>
      <c r="R51" s="224"/>
      <c r="S51" s="226" t="s">
        <v>88</v>
      </c>
      <c r="T51" s="227"/>
      <c r="U51" s="227"/>
      <c r="V51" s="227"/>
      <c r="W51" s="227"/>
      <c r="X51" s="227"/>
      <c r="Y51" s="227"/>
      <c r="Z51" s="227"/>
      <c r="AA51" s="227"/>
      <c r="AB51" s="228"/>
      <c r="AC51" s="223" t="s">
        <v>141</v>
      </c>
      <c r="AD51" s="225"/>
      <c r="AE51" s="225"/>
      <c r="AF51" s="225"/>
      <c r="AG51" s="225"/>
      <c r="AH51" s="225"/>
      <c r="AI51" s="225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5"/>
      <c r="AU51" s="224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65"/>
      <c r="BI51" s="65"/>
      <c r="BJ51" s="65"/>
      <c r="BK51" s="64"/>
    </row>
    <row r="52" spans="1:63" s="76" customFormat="1" ht="45.75" customHeight="1" x14ac:dyDescent="0.25">
      <c r="A52" s="73"/>
      <c r="B52" s="77"/>
      <c r="C52" s="223">
        <v>8</v>
      </c>
      <c r="D52" s="224"/>
      <c r="E52" s="223" t="s">
        <v>76</v>
      </c>
      <c r="F52" s="225"/>
      <c r="G52" s="225"/>
      <c r="H52" s="225"/>
      <c r="I52" s="225"/>
      <c r="J52" s="225"/>
      <c r="K52" s="224"/>
      <c r="L52" s="223" t="s">
        <v>21</v>
      </c>
      <c r="M52" s="225"/>
      <c r="N52" s="225"/>
      <c r="O52" s="225"/>
      <c r="P52" s="225"/>
      <c r="Q52" s="225"/>
      <c r="R52" s="224"/>
      <c r="S52" s="226" t="s">
        <v>89</v>
      </c>
      <c r="T52" s="227"/>
      <c r="U52" s="227"/>
      <c r="V52" s="227"/>
      <c r="W52" s="227"/>
      <c r="X52" s="227"/>
      <c r="Y52" s="227"/>
      <c r="Z52" s="227"/>
      <c r="AA52" s="227"/>
      <c r="AB52" s="228"/>
      <c r="AC52" s="223" t="s">
        <v>73</v>
      </c>
      <c r="AD52" s="225"/>
      <c r="AE52" s="225"/>
      <c r="AF52" s="225"/>
      <c r="AG52" s="225"/>
      <c r="AH52" s="225"/>
      <c r="AI52" s="225"/>
      <c r="AJ52" s="225"/>
      <c r="AK52" s="225"/>
      <c r="AL52" s="225"/>
      <c r="AM52" s="225"/>
      <c r="AN52" s="225"/>
      <c r="AO52" s="225"/>
      <c r="AP52" s="225"/>
      <c r="AQ52" s="225"/>
      <c r="AR52" s="225"/>
      <c r="AS52" s="225"/>
      <c r="AT52" s="225"/>
      <c r="AU52" s="224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65"/>
      <c r="BI52" s="65"/>
      <c r="BJ52" s="65"/>
      <c r="BK52" s="64"/>
    </row>
    <row r="53" spans="1:63" s="76" customFormat="1" ht="45.75" customHeight="1" x14ac:dyDescent="0.25">
      <c r="A53" s="73"/>
      <c r="B53" s="77"/>
      <c r="C53" s="223">
        <v>9</v>
      </c>
      <c r="D53" s="224"/>
      <c r="E53" s="223" t="s">
        <v>77</v>
      </c>
      <c r="F53" s="225"/>
      <c r="G53" s="225"/>
      <c r="H53" s="225"/>
      <c r="I53" s="225"/>
      <c r="J53" s="225"/>
      <c r="K53" s="224"/>
      <c r="L53" s="223" t="s">
        <v>21</v>
      </c>
      <c r="M53" s="225"/>
      <c r="N53" s="225"/>
      <c r="O53" s="225"/>
      <c r="P53" s="225"/>
      <c r="Q53" s="225"/>
      <c r="R53" s="224"/>
      <c r="S53" s="226" t="s">
        <v>90</v>
      </c>
      <c r="T53" s="227"/>
      <c r="U53" s="227"/>
      <c r="V53" s="227"/>
      <c r="W53" s="227"/>
      <c r="X53" s="227"/>
      <c r="Y53" s="227"/>
      <c r="Z53" s="227"/>
      <c r="AA53" s="227"/>
      <c r="AB53" s="228"/>
      <c r="AC53" s="223" t="s">
        <v>75</v>
      </c>
      <c r="AD53" s="225"/>
      <c r="AE53" s="225"/>
      <c r="AF53" s="225"/>
      <c r="AG53" s="225"/>
      <c r="AH53" s="225"/>
      <c r="AI53" s="225"/>
      <c r="AJ53" s="225"/>
      <c r="AK53" s="225"/>
      <c r="AL53" s="225"/>
      <c r="AM53" s="225"/>
      <c r="AN53" s="225"/>
      <c r="AO53" s="225"/>
      <c r="AP53" s="225"/>
      <c r="AQ53" s="225"/>
      <c r="AR53" s="225"/>
      <c r="AS53" s="225"/>
      <c r="AT53" s="225"/>
      <c r="AU53" s="224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65"/>
      <c r="BI53" s="65"/>
      <c r="BJ53" s="65"/>
      <c r="BK53" s="64"/>
    </row>
    <row r="54" spans="1:63" s="76" customFormat="1" ht="45.75" customHeight="1" x14ac:dyDescent="0.25">
      <c r="A54" s="73"/>
      <c r="B54" s="77"/>
      <c r="C54" s="223">
        <v>10</v>
      </c>
      <c r="D54" s="224"/>
      <c r="E54" s="223" t="s">
        <v>78</v>
      </c>
      <c r="F54" s="225"/>
      <c r="G54" s="225"/>
      <c r="H54" s="225"/>
      <c r="I54" s="225"/>
      <c r="J54" s="225"/>
      <c r="K54" s="224"/>
      <c r="L54" s="223" t="s">
        <v>21</v>
      </c>
      <c r="M54" s="225"/>
      <c r="N54" s="225"/>
      <c r="O54" s="225"/>
      <c r="P54" s="225"/>
      <c r="Q54" s="225"/>
      <c r="R54" s="224"/>
      <c r="S54" s="226" t="s">
        <v>91</v>
      </c>
      <c r="T54" s="227"/>
      <c r="U54" s="227"/>
      <c r="V54" s="227"/>
      <c r="W54" s="227"/>
      <c r="X54" s="227"/>
      <c r="Y54" s="227"/>
      <c r="Z54" s="227"/>
      <c r="AA54" s="227"/>
      <c r="AB54" s="228"/>
      <c r="AC54" s="223" t="s">
        <v>74</v>
      </c>
      <c r="AD54" s="225"/>
      <c r="AE54" s="225"/>
      <c r="AF54" s="225"/>
      <c r="AG54" s="225"/>
      <c r="AH54" s="225"/>
      <c r="AI54" s="225"/>
      <c r="AJ54" s="225"/>
      <c r="AK54" s="225"/>
      <c r="AL54" s="225"/>
      <c r="AM54" s="225"/>
      <c r="AN54" s="225"/>
      <c r="AO54" s="225"/>
      <c r="AP54" s="225"/>
      <c r="AQ54" s="225"/>
      <c r="AR54" s="225"/>
      <c r="AS54" s="225"/>
      <c r="AT54" s="225"/>
      <c r="AU54" s="224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65"/>
      <c r="BI54" s="65"/>
      <c r="BJ54" s="65"/>
      <c r="BK54" s="64"/>
    </row>
    <row r="55" spans="1:63" s="76" customFormat="1" ht="15" customHeight="1" x14ac:dyDescent="0.25">
      <c r="A55" s="73"/>
      <c r="B55" s="77"/>
      <c r="C55" s="223">
        <v>11</v>
      </c>
      <c r="D55" s="224"/>
      <c r="E55" s="223" t="s">
        <v>48</v>
      </c>
      <c r="F55" s="225"/>
      <c r="G55" s="225"/>
      <c r="H55" s="225"/>
      <c r="I55" s="225"/>
      <c r="J55" s="225"/>
      <c r="K55" s="224"/>
      <c r="L55" s="223" t="s">
        <v>21</v>
      </c>
      <c r="M55" s="225"/>
      <c r="N55" s="225"/>
      <c r="O55" s="225"/>
      <c r="P55" s="225"/>
      <c r="Q55" s="225"/>
      <c r="R55" s="224"/>
      <c r="S55" s="226" t="s">
        <v>92</v>
      </c>
      <c r="T55" s="227"/>
      <c r="U55" s="227"/>
      <c r="V55" s="227"/>
      <c r="W55" s="227"/>
      <c r="X55" s="227"/>
      <c r="Y55" s="227"/>
      <c r="Z55" s="227"/>
      <c r="AA55" s="227"/>
      <c r="AB55" s="228"/>
      <c r="AC55" s="223" t="s">
        <v>51</v>
      </c>
      <c r="AD55" s="225"/>
      <c r="AE55" s="225"/>
      <c r="AF55" s="225"/>
      <c r="AG55" s="225"/>
      <c r="AH55" s="225"/>
      <c r="AI55" s="225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5"/>
      <c r="AU55" s="224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65"/>
      <c r="BI55" s="65"/>
      <c r="BJ55" s="65"/>
      <c r="BK55" s="64"/>
    </row>
    <row r="56" spans="1:63" s="45" customFormat="1" ht="15" customHeight="1" x14ac:dyDescent="0.25">
      <c r="A56" s="41"/>
      <c r="B56" s="42"/>
      <c r="C56" s="223">
        <v>12</v>
      </c>
      <c r="D56" s="224"/>
      <c r="E56" s="223" t="s">
        <v>62</v>
      </c>
      <c r="F56" s="225"/>
      <c r="G56" s="225"/>
      <c r="H56" s="225"/>
      <c r="I56" s="225"/>
      <c r="J56" s="225"/>
      <c r="K56" s="224"/>
      <c r="L56" s="223" t="s">
        <v>21</v>
      </c>
      <c r="M56" s="225"/>
      <c r="N56" s="225"/>
      <c r="O56" s="225"/>
      <c r="P56" s="225"/>
      <c r="Q56" s="225"/>
      <c r="R56" s="224"/>
      <c r="S56" s="226" t="s">
        <v>93</v>
      </c>
      <c r="T56" s="227"/>
      <c r="U56" s="227"/>
      <c r="V56" s="227"/>
      <c r="W56" s="227"/>
      <c r="X56" s="227"/>
      <c r="Y56" s="227"/>
      <c r="Z56" s="227"/>
      <c r="AA56" s="227"/>
      <c r="AB56" s="228"/>
      <c r="AC56" s="223" t="s">
        <v>63</v>
      </c>
      <c r="AD56" s="225"/>
      <c r="AE56" s="225"/>
      <c r="AF56" s="225"/>
      <c r="AG56" s="225"/>
      <c r="AH56" s="225"/>
      <c r="AI56" s="225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5"/>
      <c r="AU56" s="224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3"/>
      <c r="BI56" s="43"/>
      <c r="BJ56" s="43"/>
      <c r="BK56" s="44"/>
    </row>
    <row r="57" spans="1:63" s="76" customFormat="1" ht="15" customHeight="1" x14ac:dyDescent="0.25">
      <c r="A57" s="73"/>
      <c r="B57" s="77"/>
      <c r="C57" s="223">
        <v>13</v>
      </c>
      <c r="D57" s="224"/>
      <c r="E57" s="223" t="s">
        <v>70</v>
      </c>
      <c r="F57" s="225"/>
      <c r="G57" s="225"/>
      <c r="H57" s="225"/>
      <c r="I57" s="225"/>
      <c r="J57" s="225"/>
      <c r="K57" s="224"/>
      <c r="L57" s="223" t="s">
        <v>106</v>
      </c>
      <c r="M57" s="225"/>
      <c r="N57" s="225"/>
      <c r="O57" s="225"/>
      <c r="P57" s="225"/>
      <c r="Q57" s="225"/>
      <c r="R57" s="224"/>
      <c r="S57" s="226" t="s">
        <v>97</v>
      </c>
      <c r="T57" s="227"/>
      <c r="U57" s="227"/>
      <c r="V57" s="227"/>
      <c r="W57" s="227"/>
      <c r="X57" s="227"/>
      <c r="Y57" s="227"/>
      <c r="Z57" s="227"/>
      <c r="AA57" s="227"/>
      <c r="AB57" s="228"/>
      <c r="AC57" s="223" t="s">
        <v>71</v>
      </c>
      <c r="AD57" s="225"/>
      <c r="AE57" s="225"/>
      <c r="AF57" s="225"/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5"/>
      <c r="AU57" s="224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65"/>
      <c r="BI57" s="65"/>
      <c r="BJ57" s="65"/>
      <c r="BK57" s="64"/>
    </row>
    <row r="58" spans="1:63" s="76" customFormat="1" ht="15" customHeight="1" x14ac:dyDescent="0.25">
      <c r="A58" s="73"/>
      <c r="B58" s="77"/>
      <c r="C58" s="278">
        <v>14</v>
      </c>
      <c r="D58" s="279"/>
      <c r="E58" s="278" t="s">
        <v>142</v>
      </c>
      <c r="F58" s="280"/>
      <c r="G58" s="280"/>
      <c r="H58" s="280"/>
      <c r="I58" s="280"/>
      <c r="J58" s="280"/>
      <c r="K58" s="279"/>
      <c r="L58" s="278" t="s">
        <v>143</v>
      </c>
      <c r="M58" s="280"/>
      <c r="N58" s="280"/>
      <c r="O58" s="280"/>
      <c r="P58" s="280"/>
      <c r="Q58" s="280"/>
      <c r="R58" s="279"/>
      <c r="S58" s="278" t="s">
        <v>22</v>
      </c>
      <c r="T58" s="280"/>
      <c r="U58" s="280"/>
      <c r="V58" s="280"/>
      <c r="W58" s="280"/>
      <c r="X58" s="280"/>
      <c r="Y58" s="280"/>
      <c r="Z58" s="280"/>
      <c r="AA58" s="280"/>
      <c r="AB58" s="279"/>
      <c r="AC58" s="278" t="s">
        <v>144</v>
      </c>
      <c r="AD58" s="280"/>
      <c r="AE58" s="280"/>
      <c r="AF58" s="280"/>
      <c r="AG58" s="280"/>
      <c r="AH58" s="280"/>
      <c r="AI58" s="280"/>
      <c r="AJ58" s="280"/>
      <c r="AK58" s="280"/>
      <c r="AL58" s="280"/>
      <c r="AM58" s="280"/>
      <c r="AN58" s="280"/>
      <c r="AO58" s="280"/>
      <c r="AP58" s="280"/>
      <c r="AQ58" s="280"/>
      <c r="AR58" s="280"/>
      <c r="AS58" s="280"/>
      <c r="AT58" s="280"/>
      <c r="AU58" s="279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65"/>
      <c r="BI58" s="65"/>
      <c r="BJ58" s="65"/>
      <c r="BK58" s="64"/>
    </row>
    <row r="59" spans="1:63" s="76" customFormat="1" ht="15" customHeight="1" x14ac:dyDescent="0.25">
      <c r="A59" s="73"/>
      <c r="B59" s="77"/>
      <c r="C59" s="278">
        <v>15</v>
      </c>
      <c r="D59" s="279"/>
      <c r="E59" s="281" t="s">
        <v>145</v>
      </c>
      <c r="F59" s="282"/>
      <c r="G59" s="282"/>
      <c r="H59" s="282"/>
      <c r="I59" s="282"/>
      <c r="J59" s="282"/>
      <c r="K59" s="283"/>
      <c r="L59" s="278" t="s">
        <v>146</v>
      </c>
      <c r="M59" s="280"/>
      <c r="N59" s="280"/>
      <c r="O59" s="280"/>
      <c r="P59" s="280"/>
      <c r="Q59" s="280"/>
      <c r="R59" s="279"/>
      <c r="S59" s="278" t="s">
        <v>147</v>
      </c>
      <c r="T59" s="280"/>
      <c r="U59" s="280"/>
      <c r="V59" s="280"/>
      <c r="W59" s="280"/>
      <c r="X59" s="280"/>
      <c r="Y59" s="280"/>
      <c r="Z59" s="280"/>
      <c r="AA59" s="280"/>
      <c r="AB59" s="279"/>
      <c r="AC59" s="278" t="s">
        <v>148</v>
      </c>
      <c r="AD59" s="280"/>
      <c r="AE59" s="280"/>
      <c r="AF59" s="280"/>
      <c r="AG59" s="280"/>
      <c r="AH59" s="280"/>
      <c r="AI59" s="280"/>
      <c r="AJ59" s="280"/>
      <c r="AK59" s="280"/>
      <c r="AL59" s="280"/>
      <c r="AM59" s="280"/>
      <c r="AN59" s="280"/>
      <c r="AO59" s="280"/>
      <c r="AP59" s="280"/>
      <c r="AQ59" s="280"/>
      <c r="AR59" s="280"/>
      <c r="AS59" s="280"/>
      <c r="AT59" s="280"/>
      <c r="AU59" s="279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65"/>
      <c r="BI59" s="65"/>
      <c r="BJ59" s="65"/>
      <c r="BK59" s="64"/>
    </row>
    <row r="60" spans="1:63" s="76" customFormat="1" ht="15" customHeight="1" x14ac:dyDescent="0.25">
      <c r="A60" s="73"/>
      <c r="B60" s="77"/>
      <c r="C60" s="278">
        <v>16</v>
      </c>
      <c r="D60" s="279"/>
      <c r="E60" s="281" t="s">
        <v>149</v>
      </c>
      <c r="F60" s="282"/>
      <c r="G60" s="282"/>
      <c r="H60" s="282"/>
      <c r="I60" s="282"/>
      <c r="J60" s="282"/>
      <c r="K60" s="283"/>
      <c r="L60" s="278" t="s">
        <v>150</v>
      </c>
      <c r="M60" s="280"/>
      <c r="N60" s="280"/>
      <c r="O60" s="280"/>
      <c r="P60" s="280"/>
      <c r="Q60" s="280"/>
      <c r="R60" s="279"/>
      <c r="S60" s="278" t="s">
        <v>151</v>
      </c>
      <c r="T60" s="280"/>
      <c r="U60" s="280"/>
      <c r="V60" s="280"/>
      <c r="W60" s="280"/>
      <c r="X60" s="280"/>
      <c r="Y60" s="280"/>
      <c r="Z60" s="280"/>
      <c r="AA60" s="280"/>
      <c r="AB60" s="279"/>
      <c r="AC60" s="278" t="s">
        <v>152</v>
      </c>
      <c r="AD60" s="280"/>
      <c r="AE60" s="280"/>
      <c r="AF60" s="280"/>
      <c r="AG60" s="280"/>
      <c r="AH60" s="280"/>
      <c r="AI60" s="280"/>
      <c r="AJ60" s="280"/>
      <c r="AK60" s="280"/>
      <c r="AL60" s="280"/>
      <c r="AM60" s="280"/>
      <c r="AN60" s="280"/>
      <c r="AO60" s="280"/>
      <c r="AP60" s="280"/>
      <c r="AQ60" s="280"/>
      <c r="AR60" s="280"/>
      <c r="AS60" s="280"/>
      <c r="AT60" s="280"/>
      <c r="AU60" s="279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65"/>
      <c r="BI60" s="65"/>
      <c r="BJ60" s="65"/>
      <c r="BK60" s="64"/>
    </row>
    <row r="61" spans="1:63" s="76" customFormat="1" ht="15" customHeight="1" x14ac:dyDescent="0.25">
      <c r="A61" s="73"/>
      <c r="B61" s="77"/>
      <c r="C61" s="278">
        <v>17</v>
      </c>
      <c r="D61" s="279"/>
      <c r="E61" s="281" t="s">
        <v>153</v>
      </c>
      <c r="F61" s="282"/>
      <c r="G61" s="282"/>
      <c r="H61" s="282"/>
      <c r="I61" s="282"/>
      <c r="J61" s="282"/>
      <c r="K61" s="283"/>
      <c r="L61" s="278" t="s">
        <v>150</v>
      </c>
      <c r="M61" s="280"/>
      <c r="N61" s="280"/>
      <c r="O61" s="280"/>
      <c r="P61" s="280"/>
      <c r="Q61" s="280"/>
      <c r="R61" s="279"/>
      <c r="S61" s="278" t="s">
        <v>154</v>
      </c>
      <c r="T61" s="280"/>
      <c r="U61" s="280"/>
      <c r="V61" s="280"/>
      <c r="W61" s="280"/>
      <c r="X61" s="280"/>
      <c r="Y61" s="280"/>
      <c r="Z61" s="280"/>
      <c r="AA61" s="280"/>
      <c r="AB61" s="279"/>
      <c r="AC61" s="278" t="s">
        <v>155</v>
      </c>
      <c r="AD61" s="280"/>
      <c r="AE61" s="280"/>
      <c r="AF61" s="280"/>
      <c r="AG61" s="280"/>
      <c r="AH61" s="280"/>
      <c r="AI61" s="280"/>
      <c r="AJ61" s="280"/>
      <c r="AK61" s="280"/>
      <c r="AL61" s="280"/>
      <c r="AM61" s="280"/>
      <c r="AN61" s="280"/>
      <c r="AO61" s="280"/>
      <c r="AP61" s="280"/>
      <c r="AQ61" s="280"/>
      <c r="AR61" s="280"/>
      <c r="AS61" s="280"/>
      <c r="AT61" s="280"/>
      <c r="AU61" s="279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65"/>
      <c r="BI61" s="65"/>
      <c r="BJ61" s="65"/>
      <c r="BK61" s="64"/>
    </row>
    <row r="62" spans="1:63" s="76" customFormat="1" ht="15" customHeight="1" x14ac:dyDescent="0.25">
      <c r="A62" s="73"/>
      <c r="B62" s="77"/>
      <c r="C62" s="278">
        <v>18</v>
      </c>
      <c r="D62" s="279"/>
      <c r="E62" s="278" t="s">
        <v>156</v>
      </c>
      <c r="F62" s="280"/>
      <c r="G62" s="280"/>
      <c r="H62" s="280"/>
      <c r="I62" s="280"/>
      <c r="J62" s="280"/>
      <c r="K62" s="279"/>
      <c r="L62" s="278" t="s">
        <v>143</v>
      </c>
      <c r="M62" s="280"/>
      <c r="N62" s="280"/>
      <c r="O62" s="280"/>
      <c r="P62" s="280"/>
      <c r="Q62" s="280"/>
      <c r="R62" s="279"/>
      <c r="S62" s="278" t="s">
        <v>22</v>
      </c>
      <c r="T62" s="280"/>
      <c r="U62" s="280"/>
      <c r="V62" s="280"/>
      <c r="W62" s="280"/>
      <c r="X62" s="280"/>
      <c r="Y62" s="280"/>
      <c r="Z62" s="280"/>
      <c r="AA62" s="280"/>
      <c r="AB62" s="279"/>
      <c r="AC62" s="278" t="s">
        <v>157</v>
      </c>
      <c r="AD62" s="280"/>
      <c r="AE62" s="280"/>
      <c r="AF62" s="280"/>
      <c r="AG62" s="280"/>
      <c r="AH62" s="280"/>
      <c r="AI62" s="280"/>
      <c r="AJ62" s="280"/>
      <c r="AK62" s="280"/>
      <c r="AL62" s="280"/>
      <c r="AM62" s="280"/>
      <c r="AN62" s="280"/>
      <c r="AO62" s="280"/>
      <c r="AP62" s="280"/>
      <c r="AQ62" s="280"/>
      <c r="AR62" s="280"/>
      <c r="AS62" s="280"/>
      <c r="AT62" s="280"/>
      <c r="AU62" s="279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65"/>
      <c r="BI62" s="65"/>
      <c r="BJ62" s="65"/>
      <c r="BK62" s="64"/>
    </row>
    <row r="63" spans="1:63" s="76" customFormat="1" ht="15" customHeight="1" x14ac:dyDescent="0.25">
      <c r="A63" s="73"/>
      <c r="B63" s="77"/>
      <c r="C63" s="278">
        <v>19</v>
      </c>
      <c r="D63" s="279"/>
      <c r="E63" s="281" t="s">
        <v>145</v>
      </c>
      <c r="F63" s="282"/>
      <c r="G63" s="282"/>
      <c r="H63" s="282"/>
      <c r="I63" s="282"/>
      <c r="J63" s="282"/>
      <c r="K63" s="283"/>
      <c r="L63" s="278" t="s">
        <v>146</v>
      </c>
      <c r="M63" s="280"/>
      <c r="N63" s="280"/>
      <c r="O63" s="280"/>
      <c r="P63" s="280"/>
      <c r="Q63" s="280"/>
      <c r="R63" s="279"/>
      <c r="S63" s="278" t="s">
        <v>158</v>
      </c>
      <c r="T63" s="280"/>
      <c r="U63" s="280"/>
      <c r="V63" s="280"/>
      <c r="W63" s="280"/>
      <c r="X63" s="280"/>
      <c r="Y63" s="280"/>
      <c r="Z63" s="280"/>
      <c r="AA63" s="280"/>
      <c r="AB63" s="279"/>
      <c r="AC63" s="278" t="s">
        <v>148</v>
      </c>
      <c r="AD63" s="280"/>
      <c r="AE63" s="280"/>
      <c r="AF63" s="280"/>
      <c r="AG63" s="280"/>
      <c r="AH63" s="280"/>
      <c r="AI63" s="280"/>
      <c r="AJ63" s="280"/>
      <c r="AK63" s="280"/>
      <c r="AL63" s="280"/>
      <c r="AM63" s="280"/>
      <c r="AN63" s="280"/>
      <c r="AO63" s="280"/>
      <c r="AP63" s="280"/>
      <c r="AQ63" s="280"/>
      <c r="AR63" s="280"/>
      <c r="AS63" s="280"/>
      <c r="AT63" s="280"/>
      <c r="AU63" s="279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65"/>
      <c r="BI63" s="65"/>
      <c r="BJ63" s="65"/>
      <c r="BK63" s="64"/>
    </row>
    <row r="64" spans="1:63" s="76" customFormat="1" ht="15" customHeight="1" x14ac:dyDescent="0.25">
      <c r="A64" s="73"/>
      <c r="B64" s="77"/>
      <c r="C64" s="278">
        <v>20</v>
      </c>
      <c r="D64" s="279"/>
      <c r="E64" s="281" t="s">
        <v>149</v>
      </c>
      <c r="F64" s="282"/>
      <c r="G64" s="282"/>
      <c r="H64" s="282"/>
      <c r="I64" s="282"/>
      <c r="J64" s="282"/>
      <c r="K64" s="283"/>
      <c r="L64" s="278" t="s">
        <v>150</v>
      </c>
      <c r="M64" s="280"/>
      <c r="N64" s="280"/>
      <c r="O64" s="280"/>
      <c r="P64" s="280"/>
      <c r="Q64" s="280"/>
      <c r="R64" s="279"/>
      <c r="S64" s="278" t="s">
        <v>159</v>
      </c>
      <c r="T64" s="280"/>
      <c r="U64" s="280"/>
      <c r="V64" s="280"/>
      <c r="W64" s="280"/>
      <c r="X64" s="280"/>
      <c r="Y64" s="280"/>
      <c r="Z64" s="280"/>
      <c r="AA64" s="280"/>
      <c r="AB64" s="279"/>
      <c r="AC64" s="278" t="s">
        <v>152</v>
      </c>
      <c r="AD64" s="280"/>
      <c r="AE64" s="280"/>
      <c r="AF64" s="280"/>
      <c r="AG64" s="280"/>
      <c r="AH64" s="280"/>
      <c r="AI64" s="280"/>
      <c r="AJ64" s="280"/>
      <c r="AK64" s="280"/>
      <c r="AL64" s="280"/>
      <c r="AM64" s="280"/>
      <c r="AN64" s="280"/>
      <c r="AO64" s="280"/>
      <c r="AP64" s="280"/>
      <c r="AQ64" s="280"/>
      <c r="AR64" s="280"/>
      <c r="AS64" s="280"/>
      <c r="AT64" s="280"/>
      <c r="AU64" s="279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65"/>
      <c r="BI64" s="65"/>
      <c r="BJ64" s="65"/>
      <c r="BK64" s="64"/>
    </row>
    <row r="65" spans="1:63" s="76" customFormat="1" ht="15" customHeight="1" x14ac:dyDescent="0.25">
      <c r="A65" s="73"/>
      <c r="B65" s="77"/>
      <c r="C65" s="278">
        <v>21</v>
      </c>
      <c r="D65" s="279"/>
      <c r="E65" s="281" t="s">
        <v>153</v>
      </c>
      <c r="F65" s="282"/>
      <c r="G65" s="282"/>
      <c r="H65" s="282"/>
      <c r="I65" s="282"/>
      <c r="J65" s="282"/>
      <c r="K65" s="283"/>
      <c r="L65" s="278" t="s">
        <v>150</v>
      </c>
      <c r="M65" s="280"/>
      <c r="N65" s="280"/>
      <c r="O65" s="280"/>
      <c r="P65" s="280"/>
      <c r="Q65" s="280"/>
      <c r="R65" s="279"/>
      <c r="S65" s="278" t="s">
        <v>160</v>
      </c>
      <c r="T65" s="280"/>
      <c r="U65" s="280"/>
      <c r="V65" s="280"/>
      <c r="W65" s="280"/>
      <c r="X65" s="280"/>
      <c r="Y65" s="280"/>
      <c r="Z65" s="280"/>
      <c r="AA65" s="280"/>
      <c r="AB65" s="279"/>
      <c r="AC65" s="278" t="s">
        <v>155</v>
      </c>
      <c r="AD65" s="280"/>
      <c r="AE65" s="280"/>
      <c r="AF65" s="280"/>
      <c r="AG65" s="280"/>
      <c r="AH65" s="280"/>
      <c r="AI65" s="280"/>
      <c r="AJ65" s="280"/>
      <c r="AK65" s="280"/>
      <c r="AL65" s="280"/>
      <c r="AM65" s="280"/>
      <c r="AN65" s="280"/>
      <c r="AO65" s="280"/>
      <c r="AP65" s="280"/>
      <c r="AQ65" s="280"/>
      <c r="AR65" s="280"/>
      <c r="AS65" s="280"/>
      <c r="AT65" s="280"/>
      <c r="AU65" s="279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65"/>
      <c r="BI65" s="65"/>
      <c r="BJ65" s="65"/>
      <c r="BK65" s="64"/>
    </row>
    <row r="66" spans="1:63" s="76" customFormat="1" ht="15" customHeight="1" x14ac:dyDescent="0.25">
      <c r="A66" s="73"/>
      <c r="B66" s="77"/>
      <c r="C66" s="278">
        <v>22</v>
      </c>
      <c r="D66" s="279"/>
      <c r="E66" s="278" t="s">
        <v>161</v>
      </c>
      <c r="F66" s="280"/>
      <c r="G66" s="280"/>
      <c r="H66" s="280"/>
      <c r="I66" s="280"/>
      <c r="J66" s="280"/>
      <c r="K66" s="279"/>
      <c r="L66" s="278" t="s">
        <v>143</v>
      </c>
      <c r="M66" s="280"/>
      <c r="N66" s="280"/>
      <c r="O66" s="280"/>
      <c r="P66" s="280"/>
      <c r="Q66" s="280"/>
      <c r="R66" s="279"/>
      <c r="S66" s="278" t="s">
        <v>22</v>
      </c>
      <c r="T66" s="280"/>
      <c r="U66" s="280"/>
      <c r="V66" s="280"/>
      <c r="W66" s="280"/>
      <c r="X66" s="280"/>
      <c r="Y66" s="280"/>
      <c r="Z66" s="280"/>
      <c r="AA66" s="280"/>
      <c r="AB66" s="279"/>
      <c r="AC66" s="278" t="s">
        <v>162</v>
      </c>
      <c r="AD66" s="280"/>
      <c r="AE66" s="280"/>
      <c r="AF66" s="280"/>
      <c r="AG66" s="280"/>
      <c r="AH66" s="280"/>
      <c r="AI66" s="280"/>
      <c r="AJ66" s="280"/>
      <c r="AK66" s="280"/>
      <c r="AL66" s="280"/>
      <c r="AM66" s="280"/>
      <c r="AN66" s="280"/>
      <c r="AO66" s="280"/>
      <c r="AP66" s="280"/>
      <c r="AQ66" s="280"/>
      <c r="AR66" s="280"/>
      <c r="AS66" s="280"/>
      <c r="AT66" s="280"/>
      <c r="AU66" s="279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65"/>
      <c r="BI66" s="65"/>
      <c r="BJ66" s="65"/>
      <c r="BK66" s="64"/>
    </row>
    <row r="67" spans="1:63" s="76" customFormat="1" ht="15" customHeight="1" x14ac:dyDescent="0.25">
      <c r="A67" s="73"/>
      <c r="B67" s="77"/>
      <c r="C67" s="278">
        <v>23</v>
      </c>
      <c r="D67" s="279"/>
      <c r="E67" s="281" t="s">
        <v>145</v>
      </c>
      <c r="F67" s="282"/>
      <c r="G67" s="282"/>
      <c r="H67" s="282"/>
      <c r="I67" s="282"/>
      <c r="J67" s="282"/>
      <c r="K67" s="283"/>
      <c r="L67" s="278" t="s">
        <v>146</v>
      </c>
      <c r="M67" s="280"/>
      <c r="N67" s="280"/>
      <c r="O67" s="280"/>
      <c r="P67" s="280"/>
      <c r="Q67" s="280"/>
      <c r="R67" s="279"/>
      <c r="S67" s="278" t="s">
        <v>163</v>
      </c>
      <c r="T67" s="280"/>
      <c r="U67" s="280"/>
      <c r="V67" s="280"/>
      <c r="W67" s="280"/>
      <c r="X67" s="280"/>
      <c r="Y67" s="280"/>
      <c r="Z67" s="280"/>
      <c r="AA67" s="280"/>
      <c r="AB67" s="279"/>
      <c r="AC67" s="278" t="s">
        <v>148</v>
      </c>
      <c r="AD67" s="280"/>
      <c r="AE67" s="280"/>
      <c r="AF67" s="280"/>
      <c r="AG67" s="280"/>
      <c r="AH67" s="280"/>
      <c r="AI67" s="280"/>
      <c r="AJ67" s="280"/>
      <c r="AK67" s="280"/>
      <c r="AL67" s="280"/>
      <c r="AM67" s="280"/>
      <c r="AN67" s="280"/>
      <c r="AO67" s="280"/>
      <c r="AP67" s="280"/>
      <c r="AQ67" s="280"/>
      <c r="AR67" s="280"/>
      <c r="AS67" s="280"/>
      <c r="AT67" s="280"/>
      <c r="AU67" s="279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65"/>
      <c r="BI67" s="65"/>
      <c r="BJ67" s="65"/>
      <c r="BK67" s="64"/>
    </row>
    <row r="68" spans="1:63" s="76" customFormat="1" ht="15" customHeight="1" x14ac:dyDescent="0.25">
      <c r="A68" s="73"/>
      <c r="B68" s="77"/>
      <c r="C68" s="278">
        <v>24</v>
      </c>
      <c r="D68" s="279"/>
      <c r="E68" s="281" t="s">
        <v>149</v>
      </c>
      <c r="F68" s="282"/>
      <c r="G68" s="282"/>
      <c r="H68" s="282"/>
      <c r="I68" s="282"/>
      <c r="J68" s="282"/>
      <c r="K68" s="283"/>
      <c r="L68" s="278" t="s">
        <v>150</v>
      </c>
      <c r="M68" s="280"/>
      <c r="N68" s="280"/>
      <c r="O68" s="280"/>
      <c r="P68" s="280"/>
      <c r="Q68" s="280"/>
      <c r="R68" s="279"/>
      <c r="S68" s="278" t="s">
        <v>164</v>
      </c>
      <c r="T68" s="280"/>
      <c r="U68" s="280"/>
      <c r="V68" s="280"/>
      <c r="W68" s="280"/>
      <c r="X68" s="280"/>
      <c r="Y68" s="280"/>
      <c r="Z68" s="280"/>
      <c r="AA68" s="280"/>
      <c r="AB68" s="279"/>
      <c r="AC68" s="278" t="s">
        <v>152</v>
      </c>
      <c r="AD68" s="280"/>
      <c r="AE68" s="280"/>
      <c r="AF68" s="280"/>
      <c r="AG68" s="280"/>
      <c r="AH68" s="280"/>
      <c r="AI68" s="280"/>
      <c r="AJ68" s="280"/>
      <c r="AK68" s="280"/>
      <c r="AL68" s="280"/>
      <c r="AM68" s="280"/>
      <c r="AN68" s="280"/>
      <c r="AO68" s="280"/>
      <c r="AP68" s="280"/>
      <c r="AQ68" s="280"/>
      <c r="AR68" s="280"/>
      <c r="AS68" s="280"/>
      <c r="AT68" s="280"/>
      <c r="AU68" s="279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65"/>
      <c r="BI68" s="65"/>
      <c r="BJ68" s="65"/>
      <c r="BK68" s="64"/>
    </row>
    <row r="69" spans="1:63" s="76" customFormat="1" ht="15" customHeight="1" x14ac:dyDescent="0.25">
      <c r="A69" s="73"/>
      <c r="B69" s="77"/>
      <c r="C69" s="278">
        <v>25</v>
      </c>
      <c r="D69" s="279"/>
      <c r="E69" s="281" t="s">
        <v>153</v>
      </c>
      <c r="F69" s="282"/>
      <c r="G69" s="282"/>
      <c r="H69" s="282"/>
      <c r="I69" s="282"/>
      <c r="J69" s="282"/>
      <c r="K69" s="283"/>
      <c r="L69" s="278" t="s">
        <v>150</v>
      </c>
      <c r="M69" s="280"/>
      <c r="N69" s="280"/>
      <c r="O69" s="280"/>
      <c r="P69" s="280"/>
      <c r="Q69" s="280"/>
      <c r="R69" s="279"/>
      <c r="S69" s="278" t="s">
        <v>165</v>
      </c>
      <c r="T69" s="280"/>
      <c r="U69" s="280"/>
      <c r="V69" s="280"/>
      <c r="W69" s="280"/>
      <c r="X69" s="280"/>
      <c r="Y69" s="280"/>
      <c r="Z69" s="280"/>
      <c r="AA69" s="280"/>
      <c r="AB69" s="279"/>
      <c r="AC69" s="278" t="s">
        <v>155</v>
      </c>
      <c r="AD69" s="280"/>
      <c r="AE69" s="280"/>
      <c r="AF69" s="280"/>
      <c r="AG69" s="280"/>
      <c r="AH69" s="280"/>
      <c r="AI69" s="280"/>
      <c r="AJ69" s="280"/>
      <c r="AK69" s="280"/>
      <c r="AL69" s="280"/>
      <c r="AM69" s="280"/>
      <c r="AN69" s="280"/>
      <c r="AO69" s="280"/>
      <c r="AP69" s="280"/>
      <c r="AQ69" s="280"/>
      <c r="AR69" s="280"/>
      <c r="AS69" s="280"/>
      <c r="AT69" s="280"/>
      <c r="AU69" s="279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65"/>
      <c r="BI69" s="65"/>
      <c r="BJ69" s="65"/>
      <c r="BK69" s="64"/>
    </row>
    <row r="70" spans="1:63" s="76" customFormat="1" ht="15" customHeight="1" x14ac:dyDescent="0.25">
      <c r="A70" s="73"/>
      <c r="B70" s="77"/>
      <c r="C70" s="278">
        <v>26</v>
      </c>
      <c r="D70" s="279"/>
      <c r="E70" s="278" t="s">
        <v>166</v>
      </c>
      <c r="F70" s="280"/>
      <c r="G70" s="280"/>
      <c r="H70" s="280"/>
      <c r="I70" s="280"/>
      <c r="J70" s="280"/>
      <c r="K70" s="279"/>
      <c r="L70" s="278" t="s">
        <v>143</v>
      </c>
      <c r="M70" s="280"/>
      <c r="N70" s="280"/>
      <c r="O70" s="280"/>
      <c r="P70" s="280"/>
      <c r="Q70" s="280"/>
      <c r="R70" s="279"/>
      <c r="S70" s="278" t="s">
        <v>22</v>
      </c>
      <c r="T70" s="280"/>
      <c r="U70" s="280"/>
      <c r="V70" s="280"/>
      <c r="W70" s="280"/>
      <c r="X70" s="280"/>
      <c r="Y70" s="280"/>
      <c r="Z70" s="280"/>
      <c r="AA70" s="280"/>
      <c r="AB70" s="279"/>
      <c r="AC70" s="278" t="s">
        <v>167</v>
      </c>
      <c r="AD70" s="280"/>
      <c r="AE70" s="280"/>
      <c r="AF70" s="280"/>
      <c r="AG70" s="280"/>
      <c r="AH70" s="280"/>
      <c r="AI70" s="280"/>
      <c r="AJ70" s="280"/>
      <c r="AK70" s="280"/>
      <c r="AL70" s="280"/>
      <c r="AM70" s="280"/>
      <c r="AN70" s="280"/>
      <c r="AO70" s="280"/>
      <c r="AP70" s="280"/>
      <c r="AQ70" s="280"/>
      <c r="AR70" s="280"/>
      <c r="AS70" s="280"/>
      <c r="AT70" s="280"/>
      <c r="AU70" s="279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65"/>
      <c r="BI70" s="65"/>
      <c r="BJ70" s="65"/>
      <c r="BK70" s="64"/>
    </row>
    <row r="71" spans="1:63" s="76" customFormat="1" ht="15" customHeight="1" x14ac:dyDescent="0.25">
      <c r="A71" s="73"/>
      <c r="B71" s="77"/>
      <c r="C71" s="278">
        <v>27</v>
      </c>
      <c r="D71" s="279"/>
      <c r="E71" s="281" t="s">
        <v>145</v>
      </c>
      <c r="F71" s="282"/>
      <c r="G71" s="282"/>
      <c r="H71" s="282"/>
      <c r="I71" s="282"/>
      <c r="J71" s="282"/>
      <c r="K71" s="283"/>
      <c r="L71" s="278" t="s">
        <v>146</v>
      </c>
      <c r="M71" s="280"/>
      <c r="N71" s="280"/>
      <c r="O71" s="280"/>
      <c r="P71" s="280"/>
      <c r="Q71" s="280"/>
      <c r="R71" s="279"/>
      <c r="S71" s="278" t="s">
        <v>168</v>
      </c>
      <c r="T71" s="280"/>
      <c r="U71" s="280"/>
      <c r="V71" s="280"/>
      <c r="W71" s="280"/>
      <c r="X71" s="280"/>
      <c r="Y71" s="280"/>
      <c r="Z71" s="280"/>
      <c r="AA71" s="280"/>
      <c r="AB71" s="279"/>
      <c r="AC71" s="278" t="s">
        <v>148</v>
      </c>
      <c r="AD71" s="280"/>
      <c r="AE71" s="280"/>
      <c r="AF71" s="280"/>
      <c r="AG71" s="280"/>
      <c r="AH71" s="280"/>
      <c r="AI71" s="280"/>
      <c r="AJ71" s="280"/>
      <c r="AK71" s="280"/>
      <c r="AL71" s="280"/>
      <c r="AM71" s="280"/>
      <c r="AN71" s="280"/>
      <c r="AO71" s="280"/>
      <c r="AP71" s="280"/>
      <c r="AQ71" s="280"/>
      <c r="AR71" s="280"/>
      <c r="AS71" s="280"/>
      <c r="AT71" s="280"/>
      <c r="AU71" s="279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65"/>
      <c r="BI71" s="65"/>
      <c r="BJ71" s="65"/>
      <c r="BK71" s="64"/>
    </row>
    <row r="72" spans="1:63" s="76" customFormat="1" ht="15" customHeight="1" x14ac:dyDescent="0.25">
      <c r="A72" s="73"/>
      <c r="B72" s="77"/>
      <c r="C72" s="278">
        <v>28</v>
      </c>
      <c r="D72" s="279"/>
      <c r="E72" s="281" t="s">
        <v>149</v>
      </c>
      <c r="F72" s="282"/>
      <c r="G72" s="282"/>
      <c r="H72" s="282"/>
      <c r="I72" s="282"/>
      <c r="J72" s="282"/>
      <c r="K72" s="283"/>
      <c r="L72" s="278" t="s">
        <v>150</v>
      </c>
      <c r="M72" s="280"/>
      <c r="N72" s="280"/>
      <c r="O72" s="280"/>
      <c r="P72" s="280"/>
      <c r="Q72" s="280"/>
      <c r="R72" s="279"/>
      <c r="S72" s="278" t="s">
        <v>169</v>
      </c>
      <c r="T72" s="280"/>
      <c r="U72" s="280"/>
      <c r="V72" s="280"/>
      <c r="W72" s="280"/>
      <c r="X72" s="280"/>
      <c r="Y72" s="280"/>
      <c r="Z72" s="280"/>
      <c r="AA72" s="280"/>
      <c r="AB72" s="279"/>
      <c r="AC72" s="278" t="s">
        <v>152</v>
      </c>
      <c r="AD72" s="280"/>
      <c r="AE72" s="280"/>
      <c r="AF72" s="280"/>
      <c r="AG72" s="280"/>
      <c r="AH72" s="280"/>
      <c r="AI72" s="280"/>
      <c r="AJ72" s="280"/>
      <c r="AK72" s="280"/>
      <c r="AL72" s="280"/>
      <c r="AM72" s="280"/>
      <c r="AN72" s="280"/>
      <c r="AO72" s="280"/>
      <c r="AP72" s="280"/>
      <c r="AQ72" s="280"/>
      <c r="AR72" s="280"/>
      <c r="AS72" s="280"/>
      <c r="AT72" s="280"/>
      <c r="AU72" s="279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65"/>
      <c r="BI72" s="65"/>
      <c r="BJ72" s="65"/>
      <c r="BK72" s="64"/>
    </row>
    <row r="73" spans="1:63" s="76" customFormat="1" ht="15" customHeight="1" x14ac:dyDescent="0.25">
      <c r="A73" s="73"/>
      <c r="B73" s="77"/>
      <c r="C73" s="278">
        <v>29</v>
      </c>
      <c r="D73" s="279"/>
      <c r="E73" s="281" t="s">
        <v>153</v>
      </c>
      <c r="F73" s="282"/>
      <c r="G73" s="282"/>
      <c r="H73" s="282"/>
      <c r="I73" s="282"/>
      <c r="J73" s="282"/>
      <c r="K73" s="283"/>
      <c r="L73" s="278" t="s">
        <v>150</v>
      </c>
      <c r="M73" s="280"/>
      <c r="N73" s="280"/>
      <c r="O73" s="280"/>
      <c r="P73" s="280"/>
      <c r="Q73" s="280"/>
      <c r="R73" s="279"/>
      <c r="S73" s="278" t="s">
        <v>170</v>
      </c>
      <c r="T73" s="280"/>
      <c r="U73" s="280"/>
      <c r="V73" s="280"/>
      <c r="W73" s="280"/>
      <c r="X73" s="280"/>
      <c r="Y73" s="280"/>
      <c r="Z73" s="280"/>
      <c r="AA73" s="280"/>
      <c r="AB73" s="279"/>
      <c r="AC73" s="278" t="s">
        <v>155</v>
      </c>
      <c r="AD73" s="280"/>
      <c r="AE73" s="280"/>
      <c r="AF73" s="280"/>
      <c r="AG73" s="280"/>
      <c r="AH73" s="280"/>
      <c r="AI73" s="280"/>
      <c r="AJ73" s="280"/>
      <c r="AK73" s="280"/>
      <c r="AL73" s="280"/>
      <c r="AM73" s="280"/>
      <c r="AN73" s="280"/>
      <c r="AO73" s="280"/>
      <c r="AP73" s="280"/>
      <c r="AQ73" s="280"/>
      <c r="AR73" s="280"/>
      <c r="AS73" s="280"/>
      <c r="AT73" s="280"/>
      <c r="AU73" s="279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65"/>
      <c r="BI73" s="65"/>
      <c r="BJ73" s="65"/>
      <c r="BK73" s="64"/>
    </row>
    <row r="74" spans="1:63" s="76" customFormat="1" ht="15" customHeight="1" x14ac:dyDescent="0.25">
      <c r="A74" s="73"/>
      <c r="B74" s="77"/>
      <c r="C74" s="278">
        <v>30</v>
      </c>
      <c r="D74" s="279"/>
      <c r="E74" s="278" t="s">
        <v>171</v>
      </c>
      <c r="F74" s="280"/>
      <c r="G74" s="280"/>
      <c r="H74" s="280"/>
      <c r="I74" s="280"/>
      <c r="J74" s="280"/>
      <c r="K74" s="279"/>
      <c r="L74" s="278" t="s">
        <v>143</v>
      </c>
      <c r="M74" s="280"/>
      <c r="N74" s="280"/>
      <c r="O74" s="280"/>
      <c r="P74" s="280"/>
      <c r="Q74" s="280"/>
      <c r="R74" s="279"/>
      <c r="S74" s="278" t="s">
        <v>22</v>
      </c>
      <c r="T74" s="280"/>
      <c r="U74" s="280"/>
      <c r="V74" s="280"/>
      <c r="W74" s="280"/>
      <c r="X74" s="280"/>
      <c r="Y74" s="280"/>
      <c r="Z74" s="280"/>
      <c r="AA74" s="280"/>
      <c r="AB74" s="279"/>
      <c r="AC74" s="278" t="s">
        <v>172</v>
      </c>
      <c r="AD74" s="280"/>
      <c r="AE74" s="280"/>
      <c r="AF74" s="280"/>
      <c r="AG74" s="280"/>
      <c r="AH74" s="280"/>
      <c r="AI74" s="280"/>
      <c r="AJ74" s="280"/>
      <c r="AK74" s="280"/>
      <c r="AL74" s="280"/>
      <c r="AM74" s="280"/>
      <c r="AN74" s="280"/>
      <c r="AO74" s="280"/>
      <c r="AP74" s="280"/>
      <c r="AQ74" s="280"/>
      <c r="AR74" s="280"/>
      <c r="AS74" s="280"/>
      <c r="AT74" s="280"/>
      <c r="AU74" s="279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65"/>
      <c r="BI74" s="65"/>
      <c r="BJ74" s="65"/>
      <c r="BK74" s="64"/>
    </row>
    <row r="75" spans="1:63" s="76" customFormat="1" ht="15" customHeight="1" x14ac:dyDescent="0.25">
      <c r="A75" s="73"/>
      <c r="B75" s="77"/>
      <c r="C75" s="278">
        <v>31</v>
      </c>
      <c r="D75" s="279"/>
      <c r="E75" s="281" t="s">
        <v>145</v>
      </c>
      <c r="F75" s="282"/>
      <c r="G75" s="282"/>
      <c r="H75" s="282"/>
      <c r="I75" s="282"/>
      <c r="J75" s="282"/>
      <c r="K75" s="283"/>
      <c r="L75" s="278" t="s">
        <v>146</v>
      </c>
      <c r="M75" s="280"/>
      <c r="N75" s="280"/>
      <c r="O75" s="280"/>
      <c r="P75" s="280"/>
      <c r="Q75" s="280"/>
      <c r="R75" s="279"/>
      <c r="S75" s="278" t="s">
        <v>173</v>
      </c>
      <c r="T75" s="280"/>
      <c r="U75" s="280"/>
      <c r="V75" s="280"/>
      <c r="W75" s="280"/>
      <c r="X75" s="280"/>
      <c r="Y75" s="280"/>
      <c r="Z75" s="280"/>
      <c r="AA75" s="280"/>
      <c r="AB75" s="279"/>
      <c r="AC75" s="278" t="s">
        <v>148</v>
      </c>
      <c r="AD75" s="280"/>
      <c r="AE75" s="280"/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79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65"/>
      <c r="BI75" s="65"/>
      <c r="BJ75" s="65"/>
      <c r="BK75" s="64"/>
    </row>
    <row r="76" spans="1:63" s="76" customFormat="1" ht="15" customHeight="1" x14ac:dyDescent="0.25">
      <c r="A76" s="73"/>
      <c r="B76" s="77"/>
      <c r="C76" s="278">
        <v>32</v>
      </c>
      <c r="D76" s="279"/>
      <c r="E76" s="281" t="s">
        <v>149</v>
      </c>
      <c r="F76" s="282"/>
      <c r="G76" s="282"/>
      <c r="H76" s="282"/>
      <c r="I76" s="282"/>
      <c r="J76" s="282"/>
      <c r="K76" s="283"/>
      <c r="L76" s="278" t="s">
        <v>150</v>
      </c>
      <c r="M76" s="280"/>
      <c r="N76" s="280"/>
      <c r="O76" s="280"/>
      <c r="P76" s="280"/>
      <c r="Q76" s="280"/>
      <c r="R76" s="279"/>
      <c r="S76" s="278" t="s">
        <v>174</v>
      </c>
      <c r="T76" s="280"/>
      <c r="U76" s="280"/>
      <c r="V76" s="280"/>
      <c r="W76" s="280"/>
      <c r="X76" s="280"/>
      <c r="Y76" s="280"/>
      <c r="Z76" s="280"/>
      <c r="AA76" s="280"/>
      <c r="AB76" s="279"/>
      <c r="AC76" s="278" t="s">
        <v>152</v>
      </c>
      <c r="AD76" s="280"/>
      <c r="AE76" s="280"/>
      <c r="AF76" s="280"/>
      <c r="AG76" s="280"/>
      <c r="AH76" s="280"/>
      <c r="AI76" s="280"/>
      <c r="AJ76" s="280"/>
      <c r="AK76" s="280"/>
      <c r="AL76" s="280"/>
      <c r="AM76" s="280"/>
      <c r="AN76" s="280"/>
      <c r="AO76" s="280"/>
      <c r="AP76" s="280"/>
      <c r="AQ76" s="280"/>
      <c r="AR76" s="280"/>
      <c r="AS76" s="280"/>
      <c r="AT76" s="280"/>
      <c r="AU76" s="279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65"/>
      <c r="BI76" s="65"/>
      <c r="BJ76" s="65"/>
      <c r="BK76" s="64"/>
    </row>
    <row r="77" spans="1:63" s="76" customFormat="1" ht="15" customHeight="1" x14ac:dyDescent="0.25">
      <c r="A77" s="73"/>
      <c r="B77" s="77"/>
      <c r="C77" s="278">
        <v>33</v>
      </c>
      <c r="D77" s="279"/>
      <c r="E77" s="281" t="s">
        <v>153</v>
      </c>
      <c r="F77" s="282"/>
      <c r="G77" s="282"/>
      <c r="H77" s="282"/>
      <c r="I77" s="282"/>
      <c r="J77" s="282"/>
      <c r="K77" s="283"/>
      <c r="L77" s="278" t="s">
        <v>150</v>
      </c>
      <c r="M77" s="280"/>
      <c r="N77" s="280"/>
      <c r="O77" s="280"/>
      <c r="P77" s="280"/>
      <c r="Q77" s="280"/>
      <c r="R77" s="279"/>
      <c r="S77" s="278" t="s">
        <v>175</v>
      </c>
      <c r="T77" s="280"/>
      <c r="U77" s="280"/>
      <c r="V77" s="280"/>
      <c r="W77" s="280"/>
      <c r="X77" s="280"/>
      <c r="Y77" s="280"/>
      <c r="Z77" s="280"/>
      <c r="AA77" s="280"/>
      <c r="AB77" s="279"/>
      <c r="AC77" s="278" t="s">
        <v>155</v>
      </c>
      <c r="AD77" s="280"/>
      <c r="AE77" s="280"/>
      <c r="AF77" s="280"/>
      <c r="AG77" s="280"/>
      <c r="AH77" s="280"/>
      <c r="AI77" s="280"/>
      <c r="AJ77" s="280"/>
      <c r="AK77" s="280"/>
      <c r="AL77" s="280"/>
      <c r="AM77" s="280"/>
      <c r="AN77" s="280"/>
      <c r="AO77" s="280"/>
      <c r="AP77" s="280"/>
      <c r="AQ77" s="280"/>
      <c r="AR77" s="280"/>
      <c r="AS77" s="280"/>
      <c r="AT77" s="280"/>
      <c r="AU77" s="279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65"/>
      <c r="BI77" s="65"/>
      <c r="BJ77" s="65"/>
      <c r="BK77" s="64"/>
    </row>
    <row r="78" spans="1:63" s="76" customFormat="1" ht="15" customHeight="1" x14ac:dyDescent="0.25">
      <c r="A78" s="73"/>
      <c r="B78" s="77"/>
      <c r="C78" s="278">
        <v>34</v>
      </c>
      <c r="D78" s="279"/>
      <c r="E78" s="278" t="s">
        <v>176</v>
      </c>
      <c r="F78" s="280"/>
      <c r="G78" s="280"/>
      <c r="H78" s="280"/>
      <c r="I78" s="280"/>
      <c r="J78" s="280"/>
      <c r="K78" s="279"/>
      <c r="L78" s="278" t="s">
        <v>143</v>
      </c>
      <c r="M78" s="280"/>
      <c r="N78" s="280"/>
      <c r="O78" s="280"/>
      <c r="P78" s="280"/>
      <c r="Q78" s="280"/>
      <c r="R78" s="279"/>
      <c r="S78" s="278" t="s">
        <v>22</v>
      </c>
      <c r="T78" s="280"/>
      <c r="U78" s="280"/>
      <c r="V78" s="280"/>
      <c r="W78" s="280"/>
      <c r="X78" s="280"/>
      <c r="Y78" s="280"/>
      <c r="Z78" s="280"/>
      <c r="AA78" s="280"/>
      <c r="AB78" s="279"/>
      <c r="AC78" s="278" t="s">
        <v>177</v>
      </c>
      <c r="AD78" s="280"/>
      <c r="AE78" s="280"/>
      <c r="AF78" s="280"/>
      <c r="AG78" s="280"/>
      <c r="AH78" s="280"/>
      <c r="AI78" s="280"/>
      <c r="AJ78" s="280"/>
      <c r="AK78" s="280"/>
      <c r="AL78" s="280"/>
      <c r="AM78" s="280"/>
      <c r="AN78" s="280"/>
      <c r="AO78" s="280"/>
      <c r="AP78" s="280"/>
      <c r="AQ78" s="280"/>
      <c r="AR78" s="280"/>
      <c r="AS78" s="280"/>
      <c r="AT78" s="280"/>
      <c r="AU78" s="279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65"/>
      <c r="BI78" s="65"/>
      <c r="BJ78" s="65"/>
      <c r="BK78" s="64"/>
    </row>
    <row r="79" spans="1:63" s="76" customFormat="1" ht="15" customHeight="1" x14ac:dyDescent="0.25">
      <c r="A79" s="73"/>
      <c r="B79" s="77"/>
      <c r="C79" s="278">
        <v>35</v>
      </c>
      <c r="D79" s="279"/>
      <c r="E79" s="281" t="s">
        <v>145</v>
      </c>
      <c r="F79" s="282"/>
      <c r="G79" s="282"/>
      <c r="H79" s="282"/>
      <c r="I79" s="282"/>
      <c r="J79" s="282"/>
      <c r="K79" s="283"/>
      <c r="L79" s="278" t="s">
        <v>146</v>
      </c>
      <c r="M79" s="280"/>
      <c r="N79" s="280"/>
      <c r="O79" s="280"/>
      <c r="P79" s="280"/>
      <c r="Q79" s="280"/>
      <c r="R79" s="279"/>
      <c r="S79" s="278" t="s">
        <v>178</v>
      </c>
      <c r="T79" s="280"/>
      <c r="U79" s="280"/>
      <c r="V79" s="280"/>
      <c r="W79" s="280"/>
      <c r="X79" s="280"/>
      <c r="Y79" s="280"/>
      <c r="Z79" s="280"/>
      <c r="AA79" s="280"/>
      <c r="AB79" s="279"/>
      <c r="AC79" s="278" t="s">
        <v>148</v>
      </c>
      <c r="AD79" s="280"/>
      <c r="AE79" s="280"/>
      <c r="AF79" s="280"/>
      <c r="AG79" s="280"/>
      <c r="AH79" s="280"/>
      <c r="AI79" s="280"/>
      <c r="AJ79" s="280"/>
      <c r="AK79" s="280"/>
      <c r="AL79" s="280"/>
      <c r="AM79" s="280"/>
      <c r="AN79" s="280"/>
      <c r="AO79" s="280"/>
      <c r="AP79" s="280"/>
      <c r="AQ79" s="280"/>
      <c r="AR79" s="280"/>
      <c r="AS79" s="280"/>
      <c r="AT79" s="280"/>
      <c r="AU79" s="279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65"/>
      <c r="BI79" s="65"/>
      <c r="BJ79" s="65"/>
      <c r="BK79" s="64"/>
    </row>
    <row r="80" spans="1:63" s="76" customFormat="1" ht="15" customHeight="1" x14ac:dyDescent="0.25">
      <c r="A80" s="73"/>
      <c r="B80" s="77"/>
      <c r="C80" s="278">
        <v>36</v>
      </c>
      <c r="D80" s="279"/>
      <c r="E80" s="281" t="s">
        <v>149</v>
      </c>
      <c r="F80" s="282"/>
      <c r="G80" s="282"/>
      <c r="H80" s="282"/>
      <c r="I80" s="282"/>
      <c r="J80" s="282"/>
      <c r="K80" s="283"/>
      <c r="L80" s="278" t="s">
        <v>150</v>
      </c>
      <c r="M80" s="280"/>
      <c r="N80" s="280"/>
      <c r="O80" s="280"/>
      <c r="P80" s="280"/>
      <c r="Q80" s="280"/>
      <c r="R80" s="279"/>
      <c r="S80" s="278" t="s">
        <v>179</v>
      </c>
      <c r="T80" s="280"/>
      <c r="U80" s="280"/>
      <c r="V80" s="280"/>
      <c r="W80" s="280"/>
      <c r="X80" s="280"/>
      <c r="Y80" s="280"/>
      <c r="Z80" s="280"/>
      <c r="AA80" s="280"/>
      <c r="AB80" s="279"/>
      <c r="AC80" s="278" t="s">
        <v>152</v>
      </c>
      <c r="AD80" s="280"/>
      <c r="AE80" s="280"/>
      <c r="AF80" s="280"/>
      <c r="AG80" s="280"/>
      <c r="AH80" s="280"/>
      <c r="AI80" s="280"/>
      <c r="AJ80" s="280"/>
      <c r="AK80" s="280"/>
      <c r="AL80" s="280"/>
      <c r="AM80" s="280"/>
      <c r="AN80" s="280"/>
      <c r="AO80" s="280"/>
      <c r="AP80" s="280"/>
      <c r="AQ80" s="280"/>
      <c r="AR80" s="280"/>
      <c r="AS80" s="280"/>
      <c r="AT80" s="280"/>
      <c r="AU80" s="279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65"/>
      <c r="BI80" s="65"/>
      <c r="BJ80" s="65"/>
      <c r="BK80" s="64"/>
    </row>
    <row r="81" spans="1:63" s="76" customFormat="1" ht="15" customHeight="1" x14ac:dyDescent="0.25">
      <c r="A81" s="73"/>
      <c r="B81" s="77"/>
      <c r="C81" s="278">
        <v>37</v>
      </c>
      <c r="D81" s="279"/>
      <c r="E81" s="281" t="s">
        <v>153</v>
      </c>
      <c r="F81" s="282"/>
      <c r="G81" s="282"/>
      <c r="H81" s="282"/>
      <c r="I81" s="282"/>
      <c r="J81" s="282"/>
      <c r="K81" s="283"/>
      <c r="L81" s="278" t="s">
        <v>150</v>
      </c>
      <c r="M81" s="280"/>
      <c r="N81" s="280"/>
      <c r="O81" s="280"/>
      <c r="P81" s="280"/>
      <c r="Q81" s="280"/>
      <c r="R81" s="279"/>
      <c r="S81" s="278" t="s">
        <v>180</v>
      </c>
      <c r="T81" s="280"/>
      <c r="U81" s="280"/>
      <c r="V81" s="280"/>
      <c r="W81" s="280"/>
      <c r="X81" s="280"/>
      <c r="Y81" s="280"/>
      <c r="Z81" s="280"/>
      <c r="AA81" s="280"/>
      <c r="AB81" s="279"/>
      <c r="AC81" s="278" t="s">
        <v>155</v>
      </c>
      <c r="AD81" s="280"/>
      <c r="AE81" s="280"/>
      <c r="AF81" s="280"/>
      <c r="AG81" s="280"/>
      <c r="AH81" s="280"/>
      <c r="AI81" s="280"/>
      <c r="AJ81" s="280"/>
      <c r="AK81" s="280"/>
      <c r="AL81" s="280"/>
      <c r="AM81" s="280"/>
      <c r="AN81" s="280"/>
      <c r="AO81" s="280"/>
      <c r="AP81" s="280"/>
      <c r="AQ81" s="280"/>
      <c r="AR81" s="280"/>
      <c r="AS81" s="280"/>
      <c r="AT81" s="280"/>
      <c r="AU81" s="279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65"/>
      <c r="BI81" s="65"/>
      <c r="BJ81" s="65"/>
      <c r="BK81" s="64"/>
    </row>
    <row r="82" spans="1:63" s="76" customFormat="1" ht="15" customHeight="1" x14ac:dyDescent="0.25">
      <c r="A82" s="73"/>
      <c r="B82" s="77"/>
      <c r="C82" s="278">
        <v>38</v>
      </c>
      <c r="D82" s="279"/>
      <c r="E82" s="278" t="s">
        <v>181</v>
      </c>
      <c r="F82" s="280"/>
      <c r="G82" s="280"/>
      <c r="H82" s="280"/>
      <c r="I82" s="280"/>
      <c r="J82" s="280"/>
      <c r="K82" s="279"/>
      <c r="L82" s="278" t="s">
        <v>143</v>
      </c>
      <c r="M82" s="280"/>
      <c r="N82" s="280"/>
      <c r="O82" s="280"/>
      <c r="P82" s="280"/>
      <c r="Q82" s="280"/>
      <c r="R82" s="279"/>
      <c r="S82" s="278" t="s">
        <v>22</v>
      </c>
      <c r="T82" s="280"/>
      <c r="U82" s="280"/>
      <c r="V82" s="280"/>
      <c r="W82" s="280"/>
      <c r="X82" s="280"/>
      <c r="Y82" s="280"/>
      <c r="Z82" s="280"/>
      <c r="AA82" s="280"/>
      <c r="AB82" s="279"/>
      <c r="AC82" s="278" t="s">
        <v>182</v>
      </c>
      <c r="AD82" s="280"/>
      <c r="AE82" s="280"/>
      <c r="AF82" s="280"/>
      <c r="AG82" s="280"/>
      <c r="AH82" s="280"/>
      <c r="AI82" s="280"/>
      <c r="AJ82" s="280"/>
      <c r="AK82" s="280"/>
      <c r="AL82" s="280"/>
      <c r="AM82" s="280"/>
      <c r="AN82" s="280"/>
      <c r="AO82" s="280"/>
      <c r="AP82" s="280"/>
      <c r="AQ82" s="280"/>
      <c r="AR82" s="280"/>
      <c r="AS82" s="280"/>
      <c r="AT82" s="280"/>
      <c r="AU82" s="279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65"/>
      <c r="BI82" s="65"/>
      <c r="BJ82" s="65"/>
      <c r="BK82" s="64"/>
    </row>
    <row r="83" spans="1:63" s="76" customFormat="1" ht="15" customHeight="1" x14ac:dyDescent="0.25">
      <c r="A83" s="73"/>
      <c r="B83" s="77"/>
      <c r="C83" s="278">
        <v>39</v>
      </c>
      <c r="D83" s="279"/>
      <c r="E83" s="281" t="s">
        <v>145</v>
      </c>
      <c r="F83" s="282"/>
      <c r="G83" s="282"/>
      <c r="H83" s="282"/>
      <c r="I83" s="282"/>
      <c r="J83" s="282"/>
      <c r="K83" s="283"/>
      <c r="L83" s="278" t="s">
        <v>146</v>
      </c>
      <c r="M83" s="280"/>
      <c r="N83" s="280"/>
      <c r="O83" s="280"/>
      <c r="P83" s="280"/>
      <c r="Q83" s="280"/>
      <c r="R83" s="279"/>
      <c r="S83" s="278" t="s">
        <v>183</v>
      </c>
      <c r="T83" s="280"/>
      <c r="U83" s="280"/>
      <c r="V83" s="280"/>
      <c r="W83" s="280"/>
      <c r="X83" s="280"/>
      <c r="Y83" s="280"/>
      <c r="Z83" s="280"/>
      <c r="AA83" s="280"/>
      <c r="AB83" s="279"/>
      <c r="AC83" s="278" t="s">
        <v>148</v>
      </c>
      <c r="AD83" s="280"/>
      <c r="AE83" s="280"/>
      <c r="AF83" s="280"/>
      <c r="AG83" s="280"/>
      <c r="AH83" s="280"/>
      <c r="AI83" s="280"/>
      <c r="AJ83" s="280"/>
      <c r="AK83" s="280"/>
      <c r="AL83" s="280"/>
      <c r="AM83" s="280"/>
      <c r="AN83" s="280"/>
      <c r="AO83" s="280"/>
      <c r="AP83" s="280"/>
      <c r="AQ83" s="280"/>
      <c r="AR83" s="280"/>
      <c r="AS83" s="280"/>
      <c r="AT83" s="280"/>
      <c r="AU83" s="279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65"/>
      <c r="BI83" s="65"/>
      <c r="BJ83" s="65"/>
      <c r="BK83" s="64"/>
    </row>
    <row r="84" spans="1:63" s="76" customFormat="1" ht="15" customHeight="1" x14ac:dyDescent="0.25">
      <c r="A84" s="73"/>
      <c r="B84" s="77"/>
      <c r="C84" s="278">
        <v>40</v>
      </c>
      <c r="D84" s="279"/>
      <c r="E84" s="281" t="s">
        <v>149</v>
      </c>
      <c r="F84" s="282"/>
      <c r="G84" s="282"/>
      <c r="H84" s="282"/>
      <c r="I84" s="282"/>
      <c r="J84" s="282"/>
      <c r="K84" s="283"/>
      <c r="L84" s="278" t="s">
        <v>150</v>
      </c>
      <c r="M84" s="280"/>
      <c r="N84" s="280"/>
      <c r="O84" s="280"/>
      <c r="P84" s="280"/>
      <c r="Q84" s="280"/>
      <c r="R84" s="279"/>
      <c r="S84" s="278" t="s">
        <v>184</v>
      </c>
      <c r="T84" s="280"/>
      <c r="U84" s="280"/>
      <c r="V84" s="280"/>
      <c r="W84" s="280"/>
      <c r="X84" s="280"/>
      <c r="Y84" s="280"/>
      <c r="Z84" s="280"/>
      <c r="AA84" s="280"/>
      <c r="AB84" s="279"/>
      <c r="AC84" s="278" t="s">
        <v>152</v>
      </c>
      <c r="AD84" s="280"/>
      <c r="AE84" s="280"/>
      <c r="AF84" s="280"/>
      <c r="AG84" s="280"/>
      <c r="AH84" s="280"/>
      <c r="AI84" s="280"/>
      <c r="AJ84" s="280"/>
      <c r="AK84" s="280"/>
      <c r="AL84" s="280"/>
      <c r="AM84" s="280"/>
      <c r="AN84" s="280"/>
      <c r="AO84" s="280"/>
      <c r="AP84" s="280"/>
      <c r="AQ84" s="280"/>
      <c r="AR84" s="280"/>
      <c r="AS84" s="280"/>
      <c r="AT84" s="280"/>
      <c r="AU84" s="279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65"/>
      <c r="BI84" s="65"/>
      <c r="BJ84" s="65"/>
      <c r="BK84" s="64"/>
    </row>
    <row r="85" spans="1:63" s="76" customFormat="1" ht="15" customHeight="1" x14ac:dyDescent="0.25">
      <c r="A85" s="73"/>
      <c r="B85" s="77"/>
      <c r="C85" s="278">
        <v>41</v>
      </c>
      <c r="D85" s="279"/>
      <c r="E85" s="281" t="s">
        <v>153</v>
      </c>
      <c r="F85" s="282"/>
      <c r="G85" s="282"/>
      <c r="H85" s="282"/>
      <c r="I85" s="282"/>
      <c r="J85" s="282"/>
      <c r="K85" s="283"/>
      <c r="L85" s="278" t="s">
        <v>150</v>
      </c>
      <c r="M85" s="280"/>
      <c r="N85" s="280"/>
      <c r="O85" s="280"/>
      <c r="P85" s="280"/>
      <c r="Q85" s="280"/>
      <c r="R85" s="279"/>
      <c r="S85" s="278" t="s">
        <v>185</v>
      </c>
      <c r="T85" s="280"/>
      <c r="U85" s="280"/>
      <c r="V85" s="280"/>
      <c r="W85" s="280"/>
      <c r="X85" s="280"/>
      <c r="Y85" s="280"/>
      <c r="Z85" s="280"/>
      <c r="AA85" s="280"/>
      <c r="AB85" s="279"/>
      <c r="AC85" s="278" t="s">
        <v>155</v>
      </c>
      <c r="AD85" s="280"/>
      <c r="AE85" s="280"/>
      <c r="AF85" s="280"/>
      <c r="AG85" s="280"/>
      <c r="AH85" s="280"/>
      <c r="AI85" s="280"/>
      <c r="AJ85" s="280"/>
      <c r="AK85" s="280"/>
      <c r="AL85" s="280"/>
      <c r="AM85" s="280"/>
      <c r="AN85" s="280"/>
      <c r="AO85" s="280"/>
      <c r="AP85" s="280"/>
      <c r="AQ85" s="280"/>
      <c r="AR85" s="280"/>
      <c r="AS85" s="280"/>
      <c r="AT85" s="280"/>
      <c r="AU85" s="279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65"/>
      <c r="BI85" s="65"/>
      <c r="BJ85" s="65"/>
      <c r="BK85" s="64"/>
    </row>
    <row r="86" spans="1:63" s="76" customFormat="1" ht="15" customHeight="1" x14ac:dyDescent="0.25">
      <c r="A86" s="73"/>
      <c r="B86" s="77"/>
      <c r="C86" s="278">
        <v>42</v>
      </c>
      <c r="D86" s="279"/>
      <c r="E86" s="278" t="s">
        <v>186</v>
      </c>
      <c r="F86" s="280"/>
      <c r="G86" s="280"/>
      <c r="H86" s="280"/>
      <c r="I86" s="280"/>
      <c r="J86" s="280"/>
      <c r="K86" s="279"/>
      <c r="L86" s="278" t="s">
        <v>187</v>
      </c>
      <c r="M86" s="280"/>
      <c r="N86" s="280"/>
      <c r="O86" s="280"/>
      <c r="P86" s="280"/>
      <c r="Q86" s="280"/>
      <c r="R86" s="279"/>
      <c r="S86" s="284" t="s">
        <v>188</v>
      </c>
      <c r="T86" s="285"/>
      <c r="U86" s="285"/>
      <c r="V86" s="285"/>
      <c r="W86" s="285"/>
      <c r="X86" s="285"/>
      <c r="Y86" s="285"/>
      <c r="Z86" s="285"/>
      <c r="AA86" s="285"/>
      <c r="AB86" s="286"/>
      <c r="AC86" s="278" t="s">
        <v>189</v>
      </c>
      <c r="AD86" s="225"/>
      <c r="AE86" s="225"/>
      <c r="AF86" s="225"/>
      <c r="AG86" s="225"/>
      <c r="AH86" s="225"/>
      <c r="AI86" s="225"/>
      <c r="AJ86" s="225"/>
      <c r="AK86" s="225"/>
      <c r="AL86" s="225"/>
      <c r="AM86" s="225"/>
      <c r="AN86" s="225"/>
      <c r="AO86" s="225"/>
      <c r="AP86" s="225"/>
      <c r="AQ86" s="225"/>
      <c r="AR86" s="225"/>
      <c r="AS86" s="225"/>
      <c r="AT86" s="225"/>
      <c r="AU86" s="224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65"/>
      <c r="BI86" s="65"/>
      <c r="BJ86" s="65"/>
      <c r="BK86" s="64"/>
    </row>
    <row r="87" spans="1:63" s="76" customFormat="1" ht="15" customHeight="1" x14ac:dyDescent="0.25">
      <c r="A87" s="73"/>
      <c r="B87" s="77"/>
      <c r="C87" s="278">
        <v>43</v>
      </c>
      <c r="D87" s="279"/>
      <c r="E87" s="278" t="s">
        <v>190</v>
      </c>
      <c r="F87" s="280"/>
      <c r="G87" s="280"/>
      <c r="H87" s="280"/>
      <c r="I87" s="280"/>
      <c r="J87" s="280"/>
      <c r="K87" s="279"/>
      <c r="L87" s="278" t="s">
        <v>150</v>
      </c>
      <c r="M87" s="280"/>
      <c r="N87" s="280"/>
      <c r="O87" s="280"/>
      <c r="P87" s="280"/>
      <c r="Q87" s="280"/>
      <c r="R87" s="279"/>
      <c r="S87" s="278" t="s">
        <v>191</v>
      </c>
      <c r="T87" s="280"/>
      <c r="U87" s="280"/>
      <c r="V87" s="280"/>
      <c r="W87" s="280"/>
      <c r="X87" s="280"/>
      <c r="Y87" s="280"/>
      <c r="Z87" s="280"/>
      <c r="AA87" s="280"/>
      <c r="AB87" s="279"/>
      <c r="AC87" s="278" t="s">
        <v>192</v>
      </c>
      <c r="AD87" s="280"/>
      <c r="AE87" s="280"/>
      <c r="AF87" s="280"/>
      <c r="AG87" s="280"/>
      <c r="AH87" s="280"/>
      <c r="AI87" s="280"/>
      <c r="AJ87" s="280"/>
      <c r="AK87" s="280"/>
      <c r="AL87" s="280"/>
      <c r="AM87" s="280"/>
      <c r="AN87" s="280"/>
      <c r="AO87" s="280"/>
      <c r="AP87" s="280"/>
      <c r="AQ87" s="280"/>
      <c r="AR87" s="280"/>
      <c r="AS87" s="280"/>
      <c r="AT87" s="280"/>
      <c r="AU87" s="279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65"/>
      <c r="BI87" s="65"/>
      <c r="BJ87" s="65"/>
      <c r="BK87" s="64"/>
    </row>
    <row r="88" spans="1:63" s="76" customFormat="1" ht="15" customHeight="1" x14ac:dyDescent="0.25">
      <c r="A88" s="73"/>
      <c r="B88" s="77"/>
      <c r="C88" s="278">
        <v>44</v>
      </c>
      <c r="D88" s="279"/>
      <c r="E88" s="278" t="s">
        <v>193</v>
      </c>
      <c r="F88" s="280"/>
      <c r="G88" s="280"/>
      <c r="H88" s="280"/>
      <c r="I88" s="280"/>
      <c r="J88" s="280"/>
      <c r="K88" s="279"/>
      <c r="L88" s="278" t="s">
        <v>150</v>
      </c>
      <c r="M88" s="280"/>
      <c r="N88" s="280"/>
      <c r="O88" s="280"/>
      <c r="P88" s="280"/>
      <c r="Q88" s="280"/>
      <c r="R88" s="279"/>
      <c r="S88" s="278" t="s">
        <v>194</v>
      </c>
      <c r="T88" s="280"/>
      <c r="U88" s="280"/>
      <c r="V88" s="280"/>
      <c r="W88" s="280"/>
      <c r="X88" s="280"/>
      <c r="Y88" s="280"/>
      <c r="Z88" s="280"/>
      <c r="AA88" s="280"/>
      <c r="AB88" s="279"/>
      <c r="AC88" s="278" t="s">
        <v>195</v>
      </c>
      <c r="AD88" s="280"/>
      <c r="AE88" s="280"/>
      <c r="AF88" s="280"/>
      <c r="AG88" s="280"/>
      <c r="AH88" s="280"/>
      <c r="AI88" s="280"/>
      <c r="AJ88" s="280"/>
      <c r="AK88" s="280"/>
      <c r="AL88" s="280"/>
      <c r="AM88" s="280"/>
      <c r="AN88" s="280"/>
      <c r="AO88" s="280"/>
      <c r="AP88" s="280"/>
      <c r="AQ88" s="280"/>
      <c r="AR88" s="280"/>
      <c r="AS88" s="280"/>
      <c r="AT88" s="280"/>
      <c r="AU88" s="279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65"/>
      <c r="BI88" s="65"/>
      <c r="BJ88" s="65"/>
      <c r="BK88" s="64"/>
    </row>
    <row r="89" spans="1:63" s="76" customFormat="1" ht="15" customHeight="1" x14ac:dyDescent="0.25">
      <c r="A89" s="73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65"/>
      <c r="BI89" s="65"/>
      <c r="BJ89" s="65"/>
      <c r="BK89" s="64"/>
    </row>
    <row r="90" spans="1:63" s="76" customFormat="1" ht="15" customHeight="1" x14ac:dyDescent="0.25">
      <c r="A90" s="73"/>
      <c r="B90" s="77"/>
      <c r="C90" s="31" t="s">
        <v>33</v>
      </c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65"/>
      <c r="BI90" s="65"/>
      <c r="BJ90" s="65"/>
      <c r="BK90" s="64"/>
    </row>
    <row r="91" spans="1:63" s="76" customFormat="1" ht="15" customHeight="1" x14ac:dyDescent="0.25">
      <c r="A91" s="73"/>
      <c r="B91" s="77"/>
      <c r="C91" s="31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65"/>
      <c r="BI91" s="65"/>
      <c r="BJ91" s="65"/>
      <c r="BK91" s="64"/>
    </row>
    <row r="92" spans="1:63" s="76" customFormat="1" ht="15" customHeight="1" x14ac:dyDescent="0.25">
      <c r="A92" s="73"/>
      <c r="B92" s="77"/>
      <c r="C92" s="79" t="s">
        <v>38</v>
      </c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0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65"/>
      <c r="BI92" s="65"/>
      <c r="BJ92" s="65"/>
      <c r="BK92" s="64"/>
    </row>
    <row r="93" spans="1:63" s="76" customFormat="1" ht="15" customHeight="1" x14ac:dyDescent="0.25">
      <c r="A93" s="73"/>
      <c r="B93" s="77"/>
      <c r="C93" s="73" t="s">
        <v>100</v>
      </c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84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65"/>
      <c r="BI93" s="65"/>
      <c r="BJ93" s="65"/>
      <c r="BK93" s="64"/>
    </row>
    <row r="94" spans="1:63" s="76" customFormat="1" ht="15" customHeight="1" x14ac:dyDescent="0.25">
      <c r="A94" s="73"/>
      <c r="B94" s="77"/>
      <c r="C94" s="73" t="s">
        <v>196</v>
      </c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84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65"/>
      <c r="BI94" s="65"/>
      <c r="BJ94" s="65"/>
      <c r="BK94" s="64"/>
    </row>
    <row r="95" spans="1:63" s="76" customFormat="1" ht="15" customHeight="1" x14ac:dyDescent="0.25">
      <c r="A95" s="73"/>
      <c r="B95" s="77"/>
      <c r="C95" s="73" t="s">
        <v>197</v>
      </c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84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65"/>
      <c r="BI95" s="65"/>
      <c r="BJ95" s="65"/>
      <c r="BK95" s="64"/>
    </row>
    <row r="96" spans="1:63" s="76" customFormat="1" ht="15" customHeight="1" x14ac:dyDescent="0.25">
      <c r="A96" s="73"/>
      <c r="B96" s="77"/>
      <c r="C96" s="73" t="s">
        <v>198</v>
      </c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84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65"/>
      <c r="BI96" s="65"/>
      <c r="BJ96" s="65"/>
      <c r="BK96" s="64"/>
    </row>
    <row r="97" spans="1:63" s="76" customFormat="1" ht="15" customHeight="1" x14ac:dyDescent="0.25">
      <c r="A97" s="73"/>
      <c r="B97" s="77"/>
      <c r="C97" s="73" t="s">
        <v>199</v>
      </c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84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65"/>
      <c r="BI97" s="65"/>
      <c r="BJ97" s="65"/>
      <c r="BK97" s="64"/>
    </row>
    <row r="98" spans="1:63" s="76" customFormat="1" ht="15" customHeight="1" x14ac:dyDescent="0.25">
      <c r="A98" s="73"/>
      <c r="B98" s="77"/>
      <c r="C98" s="73" t="s">
        <v>200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84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65"/>
      <c r="BI98" s="65"/>
      <c r="BJ98" s="65"/>
      <c r="BK98" s="64"/>
    </row>
    <row r="99" spans="1:63" s="76" customFormat="1" ht="15" customHeight="1" x14ac:dyDescent="0.25">
      <c r="A99" s="73"/>
      <c r="B99" s="77"/>
      <c r="C99" s="73" t="s">
        <v>201</v>
      </c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84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65"/>
      <c r="BI99" s="65"/>
      <c r="BJ99" s="65"/>
      <c r="BK99" s="64"/>
    </row>
    <row r="100" spans="1:63" s="76" customFormat="1" ht="15" customHeight="1" x14ac:dyDescent="0.25">
      <c r="A100" s="73"/>
      <c r="B100" s="77"/>
      <c r="C100" s="73" t="s">
        <v>202</v>
      </c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84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65"/>
      <c r="BI100" s="65"/>
      <c r="BJ100" s="65"/>
      <c r="BK100" s="64"/>
    </row>
    <row r="101" spans="1:63" s="76" customFormat="1" ht="15" customHeight="1" x14ac:dyDescent="0.25">
      <c r="A101" s="73"/>
      <c r="B101" s="77"/>
      <c r="C101" s="73" t="s">
        <v>203</v>
      </c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84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65"/>
      <c r="BI101" s="65"/>
      <c r="BJ101" s="65"/>
      <c r="BK101" s="64"/>
    </row>
    <row r="102" spans="1:63" s="76" customFormat="1" ht="15" customHeight="1" x14ac:dyDescent="0.25">
      <c r="A102" s="73"/>
      <c r="B102" s="77"/>
      <c r="C102" s="73" t="s">
        <v>204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84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65"/>
      <c r="BI102" s="65"/>
      <c r="BJ102" s="65"/>
      <c r="BK102" s="64"/>
    </row>
    <row r="103" spans="1:63" s="76" customFormat="1" ht="15" customHeight="1" x14ac:dyDescent="0.25">
      <c r="A103" s="73"/>
      <c r="B103" s="77"/>
      <c r="C103" s="73" t="s">
        <v>205</v>
      </c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84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65"/>
      <c r="BI103" s="65"/>
      <c r="BJ103" s="65"/>
      <c r="BK103" s="64"/>
    </row>
    <row r="104" spans="1:63" s="45" customFormat="1" ht="14.25" customHeight="1" x14ac:dyDescent="0.25">
      <c r="A104" s="41"/>
      <c r="B104" s="42"/>
      <c r="C104" s="85" t="s">
        <v>206</v>
      </c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6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3"/>
      <c r="BI104" s="43"/>
      <c r="BJ104" s="43"/>
      <c r="BK104" s="44"/>
    </row>
    <row r="105" spans="1:63" s="45" customFormat="1" ht="15" customHeight="1" x14ac:dyDescent="0.25">
      <c r="A105" s="41"/>
      <c r="B105" s="42"/>
      <c r="C105" s="85" t="s">
        <v>207</v>
      </c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6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3"/>
      <c r="BI105" s="43"/>
      <c r="BJ105" s="43"/>
      <c r="BK105" s="44"/>
    </row>
    <row r="106" spans="1:63" s="76" customFormat="1" ht="15" customHeight="1" x14ac:dyDescent="0.25">
      <c r="A106" s="73"/>
      <c r="B106" s="77"/>
      <c r="C106" s="85" t="s">
        <v>208</v>
      </c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84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65"/>
      <c r="BI106" s="65"/>
      <c r="BJ106" s="65"/>
      <c r="BK106" s="64"/>
    </row>
    <row r="107" spans="1:63" s="51" customFormat="1" ht="15" customHeight="1" x14ac:dyDescent="0.25">
      <c r="A107" s="47"/>
      <c r="B107" s="48"/>
      <c r="C107" s="85" t="s">
        <v>209</v>
      </c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9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28"/>
      <c r="BI107" s="28"/>
      <c r="BJ107" s="28"/>
      <c r="BK107" s="50"/>
    </row>
    <row r="108" spans="1:63" s="76" customFormat="1" ht="15" customHeight="1" x14ac:dyDescent="0.25">
      <c r="A108" s="73"/>
      <c r="B108" s="77"/>
      <c r="C108" s="86" t="s">
        <v>210</v>
      </c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84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65"/>
      <c r="BI108" s="65"/>
      <c r="BJ108" s="65"/>
      <c r="BK108" s="64"/>
    </row>
    <row r="109" spans="1:63" s="76" customFormat="1" ht="15" customHeight="1" x14ac:dyDescent="0.25">
      <c r="A109" s="73"/>
      <c r="B109" s="77"/>
      <c r="C109" s="85" t="s">
        <v>101</v>
      </c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84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65"/>
      <c r="BI109" s="65"/>
      <c r="BJ109" s="65"/>
      <c r="BK109" s="64"/>
    </row>
    <row r="110" spans="1:63" s="76" customFormat="1" ht="15" customHeight="1" x14ac:dyDescent="0.25">
      <c r="A110" s="73"/>
      <c r="B110" s="77"/>
      <c r="C110" s="85" t="s">
        <v>211</v>
      </c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84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65"/>
      <c r="BI110" s="65"/>
      <c r="BJ110" s="65"/>
      <c r="BK110" s="64"/>
    </row>
    <row r="111" spans="1:63" s="76" customFormat="1" ht="15" customHeight="1" x14ac:dyDescent="0.25">
      <c r="A111" s="73"/>
      <c r="B111" s="77"/>
      <c r="C111" s="85" t="s">
        <v>212</v>
      </c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84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65"/>
      <c r="BI111" s="65"/>
      <c r="BJ111" s="65"/>
      <c r="BK111" s="64"/>
    </row>
    <row r="112" spans="1:63" s="76" customFormat="1" ht="15" customHeight="1" x14ac:dyDescent="0.25">
      <c r="A112" s="73"/>
      <c r="B112" s="77"/>
      <c r="C112" s="85" t="s">
        <v>209</v>
      </c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84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65"/>
      <c r="BI112" s="65"/>
      <c r="BJ112" s="65"/>
      <c r="BK112" s="64"/>
    </row>
    <row r="113" spans="1:63" s="76" customFormat="1" ht="15" customHeight="1" x14ac:dyDescent="0.25">
      <c r="A113" s="73"/>
      <c r="B113" s="77"/>
      <c r="C113" s="85" t="s">
        <v>213</v>
      </c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84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65"/>
      <c r="BI113" s="65"/>
      <c r="BJ113" s="65"/>
      <c r="BK113" s="64"/>
    </row>
    <row r="114" spans="1:63" s="76" customFormat="1" ht="15" customHeight="1" x14ac:dyDescent="0.25">
      <c r="A114" s="73"/>
      <c r="B114" s="77"/>
      <c r="C114" s="85" t="s">
        <v>101</v>
      </c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84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65"/>
      <c r="BI114" s="65"/>
      <c r="BJ114" s="65"/>
      <c r="BK114" s="64"/>
    </row>
    <row r="115" spans="1:63" s="76" customFormat="1" ht="15" customHeight="1" x14ac:dyDescent="0.25">
      <c r="A115" s="73"/>
      <c r="B115" s="77"/>
      <c r="C115" s="85" t="s">
        <v>214</v>
      </c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84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65"/>
      <c r="BI115" s="65"/>
      <c r="BJ115" s="65"/>
      <c r="BK115" s="64"/>
    </row>
    <row r="116" spans="1:63" s="76" customFormat="1" ht="15" customHeight="1" x14ac:dyDescent="0.25">
      <c r="A116" s="73"/>
      <c r="B116" s="77"/>
      <c r="C116" s="85" t="s">
        <v>212</v>
      </c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84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65"/>
      <c r="BI116" s="65"/>
      <c r="BJ116" s="65"/>
      <c r="BK116" s="64"/>
    </row>
    <row r="117" spans="1:63" s="76" customFormat="1" ht="15" customHeight="1" x14ac:dyDescent="0.25">
      <c r="A117" s="73"/>
      <c r="B117" s="77"/>
      <c r="C117" s="85" t="s">
        <v>209</v>
      </c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84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65"/>
      <c r="BI117" s="65"/>
      <c r="BJ117" s="65"/>
      <c r="BK117" s="64"/>
    </row>
    <row r="118" spans="1:63" s="76" customFormat="1" ht="15" customHeight="1" x14ac:dyDescent="0.25">
      <c r="A118" s="73"/>
      <c r="B118" s="77"/>
      <c r="C118" s="85" t="s">
        <v>210</v>
      </c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84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65"/>
      <c r="BI118" s="65"/>
      <c r="BJ118" s="65"/>
      <c r="BK118" s="64"/>
    </row>
    <row r="119" spans="1:63" s="76" customFormat="1" ht="15" customHeight="1" x14ac:dyDescent="0.25">
      <c r="A119" s="73"/>
      <c r="B119" s="77"/>
      <c r="C119" s="85" t="s">
        <v>101</v>
      </c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84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65"/>
      <c r="BI119" s="65"/>
      <c r="BJ119" s="65"/>
      <c r="BK119" s="64"/>
    </row>
    <row r="120" spans="1:63" s="76" customFormat="1" ht="15" customHeight="1" x14ac:dyDescent="0.25">
      <c r="A120" s="73"/>
      <c r="B120" s="77"/>
      <c r="C120" s="85" t="s">
        <v>215</v>
      </c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84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65"/>
      <c r="BI120" s="65"/>
      <c r="BJ120" s="65"/>
      <c r="BK120" s="64"/>
    </row>
    <row r="121" spans="1:63" s="76" customFormat="1" ht="15" customHeight="1" x14ac:dyDescent="0.25">
      <c r="A121" s="73"/>
      <c r="B121" s="77"/>
      <c r="C121" s="85" t="s">
        <v>212</v>
      </c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84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65"/>
      <c r="BI121" s="65"/>
      <c r="BJ121" s="65"/>
      <c r="BK121" s="64"/>
    </row>
    <row r="122" spans="1:63" s="76" customFormat="1" ht="15" customHeight="1" x14ac:dyDescent="0.25">
      <c r="A122" s="73"/>
      <c r="B122" s="77"/>
      <c r="C122" s="85" t="s">
        <v>209</v>
      </c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84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  <c r="BG122" s="77"/>
      <c r="BH122" s="65"/>
      <c r="BI122" s="65"/>
      <c r="BJ122" s="65"/>
      <c r="BK122" s="64"/>
    </row>
    <row r="123" spans="1:63" s="76" customFormat="1" ht="15" customHeight="1" x14ac:dyDescent="0.25">
      <c r="A123" s="73"/>
      <c r="B123" s="77"/>
      <c r="C123" s="85" t="s">
        <v>210</v>
      </c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84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65"/>
      <c r="BI123" s="65"/>
      <c r="BJ123" s="65"/>
      <c r="BK123" s="64"/>
    </row>
    <row r="124" spans="1:63" s="76" customFormat="1" ht="15" customHeight="1" x14ac:dyDescent="0.25">
      <c r="A124" s="73"/>
      <c r="B124" s="77"/>
      <c r="C124" s="85" t="s">
        <v>101</v>
      </c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84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7"/>
      <c r="BH124" s="65"/>
      <c r="BI124" s="65"/>
      <c r="BJ124" s="65"/>
      <c r="BK124" s="64"/>
    </row>
    <row r="125" spans="1:63" s="76" customFormat="1" ht="15" customHeight="1" x14ac:dyDescent="0.25">
      <c r="A125" s="73"/>
      <c r="B125" s="77"/>
      <c r="C125" s="85" t="s">
        <v>216</v>
      </c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84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65"/>
      <c r="BI125" s="65"/>
      <c r="BJ125" s="65"/>
      <c r="BK125" s="64"/>
    </row>
    <row r="126" spans="1:63" s="76" customFormat="1" ht="15" customHeight="1" x14ac:dyDescent="0.25">
      <c r="A126" s="73"/>
      <c r="B126" s="77"/>
      <c r="C126" s="85" t="s">
        <v>212</v>
      </c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84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65"/>
      <c r="BI126" s="65"/>
      <c r="BJ126" s="65"/>
      <c r="BK126" s="64"/>
    </row>
    <row r="127" spans="1:63" s="76" customFormat="1" ht="15" customHeight="1" x14ac:dyDescent="0.25">
      <c r="A127" s="73"/>
      <c r="B127" s="77"/>
      <c r="C127" s="85" t="s">
        <v>209</v>
      </c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84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65"/>
      <c r="BI127" s="65"/>
      <c r="BJ127" s="65"/>
      <c r="BK127" s="64"/>
    </row>
    <row r="128" spans="1:63" s="76" customFormat="1" ht="15" customHeight="1" x14ac:dyDescent="0.25">
      <c r="A128" s="73"/>
      <c r="B128" s="77"/>
      <c r="C128" s="85" t="s">
        <v>210</v>
      </c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84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65"/>
      <c r="BI128" s="65"/>
      <c r="BJ128" s="65"/>
      <c r="BK128" s="64"/>
    </row>
    <row r="129" spans="1:63" s="76" customFormat="1" ht="15" customHeight="1" x14ac:dyDescent="0.25">
      <c r="A129" s="73"/>
      <c r="B129" s="77"/>
      <c r="C129" s="85" t="s">
        <v>101</v>
      </c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84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65"/>
      <c r="BI129" s="65"/>
      <c r="BJ129" s="65"/>
      <c r="BK129" s="64"/>
    </row>
    <row r="130" spans="1:63" s="76" customFormat="1" ht="15" customHeight="1" x14ac:dyDescent="0.25">
      <c r="A130" s="73"/>
      <c r="B130" s="77"/>
      <c r="C130" s="85" t="s">
        <v>217</v>
      </c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84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65"/>
      <c r="BI130" s="65"/>
      <c r="BJ130" s="65"/>
      <c r="BK130" s="64"/>
    </row>
    <row r="131" spans="1:63" s="76" customFormat="1" ht="15" customHeight="1" x14ac:dyDescent="0.25">
      <c r="A131" s="73"/>
      <c r="B131" s="77"/>
      <c r="C131" s="85" t="s">
        <v>212</v>
      </c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84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65"/>
      <c r="BI131" s="65"/>
      <c r="BJ131" s="65"/>
      <c r="BK131" s="64"/>
    </row>
    <row r="132" spans="1:63" s="76" customFormat="1" ht="15" customHeight="1" x14ac:dyDescent="0.25">
      <c r="A132" s="73"/>
      <c r="B132" s="77"/>
      <c r="C132" s="85" t="s">
        <v>209</v>
      </c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84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65"/>
      <c r="BI132" s="65"/>
      <c r="BJ132" s="65"/>
      <c r="BK132" s="64"/>
    </row>
    <row r="133" spans="1:63" s="76" customFormat="1" ht="15" customHeight="1" x14ac:dyDescent="0.25">
      <c r="A133" s="73"/>
      <c r="B133" s="77"/>
      <c r="C133" s="85" t="s">
        <v>210</v>
      </c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84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65"/>
      <c r="BI133" s="65"/>
      <c r="BJ133" s="65"/>
      <c r="BK133" s="64"/>
    </row>
    <row r="134" spans="1:63" s="76" customFormat="1" ht="15" customHeight="1" x14ac:dyDescent="0.25">
      <c r="A134" s="73"/>
      <c r="B134" s="77"/>
      <c r="C134" s="85" t="s">
        <v>101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84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  <c r="BG134" s="77"/>
      <c r="BH134" s="65"/>
      <c r="BI134" s="65"/>
      <c r="BJ134" s="65"/>
      <c r="BK134" s="64"/>
    </row>
    <row r="135" spans="1:63" s="76" customFormat="1" ht="15" customHeight="1" x14ac:dyDescent="0.25">
      <c r="A135" s="73"/>
      <c r="B135" s="77"/>
      <c r="C135" s="85" t="s">
        <v>218</v>
      </c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84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  <c r="BG135" s="77"/>
      <c r="BH135" s="65"/>
      <c r="BI135" s="65"/>
      <c r="BJ135" s="65"/>
      <c r="BK135" s="64"/>
    </row>
    <row r="136" spans="1:63" s="76" customFormat="1" ht="15" customHeight="1" x14ac:dyDescent="0.25">
      <c r="A136" s="73"/>
      <c r="B136" s="77"/>
      <c r="C136" s="85" t="s">
        <v>212</v>
      </c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84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65"/>
      <c r="BI136" s="65"/>
      <c r="BJ136" s="65"/>
      <c r="BK136" s="64"/>
    </row>
    <row r="137" spans="1:63" s="76" customFormat="1" ht="15" customHeight="1" x14ac:dyDescent="0.25">
      <c r="A137" s="73"/>
      <c r="B137" s="77"/>
      <c r="C137" s="85" t="s">
        <v>209</v>
      </c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84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65"/>
      <c r="BI137" s="65"/>
      <c r="BJ137" s="65"/>
      <c r="BK137" s="64"/>
    </row>
    <row r="138" spans="1:63" s="76" customFormat="1" ht="15" customHeight="1" x14ac:dyDescent="0.25">
      <c r="A138" s="73"/>
      <c r="B138" s="77"/>
      <c r="C138" s="85" t="s">
        <v>210</v>
      </c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84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65"/>
      <c r="BI138" s="65"/>
      <c r="BJ138" s="65"/>
      <c r="BK138" s="64"/>
    </row>
    <row r="139" spans="1:63" s="76" customFormat="1" ht="15" customHeight="1" x14ac:dyDescent="0.25">
      <c r="A139" s="73"/>
      <c r="B139" s="77"/>
      <c r="C139" s="85" t="s">
        <v>102</v>
      </c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84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65"/>
      <c r="BI139" s="65"/>
      <c r="BJ139" s="65"/>
      <c r="BK139" s="64"/>
    </row>
    <row r="140" spans="1:63" s="76" customFormat="1" ht="15" customHeight="1" x14ac:dyDescent="0.25">
      <c r="A140" s="73"/>
      <c r="B140" s="77"/>
      <c r="C140" s="85" t="s">
        <v>219</v>
      </c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84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  <c r="BG140" s="77"/>
      <c r="BH140" s="65"/>
      <c r="BI140" s="65"/>
      <c r="BJ140" s="65"/>
      <c r="BK140" s="64"/>
    </row>
    <row r="141" spans="1:63" s="76" customFormat="1" ht="15" customHeight="1" x14ac:dyDescent="0.25">
      <c r="A141" s="73"/>
      <c r="B141" s="77"/>
      <c r="C141" s="85" t="s">
        <v>220</v>
      </c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84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7"/>
      <c r="BH141" s="65"/>
      <c r="BI141" s="65"/>
      <c r="BJ141" s="65"/>
      <c r="BK141" s="64"/>
    </row>
    <row r="142" spans="1:63" s="76" customFormat="1" ht="15" customHeight="1" x14ac:dyDescent="0.25">
      <c r="A142" s="73"/>
      <c r="B142" s="77"/>
      <c r="C142" s="85" t="s">
        <v>221</v>
      </c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84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  <c r="BG142" s="77"/>
      <c r="BH142" s="65"/>
      <c r="BI142" s="65"/>
      <c r="BJ142" s="65"/>
      <c r="BK142" s="64"/>
    </row>
    <row r="143" spans="1:63" s="76" customFormat="1" ht="15" customHeight="1" x14ac:dyDescent="0.25">
      <c r="A143" s="73"/>
      <c r="B143" s="77"/>
      <c r="C143" s="73" t="s">
        <v>103</v>
      </c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84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65"/>
      <c r="BI143" s="65"/>
      <c r="BJ143" s="65"/>
      <c r="BK143" s="64"/>
    </row>
    <row r="144" spans="1:63" s="76" customFormat="1" ht="15" customHeight="1" x14ac:dyDescent="0.25">
      <c r="A144" s="73"/>
      <c r="B144" s="77"/>
      <c r="C144" s="73" t="s">
        <v>39</v>
      </c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84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  <c r="BG144" s="77"/>
      <c r="BH144" s="65"/>
      <c r="BI144" s="65"/>
      <c r="BJ144" s="65"/>
      <c r="BK144" s="64"/>
    </row>
    <row r="145" spans="1:63" s="76" customFormat="1" ht="15" customHeight="1" x14ac:dyDescent="0.25">
      <c r="A145" s="73"/>
      <c r="B145" s="77"/>
      <c r="C145" s="87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9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65"/>
      <c r="BI145" s="65"/>
      <c r="BJ145" s="65"/>
      <c r="BK145" s="64"/>
    </row>
    <row r="146" spans="1:63" s="76" customFormat="1" ht="15" customHeight="1" x14ac:dyDescent="0.25">
      <c r="A146" s="73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  <c r="BF146" s="77"/>
      <c r="BG146" s="77"/>
      <c r="BH146" s="65"/>
      <c r="BI146" s="65"/>
      <c r="BJ146" s="65"/>
      <c r="BK146" s="64"/>
    </row>
    <row r="147" spans="1:63" s="76" customFormat="1" ht="15" customHeight="1" x14ac:dyDescent="0.25">
      <c r="A147" s="73"/>
      <c r="B147" s="77"/>
      <c r="C147" s="31" t="s">
        <v>222</v>
      </c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65"/>
      <c r="BI147" s="65"/>
      <c r="BJ147" s="65"/>
      <c r="BK147" s="64"/>
    </row>
    <row r="148" spans="1:63" s="76" customFormat="1" ht="15" customHeight="1" x14ac:dyDescent="0.25">
      <c r="A148" s="73"/>
      <c r="B148" s="77"/>
      <c r="C148" s="31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65"/>
      <c r="BI148" s="65"/>
      <c r="BJ148" s="65"/>
      <c r="BK148" s="64"/>
    </row>
    <row r="149" spans="1:63" s="76" customFormat="1" ht="15" customHeight="1" x14ac:dyDescent="0.25">
      <c r="A149" s="73"/>
      <c r="B149" s="77"/>
      <c r="C149" s="31" t="s">
        <v>40</v>
      </c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65"/>
      <c r="BI149" s="65"/>
      <c r="BJ149" s="65"/>
      <c r="BK149" s="64"/>
    </row>
    <row r="150" spans="1:63" s="36" customFormat="1" ht="15" customHeight="1" x14ac:dyDescent="0.25">
      <c r="A150" s="32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4"/>
      <c r="BI150" s="34"/>
      <c r="BJ150" s="34"/>
      <c r="BK150" s="35"/>
    </row>
  </sheetData>
  <mergeCells count="337">
    <mergeCell ref="C68:D68"/>
    <mergeCell ref="E68:K68"/>
    <mergeCell ref="L68:R68"/>
    <mergeCell ref="S68:AB68"/>
    <mergeCell ref="AC68:AU68"/>
    <mergeCell ref="S65:AB65"/>
    <mergeCell ref="AC65:AU65"/>
    <mergeCell ref="C66:D66"/>
    <mergeCell ref="E66:K66"/>
    <mergeCell ref="L66:R66"/>
    <mergeCell ref="S66:AB66"/>
    <mergeCell ref="AC66:AU66"/>
    <mergeCell ref="C67:D67"/>
    <mergeCell ref="E67:K67"/>
    <mergeCell ref="L67:R67"/>
    <mergeCell ref="S67:AB67"/>
    <mergeCell ref="AC67:AU67"/>
    <mergeCell ref="C59:D59"/>
    <mergeCell ref="E59:K59"/>
    <mergeCell ref="L59:R59"/>
    <mergeCell ref="S59:AB59"/>
    <mergeCell ref="AC59:AU59"/>
    <mergeCell ref="C60:D60"/>
    <mergeCell ref="E60:K60"/>
    <mergeCell ref="L60:R60"/>
    <mergeCell ref="S60:AB60"/>
    <mergeCell ref="AC60:AU60"/>
    <mergeCell ref="C61:D61"/>
    <mergeCell ref="E61:K61"/>
    <mergeCell ref="L61:R61"/>
    <mergeCell ref="S61:AB61"/>
    <mergeCell ref="AC61:AU61"/>
    <mergeCell ref="C62:D62"/>
    <mergeCell ref="E62:K62"/>
    <mergeCell ref="L62:R62"/>
    <mergeCell ref="S62:AB62"/>
    <mergeCell ref="C88:D88"/>
    <mergeCell ref="E88:K88"/>
    <mergeCell ref="L88:R88"/>
    <mergeCell ref="S88:AB88"/>
    <mergeCell ref="AC88:AU88"/>
    <mergeCell ref="C86:D86"/>
    <mergeCell ref="C87:D87"/>
    <mergeCell ref="E87:K87"/>
    <mergeCell ref="L87:R87"/>
    <mergeCell ref="S87:AB87"/>
    <mergeCell ref="AC87:AU87"/>
    <mergeCell ref="E86:K86"/>
    <mergeCell ref="L86:R86"/>
    <mergeCell ref="S86:AB86"/>
    <mergeCell ref="AC86:AU86"/>
    <mergeCell ref="C84:D84"/>
    <mergeCell ref="E84:K84"/>
    <mergeCell ref="L84:R84"/>
    <mergeCell ref="S84:AB84"/>
    <mergeCell ref="AC84:AU84"/>
    <mergeCell ref="C85:D85"/>
    <mergeCell ref="E85:K85"/>
    <mergeCell ref="L85:R85"/>
    <mergeCell ref="S85:AB85"/>
    <mergeCell ref="AC85:AU85"/>
    <mergeCell ref="C82:D82"/>
    <mergeCell ref="E82:K82"/>
    <mergeCell ref="L82:R82"/>
    <mergeCell ref="S82:AB82"/>
    <mergeCell ref="AC82:AU82"/>
    <mergeCell ref="C83:D83"/>
    <mergeCell ref="E83:K83"/>
    <mergeCell ref="L83:R83"/>
    <mergeCell ref="S83:AB83"/>
    <mergeCell ref="AC83:AU83"/>
    <mergeCell ref="C80:D80"/>
    <mergeCell ref="E80:K80"/>
    <mergeCell ref="L80:R80"/>
    <mergeCell ref="S80:AB80"/>
    <mergeCell ref="AC80:AU80"/>
    <mergeCell ref="C81:D81"/>
    <mergeCell ref="E81:K81"/>
    <mergeCell ref="L81:R81"/>
    <mergeCell ref="S81:AB81"/>
    <mergeCell ref="AC81:AU81"/>
    <mergeCell ref="C78:D78"/>
    <mergeCell ref="E78:K78"/>
    <mergeCell ref="L78:R78"/>
    <mergeCell ref="S78:AB78"/>
    <mergeCell ref="AC78:AU78"/>
    <mergeCell ref="C79:D79"/>
    <mergeCell ref="E79:K79"/>
    <mergeCell ref="L79:R79"/>
    <mergeCell ref="S79:AB79"/>
    <mergeCell ref="AC79:AU79"/>
    <mergeCell ref="C76:D76"/>
    <mergeCell ref="E76:K76"/>
    <mergeCell ref="L76:R76"/>
    <mergeCell ref="S76:AB76"/>
    <mergeCell ref="AC76:AU76"/>
    <mergeCell ref="C77:D77"/>
    <mergeCell ref="E77:K77"/>
    <mergeCell ref="L77:R77"/>
    <mergeCell ref="S77:AB77"/>
    <mergeCell ref="AC77:AU77"/>
    <mergeCell ref="C74:D74"/>
    <mergeCell ref="E74:K74"/>
    <mergeCell ref="L74:R74"/>
    <mergeCell ref="S74:AB74"/>
    <mergeCell ref="AC74:AU74"/>
    <mergeCell ref="C75:D75"/>
    <mergeCell ref="E75:K75"/>
    <mergeCell ref="L75:R75"/>
    <mergeCell ref="S75:AB75"/>
    <mergeCell ref="AC75:AU75"/>
    <mergeCell ref="C72:D72"/>
    <mergeCell ref="E72:K72"/>
    <mergeCell ref="L72:R72"/>
    <mergeCell ref="S72:AB72"/>
    <mergeCell ref="AC72:AU72"/>
    <mergeCell ref="C73:D73"/>
    <mergeCell ref="E73:K73"/>
    <mergeCell ref="L73:R73"/>
    <mergeCell ref="S73:AB73"/>
    <mergeCell ref="AC73:AU73"/>
    <mergeCell ref="C70:D70"/>
    <mergeCell ref="E70:K70"/>
    <mergeCell ref="L70:R70"/>
    <mergeCell ref="S70:AB70"/>
    <mergeCell ref="AC70:AU70"/>
    <mergeCell ref="C71:D71"/>
    <mergeCell ref="E71:K71"/>
    <mergeCell ref="L71:R71"/>
    <mergeCell ref="S71:AB71"/>
    <mergeCell ref="AC71:AU71"/>
    <mergeCell ref="C58:D58"/>
    <mergeCell ref="E58:K58"/>
    <mergeCell ref="L58:R58"/>
    <mergeCell ref="S58:AB58"/>
    <mergeCell ref="AC58:AU58"/>
    <mergeCell ref="C69:D69"/>
    <mergeCell ref="E69:K69"/>
    <mergeCell ref="L69:R69"/>
    <mergeCell ref="S69:AB69"/>
    <mergeCell ref="AC69:AU69"/>
    <mergeCell ref="AC62:AU62"/>
    <mergeCell ref="C63:D63"/>
    <mergeCell ref="E63:K63"/>
    <mergeCell ref="L63:R63"/>
    <mergeCell ref="S63:AB63"/>
    <mergeCell ref="AC63:AU63"/>
    <mergeCell ref="C64:D64"/>
    <mergeCell ref="E64:K64"/>
    <mergeCell ref="L64:R64"/>
    <mergeCell ref="S64:AB64"/>
    <mergeCell ref="AC64:AU64"/>
    <mergeCell ref="C65:D65"/>
    <mergeCell ref="E65:K65"/>
    <mergeCell ref="L65:R65"/>
    <mergeCell ref="C57:D57"/>
    <mergeCell ref="E57:K57"/>
    <mergeCell ref="L57:R57"/>
    <mergeCell ref="S57:AB57"/>
    <mergeCell ref="AC57:AU57"/>
    <mergeCell ref="C56:D56"/>
    <mergeCell ref="E56:K56"/>
    <mergeCell ref="L56:R56"/>
    <mergeCell ref="S56:AB56"/>
    <mergeCell ref="AC56:AU5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C22:D22"/>
    <mergeCell ref="O23:R23"/>
    <mergeCell ref="L22:N22"/>
    <mergeCell ref="L23:N23"/>
    <mergeCell ref="E25:K25"/>
    <mergeCell ref="O21:R21"/>
    <mergeCell ref="L21:N21"/>
    <mergeCell ref="C24:D24"/>
    <mergeCell ref="E24:K24"/>
    <mergeCell ref="C25:D25"/>
    <mergeCell ref="C23:D23"/>
    <mergeCell ref="S23:Y23"/>
    <mergeCell ref="O34:R34"/>
    <mergeCell ref="E34:K34"/>
    <mergeCell ref="S22:Y22"/>
    <mergeCell ref="Z22:AP22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E22:K22"/>
    <mergeCell ref="E23:K23"/>
    <mergeCell ref="L31:N31"/>
    <mergeCell ref="O31:R31"/>
    <mergeCell ref="Z31:AP31"/>
    <mergeCell ref="L33:N33"/>
    <mergeCell ref="O35:R35"/>
    <mergeCell ref="O32:R32"/>
    <mergeCell ref="C32:D32"/>
    <mergeCell ref="C33:D33"/>
    <mergeCell ref="O33:R33"/>
    <mergeCell ref="C35:D35"/>
    <mergeCell ref="E35:K35"/>
    <mergeCell ref="Z33:AP33"/>
    <mergeCell ref="Z34:AP34"/>
    <mergeCell ref="AC44:AU44"/>
    <mergeCell ref="AQ35:BJ35"/>
    <mergeCell ref="C34:D34"/>
    <mergeCell ref="C36:D36"/>
    <mergeCell ref="AQ36:BJ36"/>
    <mergeCell ref="AQ34:BJ34"/>
    <mergeCell ref="AQ33:BJ33"/>
    <mergeCell ref="E33:K33"/>
    <mergeCell ref="S33:Y33"/>
    <mergeCell ref="S35:Y35"/>
    <mergeCell ref="S44:AB44"/>
    <mergeCell ref="L35:N35"/>
    <mergeCell ref="Z35:AP35"/>
    <mergeCell ref="E44:K44"/>
    <mergeCell ref="E36:K36"/>
    <mergeCell ref="L36:N36"/>
    <mergeCell ref="O36:R36"/>
    <mergeCell ref="S36:Y36"/>
    <mergeCell ref="Z36:AP36"/>
    <mergeCell ref="L34:N34"/>
    <mergeCell ref="S34:Y34"/>
    <mergeCell ref="AQ21:BJ21"/>
    <mergeCell ref="AQ23:BJ23"/>
    <mergeCell ref="AQ22:BJ22"/>
    <mergeCell ref="E21:K21"/>
    <mergeCell ref="C21:D21"/>
    <mergeCell ref="S21:Y21"/>
    <mergeCell ref="Z21:AP21"/>
    <mergeCell ref="O22:R22"/>
    <mergeCell ref="AQ32:BJ32"/>
    <mergeCell ref="Z32:AP32"/>
    <mergeCell ref="C26:D26"/>
    <mergeCell ref="E26:K26"/>
    <mergeCell ref="L26:N26"/>
    <mergeCell ref="O26:R26"/>
    <mergeCell ref="S26:Y26"/>
    <mergeCell ref="Z26:AP26"/>
    <mergeCell ref="AQ26:BJ26"/>
    <mergeCell ref="E32:K32"/>
    <mergeCell ref="S32:Y32"/>
    <mergeCell ref="AQ31:BJ31"/>
    <mergeCell ref="C31:D31"/>
    <mergeCell ref="E31:K31"/>
    <mergeCell ref="S31:Y31"/>
    <mergeCell ref="L32:N32"/>
    <mergeCell ref="AC45:AU45"/>
    <mergeCell ref="S48:AB48"/>
    <mergeCell ref="AC46:AU46"/>
    <mergeCell ref="L47:R47"/>
    <mergeCell ref="S47:AB47"/>
    <mergeCell ref="AC47:AU47"/>
    <mergeCell ref="C46:D46"/>
    <mergeCell ref="C44:D44"/>
    <mergeCell ref="E48:K48"/>
    <mergeCell ref="C45:D45"/>
    <mergeCell ref="E45:K45"/>
    <mergeCell ref="L44:R44"/>
    <mergeCell ref="L46:R46"/>
    <mergeCell ref="L48:R48"/>
    <mergeCell ref="L49:R49"/>
    <mergeCell ref="L51:R51"/>
    <mergeCell ref="L50:R50"/>
    <mergeCell ref="S50:AB50"/>
    <mergeCell ref="L45:R45"/>
    <mergeCell ref="S45:AB45"/>
    <mergeCell ref="E46:K46"/>
    <mergeCell ref="S46:AB46"/>
    <mergeCell ref="AC55:AU55"/>
    <mergeCell ref="C52:D52"/>
    <mergeCell ref="E52:K52"/>
    <mergeCell ref="L52:R52"/>
    <mergeCell ref="S52:AB52"/>
    <mergeCell ref="AC52:AU52"/>
    <mergeCell ref="C55:D55"/>
    <mergeCell ref="E55:K55"/>
    <mergeCell ref="L55:R55"/>
    <mergeCell ref="S55:AB55"/>
    <mergeCell ref="C53:D53"/>
    <mergeCell ref="E53:K53"/>
    <mergeCell ref="L53:R53"/>
    <mergeCell ref="S53:AB53"/>
    <mergeCell ref="AC53:AU53"/>
    <mergeCell ref="C54:D54"/>
    <mergeCell ref="E54:K54"/>
    <mergeCell ref="L54:R54"/>
    <mergeCell ref="S54:AB54"/>
    <mergeCell ref="AC54:AU54"/>
    <mergeCell ref="C47:D47"/>
    <mergeCell ref="E47:K47"/>
    <mergeCell ref="C51:D51"/>
    <mergeCell ref="C50:D50"/>
    <mergeCell ref="E50:K50"/>
    <mergeCell ref="C48:D48"/>
    <mergeCell ref="C49:D49"/>
    <mergeCell ref="S49:AB49"/>
    <mergeCell ref="AC48:AU48"/>
    <mergeCell ref="AC49:AU49"/>
    <mergeCell ref="AC51:AU51"/>
    <mergeCell ref="AC50:AU50"/>
    <mergeCell ref="S51:AB51"/>
    <mergeCell ref="E49:K49"/>
    <mergeCell ref="E51:K51"/>
  </mergeCells>
  <pageMargins left="0.7" right="0.7" top="0.75" bottom="0.75" header="0.3" footer="0.3"/>
  <pageSetup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207" t="s">
        <v>114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115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10" t="s">
        <v>111</v>
      </c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2"/>
      <c r="AP1" s="180" t="s">
        <v>116</v>
      </c>
      <c r="AQ1" s="181"/>
      <c r="AR1" s="181"/>
      <c r="AS1" s="182"/>
      <c r="AT1" s="180" t="s">
        <v>117</v>
      </c>
      <c r="AU1" s="181"/>
      <c r="AV1" s="181"/>
      <c r="AW1" s="181"/>
      <c r="AX1" s="182"/>
      <c r="AY1" s="180" t="s">
        <v>118</v>
      </c>
      <c r="AZ1" s="181"/>
      <c r="BA1" s="181"/>
      <c r="BB1" s="182"/>
      <c r="BC1" s="180" t="s">
        <v>119</v>
      </c>
      <c r="BD1" s="181"/>
      <c r="BE1" s="181"/>
      <c r="BF1" s="181"/>
      <c r="BG1" s="182"/>
      <c r="BH1" s="180" t="s">
        <v>120</v>
      </c>
      <c r="BI1" s="181"/>
      <c r="BJ1" s="181"/>
      <c r="BK1" s="182"/>
    </row>
    <row r="2" spans="1:63" ht="15" customHeight="1" x14ac:dyDescent="0.25">
      <c r="A2" s="201" t="s">
        <v>110</v>
      </c>
      <c r="B2" s="202"/>
      <c r="C2" s="202"/>
      <c r="D2" s="202"/>
      <c r="E2" s="202"/>
      <c r="F2" s="202"/>
      <c r="G2" s="202"/>
      <c r="H2" s="202"/>
      <c r="I2" s="202"/>
      <c r="J2" s="203"/>
      <c r="K2" s="201" t="s">
        <v>110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13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5"/>
      <c r="AP2" s="138" t="s">
        <v>107</v>
      </c>
      <c r="AQ2" s="139"/>
      <c r="AR2" s="139"/>
      <c r="AS2" s="140"/>
      <c r="AT2" s="175">
        <v>45498</v>
      </c>
      <c r="AU2" s="196"/>
      <c r="AV2" s="196"/>
      <c r="AW2" s="196"/>
      <c r="AX2" s="197"/>
      <c r="AY2" s="138" t="s">
        <v>108</v>
      </c>
      <c r="AZ2" s="139"/>
      <c r="BA2" s="139"/>
      <c r="BB2" s="140"/>
      <c r="BC2" s="175">
        <v>45805</v>
      </c>
      <c r="BD2" s="196"/>
      <c r="BE2" s="196"/>
      <c r="BF2" s="196"/>
      <c r="BG2" s="197"/>
      <c r="BH2" s="138">
        <v>0.33</v>
      </c>
      <c r="BI2" s="139"/>
      <c r="BJ2" s="139"/>
      <c r="BK2" s="140"/>
    </row>
    <row r="3" spans="1:63" ht="15" customHeight="1" x14ac:dyDescent="0.25">
      <c r="A3" s="204"/>
      <c r="B3" s="205"/>
      <c r="C3" s="205"/>
      <c r="D3" s="205"/>
      <c r="E3" s="205"/>
      <c r="F3" s="205"/>
      <c r="G3" s="205"/>
      <c r="H3" s="205"/>
      <c r="I3" s="205"/>
      <c r="J3" s="206"/>
      <c r="K3" s="204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6"/>
      <c r="W3" s="216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8"/>
      <c r="AP3" s="141"/>
      <c r="AQ3" s="142"/>
      <c r="AR3" s="142"/>
      <c r="AS3" s="143"/>
      <c r="AT3" s="198"/>
      <c r="AU3" s="199"/>
      <c r="AV3" s="199"/>
      <c r="AW3" s="199"/>
      <c r="AX3" s="200"/>
      <c r="AY3" s="141"/>
      <c r="AZ3" s="142"/>
      <c r="BA3" s="142"/>
      <c r="BB3" s="143"/>
      <c r="BC3" s="198"/>
      <c r="BD3" s="199"/>
      <c r="BE3" s="199"/>
      <c r="BF3" s="199"/>
      <c r="BG3" s="200"/>
      <c r="BH3" s="141"/>
      <c r="BI3" s="142"/>
      <c r="BJ3" s="142"/>
      <c r="BK3" s="143"/>
    </row>
    <row r="4" spans="1:63" ht="24.95" customHeight="1" x14ac:dyDescent="0.25">
      <c r="A4" s="207" t="s">
        <v>121</v>
      </c>
      <c r="B4" s="208"/>
      <c r="C4" s="208"/>
      <c r="D4" s="208"/>
      <c r="E4" s="208"/>
      <c r="F4" s="208"/>
      <c r="G4" s="209"/>
      <c r="H4" s="219" t="s">
        <v>109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  <c r="U4" s="207" t="s">
        <v>122</v>
      </c>
      <c r="V4" s="208"/>
      <c r="W4" s="208"/>
      <c r="X4" s="208"/>
      <c r="Y4" s="209"/>
      <c r="Z4" s="219" t="s">
        <v>112</v>
      </c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1"/>
      <c r="AP4" s="222" t="str">
        <f ca="1">MID(CELL("filename",A1),FIND("]",CELL("filename",A1))+1,255)</f>
        <v>処理フロー</v>
      </c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  <c r="BB4" s="220"/>
      <c r="BC4" s="220"/>
      <c r="BD4" s="220"/>
      <c r="BE4" s="220"/>
      <c r="BF4" s="220"/>
      <c r="BG4" s="220"/>
      <c r="BH4" s="220"/>
      <c r="BI4" s="220"/>
      <c r="BJ4" s="220"/>
      <c r="BK4" s="221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65" customFormat="1" ht="15" customHeight="1" x14ac:dyDescent="0.25">
      <c r="B7" s="29"/>
      <c r="C7" s="28"/>
      <c r="D7" s="28"/>
      <c r="E7" s="28"/>
      <c r="F7" s="28"/>
      <c r="G7" s="28"/>
      <c r="AI7" s="90"/>
      <c r="BJ7" s="90"/>
      <c r="BK7" s="64"/>
    </row>
    <row r="8" spans="1:63" s="65" customFormat="1" ht="15" customHeight="1" x14ac:dyDescent="0.25">
      <c r="B8" s="29"/>
      <c r="C8" s="28"/>
      <c r="D8" s="28"/>
      <c r="E8" s="28"/>
      <c r="F8" s="28"/>
      <c r="G8" s="28"/>
      <c r="AI8" s="90"/>
      <c r="BJ8" s="90"/>
      <c r="BK8" s="64"/>
    </row>
    <row r="9" spans="1:63" s="65" customFormat="1" ht="15" customHeight="1" x14ac:dyDescent="0.25">
      <c r="B9" s="29"/>
      <c r="C9" s="28"/>
      <c r="D9" s="28"/>
      <c r="E9" s="28"/>
      <c r="F9" s="28"/>
      <c r="G9" s="28"/>
      <c r="AI9" s="90"/>
      <c r="BJ9" s="90"/>
      <c r="BK9" s="64"/>
    </row>
    <row r="10" spans="1:63" s="65" customFormat="1" ht="15" customHeight="1" x14ac:dyDescent="0.25">
      <c r="B10" s="91"/>
      <c r="AI10" s="90"/>
      <c r="BJ10" s="90"/>
      <c r="BK10" s="64"/>
    </row>
    <row r="11" spans="1:63" s="65" customFormat="1" ht="15" customHeight="1" x14ac:dyDescent="0.25">
      <c r="B11" s="91"/>
      <c r="AI11" s="90"/>
      <c r="BJ11" s="90"/>
      <c r="BK11" s="64"/>
    </row>
    <row r="12" spans="1:63" s="65" customFormat="1" ht="15" customHeight="1" x14ac:dyDescent="0.25">
      <c r="B12" s="91"/>
      <c r="AI12" s="90"/>
      <c r="BJ12" s="90"/>
      <c r="BK12" s="64"/>
    </row>
    <row r="13" spans="1:63" s="65" customFormat="1" ht="15" customHeight="1" x14ac:dyDescent="0.25">
      <c r="B13" s="91"/>
      <c r="AI13" s="90"/>
      <c r="BJ13" s="90"/>
      <c r="BK13" s="64"/>
    </row>
    <row r="14" spans="1:63" s="65" customFormat="1" ht="15" customHeight="1" x14ac:dyDescent="0.25">
      <c r="B14" s="91"/>
      <c r="AI14" s="90"/>
      <c r="BJ14" s="90"/>
      <c r="BK14" s="64"/>
    </row>
    <row r="15" spans="1:63" s="65" customFormat="1" ht="15" customHeight="1" x14ac:dyDescent="0.25">
      <c r="B15" s="91"/>
      <c r="AI15" s="90"/>
      <c r="BJ15" s="90"/>
      <c r="BK15" s="64"/>
    </row>
    <row r="16" spans="1:63" s="65" customFormat="1" ht="15" customHeight="1" x14ac:dyDescent="0.25">
      <c r="B16" s="91"/>
      <c r="AI16" s="90"/>
      <c r="BJ16" s="90"/>
      <c r="BK16" s="64"/>
    </row>
    <row r="17" spans="2:63" s="65" customFormat="1" ht="15" customHeight="1" x14ac:dyDescent="0.25">
      <c r="B17" s="91"/>
      <c r="AI17" s="90"/>
      <c r="BJ17" s="90"/>
      <c r="BK17" s="64"/>
    </row>
    <row r="18" spans="2:63" s="65" customFormat="1" ht="15" customHeight="1" x14ac:dyDescent="0.25">
      <c r="B18" s="91"/>
      <c r="AI18" s="90"/>
      <c r="BJ18" s="90"/>
      <c r="BK18" s="64"/>
    </row>
    <row r="19" spans="2:63" s="65" customFormat="1" ht="15" customHeight="1" x14ac:dyDescent="0.25">
      <c r="B19" s="91"/>
      <c r="AI19" s="90"/>
      <c r="BJ19" s="90"/>
      <c r="BK19" s="64"/>
    </row>
    <row r="20" spans="2:63" s="65" customFormat="1" ht="15" customHeight="1" x14ac:dyDescent="0.25">
      <c r="B20" s="91"/>
      <c r="AI20" s="90"/>
      <c r="BJ20" s="90"/>
      <c r="BK20" s="64"/>
    </row>
    <row r="21" spans="2:63" s="65" customFormat="1" ht="15" customHeight="1" x14ac:dyDescent="0.25">
      <c r="B21" s="91"/>
      <c r="AI21" s="90"/>
      <c r="BJ21" s="90"/>
      <c r="BK21" s="64"/>
    </row>
    <row r="22" spans="2:63" s="65" customFormat="1" ht="15" customHeight="1" x14ac:dyDescent="0.25">
      <c r="B22" s="91"/>
      <c r="AI22" s="90"/>
      <c r="BJ22" s="90"/>
      <c r="BK22" s="64"/>
    </row>
    <row r="23" spans="2:63" s="65" customFormat="1" ht="15" customHeight="1" x14ac:dyDescent="0.25">
      <c r="B23" s="91"/>
      <c r="AI23" s="90"/>
      <c r="BJ23" s="90"/>
      <c r="BK23" s="64"/>
    </row>
    <row r="24" spans="2:63" s="65" customFormat="1" ht="15" customHeight="1" x14ac:dyDescent="0.25">
      <c r="B24" s="91"/>
      <c r="AI24" s="90"/>
      <c r="BJ24" s="90"/>
      <c r="BK24" s="64"/>
    </row>
    <row r="25" spans="2:63" s="65" customFormat="1" ht="15" customHeight="1" x14ac:dyDescent="0.25">
      <c r="B25" s="91"/>
      <c r="AI25" s="90"/>
      <c r="BJ25" s="90"/>
      <c r="BK25" s="64"/>
    </row>
    <row r="26" spans="2:63" s="65" customFormat="1" ht="15" customHeight="1" x14ac:dyDescent="0.25">
      <c r="B26" s="91"/>
      <c r="AI26" s="90"/>
      <c r="BJ26" s="90"/>
      <c r="BK26" s="64"/>
    </row>
    <row r="27" spans="2:63" s="65" customFormat="1" ht="15" customHeight="1" x14ac:dyDescent="0.25">
      <c r="B27" s="91"/>
      <c r="AI27" s="90"/>
      <c r="BJ27" s="90"/>
      <c r="BK27" s="64"/>
    </row>
    <row r="28" spans="2:63" s="65" customFormat="1" ht="15" customHeight="1" x14ac:dyDescent="0.25">
      <c r="B28" s="91"/>
      <c r="AI28" s="90"/>
      <c r="BJ28" s="90"/>
      <c r="BK28" s="64"/>
    </row>
    <row r="29" spans="2:63" s="65" customFormat="1" ht="15" customHeight="1" x14ac:dyDescent="0.25">
      <c r="B29" s="91"/>
      <c r="AI29" s="90"/>
      <c r="BJ29" s="90"/>
      <c r="BK29" s="64"/>
    </row>
    <row r="30" spans="2:63" s="65" customFormat="1" ht="15" customHeight="1" x14ac:dyDescent="0.25">
      <c r="B30" s="91"/>
      <c r="AI30" s="90"/>
      <c r="BJ30" s="90"/>
      <c r="BK30" s="64"/>
    </row>
    <row r="31" spans="2:63" s="65" customFormat="1" ht="15" customHeight="1" x14ac:dyDescent="0.25">
      <c r="B31" s="91"/>
      <c r="AI31" s="90"/>
      <c r="BJ31" s="90"/>
      <c r="BK31" s="64"/>
    </row>
    <row r="32" spans="2:63" s="65" customFormat="1" ht="15" customHeight="1" x14ac:dyDescent="0.25">
      <c r="B32" s="91"/>
      <c r="AI32" s="90"/>
      <c r="BJ32" s="90"/>
      <c r="BK32" s="64"/>
    </row>
    <row r="33" spans="1:63" s="65" customFormat="1" ht="15" customHeight="1" x14ac:dyDescent="0.25">
      <c r="B33" s="91"/>
      <c r="AI33" s="90"/>
      <c r="BJ33" s="90"/>
      <c r="BK33" s="64"/>
    </row>
    <row r="34" spans="1:63" s="65" customFormat="1" ht="15" customHeight="1" x14ac:dyDescent="0.25">
      <c r="B34" s="91"/>
      <c r="AI34" s="90"/>
      <c r="BJ34" s="90"/>
      <c r="BK34" s="64"/>
    </row>
    <row r="35" spans="1:63" s="65" customFormat="1" ht="15" customHeight="1" x14ac:dyDescent="0.25">
      <c r="B35" s="91"/>
      <c r="AI35" s="90"/>
      <c r="BJ35" s="90"/>
      <c r="BK35" s="64"/>
    </row>
    <row r="36" spans="1:63" s="65" customFormat="1" ht="15" customHeight="1" x14ac:dyDescent="0.25">
      <c r="B36" s="91"/>
      <c r="AI36" s="90"/>
      <c r="BJ36" s="90"/>
      <c r="BK36" s="64"/>
    </row>
    <row r="37" spans="1:63" s="65" customFormat="1" ht="15" customHeight="1" x14ac:dyDescent="0.25">
      <c r="B37" s="91"/>
      <c r="AI37" s="90"/>
      <c r="BJ37" s="90"/>
      <c r="BK37" s="64"/>
    </row>
    <row r="38" spans="1:63" s="65" customFormat="1" ht="15" customHeight="1" x14ac:dyDescent="0.25">
      <c r="B38" s="91"/>
      <c r="AI38" s="90"/>
      <c r="BJ38" s="90"/>
      <c r="BK38" s="64"/>
    </row>
    <row r="39" spans="1:63" s="65" customFormat="1" ht="15" customHeight="1" x14ac:dyDescent="0.25">
      <c r="B39" s="91"/>
      <c r="AI39" s="90"/>
      <c r="BJ39" s="90"/>
      <c r="BK39" s="64"/>
    </row>
    <row r="40" spans="1:63" s="65" customFormat="1" ht="15" customHeight="1" x14ac:dyDescent="0.25">
      <c r="B40" s="91"/>
      <c r="AI40" s="90"/>
      <c r="BJ40" s="90"/>
      <c r="BK40" s="64"/>
    </row>
    <row r="41" spans="1:63" s="65" customFormat="1" ht="15" customHeight="1" x14ac:dyDescent="0.25">
      <c r="B41" s="91"/>
      <c r="AI41" s="90"/>
      <c r="BJ41" s="90"/>
      <c r="BK41" s="64"/>
    </row>
    <row r="42" spans="1:63" s="65" customFormat="1" ht="15" customHeight="1" x14ac:dyDescent="0.25">
      <c r="B42" s="91"/>
      <c r="AI42" s="90"/>
      <c r="BJ42" s="90"/>
      <c r="BK42" s="64"/>
    </row>
    <row r="43" spans="1:63" s="65" customFormat="1" ht="15" customHeight="1" x14ac:dyDescent="0.25">
      <c r="B43" s="91"/>
      <c r="AI43" s="90"/>
      <c r="BJ43" s="90"/>
      <c r="BK43" s="64"/>
    </row>
    <row r="44" spans="1:63" s="65" customFormat="1" ht="15" customHeight="1" x14ac:dyDescent="0.25">
      <c r="B44" s="91"/>
      <c r="AI44" s="90"/>
      <c r="BJ44" s="90"/>
      <c r="BK44" s="64"/>
    </row>
    <row r="45" spans="1:63" s="65" customFormat="1" ht="15" customHeight="1" x14ac:dyDescent="0.25">
      <c r="B45" s="91"/>
      <c r="AI45" s="90"/>
      <c r="BJ45" s="90"/>
      <c r="BK45" s="64"/>
    </row>
    <row r="46" spans="1:63" s="65" customFormat="1" ht="15" customHeight="1" x14ac:dyDescent="0.25">
      <c r="B46" s="91"/>
      <c r="AI46" s="90"/>
      <c r="BJ46" s="90"/>
      <c r="BK46" s="64"/>
    </row>
    <row r="47" spans="1:63" ht="15" customHeight="1" x14ac:dyDescent="0.25">
      <c r="B47" s="24"/>
      <c r="AI47" s="26"/>
      <c r="BJ47" s="26"/>
      <c r="BK47" s="20"/>
    </row>
    <row r="48" spans="1:63" ht="15" customHeight="1" x14ac:dyDescent="0.25">
      <c r="A48" s="18"/>
      <c r="B48" s="25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27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7"/>
      <c r="BK48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2EC18C-3181-47A9-B03F-186FE3A48661}"/>
</file>

<file path=customXml/itemProps2.xml><?xml version="1.0" encoding="utf-8"?>
<ds:datastoreItem xmlns:ds="http://schemas.openxmlformats.org/officeDocument/2006/customXml" ds:itemID="{131226DD-C464-4785-8A43-EB1DA13BB5C5}"/>
</file>

<file path=customXml/itemProps3.xml><?xml version="1.0" encoding="utf-8"?>
<ds:datastoreItem xmlns:ds="http://schemas.openxmlformats.org/officeDocument/2006/customXml" ds:itemID="{D856AA26-4DD7-4DD5-813B-08A718826FE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‎表紙</vt:lpstr>
      <vt:lpstr>改訂履歴</vt:lpstr>
      <vt:lpstr>処理フロー凡例</vt:lpstr>
      <vt:lpstr>AP8201</vt:lpstr>
      <vt:lpstr>処理フロー</vt:lpstr>
      <vt:lpstr>'AP8201'!Print_Area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2025-06-25T02:36:25Z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