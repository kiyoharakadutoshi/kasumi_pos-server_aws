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24.xml" ContentType="application/vnd.openxmlformats-officedocument.spreadsheetml.comments+xml"/>
  <Override PartName="/xl/comments18.xml" ContentType="application/vnd.openxmlformats-officedocument.spreadsheetml.comments+xml"/>
  <Override PartName="/xl/comments25.xml" ContentType="application/vnd.openxmlformats-officedocument.spreadsheetml.comments+xml"/>
  <Override PartName="/xl/comments20.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17.xml" ContentType="application/vnd.openxmlformats-officedocument.spreadsheetml.comments+xml"/>
  <Override PartName="/xl/comments21.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22.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19.xml" ContentType="application/vnd.openxmlformats-officedocument.spreadsheetml.comments+xml"/>
  <Override PartName="/xl/comments33.xml" ContentType="application/vnd.openxmlformats-officedocument.spreadsheetml.comments+xml"/>
  <Override PartName="/xl/comments23.xml" ContentType="application/vnd.openxmlformats-officedocument.spreadsheetml.comments+xml"/>
  <Override PartName="/xl/comments3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https://kitkat44g-my.sharepoint.com/personal/kiyohara_kadutoshi_com1/Documents/●prjs_pos_system/30_implementation/32_design/JP/30_POSサーバー/50_DB定義/"/>
    </mc:Choice>
  </mc:AlternateContent>
  <xr:revisionPtr revIDLastSave="982" documentId="6_{01410690-5545-4C5E-86B2-3C61016323D2}" xr6:coauthVersionLast="47" xr6:coauthVersionMax="47" xr10:uidLastSave="{8124E963-1B63-4436-AB0E-FF81C33DF139}"/>
  <bookViews>
    <workbookView xWindow="-120" yWindow="-120" windowWidth="29040" windowHeight="15720" tabRatio="665" firstSheet="7" activeTab="11" xr2:uid="{8154B603-B968-49B9-B090-3F6EB617679B}"/>
  </bookViews>
  <sheets>
    <sheet name="表紙" sheetId="4" r:id="rId1"/>
    <sheet name="改廃履歴" sheetId="3" r:id="rId2"/>
    <sheet name="DB一覧" sheetId="7" r:id="rId3"/>
    <sheet name="ER" sheetId="14" r:id="rId4"/>
    <sheet name="POSメニュー" sheetId="16" r:id="rId5"/>
    <sheet name="売上情報" sheetId="10" r:id="rId6"/>
    <sheet name="売上情報(税)" sheetId="11" r:id="rId7"/>
    <sheet name="売上情報(値引)" sheetId="12" r:id="rId8"/>
    <sheet name="売上情報(支払)" sheetId="13" r:id="rId9"/>
    <sheet name="売上情報明細" sheetId="8" r:id="rId10"/>
    <sheet name="【釣銭機】在高情報" sheetId="15" r:id="rId11"/>
    <sheet name="商品マスタ" sheetId="18" r:id="rId12"/>
    <sheet name="商品拡張マスタ" sheetId="19" r:id="rId13"/>
    <sheet name="分類マスタ" sheetId="20" r:id="rId14"/>
    <sheet name="分類拡張マスタ" sheetId="36" r:id="rId15"/>
    <sheet name="特売マスタ" sheetId="21" r:id="rId16"/>
    <sheet name="MMマスタ" sheetId="22" r:id="rId17"/>
    <sheet name="ＭＭ商品マスタ" sheetId="23" r:id="rId18"/>
    <sheet name="MD階層値引マスタ（TBP用）" sheetId="24" r:id="rId19"/>
    <sheet name="担当者マスタ" sheetId="25" r:id="rId20"/>
    <sheet name="担当者拡張マスタ" sheetId="26" r:id="rId21"/>
    <sheet name="プリセットメニューマスタ" sheetId="17" r:id="rId22"/>
    <sheet name="プリセットメニューボタンマスタ" sheetId="35" r:id="rId23"/>
    <sheet name="税コードマスタ" sheetId="27" r:id="rId24"/>
    <sheet name="税グループ詳細マスタ" sheetId="28" r:id="rId25"/>
    <sheet name="税グループマスタ" sheetId="29" r:id="rId26"/>
    <sheet name="税タイプマスタ" sheetId="30" r:id="rId27"/>
    <sheet name="軽減税率マスタ" sheetId="31" r:id="rId28"/>
    <sheet name="券マスタ" sheetId="32" r:id="rId29"/>
    <sheet name="釣銭機回収設定マスタ" sheetId="33" r:id="rId30"/>
    <sheet name="レシートクーポン発券マスタ" sheetId="34" r:id="rId31"/>
    <sheet name="店舗マスタ" sheetId="39" r:id="rId32"/>
    <sheet name="POS機器設定" sheetId="37" r:id="rId33"/>
    <sheet name="釣銭機設定" sheetId="38" r:id="rId34"/>
    <sheet name="コードマスタ" sheetId="40" r:id="rId35"/>
    <sheet name="テンプレート" sheetId="2" r:id="rId36"/>
    <sheet name="メモ" sheetId="9" r:id="rId37"/>
    <sheet name="POS機器設定 (2)" sheetId="41" r:id="rId38"/>
    <sheet name="釣銭機設定 (2)" sheetId="42" r:id="rId39"/>
  </sheets>
  <externalReferences>
    <externalReference r:id="rId40"/>
  </externalReferences>
  <definedNames>
    <definedName name="_xlnm.Print_Area" localSheetId="37">'POS機器設定 (2)'!$A$1:$BK$195</definedName>
    <definedName name="_xlnm.Print_Area" localSheetId="21">プリセットメニューマスタ!$A$1:$CM$54</definedName>
    <definedName name="_xlnm.Print_Area" localSheetId="33">釣銭機設定!$A$1:$BK$96</definedName>
    <definedName name="_xlnm.Print_Area" localSheetId="38">'釣銭機設定 (2)'!$A$1:$BK$97</definedName>
    <definedName name="_xlnm.Print_Area" localSheetId="31">店舗マスタ!$A$1:$CQ$57</definedName>
    <definedName name="_xlnm.Print_Titles" localSheetId="3">ER!$1:$5</definedName>
    <definedName name="_xlnm.Print_Titles" localSheetId="33">釣銭機設定!$1:$5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T29" i="18" l="1"/>
  <c r="BT30" i="18"/>
  <c r="BT31" i="18"/>
  <c r="BT32" i="18"/>
  <c r="BT33" i="18"/>
  <c r="BT34" i="18"/>
  <c r="BT35" i="18"/>
  <c r="BT36" i="18"/>
  <c r="BT37" i="18"/>
  <c r="BT38" i="18"/>
  <c r="BT39" i="18"/>
  <c r="BT40" i="18"/>
  <c r="BT41" i="18"/>
  <c r="BT42" i="18"/>
  <c r="BT43" i="18"/>
  <c r="BT44" i="18"/>
  <c r="BT45" i="18"/>
  <c r="BT46" i="18"/>
  <c r="BT47" i="18"/>
  <c r="BT48" i="18"/>
  <c r="BT49" i="18"/>
  <c r="BT50" i="18"/>
  <c r="BT51" i="18"/>
  <c r="BT52" i="18"/>
  <c r="BT53" i="18"/>
  <c r="BT54" i="18"/>
  <c r="BT55" i="18"/>
  <c r="BT56" i="18"/>
  <c r="BT57" i="18"/>
  <c r="BT58" i="18"/>
  <c r="BT59" i="18"/>
  <c r="BT60" i="18"/>
  <c r="BT61" i="18"/>
  <c r="BT62" i="18"/>
  <c r="BX29" i="18"/>
  <c r="BT28" i="18"/>
  <c r="BX28" i="18"/>
  <c r="BV29" i="18"/>
  <c r="BV30" i="18"/>
  <c r="BV31" i="18"/>
  <c r="BV32" i="18"/>
  <c r="BV33" i="18"/>
  <c r="BV34" i="18"/>
  <c r="BV35" i="18"/>
  <c r="BV36" i="18"/>
  <c r="BV37" i="18"/>
  <c r="BV38" i="18"/>
  <c r="BV39" i="18"/>
  <c r="BV40" i="18"/>
  <c r="BV41" i="18"/>
  <c r="BT27" i="18"/>
  <c r="BX27" i="18"/>
  <c r="BT26" i="18"/>
  <c r="W1" i="42"/>
  <c r="A2" i="42"/>
  <c r="K2" i="42"/>
  <c r="AP2" i="42"/>
  <c r="AT2" i="42"/>
  <c r="AY2" i="42"/>
  <c r="BC2" i="42"/>
  <c r="BH2" i="42"/>
  <c r="H4" i="42"/>
  <c r="Z4" i="42"/>
  <c r="B27" i="42"/>
  <c r="B28" i="42" s="1"/>
  <c r="B29" i="42" s="1"/>
  <c r="D49" i="42"/>
  <c r="AB58" i="42"/>
  <c r="AB59" i="42"/>
  <c r="AB60" i="42"/>
  <c r="AB61" i="42"/>
  <c r="AB62" i="42"/>
  <c r="AB63" i="42"/>
  <c r="AB64" i="42"/>
  <c r="AB65" i="42"/>
  <c r="AB66" i="42"/>
  <c r="AB67" i="42"/>
  <c r="AB68" i="42"/>
  <c r="AB69" i="42"/>
  <c r="AB70" i="42"/>
  <c r="AB71" i="42"/>
  <c r="AB72" i="42"/>
  <c r="AB73" i="42"/>
  <c r="AB79" i="42"/>
  <c r="AB80" i="42"/>
  <c r="AB81" i="42"/>
  <c r="W1" i="41"/>
  <c r="A2" i="41"/>
  <c r="K2" i="41"/>
  <c r="AP2" i="41"/>
  <c r="AT2" i="41"/>
  <c r="AY2" i="41"/>
  <c r="BC2" i="41"/>
  <c r="BH2" i="41"/>
  <c r="H4" i="41"/>
  <c r="Z4" i="41"/>
  <c r="B21" i="41"/>
  <c r="B22" i="41"/>
  <c r="B23" i="41" s="1"/>
  <c r="B24" i="41" s="1"/>
  <c r="B25" i="41" s="1"/>
  <c r="B26" i="41" s="1"/>
  <c r="B27" i="41" s="1"/>
  <c r="B28" i="41" s="1"/>
  <c r="B29" i="41" s="1"/>
  <c r="B30" i="41" s="1"/>
  <c r="B31" i="41" s="1"/>
  <c r="B32" i="41" s="1"/>
  <c r="B33" i="41" s="1"/>
  <c r="B34" i="41" s="1"/>
  <c r="B35" i="41" s="1"/>
  <c r="B36" i="41" s="1"/>
  <c r="B37" i="41" s="1"/>
  <c r="B38" i="41" s="1"/>
  <c r="B39" i="41" s="1"/>
  <c r="B40" i="41" s="1"/>
  <c r="B41" i="41" s="1"/>
  <c r="B42" i="41" s="1"/>
  <c r="B43" i="41" s="1"/>
  <c r="B44" i="41" s="1"/>
  <c r="B45" i="41" s="1"/>
  <c r="B46" i="41" s="1"/>
  <c r="B47" i="41" s="1"/>
  <c r="B48" i="41" s="1"/>
  <c r="B49" i="41" s="1"/>
  <c r="B50" i="41" s="1"/>
  <c r="B51" i="41" s="1"/>
  <c r="B52" i="41" s="1"/>
  <c r="B53" i="41" s="1"/>
  <c r="B54" i="41" s="1"/>
  <c r="B55" i="41" s="1"/>
  <c r="B56" i="41" s="1"/>
  <c r="B57" i="41" s="1"/>
  <c r="B58" i="41" s="1"/>
  <c r="B59" i="41" s="1"/>
  <c r="B60" i="41" s="1"/>
  <c r="B61" i="41" s="1"/>
  <c r="B62" i="41" s="1"/>
  <c r="B63" i="41" s="1"/>
  <c r="B64" i="41" s="1"/>
  <c r="B65" i="41" s="1"/>
  <c r="B66" i="41" s="1"/>
  <c r="B67" i="41" s="1"/>
  <c r="B68" i="41" s="1"/>
  <c r="B69" i="41" s="1"/>
  <c r="X43" i="41"/>
  <c r="D77" i="41"/>
  <c r="AB86" i="41"/>
  <c r="AB87" i="41"/>
  <c r="AB88" i="41"/>
  <c r="AB89" i="41"/>
  <c r="AB90" i="41"/>
  <c r="AB91" i="41"/>
  <c r="AB92" i="41"/>
  <c r="AB93" i="41"/>
  <c r="AB94" i="41"/>
  <c r="AB95" i="41"/>
  <c r="AB96" i="41"/>
  <c r="AB97" i="41"/>
  <c r="AB98" i="41"/>
  <c r="AB99" i="41"/>
  <c r="AB100" i="41"/>
  <c r="AB101" i="41"/>
  <c r="AB102" i="41"/>
  <c r="AB103" i="41"/>
  <c r="AB104" i="41"/>
  <c r="AB105" i="41"/>
  <c r="AB106" i="41"/>
  <c r="AB107" i="41"/>
  <c r="AB108" i="41"/>
  <c r="AB109" i="41"/>
  <c r="AB110" i="41"/>
  <c r="AB111" i="41"/>
  <c r="AB112" i="41"/>
  <c r="AB113" i="41"/>
  <c r="AB114" i="41"/>
  <c r="AB115" i="41"/>
  <c r="AB116" i="41"/>
  <c r="AB117" i="41"/>
  <c r="AB118" i="41"/>
  <c r="AB119" i="41"/>
  <c r="AB120" i="41"/>
  <c r="AB121" i="41"/>
  <c r="AB122" i="41"/>
  <c r="AB123" i="41"/>
  <c r="AB124" i="41"/>
  <c r="AB125" i="41"/>
  <c r="AB126" i="41"/>
  <c r="AB127" i="41"/>
  <c r="AB128" i="41"/>
  <c r="AB129" i="41"/>
  <c r="AB130" i="41"/>
  <c r="AB136" i="41"/>
  <c r="AB137" i="41"/>
  <c r="AB138" i="41"/>
  <c r="B30" i="17" l="1"/>
  <c r="B31" i="17" s="1"/>
  <c r="B32" i="17" s="1"/>
  <c r="B33" i="17" s="1"/>
  <c r="B34" i="17" s="1"/>
  <c r="B35" i="17" s="1"/>
  <c r="B36" i="17" s="1"/>
  <c r="B37" i="17" s="1"/>
  <c r="BZ32" i="40" l="1"/>
  <c r="BX32" i="40"/>
  <c r="BV32" i="40"/>
  <c r="BT32" i="40"/>
  <c r="BR32" i="40"/>
  <c r="BP32" i="40"/>
  <c r="BZ33" i="40"/>
  <c r="BX33" i="40"/>
  <c r="BV33" i="40"/>
  <c r="BT33" i="40"/>
  <c r="BR33" i="40"/>
  <c r="BP33" i="40"/>
  <c r="BZ80" i="40"/>
  <c r="BZ76" i="40"/>
  <c r="BZ75" i="40"/>
  <c r="BZ74" i="40"/>
  <c r="BZ73" i="40"/>
  <c r="BV73" i="40"/>
  <c r="BZ72" i="40"/>
  <c r="BV72" i="40"/>
  <c r="BZ71" i="40"/>
  <c r="BV71" i="40"/>
  <c r="BZ70" i="40"/>
  <c r="BV70" i="40"/>
  <c r="BZ69" i="40"/>
  <c r="BV69" i="40"/>
  <c r="BV68" i="40"/>
  <c r="BZ67" i="40"/>
  <c r="BV67" i="40"/>
  <c r="BV66" i="40"/>
  <c r="BZ65" i="40"/>
  <c r="BZ64" i="40"/>
  <c r="BX64" i="40"/>
  <c r="BV64" i="40"/>
  <c r="BZ63" i="40"/>
  <c r="BX63" i="40"/>
  <c r="BV63" i="40"/>
  <c r="BZ62" i="40"/>
  <c r="BX62" i="40"/>
  <c r="BV62" i="40"/>
  <c r="BZ61" i="40"/>
  <c r="BX61" i="40"/>
  <c r="BV61" i="40"/>
  <c r="BZ60" i="40"/>
  <c r="BX60" i="40"/>
  <c r="BV60" i="40"/>
  <c r="BZ59" i="40"/>
  <c r="BX59" i="40"/>
  <c r="BV59" i="40"/>
  <c r="BZ58" i="40"/>
  <c r="BX58" i="40"/>
  <c r="BV58" i="40"/>
  <c r="BZ57" i="40"/>
  <c r="BX57" i="40"/>
  <c r="BV57" i="40"/>
  <c r="BZ51" i="40"/>
  <c r="BZ47" i="40"/>
  <c r="BZ46" i="40"/>
  <c r="BZ45" i="40"/>
  <c r="D45" i="40"/>
  <c r="BZ44" i="40"/>
  <c r="BV44" i="40"/>
  <c r="BZ43" i="40"/>
  <c r="BV43" i="40"/>
  <c r="BZ42" i="40"/>
  <c r="BV42" i="40"/>
  <c r="BZ41" i="40"/>
  <c r="BV41" i="40"/>
  <c r="BP41" i="40"/>
  <c r="BZ40" i="40"/>
  <c r="BV40" i="40"/>
  <c r="BP40" i="40"/>
  <c r="R40" i="40"/>
  <c r="BV39" i="40"/>
  <c r="BZ38" i="40"/>
  <c r="BV38" i="40"/>
  <c r="BP38" i="40"/>
  <c r="BV37" i="40"/>
  <c r="BR37" i="40"/>
  <c r="BZ36" i="40"/>
  <c r="BR36" i="40"/>
  <c r="BP36" i="40"/>
  <c r="BZ35" i="40"/>
  <c r="BX35" i="40"/>
  <c r="BV35" i="40"/>
  <c r="BT35" i="40"/>
  <c r="BR35" i="40"/>
  <c r="BP35" i="40"/>
  <c r="BZ34" i="40"/>
  <c r="BX34" i="40"/>
  <c r="BV34" i="40"/>
  <c r="BT34" i="40"/>
  <c r="BR34" i="40"/>
  <c r="BP34" i="40"/>
  <c r="BZ31" i="40"/>
  <c r="BX31" i="40"/>
  <c r="BV31" i="40"/>
  <c r="BT31" i="40"/>
  <c r="BR31" i="40"/>
  <c r="BP31" i="40"/>
  <c r="BZ30" i="40"/>
  <c r="BX30" i="40"/>
  <c r="BV30" i="40"/>
  <c r="BT30" i="40"/>
  <c r="BR30" i="40"/>
  <c r="BP30" i="40"/>
  <c r="BZ29" i="40"/>
  <c r="BX29" i="40"/>
  <c r="BV29" i="40"/>
  <c r="BT29" i="40"/>
  <c r="BR29" i="40"/>
  <c r="BP29" i="40"/>
  <c r="BZ28" i="40"/>
  <c r="BX28" i="40"/>
  <c r="BV28" i="40"/>
  <c r="BT28" i="40"/>
  <c r="BR28" i="40"/>
  <c r="BP28" i="40"/>
  <c r="BZ27" i="40"/>
  <c r="BX27" i="40"/>
  <c r="BV27" i="40"/>
  <c r="BX26" i="40"/>
  <c r="BT26" i="40"/>
  <c r="BR26" i="40"/>
  <c r="BT25" i="40"/>
  <c r="BR25" i="40"/>
  <c r="BV24" i="40"/>
  <c r="BT24" i="40"/>
  <c r="B22" i="40"/>
  <c r="B23" i="40" s="1"/>
  <c r="B24" i="40" s="1"/>
  <c r="B25" i="40" s="1"/>
  <c r="B26" i="40" s="1"/>
  <c r="BP20" i="40"/>
  <c r="BP19" i="40"/>
  <c r="Z4" i="40"/>
  <c r="H4" i="40"/>
  <c r="AT2" i="40"/>
  <c r="AP2" i="40"/>
  <c r="K2" i="40"/>
  <c r="A2" i="40"/>
  <c r="W1" i="40"/>
  <c r="BT27" i="40" l="1"/>
  <c r="BR27" i="40"/>
  <c r="BP27" i="40"/>
  <c r="BP39" i="39"/>
  <c r="BP38" i="39"/>
  <c r="B38" i="39"/>
  <c r="B39" i="39" s="1"/>
  <c r="BP50" i="39"/>
  <c r="BP49" i="39"/>
  <c r="BP47" i="39"/>
  <c r="BP45" i="39"/>
  <c r="BP44" i="39"/>
  <c r="BP43" i="39"/>
  <c r="BP42" i="39"/>
  <c r="BP41" i="39"/>
  <c r="BP40" i="39"/>
  <c r="BP37" i="39"/>
  <c r="BP36" i="39"/>
  <c r="BP35" i="39"/>
  <c r="BP34" i="39"/>
  <c r="BP33" i="39"/>
  <c r="BP32" i="39"/>
  <c r="BP31" i="39"/>
  <c r="BP30" i="39"/>
  <c r="BP29" i="39"/>
  <c r="BP28" i="39"/>
  <c r="B28" i="39"/>
  <c r="B29" i="39" s="1"/>
  <c r="B30" i="39" s="1"/>
  <c r="B31" i="39" s="1"/>
  <c r="B32" i="39" s="1"/>
  <c r="B33" i="39" s="1"/>
  <c r="B34" i="39" s="1"/>
  <c r="B35" i="39" s="1"/>
  <c r="B36" i="39" s="1"/>
  <c r="B37" i="39" s="1"/>
  <c r="B40" i="39" s="1"/>
  <c r="B41" i="39" s="1"/>
  <c r="B42" i="39" s="1"/>
  <c r="BP27" i="39"/>
  <c r="B22" i="39"/>
  <c r="B23" i="39" s="1"/>
  <c r="B24" i="39" s="1"/>
  <c r="B25" i="39" s="1"/>
  <c r="B26" i="39" s="1"/>
  <c r="BP20" i="39"/>
  <c r="BP19" i="39"/>
  <c r="BP96" i="37"/>
  <c r="BP95" i="37"/>
  <c r="BP47" i="38"/>
  <c r="BP46" i="38"/>
  <c r="BP19" i="38"/>
  <c r="BP20" i="38"/>
  <c r="BP20" i="37"/>
  <c r="BP19" i="37"/>
  <c r="BP44" i="38"/>
  <c r="BP42" i="38"/>
  <c r="BP41" i="38"/>
  <c r="BP40" i="38"/>
  <c r="BP39" i="38"/>
  <c r="BP38" i="38"/>
  <c r="BP37" i="38"/>
  <c r="BP36" i="38"/>
  <c r="BP35" i="38"/>
  <c r="BP34" i="38"/>
  <c r="BP33" i="38"/>
  <c r="BP32" i="38"/>
  <c r="BP31" i="38"/>
  <c r="BP30" i="38"/>
  <c r="BP29" i="38"/>
  <c r="BP28" i="38"/>
  <c r="BP27" i="38"/>
  <c r="B28" i="38"/>
  <c r="B29" i="38" s="1"/>
  <c r="B30" i="38" s="1"/>
  <c r="B31" i="38" s="1"/>
  <c r="B32" i="38" s="1"/>
  <c r="B33" i="38" s="1"/>
  <c r="B34" i="38" s="1"/>
  <c r="B35" i="38" s="1"/>
  <c r="B36" i="38" s="1"/>
  <c r="B37" i="38" s="1"/>
  <c r="B38" i="38" s="1"/>
  <c r="B39" i="38" s="1"/>
  <c r="B40" i="38" s="1"/>
  <c r="B41" i="38" s="1"/>
  <c r="B22" i="38"/>
  <c r="B23" i="38" s="1"/>
  <c r="B24" i="38" s="1"/>
  <c r="B25" i="38" s="1"/>
  <c r="B26" i="38" s="1"/>
  <c r="BP93" i="37"/>
  <c r="BP91" i="37"/>
  <c r="BP90" i="37"/>
  <c r="BP89" i="37"/>
  <c r="BP88" i="37"/>
  <c r="BP87" i="37"/>
  <c r="BP86" i="37"/>
  <c r="BP85" i="37"/>
  <c r="BP84" i="37"/>
  <c r="BP83" i="37"/>
  <c r="BP82" i="37"/>
  <c r="BP81" i="37"/>
  <c r="BP80" i="37"/>
  <c r="BP79" i="37"/>
  <c r="BP78" i="37"/>
  <c r="BP77" i="37"/>
  <c r="BP76" i="37"/>
  <c r="BP75" i="37"/>
  <c r="BP74" i="37"/>
  <c r="BP73" i="37"/>
  <c r="BP72" i="37"/>
  <c r="BP71" i="37"/>
  <c r="BP70" i="37"/>
  <c r="BP69" i="37"/>
  <c r="BP68" i="37"/>
  <c r="BP67" i="37"/>
  <c r="BP66" i="37"/>
  <c r="BP65" i="37"/>
  <c r="BP64" i="37"/>
  <c r="BP63" i="37"/>
  <c r="BP62" i="37"/>
  <c r="BP61" i="37"/>
  <c r="BP60" i="37"/>
  <c r="BP59" i="37"/>
  <c r="BP58" i="37"/>
  <c r="BP57" i="37"/>
  <c r="BP56" i="37"/>
  <c r="BP55" i="37"/>
  <c r="BP54" i="37"/>
  <c r="BP53" i="37"/>
  <c r="BP52" i="37"/>
  <c r="BP51" i="37"/>
  <c r="BP50" i="37"/>
  <c r="BP49" i="37"/>
  <c r="BP48" i="37"/>
  <c r="BP47" i="37"/>
  <c r="BP46" i="37"/>
  <c r="BP45" i="37"/>
  <c r="BP44" i="37"/>
  <c r="BP43" i="37"/>
  <c r="BP42" i="37"/>
  <c r="BP41" i="37"/>
  <c r="BP40" i="37"/>
  <c r="BP39" i="37"/>
  <c r="BP38" i="37"/>
  <c r="BP37" i="37"/>
  <c r="BP36" i="37"/>
  <c r="BP35" i="37"/>
  <c r="BP34" i="37"/>
  <c r="BP33" i="37"/>
  <c r="BP32" i="37"/>
  <c r="BP31" i="37"/>
  <c r="BP30" i="37"/>
  <c r="BP29" i="37"/>
  <c r="BP28" i="37"/>
  <c r="BP27" i="37"/>
  <c r="B22" i="37"/>
  <c r="B23" i="37" s="1"/>
  <c r="B24" i="37" s="1"/>
  <c r="B25" i="37" s="1"/>
  <c r="B26" i="37" s="1"/>
  <c r="AB81" i="38"/>
  <c r="AB80" i="38"/>
  <c r="AB79" i="38"/>
  <c r="AB73" i="38"/>
  <c r="AB72" i="38"/>
  <c r="AB71" i="38"/>
  <c r="AB70" i="38"/>
  <c r="AB69" i="38"/>
  <c r="AB68" i="38"/>
  <c r="AB67" i="38"/>
  <c r="AB66" i="38"/>
  <c r="AB65" i="38"/>
  <c r="AB64" i="38"/>
  <c r="AB63" i="38"/>
  <c r="AB62" i="38"/>
  <c r="AB61" i="38"/>
  <c r="AB60" i="38"/>
  <c r="AB59" i="38"/>
  <c r="AB58" i="38"/>
  <c r="D49" i="38"/>
  <c r="B43" i="39" l="1"/>
  <c r="B44" i="39" s="1"/>
  <c r="AB159" i="37" l="1"/>
  <c r="AB158" i="37"/>
  <c r="AB157" i="37"/>
  <c r="AB151" i="37"/>
  <c r="AB150" i="37"/>
  <c r="AB149" i="37"/>
  <c r="AB148" i="37"/>
  <c r="AB147" i="37"/>
  <c r="AB146" i="37"/>
  <c r="AB145" i="37"/>
  <c r="AB144" i="37"/>
  <c r="AB143" i="37"/>
  <c r="AB142" i="37"/>
  <c r="AB141" i="37"/>
  <c r="AB140" i="37"/>
  <c r="AB139" i="37"/>
  <c r="AB138" i="37"/>
  <c r="AB137" i="37"/>
  <c r="AB136" i="37"/>
  <c r="AB135" i="37"/>
  <c r="AB134" i="37"/>
  <c r="AB133" i="37"/>
  <c r="AB132" i="37"/>
  <c r="AB131" i="37"/>
  <c r="AB130" i="37"/>
  <c r="AB129" i="37"/>
  <c r="AB128" i="37"/>
  <c r="AB127" i="37"/>
  <c r="AB126" i="37"/>
  <c r="AB125" i="37"/>
  <c r="AB124" i="37"/>
  <c r="AB123" i="37"/>
  <c r="AB122" i="37"/>
  <c r="AB121" i="37"/>
  <c r="AB120" i="37"/>
  <c r="AB119" i="37"/>
  <c r="AB118" i="37"/>
  <c r="AB117" i="37"/>
  <c r="AB116" i="37"/>
  <c r="AB115" i="37"/>
  <c r="AB114" i="37"/>
  <c r="AB113" i="37"/>
  <c r="AB112" i="37"/>
  <c r="AB111" i="37"/>
  <c r="AB110" i="37"/>
  <c r="AB109" i="37"/>
  <c r="AB108" i="37"/>
  <c r="AB107" i="37"/>
  <c r="D98" i="37"/>
  <c r="B28" i="37"/>
  <c r="B29" i="37" s="1"/>
  <c r="B30" i="37" s="1"/>
  <c r="B31" i="37" s="1"/>
  <c r="B32" i="37" s="1"/>
  <c r="B33" i="37" s="1"/>
  <c r="B34" i="37" s="1"/>
  <c r="B35" i="37" s="1"/>
  <c r="B36" i="37" s="1"/>
  <c r="B37" i="37" s="1"/>
  <c r="B38" i="37" s="1"/>
  <c r="B39" i="37" s="1"/>
  <c r="B40" i="37" s="1"/>
  <c r="B51" i="37" l="1"/>
  <c r="B52" i="37" s="1"/>
  <c r="B53" i="37" s="1"/>
  <c r="B54" i="37" s="1"/>
  <c r="B55" i="37" s="1"/>
  <c r="B56" i="37" s="1"/>
  <c r="B57" i="37" s="1"/>
  <c r="B58" i="37" s="1"/>
  <c r="B59" i="37" s="1"/>
  <c r="B60" i="37" s="1"/>
  <c r="B71" i="37" s="1"/>
  <c r="B72" i="37" s="1"/>
  <c r="B73" i="37" s="1"/>
  <c r="B74" i="37" s="1"/>
  <c r="B75" i="37" s="1"/>
  <c r="B76" i="37" s="1"/>
  <c r="B77" i="37" s="1"/>
  <c r="B78" i="37" s="1"/>
  <c r="B79" i="37" s="1"/>
  <c r="B80" i="37" s="1"/>
  <c r="B81" i="37" s="1"/>
  <c r="B82" i="37" s="1"/>
  <c r="B83" i="37" s="1"/>
  <c r="B84" i="37" s="1"/>
  <c r="B85" i="37" s="1"/>
  <c r="B86" i="37" s="1"/>
  <c r="B87" i="37" s="1"/>
  <c r="B88" i="37" s="1"/>
  <c r="B89" i="37" s="1"/>
  <c r="B90" i="37" s="1"/>
  <c r="B41" i="37"/>
  <c r="B42" i="37" s="1"/>
  <c r="B43" i="37" s="1"/>
  <c r="B44" i="37" s="1"/>
  <c r="B45" i="37" s="1"/>
  <c r="B46" i="37" s="1"/>
  <c r="B47" i="37" s="1"/>
  <c r="B48" i="37" s="1"/>
  <c r="B49" i="37" s="1"/>
  <c r="B50" i="37" s="1"/>
  <c r="B61" i="37" s="1"/>
  <c r="B62" i="37" s="1"/>
  <c r="B63" i="37" s="1"/>
  <c r="B64" i="37" s="1"/>
  <c r="B65" i="37" s="1"/>
  <c r="B66" i="37" s="1"/>
  <c r="B67" i="37" s="1"/>
  <c r="B68" i="37" s="1"/>
  <c r="B69" i="37" s="1"/>
  <c r="B70" i="37" s="1"/>
  <c r="BT41" i="34" l="1"/>
  <c r="BT40" i="34"/>
  <c r="BZ46" i="29"/>
  <c r="BT33" i="2"/>
  <c r="BT32" i="2"/>
  <c r="BT31" i="2"/>
  <c r="BT30" i="2"/>
  <c r="BT29" i="2"/>
  <c r="BT28" i="2"/>
  <c r="BT27" i="2"/>
  <c r="BT53" i="24"/>
  <c r="BT52" i="24"/>
  <c r="BT51" i="24"/>
  <c r="BT50" i="24"/>
  <c r="BT49" i="24"/>
  <c r="BT48" i="24"/>
  <c r="BT47" i="24"/>
  <c r="BT46" i="24"/>
  <c r="BT45" i="24"/>
  <c r="BT44" i="24"/>
  <c r="BT43" i="24"/>
  <c r="BT42" i="24"/>
  <c r="BT41" i="24"/>
  <c r="BT40" i="24"/>
  <c r="BT39" i="24"/>
  <c r="BT38" i="24"/>
  <c r="BT37" i="24"/>
  <c r="BT36" i="24"/>
  <c r="BT35" i="24"/>
  <c r="BT34" i="24"/>
  <c r="BT33" i="24"/>
  <c r="BT32" i="24"/>
  <c r="BT31" i="24"/>
  <c r="BT30" i="24"/>
  <c r="BT29" i="24"/>
  <c r="BT28" i="24"/>
  <c r="BT33" i="23"/>
  <c r="BT32" i="23"/>
  <c r="BT31" i="23"/>
  <c r="BT30" i="23"/>
  <c r="BT29" i="23"/>
  <c r="BT28" i="23"/>
  <c r="BT58" i="22"/>
  <c r="BT57" i="22"/>
  <c r="BT56" i="22"/>
  <c r="BT55" i="22"/>
  <c r="BT54" i="22"/>
  <c r="BT53" i="22"/>
  <c r="BT52" i="22"/>
  <c r="BT51" i="22"/>
  <c r="BT50" i="22"/>
  <c r="BT49" i="22"/>
  <c r="BT48" i="22"/>
  <c r="BT47" i="22"/>
  <c r="BT46" i="22"/>
  <c r="BT45" i="22"/>
  <c r="BT44" i="22"/>
  <c r="BT43" i="22"/>
  <c r="BT42" i="22"/>
  <c r="BT41" i="22"/>
  <c r="BT40" i="22"/>
  <c r="BT39" i="22"/>
  <c r="BT38" i="22"/>
  <c r="BT37" i="22"/>
  <c r="BT36" i="22"/>
  <c r="BT35" i="22"/>
  <c r="BT34" i="22"/>
  <c r="BT33" i="22"/>
  <c r="BT32" i="22"/>
  <c r="BT31" i="22"/>
  <c r="BT30" i="22"/>
  <c r="BT29" i="22"/>
  <c r="BT28" i="22"/>
  <c r="BT48" i="21"/>
  <c r="BT47" i="21"/>
  <c r="BT46" i="21"/>
  <c r="BT45" i="21"/>
  <c r="BT44" i="21"/>
  <c r="BT43" i="21"/>
  <c r="BT42" i="21"/>
  <c r="BT41" i="21"/>
  <c r="BT40" i="21"/>
  <c r="BT39" i="21"/>
  <c r="BT38" i="21"/>
  <c r="BT37" i="21"/>
  <c r="BT36" i="21"/>
  <c r="BT35" i="21"/>
  <c r="BT34" i="21"/>
  <c r="BT33" i="21"/>
  <c r="BT32" i="21"/>
  <c r="BT31" i="21"/>
  <c r="BT30" i="21"/>
  <c r="BT29" i="21"/>
  <c r="BT28" i="21"/>
  <c r="BT34" i="36"/>
  <c r="BT33" i="36"/>
  <c r="BT32" i="36"/>
  <c r="BT31" i="36"/>
  <c r="BT30" i="36"/>
  <c r="BT29" i="36"/>
  <c r="BT28" i="36"/>
  <c r="BT49" i="20"/>
  <c r="BT48" i="20"/>
  <c r="BT47" i="20"/>
  <c r="BT46" i="20"/>
  <c r="BT45" i="20"/>
  <c r="BT44" i="20"/>
  <c r="BT43" i="20"/>
  <c r="BT42" i="20"/>
  <c r="BT41" i="20"/>
  <c r="BT40" i="20"/>
  <c r="BT39" i="20"/>
  <c r="BT38" i="20"/>
  <c r="BT37" i="20"/>
  <c r="BT36" i="20"/>
  <c r="BT35" i="20"/>
  <c r="BT34" i="20"/>
  <c r="BT33" i="20"/>
  <c r="BT32" i="20"/>
  <c r="BT31" i="20"/>
  <c r="BT30" i="20"/>
  <c r="BT29" i="20"/>
  <c r="BT28" i="20"/>
  <c r="BT34" i="19"/>
  <c r="BT33" i="19"/>
  <c r="BT32" i="19"/>
  <c r="BT31" i="19"/>
  <c r="BT30" i="19"/>
  <c r="BT29" i="19"/>
  <c r="BT28" i="19"/>
  <c r="BT25" i="2"/>
  <c r="BT25" i="34"/>
  <c r="BT25" i="33"/>
  <c r="BT25" i="32"/>
  <c r="BT25" i="31"/>
  <c r="BT25" i="30"/>
  <c r="BT25" i="29"/>
  <c r="BT25" i="28"/>
  <c r="BT25" i="27"/>
  <c r="BT25" i="35"/>
  <c r="BT25" i="17"/>
  <c r="BT25" i="26"/>
  <c r="BT25" i="25"/>
  <c r="BT25" i="24"/>
  <c r="BT25" i="23"/>
  <c r="BT25" i="22"/>
  <c r="BT25" i="21"/>
  <c r="BT25" i="36"/>
  <c r="BT25" i="20"/>
  <c r="BT25" i="19"/>
  <c r="BT26" i="2"/>
  <c r="BT24" i="2"/>
  <c r="BT26" i="34"/>
  <c r="BT24" i="34"/>
  <c r="BT26" i="33"/>
  <c r="BT24" i="33"/>
  <c r="BT26" i="32"/>
  <c r="BT24" i="32"/>
  <c r="BT26" i="31"/>
  <c r="BT24" i="31"/>
  <c r="BT26" i="30"/>
  <c r="BT24" i="30"/>
  <c r="BT26" i="29"/>
  <c r="BT24" i="29"/>
  <c r="BT26" i="28"/>
  <c r="BT24" i="28"/>
  <c r="BT26" i="27"/>
  <c r="BT24" i="27"/>
  <c r="BT26" i="35"/>
  <c r="BT24" i="35"/>
  <c r="BT26" i="17"/>
  <c r="BT24" i="17"/>
  <c r="BT26" i="26"/>
  <c r="BT24" i="26"/>
  <c r="BT26" i="25"/>
  <c r="BT24" i="25"/>
  <c r="BT27" i="24"/>
  <c r="BT26" i="24"/>
  <c r="BT24" i="24"/>
  <c r="BT27" i="23"/>
  <c r="BT26" i="23"/>
  <c r="BT24" i="23"/>
  <c r="BT27" i="22"/>
  <c r="BT26" i="22"/>
  <c r="BT24" i="22"/>
  <c r="BT27" i="21"/>
  <c r="BT26" i="21"/>
  <c r="BT24" i="21"/>
  <c r="BT27" i="36"/>
  <c r="BT26" i="36"/>
  <c r="BT24" i="36"/>
  <c r="BT27" i="20"/>
  <c r="BT26" i="20"/>
  <c r="BT24" i="20"/>
  <c r="BT27" i="19"/>
  <c r="BT26" i="19"/>
  <c r="BT24" i="19"/>
  <c r="BT25" i="18"/>
  <c r="BT18" i="18"/>
  <c r="BT16" i="18"/>
  <c r="BR35" i="2"/>
  <c r="BR34" i="2"/>
  <c r="BR33" i="2"/>
  <c r="BR32" i="2"/>
  <c r="BR31" i="2"/>
  <c r="BR30" i="2"/>
  <c r="BR29" i="2"/>
  <c r="BR28" i="2"/>
  <c r="BR26" i="2"/>
  <c r="BR25" i="2"/>
  <c r="BR44" i="34"/>
  <c r="BR43" i="34"/>
  <c r="BR26" i="34"/>
  <c r="BR25" i="34"/>
  <c r="BR44" i="33"/>
  <c r="BR43" i="33"/>
  <c r="BR38" i="33"/>
  <c r="BR37" i="33"/>
  <c r="BR36" i="33"/>
  <c r="BR35" i="33"/>
  <c r="BR30" i="33"/>
  <c r="BR29" i="33"/>
  <c r="BR28" i="33"/>
  <c r="BR27" i="33"/>
  <c r="BR26" i="33"/>
  <c r="BR25" i="33"/>
  <c r="BR47" i="32"/>
  <c r="BR46" i="32"/>
  <c r="BR26" i="32"/>
  <c r="BR25" i="32"/>
  <c r="BR33" i="31"/>
  <c r="BR32" i="31"/>
  <c r="BR26" i="31"/>
  <c r="BR25" i="31"/>
  <c r="BR32" i="30"/>
  <c r="BR31" i="30"/>
  <c r="BR26" i="30"/>
  <c r="BR25" i="30"/>
  <c r="BR34" i="29"/>
  <c r="BR33" i="29"/>
  <c r="BR28" i="29"/>
  <c r="BR26" i="29"/>
  <c r="BR25" i="29"/>
  <c r="BR32" i="28"/>
  <c r="BR31" i="28"/>
  <c r="BR30" i="28"/>
  <c r="BR28" i="28"/>
  <c r="BR26" i="28"/>
  <c r="BR25" i="28"/>
  <c r="BR36" i="27"/>
  <c r="BR35" i="27"/>
  <c r="BR27" i="27"/>
  <c r="BR26" i="27"/>
  <c r="BR25" i="27"/>
  <c r="BR43" i="35"/>
  <c r="BR42" i="35"/>
  <c r="BR39" i="35"/>
  <c r="BR38" i="35"/>
  <c r="BR35" i="35"/>
  <c r="BR34" i="35"/>
  <c r="BR31" i="35"/>
  <c r="BR30" i="35"/>
  <c r="BR27" i="35"/>
  <c r="BR26" i="35"/>
  <c r="BR25" i="35"/>
  <c r="BR39" i="17"/>
  <c r="BR38" i="17"/>
  <c r="BR26" i="17"/>
  <c r="BR25" i="17"/>
  <c r="BR32" i="26"/>
  <c r="BR31" i="26"/>
  <c r="BR28" i="26"/>
  <c r="BR27" i="26"/>
  <c r="BR26" i="26"/>
  <c r="BR25" i="26"/>
  <c r="BR35" i="25"/>
  <c r="BR34" i="25"/>
  <c r="BR31" i="25"/>
  <c r="BR26" i="25"/>
  <c r="BR25" i="25"/>
  <c r="BR55" i="24"/>
  <c r="BR54" i="24"/>
  <c r="BR51" i="24"/>
  <c r="BR50" i="24"/>
  <c r="BR47" i="24"/>
  <c r="BR46" i="24"/>
  <c r="BR43" i="24"/>
  <c r="BR42" i="24"/>
  <c r="BR39" i="24"/>
  <c r="BR38" i="24"/>
  <c r="BR35" i="24"/>
  <c r="BR34" i="24"/>
  <c r="BR31" i="24"/>
  <c r="BR30" i="24"/>
  <c r="BR27" i="24"/>
  <c r="BR26" i="24"/>
  <c r="BR25" i="24"/>
  <c r="BR35" i="23"/>
  <c r="BR34" i="23"/>
  <c r="BR26" i="23"/>
  <c r="BR25" i="23"/>
  <c r="BR60" i="22"/>
  <c r="BR59" i="22"/>
  <c r="BR55" i="22"/>
  <c r="BR51" i="22"/>
  <c r="BR47" i="22"/>
  <c r="BR43" i="22"/>
  <c r="BR39" i="22"/>
  <c r="BR35" i="22"/>
  <c r="BR31" i="22"/>
  <c r="BR27" i="22"/>
  <c r="BR26" i="22"/>
  <c r="BR25" i="22"/>
  <c r="BR50" i="21"/>
  <c r="BR49" i="21"/>
  <c r="BR47" i="21"/>
  <c r="BR45" i="21"/>
  <c r="BR41" i="21"/>
  <c r="BR39" i="21"/>
  <c r="BR37" i="21"/>
  <c r="BR33" i="21"/>
  <c r="BR31" i="21"/>
  <c r="BR29" i="21"/>
  <c r="BR26" i="21"/>
  <c r="BR25" i="21"/>
  <c r="BR36" i="36"/>
  <c r="BR35" i="36"/>
  <c r="BR26" i="36"/>
  <c r="BR25" i="36"/>
  <c r="BR51" i="20"/>
  <c r="BR50" i="20"/>
  <c r="BR47" i="20"/>
  <c r="BR46" i="20"/>
  <c r="BR42" i="20"/>
  <c r="BR38" i="20"/>
  <c r="BR34" i="20"/>
  <c r="BR31" i="20"/>
  <c r="BR30" i="20"/>
  <c r="BR26" i="20"/>
  <c r="BR25" i="20"/>
  <c r="BR36" i="19"/>
  <c r="BR35" i="19"/>
  <c r="BR32" i="19"/>
  <c r="BR31" i="19"/>
  <c r="BR27" i="19"/>
  <c r="BR26" i="19"/>
  <c r="BR25" i="19"/>
  <c r="BR62" i="18"/>
  <c r="BR61" i="18"/>
  <c r="BR60" i="18"/>
  <c r="BR59" i="18"/>
  <c r="BR58" i="18"/>
  <c r="BR57" i="18"/>
  <c r="BR56" i="18"/>
  <c r="BR55" i="18"/>
  <c r="BR54" i="18"/>
  <c r="BR53" i="18"/>
  <c r="BR52" i="18"/>
  <c r="BR51" i="18"/>
  <c r="BR50" i="18"/>
  <c r="BR49" i="18"/>
  <c r="BR48" i="18"/>
  <c r="BR47" i="18"/>
  <c r="BR46" i="18"/>
  <c r="BR45" i="18"/>
  <c r="BR44" i="18"/>
  <c r="BR43" i="18"/>
  <c r="BR42" i="18"/>
  <c r="BR41" i="18"/>
  <c r="BR40" i="18"/>
  <c r="BR39" i="18"/>
  <c r="BR38" i="18"/>
  <c r="BR37" i="18"/>
  <c r="BR36" i="18"/>
  <c r="BR35" i="18"/>
  <c r="BR34" i="18"/>
  <c r="BR33" i="18"/>
  <c r="BR32" i="18"/>
  <c r="BR31" i="18"/>
  <c r="BR30" i="18"/>
  <c r="BR29" i="18"/>
  <c r="BR28" i="18"/>
  <c r="BT17" i="18"/>
  <c r="BR64" i="18"/>
  <c r="BP65" i="18"/>
  <c r="BR27" i="18"/>
  <c r="BR26" i="18"/>
  <c r="BR25" i="18"/>
  <c r="AC62" i="18"/>
  <c r="AC62" i="18" a="1"/>
  <c r="AC61" i="18" a="1"/>
  <c r="AC61" i="18" s="1"/>
  <c r="BP61" i="18" s="1"/>
  <c r="AC60" i="18" a="1"/>
  <c r="AC60" i="18" s="1"/>
  <c r="BP60" i="18" s="1"/>
  <c r="AC59" i="18" a="1"/>
  <c r="AC59" i="18" s="1"/>
  <c r="BP59" i="18" s="1"/>
  <c r="AC58" i="18"/>
  <c r="AC58" i="18" a="1"/>
  <c r="AC57" i="18" a="1"/>
  <c r="AC57" i="18" s="1"/>
  <c r="BP57" i="18" s="1"/>
  <c r="AC56" i="18" a="1"/>
  <c r="AC56" i="18" s="1"/>
  <c r="BP56" i="18" s="1"/>
  <c r="AC55" i="18" a="1"/>
  <c r="AC55" i="18" s="1"/>
  <c r="BP55" i="18" s="1"/>
  <c r="AC54" i="18"/>
  <c r="AC54" i="18" a="1"/>
  <c r="AC53" i="18" a="1"/>
  <c r="AC53" i="18" s="1"/>
  <c r="BP53" i="18" s="1"/>
  <c r="AC52" i="18" a="1"/>
  <c r="AC52" i="18" s="1"/>
  <c r="BP52" i="18" s="1"/>
  <c r="AC51" i="18" a="1"/>
  <c r="AC51" i="18" s="1"/>
  <c r="BP51" i="18" s="1"/>
  <c r="AC50" i="18"/>
  <c r="AC50" i="18" a="1"/>
  <c r="AC49" i="18" a="1"/>
  <c r="AC49" i="18" s="1"/>
  <c r="BP49" i="18" s="1"/>
  <c r="AC48" i="18" a="1"/>
  <c r="AC48" i="18" s="1"/>
  <c r="BP48" i="18" s="1"/>
  <c r="AC47" i="18" a="1"/>
  <c r="AC47" i="18" s="1"/>
  <c r="BP47" i="18" s="1"/>
  <c r="AC46" i="18"/>
  <c r="AC46" i="18" a="1"/>
  <c r="AC45" i="18" a="1"/>
  <c r="AC45" i="18" s="1"/>
  <c r="BP45" i="18" s="1"/>
  <c r="AC44" i="18" a="1"/>
  <c r="AC44" i="18" s="1"/>
  <c r="BP44" i="18" s="1"/>
  <c r="AC43" i="18" a="1"/>
  <c r="AC43" i="18" s="1"/>
  <c r="BP43" i="18" s="1"/>
  <c r="AC42" i="18"/>
  <c r="AC42" i="18" a="1"/>
  <c r="AC41" i="18" a="1"/>
  <c r="AC41" i="18" s="1"/>
  <c r="BP41" i="18" s="1"/>
  <c r="AC40" i="18" a="1"/>
  <c r="AC40" i="18" s="1"/>
  <c r="BP40" i="18" s="1"/>
  <c r="AC39" i="18" a="1"/>
  <c r="AC39" i="18" s="1"/>
  <c r="BP39" i="18" s="1"/>
  <c r="AC38" i="18"/>
  <c r="AC38" i="18" a="1"/>
  <c r="AC37" i="18" a="1"/>
  <c r="AC37" i="18" s="1"/>
  <c r="BP37" i="18" s="1"/>
  <c r="AC36" i="18" a="1"/>
  <c r="AC36" i="18" s="1"/>
  <c r="BP36" i="18" s="1"/>
  <c r="AC35" i="18" a="1"/>
  <c r="AC35" i="18" s="1"/>
  <c r="BP35" i="18" s="1"/>
  <c r="AC34" i="18"/>
  <c r="AC34" i="18" a="1"/>
  <c r="AC33" i="18" a="1"/>
  <c r="AC33" i="18" s="1"/>
  <c r="BP33" i="18" s="1"/>
  <c r="AC32" i="18" a="1"/>
  <c r="AC32" i="18" s="1"/>
  <c r="BP32" i="18" s="1"/>
  <c r="AC31" i="18" a="1"/>
  <c r="AC31" i="18" s="1"/>
  <c r="BP31" i="18" s="1"/>
  <c r="AC30" i="18"/>
  <c r="AC30" i="18" a="1"/>
  <c r="AC29" i="18" a="1"/>
  <c r="AC29" i="18" s="1"/>
  <c r="BP29" i="18" s="1"/>
  <c r="AC28" i="18" a="1"/>
  <c r="AC28" i="18" s="1"/>
  <c r="BP28" i="18" s="1"/>
  <c r="AC27" i="18" a="1"/>
  <c r="AC27" i="18" s="1"/>
  <c r="BP27" i="18" s="1"/>
  <c r="AC34" i="19" a="1"/>
  <c r="AC34" i="19" s="1"/>
  <c r="BR34" i="19" s="1"/>
  <c r="AC33" i="19" a="1"/>
  <c r="AC33" i="19" s="1"/>
  <c r="BR33" i="19" s="1"/>
  <c r="AC32" i="19" a="1"/>
  <c r="AC32" i="19" s="1"/>
  <c r="AC31" i="19" a="1"/>
  <c r="AC31" i="19" s="1"/>
  <c r="AC30" i="19" a="1"/>
  <c r="AC30" i="19" s="1"/>
  <c r="BR30" i="19" s="1"/>
  <c r="AC29" i="19" a="1"/>
  <c r="AC29" i="19" s="1"/>
  <c r="BR29" i="19" s="1"/>
  <c r="AC28" i="19" a="1"/>
  <c r="AC28" i="19" s="1"/>
  <c r="BR28" i="19" s="1"/>
  <c r="AC27" i="19" a="1"/>
  <c r="AC27" i="19" s="1"/>
  <c r="AC49" i="20" a="1"/>
  <c r="AC49" i="20" s="1"/>
  <c r="BR49" i="20" s="1"/>
  <c r="AC48" i="20" a="1"/>
  <c r="AC48" i="20" s="1"/>
  <c r="BR48" i="20" s="1"/>
  <c r="AC47" i="20" a="1"/>
  <c r="AC47" i="20" s="1"/>
  <c r="AC46" i="20" a="1"/>
  <c r="AC46" i="20" s="1"/>
  <c r="AC45" i="20" a="1"/>
  <c r="AC45" i="20" s="1"/>
  <c r="BR45" i="20" s="1"/>
  <c r="AC44" i="20" a="1"/>
  <c r="AC44" i="20" s="1"/>
  <c r="BR44" i="20" s="1"/>
  <c r="AC43" i="20" a="1"/>
  <c r="AC43" i="20" s="1"/>
  <c r="BR43" i="20" s="1"/>
  <c r="AC42" i="20" a="1"/>
  <c r="AC42" i="20" s="1"/>
  <c r="AC41" i="20" a="1"/>
  <c r="AC41" i="20" s="1"/>
  <c r="BR41" i="20" s="1"/>
  <c r="AC40" i="20" a="1"/>
  <c r="AC40" i="20" s="1"/>
  <c r="BR40" i="20" s="1"/>
  <c r="AC39" i="20" a="1"/>
  <c r="AC39" i="20" s="1"/>
  <c r="BR39" i="20" s="1"/>
  <c r="AC38" i="20" a="1"/>
  <c r="AC38" i="20" s="1"/>
  <c r="AC37" i="20" a="1"/>
  <c r="AC37" i="20" s="1"/>
  <c r="BR37" i="20" s="1"/>
  <c r="AC36" i="20" a="1"/>
  <c r="AC36" i="20" s="1"/>
  <c r="BR36" i="20" s="1"/>
  <c r="AC35" i="20" a="1"/>
  <c r="AC35" i="20" s="1"/>
  <c r="BR35" i="20" s="1"/>
  <c r="AC34" i="20" a="1"/>
  <c r="AC34" i="20" s="1"/>
  <c r="AC33" i="20" a="1"/>
  <c r="AC33" i="20" s="1"/>
  <c r="BR33" i="20" s="1"/>
  <c r="AC32" i="20" a="1"/>
  <c r="AC32" i="20" s="1"/>
  <c r="BR32" i="20" s="1"/>
  <c r="AC31" i="20" a="1"/>
  <c r="AC31" i="20" s="1"/>
  <c r="AC30" i="20" a="1"/>
  <c r="AC30" i="20" s="1"/>
  <c r="AC29" i="20" a="1"/>
  <c r="AC29" i="20" s="1"/>
  <c r="BR29" i="20" s="1"/>
  <c r="AC28" i="20" a="1"/>
  <c r="AC28" i="20" s="1"/>
  <c r="BR28" i="20" s="1"/>
  <c r="AC27" i="20" a="1"/>
  <c r="AC27" i="20" s="1"/>
  <c r="BR27" i="20" s="1"/>
  <c r="AC34" i="36" a="1"/>
  <c r="AC34" i="36" s="1"/>
  <c r="BP34" i="36" s="1"/>
  <c r="AC33" i="36" a="1"/>
  <c r="AC33" i="36" s="1"/>
  <c r="BP33" i="36" s="1"/>
  <c r="AC32" i="36" a="1"/>
  <c r="AC32" i="36" s="1"/>
  <c r="BR32" i="36" s="1"/>
  <c r="AC31" i="36" a="1"/>
  <c r="AC31" i="36" s="1"/>
  <c r="BP31" i="36" s="1"/>
  <c r="AC30" i="36" a="1"/>
  <c r="AC30" i="36" s="1"/>
  <c r="BP30" i="36" s="1"/>
  <c r="AC29" i="36" a="1"/>
  <c r="AC29" i="36" s="1"/>
  <c r="BP29" i="36" s="1"/>
  <c r="AC28" i="36" a="1"/>
  <c r="AC28" i="36" s="1"/>
  <c r="BR28" i="36" s="1"/>
  <c r="AC27" i="36" a="1"/>
  <c r="AC27" i="36" s="1"/>
  <c r="BP27" i="36" s="1"/>
  <c r="AC48" i="21" a="1"/>
  <c r="AC48" i="21" s="1"/>
  <c r="BR48" i="21" s="1"/>
  <c r="AC47" i="21" a="1"/>
  <c r="AC47" i="21" s="1"/>
  <c r="AC46" i="21" a="1"/>
  <c r="AC46" i="21" s="1"/>
  <c r="BR46" i="21" s="1"/>
  <c r="AC45" i="21" a="1"/>
  <c r="AC45" i="21" s="1"/>
  <c r="AC44" i="21" a="1"/>
  <c r="AC44" i="21" s="1"/>
  <c r="BR44" i="21" s="1"/>
  <c r="AC43" i="21" a="1"/>
  <c r="AC43" i="21" s="1"/>
  <c r="BR43" i="21" s="1"/>
  <c r="AC42" i="21" a="1"/>
  <c r="AC42" i="21" s="1"/>
  <c r="BR42" i="21" s="1"/>
  <c r="AC41" i="21" a="1"/>
  <c r="AC41" i="21" s="1"/>
  <c r="AC40" i="21" a="1"/>
  <c r="AC40" i="21" s="1"/>
  <c r="BR40" i="21" s="1"/>
  <c r="AC39" i="21" a="1"/>
  <c r="AC39" i="21" s="1"/>
  <c r="AC38" i="21" a="1"/>
  <c r="AC38" i="21" s="1"/>
  <c r="BR38" i="21" s="1"/>
  <c r="AC37" i="21" a="1"/>
  <c r="AC37" i="21" s="1"/>
  <c r="AC36" i="21" a="1"/>
  <c r="AC36" i="21" s="1"/>
  <c r="BR36" i="21" s="1"/>
  <c r="AC35" i="21" a="1"/>
  <c r="AC35" i="21" s="1"/>
  <c r="BR35" i="21" s="1"/>
  <c r="AC34" i="21" a="1"/>
  <c r="AC34" i="21" s="1"/>
  <c r="BR34" i="21" s="1"/>
  <c r="AC33" i="21" a="1"/>
  <c r="AC33" i="21" s="1"/>
  <c r="AC32" i="21" a="1"/>
  <c r="AC32" i="21" s="1"/>
  <c r="BR32" i="21" s="1"/>
  <c r="AC31" i="21" a="1"/>
  <c r="AC31" i="21" s="1"/>
  <c r="AC30" i="21" a="1"/>
  <c r="AC30" i="21" s="1"/>
  <c r="BR30" i="21" s="1"/>
  <c r="AC29" i="21" a="1"/>
  <c r="AC29" i="21" s="1"/>
  <c r="AC28" i="21" a="1"/>
  <c r="AC28" i="21" s="1"/>
  <c r="BR28" i="21" s="1"/>
  <c r="AC27" i="21" a="1"/>
  <c r="AC27" i="21" s="1"/>
  <c r="BR27" i="21" s="1"/>
  <c r="AC58" i="22" a="1"/>
  <c r="AC58" i="22" s="1"/>
  <c r="BR58" i="22" s="1"/>
  <c r="AC57" i="22" a="1"/>
  <c r="AC57" i="22" s="1"/>
  <c r="BR57" i="22" s="1"/>
  <c r="AC56" i="22" a="1"/>
  <c r="AC56" i="22" s="1"/>
  <c r="BR56" i="22" s="1"/>
  <c r="AC55" i="22" a="1"/>
  <c r="AC55" i="22" s="1"/>
  <c r="AC54" i="22" a="1"/>
  <c r="AC54" i="22" s="1"/>
  <c r="BR54" i="22" s="1"/>
  <c r="AC53" i="22" a="1"/>
  <c r="AC53" i="22" s="1"/>
  <c r="BR53" i="22" s="1"/>
  <c r="AC52" i="22" a="1"/>
  <c r="AC52" i="22" s="1"/>
  <c r="BR52" i="22" s="1"/>
  <c r="AC51" i="22" a="1"/>
  <c r="AC51" i="22" s="1"/>
  <c r="AC50" i="22" a="1"/>
  <c r="AC50" i="22" s="1"/>
  <c r="BR50" i="22" s="1"/>
  <c r="AC49" i="22" a="1"/>
  <c r="AC49" i="22" s="1"/>
  <c r="BR49" i="22" s="1"/>
  <c r="AC48" i="22" a="1"/>
  <c r="AC48" i="22" s="1"/>
  <c r="BR48" i="22" s="1"/>
  <c r="AC47" i="22" a="1"/>
  <c r="AC47" i="22" s="1"/>
  <c r="AC46" i="22" a="1"/>
  <c r="AC46" i="22" s="1"/>
  <c r="BR46" i="22" s="1"/>
  <c r="AC45" i="22" a="1"/>
  <c r="AC45" i="22" s="1"/>
  <c r="BR45" i="22" s="1"/>
  <c r="AC44" i="22" a="1"/>
  <c r="AC44" i="22" s="1"/>
  <c r="BR44" i="22" s="1"/>
  <c r="AC43" i="22" a="1"/>
  <c r="AC43" i="22" s="1"/>
  <c r="AC42" i="22" a="1"/>
  <c r="AC42" i="22" s="1"/>
  <c r="BR42" i="22" s="1"/>
  <c r="AC41" i="22" a="1"/>
  <c r="AC41" i="22" s="1"/>
  <c r="BR41" i="22" s="1"/>
  <c r="AC40" i="22" a="1"/>
  <c r="AC40" i="22" s="1"/>
  <c r="BR40" i="22" s="1"/>
  <c r="AC39" i="22" a="1"/>
  <c r="AC39" i="22" s="1"/>
  <c r="AC38" i="22" a="1"/>
  <c r="AC38" i="22" s="1"/>
  <c r="BR38" i="22" s="1"/>
  <c r="AC37" i="22" a="1"/>
  <c r="AC37" i="22" s="1"/>
  <c r="BR37" i="22" s="1"/>
  <c r="AC36" i="22" a="1"/>
  <c r="AC36" i="22" s="1"/>
  <c r="BR36" i="22" s="1"/>
  <c r="AC35" i="22" a="1"/>
  <c r="AC35" i="22" s="1"/>
  <c r="AC34" i="22" a="1"/>
  <c r="AC34" i="22" s="1"/>
  <c r="BR34" i="22" s="1"/>
  <c r="AC33" i="22" a="1"/>
  <c r="AC33" i="22" s="1"/>
  <c r="BR33" i="22" s="1"/>
  <c r="AC32" i="22" a="1"/>
  <c r="AC32" i="22" s="1"/>
  <c r="BR32" i="22" s="1"/>
  <c r="AC31" i="22" a="1"/>
  <c r="AC31" i="22" s="1"/>
  <c r="AC30" i="22" a="1"/>
  <c r="AC30" i="22" s="1"/>
  <c r="BR30" i="22" s="1"/>
  <c r="AC29" i="22" a="1"/>
  <c r="AC29" i="22" s="1"/>
  <c r="BR29" i="22" s="1"/>
  <c r="AC28" i="22" a="1"/>
  <c r="AC28" i="22" s="1"/>
  <c r="BR28" i="22" s="1"/>
  <c r="AC27" i="22" a="1"/>
  <c r="AC27" i="22" s="1"/>
  <c r="AC33" i="23" a="1"/>
  <c r="AC33" i="23" s="1"/>
  <c r="BR33" i="23" s="1"/>
  <c r="AC32" i="23" a="1"/>
  <c r="AC32" i="23" s="1"/>
  <c r="BR32" i="23" s="1"/>
  <c r="AC31" i="23" a="1"/>
  <c r="AC31" i="23" s="1"/>
  <c r="BR31" i="23" s="1"/>
  <c r="AC30" i="23" a="1"/>
  <c r="AC30" i="23" s="1"/>
  <c r="BR30" i="23" s="1"/>
  <c r="AC29" i="23" a="1"/>
  <c r="AC29" i="23" s="1"/>
  <c r="BR29" i="23" s="1"/>
  <c r="AC28" i="23" a="1"/>
  <c r="AC28" i="23" s="1"/>
  <c r="BR28" i="23" s="1"/>
  <c r="AC27" i="23" a="1"/>
  <c r="AC27" i="23" s="1"/>
  <c r="BR27" i="23" s="1"/>
  <c r="AC53" i="24" a="1"/>
  <c r="AC53" i="24" s="1"/>
  <c r="BR53" i="24" s="1"/>
  <c r="AC52" i="24" a="1"/>
  <c r="AC52" i="24" s="1"/>
  <c r="BR52" i="24" s="1"/>
  <c r="AC51" i="24" a="1"/>
  <c r="AC51" i="24" s="1"/>
  <c r="AC50" i="24" a="1"/>
  <c r="AC50" i="24" s="1"/>
  <c r="AC49" i="24" a="1"/>
  <c r="AC49" i="24" s="1"/>
  <c r="BR49" i="24" s="1"/>
  <c r="AC48" i="24" a="1"/>
  <c r="AC48" i="24" s="1"/>
  <c r="BR48" i="24" s="1"/>
  <c r="AC47" i="24" a="1"/>
  <c r="AC47" i="24" s="1"/>
  <c r="AC46" i="24" a="1"/>
  <c r="AC46" i="24" s="1"/>
  <c r="AC45" i="24" a="1"/>
  <c r="AC45" i="24" s="1"/>
  <c r="BR45" i="24" s="1"/>
  <c r="AC44" i="24" a="1"/>
  <c r="AC44" i="24" s="1"/>
  <c r="BR44" i="24" s="1"/>
  <c r="AC43" i="24" a="1"/>
  <c r="AC43" i="24" s="1"/>
  <c r="AC42" i="24" a="1"/>
  <c r="AC42" i="24" s="1"/>
  <c r="AC41" i="24" a="1"/>
  <c r="AC41" i="24" s="1"/>
  <c r="BR41" i="24" s="1"/>
  <c r="AC40" i="24" a="1"/>
  <c r="AC40" i="24" s="1"/>
  <c r="BR40" i="24" s="1"/>
  <c r="AC39" i="24" a="1"/>
  <c r="AC39" i="24" s="1"/>
  <c r="AC38" i="24" a="1"/>
  <c r="AC38" i="24" s="1"/>
  <c r="AC37" i="24" a="1"/>
  <c r="AC37" i="24" s="1"/>
  <c r="BR37" i="24" s="1"/>
  <c r="AC36" i="24" a="1"/>
  <c r="AC36" i="24" s="1"/>
  <c r="BR36" i="24" s="1"/>
  <c r="AC35" i="24" a="1"/>
  <c r="AC35" i="24" s="1"/>
  <c r="AC34" i="24" a="1"/>
  <c r="AC34" i="24" s="1"/>
  <c r="AC33" i="24" a="1"/>
  <c r="AC33" i="24" s="1"/>
  <c r="BR33" i="24" s="1"/>
  <c r="AC32" i="24" a="1"/>
  <c r="AC32" i="24" s="1"/>
  <c r="BR32" i="24" s="1"/>
  <c r="AC31" i="24" a="1"/>
  <c r="AC31" i="24" s="1"/>
  <c r="AC30" i="24" a="1"/>
  <c r="AC30" i="24" s="1"/>
  <c r="AC29" i="24" a="1"/>
  <c r="AC29" i="24" s="1"/>
  <c r="BR29" i="24" s="1"/>
  <c r="AC28" i="24" a="1"/>
  <c r="AC28" i="24" s="1"/>
  <c r="BR28" i="24" s="1"/>
  <c r="AC27" i="24" a="1"/>
  <c r="AC27" i="24" s="1"/>
  <c r="AC33" i="25" a="1"/>
  <c r="AC33" i="25" s="1"/>
  <c r="BR33" i="25" s="1"/>
  <c r="AC32" i="25" a="1"/>
  <c r="AC32" i="25" s="1"/>
  <c r="AC31" i="25" a="1"/>
  <c r="AC31" i="25" s="1"/>
  <c r="AC30" i="25" a="1"/>
  <c r="AC30" i="25" s="1"/>
  <c r="AC29" i="25" a="1"/>
  <c r="AC29" i="25" s="1"/>
  <c r="AC28" i="25" a="1"/>
  <c r="AC28" i="25" s="1"/>
  <c r="AC27" i="25" a="1"/>
  <c r="AC27" i="25" s="1"/>
  <c r="AC30" i="26" a="1"/>
  <c r="AC30" i="26" s="1"/>
  <c r="BR30" i="26" s="1"/>
  <c r="AC29" i="26" a="1"/>
  <c r="AC29" i="26" s="1"/>
  <c r="AC28" i="26" a="1"/>
  <c r="AC28" i="26" s="1"/>
  <c r="AC27" i="26" a="1"/>
  <c r="AC27" i="26" s="1"/>
  <c r="AC37" i="17" a="1"/>
  <c r="AC37" i="17" s="1"/>
  <c r="AC36" i="17" a="1"/>
  <c r="AC36" i="17" s="1"/>
  <c r="BR36" i="17" s="1"/>
  <c r="AC35" i="17" a="1"/>
  <c r="AC35" i="17" s="1"/>
  <c r="BR35" i="17" s="1"/>
  <c r="AC34" i="17" a="1"/>
  <c r="AC34" i="17" s="1"/>
  <c r="BR34" i="17" s="1"/>
  <c r="AC33" i="17" a="1"/>
  <c r="AC33" i="17" s="1"/>
  <c r="BR33" i="17" s="1"/>
  <c r="AC32" i="17" a="1"/>
  <c r="AC32" i="17" s="1"/>
  <c r="AC31" i="17" a="1"/>
  <c r="AC31" i="17" s="1"/>
  <c r="BR31" i="17" s="1"/>
  <c r="AC29" i="17" a="1"/>
  <c r="AC29" i="17" s="1"/>
  <c r="BR29" i="17" s="1"/>
  <c r="AC28" i="17" a="1"/>
  <c r="AC28" i="17" s="1"/>
  <c r="AC27" i="17" a="1"/>
  <c r="AC27" i="17" s="1"/>
  <c r="AC41" i="35" a="1"/>
  <c r="AC41" i="35" s="1"/>
  <c r="BR41" i="35" s="1"/>
  <c r="AC40" i="35" a="1"/>
  <c r="AC40" i="35" s="1"/>
  <c r="BR40" i="35" s="1"/>
  <c r="AC39" i="35" a="1"/>
  <c r="AC39" i="35" s="1"/>
  <c r="AC38" i="35" a="1"/>
  <c r="AC38" i="35" s="1"/>
  <c r="AC37" i="35" a="1"/>
  <c r="AC37" i="35" s="1"/>
  <c r="BR37" i="35" s="1"/>
  <c r="AC36" i="35" a="1"/>
  <c r="AC36" i="35" s="1"/>
  <c r="BR36" i="35" s="1"/>
  <c r="AC35" i="35" a="1"/>
  <c r="AC35" i="35" s="1"/>
  <c r="AC34" i="35" a="1"/>
  <c r="AC34" i="35" s="1"/>
  <c r="AC33" i="35" a="1"/>
  <c r="AC33" i="35" s="1"/>
  <c r="BR33" i="35" s="1"/>
  <c r="AC32" i="35" a="1"/>
  <c r="AC32" i="35" s="1"/>
  <c r="BR32" i="35" s="1"/>
  <c r="AC31" i="35" a="1"/>
  <c r="AC31" i="35" s="1"/>
  <c r="AC30" i="35" a="1"/>
  <c r="AC30" i="35" s="1"/>
  <c r="AC29" i="35" a="1"/>
  <c r="AC29" i="35" s="1"/>
  <c r="BR29" i="35" s="1"/>
  <c r="AC28" i="35" a="1"/>
  <c r="AC28" i="35" s="1"/>
  <c r="BR28" i="35" s="1"/>
  <c r="AC27" i="35" a="1"/>
  <c r="AC27" i="35" s="1"/>
  <c r="AC34" i="27" a="1"/>
  <c r="AC34" i="27" s="1"/>
  <c r="BR34" i="27" s="1"/>
  <c r="AC33" i="27" a="1"/>
  <c r="AC33" i="27" s="1"/>
  <c r="BR33" i="27" s="1"/>
  <c r="AC32" i="27" a="1"/>
  <c r="AC32" i="27" s="1"/>
  <c r="BR32" i="27" s="1"/>
  <c r="AC31" i="27" a="1"/>
  <c r="AC31" i="27" s="1"/>
  <c r="BR31" i="27" s="1"/>
  <c r="AC30" i="27" a="1"/>
  <c r="AC30" i="27" s="1"/>
  <c r="BR30" i="27" s="1"/>
  <c r="AC29" i="27" a="1"/>
  <c r="AC29" i="27" s="1"/>
  <c r="BR29" i="27" s="1"/>
  <c r="AC28" i="27" a="1"/>
  <c r="AC28" i="27" s="1"/>
  <c r="BR28" i="27" s="1"/>
  <c r="AC27" i="27" a="1"/>
  <c r="AC27" i="27" s="1"/>
  <c r="AC30" i="28" a="1"/>
  <c r="AC30" i="28" s="1"/>
  <c r="AC29" i="28" a="1"/>
  <c r="AC29" i="28" s="1"/>
  <c r="AC28" i="28" a="1"/>
  <c r="AC28" i="28" s="1"/>
  <c r="AC27" i="28" a="1"/>
  <c r="AC27" i="28" s="1"/>
  <c r="BR27" i="28" s="1"/>
  <c r="AC32" i="29" a="1"/>
  <c r="AC32" i="29" s="1"/>
  <c r="BR32" i="29" s="1"/>
  <c r="AC31" i="29" a="1"/>
  <c r="AC31" i="29" s="1"/>
  <c r="BR31" i="29" s="1"/>
  <c r="AC30" i="29" a="1"/>
  <c r="AC30" i="29" s="1"/>
  <c r="AC29" i="29" a="1"/>
  <c r="AC29" i="29" s="1"/>
  <c r="AC28" i="29" a="1"/>
  <c r="AC28" i="29" s="1"/>
  <c r="AC27" i="29" a="1"/>
  <c r="AC27" i="29" s="1"/>
  <c r="AC30" i="30" a="1"/>
  <c r="AC30" i="30" s="1"/>
  <c r="BR30" i="30" s="1"/>
  <c r="AC29" i="30" a="1"/>
  <c r="AC29" i="30" s="1"/>
  <c r="BT29" i="30" s="1"/>
  <c r="AC28" i="30" a="1"/>
  <c r="AC28" i="30" s="1"/>
  <c r="BT28" i="30" s="1"/>
  <c r="AC27" i="30" a="1"/>
  <c r="AC27" i="30" s="1"/>
  <c r="BT27" i="30" s="1"/>
  <c r="AC31" i="31" a="1"/>
  <c r="AC31" i="31" s="1"/>
  <c r="AC30" i="31" a="1"/>
  <c r="AC30" i="31" s="1"/>
  <c r="AC29" i="31" a="1"/>
  <c r="AC29" i="31" s="1"/>
  <c r="AC28" i="31" a="1"/>
  <c r="AC28" i="31" s="1"/>
  <c r="AC27" i="31" a="1"/>
  <c r="AC27" i="31" s="1"/>
  <c r="AC45" i="32" a="1"/>
  <c r="AC45" i="32" s="1"/>
  <c r="BR45" i="32" s="1"/>
  <c r="AC44" i="32" a="1"/>
  <c r="AC44" i="32" s="1"/>
  <c r="BR44" i="32" s="1"/>
  <c r="AC43" i="32" a="1"/>
  <c r="AC43" i="32" s="1"/>
  <c r="AC42" i="32" a="1"/>
  <c r="AC42" i="32" s="1"/>
  <c r="AC41" i="32" a="1"/>
  <c r="AC41" i="32" s="1"/>
  <c r="AC40" i="32" a="1"/>
  <c r="AC40" i="32" s="1"/>
  <c r="BR40" i="32" s="1"/>
  <c r="AC39" i="32" a="1"/>
  <c r="AC39" i="32" s="1"/>
  <c r="BR39" i="32" s="1"/>
  <c r="AC38" i="32" a="1"/>
  <c r="AC38" i="32" s="1"/>
  <c r="BR38" i="32" s="1"/>
  <c r="AC37" i="32" a="1"/>
  <c r="AC37" i="32" s="1"/>
  <c r="BR37" i="32" s="1"/>
  <c r="AC36" i="32" a="1"/>
  <c r="AC36" i="32" s="1"/>
  <c r="BR36" i="32" s="1"/>
  <c r="AC35" i="32" a="1"/>
  <c r="AC35" i="32" s="1"/>
  <c r="AC34" i="32" a="1"/>
  <c r="AC34" i="32" s="1"/>
  <c r="AC33" i="32" a="1"/>
  <c r="AC33" i="32" s="1"/>
  <c r="AC32" i="32" a="1"/>
  <c r="AC32" i="32" s="1"/>
  <c r="BR32" i="32" s="1"/>
  <c r="AC31" i="32" a="1"/>
  <c r="AC31" i="32" s="1"/>
  <c r="BR31" i="32" s="1"/>
  <c r="AC30" i="32" a="1"/>
  <c r="AC30" i="32" s="1"/>
  <c r="BR30" i="32" s="1"/>
  <c r="AC29" i="32" a="1"/>
  <c r="AC29" i="32" s="1"/>
  <c r="BR29" i="32" s="1"/>
  <c r="AC28" i="32" a="1"/>
  <c r="AC28" i="32" s="1"/>
  <c r="BR28" i="32" s="1"/>
  <c r="AC27" i="32" a="1"/>
  <c r="AC27" i="32" s="1"/>
  <c r="AC42" i="33" a="1"/>
  <c r="AC42" i="33" s="1"/>
  <c r="BR42" i="33" s="1"/>
  <c r="AC41" i="33" a="1"/>
  <c r="AC41" i="33" s="1"/>
  <c r="AC40" i="33" a="1"/>
  <c r="AC40" i="33" s="1"/>
  <c r="AC39" i="33" a="1"/>
  <c r="AC39" i="33" s="1"/>
  <c r="BR39" i="33" s="1"/>
  <c r="AC38" i="33" a="1"/>
  <c r="AC38" i="33" s="1"/>
  <c r="AC37" i="33" a="1"/>
  <c r="AC37" i="33" s="1"/>
  <c r="AC36" i="33" a="1"/>
  <c r="AC36" i="33" s="1"/>
  <c r="AC35" i="33" a="1"/>
  <c r="AC35" i="33" s="1"/>
  <c r="AC34" i="33" a="1"/>
  <c r="AC34" i="33" s="1"/>
  <c r="BR34" i="33" s="1"/>
  <c r="AC33" i="33" a="1"/>
  <c r="AC33" i="33" s="1"/>
  <c r="AC32" i="33" a="1"/>
  <c r="AC32" i="33" s="1"/>
  <c r="AC31" i="33" a="1"/>
  <c r="AC31" i="33" s="1"/>
  <c r="BR31" i="33" s="1"/>
  <c r="AC30" i="33" a="1"/>
  <c r="AC30" i="33" s="1"/>
  <c r="AC29" i="33" a="1"/>
  <c r="AC29" i="33" s="1"/>
  <c r="AC28" i="33" a="1"/>
  <c r="AC28" i="33" s="1"/>
  <c r="AC27" i="33" a="1"/>
  <c r="AC27" i="33" s="1"/>
  <c r="AC42" i="34" a="1"/>
  <c r="AC42" i="34" s="1"/>
  <c r="AC41" i="34" a="1"/>
  <c r="AC41" i="34" s="1"/>
  <c r="AC40" i="34" a="1"/>
  <c r="AC40" i="34" s="1"/>
  <c r="AC39" i="34" a="1"/>
  <c r="AC39" i="34" s="1"/>
  <c r="AC38" i="34" a="1"/>
  <c r="AC38" i="34" s="1"/>
  <c r="AC37" i="34" a="1"/>
  <c r="AC37" i="34" s="1"/>
  <c r="AC36" i="34" a="1"/>
  <c r="AC36" i="34" s="1"/>
  <c r="AC35" i="34" a="1"/>
  <c r="AC35" i="34" s="1"/>
  <c r="AC34" i="34" a="1"/>
  <c r="AC34" i="34" s="1"/>
  <c r="AC33" i="34" a="1"/>
  <c r="AC33" i="34" s="1"/>
  <c r="AC32" i="34" a="1"/>
  <c r="AC32" i="34" s="1"/>
  <c r="AC31" i="34" a="1"/>
  <c r="AC31" i="34" s="1"/>
  <c r="AC30" i="34" a="1"/>
  <c r="AC30" i="34" s="1"/>
  <c r="AC29" i="34" a="1"/>
  <c r="AC29" i="34" s="1"/>
  <c r="AC28" i="34" a="1"/>
  <c r="AC28" i="34" s="1"/>
  <c r="BR28" i="34" s="1"/>
  <c r="AC27" i="34" a="1"/>
  <c r="AC27" i="34" s="1"/>
  <c r="AC27" i="2" a="1"/>
  <c r="AC27" i="2" s="1"/>
  <c r="BP39" i="2"/>
  <c r="BP38" i="2"/>
  <c r="BP36" i="2"/>
  <c r="BP34" i="2"/>
  <c r="BP33" i="2"/>
  <c r="BP32" i="2"/>
  <c r="BP31" i="2"/>
  <c r="BP30" i="2"/>
  <c r="BP29" i="2"/>
  <c r="BP28" i="2"/>
  <c r="BP20" i="2"/>
  <c r="BP19" i="2"/>
  <c r="BP48" i="34"/>
  <c r="BP47" i="34"/>
  <c r="BP45" i="34"/>
  <c r="BP43" i="34"/>
  <c r="BP20" i="34"/>
  <c r="BP19" i="34"/>
  <c r="BP48" i="33"/>
  <c r="BP47" i="33"/>
  <c r="BP45" i="33"/>
  <c r="BP43" i="33"/>
  <c r="BP20" i="33"/>
  <c r="BP19" i="33"/>
  <c r="BP51" i="32"/>
  <c r="BP50" i="32"/>
  <c r="BP48" i="32"/>
  <c r="BP46" i="32"/>
  <c r="BP20" i="32"/>
  <c r="BP19" i="32"/>
  <c r="BP37" i="31"/>
  <c r="BP36" i="31"/>
  <c r="BP34" i="31"/>
  <c r="BP32" i="31"/>
  <c r="BP20" i="31"/>
  <c r="BP19" i="31"/>
  <c r="BP36" i="30"/>
  <c r="BP35" i="30"/>
  <c r="BP33" i="30"/>
  <c r="BP31" i="30"/>
  <c r="BP20" i="30"/>
  <c r="BP19" i="30"/>
  <c r="BP38" i="29"/>
  <c r="BP37" i="29"/>
  <c r="BP35" i="29"/>
  <c r="BP33" i="29"/>
  <c r="BP20" i="29"/>
  <c r="BP19" i="29"/>
  <c r="BP36" i="28"/>
  <c r="BP35" i="28"/>
  <c r="BP33" i="28"/>
  <c r="BP31" i="28"/>
  <c r="BP20" i="28"/>
  <c r="BP19" i="28"/>
  <c r="BP40" i="27"/>
  <c r="BP39" i="27"/>
  <c r="BP37" i="27"/>
  <c r="BP35" i="27"/>
  <c r="BP20" i="27"/>
  <c r="BP19" i="27"/>
  <c r="BP47" i="35"/>
  <c r="BP46" i="35"/>
  <c r="BP44" i="35"/>
  <c r="BP42" i="35"/>
  <c r="BP20" i="35"/>
  <c r="BP19" i="35"/>
  <c r="BP43" i="17"/>
  <c r="BP42" i="17"/>
  <c r="BP40" i="17"/>
  <c r="BP38" i="17"/>
  <c r="BP20" i="17"/>
  <c r="BP19" i="17"/>
  <c r="BP36" i="26"/>
  <c r="BP35" i="26"/>
  <c r="BP33" i="26"/>
  <c r="BP31" i="26"/>
  <c r="BP20" i="26"/>
  <c r="BP19" i="26"/>
  <c r="BP39" i="25"/>
  <c r="BP38" i="25"/>
  <c r="BP36" i="25"/>
  <c r="BP34" i="25"/>
  <c r="BP20" i="25"/>
  <c r="BP19" i="25"/>
  <c r="BP59" i="24"/>
  <c r="BP58" i="24"/>
  <c r="BP56" i="24"/>
  <c r="BP54" i="24"/>
  <c r="BP20" i="24"/>
  <c r="BP19" i="24"/>
  <c r="BP39" i="23"/>
  <c r="BP38" i="23"/>
  <c r="BP36" i="23"/>
  <c r="BP34" i="23"/>
  <c r="BP20" i="23"/>
  <c r="BP19" i="23"/>
  <c r="BP64" i="22"/>
  <c r="BP63" i="22"/>
  <c r="BP61" i="22"/>
  <c r="BP59" i="22"/>
  <c r="BP20" i="22"/>
  <c r="BP19" i="22"/>
  <c r="BP54" i="21"/>
  <c r="BP53" i="21"/>
  <c r="BP51" i="21"/>
  <c r="BP49" i="21"/>
  <c r="BP20" i="21"/>
  <c r="BP19" i="21"/>
  <c r="BP40" i="36"/>
  <c r="BP39" i="36"/>
  <c r="BP37" i="36"/>
  <c r="BP35" i="36"/>
  <c r="BP20" i="36"/>
  <c r="BP19" i="36"/>
  <c r="BP55" i="20"/>
  <c r="BP54" i="20"/>
  <c r="BP52" i="20"/>
  <c r="BP50" i="20"/>
  <c r="BP20" i="20"/>
  <c r="BP19" i="20"/>
  <c r="BP40" i="19"/>
  <c r="BP39" i="19"/>
  <c r="BP37" i="19"/>
  <c r="BP35" i="19"/>
  <c r="BP20" i="19"/>
  <c r="BP19" i="19"/>
  <c r="BP20" i="18"/>
  <c r="BP62" i="18"/>
  <c r="BP58" i="18"/>
  <c r="BP54" i="18"/>
  <c r="BP50" i="18"/>
  <c r="BP46" i="18"/>
  <c r="BP42" i="18"/>
  <c r="BP38" i="18"/>
  <c r="BP34" i="18"/>
  <c r="BP30" i="18"/>
  <c r="BZ50" i="36"/>
  <c r="BZ46" i="36"/>
  <c r="BZ45" i="36"/>
  <c r="BZ44" i="36"/>
  <c r="D44" i="36"/>
  <c r="BZ43" i="36"/>
  <c r="BV43" i="36"/>
  <c r="BZ42" i="36"/>
  <c r="BV42" i="36"/>
  <c r="BZ41" i="36"/>
  <c r="BV41" i="36"/>
  <c r="BZ40" i="36"/>
  <c r="BV40" i="36"/>
  <c r="BZ39" i="36"/>
  <c r="BV39" i="36"/>
  <c r="R39" i="36"/>
  <c r="BV38" i="36"/>
  <c r="BZ37" i="36"/>
  <c r="BV37" i="36"/>
  <c r="BV36" i="36"/>
  <c r="BZ35" i="36"/>
  <c r="BZ34" i="36"/>
  <c r="BX34" i="36"/>
  <c r="BV34" i="36"/>
  <c r="BZ33" i="36"/>
  <c r="BX33" i="36"/>
  <c r="BV33" i="36"/>
  <c r="BZ32" i="36"/>
  <c r="BX32" i="36"/>
  <c r="BV32" i="36"/>
  <c r="BZ31" i="36"/>
  <c r="BX31" i="36"/>
  <c r="BV31" i="36"/>
  <c r="BZ30" i="36"/>
  <c r="BX30" i="36"/>
  <c r="BV30" i="36"/>
  <c r="BZ29" i="36"/>
  <c r="BX29" i="36"/>
  <c r="BV29" i="36"/>
  <c r="BZ28" i="36"/>
  <c r="BX28" i="36"/>
  <c r="BV28" i="36"/>
  <c r="BZ27" i="36"/>
  <c r="BX27" i="36"/>
  <c r="BV27" i="36"/>
  <c r="BX26" i="36"/>
  <c r="BV24" i="36"/>
  <c r="B22" i="36"/>
  <c r="B23" i="36" s="1"/>
  <c r="B24" i="36" s="1"/>
  <c r="B25" i="36" s="1"/>
  <c r="B26" i="36" s="1"/>
  <c r="B27" i="36" s="1"/>
  <c r="B28" i="36" s="1"/>
  <c r="B29" i="36" s="1"/>
  <c r="B30" i="36" s="1"/>
  <c r="B31" i="36" s="1"/>
  <c r="B32" i="36" s="1"/>
  <c r="B33" i="36" s="1"/>
  <c r="B34" i="36" s="1"/>
  <c r="Z4" i="36"/>
  <c r="H4" i="36"/>
  <c r="AT2" i="36"/>
  <c r="AP2" i="36"/>
  <c r="K2" i="36"/>
  <c r="A2" i="36"/>
  <c r="W1" i="36"/>
  <c r="BR27" i="34" l="1"/>
  <c r="BR36" i="34"/>
  <c r="BR29" i="34"/>
  <c r="BR37" i="34"/>
  <c r="BR30" i="34"/>
  <c r="BR38" i="34"/>
  <c r="BR31" i="34"/>
  <c r="BR39" i="34"/>
  <c r="BR32" i="34"/>
  <c r="BR40" i="34"/>
  <c r="BR35" i="34"/>
  <c r="BR33" i="34"/>
  <c r="BR41" i="34"/>
  <c r="BR34" i="34"/>
  <c r="BR42" i="34"/>
  <c r="BR32" i="33"/>
  <c r="BR40" i="33"/>
  <c r="BR33" i="33"/>
  <c r="BR41" i="33"/>
  <c r="BR41" i="32"/>
  <c r="BR34" i="32"/>
  <c r="BR42" i="32"/>
  <c r="BR27" i="32"/>
  <c r="BR43" i="32"/>
  <c r="BR35" i="32"/>
  <c r="BR33" i="32"/>
  <c r="BR27" i="31"/>
  <c r="BR28" i="31"/>
  <c r="BR29" i="31"/>
  <c r="BR30" i="31"/>
  <c r="BR31" i="31"/>
  <c r="BR27" i="30"/>
  <c r="BR28" i="30"/>
  <c r="BR29" i="30"/>
  <c r="BT30" i="30"/>
  <c r="BR27" i="29"/>
  <c r="BR29" i="29"/>
  <c r="BR30" i="29"/>
  <c r="BR29" i="28"/>
  <c r="BR27" i="17"/>
  <c r="BR28" i="17"/>
  <c r="BR37" i="17"/>
  <c r="BR32" i="17"/>
  <c r="BR29" i="26"/>
  <c r="BT27" i="25"/>
  <c r="BR28" i="25"/>
  <c r="BR27" i="25"/>
  <c r="BR29" i="25"/>
  <c r="BR30" i="25"/>
  <c r="BR32" i="25"/>
  <c r="BR33" i="36"/>
  <c r="BR34" i="36"/>
  <c r="BR31" i="36"/>
  <c r="BR27" i="36"/>
  <c r="BR29" i="36"/>
  <c r="BR30" i="36"/>
  <c r="BR27" i="2"/>
  <c r="BP32" i="36"/>
  <c r="BP41" i="33"/>
  <c r="BP37" i="33"/>
  <c r="BP27" i="2"/>
  <c r="BP39" i="33"/>
  <c r="BP40" i="33"/>
  <c r="BP38" i="33"/>
  <c r="BP36" i="33"/>
  <c r="BP42" i="33"/>
  <c r="BP28" i="36"/>
  <c r="BZ49" i="2"/>
  <c r="BZ45" i="2"/>
  <c r="BZ44" i="2"/>
  <c r="BZ43" i="2"/>
  <c r="BZ42" i="2"/>
  <c r="BV42" i="2"/>
  <c r="BZ41" i="2"/>
  <c r="BV41" i="2"/>
  <c r="BZ40" i="2"/>
  <c r="BV40" i="2"/>
  <c r="BZ39" i="2"/>
  <c r="BV39" i="2"/>
  <c r="BZ38" i="2"/>
  <c r="BV38" i="2"/>
  <c r="BV37" i="2"/>
  <c r="BZ36" i="2"/>
  <c r="BV36" i="2"/>
  <c r="BV35" i="2"/>
  <c r="BZ34" i="2"/>
  <c r="BZ54" i="34"/>
  <c r="BZ53" i="34"/>
  <c r="BZ52" i="34"/>
  <c r="BZ51" i="34"/>
  <c r="BV51" i="34"/>
  <c r="BZ50" i="34"/>
  <c r="BV50" i="34"/>
  <c r="BZ49" i="34"/>
  <c r="BV49" i="34"/>
  <c r="BZ48" i="34"/>
  <c r="BV48" i="34"/>
  <c r="BZ47" i="34"/>
  <c r="BV47" i="34"/>
  <c r="BV46" i="34"/>
  <c r="BZ45" i="34"/>
  <c r="BV45" i="34"/>
  <c r="BV44" i="34"/>
  <c r="BZ43" i="34"/>
  <c r="BZ54" i="33"/>
  <c r="BZ53" i="33"/>
  <c r="BZ52" i="33"/>
  <c r="BZ51" i="33"/>
  <c r="BV51" i="33"/>
  <c r="BZ50" i="33"/>
  <c r="BV50" i="33"/>
  <c r="BZ49" i="33"/>
  <c r="BV49" i="33"/>
  <c r="BZ48" i="33"/>
  <c r="BV48" i="33"/>
  <c r="BZ47" i="33"/>
  <c r="BV47" i="33"/>
  <c r="BV46" i="33"/>
  <c r="BZ45" i="33"/>
  <c r="BV45" i="33"/>
  <c r="BV44" i="33"/>
  <c r="BZ43" i="33"/>
  <c r="BZ57" i="32"/>
  <c r="BZ56" i="32"/>
  <c r="BZ55" i="32"/>
  <c r="BZ54" i="32"/>
  <c r="BV54" i="32"/>
  <c r="BZ53" i="32"/>
  <c r="BV53" i="32"/>
  <c r="BZ52" i="32"/>
  <c r="BV52" i="32"/>
  <c r="BZ51" i="32"/>
  <c r="BV51" i="32"/>
  <c r="BZ50" i="32"/>
  <c r="BV50" i="32"/>
  <c r="BV49" i="32"/>
  <c r="BZ48" i="32"/>
  <c r="BV48" i="32"/>
  <c r="BV47" i="32"/>
  <c r="BZ46" i="32"/>
  <c r="BZ43" i="31"/>
  <c r="BZ42" i="31"/>
  <c r="BZ41" i="31"/>
  <c r="BZ40" i="31"/>
  <c r="BV40" i="31"/>
  <c r="BZ39" i="31"/>
  <c r="BV39" i="31"/>
  <c r="BZ38" i="31"/>
  <c r="BV38" i="31"/>
  <c r="BZ37" i="31"/>
  <c r="BV37" i="31"/>
  <c r="BZ36" i="31"/>
  <c r="BV36" i="31"/>
  <c r="BV35" i="31"/>
  <c r="BZ34" i="31"/>
  <c r="BV34" i="31"/>
  <c r="BV33" i="31"/>
  <c r="BZ32" i="31"/>
  <c r="BZ42" i="30"/>
  <c r="BZ41" i="30"/>
  <c r="BZ40" i="30"/>
  <c r="BZ39" i="30"/>
  <c r="BV39" i="30"/>
  <c r="BZ38" i="30"/>
  <c r="BV38" i="30"/>
  <c r="BZ37" i="30"/>
  <c r="BV37" i="30"/>
  <c r="BZ36" i="30"/>
  <c r="BV36" i="30"/>
  <c r="BZ35" i="30"/>
  <c r="BV35" i="30"/>
  <c r="BV34" i="30"/>
  <c r="BZ33" i="30"/>
  <c r="BV33" i="30"/>
  <c r="BV32" i="30"/>
  <c r="BZ31" i="30"/>
  <c r="BZ44" i="29"/>
  <c r="BZ43" i="29"/>
  <c r="BZ42" i="29"/>
  <c r="BZ41" i="29"/>
  <c r="BV41" i="29"/>
  <c r="BZ40" i="29"/>
  <c r="BV40" i="29"/>
  <c r="BZ39" i="29"/>
  <c r="BV39" i="29"/>
  <c r="BZ38" i="29"/>
  <c r="BV38" i="29"/>
  <c r="BZ37" i="29"/>
  <c r="BV37" i="29"/>
  <c r="BV36" i="29"/>
  <c r="BZ35" i="29"/>
  <c r="BV35" i="29"/>
  <c r="BV34" i="29"/>
  <c r="BZ33" i="29"/>
  <c r="BZ46" i="28"/>
  <c r="BZ42" i="28"/>
  <c r="BZ41" i="28"/>
  <c r="BZ40" i="28"/>
  <c r="BZ39" i="28"/>
  <c r="BV39" i="28"/>
  <c r="BZ38" i="28"/>
  <c r="BV38" i="28"/>
  <c r="BZ37" i="28"/>
  <c r="BV37" i="28"/>
  <c r="BZ36" i="28"/>
  <c r="BV36" i="28"/>
  <c r="BZ35" i="28"/>
  <c r="BV35" i="28"/>
  <c r="BV34" i="28"/>
  <c r="BZ33" i="28"/>
  <c r="BV33" i="28"/>
  <c r="BV32" i="28"/>
  <c r="BZ31" i="28"/>
  <c r="BZ50" i="27"/>
  <c r="BZ46" i="27"/>
  <c r="BZ45" i="27"/>
  <c r="BZ44" i="27"/>
  <c r="BZ43" i="27"/>
  <c r="BV43" i="27"/>
  <c r="BZ42" i="27"/>
  <c r="BV42" i="27"/>
  <c r="BZ41" i="27"/>
  <c r="BV41" i="27"/>
  <c r="BZ40" i="27"/>
  <c r="BV40" i="27"/>
  <c r="BZ39" i="27"/>
  <c r="BV39" i="27"/>
  <c r="BV38" i="27"/>
  <c r="BZ37" i="27"/>
  <c r="BV37" i="27"/>
  <c r="BV36" i="27"/>
  <c r="BZ35" i="27"/>
  <c r="BZ57" i="35"/>
  <c r="BZ53" i="35"/>
  <c r="BZ52" i="35"/>
  <c r="BZ51" i="35"/>
  <c r="BZ50" i="35"/>
  <c r="BV50" i="35"/>
  <c r="BZ49" i="35"/>
  <c r="BV49" i="35"/>
  <c r="BZ48" i="35"/>
  <c r="BV48" i="35"/>
  <c r="BZ47" i="35"/>
  <c r="BV47" i="35"/>
  <c r="BZ46" i="35"/>
  <c r="BV46" i="35"/>
  <c r="BV45" i="35"/>
  <c r="BZ44" i="35"/>
  <c r="BV44" i="35"/>
  <c r="BV43" i="35"/>
  <c r="BZ42" i="35"/>
  <c r="BZ53" i="17"/>
  <c r="BZ49" i="17"/>
  <c r="BZ48" i="17"/>
  <c r="BZ47" i="17"/>
  <c r="BZ46" i="17"/>
  <c r="BV46" i="17"/>
  <c r="BZ45" i="17"/>
  <c r="BV45" i="17"/>
  <c r="BZ44" i="17"/>
  <c r="BV44" i="17"/>
  <c r="BZ43" i="17"/>
  <c r="BV43" i="17"/>
  <c r="BZ42" i="17"/>
  <c r="BV42" i="17"/>
  <c r="BV41" i="17"/>
  <c r="BZ40" i="17"/>
  <c r="BV40" i="17"/>
  <c r="BV39" i="17"/>
  <c r="BZ38" i="17"/>
  <c r="BZ46" i="26"/>
  <c r="BZ42" i="26"/>
  <c r="BZ41" i="26"/>
  <c r="BZ40" i="26"/>
  <c r="BZ39" i="26"/>
  <c r="BV39" i="26"/>
  <c r="BZ38" i="26"/>
  <c r="BV38" i="26"/>
  <c r="BZ37" i="26"/>
  <c r="BV37" i="26"/>
  <c r="BZ36" i="26"/>
  <c r="BV36" i="26"/>
  <c r="BZ35" i="26"/>
  <c r="BV35" i="26"/>
  <c r="BV34" i="26"/>
  <c r="BZ33" i="26"/>
  <c r="BV33" i="26"/>
  <c r="BV32" i="26"/>
  <c r="BZ31" i="26"/>
  <c r="BZ49" i="25"/>
  <c r="BZ45" i="25"/>
  <c r="BZ44" i="25"/>
  <c r="BZ43" i="25"/>
  <c r="BZ42" i="25"/>
  <c r="BV42" i="25"/>
  <c r="BZ41" i="25"/>
  <c r="BV41" i="25"/>
  <c r="BZ40" i="25"/>
  <c r="BV40" i="25"/>
  <c r="BZ39" i="25"/>
  <c r="BV39" i="25"/>
  <c r="BZ38" i="25"/>
  <c r="BV38" i="25"/>
  <c r="BV37" i="25"/>
  <c r="BZ36" i="25"/>
  <c r="BV36" i="25"/>
  <c r="BV35" i="25"/>
  <c r="BZ34" i="25"/>
  <c r="BZ69" i="24"/>
  <c r="BZ65" i="24"/>
  <c r="BZ64" i="24"/>
  <c r="BZ63" i="24"/>
  <c r="BZ62" i="24"/>
  <c r="BV62" i="24"/>
  <c r="BZ61" i="24"/>
  <c r="BV61" i="24"/>
  <c r="BZ60" i="24"/>
  <c r="BV60" i="24"/>
  <c r="BZ59" i="24"/>
  <c r="BV59" i="24"/>
  <c r="BZ58" i="24"/>
  <c r="BV58" i="24"/>
  <c r="BV57" i="24"/>
  <c r="BZ56" i="24"/>
  <c r="BV56" i="24"/>
  <c r="BV55" i="24"/>
  <c r="BZ54" i="24"/>
  <c r="BZ49" i="23"/>
  <c r="BZ45" i="23"/>
  <c r="BZ44" i="23"/>
  <c r="BZ43" i="23"/>
  <c r="BZ42" i="23"/>
  <c r="BV42" i="23"/>
  <c r="BZ41" i="23"/>
  <c r="BV41" i="23"/>
  <c r="BZ40" i="23"/>
  <c r="BV40" i="23"/>
  <c r="BZ39" i="23"/>
  <c r="BV39" i="23"/>
  <c r="BZ38" i="23"/>
  <c r="BV38" i="23"/>
  <c r="BV37" i="23"/>
  <c r="BZ36" i="23"/>
  <c r="BV36" i="23"/>
  <c r="BV35" i="23"/>
  <c r="BZ34" i="23"/>
  <c r="BZ74" i="22"/>
  <c r="BZ70" i="22"/>
  <c r="BZ69" i="22"/>
  <c r="BZ68" i="22"/>
  <c r="BZ67" i="22"/>
  <c r="BV67" i="22"/>
  <c r="BZ66" i="22"/>
  <c r="BV66" i="22"/>
  <c r="BZ65" i="22"/>
  <c r="BV65" i="22"/>
  <c r="BZ64" i="22"/>
  <c r="BV64" i="22"/>
  <c r="BZ63" i="22"/>
  <c r="BV63" i="22"/>
  <c r="BV62" i="22"/>
  <c r="BZ61" i="22"/>
  <c r="BV61" i="22"/>
  <c r="BV60" i="22"/>
  <c r="BZ59" i="22"/>
  <c r="BZ64" i="21"/>
  <c r="BZ60" i="21"/>
  <c r="BZ59" i="21"/>
  <c r="BZ58" i="21"/>
  <c r="BZ57" i="21"/>
  <c r="BV57" i="21"/>
  <c r="BZ56" i="21"/>
  <c r="BV56" i="21"/>
  <c r="BZ55" i="21"/>
  <c r="BV55" i="21"/>
  <c r="BZ54" i="21"/>
  <c r="BV54" i="21"/>
  <c r="BZ53" i="21"/>
  <c r="BV53" i="21"/>
  <c r="BV52" i="21"/>
  <c r="BZ51" i="21"/>
  <c r="BV51" i="21"/>
  <c r="BV50" i="21"/>
  <c r="BZ49" i="21"/>
  <c r="BZ65" i="20"/>
  <c r="BZ61" i="20"/>
  <c r="BZ60" i="20"/>
  <c r="BZ59" i="20"/>
  <c r="BZ58" i="20"/>
  <c r="BV58" i="20"/>
  <c r="BZ57" i="20"/>
  <c r="BV57" i="20"/>
  <c r="BZ56" i="20"/>
  <c r="BV56" i="20"/>
  <c r="BZ55" i="20"/>
  <c r="BV55" i="20"/>
  <c r="BZ54" i="20"/>
  <c r="BV54" i="20"/>
  <c r="BV53" i="20"/>
  <c r="BZ52" i="20"/>
  <c r="BV52" i="20"/>
  <c r="BV51" i="20"/>
  <c r="BZ50" i="20"/>
  <c r="BZ50" i="19"/>
  <c r="BZ46" i="19"/>
  <c r="BZ45" i="19"/>
  <c r="BZ44" i="19"/>
  <c r="BZ43" i="19"/>
  <c r="BV43" i="19"/>
  <c r="BZ42" i="19"/>
  <c r="BV42" i="19"/>
  <c r="BZ41" i="19"/>
  <c r="BV41" i="19"/>
  <c r="BZ40" i="19"/>
  <c r="BV40" i="19"/>
  <c r="BZ39" i="19"/>
  <c r="BV39" i="19"/>
  <c r="BV38" i="19"/>
  <c r="BZ37" i="19"/>
  <c r="BV37" i="19"/>
  <c r="BV36" i="19"/>
  <c r="BZ35" i="19"/>
  <c r="BZ78" i="2"/>
  <c r="BZ74" i="2"/>
  <c r="BZ73" i="2"/>
  <c r="BZ72" i="2"/>
  <c r="BZ71" i="2"/>
  <c r="BV71" i="2"/>
  <c r="BZ70" i="2"/>
  <c r="BV70" i="2"/>
  <c r="BZ69" i="2"/>
  <c r="BV69" i="2"/>
  <c r="BZ68" i="2"/>
  <c r="BV68" i="2"/>
  <c r="BZ67" i="2"/>
  <c r="BV67" i="2"/>
  <c r="BV66" i="2"/>
  <c r="BZ65" i="2"/>
  <c r="BV65" i="2"/>
  <c r="BV64" i="2"/>
  <c r="BZ63" i="2"/>
  <c r="BZ62" i="2"/>
  <c r="BX62" i="2"/>
  <c r="BV62" i="2"/>
  <c r="BZ61" i="2"/>
  <c r="BX61" i="2"/>
  <c r="BV61" i="2"/>
  <c r="BZ60" i="2"/>
  <c r="BX60" i="2"/>
  <c r="BV60" i="2"/>
  <c r="BZ59" i="2"/>
  <c r="BX59" i="2"/>
  <c r="BV59" i="2"/>
  <c r="BZ58" i="2"/>
  <c r="BX58" i="2"/>
  <c r="BV58" i="2"/>
  <c r="BZ57" i="2"/>
  <c r="BX57" i="2"/>
  <c r="BV57" i="2"/>
  <c r="BZ56" i="2"/>
  <c r="BX56" i="2"/>
  <c r="BV56" i="2"/>
  <c r="BZ55" i="2"/>
  <c r="BX55" i="2"/>
  <c r="BV55" i="2"/>
  <c r="BZ33" i="2"/>
  <c r="BX33" i="2"/>
  <c r="BV33" i="2"/>
  <c r="BZ32" i="2"/>
  <c r="BX32" i="2"/>
  <c r="BV32" i="2"/>
  <c r="BZ31" i="2"/>
  <c r="BX31" i="2"/>
  <c r="BV31" i="2"/>
  <c r="BZ30" i="2"/>
  <c r="BX30" i="2"/>
  <c r="BV30" i="2"/>
  <c r="BZ29" i="2"/>
  <c r="BX29" i="2"/>
  <c r="BV29" i="2"/>
  <c r="BZ28" i="2"/>
  <c r="BX28" i="2"/>
  <c r="BV28" i="2"/>
  <c r="BZ27" i="2"/>
  <c r="BX27" i="2"/>
  <c r="BV27" i="2"/>
  <c r="BX26" i="2"/>
  <c r="BV24" i="2"/>
  <c r="BZ42" i="34"/>
  <c r="BX42" i="34"/>
  <c r="BV42" i="34"/>
  <c r="BZ41" i="34"/>
  <c r="BX41" i="34"/>
  <c r="BV41" i="34"/>
  <c r="BZ40" i="34"/>
  <c r="BX40" i="34"/>
  <c r="BV40" i="34"/>
  <c r="BZ39" i="34"/>
  <c r="BX39" i="34"/>
  <c r="BV39" i="34"/>
  <c r="BZ38" i="34"/>
  <c r="BX38" i="34"/>
  <c r="BV38" i="34"/>
  <c r="BZ37" i="34"/>
  <c r="BX37" i="34"/>
  <c r="BV37" i="34"/>
  <c r="BZ36" i="34"/>
  <c r="BX36" i="34"/>
  <c r="BV36" i="34"/>
  <c r="BZ35" i="34"/>
  <c r="BX35" i="34"/>
  <c r="BV35" i="34"/>
  <c r="BZ34" i="34"/>
  <c r="BX34" i="34"/>
  <c r="BV34" i="34"/>
  <c r="BZ33" i="34"/>
  <c r="BX33" i="34"/>
  <c r="BV33" i="34"/>
  <c r="BZ32" i="34"/>
  <c r="BX32" i="34"/>
  <c r="BV32" i="34"/>
  <c r="BZ31" i="34"/>
  <c r="BX31" i="34"/>
  <c r="BV31" i="34"/>
  <c r="BZ30" i="34"/>
  <c r="BX30" i="34"/>
  <c r="BV30" i="34"/>
  <c r="BZ29" i="34"/>
  <c r="BX29" i="34"/>
  <c r="BV29" i="34"/>
  <c r="BZ28" i="34"/>
  <c r="BX28" i="34"/>
  <c r="BV28" i="34"/>
  <c r="BZ27" i="34"/>
  <c r="BX27" i="34"/>
  <c r="BV27" i="34"/>
  <c r="BX26" i="34"/>
  <c r="BV24" i="34"/>
  <c r="BZ42" i="33"/>
  <c r="BX42" i="33"/>
  <c r="BV42" i="33"/>
  <c r="BZ41" i="33"/>
  <c r="BX41" i="33"/>
  <c r="BV41" i="33"/>
  <c r="BZ40" i="33"/>
  <c r="BX40" i="33"/>
  <c r="BV40" i="33"/>
  <c r="BZ39" i="33"/>
  <c r="BX39" i="33"/>
  <c r="BV39" i="33"/>
  <c r="BZ38" i="33"/>
  <c r="BX38" i="33"/>
  <c r="BV38" i="33"/>
  <c r="BZ37" i="33"/>
  <c r="BX37" i="33"/>
  <c r="BV37" i="33"/>
  <c r="BZ36" i="33"/>
  <c r="BX36" i="33"/>
  <c r="BV36" i="33"/>
  <c r="BZ35" i="33"/>
  <c r="BX35" i="33"/>
  <c r="BV35" i="33"/>
  <c r="BZ34" i="33"/>
  <c r="BX34" i="33"/>
  <c r="BV34" i="33"/>
  <c r="BZ33" i="33"/>
  <c r="BX33" i="33"/>
  <c r="BV33" i="33"/>
  <c r="BZ32" i="33"/>
  <c r="BX32" i="33"/>
  <c r="BV32" i="33"/>
  <c r="BZ31" i="33"/>
  <c r="BX31" i="33"/>
  <c r="BV31" i="33"/>
  <c r="BZ30" i="33"/>
  <c r="BX30" i="33"/>
  <c r="BV30" i="33"/>
  <c r="BZ29" i="33"/>
  <c r="BX29" i="33"/>
  <c r="BV29" i="33"/>
  <c r="BZ28" i="33"/>
  <c r="BX28" i="33"/>
  <c r="BV28" i="33"/>
  <c r="BZ27" i="33"/>
  <c r="BX27" i="33"/>
  <c r="BV27" i="33"/>
  <c r="BX26" i="33"/>
  <c r="BV24" i="33"/>
  <c r="BZ45" i="32"/>
  <c r="BX45" i="32"/>
  <c r="BV45" i="32"/>
  <c r="BZ44" i="32"/>
  <c r="BX44" i="32"/>
  <c r="BV44" i="32"/>
  <c r="BZ43" i="32"/>
  <c r="BX43" i="32"/>
  <c r="BV43" i="32"/>
  <c r="BZ42" i="32"/>
  <c r="BX42" i="32"/>
  <c r="BV42" i="32"/>
  <c r="BZ41" i="32"/>
  <c r="BX41" i="32"/>
  <c r="BV41" i="32"/>
  <c r="BZ40" i="32"/>
  <c r="BX40" i="32"/>
  <c r="BV40" i="32"/>
  <c r="BZ39" i="32"/>
  <c r="BX39" i="32"/>
  <c r="BV39" i="32"/>
  <c r="BZ38" i="32"/>
  <c r="BX38" i="32"/>
  <c r="BV38" i="32"/>
  <c r="BZ37" i="32"/>
  <c r="BX37" i="32"/>
  <c r="BV37" i="32"/>
  <c r="BZ36" i="32"/>
  <c r="BX36" i="32"/>
  <c r="BV36" i="32"/>
  <c r="BZ35" i="32"/>
  <c r="BX35" i="32"/>
  <c r="BV35" i="32"/>
  <c r="BZ34" i="32"/>
  <c r="BX34" i="32"/>
  <c r="BV34" i="32"/>
  <c r="BZ33" i="32"/>
  <c r="BX33" i="32"/>
  <c r="BV33" i="32"/>
  <c r="BZ32" i="32"/>
  <c r="BX32" i="32"/>
  <c r="BV32" i="32"/>
  <c r="BZ31" i="32"/>
  <c r="BX31" i="32"/>
  <c r="BV31" i="32"/>
  <c r="BZ30" i="32"/>
  <c r="BX30" i="32"/>
  <c r="BV30" i="32"/>
  <c r="BZ29" i="32"/>
  <c r="BX29" i="32"/>
  <c r="BV29" i="32"/>
  <c r="BZ28" i="32"/>
  <c r="BX28" i="32"/>
  <c r="BV28" i="32"/>
  <c r="BZ27" i="32"/>
  <c r="BX27" i="32"/>
  <c r="BV27" i="32"/>
  <c r="BX26" i="32"/>
  <c r="BV24" i="32"/>
  <c r="BZ31" i="31"/>
  <c r="BX31" i="31"/>
  <c r="BV31" i="31"/>
  <c r="BZ30" i="31"/>
  <c r="BX30" i="31"/>
  <c r="BV30" i="31"/>
  <c r="BZ29" i="31"/>
  <c r="BX29" i="31"/>
  <c r="BV29" i="31"/>
  <c r="BZ28" i="31"/>
  <c r="BX28" i="31"/>
  <c r="BV28" i="31"/>
  <c r="BZ27" i="31"/>
  <c r="BX27" i="31"/>
  <c r="BV27" i="31"/>
  <c r="BX26" i="31"/>
  <c r="BV24" i="31"/>
  <c r="BZ30" i="30"/>
  <c r="BX30" i="30"/>
  <c r="BV30" i="30"/>
  <c r="BZ29" i="30"/>
  <c r="BX29" i="30"/>
  <c r="BV29" i="30"/>
  <c r="BZ28" i="30"/>
  <c r="BX28" i="30"/>
  <c r="BV28" i="30"/>
  <c r="BZ27" i="30"/>
  <c r="BX27" i="30"/>
  <c r="BV27" i="30"/>
  <c r="BX26" i="30"/>
  <c r="BV24" i="30"/>
  <c r="BZ32" i="29"/>
  <c r="BX32" i="29"/>
  <c r="BV32" i="29"/>
  <c r="BZ31" i="29"/>
  <c r="BX31" i="29"/>
  <c r="BV31" i="29"/>
  <c r="BZ30" i="29"/>
  <c r="BX30" i="29"/>
  <c r="BV30" i="29"/>
  <c r="BZ29" i="29"/>
  <c r="BX29" i="29"/>
  <c r="BV29" i="29"/>
  <c r="BZ28" i="29"/>
  <c r="BX28" i="29"/>
  <c r="BV28" i="29"/>
  <c r="BZ27" i="29"/>
  <c r="BX27" i="29"/>
  <c r="BV27" i="29"/>
  <c r="BX26" i="29"/>
  <c r="BV24" i="29"/>
  <c r="BZ30" i="28"/>
  <c r="BX30" i="28"/>
  <c r="BV30" i="28"/>
  <c r="BZ29" i="28"/>
  <c r="BX29" i="28"/>
  <c r="BV29" i="28"/>
  <c r="BZ28" i="28"/>
  <c r="BX28" i="28"/>
  <c r="BV28" i="28"/>
  <c r="BZ27" i="28"/>
  <c r="BX27" i="28"/>
  <c r="BV27" i="28"/>
  <c r="BX26" i="28"/>
  <c r="BV24" i="28"/>
  <c r="BZ34" i="27"/>
  <c r="BX34" i="27"/>
  <c r="BV34" i="27"/>
  <c r="BZ33" i="27"/>
  <c r="BX33" i="27"/>
  <c r="BV33" i="27"/>
  <c r="BZ32" i="27"/>
  <c r="BX32" i="27"/>
  <c r="BV32" i="27"/>
  <c r="BZ31" i="27"/>
  <c r="BX31" i="27"/>
  <c r="BV31" i="27"/>
  <c r="BZ30" i="27"/>
  <c r="BX30" i="27"/>
  <c r="BV30" i="27"/>
  <c r="BZ29" i="27"/>
  <c r="BX29" i="27"/>
  <c r="BV29" i="27"/>
  <c r="BZ28" i="27"/>
  <c r="BX28" i="27"/>
  <c r="BV28" i="27"/>
  <c r="BZ27" i="27"/>
  <c r="BX27" i="27"/>
  <c r="BV27" i="27"/>
  <c r="BX26" i="27"/>
  <c r="BV24" i="27"/>
  <c r="BZ41" i="35"/>
  <c r="BX41" i="35"/>
  <c r="BV41" i="35"/>
  <c r="BZ40" i="35"/>
  <c r="BX40" i="35"/>
  <c r="BV40" i="35"/>
  <c r="BZ39" i="35"/>
  <c r="BX39" i="35"/>
  <c r="BV39" i="35"/>
  <c r="BZ38" i="35"/>
  <c r="BX38" i="35"/>
  <c r="BV38" i="35"/>
  <c r="BZ37" i="35"/>
  <c r="BX37" i="35"/>
  <c r="BV37" i="35"/>
  <c r="BZ36" i="35"/>
  <c r="BX36" i="35"/>
  <c r="BV36" i="35"/>
  <c r="BZ35" i="35"/>
  <c r="BX35" i="35"/>
  <c r="BV35" i="35"/>
  <c r="BZ34" i="35"/>
  <c r="BX34" i="35"/>
  <c r="BV34" i="35"/>
  <c r="BZ33" i="35"/>
  <c r="BX33" i="35"/>
  <c r="BV33" i="35"/>
  <c r="BZ32" i="35"/>
  <c r="BX32" i="35"/>
  <c r="BV32" i="35"/>
  <c r="BZ31" i="35"/>
  <c r="BX31" i="35"/>
  <c r="BV31" i="35"/>
  <c r="BZ30" i="35"/>
  <c r="BX30" i="35"/>
  <c r="BV30" i="35"/>
  <c r="BZ29" i="35"/>
  <c r="BX29" i="35"/>
  <c r="BV29" i="35"/>
  <c r="BZ28" i="35"/>
  <c r="BX28" i="35"/>
  <c r="BV28" i="35"/>
  <c r="BZ27" i="35"/>
  <c r="BX27" i="35"/>
  <c r="BV27" i="35"/>
  <c r="BX26" i="35"/>
  <c r="BV24" i="35"/>
  <c r="BZ37" i="17"/>
  <c r="BX37" i="17"/>
  <c r="BV37" i="17"/>
  <c r="BZ36" i="17"/>
  <c r="BX36" i="17"/>
  <c r="BV36" i="17"/>
  <c r="BZ35" i="17"/>
  <c r="BX35" i="17"/>
  <c r="BV35" i="17"/>
  <c r="BZ34" i="17"/>
  <c r="BX34" i="17"/>
  <c r="BV34" i="17"/>
  <c r="BZ33" i="17"/>
  <c r="BX33" i="17"/>
  <c r="BV33" i="17"/>
  <c r="BZ32" i="17"/>
  <c r="BX32" i="17"/>
  <c r="BV32" i="17"/>
  <c r="BZ31" i="17"/>
  <c r="BX31" i="17"/>
  <c r="BV31" i="17"/>
  <c r="BZ29" i="17"/>
  <c r="BX29" i="17"/>
  <c r="BV29" i="17"/>
  <c r="BZ28" i="17"/>
  <c r="BX28" i="17"/>
  <c r="BV28" i="17"/>
  <c r="BZ27" i="17"/>
  <c r="BX27" i="17"/>
  <c r="BV27" i="17"/>
  <c r="BX26" i="17"/>
  <c r="BV24" i="17"/>
  <c r="BZ30" i="26"/>
  <c r="BX30" i="26"/>
  <c r="BV30" i="26"/>
  <c r="BZ29" i="26"/>
  <c r="BX29" i="26"/>
  <c r="BV29" i="26"/>
  <c r="BZ28" i="26"/>
  <c r="BX28" i="26"/>
  <c r="BV28" i="26"/>
  <c r="BZ27" i="26"/>
  <c r="BX27" i="26"/>
  <c r="BV27" i="26"/>
  <c r="BX26" i="26"/>
  <c r="BV24" i="26"/>
  <c r="BZ33" i="25"/>
  <c r="BX33" i="25"/>
  <c r="BV33" i="25"/>
  <c r="BZ32" i="25"/>
  <c r="BX32" i="25"/>
  <c r="BV32" i="25"/>
  <c r="BZ31" i="25"/>
  <c r="BX31" i="25"/>
  <c r="BV31" i="25"/>
  <c r="BZ30" i="25"/>
  <c r="BX30" i="25"/>
  <c r="BV30" i="25"/>
  <c r="BZ29" i="25"/>
  <c r="BX29" i="25"/>
  <c r="BV29" i="25"/>
  <c r="BZ28" i="25"/>
  <c r="BX28" i="25"/>
  <c r="BV28" i="25"/>
  <c r="BZ27" i="25"/>
  <c r="BX27" i="25"/>
  <c r="BV27" i="25"/>
  <c r="BX26" i="25"/>
  <c r="BV24" i="25"/>
  <c r="BZ53" i="24"/>
  <c r="BX53" i="24"/>
  <c r="BV53" i="24"/>
  <c r="BZ52" i="24"/>
  <c r="BX52" i="24"/>
  <c r="BV52" i="24"/>
  <c r="BZ51" i="24"/>
  <c r="BX51" i="24"/>
  <c r="BV51" i="24"/>
  <c r="BZ50" i="24"/>
  <c r="BX50" i="24"/>
  <c r="BV50" i="24"/>
  <c r="BZ49" i="24"/>
  <c r="BX49" i="24"/>
  <c r="BV49" i="24"/>
  <c r="BZ48" i="24"/>
  <c r="BX48" i="24"/>
  <c r="BV48" i="24"/>
  <c r="BZ47" i="24"/>
  <c r="BX47" i="24"/>
  <c r="BV47" i="24"/>
  <c r="BZ46" i="24"/>
  <c r="BX46" i="24"/>
  <c r="BV46" i="24"/>
  <c r="BZ45" i="24"/>
  <c r="BX45" i="24"/>
  <c r="BV45" i="24"/>
  <c r="BZ44" i="24"/>
  <c r="BX44" i="24"/>
  <c r="BV44" i="24"/>
  <c r="BZ43" i="24"/>
  <c r="BX43" i="24"/>
  <c r="BV43" i="24"/>
  <c r="BZ42" i="24"/>
  <c r="BX42" i="24"/>
  <c r="BV42" i="24"/>
  <c r="BZ41" i="24"/>
  <c r="BX41" i="24"/>
  <c r="BV41" i="24"/>
  <c r="BZ40" i="24"/>
  <c r="BX40" i="24"/>
  <c r="BV40" i="24"/>
  <c r="BZ39" i="24"/>
  <c r="BX39" i="24"/>
  <c r="BV39" i="24"/>
  <c r="BZ38" i="24"/>
  <c r="BX38" i="24"/>
  <c r="BV38" i="24"/>
  <c r="BZ37" i="24"/>
  <c r="BX37" i="24"/>
  <c r="BV37" i="24"/>
  <c r="BZ36" i="24"/>
  <c r="BX36" i="24"/>
  <c r="BV36" i="24"/>
  <c r="BZ35" i="24"/>
  <c r="BX35" i="24"/>
  <c r="BV35" i="24"/>
  <c r="BZ34" i="24"/>
  <c r="BX34" i="24"/>
  <c r="BV34" i="24"/>
  <c r="BZ33" i="24"/>
  <c r="BX33" i="24"/>
  <c r="BV33" i="24"/>
  <c r="BZ32" i="24"/>
  <c r="BX32" i="24"/>
  <c r="BV32" i="24"/>
  <c r="BZ31" i="24"/>
  <c r="BX31" i="24"/>
  <c r="BV31" i="24"/>
  <c r="BZ30" i="24"/>
  <c r="BX30" i="24"/>
  <c r="BV30" i="24"/>
  <c r="BZ29" i="24"/>
  <c r="BX29" i="24"/>
  <c r="BV29" i="24"/>
  <c r="BZ28" i="24"/>
  <c r="BX28" i="24"/>
  <c r="BV28" i="24"/>
  <c r="BZ27" i="24"/>
  <c r="BX27" i="24"/>
  <c r="BV27" i="24"/>
  <c r="BX26" i="24"/>
  <c r="BV24" i="24"/>
  <c r="BZ33" i="23"/>
  <c r="BX33" i="23"/>
  <c r="BV33" i="23"/>
  <c r="BZ32" i="23"/>
  <c r="BX32" i="23"/>
  <c r="BV32" i="23"/>
  <c r="BZ31" i="23"/>
  <c r="BX31" i="23"/>
  <c r="BV31" i="23"/>
  <c r="BZ30" i="23"/>
  <c r="BX30" i="23"/>
  <c r="BV30" i="23"/>
  <c r="BZ29" i="23"/>
  <c r="BX29" i="23"/>
  <c r="BV29" i="23"/>
  <c r="BZ28" i="23"/>
  <c r="BX28" i="23"/>
  <c r="BV28" i="23"/>
  <c r="BZ27" i="23"/>
  <c r="BX27" i="23"/>
  <c r="BV27" i="23"/>
  <c r="BX26" i="23"/>
  <c r="BV24" i="23"/>
  <c r="BZ58" i="22"/>
  <c r="BX58" i="22"/>
  <c r="BV58" i="22"/>
  <c r="BZ57" i="22"/>
  <c r="BX57" i="22"/>
  <c r="BV57" i="22"/>
  <c r="BZ56" i="22"/>
  <c r="BX56" i="22"/>
  <c r="BV56" i="22"/>
  <c r="BZ55" i="22"/>
  <c r="BX55" i="22"/>
  <c r="BV55" i="22"/>
  <c r="BZ54" i="22"/>
  <c r="BX54" i="22"/>
  <c r="BV54" i="22"/>
  <c r="BZ53" i="22"/>
  <c r="BX53" i="22"/>
  <c r="BV53" i="22"/>
  <c r="BZ52" i="22"/>
  <c r="BX52" i="22"/>
  <c r="BV52" i="22"/>
  <c r="BZ51" i="22"/>
  <c r="BX51" i="22"/>
  <c r="BV51" i="22"/>
  <c r="BZ50" i="22"/>
  <c r="BX50" i="22"/>
  <c r="BV50" i="22"/>
  <c r="BZ49" i="22"/>
  <c r="BX49" i="22"/>
  <c r="BV49" i="22"/>
  <c r="BZ48" i="22"/>
  <c r="BX48" i="22"/>
  <c r="BV48" i="22"/>
  <c r="BZ47" i="22"/>
  <c r="BX47" i="22"/>
  <c r="BV47" i="22"/>
  <c r="BZ46" i="22"/>
  <c r="BX46" i="22"/>
  <c r="BV46" i="22"/>
  <c r="BZ45" i="22"/>
  <c r="BX45" i="22"/>
  <c r="BV45" i="22"/>
  <c r="BZ44" i="22"/>
  <c r="BX44" i="22"/>
  <c r="BV44" i="22"/>
  <c r="BZ43" i="22"/>
  <c r="BX43" i="22"/>
  <c r="BV43" i="22"/>
  <c r="BZ42" i="22"/>
  <c r="BX42" i="22"/>
  <c r="BV42" i="22"/>
  <c r="BZ41" i="22"/>
  <c r="BX41" i="22"/>
  <c r="BV41" i="22"/>
  <c r="BZ40" i="22"/>
  <c r="BX40" i="22"/>
  <c r="BV40" i="22"/>
  <c r="BZ39" i="22"/>
  <c r="BX39" i="22"/>
  <c r="BV39" i="22"/>
  <c r="BZ38" i="22"/>
  <c r="BX38" i="22"/>
  <c r="BV38" i="22"/>
  <c r="BZ37" i="22"/>
  <c r="BX37" i="22"/>
  <c r="BV37" i="22"/>
  <c r="BZ36" i="22"/>
  <c r="BX36" i="22"/>
  <c r="BV36" i="22"/>
  <c r="BZ35" i="22"/>
  <c r="BX35" i="22"/>
  <c r="BV35" i="22"/>
  <c r="BZ34" i="22"/>
  <c r="BX34" i="22"/>
  <c r="BV34" i="22"/>
  <c r="BZ33" i="22"/>
  <c r="BX33" i="22"/>
  <c r="BV33" i="22"/>
  <c r="BZ32" i="22"/>
  <c r="BX32" i="22"/>
  <c r="BV32" i="22"/>
  <c r="BZ31" i="22"/>
  <c r="BX31" i="22"/>
  <c r="BV31" i="22"/>
  <c r="BZ30" i="22"/>
  <c r="BX30" i="22"/>
  <c r="BV30" i="22"/>
  <c r="BZ29" i="22"/>
  <c r="BX29" i="22"/>
  <c r="BV29" i="22"/>
  <c r="BZ28" i="22"/>
  <c r="BX28" i="22"/>
  <c r="BV28" i="22"/>
  <c r="BZ27" i="22"/>
  <c r="BX27" i="22"/>
  <c r="BV27" i="22"/>
  <c r="BX26" i="22"/>
  <c r="BV24" i="22"/>
  <c r="BZ48" i="21"/>
  <c r="BX48" i="21"/>
  <c r="BV48" i="21"/>
  <c r="BZ47" i="21"/>
  <c r="BX47" i="21"/>
  <c r="BV47" i="21"/>
  <c r="BZ46" i="21"/>
  <c r="BX46" i="21"/>
  <c r="BV46" i="21"/>
  <c r="BZ45" i="21"/>
  <c r="BX45" i="21"/>
  <c r="BV45" i="21"/>
  <c r="BZ44" i="21"/>
  <c r="BX44" i="21"/>
  <c r="BV44" i="21"/>
  <c r="BZ43" i="21"/>
  <c r="BX43" i="21"/>
  <c r="BV43" i="21"/>
  <c r="BZ42" i="21"/>
  <c r="BX42" i="21"/>
  <c r="BV42" i="21"/>
  <c r="BZ41" i="21"/>
  <c r="BX41" i="21"/>
  <c r="BV41" i="21"/>
  <c r="BZ40" i="21"/>
  <c r="BX40" i="21"/>
  <c r="BV40" i="21"/>
  <c r="BZ39" i="21"/>
  <c r="BX39" i="21"/>
  <c r="BV39" i="21"/>
  <c r="BZ38" i="21"/>
  <c r="BX38" i="21"/>
  <c r="BV38" i="21"/>
  <c r="BZ37" i="21"/>
  <c r="BX37" i="21"/>
  <c r="BV37" i="21"/>
  <c r="BZ36" i="21"/>
  <c r="BX36" i="21"/>
  <c r="BV36" i="21"/>
  <c r="BZ35" i="21"/>
  <c r="BX35" i="21"/>
  <c r="BV35" i="21"/>
  <c r="BZ34" i="21"/>
  <c r="BX34" i="21"/>
  <c r="BV34" i="21"/>
  <c r="BZ33" i="21"/>
  <c r="BX33" i="21"/>
  <c r="BV33" i="21"/>
  <c r="BZ32" i="21"/>
  <c r="BX32" i="21"/>
  <c r="BV32" i="21"/>
  <c r="BZ31" i="21"/>
  <c r="BX31" i="21"/>
  <c r="BV31" i="21"/>
  <c r="BZ30" i="21"/>
  <c r="BX30" i="21"/>
  <c r="BV30" i="21"/>
  <c r="BZ29" i="21"/>
  <c r="BX29" i="21"/>
  <c r="BV29" i="21"/>
  <c r="BZ28" i="21"/>
  <c r="BX28" i="21"/>
  <c r="BV28" i="21"/>
  <c r="BZ27" i="21"/>
  <c r="BX27" i="21"/>
  <c r="BV27" i="21"/>
  <c r="BX26" i="21"/>
  <c r="BV24" i="21"/>
  <c r="BZ49" i="20"/>
  <c r="BX49" i="20"/>
  <c r="BV49" i="20"/>
  <c r="BZ48" i="20"/>
  <c r="BX48" i="20"/>
  <c r="BV48" i="20"/>
  <c r="BZ47" i="20"/>
  <c r="BX47" i="20"/>
  <c r="BV47" i="20"/>
  <c r="BZ46" i="20"/>
  <c r="BX46" i="20"/>
  <c r="BV46" i="20"/>
  <c r="BZ45" i="20"/>
  <c r="BX45" i="20"/>
  <c r="BV45" i="20"/>
  <c r="BZ44" i="20"/>
  <c r="BX44" i="20"/>
  <c r="BV44" i="20"/>
  <c r="BZ43" i="20"/>
  <c r="BX43" i="20"/>
  <c r="BV43" i="20"/>
  <c r="BZ42" i="20"/>
  <c r="BX42" i="20"/>
  <c r="BV42" i="20"/>
  <c r="BZ41" i="20"/>
  <c r="BX41" i="20"/>
  <c r="BV41" i="20"/>
  <c r="BZ40" i="20"/>
  <c r="BX40" i="20"/>
  <c r="BV40" i="20"/>
  <c r="BZ39" i="20"/>
  <c r="BX39" i="20"/>
  <c r="BV39" i="20"/>
  <c r="BZ38" i="20"/>
  <c r="BX38" i="20"/>
  <c r="BV38" i="20"/>
  <c r="BZ37" i="20"/>
  <c r="BX37" i="20"/>
  <c r="BV37" i="20"/>
  <c r="BZ36" i="20"/>
  <c r="BX36" i="20"/>
  <c r="BV36" i="20"/>
  <c r="BZ35" i="20"/>
  <c r="BX35" i="20"/>
  <c r="BV35" i="20"/>
  <c r="BZ34" i="20"/>
  <c r="BX34" i="20"/>
  <c r="BV34" i="20"/>
  <c r="BZ33" i="20"/>
  <c r="BX33" i="20"/>
  <c r="BV33" i="20"/>
  <c r="BZ32" i="20"/>
  <c r="BX32" i="20"/>
  <c r="BV32" i="20"/>
  <c r="BZ31" i="20"/>
  <c r="BX31" i="20"/>
  <c r="BV31" i="20"/>
  <c r="BZ30" i="20"/>
  <c r="BX30" i="20"/>
  <c r="BV30" i="20"/>
  <c r="BZ29" i="20"/>
  <c r="BX29" i="20"/>
  <c r="BV29" i="20"/>
  <c r="BZ28" i="20"/>
  <c r="BX28" i="20"/>
  <c r="BV28" i="20"/>
  <c r="BZ27" i="20"/>
  <c r="BX27" i="20"/>
  <c r="BV27" i="20"/>
  <c r="BX26" i="20"/>
  <c r="BV24" i="20"/>
  <c r="BZ34" i="19"/>
  <c r="BX34" i="19"/>
  <c r="BV34" i="19"/>
  <c r="BZ33" i="19"/>
  <c r="BX33" i="19"/>
  <c r="BV33" i="19"/>
  <c r="BZ32" i="19"/>
  <c r="BX32" i="19"/>
  <c r="BV32" i="19"/>
  <c r="BZ31" i="19"/>
  <c r="BX31" i="19"/>
  <c r="BV31" i="19"/>
  <c r="BZ30" i="19"/>
  <c r="BX30" i="19"/>
  <c r="BV30" i="19"/>
  <c r="BZ29" i="19"/>
  <c r="BX29" i="19"/>
  <c r="BV29" i="19"/>
  <c r="BZ28" i="19"/>
  <c r="BX28" i="19"/>
  <c r="BV28" i="19"/>
  <c r="BZ27" i="19"/>
  <c r="BX27" i="19"/>
  <c r="BV27" i="19"/>
  <c r="BX26" i="19"/>
  <c r="BV24" i="19"/>
  <c r="BZ78" i="18"/>
  <c r="BZ65" i="18"/>
  <c r="BZ63" i="18"/>
  <c r="BV27" i="18"/>
  <c r="BR63" i="18"/>
  <c r="BP63" i="18"/>
  <c r="BZ74" i="18"/>
  <c r="BZ73" i="18"/>
  <c r="BZ72" i="18"/>
  <c r="BZ71" i="18"/>
  <c r="BZ70" i="18"/>
  <c r="BZ69" i="18"/>
  <c r="BZ68" i="18"/>
  <c r="BZ67" i="18"/>
  <c r="BV71" i="18"/>
  <c r="BV70" i="18"/>
  <c r="BV69" i="18"/>
  <c r="BV68" i="18"/>
  <c r="BV67" i="18"/>
  <c r="BV66" i="18"/>
  <c r="BV65" i="18"/>
  <c r="BV64" i="18"/>
  <c r="R67" i="18"/>
  <c r="BM38" i="16"/>
  <c r="R38" i="16"/>
  <c r="BM51" i="10"/>
  <c r="BN51" i="10" s="1"/>
  <c r="R51" i="10"/>
  <c r="BM51" i="11"/>
  <c r="BN51" i="11" s="1"/>
  <c r="R51" i="11"/>
  <c r="BM51" i="12"/>
  <c r="R51" i="12"/>
  <c r="BM51" i="13"/>
  <c r="R51" i="13"/>
  <c r="BM51" i="8"/>
  <c r="R51" i="8"/>
  <c r="BM62" i="15"/>
  <c r="R62" i="15"/>
  <c r="R39" i="19"/>
  <c r="R54" i="20"/>
  <c r="R53" i="21"/>
  <c r="R63" i="22"/>
  <c r="R38" i="23"/>
  <c r="R58" i="24"/>
  <c r="R38" i="25"/>
  <c r="R35" i="26"/>
  <c r="R42" i="17"/>
  <c r="R46" i="35"/>
  <c r="R39" i="27"/>
  <c r="R35" i="28"/>
  <c r="R37" i="29"/>
  <c r="R35" i="30"/>
  <c r="R36" i="31"/>
  <c r="R50" i="32"/>
  <c r="R47" i="33"/>
  <c r="R47" i="34"/>
  <c r="R38" i="2"/>
  <c r="D43" i="2"/>
  <c r="BP42" i="34"/>
  <c r="BP41" i="34"/>
  <c r="BP40" i="34"/>
  <c r="BP39" i="34"/>
  <c r="BP36" i="34"/>
  <c r="BP35" i="34"/>
  <c r="BP34" i="34"/>
  <c r="BP33" i="34"/>
  <c r="BP29" i="34"/>
  <c r="BP27" i="34"/>
  <c r="BP35" i="33"/>
  <c r="BP34" i="33"/>
  <c r="BP33" i="33"/>
  <c r="BP32" i="33"/>
  <c r="BP31" i="33"/>
  <c r="BP30" i="33"/>
  <c r="BP29" i="33"/>
  <c r="BP28" i="33"/>
  <c r="BP27" i="33"/>
  <c r="BP44" i="32"/>
  <c r="BP39" i="32"/>
  <c r="BP38" i="32"/>
  <c r="BP36" i="32"/>
  <c r="BP34" i="32"/>
  <c r="BP31" i="32"/>
  <c r="BP30" i="32"/>
  <c r="BP29" i="32"/>
  <c r="BP28" i="32"/>
  <c r="BP28" i="31"/>
  <c r="BP27" i="31"/>
  <c r="D40" i="30"/>
  <c r="BP32" i="29"/>
  <c r="BP30" i="29"/>
  <c r="BP29" i="29"/>
  <c r="BP28" i="29"/>
  <c r="BP30" i="28"/>
  <c r="BP29" i="28"/>
  <c r="BP32" i="27"/>
  <c r="BP41" i="35"/>
  <c r="BP33" i="35"/>
  <c r="BP31" i="35"/>
  <c r="BP36" i="17"/>
  <c r="BP35" i="17"/>
  <c r="BP32" i="17"/>
  <c r="BP31" i="17"/>
  <c r="BP29" i="17"/>
  <c r="BP27" i="17"/>
  <c r="D40" i="26"/>
  <c r="BP28" i="26"/>
  <c r="D43" i="25"/>
  <c r="BP31" i="25"/>
  <c r="BP30" i="25"/>
  <c r="BP28" i="25"/>
  <c r="BP27" i="25"/>
  <c r="BP51" i="24"/>
  <c r="BP50" i="24"/>
  <c r="BP47" i="24"/>
  <c r="BP46" i="24"/>
  <c r="BP45" i="24"/>
  <c r="BP43" i="24"/>
  <c r="BP41" i="24"/>
  <c r="BP40" i="24"/>
  <c r="BP39" i="24"/>
  <c r="BP38" i="24"/>
  <c r="BP37" i="24"/>
  <c r="BP34" i="24"/>
  <c r="BP32" i="24"/>
  <c r="BP31" i="24"/>
  <c r="BP30" i="24"/>
  <c r="BP27" i="24"/>
  <c r="BP33" i="23"/>
  <c r="BP30" i="23"/>
  <c r="BP29" i="23"/>
  <c r="BP28" i="23"/>
  <c r="D68" i="22"/>
  <c r="BP56" i="22"/>
  <c r="BP51" i="22"/>
  <c r="BP46" i="22"/>
  <c r="BP41" i="22"/>
  <c r="BP40" i="22"/>
  <c r="BP36" i="22"/>
  <c r="BP48" i="21"/>
  <c r="BP47" i="21"/>
  <c r="BP45" i="21"/>
  <c r="BP43" i="21"/>
  <c r="BP40" i="21"/>
  <c r="BP39" i="21"/>
  <c r="BP38" i="21"/>
  <c r="BP37" i="21"/>
  <c r="BP36" i="21"/>
  <c r="BP35" i="21"/>
  <c r="BP34" i="21"/>
  <c r="BP33" i="21"/>
  <c r="BP32" i="21"/>
  <c r="BP31" i="21"/>
  <c r="BP30" i="21"/>
  <c r="BP29" i="21"/>
  <c r="BP27" i="21"/>
  <c r="BP48" i="20"/>
  <c r="BP47" i="20"/>
  <c r="BP44" i="20"/>
  <c r="BP43" i="20"/>
  <c r="BP40" i="20"/>
  <c r="BP39" i="20"/>
  <c r="BP38" i="20"/>
  <c r="BP36" i="20"/>
  <c r="BP35" i="20"/>
  <c r="BP32" i="20"/>
  <c r="BP31" i="20"/>
  <c r="BP27" i="20"/>
  <c r="BP34" i="19"/>
  <c r="BP31" i="19"/>
  <c r="BP30" i="19"/>
  <c r="BP29" i="19"/>
  <c r="BP28" i="19"/>
  <c r="BP27" i="19"/>
  <c r="BP68" i="18"/>
  <c r="D72" i="18"/>
  <c r="BP67" i="18"/>
  <c r="BZ62" i="18"/>
  <c r="BX62" i="18"/>
  <c r="BV62" i="18"/>
  <c r="BZ61" i="18"/>
  <c r="BX61" i="18"/>
  <c r="BV61" i="18"/>
  <c r="BZ60" i="18"/>
  <c r="BX60" i="18"/>
  <c r="BV60" i="18"/>
  <c r="BZ59" i="18"/>
  <c r="BX59" i="18"/>
  <c r="BV59" i="18"/>
  <c r="BZ58" i="18"/>
  <c r="BX58" i="18"/>
  <c r="BV58" i="18"/>
  <c r="BZ57" i="18"/>
  <c r="BX57" i="18"/>
  <c r="BV57" i="18"/>
  <c r="BZ56" i="18"/>
  <c r="BX56" i="18"/>
  <c r="BV56" i="18"/>
  <c r="BZ55" i="18"/>
  <c r="BX55" i="18"/>
  <c r="BV55" i="18"/>
  <c r="BZ54" i="18"/>
  <c r="BX54" i="18"/>
  <c r="BV54" i="18"/>
  <c r="BZ53" i="18"/>
  <c r="BX53" i="18"/>
  <c r="BV53" i="18"/>
  <c r="BZ52" i="18"/>
  <c r="BX52" i="18"/>
  <c r="BV52" i="18"/>
  <c r="BZ51" i="18"/>
  <c r="BX51" i="18"/>
  <c r="BV51" i="18"/>
  <c r="BZ50" i="18"/>
  <c r="BX50" i="18"/>
  <c r="BV50" i="18"/>
  <c r="BZ49" i="18"/>
  <c r="BX49" i="18"/>
  <c r="BV49" i="18"/>
  <c r="BZ48" i="18"/>
  <c r="BX48" i="18"/>
  <c r="BV48" i="18"/>
  <c r="BZ47" i="18"/>
  <c r="BX47" i="18"/>
  <c r="BV47" i="18"/>
  <c r="BZ46" i="18"/>
  <c r="BX46" i="18"/>
  <c r="BV46" i="18"/>
  <c r="BZ45" i="18"/>
  <c r="BX45" i="18"/>
  <c r="BV45" i="18"/>
  <c r="BZ44" i="18"/>
  <c r="BX44" i="18"/>
  <c r="BV44" i="18"/>
  <c r="BZ43" i="18"/>
  <c r="BX43" i="18"/>
  <c r="BV43" i="18"/>
  <c r="BZ42" i="18"/>
  <c r="BX42" i="18"/>
  <c r="BV42" i="18"/>
  <c r="BZ41" i="18"/>
  <c r="BX41" i="18"/>
  <c r="BZ40" i="18"/>
  <c r="BX40" i="18"/>
  <c r="BZ39" i="18"/>
  <c r="BX39" i="18"/>
  <c r="BZ38" i="18"/>
  <c r="BX38" i="18"/>
  <c r="BZ37" i="18"/>
  <c r="BX37" i="18"/>
  <c r="BZ36" i="18"/>
  <c r="BX36" i="18"/>
  <c r="BZ35" i="18"/>
  <c r="BX35" i="18"/>
  <c r="BZ34" i="18"/>
  <c r="BX34" i="18"/>
  <c r="BZ33" i="18"/>
  <c r="BX33" i="18"/>
  <c r="BZ32" i="18"/>
  <c r="BX32" i="18"/>
  <c r="BZ31" i="18"/>
  <c r="BX31" i="18"/>
  <c r="BZ30" i="18"/>
  <c r="BX30" i="18"/>
  <c r="BZ29" i="18"/>
  <c r="BZ28" i="18"/>
  <c r="BV28" i="18"/>
  <c r="BZ27" i="18"/>
  <c r="BX26" i="18"/>
  <c r="BV24" i="18"/>
  <c r="BP19" i="18"/>
  <c r="BM64" i="15"/>
  <c r="BP63" i="15"/>
  <c r="BO63" i="15"/>
  <c r="BP42" i="15"/>
  <c r="BO42" i="15"/>
  <c r="BN42" i="15"/>
  <c r="BM42" i="15"/>
  <c r="BP41" i="15"/>
  <c r="BO41" i="15"/>
  <c r="BN41" i="15"/>
  <c r="BM41" i="15"/>
  <c r="BP40" i="15"/>
  <c r="BO40" i="15"/>
  <c r="BN40" i="15"/>
  <c r="BM40" i="15"/>
  <c r="BP39" i="15"/>
  <c r="BO39" i="15"/>
  <c r="BN39" i="15"/>
  <c r="BM39" i="15"/>
  <c r="BP38" i="15"/>
  <c r="BO38" i="15"/>
  <c r="BN38" i="15"/>
  <c r="BM38" i="15"/>
  <c r="BP37" i="15"/>
  <c r="BO37" i="15"/>
  <c r="BN37" i="15"/>
  <c r="BM37" i="15"/>
  <c r="BP36" i="15"/>
  <c r="BO36" i="15"/>
  <c r="BN36" i="15"/>
  <c r="BM36" i="15"/>
  <c r="BP35" i="15"/>
  <c r="BO35" i="15"/>
  <c r="BN35" i="15"/>
  <c r="BM35" i="15"/>
  <c r="BP34" i="15"/>
  <c r="BO34" i="15"/>
  <c r="BN34" i="15"/>
  <c r="BM34" i="15"/>
  <c r="BP33" i="15"/>
  <c r="BO33" i="15"/>
  <c r="BN33" i="15"/>
  <c r="BM33" i="15"/>
  <c r="BP32" i="15"/>
  <c r="BO32" i="15"/>
  <c r="BN32" i="15"/>
  <c r="BM32" i="15"/>
  <c r="BP31" i="15"/>
  <c r="BO31" i="15"/>
  <c r="BN31" i="15"/>
  <c r="BM31" i="15"/>
  <c r="BP30" i="15"/>
  <c r="BO30" i="15"/>
  <c r="BN30" i="15"/>
  <c r="BM30" i="15"/>
  <c r="BP29" i="15"/>
  <c r="BO29" i="15"/>
  <c r="BN29" i="15"/>
  <c r="BM29" i="15"/>
  <c r="BP28" i="15"/>
  <c r="BO28" i="15"/>
  <c r="BN28" i="15"/>
  <c r="BM28" i="15"/>
  <c r="BP27" i="15"/>
  <c r="BO27" i="15"/>
  <c r="BN27" i="15"/>
  <c r="BM27" i="15"/>
  <c r="BP26" i="15"/>
  <c r="BO26" i="15"/>
  <c r="BM26" i="15"/>
  <c r="BP25" i="15"/>
  <c r="BO25" i="15"/>
  <c r="BM25" i="15"/>
  <c r="BP24" i="15"/>
  <c r="BO24" i="15"/>
  <c r="BM24" i="15"/>
  <c r="BP23" i="15"/>
  <c r="BO23" i="15"/>
  <c r="BM23" i="15"/>
  <c r="BP22" i="15"/>
  <c r="BO22" i="15"/>
  <c r="BM22" i="15"/>
  <c r="BP21" i="15"/>
  <c r="BO21" i="15"/>
  <c r="BM21" i="15"/>
  <c r="BN20" i="15"/>
  <c r="BM20" i="15"/>
  <c r="BM19" i="15"/>
  <c r="BM56" i="8"/>
  <c r="D56" i="8"/>
  <c r="BM55" i="8"/>
  <c r="BN53" i="8"/>
  <c r="BM53" i="8"/>
  <c r="BP42" i="8"/>
  <c r="BO42" i="8"/>
  <c r="BN42" i="8"/>
  <c r="BM42" i="8"/>
  <c r="BP41" i="8"/>
  <c r="BO41" i="8"/>
  <c r="BN41" i="8"/>
  <c r="BM41" i="8"/>
  <c r="BP40" i="8"/>
  <c r="BO40" i="8"/>
  <c r="BN40" i="8"/>
  <c r="BM40" i="8"/>
  <c r="BP39" i="8"/>
  <c r="BO39" i="8"/>
  <c r="BN39" i="8"/>
  <c r="BM39" i="8"/>
  <c r="BP38" i="8"/>
  <c r="BO38" i="8"/>
  <c r="BN38" i="8"/>
  <c r="BM38" i="8"/>
  <c r="BP37" i="8"/>
  <c r="BO37" i="8"/>
  <c r="BN37" i="8"/>
  <c r="BM37" i="8"/>
  <c r="BP36" i="8"/>
  <c r="BO36" i="8"/>
  <c r="BN36" i="8"/>
  <c r="BM36" i="8"/>
  <c r="BP35" i="8"/>
  <c r="BO35" i="8"/>
  <c r="BN35" i="8"/>
  <c r="BM35" i="8"/>
  <c r="BP34" i="8"/>
  <c r="BO34" i="8"/>
  <c r="BN34" i="8"/>
  <c r="BM34" i="8"/>
  <c r="BP33" i="8"/>
  <c r="BO33" i="8"/>
  <c r="BN33" i="8"/>
  <c r="BM33" i="8"/>
  <c r="BP32" i="8"/>
  <c r="BO32" i="8"/>
  <c r="BN32" i="8"/>
  <c r="BM32" i="8"/>
  <c r="BP31" i="8"/>
  <c r="BO31" i="8"/>
  <c r="BN31" i="8"/>
  <c r="BM31" i="8"/>
  <c r="BP30" i="8"/>
  <c r="BO30" i="8"/>
  <c r="BN30" i="8"/>
  <c r="BM30" i="8"/>
  <c r="BP29" i="8"/>
  <c r="BO29" i="8"/>
  <c r="BN29" i="8"/>
  <c r="BM29" i="8"/>
  <c r="BP28" i="8"/>
  <c r="BO28" i="8"/>
  <c r="BN28" i="8"/>
  <c r="BM28" i="8"/>
  <c r="BP27" i="8"/>
  <c r="BO27" i="8"/>
  <c r="BN27" i="8"/>
  <c r="BM27" i="8"/>
  <c r="BP26" i="8"/>
  <c r="BO26" i="8"/>
  <c r="BM26" i="8"/>
  <c r="BP25" i="8"/>
  <c r="BO25" i="8"/>
  <c r="BM25" i="8"/>
  <c r="BP24" i="8"/>
  <c r="BO24" i="8"/>
  <c r="BM24" i="8"/>
  <c r="BP23" i="8"/>
  <c r="BO23" i="8"/>
  <c r="BM23" i="8"/>
  <c r="BP22" i="8"/>
  <c r="BO22" i="8"/>
  <c r="BM22" i="8"/>
  <c r="BP21" i="8"/>
  <c r="BO21" i="8"/>
  <c r="BM21" i="8"/>
  <c r="BN20" i="8"/>
  <c r="BM20" i="8"/>
  <c r="BM19" i="8"/>
  <c r="BP65" i="13"/>
  <c r="BO65" i="13"/>
  <c r="BP64" i="13"/>
  <c r="BO64" i="13"/>
  <c r="BP63" i="13"/>
  <c r="BO63" i="13"/>
  <c r="BM56" i="13"/>
  <c r="D56" i="13"/>
  <c r="BM55" i="13"/>
  <c r="BN53" i="13"/>
  <c r="BM53" i="13"/>
  <c r="BP42" i="13"/>
  <c r="BO42" i="13"/>
  <c r="BN42" i="13"/>
  <c r="BM42" i="13"/>
  <c r="BP41" i="13"/>
  <c r="BO41" i="13"/>
  <c r="BN41" i="13"/>
  <c r="BM41" i="13"/>
  <c r="BP40" i="13"/>
  <c r="BO40" i="13"/>
  <c r="BN40" i="13"/>
  <c r="BM40" i="13"/>
  <c r="BP39" i="13"/>
  <c r="BO39" i="13"/>
  <c r="BN39" i="13"/>
  <c r="BM39" i="13"/>
  <c r="BP38" i="13"/>
  <c r="BO38" i="13"/>
  <c r="BN38" i="13"/>
  <c r="BM38" i="13"/>
  <c r="BP37" i="13"/>
  <c r="BO37" i="13"/>
  <c r="BN37" i="13"/>
  <c r="BM37" i="13"/>
  <c r="BP36" i="13"/>
  <c r="BO36" i="13"/>
  <c r="BN36" i="13"/>
  <c r="BM36" i="13"/>
  <c r="BP35" i="13"/>
  <c r="BO35" i="13"/>
  <c r="BN35" i="13"/>
  <c r="BM35" i="13"/>
  <c r="BP34" i="13"/>
  <c r="BO34" i="13"/>
  <c r="BN34" i="13"/>
  <c r="BM34" i="13"/>
  <c r="BP33" i="13"/>
  <c r="BO33" i="13"/>
  <c r="BN33" i="13"/>
  <c r="BM33" i="13"/>
  <c r="BP32" i="13"/>
  <c r="BO32" i="13"/>
  <c r="BN32" i="13"/>
  <c r="BM32" i="13"/>
  <c r="BP31" i="13"/>
  <c r="BO31" i="13"/>
  <c r="BN31" i="13"/>
  <c r="BM31" i="13"/>
  <c r="BP30" i="13"/>
  <c r="BO30" i="13"/>
  <c r="BN30" i="13"/>
  <c r="BM30" i="13"/>
  <c r="BP29" i="13"/>
  <c r="BO29" i="13"/>
  <c r="BN29" i="13"/>
  <c r="BM29" i="13"/>
  <c r="BP28" i="13"/>
  <c r="BO28" i="13"/>
  <c r="BN28" i="13"/>
  <c r="BM28" i="13"/>
  <c r="BP27" i="13"/>
  <c r="BO27" i="13"/>
  <c r="BN27" i="13"/>
  <c r="BM27" i="13"/>
  <c r="BP26" i="13"/>
  <c r="BO26" i="13"/>
  <c r="BM26" i="13"/>
  <c r="BP25" i="13"/>
  <c r="BO25" i="13"/>
  <c r="BM25" i="13"/>
  <c r="BP24" i="13"/>
  <c r="BO24" i="13"/>
  <c r="BM24" i="13"/>
  <c r="BP23" i="13"/>
  <c r="BO23" i="13"/>
  <c r="BM23" i="13"/>
  <c r="BP22" i="13"/>
  <c r="BO22" i="13"/>
  <c r="BM22" i="13"/>
  <c r="BP21" i="13"/>
  <c r="BO21" i="13"/>
  <c r="BM21" i="13"/>
  <c r="BN20" i="13"/>
  <c r="BM20" i="13"/>
  <c r="BM19" i="13"/>
  <c r="BO64" i="12"/>
  <c r="BP63" i="12"/>
  <c r="BO63" i="12"/>
  <c r="BM56" i="12"/>
  <c r="D56" i="12"/>
  <c r="BM55" i="12"/>
  <c r="BN53" i="12"/>
  <c r="BM53" i="12"/>
  <c r="BP42" i="12"/>
  <c r="BO42" i="12"/>
  <c r="BN42" i="12"/>
  <c r="BM42" i="12"/>
  <c r="BP41" i="12"/>
  <c r="BO41" i="12"/>
  <c r="BN41" i="12"/>
  <c r="BM41" i="12"/>
  <c r="BP40" i="12"/>
  <c r="BO40" i="12"/>
  <c r="BN40" i="12"/>
  <c r="BM40" i="12"/>
  <c r="BP39" i="12"/>
  <c r="BO39" i="12"/>
  <c r="BN39" i="12"/>
  <c r="BM39" i="12"/>
  <c r="BP38" i="12"/>
  <c r="BO38" i="12"/>
  <c r="BN38" i="12"/>
  <c r="BM38" i="12"/>
  <c r="BP37" i="12"/>
  <c r="BO37" i="12"/>
  <c r="BN37" i="12"/>
  <c r="BM37" i="12"/>
  <c r="BP36" i="12"/>
  <c r="BO36" i="12"/>
  <c r="BN36" i="12"/>
  <c r="BM36" i="12"/>
  <c r="BP35" i="12"/>
  <c r="BO35" i="12"/>
  <c r="BN35" i="12"/>
  <c r="BM35" i="12"/>
  <c r="BP34" i="12"/>
  <c r="BO34" i="12"/>
  <c r="BN34" i="12"/>
  <c r="BM34" i="12"/>
  <c r="BP33" i="12"/>
  <c r="BO33" i="12"/>
  <c r="BN33" i="12"/>
  <c r="BM33" i="12"/>
  <c r="BP32" i="12"/>
  <c r="BO32" i="12"/>
  <c r="BN32" i="12"/>
  <c r="BM32" i="12"/>
  <c r="BP31" i="12"/>
  <c r="BO31" i="12"/>
  <c r="BN31" i="12"/>
  <c r="BM31" i="12"/>
  <c r="BP30" i="12"/>
  <c r="BO30" i="12"/>
  <c r="BN30" i="12"/>
  <c r="BM30" i="12"/>
  <c r="BP29" i="12"/>
  <c r="BO29" i="12"/>
  <c r="BN29" i="12"/>
  <c r="BM29" i="12"/>
  <c r="BP28" i="12"/>
  <c r="BO28" i="12"/>
  <c r="BN28" i="12"/>
  <c r="BM28" i="12"/>
  <c r="BP27" i="12"/>
  <c r="BO27" i="12"/>
  <c r="BN27" i="12"/>
  <c r="BM27" i="12"/>
  <c r="BP26" i="12"/>
  <c r="BO26" i="12"/>
  <c r="BM26" i="12"/>
  <c r="BP25" i="12"/>
  <c r="BO25" i="12"/>
  <c r="BM25" i="12"/>
  <c r="BP24" i="12"/>
  <c r="BO24" i="12"/>
  <c r="BM24" i="12"/>
  <c r="BP23" i="12"/>
  <c r="BO23" i="12"/>
  <c r="BM23" i="12"/>
  <c r="BP22" i="12"/>
  <c r="BO22" i="12"/>
  <c r="BM22" i="12"/>
  <c r="BP21" i="12"/>
  <c r="BO21" i="12"/>
  <c r="BM21" i="12"/>
  <c r="BN20" i="12"/>
  <c r="BM20" i="12"/>
  <c r="BM19" i="12"/>
  <c r="BP65" i="11"/>
  <c r="BO65" i="11"/>
  <c r="BP64" i="11"/>
  <c r="BO64" i="11"/>
  <c r="BP63" i="11"/>
  <c r="BO63" i="11"/>
  <c r="BM56" i="11"/>
  <c r="D56" i="11"/>
  <c r="BM55" i="11"/>
  <c r="BN53" i="11"/>
  <c r="BM53" i="11"/>
  <c r="BP42" i="11"/>
  <c r="BO42" i="11"/>
  <c r="BN42" i="11"/>
  <c r="BM42" i="11"/>
  <c r="BP41" i="11"/>
  <c r="BO41" i="11"/>
  <c r="BN41" i="11"/>
  <c r="BM41" i="11"/>
  <c r="BP40" i="11"/>
  <c r="BO40" i="11"/>
  <c r="BN40" i="11"/>
  <c r="BM40" i="11"/>
  <c r="BP39" i="11"/>
  <c r="BO39" i="11"/>
  <c r="BN39" i="11"/>
  <c r="BM39" i="11"/>
  <c r="BP38" i="11"/>
  <c r="BO38" i="11"/>
  <c r="BN38" i="11"/>
  <c r="BM38" i="11"/>
  <c r="BP37" i="11"/>
  <c r="BO37" i="11"/>
  <c r="BN37" i="11"/>
  <c r="BM37" i="11"/>
  <c r="BP36" i="11"/>
  <c r="BO36" i="11"/>
  <c r="BN36" i="11"/>
  <c r="BM36" i="11"/>
  <c r="BP35" i="11"/>
  <c r="BO35" i="11"/>
  <c r="BN35" i="11"/>
  <c r="BM35" i="11"/>
  <c r="BP34" i="11"/>
  <c r="BO34" i="11"/>
  <c r="BN34" i="11"/>
  <c r="BM34" i="11"/>
  <c r="BP33" i="11"/>
  <c r="BO33" i="11"/>
  <c r="BN33" i="11"/>
  <c r="BM33" i="11"/>
  <c r="BP32" i="11"/>
  <c r="BO32" i="11"/>
  <c r="BN32" i="11"/>
  <c r="BM32" i="11"/>
  <c r="BP31" i="11"/>
  <c r="BO31" i="11"/>
  <c r="BN31" i="11"/>
  <c r="BM31" i="11"/>
  <c r="BP30" i="11"/>
  <c r="BO30" i="11"/>
  <c r="BN30" i="11"/>
  <c r="BM30" i="11"/>
  <c r="BP29" i="11"/>
  <c r="BO29" i="11"/>
  <c r="BN29" i="11"/>
  <c r="BM29" i="11"/>
  <c r="BP28" i="11"/>
  <c r="BO28" i="11"/>
  <c r="BN28" i="11"/>
  <c r="BM28" i="11"/>
  <c r="BP27" i="11"/>
  <c r="BO27" i="11"/>
  <c r="BN27" i="11"/>
  <c r="BM27" i="11"/>
  <c r="BP26" i="11"/>
  <c r="BO26" i="11"/>
  <c r="BM26" i="11"/>
  <c r="BP25" i="11"/>
  <c r="BO25" i="11"/>
  <c r="BM25" i="11"/>
  <c r="BP24" i="11"/>
  <c r="BO24" i="11"/>
  <c r="BM24" i="11"/>
  <c r="BP23" i="11"/>
  <c r="BO23" i="11"/>
  <c r="BM23" i="11"/>
  <c r="BP22" i="11"/>
  <c r="BO22" i="11"/>
  <c r="BM22" i="11"/>
  <c r="BP21" i="11"/>
  <c r="BO21" i="11"/>
  <c r="BM21" i="11"/>
  <c r="BN20" i="11"/>
  <c r="BM20" i="11"/>
  <c r="BM19" i="11"/>
  <c r="BP63" i="10"/>
  <c r="BO63" i="10"/>
  <c r="BM56" i="10"/>
  <c r="D56" i="10"/>
  <c r="BM55" i="10"/>
  <c r="BN53" i="10"/>
  <c r="BM53" i="10"/>
  <c r="BP42" i="10"/>
  <c r="BO42" i="10"/>
  <c r="BN42" i="10"/>
  <c r="BM42" i="10"/>
  <c r="BP41" i="10"/>
  <c r="BO41" i="10"/>
  <c r="BN41" i="10"/>
  <c r="BM41" i="10"/>
  <c r="BP40" i="10"/>
  <c r="BO40" i="10"/>
  <c r="BN40" i="10"/>
  <c r="BM40" i="10"/>
  <c r="BP39" i="10"/>
  <c r="BO39" i="10"/>
  <c r="BN39" i="10"/>
  <c r="BM39" i="10"/>
  <c r="BP38" i="10"/>
  <c r="BO38" i="10"/>
  <c r="BN38" i="10"/>
  <c r="BM38" i="10"/>
  <c r="BP37" i="10"/>
  <c r="BO37" i="10"/>
  <c r="BN37" i="10"/>
  <c r="BM37" i="10"/>
  <c r="BP36" i="10"/>
  <c r="BO36" i="10"/>
  <c r="BN36" i="10"/>
  <c r="BM36" i="10"/>
  <c r="BP35" i="10"/>
  <c r="BO35" i="10"/>
  <c r="BN35" i="10"/>
  <c r="BM35" i="10"/>
  <c r="BP34" i="10"/>
  <c r="BO34" i="10"/>
  <c r="BN34" i="10"/>
  <c r="BM34" i="10"/>
  <c r="BP33" i="10"/>
  <c r="BO33" i="10"/>
  <c r="BN33" i="10"/>
  <c r="BM33" i="10"/>
  <c r="BP32" i="10"/>
  <c r="BO32" i="10"/>
  <c r="BN32" i="10"/>
  <c r="BM32" i="10"/>
  <c r="BP31" i="10"/>
  <c r="BO31" i="10"/>
  <c r="BN31" i="10"/>
  <c r="BM31" i="10"/>
  <c r="BP30" i="10"/>
  <c r="BO30" i="10"/>
  <c r="BN30" i="10"/>
  <c r="BM30" i="10"/>
  <c r="BP29" i="10"/>
  <c r="BO29" i="10"/>
  <c r="BN29" i="10"/>
  <c r="BM29" i="10"/>
  <c r="BP28" i="10"/>
  <c r="BO28" i="10"/>
  <c r="BN28" i="10"/>
  <c r="BM28" i="10"/>
  <c r="BP27" i="10"/>
  <c r="BO27" i="10"/>
  <c r="BN27" i="10"/>
  <c r="BM27" i="10"/>
  <c r="BP26" i="10"/>
  <c r="BO26" i="10"/>
  <c r="BM26" i="10"/>
  <c r="BP25" i="10"/>
  <c r="BO25" i="10"/>
  <c r="BM25" i="10"/>
  <c r="BP24" i="10"/>
  <c r="BO24" i="10"/>
  <c r="BM24" i="10"/>
  <c r="BP23" i="10"/>
  <c r="BO23" i="10"/>
  <c r="BM23" i="10"/>
  <c r="BP22" i="10"/>
  <c r="BO22" i="10"/>
  <c r="BM22" i="10"/>
  <c r="BP21" i="10"/>
  <c r="BO21" i="10"/>
  <c r="BM21" i="10"/>
  <c r="BN20" i="10"/>
  <c r="BM20" i="10"/>
  <c r="BM19" i="10"/>
  <c r="BO63" i="16"/>
  <c r="BM43" i="16"/>
  <c r="D43" i="16"/>
  <c r="BP42" i="16"/>
  <c r="BO42" i="16"/>
  <c r="BM42" i="16"/>
  <c r="BP41" i="16"/>
  <c r="BO41" i="16"/>
  <c r="BP40" i="16"/>
  <c r="BO40" i="16"/>
  <c r="BN40" i="16"/>
  <c r="BM40" i="16"/>
  <c r="BP39" i="16"/>
  <c r="BO39" i="16"/>
  <c r="BP38" i="16"/>
  <c r="BP37" i="16"/>
  <c r="BO37" i="16"/>
  <c r="BN37" i="16"/>
  <c r="BM37" i="16"/>
  <c r="BP36" i="16"/>
  <c r="BO36" i="16"/>
  <c r="BN36" i="16"/>
  <c r="BM36" i="16"/>
  <c r="BP35" i="16"/>
  <c r="BO35" i="16"/>
  <c r="BN35" i="16"/>
  <c r="BM35" i="16"/>
  <c r="BP34" i="16"/>
  <c r="BO34" i="16"/>
  <c r="BN34" i="16"/>
  <c r="BM34" i="16"/>
  <c r="BP33" i="16"/>
  <c r="BO33" i="16"/>
  <c r="BN33" i="16"/>
  <c r="BM33" i="16"/>
  <c r="BP32" i="16"/>
  <c r="BO32" i="16"/>
  <c r="BN32" i="16"/>
  <c r="BM32" i="16"/>
  <c r="BP31" i="16"/>
  <c r="BO31" i="16"/>
  <c r="BN31" i="16"/>
  <c r="BM31" i="16"/>
  <c r="BP30" i="16"/>
  <c r="BO30" i="16"/>
  <c r="BN30" i="16"/>
  <c r="BM30" i="16"/>
  <c r="BP29" i="16"/>
  <c r="BO29" i="16"/>
  <c r="BN29" i="16"/>
  <c r="BM29" i="16"/>
  <c r="BP28" i="16"/>
  <c r="BO28" i="16"/>
  <c r="BN28" i="16"/>
  <c r="BM28" i="16"/>
  <c r="BP27" i="16"/>
  <c r="BO27" i="16"/>
  <c r="BN27" i="16"/>
  <c r="BM27" i="16"/>
  <c r="BP26" i="16"/>
  <c r="BO26" i="16"/>
  <c r="BM26" i="16"/>
  <c r="BP25" i="16"/>
  <c r="BO25" i="16"/>
  <c r="BM25" i="16"/>
  <c r="BP24" i="16"/>
  <c r="BO24" i="16"/>
  <c r="BM24" i="16"/>
  <c r="BP23" i="16"/>
  <c r="BO23" i="16"/>
  <c r="BM23" i="16"/>
  <c r="BP22" i="16"/>
  <c r="BO22" i="16"/>
  <c r="BM22" i="16"/>
  <c r="BP21" i="16"/>
  <c r="BO21" i="16"/>
  <c r="BM21" i="16"/>
  <c r="BN20" i="16"/>
  <c r="BM20" i="16"/>
  <c r="BM19" i="16"/>
  <c r="BM67" i="16"/>
  <c r="BM66" i="16"/>
  <c r="BP65" i="16"/>
  <c r="BO65" i="16"/>
  <c r="BP64" i="16"/>
  <c r="BO64" i="16"/>
  <c r="BP63" i="16"/>
  <c r="BM67" i="10"/>
  <c r="BM66" i="10"/>
  <c r="BP65" i="10"/>
  <c r="BO65" i="10"/>
  <c r="BP64" i="10"/>
  <c r="BO64" i="10"/>
  <c r="BM67" i="11"/>
  <c r="BM66" i="11"/>
  <c r="BM67" i="12"/>
  <c r="BM66" i="12"/>
  <c r="BP65" i="12"/>
  <c r="BO65" i="12"/>
  <c r="BP64" i="12"/>
  <c r="BM67" i="13"/>
  <c r="BM66" i="13"/>
  <c r="BM67" i="8"/>
  <c r="BM66" i="8"/>
  <c r="BP65" i="8"/>
  <c r="BO65" i="8"/>
  <c r="BP64" i="8"/>
  <c r="BO64" i="8"/>
  <c r="BP63" i="8"/>
  <c r="BO63" i="8"/>
  <c r="BM67" i="15"/>
  <c r="D67" i="15"/>
  <c r="BM66" i="15"/>
  <c r="BP65" i="15"/>
  <c r="BO65" i="15"/>
  <c r="BP64" i="15"/>
  <c r="BO64" i="15"/>
  <c r="BN64" i="15"/>
  <c r="D44" i="19"/>
  <c r="D59" i="20"/>
  <c r="D58" i="21"/>
  <c r="D43" i="23"/>
  <c r="D63" i="24"/>
  <c r="D47" i="17"/>
  <c r="D51" i="35"/>
  <c r="D44" i="27"/>
  <c r="D40" i="28"/>
  <c r="D42" i="29"/>
  <c r="D41" i="31"/>
  <c r="D55" i="32"/>
  <c r="D52" i="33"/>
  <c r="D52" i="34"/>
  <c r="BN51" i="8"/>
  <c r="BN51" i="12"/>
  <c r="BN38" i="16"/>
  <c r="BN62" i="15"/>
  <c r="BN51" i="13"/>
  <c r="B22" i="24"/>
  <c r="B23" i="24" s="1"/>
  <c r="B24" i="24" s="1"/>
  <c r="B25" i="24" s="1"/>
  <c r="B26" i="24" s="1"/>
  <c r="B27" i="24" s="1"/>
  <c r="B22" i="23"/>
  <c r="B23" i="23" s="1"/>
  <c r="B24" i="23" s="1"/>
  <c r="B25" i="23" s="1"/>
  <c r="B26" i="23" s="1"/>
  <c r="B27" i="23" s="1"/>
  <c r="B22" i="21"/>
  <c r="B23" i="21" s="1"/>
  <c r="B24" i="21" s="1"/>
  <c r="B25" i="21" s="1"/>
  <c r="B26" i="21" s="1"/>
  <c r="B27" i="21" s="1"/>
  <c r="B22" i="20"/>
  <c r="B23" i="20" s="1"/>
  <c r="B24" i="20" s="1"/>
  <c r="B25" i="20" s="1"/>
  <c r="B26" i="20" s="1"/>
  <c r="B27" i="20" s="1"/>
  <c r="B22" i="19"/>
  <c r="B23" i="19" s="1"/>
  <c r="B24" i="19" s="1"/>
  <c r="B25" i="19" s="1"/>
  <c r="B26" i="19" s="1"/>
  <c r="B27" i="19" s="1"/>
  <c r="B22" i="18"/>
  <c r="B23" i="18" s="1"/>
  <c r="B24" i="18" s="1"/>
  <c r="B25" i="18" s="1"/>
  <c r="B26" i="18" s="1"/>
  <c r="B27" i="18" s="1"/>
  <c r="B28" i="18" s="1"/>
  <c r="B29" i="18" s="1"/>
  <c r="B30" i="18" s="1"/>
  <c r="B31" i="18" s="1"/>
  <c r="B32" i="18" s="1"/>
  <c r="B33" i="18" s="1"/>
  <c r="B34" i="18" s="1"/>
  <c r="B35" i="18" s="1"/>
  <c r="B36" i="18" s="1"/>
  <c r="B37" i="18" s="1"/>
  <c r="B38" i="18" s="1"/>
  <c r="B39" i="18" s="1"/>
  <c r="B40" i="18" s="1"/>
  <c r="B41" i="18" s="1"/>
  <c r="B42" i="18" s="1"/>
  <c r="B43" i="18" s="1"/>
  <c r="B44" i="18" s="1"/>
  <c r="B45" i="18" s="1"/>
  <c r="B46" i="18" s="1"/>
  <c r="B47" i="18" s="1"/>
  <c r="B48" i="18" s="1"/>
  <c r="B49" i="18" s="1"/>
  <c r="B50" i="18" s="1"/>
  <c r="B51" i="18" s="1"/>
  <c r="B52" i="18" s="1"/>
  <c r="B53" i="18" s="1"/>
  <c r="B54" i="18" s="1"/>
  <c r="B55" i="18" s="1"/>
  <c r="B56" i="18" s="1"/>
  <c r="B57" i="18" s="1"/>
  <c r="B58" i="18" s="1"/>
  <c r="B59" i="18" s="1"/>
  <c r="B60" i="18" s="1"/>
  <c r="B61" i="18" s="1"/>
  <c r="B62" i="18" s="1"/>
  <c r="B22" i="22"/>
  <c r="B23" i="22" s="1"/>
  <c r="B24" i="22" s="1"/>
  <c r="B25" i="22" s="1"/>
  <c r="B26" i="22" s="1"/>
  <c r="B27" i="22" s="1"/>
  <c r="B22" i="2"/>
  <c r="B23" i="2" s="1"/>
  <c r="B24" i="2" s="1"/>
  <c r="B25" i="2" s="1"/>
  <c r="B26" i="2" s="1"/>
  <c r="B22" i="34"/>
  <c r="B23" i="34" s="1"/>
  <c r="B24" i="34" s="1"/>
  <c r="B25" i="34" s="1"/>
  <c r="B26" i="34" s="1"/>
  <c r="B27" i="34" s="1"/>
  <c r="BT27" i="34" s="1"/>
  <c r="B22" i="33"/>
  <c r="B23" i="33" s="1"/>
  <c r="B24" i="33" s="1"/>
  <c r="B25" i="33" s="1"/>
  <c r="B26" i="33" s="1"/>
  <c r="B27" i="33" s="1"/>
  <c r="BT27" i="33" s="1"/>
  <c r="B22" i="32"/>
  <c r="B23" i="32" s="1"/>
  <c r="B24" i="32" s="1"/>
  <c r="B25" i="32" s="1"/>
  <c r="B26" i="32" s="1"/>
  <c r="B27" i="32" s="1"/>
  <c r="BT27" i="32" s="1"/>
  <c r="B22" i="31"/>
  <c r="B23" i="31" s="1"/>
  <c r="B24" i="31" s="1"/>
  <c r="B25" i="31" s="1"/>
  <c r="B26" i="31" s="1"/>
  <c r="B27" i="31" s="1"/>
  <c r="BT27" i="31" s="1"/>
  <c r="B22" i="30"/>
  <c r="B23" i="30" s="1"/>
  <c r="B24" i="30" s="1"/>
  <c r="B25" i="30" s="1"/>
  <c r="B26" i="30" s="1"/>
  <c r="B22" i="29"/>
  <c r="B23" i="29" s="1"/>
  <c r="B24" i="29" s="1"/>
  <c r="B25" i="29" s="1"/>
  <c r="B26" i="29" s="1"/>
  <c r="B27" i="29" s="1"/>
  <c r="BT27" i="29" s="1"/>
  <c r="B22" i="28"/>
  <c r="B23" i="28" s="1"/>
  <c r="B24" i="28" s="1"/>
  <c r="B25" i="28" s="1"/>
  <c r="B26" i="28" s="1"/>
  <c r="B27" i="28" s="1"/>
  <c r="BT27" i="28" s="1"/>
  <c r="B22" i="27"/>
  <c r="B23" i="27" s="1"/>
  <c r="B24" i="27" s="1"/>
  <c r="B25" i="27" s="1"/>
  <c r="B26" i="27" s="1"/>
  <c r="B27" i="27" s="1"/>
  <c r="BT27" i="27" s="1"/>
  <c r="B22" i="35"/>
  <c r="B23" i="35" s="1"/>
  <c r="B24" i="35" s="1"/>
  <c r="B25" i="35" s="1"/>
  <c r="B26" i="35" s="1"/>
  <c r="B27" i="35" s="1"/>
  <c r="BT27" i="35" s="1"/>
  <c r="B22" i="26"/>
  <c r="B23" i="26" s="1"/>
  <c r="B24" i="26" s="1"/>
  <c r="B25" i="26" s="1"/>
  <c r="B26" i="26" s="1"/>
  <c r="B27" i="26" s="1"/>
  <c r="BT27" i="26" s="1"/>
  <c r="B22" i="25"/>
  <c r="B23" i="25" s="1"/>
  <c r="B24" i="25" s="1"/>
  <c r="B25" i="25" s="1"/>
  <c r="B26" i="25" s="1"/>
  <c r="B27" i="25" s="1"/>
  <c r="B22" i="17"/>
  <c r="B23" i="17" s="1"/>
  <c r="B24" i="17" s="1"/>
  <c r="B25" i="17" s="1"/>
  <c r="B26" i="17" s="1"/>
  <c r="B27" i="17" s="1"/>
  <c r="BT27" i="17" s="1"/>
  <c r="Z4" i="35"/>
  <c r="H4" i="35"/>
  <c r="AT2" i="35"/>
  <c r="AP2" i="35"/>
  <c r="K2" i="35"/>
  <c r="A2" i="35"/>
  <c r="W1" i="35"/>
  <c r="BN65" i="16"/>
  <c r="BN63" i="16"/>
  <c r="BN65" i="10"/>
  <c r="BN63" i="10"/>
  <c r="BN65" i="11"/>
  <c r="BN63" i="11"/>
  <c r="BN65" i="12"/>
  <c r="BN63" i="12"/>
  <c r="BN65" i="13"/>
  <c r="BN63" i="13"/>
  <c r="BN65" i="8"/>
  <c r="BN63" i="8"/>
  <c r="Z4" i="34"/>
  <c r="H4" i="34"/>
  <c r="AT2" i="34"/>
  <c r="AP2" i="34"/>
  <c r="K2" i="34"/>
  <c r="A2" i="34"/>
  <c r="W1" i="34"/>
  <c r="Z4" i="33"/>
  <c r="H4" i="33"/>
  <c r="AT2" i="33"/>
  <c r="AP2" i="33"/>
  <c r="K2" i="33"/>
  <c r="A2" i="33"/>
  <c r="W1" i="33"/>
  <c r="Z4" i="32"/>
  <c r="H4" i="32"/>
  <c r="AT2" i="32"/>
  <c r="AP2" i="32"/>
  <c r="K2" i="32"/>
  <c r="A2" i="32"/>
  <c r="W1" i="32"/>
  <c r="Z4" i="31"/>
  <c r="H4" i="31"/>
  <c r="AT2" i="31"/>
  <c r="AP2" i="31"/>
  <c r="K2" i="31"/>
  <c r="A2" i="31"/>
  <c r="W1" i="31"/>
  <c r="Z4" i="30"/>
  <c r="H4" i="30"/>
  <c r="AT2" i="30"/>
  <c r="AP2" i="30"/>
  <c r="K2" i="30"/>
  <c r="A2" i="30"/>
  <c r="W1" i="30"/>
  <c r="Z4" i="29"/>
  <c r="H4" i="29"/>
  <c r="AT2" i="29"/>
  <c r="AP2" i="29"/>
  <c r="K2" i="29"/>
  <c r="A2" i="29"/>
  <c r="W1" i="29"/>
  <c r="Z4" i="28"/>
  <c r="H4" i="28"/>
  <c r="AT2" i="28"/>
  <c r="AP2" i="28"/>
  <c r="K2" i="28"/>
  <c r="A2" i="28"/>
  <c r="W1" i="28"/>
  <c r="Z4" i="27"/>
  <c r="H4" i="27"/>
  <c r="AT2" i="27"/>
  <c r="AP2" i="27"/>
  <c r="K2" i="27"/>
  <c r="A2" i="27"/>
  <c r="W1" i="27"/>
  <c r="Z4" i="26"/>
  <c r="H4" i="26"/>
  <c r="AT2" i="26"/>
  <c r="AP2" i="26"/>
  <c r="K2" i="26"/>
  <c r="A2" i="26"/>
  <c r="W1" i="26"/>
  <c r="Z4" i="25"/>
  <c r="H4" i="25"/>
  <c r="AT2" i="25"/>
  <c r="AP2" i="25"/>
  <c r="K2" i="25"/>
  <c r="A2" i="25"/>
  <c r="W1" i="25"/>
  <c r="Z4" i="24"/>
  <c r="H4" i="24"/>
  <c r="AT2" i="24"/>
  <c r="AP2" i="24"/>
  <c r="K2" i="24"/>
  <c r="A2" i="24"/>
  <c r="W1" i="24"/>
  <c r="Z4" i="23"/>
  <c r="H4" i="23"/>
  <c r="AT2" i="23"/>
  <c r="AP2" i="23"/>
  <c r="K2" i="23"/>
  <c r="A2" i="23"/>
  <c r="W1" i="23"/>
  <c r="Z4" i="22"/>
  <c r="H4" i="22"/>
  <c r="AT2" i="22"/>
  <c r="AP2" i="22"/>
  <c r="K2" i="22"/>
  <c r="A2" i="22"/>
  <c r="W1" i="22"/>
  <c r="Z4" i="21"/>
  <c r="H4" i="21"/>
  <c r="AT2" i="21"/>
  <c r="AP2" i="21"/>
  <c r="K2" i="21"/>
  <c r="A2" i="21"/>
  <c r="W1" i="21"/>
  <c r="Z4" i="20"/>
  <c r="H4" i="20"/>
  <c r="AT2" i="20"/>
  <c r="AP2" i="20"/>
  <c r="K2" i="20"/>
  <c r="A2" i="20"/>
  <c r="W1" i="20"/>
  <c r="Z4" i="19"/>
  <c r="H4" i="19"/>
  <c r="AT2" i="19"/>
  <c r="AP2" i="19"/>
  <c r="K2" i="19"/>
  <c r="A2" i="19"/>
  <c r="W1" i="19"/>
  <c r="Z4" i="18"/>
  <c r="H4" i="18"/>
  <c r="AT2" i="18"/>
  <c r="AP2" i="18"/>
  <c r="K2" i="18"/>
  <c r="A2" i="18"/>
  <c r="W1" i="18"/>
  <c r="B28" i="19" l="1"/>
  <c r="B28" i="20"/>
  <c r="B28" i="21"/>
  <c r="B28" i="22"/>
  <c r="B28" i="23"/>
  <c r="B28" i="24"/>
  <c r="B28" i="25"/>
  <c r="BT28" i="25" s="1"/>
  <c r="B28" i="26"/>
  <c r="BT28" i="26" s="1"/>
  <c r="B28" i="17"/>
  <c r="BT28" i="17" s="1"/>
  <c r="B28" i="35"/>
  <c r="BT28" i="35" s="1"/>
  <c r="B28" i="27"/>
  <c r="BT28" i="27" s="1"/>
  <c r="B28" i="28"/>
  <c r="BT28" i="28" s="1"/>
  <c r="B28" i="29"/>
  <c r="BT28" i="29" s="1"/>
  <c r="B28" i="31"/>
  <c r="BT28" i="31" s="1"/>
  <c r="B28" i="32"/>
  <c r="BT28" i="32" s="1"/>
  <c r="B28" i="34"/>
  <c r="BT28" i="34" s="1"/>
  <c r="BP33" i="19"/>
  <c r="BP32" i="19"/>
  <c r="BP49" i="20"/>
  <c r="BP42" i="20"/>
  <c r="BP37" i="20"/>
  <c r="BP46" i="20"/>
  <c r="BP34" i="20"/>
  <c r="BP41" i="20"/>
  <c r="BP28" i="20"/>
  <c r="BP33" i="20"/>
  <c r="BP45" i="20"/>
  <c r="BP29" i="20"/>
  <c r="BP30" i="20"/>
  <c r="BP41" i="21"/>
  <c r="BP42" i="21"/>
  <c r="BP44" i="21"/>
  <c r="BP28" i="21"/>
  <c r="BP46" i="21"/>
  <c r="BP43" i="22"/>
  <c r="BP50" i="22"/>
  <c r="BP44" i="22"/>
  <c r="BP32" i="22"/>
  <c r="BP39" i="22"/>
  <c r="BP58" i="22"/>
  <c r="BP30" i="22"/>
  <c r="BP52" i="22"/>
  <c r="BP47" i="22"/>
  <c r="BP29" i="22"/>
  <c r="BP35" i="22"/>
  <c r="BP57" i="22"/>
  <c r="BP31" i="22"/>
  <c r="BP37" i="22"/>
  <c r="BP42" i="22"/>
  <c r="BP48" i="22"/>
  <c r="BP53" i="22"/>
  <c r="BP34" i="22"/>
  <c r="BP27" i="22"/>
  <c r="BP54" i="22"/>
  <c r="BP45" i="22"/>
  <c r="BP28" i="22"/>
  <c r="BP38" i="22"/>
  <c r="BP49" i="22"/>
  <c r="BP55" i="22"/>
  <c r="BP33" i="22"/>
  <c r="BP32" i="23"/>
  <c r="BP31" i="23"/>
  <c r="BP27" i="23"/>
  <c r="BP35" i="24"/>
  <c r="BP49" i="24"/>
  <c r="BP44" i="24"/>
  <c r="BP48" i="24"/>
  <c r="BP53" i="24"/>
  <c r="BP29" i="24"/>
  <c r="BP28" i="24"/>
  <c r="BP33" i="24"/>
  <c r="BP52" i="24"/>
  <c r="BP36" i="24"/>
  <c r="BP42" i="24"/>
  <c r="BP29" i="25"/>
  <c r="BP32" i="25"/>
  <c r="BP33" i="25"/>
  <c r="BP27" i="26"/>
  <c r="BP30" i="26"/>
  <c r="BP29" i="26"/>
  <c r="BP33" i="17"/>
  <c r="BP34" i="17"/>
  <c r="BP28" i="17"/>
  <c r="BP37" i="17"/>
  <c r="BP36" i="35"/>
  <c r="BP29" i="35"/>
  <c r="BP32" i="35"/>
  <c r="BP27" i="35"/>
  <c r="BP35" i="35"/>
  <c r="BP37" i="35"/>
  <c r="BP38" i="35"/>
  <c r="BP28" i="35"/>
  <c r="BP34" i="35"/>
  <c r="BP40" i="35"/>
  <c r="BP39" i="35"/>
  <c r="BP30" i="35"/>
  <c r="BP29" i="27"/>
  <c r="BP27" i="27"/>
  <c r="BP30" i="27"/>
  <c r="BP28" i="27"/>
  <c r="BP33" i="27"/>
  <c r="BP34" i="27"/>
  <c r="BP31" i="27"/>
  <c r="BP27" i="28"/>
  <c r="BP28" i="28"/>
  <c r="BP27" i="29"/>
  <c r="BP31" i="29"/>
  <c r="BP27" i="30"/>
  <c r="BP28" i="30"/>
  <c r="BP29" i="30"/>
  <c r="BP30" i="30"/>
  <c r="BP29" i="31"/>
  <c r="BP31" i="31"/>
  <c r="BP30" i="31"/>
  <c r="BP33" i="32"/>
  <c r="BP37" i="32"/>
  <c r="BP32" i="32"/>
  <c r="BP43" i="32"/>
  <c r="BP35" i="32"/>
  <c r="BP41" i="32"/>
  <c r="BP27" i="32"/>
  <c r="BP40" i="32"/>
  <c r="BP45" i="32"/>
  <c r="BP42" i="32"/>
  <c r="BP31" i="34"/>
  <c r="BP38" i="34"/>
  <c r="BP30" i="34"/>
  <c r="BP37" i="34"/>
  <c r="BP32" i="34"/>
  <c r="BP28" i="34"/>
  <c r="B28" i="33"/>
  <c r="BT28" i="33" s="1"/>
  <c r="BO38" i="16"/>
  <c r="Z4" i="17"/>
  <c r="H4" i="17"/>
  <c r="AT2" i="17"/>
  <c r="AP2" i="17"/>
  <c r="K2" i="17"/>
  <c r="A2" i="17"/>
  <c r="W1" i="17"/>
  <c r="Z4" i="16"/>
  <c r="H4" i="16"/>
  <c r="AT2" i="16"/>
  <c r="AP2" i="16"/>
  <c r="K2" i="16"/>
  <c r="A2" i="16"/>
  <c r="W1" i="16"/>
  <c r="Z4" i="15"/>
  <c r="H4" i="15"/>
  <c r="AT2" i="15"/>
  <c r="AP2" i="15"/>
  <c r="K2" i="15"/>
  <c r="A2" i="15"/>
  <c r="W1" i="15"/>
  <c r="AT2" i="14"/>
  <c r="AP2" i="14"/>
  <c r="Z4" i="14"/>
  <c r="W1" i="14"/>
  <c r="K2" i="14"/>
  <c r="H4" i="14"/>
  <c r="A2" i="14"/>
  <c r="Z4" i="13"/>
  <c r="H4" i="13"/>
  <c r="AT2" i="13"/>
  <c r="AP2" i="13"/>
  <c r="K2" i="13"/>
  <c r="A2" i="13"/>
  <c r="W1" i="13"/>
  <c r="Z4" i="12"/>
  <c r="H4" i="12"/>
  <c r="AT2" i="12"/>
  <c r="AP2" i="12"/>
  <c r="K2" i="12"/>
  <c r="A2" i="12"/>
  <c r="W1" i="12"/>
  <c r="Z4" i="11"/>
  <c r="H4" i="11"/>
  <c r="AT2" i="11"/>
  <c r="AP2" i="11"/>
  <c r="K2" i="11"/>
  <c r="A2" i="11"/>
  <c r="W1" i="11"/>
  <c r="Z4" i="10"/>
  <c r="H4" i="10"/>
  <c r="AT2" i="10"/>
  <c r="AP2" i="10"/>
  <c r="K2" i="10"/>
  <c r="A2" i="10"/>
  <c r="W1" i="10"/>
  <c r="B29" i="19" l="1"/>
  <c r="B29" i="20"/>
  <c r="B29" i="21"/>
  <c r="B29" i="22"/>
  <c r="B29" i="23"/>
  <c r="B29" i="24"/>
  <c r="B29" i="25"/>
  <c r="BT29" i="25" s="1"/>
  <c r="B29" i="26"/>
  <c r="BT29" i="26" s="1"/>
  <c r="B29" i="17"/>
  <c r="BT29" i="17" s="1"/>
  <c r="B29" i="35"/>
  <c r="BT29" i="35" s="1"/>
  <c r="B29" i="27"/>
  <c r="BT29" i="27" s="1"/>
  <c r="B29" i="28"/>
  <c r="BT29" i="28" s="1"/>
  <c r="B29" i="29"/>
  <c r="BT29" i="29" s="1"/>
  <c r="B29" i="31"/>
  <c r="BT29" i="31" s="1"/>
  <c r="B29" i="32"/>
  <c r="BT29" i="32" s="1"/>
  <c r="B29" i="34"/>
  <c r="BT29" i="34" s="1"/>
  <c r="B29" i="33"/>
  <c r="BT29" i="33" s="1"/>
  <c r="Z4" i="8"/>
  <c r="H4" i="8"/>
  <c r="AT2" i="8"/>
  <c r="AP2" i="8"/>
  <c r="K2" i="8"/>
  <c r="A2" i="8"/>
  <c r="W1" i="8"/>
  <c r="B30" i="19" l="1"/>
  <c r="B30" i="20"/>
  <c r="B30" i="21"/>
  <c r="B30" i="22"/>
  <c r="B30" i="23"/>
  <c r="B30" i="24"/>
  <c r="B30" i="25"/>
  <c r="BT30" i="25" s="1"/>
  <c r="B30" i="26"/>
  <c r="BT30" i="26" s="1"/>
  <c r="BT31" i="17"/>
  <c r="B30" i="35"/>
  <c r="BT30" i="35" s="1"/>
  <c r="B30" i="27"/>
  <c r="BT30" i="27" s="1"/>
  <c r="B30" i="28"/>
  <c r="BT30" i="28" s="1"/>
  <c r="B30" i="29"/>
  <c r="BT30" i="29" s="1"/>
  <c r="B30" i="31"/>
  <c r="BT30" i="31" s="1"/>
  <c r="B30" i="32"/>
  <c r="BT30" i="32" s="1"/>
  <c r="B30" i="34"/>
  <c r="BT30" i="34" s="1"/>
  <c r="B30" i="33"/>
  <c r="BT30" i="33" s="1"/>
  <c r="AT2" i="7"/>
  <c r="AP2" i="7"/>
  <c r="Z4" i="7"/>
  <c r="W1" i="7"/>
  <c r="K2" i="7"/>
  <c r="H4" i="7"/>
  <c r="A2" i="7"/>
  <c r="B31" i="19" l="1"/>
  <c r="B31" i="20"/>
  <c r="B31" i="21"/>
  <c r="B31" i="22"/>
  <c r="B31" i="23"/>
  <c r="B31" i="24"/>
  <c r="B31" i="25"/>
  <c r="BT31" i="25" s="1"/>
  <c r="BT32" i="17"/>
  <c r="B31" i="35"/>
  <c r="BT31" i="35" s="1"/>
  <c r="B31" i="27"/>
  <c r="BT31" i="27" s="1"/>
  <c r="B31" i="29"/>
  <c r="BT31" i="29" s="1"/>
  <c r="B31" i="31"/>
  <c r="BT31" i="31" s="1"/>
  <c r="B31" i="32"/>
  <c r="BT31" i="32" s="1"/>
  <c r="B31" i="34"/>
  <c r="BT31" i="34" s="1"/>
  <c r="B31" i="33"/>
  <c r="BT31" i="33" s="1"/>
  <c r="B32" i="19" l="1"/>
  <c r="B32" i="20"/>
  <c r="B32" i="21"/>
  <c r="B32" i="22"/>
  <c r="B32" i="23"/>
  <c r="B32" i="24"/>
  <c r="B32" i="25"/>
  <c r="BT32" i="25" s="1"/>
  <c r="BT33" i="17"/>
  <c r="B32" i="35"/>
  <c r="BT32" i="35" s="1"/>
  <c r="B32" i="27"/>
  <c r="BT32" i="27" s="1"/>
  <c r="B32" i="29"/>
  <c r="BT32" i="29" s="1"/>
  <c r="B32" i="32"/>
  <c r="BT32" i="32" s="1"/>
  <c r="B32" i="34"/>
  <c r="BT32" i="34" s="1"/>
  <c r="B32" i="33"/>
  <c r="BT32" i="33" s="1"/>
  <c r="AT2" i="2"/>
  <c r="AP2" i="2"/>
  <c r="Z4" i="2"/>
  <c r="W1" i="2"/>
  <c r="K2" i="2"/>
  <c r="H4" i="2"/>
  <c r="A2" i="2"/>
  <c r="L24" i="4"/>
  <c r="BH2" i="4"/>
  <c r="BC2" i="4"/>
  <c r="AY2" i="4"/>
  <c r="AT2" i="3"/>
  <c r="AP2" i="3"/>
  <c r="Z4" i="3"/>
  <c r="W1" i="3"/>
  <c r="K2" i="3"/>
  <c r="H4" i="3"/>
  <c r="A2" i="3"/>
  <c r="BH2" i="3" l="1"/>
  <c r="BH2" i="40"/>
  <c r="BH2" i="36"/>
  <c r="BH2" i="32"/>
  <c r="BH2" i="27"/>
  <c r="BH2" i="24"/>
  <c r="BH2" i="31"/>
  <c r="BH2" i="20"/>
  <c r="BH2" i="33"/>
  <c r="BH2" i="18"/>
  <c r="BH2" i="34"/>
  <c r="BH2" i="25"/>
  <c r="BH2" i="21"/>
  <c r="BH2" i="28"/>
  <c r="BH2" i="26"/>
  <c r="BH2" i="22"/>
  <c r="BH2" i="30"/>
  <c r="BH2" i="19"/>
  <c r="BH2" i="29"/>
  <c r="BH2" i="23"/>
  <c r="BH2" i="35"/>
  <c r="BH2" i="14"/>
  <c r="BH2" i="15"/>
  <c r="BH2" i="12"/>
  <c r="BH2" i="10"/>
  <c r="BH2" i="16"/>
  <c r="BH2" i="13"/>
  <c r="BH2" i="17"/>
  <c r="BH2" i="11"/>
  <c r="BH2" i="8"/>
  <c r="BH2" i="7"/>
  <c r="AY2" i="3"/>
  <c r="AY2" i="40"/>
  <c r="AY2" i="36"/>
  <c r="AY2" i="23"/>
  <c r="AY2" i="29"/>
  <c r="AY2" i="26"/>
  <c r="AY2" i="18"/>
  <c r="AY2" i="28"/>
  <c r="AY2" i="27"/>
  <c r="AY2" i="34"/>
  <c r="AY2" i="33"/>
  <c r="AY2" i="25"/>
  <c r="AY2" i="32"/>
  <c r="AY2" i="24"/>
  <c r="AY2" i="35"/>
  <c r="AY2" i="31"/>
  <c r="AY2" i="30"/>
  <c r="AY2" i="22"/>
  <c r="AY2" i="21"/>
  <c r="AY2" i="20"/>
  <c r="AY2" i="19"/>
  <c r="AY2" i="11"/>
  <c r="AY2" i="10"/>
  <c r="AY2" i="17"/>
  <c r="AY2" i="16"/>
  <c r="AY2" i="14"/>
  <c r="AY2" i="15"/>
  <c r="AY2" i="13"/>
  <c r="AY2" i="12"/>
  <c r="AY2" i="8"/>
  <c r="AY2" i="7"/>
  <c r="BC2" i="3"/>
  <c r="BC2" i="40"/>
  <c r="BC2" i="36"/>
  <c r="BC2" i="35"/>
  <c r="BC2" i="33"/>
  <c r="BC2" i="29"/>
  <c r="BC2" i="25"/>
  <c r="BC2" i="21"/>
  <c r="BC2" i="28"/>
  <c r="BC2" i="24"/>
  <c r="BC2" i="20"/>
  <c r="BC2" i="32"/>
  <c r="BC2" i="27"/>
  <c r="BC2" i="18"/>
  <c r="BC2" i="31"/>
  <c r="BC2" i="23"/>
  <c r="BC2" i="19"/>
  <c r="BC2" i="30"/>
  <c r="BC2" i="26"/>
  <c r="BC2" i="22"/>
  <c r="BC2" i="34"/>
  <c r="BC2" i="16"/>
  <c r="BC2" i="15"/>
  <c r="BC2" i="11"/>
  <c r="BC2" i="12"/>
  <c r="BC2" i="13"/>
  <c r="BC2" i="14"/>
  <c r="BC2" i="17"/>
  <c r="BC2" i="10"/>
  <c r="BC2" i="8"/>
  <c r="BC2" i="7"/>
  <c r="B33" i="19"/>
  <c r="B33" i="20"/>
  <c r="B33" i="21"/>
  <c r="B33" i="22"/>
  <c r="B33" i="23"/>
  <c r="B33" i="24"/>
  <c r="B33" i="25"/>
  <c r="BT33" i="25" s="1"/>
  <c r="BT34" i="17"/>
  <c r="B33" i="35"/>
  <c r="BT33" i="35" s="1"/>
  <c r="B33" i="27"/>
  <c r="BT33" i="27" s="1"/>
  <c r="B33" i="32"/>
  <c r="BT33" i="32" s="1"/>
  <c r="B33" i="34"/>
  <c r="BT33" i="34" s="1"/>
  <c r="B33" i="33"/>
  <c r="BT33" i="33" s="1"/>
  <c r="BH2" i="2"/>
  <c r="AY2" i="2"/>
  <c r="BC2" i="2"/>
  <c r="B34" i="19" l="1"/>
  <c r="B34" i="20"/>
  <c r="B34" i="21"/>
  <c r="B34" i="22"/>
  <c r="B34" i="24"/>
  <c r="BT35" i="17"/>
  <c r="B34" i="35"/>
  <c r="BT34" i="35" s="1"/>
  <c r="B34" i="27"/>
  <c r="BT34" i="27" s="1"/>
  <c r="B34" i="32"/>
  <c r="BT34" i="32" s="1"/>
  <c r="B34" i="34"/>
  <c r="BT34" i="34" s="1"/>
  <c r="B34" i="33"/>
  <c r="BT34" i="33" s="1"/>
  <c r="B35" i="20" l="1"/>
  <c r="B35" i="21"/>
  <c r="B35" i="22"/>
  <c r="B35" i="24"/>
  <c r="BT36" i="17"/>
  <c r="B35" i="35"/>
  <c r="BT35" i="35" s="1"/>
  <c r="B35" i="32"/>
  <c r="BT35" i="32" s="1"/>
  <c r="B35" i="34"/>
  <c r="BT35" i="34" s="1"/>
  <c r="B35" i="33"/>
  <c r="BT35" i="33" s="1"/>
  <c r="B36" i="20" l="1"/>
  <c r="B36" i="21"/>
  <c r="B36" i="22"/>
  <c r="B36" i="24"/>
  <c r="BT37" i="17"/>
  <c r="B36" i="35"/>
  <c r="BT36" i="35" s="1"/>
  <c r="B36" i="32"/>
  <c r="BT36" i="32" s="1"/>
  <c r="B36" i="34"/>
  <c r="BT36" i="34" s="1"/>
  <c r="B36" i="33"/>
  <c r="BT36" i="33" s="1"/>
  <c r="B37" i="20" l="1"/>
  <c r="B37" i="21"/>
  <c r="B37" i="22"/>
  <c r="B37" i="24"/>
  <c r="B37" i="35"/>
  <c r="BT37" i="35" s="1"/>
  <c r="B37" i="32"/>
  <c r="BT37" i="32" s="1"/>
  <c r="B37" i="34"/>
  <c r="BT37" i="34" s="1"/>
  <c r="B37" i="33"/>
  <c r="BT37" i="33" s="1"/>
  <c r="B38" i="20" l="1"/>
  <c r="B38" i="21"/>
  <c r="B38" i="22"/>
  <c r="B38" i="24"/>
  <c r="B38" i="35"/>
  <c r="BT38" i="35" s="1"/>
  <c r="B38" i="32"/>
  <c r="BT38" i="32" s="1"/>
  <c r="B38" i="34"/>
  <c r="BT38" i="34" s="1"/>
  <c r="B38" i="33"/>
  <c r="BT38" i="33" s="1"/>
  <c r="B39" i="20" l="1"/>
  <c r="B39" i="21"/>
  <c r="B39" i="22"/>
  <c r="B39" i="24"/>
  <c r="B39" i="35"/>
  <c r="BT39" i="35" s="1"/>
  <c r="B39" i="32"/>
  <c r="BT39" i="32" s="1"/>
  <c r="B39" i="34"/>
  <c r="BT39" i="34" s="1"/>
  <c r="B39" i="33"/>
  <c r="BT39" i="33" s="1"/>
  <c r="B40" i="20" l="1"/>
  <c r="B40" i="21"/>
  <c r="B40" i="22"/>
  <c r="B40" i="24"/>
  <c r="B40" i="35"/>
  <c r="BT40" i="35" s="1"/>
  <c r="B40" i="32"/>
  <c r="BT40" i="32" s="1"/>
  <c r="B40" i="34"/>
  <c r="B40" i="33"/>
  <c r="BT40" i="33" s="1"/>
  <c r="B41" i="20" l="1"/>
  <c r="B41" i="21"/>
  <c r="B41" i="22"/>
  <c r="B41" i="24"/>
  <c r="B41" i="35"/>
  <c r="BT41" i="35" s="1"/>
  <c r="B41" i="32"/>
  <c r="BT41" i="32" s="1"/>
  <c r="B41" i="34"/>
  <c r="B41" i="33"/>
  <c r="BT41" i="33" s="1"/>
  <c r="B42" i="20" l="1"/>
  <c r="B42" i="21"/>
  <c r="B42" i="22"/>
  <c r="B42" i="24"/>
  <c r="B42" i="32"/>
  <c r="BT42" i="32" s="1"/>
  <c r="B42" i="34"/>
  <c r="BT42" i="34" s="1"/>
  <c r="B42" i="33"/>
  <c r="BT42" i="33" s="1"/>
  <c r="B43" i="20" l="1"/>
  <c r="B43" i="21"/>
  <c r="B43" i="22"/>
  <c r="B43" i="24"/>
  <c r="B43" i="32"/>
  <c r="BT43" i="32" s="1"/>
  <c r="B44" i="20" l="1"/>
  <c r="B44" i="21"/>
  <c r="B44" i="22"/>
  <c r="B44" i="24"/>
  <c r="B44" i="32"/>
  <c r="BT44" i="32" s="1"/>
  <c r="B45" i="20" l="1"/>
  <c r="B45" i="21"/>
  <c r="B45" i="22"/>
  <c r="B45" i="24"/>
  <c r="B45" i="32"/>
  <c r="BT45" i="32" s="1"/>
  <c r="B46" i="20" l="1"/>
  <c r="B46" i="21"/>
  <c r="B46" i="22"/>
  <c r="B46" i="24"/>
  <c r="B47" i="20" l="1"/>
  <c r="B47" i="21"/>
  <c r="B47" i="22"/>
  <c r="B47" i="24"/>
  <c r="B48" i="20" l="1"/>
  <c r="B48" i="21"/>
  <c r="B48" i="22"/>
  <c r="B48" i="24"/>
  <c r="B49" i="20" l="1"/>
  <c r="B49" i="22"/>
  <c r="B49" i="24"/>
  <c r="B50" i="22" l="1"/>
  <c r="B50" i="24"/>
  <c r="B51" i="22" l="1"/>
  <c r="B51" i="24"/>
  <c r="B52" i="22" l="1"/>
  <c r="B52" i="24"/>
  <c r="B53" i="22" l="1"/>
  <c r="B53" i="24"/>
  <c r="B54" i="22" l="1"/>
  <c r="B55" i="22" l="1"/>
  <c r="B56" i="22" l="1"/>
  <c r="B57" i="22" l="1"/>
  <c r="B58"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FF260A7C-2DCA-4096-B865-767FAF7F3716}">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67DC7DBF-6154-408B-B49B-2E9F91A26225}">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2007A0FE-732F-4883-B970-C30B966BBEAD}">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27499685-F8E0-4F48-89A4-020A8925B484}">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CE9F1E35-2965-4EF4-AA54-EFE463BADEF9}">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EB090EF3-44F0-4121-8B9A-63927016C2F2}">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EF084336-2E75-41D8-9B16-626F6BE04D40}">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1F1C52AF-97C4-4A7A-9B2A-695C9CA095FA}">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1D769688-1CAD-40BD-82F5-AD8DF7AC7B6C}">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EB087480-BA5A-4140-8E36-5EEBC595D16B}">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F6AD748B-84DC-4A87-84E4-0EE0F2B84138}">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4CC9FA5E-5302-49A9-B0EF-F5251BAF0236}">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81048022-B38B-487E-A09B-9C80528D4254}">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36DC858B-68AB-4466-8B51-2CCE30FD506C}">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963947AA-1392-4E0D-961C-BBB0D9A608CA}">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6EFC3F3A-E4EA-4B29-B410-85FB513D0158}">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DB9CA672-6724-4ACF-93D2-73D5132B7BFB}">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D6EEF1A9-DA5D-4DE4-9048-4D98A5DA8AE0}">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56FAF87E-8C48-4B0C-AB6F-C49D77A8DEDB}">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9A10A502-6829-4550-B9D5-E8040BD7C7C5}">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4416A61D-8B78-48BB-AFC5-E406BAAE0BB4}">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0C3C1A44-A750-4479-893D-613ED0C1BB1F}">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1A396004-4249-4A87-B919-85F69D147AB7}">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6078116C-B7FD-4BA9-848D-FDE50AD91103}">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27889DBA-6B3D-429A-81D9-A69A8E9F75B4}">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6111A94A-D1BE-4372-8528-7A10FD5B6023}">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090A7197-CF8D-43E1-A8E4-131CB24C6E3C}">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EA498D61-8311-4683-8AE5-3BD6E90BD663}">
      <text>
        <r>
          <rPr>
            <b/>
            <sz val="9"/>
            <color indexed="81"/>
            <rFont val="MS P ゴシック"/>
            <family val="3"/>
            <charset val="128"/>
          </rPr>
          <t>PKは、優先順位の番号をふる。</t>
        </r>
        <r>
          <rPr>
            <sz val="9"/>
            <color indexed="81"/>
            <rFont val="MS P ゴシック"/>
            <family val="3"/>
            <charset val="128"/>
          </rPr>
          <t xml:space="preserve">
</t>
        </r>
      </text>
    </comment>
    <comment ref="AT29" authorId="0" shapeId="0" xr:uid="{29FDC092-4B19-44DD-8765-65CB293A3B11}">
      <text>
        <r>
          <rPr>
            <sz val="9"/>
            <color indexed="81"/>
            <rFont val="MS P ゴシック"/>
            <family val="3"/>
            <charset val="128"/>
          </rPr>
          <t>企業コード:100
01：FOOD MARKET KASUMI（フードマーケット カスミ）
02：FOOD SQUARE（FS、フードスクエア）
03：FOOD OFF ストッカー（FO、フードオフ ストッカー）
04：Plechèf（プルシェ）
05：Gland Plechèf（グラン・プルシェ）
06：BLANDE（ブランデ）
07：カスミアルファ
08：ピア
09：ファミリーマートプラスカスミ
企業コード：200
01：マルエツ
02：マルエツ プチ
03：リンコス
企業コード：300
01：マックスバリュ
02：マックスバリュエクスプレス
03：キッチンランド</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396E0095-2B2D-4C6E-9A26-FCA26469B491}">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068B1F62-73A5-459D-9477-B3C8C4858314}">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2824C331-B7CB-443D-B575-A4EDC678CA03}">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785B1870-DE6F-4FB7-B146-62C862F1F03F}">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19" authorId="0" shapeId="0" xr:uid="{1FC0E204-8AD3-4DE3-A0B0-5A458EC7E75E}">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EF084336-2E75-41D8-9B16-626F6BE04D40}">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<sst xmlns="http://schemas.openxmlformats.org/spreadsheetml/2006/main" count="14898" uniqueCount="1435">
  <si>
    <t>システム名</t>
  </si>
  <si>
    <t>機能カテゴリ</t>
  </si>
  <si>
    <t>システム種別</t>
  </si>
  <si>
    <t>作成者</t>
  </si>
  <si>
    <t>作成日</t>
  </si>
  <si>
    <t>更新者</t>
  </si>
  <si>
    <t>更新日</t>
  </si>
  <si>
    <t>版数</t>
  </si>
  <si>
    <t>項目</t>
  </si>
  <si>
    <t>改廃履歴</t>
    <phoneticPr fontId="2"/>
  </si>
  <si>
    <t>■改廃履歴</t>
  </si>
  <si>
    <t>更新日付</t>
  </si>
  <si>
    <t>変更内容</t>
  </si>
  <si>
    <t>承認日付</t>
  </si>
  <si>
    <t>承認者</t>
  </si>
  <si>
    <t>現金専用簡易セルフPOS</t>
  </si>
  <si>
    <t>表紙</t>
  </si>
  <si>
    <t>現金専用簡易セルフPOS 基本設計書</t>
  </si>
  <si>
    <t>承認日</t>
  </si>
  <si>
    <t>テンプレート</t>
  </si>
  <si>
    <t>■テーブル情報</t>
    <phoneticPr fontId="2"/>
  </si>
  <si>
    <t>■カラム情報</t>
  </si>
  <si>
    <t>No.</t>
    <phoneticPr fontId="2"/>
  </si>
  <si>
    <t>論理名</t>
    <phoneticPr fontId="2"/>
  </si>
  <si>
    <t>物理名</t>
  </si>
  <si>
    <t>データ型</t>
  </si>
  <si>
    <t>PK</t>
    <phoneticPr fontId="2"/>
  </si>
  <si>
    <t>Not Null</t>
  </si>
  <si>
    <t>デフォルト</t>
  </si>
  <si>
    <t>備考</t>
  </si>
  <si>
    <t>レコードID</t>
  </si>
  <si>
    <t>BIGINT</t>
  </si>
  <si>
    <t>自動追加</t>
  </si>
  <si>
    <t>TIMESTAMP</t>
  </si>
  <si>
    <t>トリガー情報</t>
  </si>
  <si>
    <t>No.</t>
  </si>
  <si>
    <t>トリガー名</t>
  </si>
  <si>
    <t>イベント</t>
  </si>
  <si>
    <t>タイミング</t>
  </si>
  <si>
    <t>条件</t>
  </si>
  <si>
    <t>update</t>
    <phoneticPr fontId="2"/>
  </si>
  <si>
    <t>Before row</t>
  </si>
  <si>
    <t>auto_updated_date</t>
  </si>
  <si>
    <r>
      <rPr>
        <sz val="11"/>
        <rFont val="Meiryo UI"/>
        <family val="3"/>
        <charset val="128"/>
      </rPr>
      <t>スキーマ名</t>
    </r>
  </si>
  <si>
    <r>
      <rPr>
        <sz val="11"/>
        <rFont val="Meiryo UI"/>
        <family val="3"/>
        <charset val="128"/>
      </rPr>
      <t>RDBMS名</t>
    </r>
  </si>
  <si>
    <r>
      <rPr>
        <sz val="11"/>
        <rFont val="Meiryo UI"/>
        <family val="3"/>
        <charset val="128"/>
      </rPr>
      <t>論理名</t>
    </r>
  </si>
  <si>
    <r>
      <rPr>
        <sz val="11"/>
        <rFont val="Meiryo UI"/>
        <family val="3"/>
        <charset val="128"/>
      </rPr>
      <t>バージョン</t>
    </r>
  </si>
  <si>
    <r>
      <rPr>
        <sz val="11"/>
        <rFont val="Meiryo UI"/>
        <family val="3"/>
        <charset val="128"/>
      </rPr>
      <t>物理名</t>
    </r>
  </si>
  <si>
    <r>
      <rPr>
        <sz val="11"/>
        <rFont val="Meiryo UI"/>
        <family val="3"/>
        <charset val="128"/>
      </rPr>
      <t>備考</t>
    </r>
  </si>
  <si>
    <r>
      <rPr>
        <sz val="11"/>
        <rFont val="Meiryo UI"/>
        <family val="3"/>
        <charset val="128"/>
      </rPr>
      <t>■インデックス情報</t>
    </r>
  </si>
  <si>
    <r>
      <rPr>
        <sz val="11"/>
        <rFont val="Meiryo UI"/>
        <family val="3"/>
        <charset val="128"/>
      </rPr>
      <t xml:space="preserve">No. </t>
    </r>
  </si>
  <si>
    <r>
      <rPr>
        <sz val="11"/>
        <rFont val="Meiryo UI"/>
        <family val="3"/>
        <charset val="128"/>
      </rPr>
      <t>Index名</t>
    </r>
  </si>
  <si>
    <r>
      <rPr>
        <sz val="11"/>
        <rFont val="Meiryo UI"/>
        <family val="3"/>
        <charset val="128"/>
      </rPr>
      <t>カラム一覧</t>
    </r>
  </si>
  <si>
    <r>
      <rPr>
        <sz val="11"/>
        <rFont val="Meiryo UI"/>
        <family val="3"/>
        <charset val="128"/>
      </rPr>
      <t>プライマリキー</t>
    </r>
  </si>
  <si>
    <r>
      <rPr>
        <sz val="11"/>
        <rFont val="Meiryo UI"/>
        <family val="3"/>
        <charset val="128"/>
      </rPr>
      <t>ユニーク</t>
    </r>
  </si>
  <si>
    <r>
      <rPr>
        <sz val="11"/>
        <rFont val="Meiryo UI"/>
        <family val="3"/>
        <charset val="128"/>
      </rPr>
      <t>PRIMARY</t>
    </r>
  </si>
  <si>
    <t>共通</t>
    <rPh sb="0" eb="2">
      <t>キョウツウ</t>
    </rPh>
    <phoneticPr fontId="2"/>
  </si>
  <si>
    <t>DB定義書</t>
    <rPh sb="2" eb="5">
      <t>テイギショ</t>
    </rPh>
    <phoneticPr fontId="2"/>
  </si>
  <si>
    <t>きよはら</t>
    <phoneticPr fontId="2"/>
  </si>
  <si>
    <t>新規作成</t>
    <rPh sb="0" eb="2">
      <t>シンキ</t>
    </rPh>
    <rPh sb="2" eb="4">
      <t>サクセイ</t>
    </rPh>
    <phoneticPr fontId="2"/>
  </si>
  <si>
    <t>RECORD_VOID_FLAG</t>
  </si>
  <si>
    <t>RECORD_CREATE_DATE</t>
  </si>
  <si>
    <t>RECORD_ID</t>
  </si>
  <si>
    <t>RECORD_CREATE_TIME</t>
  </si>
  <si>
    <t>RECORD_UPDATE_DATE</t>
  </si>
  <si>
    <t>RECORD_UPDATE_TIME</t>
  </si>
  <si>
    <t>レコード作成日付</t>
  </si>
  <si>
    <t>レコード作成時間</t>
  </si>
  <si>
    <t>レコード更新日付</t>
  </si>
  <si>
    <t>レコード更新時間</t>
  </si>
  <si>
    <t>レコード無効フラグ</t>
  </si>
  <si>
    <t>CURRENT_DATE</t>
    <phoneticPr fontId="2"/>
  </si>
  <si>
    <t>CURRENT_TIME</t>
    <phoneticPr fontId="2"/>
  </si>
  <si>
    <t>トリガーにより更新</t>
    <phoneticPr fontId="2"/>
  </si>
  <si>
    <t>機器接続情報</t>
    <rPh sb="0" eb="2">
      <t>キキ</t>
    </rPh>
    <rPh sb="2" eb="4">
      <t>セツゾク</t>
    </rPh>
    <rPh sb="4" eb="6">
      <t>ジョウホウ</t>
    </rPh>
    <phoneticPr fontId="2"/>
  </si>
  <si>
    <t>Sheet7</t>
  </si>
  <si>
    <t>区分</t>
    <rPh sb="0" eb="2">
      <t>クブン</t>
    </rPh>
    <phoneticPr fontId="9"/>
  </si>
  <si>
    <t>論理テーブル名</t>
    <rPh sb="0" eb="2">
      <t>ロンリ</t>
    </rPh>
    <rPh sb="6" eb="7">
      <t>メイ</t>
    </rPh>
    <phoneticPr fontId="9"/>
  </si>
  <si>
    <t>物理テーブル名</t>
    <rPh sb="0" eb="2">
      <t>ブツリ</t>
    </rPh>
    <rPh sb="6" eb="7">
      <t>メイ</t>
    </rPh>
    <phoneticPr fontId="9"/>
  </si>
  <si>
    <t>ID</t>
    <phoneticPr fontId="2"/>
  </si>
  <si>
    <t>機器接続情報</t>
    <phoneticPr fontId="2"/>
  </si>
  <si>
    <t>2_7_設定機能</t>
    <phoneticPr fontId="2"/>
  </si>
  <si>
    <t>備考</t>
    <rPh sb="0" eb="2">
      <t>ビコウ</t>
    </rPh>
    <phoneticPr fontId="2"/>
  </si>
  <si>
    <t>BIGINT</t>
    <phoneticPr fontId="2"/>
  </si>
  <si>
    <t>""</t>
    <phoneticPr fontId="2"/>
  </si>
  <si>
    <t>Device_Connection_Information</t>
    <phoneticPr fontId="2"/>
  </si>
  <si>
    <t>顧客情報</t>
    <rPh sb="0" eb="2">
      <t>コキャク</t>
    </rPh>
    <rPh sb="2" eb="4">
      <t>ジョウホウ</t>
    </rPh>
    <phoneticPr fontId="2"/>
  </si>
  <si>
    <t>顧客情報</t>
    <rPh sb="0" eb="2">
      <t>コキャク</t>
    </rPh>
    <rPh sb="2" eb="4">
      <t>ジョウホウ</t>
    </rPh>
    <phoneticPr fontId="1"/>
  </si>
  <si>
    <t>101_顧客情報</t>
  </si>
  <si>
    <t>customer_master</t>
  </si>
  <si>
    <t>ポイントカード情報</t>
    <rPh sb="7" eb="9">
      <t>ジョウホウ</t>
    </rPh>
    <phoneticPr fontId="1"/>
  </si>
  <si>
    <t>102_ポイントカード情報</t>
  </si>
  <si>
    <t>card_information</t>
  </si>
  <si>
    <t>提携カード情報</t>
  </si>
  <si>
    <t>103_提携カード情報</t>
  </si>
  <si>
    <t>card_master</t>
  </si>
  <si>
    <t>カード合算履歴</t>
  </si>
  <si>
    <t>104_カード合算履歴</t>
  </si>
  <si>
    <t>card_totaling_master</t>
  </si>
  <si>
    <t>WEB会員情報</t>
    <rPh sb="3" eb="5">
      <t>カイイン</t>
    </rPh>
    <rPh sb="5" eb="7">
      <t>ジョウホウ</t>
    </rPh>
    <phoneticPr fontId="1"/>
  </si>
  <si>
    <t>105_WEB会員情報</t>
  </si>
  <si>
    <t>web_customer_master</t>
  </si>
  <si>
    <t>商品情報</t>
    <rPh sb="0" eb="2">
      <t>ショウヒン</t>
    </rPh>
    <rPh sb="2" eb="4">
      <t>ジョウホウ</t>
    </rPh>
    <phoneticPr fontId="2"/>
  </si>
  <si>
    <t>商品マスタ</t>
  </si>
  <si>
    <t>201_商品マスタ</t>
  </si>
  <si>
    <t>product_master</t>
  </si>
  <si>
    <t>商品販売価格マスタ</t>
  </si>
  <si>
    <t>202_商品販売価格マスタ</t>
  </si>
  <si>
    <t>sales_price</t>
  </si>
  <si>
    <t>メーカーマスタ</t>
  </si>
  <si>
    <t>203_メーカーマスタ</t>
  </si>
  <si>
    <t>maker_master</t>
  </si>
  <si>
    <t>サービス商品</t>
    <rPh sb="4" eb="6">
      <t>ショウヒン</t>
    </rPh>
    <phoneticPr fontId="2"/>
  </si>
  <si>
    <t>204_サービス商品</t>
  </si>
  <si>
    <t>service_product_master</t>
  </si>
  <si>
    <t>購買情報</t>
    <rPh sb="0" eb="2">
      <t>コウバイ</t>
    </rPh>
    <rPh sb="2" eb="4">
      <t>ジョウホウ</t>
    </rPh>
    <phoneticPr fontId="2"/>
  </si>
  <si>
    <t>購買情報</t>
    <rPh sb="0" eb="2">
      <t>コウバイ</t>
    </rPh>
    <rPh sb="2" eb="4">
      <t>ジョウホウ</t>
    </rPh>
    <phoneticPr fontId="1"/>
  </si>
  <si>
    <t>301_購買情報</t>
  </si>
  <si>
    <t>sales_information</t>
  </si>
  <si>
    <t xml:space="preserve">購買明細情報 </t>
    <rPh sb="0" eb="2">
      <t>コウバイ</t>
    </rPh>
    <rPh sb="2" eb="4">
      <t>メイサイ</t>
    </rPh>
    <rPh sb="4" eb="6">
      <t>ジョウホウ</t>
    </rPh>
    <phoneticPr fontId="1"/>
  </si>
  <si>
    <t xml:space="preserve">302_購買明細情報 </t>
  </si>
  <si>
    <t>納品明細</t>
  </si>
  <si>
    <t>303_納品明細</t>
  </si>
  <si>
    <t>delivery_details</t>
  </si>
  <si>
    <t>ポイントヘッダ</t>
  </si>
  <si>
    <t>304_ポイントヘッダ</t>
  </si>
  <si>
    <t>point_master</t>
  </si>
  <si>
    <t>ポイント明細</t>
  </si>
  <si>
    <t>305_ポイント明細</t>
  </si>
  <si>
    <t>point_master_histry</t>
  </si>
  <si>
    <t>買取情報</t>
    <rPh sb="0" eb="2">
      <t>カイトリ</t>
    </rPh>
    <rPh sb="2" eb="4">
      <t>ジョウホウ</t>
    </rPh>
    <phoneticPr fontId="2"/>
  </si>
  <si>
    <t>買取情報</t>
    <rPh sb="0" eb="2">
      <t>カイトリ</t>
    </rPh>
    <rPh sb="2" eb="4">
      <t>ジョウホウ</t>
    </rPh>
    <phoneticPr fontId="1"/>
  </si>
  <si>
    <t>311_買取情報</t>
  </si>
  <si>
    <t>purchase_information</t>
  </si>
  <si>
    <t xml:space="preserve">買取明細情報 </t>
    <rPh sb="0" eb="2">
      <t>カイトリ</t>
    </rPh>
    <rPh sb="2" eb="4">
      <t>メイサイ</t>
    </rPh>
    <rPh sb="4" eb="6">
      <t>ジョウホウ</t>
    </rPh>
    <phoneticPr fontId="1"/>
  </si>
  <si>
    <t xml:space="preserve">312_買取明細情報 </t>
  </si>
  <si>
    <t>purchase_detailes</t>
  </si>
  <si>
    <t>商品買取価格マスタ</t>
  </si>
  <si>
    <t>313_商品買取価格マスタ</t>
  </si>
  <si>
    <t>purchase_price</t>
  </si>
  <si>
    <t>手配物件マスタ</t>
  </si>
  <si>
    <t>314_手配物件マスタ</t>
  </si>
  <si>
    <t>arrange_article_master</t>
  </si>
  <si>
    <t>課金情報</t>
    <rPh sb="0" eb="2">
      <t>カキン</t>
    </rPh>
    <rPh sb="2" eb="4">
      <t>ジョウホウ</t>
    </rPh>
    <phoneticPr fontId="2"/>
  </si>
  <si>
    <t>課金情報</t>
    <rPh sb="0" eb="4">
      <t>カキンジョウホウ</t>
    </rPh>
    <phoneticPr fontId="2"/>
  </si>
  <si>
    <t>321_課金情報</t>
  </si>
  <si>
    <t>kakin_information</t>
  </si>
  <si>
    <t>保証情報</t>
    <rPh sb="0" eb="2">
      <t>ホショウ</t>
    </rPh>
    <rPh sb="2" eb="4">
      <t>ジョウホウ</t>
    </rPh>
    <phoneticPr fontId="2"/>
  </si>
  <si>
    <t>延長保証情報</t>
  </si>
  <si>
    <t>401_延長保証情報</t>
  </si>
  <si>
    <t>contract_information</t>
  </si>
  <si>
    <t>延長保証限度額マスタ</t>
  </si>
  <si>
    <t>402_延長保証限度額マスタ</t>
  </si>
  <si>
    <t>compensation_master</t>
  </si>
  <si>
    <t>延長保証マスタ</t>
  </si>
  <si>
    <t>403_延長保証マスタ</t>
  </si>
  <si>
    <t>warranty_information</t>
  </si>
  <si>
    <t>延長保証適用情報</t>
    <rPh sb="4" eb="6">
      <t>テキヨウ</t>
    </rPh>
    <rPh sb="6" eb="8">
      <t>ジョウホウ</t>
    </rPh>
    <phoneticPr fontId="2"/>
  </si>
  <si>
    <t>404_延長保証適用情報</t>
  </si>
  <si>
    <t>contract_infor_app</t>
  </si>
  <si>
    <t>拠点情報</t>
    <rPh sb="0" eb="2">
      <t>キョテン</t>
    </rPh>
    <rPh sb="2" eb="4">
      <t>ジョウホウ</t>
    </rPh>
    <phoneticPr fontId="2"/>
  </si>
  <si>
    <t>会社マスタ</t>
  </si>
  <si>
    <t>501_会社マスタ</t>
  </si>
  <si>
    <t>company_master</t>
  </si>
  <si>
    <t>店舗マスタ</t>
  </si>
  <si>
    <t>502_店舗マスタ</t>
  </si>
  <si>
    <t>branch_master</t>
  </si>
  <si>
    <t>カウンター種別マスタ</t>
    <rPh sb="5" eb="7">
      <t>シュベツ</t>
    </rPh>
    <phoneticPr fontId="2"/>
  </si>
  <si>
    <t>503_カウンター種別マスタ</t>
  </si>
  <si>
    <t>counter_class</t>
  </si>
  <si>
    <t>カウンターマスタ</t>
  </si>
  <si>
    <t>504_カウンターマスタ</t>
  </si>
  <si>
    <t>counter_master</t>
  </si>
  <si>
    <t>担当者情報</t>
    <rPh sb="0" eb="3">
      <t>タントウシャ</t>
    </rPh>
    <rPh sb="3" eb="5">
      <t>ジョウホウ</t>
    </rPh>
    <phoneticPr fontId="2"/>
  </si>
  <si>
    <t>担当者マスタ</t>
  </si>
  <si>
    <t>601_担当者マスタ</t>
  </si>
  <si>
    <t>person_master</t>
  </si>
  <si>
    <t>パスワードマスタ</t>
  </si>
  <si>
    <t>602_パスワードマスタ</t>
  </si>
  <si>
    <t>person_password</t>
  </si>
  <si>
    <t>取引先マスタ</t>
  </si>
  <si>
    <t>仕入先マスタ</t>
  </si>
  <si>
    <t>701_仕入先マスタ</t>
  </si>
  <si>
    <t>supplier_master</t>
  </si>
  <si>
    <t>ベンダーマスタ</t>
  </si>
  <si>
    <t>702_ベンダーマスタ</t>
  </si>
  <si>
    <t>vender_master</t>
  </si>
  <si>
    <t>部門マスタ</t>
  </si>
  <si>
    <t>商品部門マスタ</t>
  </si>
  <si>
    <t>801_商品部門マスタ</t>
  </si>
  <si>
    <t>division_master</t>
  </si>
  <si>
    <t>商品部門変更マスタ</t>
  </si>
  <si>
    <t>802_商品部門変更マスタ</t>
  </si>
  <si>
    <t>division_change_master</t>
  </si>
  <si>
    <t>付随情報</t>
    <rPh sb="0" eb="2">
      <t>フズイ</t>
    </rPh>
    <rPh sb="2" eb="4">
      <t>ジョウホウ</t>
    </rPh>
    <phoneticPr fontId="2"/>
  </si>
  <si>
    <t>コードマスタ</t>
  </si>
  <si>
    <t>901_コードマスタ</t>
  </si>
  <si>
    <t>code_master</t>
  </si>
  <si>
    <t>プリンターマスタ</t>
  </si>
  <si>
    <t>902_プリンターマスタ</t>
  </si>
  <si>
    <t>printer_master</t>
  </si>
  <si>
    <t>症状登録</t>
  </si>
  <si>
    <t>903_症状登録</t>
  </si>
  <si>
    <t>service_class_master</t>
  </si>
  <si>
    <t>ページ情報</t>
    <rPh sb="3" eb="5">
      <t>ジョウホウ</t>
    </rPh>
    <phoneticPr fontId="2"/>
  </si>
  <si>
    <t>904_ページ情報</t>
  </si>
  <si>
    <t>page_infomation</t>
  </si>
  <si>
    <t>ステータスマスタ</t>
  </si>
  <si>
    <t>905_ステータスマスタ</t>
  </si>
  <si>
    <t>status_master</t>
  </si>
  <si>
    <t>sales_details</t>
    <phoneticPr fontId="2"/>
  </si>
  <si>
    <t>売上情報明細</t>
    <rPh sb="4" eb="6">
      <t>メイサイ</t>
    </rPh>
    <phoneticPr fontId="2"/>
  </si>
  <si>
    <t>company_code</t>
  </si>
  <si>
    <t>char(3)</t>
    <phoneticPr fontId="2"/>
  </si>
  <si>
    <t>store_code</t>
  </si>
  <si>
    <t>char(5)</t>
    <phoneticPr fontId="2"/>
  </si>
  <si>
    <t>instore_code</t>
  </si>
  <si>
    <t>journal_no</t>
  </si>
  <si>
    <t>receipt_no</t>
  </si>
  <si>
    <t>ジャーナルNO&lt;取引確定後&gt;</t>
  </si>
  <si>
    <t>レシートNO&lt;取引確定後&gt;</t>
  </si>
  <si>
    <t>confirm_age</t>
  </si>
  <si>
    <t>account_id</t>
  </si>
  <si>
    <t>account_name</t>
  </si>
  <si>
    <t>record_datetime</t>
  </si>
  <si>
    <t>企業コード</t>
    <rPh sb="0" eb="2">
      <t>キギョウ</t>
    </rPh>
    <phoneticPr fontId="3"/>
  </si>
  <si>
    <t>店舗コード</t>
    <rPh sb="0" eb="2">
      <t>テンポ</t>
    </rPh>
    <phoneticPr fontId="3"/>
  </si>
  <si>
    <t>レジ番号</t>
    <rPh sb="2" eb="4">
      <t>バンゴウ</t>
    </rPh>
    <phoneticPr fontId="3"/>
  </si>
  <si>
    <t>年齢確認フラグ ( true : 確認済み )</t>
    <rPh sb="17" eb="19">
      <t>カクニン</t>
    </rPh>
    <rPh sb="19" eb="20">
      <t>ズ</t>
    </rPh>
    <phoneticPr fontId="3"/>
  </si>
  <si>
    <t>Scan&amp;Go アカウントID</t>
  </si>
  <si>
    <t>Scan&amp;Go アカウント名</t>
    <rPh sb="13" eb="14">
      <t>メイ</t>
    </rPh>
    <phoneticPr fontId="3"/>
  </si>
  <si>
    <t>取引確定日時&lt;取引確定後&gt;</t>
    <rPh sb="0" eb="2">
      <t>トリヒキ</t>
    </rPh>
    <rPh sb="2" eb="4">
      <t>カクテイ</t>
    </rPh>
    <rPh sb="4" eb="6">
      <t>ニチジ</t>
    </rPh>
    <rPh sb="7" eb="9">
      <t>トリヒキ</t>
    </rPh>
    <rPh sb="9" eb="12">
      <t>カクテイゴ</t>
    </rPh>
    <phoneticPr fontId="3"/>
  </si>
  <si>
    <t>bool</t>
  </si>
  <si>
    <t>char(10)</t>
  </si>
  <si>
    <t>char(16)</t>
    <phoneticPr fontId="2"/>
  </si>
  <si>
    <t>item_no</t>
  </si>
  <si>
    <t>item_cancel_line</t>
  </si>
  <si>
    <t>item_scan_code</t>
  </si>
  <si>
    <t>item_name</t>
  </si>
  <si>
    <t>item_unit_price</t>
  </si>
  <si>
    <t>item_quantity</t>
  </si>
  <si>
    <t>item_discount</t>
  </si>
  <si>
    <t>item_price</t>
  </si>
  <si>
    <t>item_tax_fmt</t>
  </si>
  <si>
    <t>item_eatin</t>
  </si>
  <si>
    <t>item_age_limit</t>
  </si>
  <si>
    <t>string</t>
  </si>
  <si>
    <t>decimal</t>
  </si>
  <si>
    <t>明細行番号</t>
    <rPh sb="0" eb="5">
      <t>メイサイギョウバンゴウ</t>
    </rPh>
    <phoneticPr fontId="3"/>
  </si>
  <si>
    <t>明細訂正取消線有無</t>
    <rPh sb="0" eb="2">
      <t>メイサイ</t>
    </rPh>
    <rPh sb="2" eb="4">
      <t>テイセイ</t>
    </rPh>
    <rPh sb="4" eb="7">
      <t>トリケシセン</t>
    </rPh>
    <rPh sb="7" eb="9">
      <t>ウム</t>
    </rPh>
    <phoneticPr fontId="3"/>
  </si>
  <si>
    <t>スキャンコード</t>
  </si>
  <si>
    <t>商品名</t>
  </si>
  <si>
    <t>採用単価</t>
  </si>
  <si>
    <t>点数</t>
    <rPh sb="0" eb="2">
      <t>テンスウ</t>
    </rPh>
    <phoneticPr fontId="3"/>
  </si>
  <si>
    <t>明細値引</t>
  </si>
  <si>
    <t>明細合計</t>
  </si>
  <si>
    <t>税 ("外税 8%")</t>
    <rPh sb="4" eb="6">
      <t>ソトゼイ</t>
    </rPh>
    <phoneticPr fontId="3"/>
  </si>
  <si>
    <t>イートイン対象有無</t>
    <rPh sb="5" eb="7">
      <t>タイショウ</t>
    </rPh>
    <rPh sb="7" eb="9">
      <t>ウム</t>
    </rPh>
    <phoneticPr fontId="3"/>
  </si>
  <si>
    <t>年齢制限品有無</t>
    <rPh sb="0" eb="2">
      <t>ネンレイ</t>
    </rPh>
    <rPh sb="2" eb="5">
      <t>セイゲンヒン</t>
    </rPh>
    <rPh sb="5" eb="7">
      <t>ウム</t>
    </rPh>
    <phoneticPr fontId="3"/>
  </si>
  <si>
    <t>true : 年連確認が必要 / false：年連確認が不要</t>
    <rPh sb="7" eb="9">
      <t>ネンレン</t>
    </rPh>
    <rPh sb="9" eb="11">
      <t>カクニン</t>
    </rPh>
    <rPh sb="12" eb="14">
      <t>ヒツヨウ</t>
    </rPh>
    <rPh sb="23" eb="24">
      <t>ネン</t>
    </rPh>
    <rPh sb="24" eb="25">
      <t>レン</t>
    </rPh>
    <rPh sb="25" eb="27">
      <t>カクニン</t>
    </rPh>
    <rPh sb="28" eb="30">
      <t>フヨウ</t>
    </rPh>
    <phoneticPr fontId="2"/>
  </si>
  <si>
    <t>true : Eat in / false：Take out</t>
    <phoneticPr fontId="2"/>
  </si>
  <si>
    <t>true : 確認済み</t>
    <phoneticPr fontId="2"/>
  </si>
  <si>
    <t>明細合計金額</t>
  </si>
  <si>
    <t>まとめ値引金額</t>
  </si>
  <si>
    <t>小計金額</t>
    <rPh sb="2" eb="4">
      <t>キンガク</t>
    </rPh>
    <phoneticPr fontId="3"/>
  </si>
  <si>
    <t>小計値引金額</t>
  </si>
  <si>
    <t>外税合計</t>
    <rPh sb="0" eb="4">
      <t>ソトゼイゴウケイ</t>
    </rPh>
    <phoneticPr fontId="3"/>
  </si>
  <si>
    <t>合計金額　（=小計金額 - 小計値引金額 + 外税合計）</t>
    <rPh sb="7" eb="9">
      <t>ショウケイ</t>
    </rPh>
    <rPh sb="9" eb="11">
      <t>キンガク</t>
    </rPh>
    <rPh sb="14" eb="16">
      <t>ショウケイ</t>
    </rPh>
    <rPh sb="16" eb="18">
      <t>ネビ</t>
    </rPh>
    <rPh sb="18" eb="20">
      <t>キンガク</t>
    </rPh>
    <rPh sb="23" eb="25">
      <t>ソトゼイ</t>
    </rPh>
    <rPh sb="25" eb="27">
      <t>ゴウケイ</t>
    </rPh>
    <phoneticPr fontId="3"/>
  </si>
  <si>
    <t>合計点数</t>
    <rPh sb="2" eb="4">
      <t>テンスウ</t>
    </rPh>
    <phoneticPr fontId="3"/>
  </si>
  <si>
    <t>item_total_price_fmt</t>
  </si>
  <si>
    <t>mm_discount_price_fmt</t>
  </si>
  <si>
    <t>subtotal_price_fmt</t>
  </si>
  <si>
    <t>subtotal_discount_price_fmt</t>
  </si>
  <si>
    <t>total_tax_excluded_fmt</t>
  </si>
  <si>
    <t>total_price_fmt</t>
  </si>
  <si>
    <t>total_quantity_fmt</t>
  </si>
  <si>
    <t>税額</t>
  </si>
  <si>
    <t>外対象金額</t>
  </si>
  <si>
    <t>bool</t>
    <phoneticPr fontId="2"/>
  </si>
  <si>
    <t>true:有効 / false:無効</t>
    <rPh sb="5" eb="7">
      <t>ユウコウ</t>
    </rPh>
    <rPh sb="16" eb="18">
      <t>ムコウ</t>
    </rPh>
    <phoneticPr fontId="2"/>
  </si>
  <si>
    <t>BOOL</t>
    <phoneticPr fontId="2"/>
  </si>
  <si>
    <t>ER</t>
  </si>
  <si>
    <t>レコード作成日付</t>
    <phoneticPr fontId="2"/>
  </si>
  <si>
    <t>レコード作成時間</t>
    <phoneticPr fontId="2"/>
  </si>
  <si>
    <t>レコード更新日付</t>
    <phoneticPr fontId="2"/>
  </si>
  <si>
    <t>レコード更新時間</t>
    <phoneticPr fontId="2"/>
  </si>
  <si>
    <t>レコード無効フラグ</t>
    <phoneticPr fontId="2"/>
  </si>
  <si>
    <t>売上情報</t>
    <phoneticPr fontId="2"/>
  </si>
  <si>
    <t>ジャーナルNO&lt;取引確定後&gt;</t>
    <phoneticPr fontId="2"/>
  </si>
  <si>
    <t>レシートNO&lt;取引確定後&gt;</t>
    <phoneticPr fontId="2"/>
  </si>
  <si>
    <t>税種説明 (tax_exclude | tax_include | tax_exempt)</t>
    <phoneticPr fontId="2"/>
  </si>
  <si>
    <t>10000円札</t>
    <rPh sb="5" eb="6">
      <t>エン</t>
    </rPh>
    <rPh sb="6" eb="7">
      <t>サツ</t>
    </rPh>
    <phoneticPr fontId="2"/>
  </si>
  <si>
    <t>5000円札</t>
    <rPh sb="4" eb="6">
      <t>エンサツ</t>
    </rPh>
    <phoneticPr fontId="2"/>
  </si>
  <si>
    <t>2000円札</t>
    <rPh sb="4" eb="5">
      <t>エン</t>
    </rPh>
    <rPh sb="5" eb="6">
      <t>サツ</t>
    </rPh>
    <phoneticPr fontId="2"/>
  </si>
  <si>
    <t>1000円札</t>
    <rPh sb="4" eb="6">
      <t>エンサツ</t>
    </rPh>
    <phoneticPr fontId="2"/>
  </si>
  <si>
    <t>500円玉</t>
    <rPh sb="3" eb="4">
      <t>エン</t>
    </rPh>
    <rPh sb="4" eb="5">
      <t>ダマ</t>
    </rPh>
    <phoneticPr fontId="2"/>
  </si>
  <si>
    <t>100円玉</t>
    <rPh sb="3" eb="5">
      <t>エンダマ</t>
    </rPh>
    <phoneticPr fontId="2"/>
  </si>
  <si>
    <t>50円玉</t>
    <rPh sb="2" eb="4">
      <t>エンダマ</t>
    </rPh>
    <phoneticPr fontId="2"/>
  </si>
  <si>
    <t>10円玉</t>
    <rPh sb="2" eb="4">
      <t>エンダマ</t>
    </rPh>
    <phoneticPr fontId="2"/>
  </si>
  <si>
    <t>5円玉</t>
    <rPh sb="1" eb="3">
      <t>エンダマ</t>
    </rPh>
    <phoneticPr fontId="2"/>
  </si>
  <si>
    <t>1円玉</t>
    <rPh sb="1" eb="3">
      <t>エンダマ</t>
    </rPh>
    <phoneticPr fontId="2"/>
  </si>
  <si>
    <t>ボタン番号</t>
    <rPh sb="3" eb="5">
      <t>バンゴウ</t>
    </rPh>
    <phoneticPr fontId="2"/>
  </si>
  <si>
    <t>ラベル</t>
    <phoneticPr fontId="2"/>
  </si>
  <si>
    <t>遷移先</t>
    <rPh sb="0" eb="3">
      <t>センイサキ</t>
    </rPh>
    <phoneticPr fontId="2"/>
  </si>
  <si>
    <t>活性化</t>
    <rPh sb="0" eb="2">
      <t>カッセイ</t>
    </rPh>
    <rPh sb="2" eb="3">
      <t>カ</t>
    </rPh>
    <phoneticPr fontId="2"/>
  </si>
  <si>
    <t>1：開設時活性 / 2：非開設時活性 /3：常に活性 / 99：常に非活性</t>
    <rPh sb="2" eb="5">
      <t>カイセツジ</t>
    </rPh>
    <rPh sb="5" eb="7">
      <t>カッセイ</t>
    </rPh>
    <rPh sb="12" eb="13">
      <t>ヒ</t>
    </rPh>
    <rPh sb="13" eb="16">
      <t>カイセツジ</t>
    </rPh>
    <rPh sb="16" eb="18">
      <t>カッセイ</t>
    </rPh>
    <rPh sb="22" eb="23">
      <t>ツネ</t>
    </rPh>
    <rPh sb="24" eb="26">
      <t>カッセイ</t>
    </rPh>
    <rPh sb="32" eb="33">
      <t>ツネ</t>
    </rPh>
    <rPh sb="34" eb="37">
      <t>ヒカッセイ</t>
    </rPh>
    <phoneticPr fontId="2"/>
  </si>
  <si>
    <t>class</t>
    <phoneticPr fontId="2"/>
  </si>
  <si>
    <t>区分</t>
    <rPh sb="0" eb="2">
      <t>クブン</t>
    </rPh>
    <phoneticPr fontId="2"/>
  </si>
  <si>
    <t>10000yen</t>
    <phoneticPr fontId="2"/>
  </si>
  <si>
    <t>500yen</t>
    <phoneticPr fontId="2"/>
  </si>
  <si>
    <t>5000yen</t>
    <phoneticPr fontId="2"/>
  </si>
  <si>
    <t>2000yen</t>
    <phoneticPr fontId="2"/>
  </si>
  <si>
    <t>1000yen</t>
    <phoneticPr fontId="2"/>
  </si>
  <si>
    <t>100yen</t>
    <phoneticPr fontId="2"/>
  </si>
  <si>
    <t>50yen</t>
    <phoneticPr fontId="2"/>
  </si>
  <si>
    <t>10yen</t>
    <phoneticPr fontId="2"/>
  </si>
  <si>
    <t>5yen</t>
    <phoneticPr fontId="2"/>
  </si>
  <si>
    <t>1yen</t>
    <phoneticPr fontId="2"/>
  </si>
  <si>
    <t>cassette</t>
    <phoneticPr fontId="2"/>
  </si>
  <si>
    <t>company_code</t>
    <phoneticPr fontId="2"/>
  </si>
  <si>
    <t>store_code</t>
    <phoneticPr fontId="2"/>
  </si>
  <si>
    <t>instore_code</t>
    <phoneticPr fontId="2"/>
  </si>
  <si>
    <t>INT</t>
  </si>
  <si>
    <t>INT</t>
    <phoneticPr fontId="2"/>
  </si>
  <si>
    <t>string</t>
    <phoneticPr fontId="2"/>
  </si>
  <si>
    <t>char(10)</t>
    <phoneticPr fontId="2"/>
  </si>
  <si>
    <t>カセット</t>
    <phoneticPr fontId="2"/>
  </si>
  <si>
    <t>会社コード</t>
    <rPh sb="0" eb="2">
      <t>カイシャ</t>
    </rPh>
    <phoneticPr fontId="2"/>
  </si>
  <si>
    <t>店舗コード</t>
    <rPh sb="0" eb="2">
      <t>テンポ</t>
    </rPh>
    <phoneticPr fontId="2"/>
  </si>
  <si>
    <t>端末番号</t>
    <rPh sb="0" eb="2">
      <t>タンマツ</t>
    </rPh>
    <rPh sb="2" eb="4">
      <t>バンゴウ</t>
    </rPh>
    <phoneticPr fontId="2"/>
  </si>
  <si>
    <t>1:フル 2:ニアフル 3:ニアエンプティ 4:エンプティ 5:残置 6:釣銭準備金</t>
    <rPh sb="32" eb="34">
      <t>ザンチ</t>
    </rPh>
    <rPh sb="37" eb="42">
      <t>ツリセンジュンビキン</t>
    </rPh>
    <phoneticPr fontId="2"/>
  </si>
  <si>
    <t>PresetMenuMaster</t>
    <phoneticPr fontId="2"/>
  </si>
  <si>
    <t>プリセットメニューマスタ</t>
    <phoneticPr fontId="2"/>
  </si>
  <si>
    <t>テンプレート</t>
    <phoneticPr fontId="2"/>
  </si>
  <si>
    <t>RECORD_ID</t>
    <phoneticPr fontId="2"/>
  </si>
  <si>
    <t>RECORD_CREATE_DATE</t>
    <phoneticPr fontId="2"/>
  </si>
  <si>
    <t>RECORD_CREATE_TIME</t>
    <phoneticPr fontId="2"/>
  </si>
  <si>
    <t>RECORD_UPDATE_DATE</t>
    <phoneticPr fontId="2"/>
  </si>
  <si>
    <t>RECORD_UPDATE_TIME</t>
    <phoneticPr fontId="2"/>
  </si>
  <si>
    <t>RECORD_VOID_FLAG</t>
    <phoneticPr fontId="2"/>
  </si>
  <si>
    <t>企業コード</t>
    <phoneticPr fontId="2"/>
  </si>
  <si>
    <t>店舗コード</t>
    <phoneticPr fontId="2"/>
  </si>
  <si>
    <t>プリセットボタンレイアウトコード</t>
    <phoneticPr fontId="2"/>
  </si>
  <si>
    <t>グループコード</t>
    <phoneticPr fontId="2"/>
  </si>
  <si>
    <t>ページ番号</t>
    <phoneticPr fontId="2"/>
  </si>
  <si>
    <t>適用日</t>
    <phoneticPr fontId="2"/>
  </si>
  <si>
    <t>ボタンの数（横）</t>
    <phoneticPr fontId="2"/>
  </si>
  <si>
    <t>ボタンの数（縦）</t>
    <phoneticPr fontId="2"/>
  </si>
  <si>
    <t>ボタン表示名称</t>
    <phoneticPr fontId="2"/>
  </si>
  <si>
    <t>ボタンイメージファイル名（押下時）</t>
    <phoneticPr fontId="2"/>
  </si>
  <si>
    <t>CompanyCode</t>
    <phoneticPr fontId="2"/>
  </si>
  <si>
    <t>StoreCode</t>
    <phoneticPr fontId="2"/>
  </si>
  <si>
    <t>ButtonLayoutCode</t>
    <phoneticPr fontId="2"/>
  </si>
  <si>
    <t>GroupCode</t>
    <phoneticPr fontId="2"/>
  </si>
  <si>
    <t>PageNumber</t>
    <phoneticPr fontId="2"/>
  </si>
  <si>
    <t>ApplyDate</t>
    <phoneticPr fontId="2"/>
  </si>
  <si>
    <t>ButtonColumnCount</t>
    <phoneticPr fontId="2"/>
  </si>
  <si>
    <t>ButtonRowCount</t>
    <phoneticPr fontId="2"/>
  </si>
  <si>
    <t>Description</t>
    <phoneticPr fontId="2"/>
  </si>
  <si>
    <t>StyleKey</t>
    <phoneticPr fontId="2"/>
  </si>
  <si>
    <t>char(1)</t>
    <phoneticPr fontId="2"/>
  </si>
  <si>
    <t>bigint</t>
    <phoneticPr fontId="2"/>
  </si>
  <si>
    <t>date</t>
    <phoneticPr fontId="2"/>
  </si>
  <si>
    <t>time</t>
    <phoneticPr fontId="2"/>
  </si>
  <si>
    <t>0: 有効フラグ、 1:無効フラグ</t>
    <rPh sb="3" eb="5">
      <t>ユウコウ</t>
    </rPh>
    <rPh sb="12" eb="14">
      <t>ムコウ</t>
    </rPh>
    <phoneticPr fontId="2"/>
  </si>
  <si>
    <t>企業コード</t>
    <rPh sb="0" eb="2">
      <t>キギョウ</t>
    </rPh>
    <phoneticPr fontId="7"/>
  </si>
  <si>
    <t>店舗コード</t>
    <rPh sb="0" eb="2">
      <t>テンポ</t>
    </rPh>
    <phoneticPr fontId="7"/>
  </si>
  <si>
    <t>単品コード</t>
  </si>
  <si>
    <t>適用日</t>
    <rPh sb="0" eb="2">
      <t>テキヨウ</t>
    </rPh>
    <rPh sb="2" eb="3">
      <t>ビ</t>
    </rPh>
    <phoneticPr fontId="7"/>
  </si>
  <si>
    <t>親分類コード</t>
    <rPh sb="1" eb="3">
      <t>ブンルイ</t>
    </rPh>
    <phoneticPr fontId="7"/>
  </si>
  <si>
    <t>商品コード</t>
    <rPh sb="0" eb="2">
      <t>ショウヒン</t>
    </rPh>
    <phoneticPr fontId="7"/>
  </si>
  <si>
    <t>親JANコード</t>
    <rPh sb="0" eb="1">
      <t>オヤ</t>
    </rPh>
    <phoneticPr fontId="7"/>
  </si>
  <si>
    <t>説明　（画面、レシート、ラインディスプレイにて使用）</t>
  </si>
  <si>
    <t>簡略説明　（ラインディスプレイ（半角カナ用）にて使用）</t>
    <rPh sb="20" eb="21">
      <t>ヨウ</t>
    </rPh>
    <phoneticPr fontId="7"/>
  </si>
  <si>
    <t>詳細説明　（レポートにて使用）</t>
  </si>
  <si>
    <t>補足説明　(規格)</t>
  </si>
  <si>
    <t>メーカー</t>
  </si>
  <si>
    <t>単価</t>
  </si>
  <si>
    <t>本部指示売価</t>
  </si>
  <si>
    <t>原価</t>
  </si>
  <si>
    <t>値入率</t>
  </si>
  <si>
    <t>税グループコード</t>
  </si>
  <si>
    <t>税変換種別</t>
    <rPh sb="0" eb="1">
      <t>ゼイ</t>
    </rPh>
    <rPh sb="1" eb="3">
      <t>ヘンカン</t>
    </rPh>
    <rPh sb="3" eb="5">
      <t>シュベツ</t>
    </rPh>
    <phoneticPr fontId="7"/>
  </si>
  <si>
    <t>容量</t>
  </si>
  <si>
    <t>入数</t>
  </si>
  <si>
    <t>現金以外決済不可フラグ</t>
  </si>
  <si>
    <t>手動アイテム値引禁止フラグ</t>
  </si>
  <si>
    <t>小計値引禁止フラグ</t>
  </si>
  <si>
    <t>売価変更禁止フラグ</t>
  </si>
  <si>
    <t>自動値引き不可フラグ</t>
  </si>
  <si>
    <t>単価強制入力フラグ</t>
  </si>
  <si>
    <t>ポイント除外フラグ</t>
    <rPh sb="4" eb="6">
      <t>ジョガイ</t>
    </rPh>
    <phoneticPr fontId="7"/>
  </si>
  <si>
    <t>販売制限商品区分</t>
  </si>
  <si>
    <t>販売制限年齢区分</t>
  </si>
  <si>
    <t>保証書発行フラグ</t>
  </si>
  <si>
    <t>重点区分</t>
    <rPh sb="0" eb="2">
      <t>ジュウテン</t>
    </rPh>
    <rPh sb="2" eb="4">
      <t>クブン</t>
    </rPh>
    <phoneticPr fontId="7"/>
  </si>
  <si>
    <t>消費税免税タイプ</t>
    <rPh sb="0" eb="3">
      <t>ショウヒゼイ</t>
    </rPh>
    <rPh sb="3" eb="5">
      <t>メンゼイ</t>
    </rPh>
    <phoneticPr fontId="7"/>
  </si>
  <si>
    <t>緊急登録フラグ</t>
    <rPh sb="0" eb="2">
      <t>キンキュウ</t>
    </rPh>
    <rPh sb="2" eb="4">
      <t>トウロク</t>
    </rPh>
    <phoneticPr fontId="7"/>
  </si>
  <si>
    <t>セルフメディケーションフラグ</t>
  </si>
  <si>
    <t>売価一括変更フラグ</t>
  </si>
  <si>
    <t>本部配信データとしての最終更新日時</t>
    <rPh sb="15" eb="17">
      <t>ニチジ</t>
    </rPh>
    <phoneticPr fontId="7"/>
  </si>
  <si>
    <t>CompanyCode</t>
  </si>
  <si>
    <t>StoreCode</t>
  </si>
  <si>
    <t>ApplyDate</t>
  </si>
  <si>
    <t>ParentCode</t>
  </si>
  <si>
    <t>MyCompanyCode</t>
  </si>
  <si>
    <t>ParentItemCode</t>
  </si>
  <si>
    <t>Description</t>
  </si>
  <si>
    <t>DescriptionShort</t>
  </si>
  <si>
    <t>DescriptionLong</t>
  </si>
  <si>
    <t>SubDescription</t>
  </si>
  <si>
    <t>Manufacturer</t>
  </si>
  <si>
    <t>UnitPrice</t>
  </si>
  <si>
    <t>HeadquartersIndicationPrice</t>
  </si>
  <si>
    <t>CostPrice</t>
  </si>
  <si>
    <t>MarkupRatio</t>
  </si>
  <si>
    <t>TaxGroupCode</t>
  </si>
  <si>
    <t>TaxConvertType</t>
  </si>
  <si>
    <t>Volume</t>
  </si>
  <si>
    <t>NumberOfPiecesPerBox</t>
  </si>
  <si>
    <t>IsCashOnly</t>
  </si>
  <si>
    <t>IsItemManualDiscountProhibition</t>
  </si>
  <si>
    <t>IsSubTotalDiscountProhibition</t>
  </si>
  <si>
    <t>IsChangePriceProhibition</t>
  </si>
  <si>
    <t>IsAutoDiscountProhibition</t>
  </si>
  <si>
    <t>IsUnitPriceForced</t>
  </si>
  <si>
    <t>IsPointProhibition</t>
  </si>
  <si>
    <t>SalesRestrictionItemArea</t>
  </si>
  <si>
    <t>SalesAlertAge</t>
  </si>
  <si>
    <t>IsWarrantyReceiptPrint</t>
  </si>
  <si>
    <t>PriorityType</t>
  </si>
  <si>
    <t>TaxFreeType</t>
  </si>
  <si>
    <t>EmergencyFlag</t>
  </si>
  <si>
    <t>IsSelfMedication</t>
  </si>
  <si>
    <t>IsChangePriceBulk</t>
  </si>
  <si>
    <t>HeadquartersLastUpdateDateTime</t>
  </si>
  <si>
    <t>date</t>
  </si>
  <si>
    <t>int</t>
  </si>
  <si>
    <t>ItemMaster</t>
    <phoneticPr fontId="2"/>
  </si>
  <si>
    <t>商品マスタ</t>
    <phoneticPr fontId="2"/>
  </si>
  <si>
    <t>ItemCode</t>
    <phoneticPr fontId="2"/>
  </si>
  <si>
    <t>ItemExMvkMaster</t>
    <phoneticPr fontId="2"/>
  </si>
  <si>
    <t>WaonPoint</t>
  </si>
  <si>
    <t>WaonPointMediaType</t>
  </si>
  <si>
    <t>IsTBPDiscountProhibition</t>
  </si>
  <si>
    <t>WAONポイント付与数</t>
    <rPh sb="8" eb="10">
      <t>フヨ</t>
    </rPh>
    <rPh sb="10" eb="11">
      <t>スウ</t>
    </rPh>
    <phoneticPr fontId="7"/>
  </si>
  <si>
    <t>取り扱いメディア区分</t>
  </si>
  <si>
    <t>TBP値引禁止フラグ</t>
    <rPh sb="3" eb="7">
      <t>ネビキキンシ</t>
    </rPh>
    <phoneticPr fontId="7"/>
  </si>
  <si>
    <t>会社コード</t>
    <rPh sb="0" eb="2">
      <t>カイシャ</t>
    </rPh>
    <phoneticPr fontId="5"/>
  </si>
  <si>
    <t>店舗コード</t>
    <rPh sb="0" eb="2">
      <t>テンポ</t>
    </rPh>
    <phoneticPr fontId="5"/>
  </si>
  <si>
    <t>WAONボーナスポイント付与数</t>
    <rPh sb="12" eb="14">
      <t>フヨ</t>
    </rPh>
    <phoneticPr fontId="5"/>
  </si>
  <si>
    <t>0:未設定 1:WAONボーナスポイント</t>
  </si>
  <si>
    <t xml:space="preserve">  KEY `RECORD_ID` (`RECORD_ID`)</t>
    <phoneticPr fontId="2"/>
  </si>
  <si>
    <t>商品拡張マスタ</t>
    <phoneticPr fontId="2"/>
  </si>
  <si>
    <t>MDHierarchyMaster</t>
    <phoneticPr fontId="2"/>
  </si>
  <si>
    <t>分類コード</t>
    <rPh sb="0" eb="2">
      <t>ブンルイ</t>
    </rPh>
    <phoneticPr fontId="7"/>
  </si>
  <si>
    <t>分類レベル</t>
    <rPh sb="0" eb="2">
      <t>ブンルイ</t>
    </rPh>
    <phoneticPr fontId="7"/>
  </si>
  <si>
    <t>親分類レベルコード</t>
    <rPh sb="1" eb="3">
      <t>ブンルイ</t>
    </rPh>
    <phoneticPr fontId="7"/>
  </si>
  <si>
    <t>部門区分コード</t>
  </si>
  <si>
    <t>販売制限年齢</t>
  </si>
  <si>
    <t>ポイント率</t>
    <rPh sb="4" eb="5">
      <t>リツ</t>
    </rPh>
    <phoneticPr fontId="7"/>
  </si>
  <si>
    <t>原価率</t>
    <rPh sb="0" eb="2">
      <t>ゲンカ</t>
    </rPh>
    <rPh sb="2" eb="3">
      <t>リツ</t>
    </rPh>
    <phoneticPr fontId="7"/>
  </si>
  <si>
    <t>MDHierarchyCode</t>
  </si>
  <si>
    <t>MDHierarchyLevel</t>
  </si>
  <si>
    <t>ParentHierarchyLevel</t>
  </si>
  <si>
    <t>DepartmentTypeCode</t>
  </si>
  <si>
    <t>PointRate</t>
  </si>
  <si>
    <t>CostRate</t>
  </si>
  <si>
    <t>会社コード</t>
    <rPh sb="0" eb="2">
      <t>カイシャ</t>
    </rPh>
    <phoneticPr fontId="6"/>
  </si>
  <si>
    <t>店舗コード</t>
    <rPh sb="0" eb="2">
      <t>テンポ</t>
    </rPh>
    <phoneticPr fontId="6"/>
  </si>
  <si>
    <t>各分類コードを設定する</t>
    <rPh sb="0" eb="1">
      <t>カク</t>
    </rPh>
    <rPh sb="1" eb="3">
      <t>ブンルイ</t>
    </rPh>
    <rPh sb="7" eb="9">
      <t>セッテイ</t>
    </rPh>
    <phoneticPr fontId="6"/>
  </si>
  <si>
    <t>各分類のレベルコードを設定する
　　"1"：部門
　　"2"：品種
　　"3"：品群
　　"4"：分類</t>
    <rPh sb="0" eb="1">
      <t>カク</t>
    </rPh>
    <rPh sb="1" eb="3">
      <t>ブンルイ</t>
    </rPh>
    <rPh sb="11" eb="13">
      <t>セッテイ</t>
    </rPh>
    <rPh sb="22" eb="24">
      <t>ブモン</t>
    </rPh>
    <rPh sb="31" eb="33">
      <t>ヒンシュ</t>
    </rPh>
    <rPh sb="40" eb="41">
      <t>ヒン</t>
    </rPh>
    <rPh sb="41" eb="42">
      <t>グン</t>
    </rPh>
    <rPh sb="49" eb="51">
      <t>ブンルイ</t>
    </rPh>
    <phoneticPr fontId="6"/>
  </si>
  <si>
    <t>利用開始日を設定する</t>
    <rPh sb="0" eb="2">
      <t>リヨウ</t>
    </rPh>
    <rPh sb="2" eb="5">
      <t>カイシビ</t>
    </rPh>
    <rPh sb="6" eb="8">
      <t>セッテイ</t>
    </rPh>
    <phoneticPr fontId="6"/>
  </si>
  <si>
    <t>各分類コードが属する上位の分類コード
　※分類レベルが「"1"：部門」である場合、NULL固定</t>
    <rPh sb="0" eb="1">
      <t>カク</t>
    </rPh>
    <rPh sb="1" eb="3">
      <t>ブンルイ</t>
    </rPh>
    <rPh sb="13" eb="15">
      <t>ブンルイ</t>
    </rPh>
    <rPh sb="21" eb="23">
      <t>ブンルイ</t>
    </rPh>
    <rPh sb="32" eb="34">
      <t>ブモン</t>
    </rPh>
    <rPh sb="38" eb="40">
      <t>バアイ</t>
    </rPh>
    <rPh sb="45" eb="47">
      <t>コテイ</t>
    </rPh>
    <phoneticPr fontId="6"/>
  </si>
  <si>
    <t>各分類コードが属する上位の分類のレベルコードを設定する
　※MD階層レベルが「"1"：部門」である場合、NULL固定</t>
    <rPh sb="0" eb="1">
      <t>カク</t>
    </rPh>
    <rPh sb="1" eb="3">
      <t>ブンルイ</t>
    </rPh>
    <rPh sb="7" eb="8">
      <t>ゾク</t>
    </rPh>
    <rPh sb="10" eb="12">
      <t>ジョウイ</t>
    </rPh>
    <rPh sb="13" eb="15">
      <t>ブンルイ</t>
    </rPh>
    <rPh sb="23" eb="25">
      <t>セッテイ</t>
    </rPh>
    <rPh sb="43" eb="45">
      <t>ブモン</t>
    </rPh>
    <phoneticPr fontId="6"/>
  </si>
  <si>
    <t>画面、レシート、ラインディスプレイにて使用</t>
  </si>
  <si>
    <t>ラインディスプレイ（半角カナ用）にて使用</t>
  </si>
  <si>
    <t>税率セットの定義コードを設定する
　　NULL：上位参照
　　"01"　：外税8%
　　　　　　　（2019/10/1以降、軽減税率)
　　"02"　：内税8%
　　　　　　　（2019/10/1以降、軽減税率)
　　"03"　：非課税
　　"11"　：外税10%
　　"12"　：内税10%
　　"31"　：外税8%(返品用)
　　"32"　：内税8%(返品用)</t>
    <rPh sb="12" eb="14">
      <t>セッテイ</t>
    </rPh>
    <rPh sb="24" eb="26">
      <t>ジョウイ</t>
    </rPh>
    <rPh sb="26" eb="28">
      <t>サンショウ</t>
    </rPh>
    <rPh sb="37" eb="39">
      <t>ソトゼイ</t>
    </rPh>
    <rPh sb="59" eb="61">
      <t>イコウ</t>
    </rPh>
    <rPh sb="62" eb="64">
      <t>ケイゲン</t>
    </rPh>
    <rPh sb="64" eb="66">
      <t>ゼイリツ</t>
    </rPh>
    <rPh sb="76" eb="78">
      <t>ウチゼイ</t>
    </rPh>
    <rPh sb="115" eb="118">
      <t>ヒカゼイ</t>
    </rPh>
    <rPh sb="127" eb="129">
      <t>ソトゼイ</t>
    </rPh>
    <rPh sb="141" eb="143">
      <t>ウチゼイ</t>
    </rPh>
    <rPh sb="155" eb="157">
      <t>ソトゼイ</t>
    </rPh>
    <rPh sb="160" eb="162">
      <t>ヘンピン</t>
    </rPh>
    <rPh sb="162" eb="163">
      <t>ヨウ</t>
    </rPh>
    <rPh sb="173" eb="175">
      <t>ウチゼイ</t>
    </rPh>
    <rPh sb="178" eb="180">
      <t>ヘンピン</t>
    </rPh>
    <rPh sb="180" eb="181">
      <t>ヨウ</t>
    </rPh>
    <phoneticPr fontId="6"/>
  </si>
  <si>
    <t>売上部門を設定する
「通常商品、売上外商品」を別けて集計します。
　　"00"：通常
　　"01"：売上外</t>
    <rPh sb="0" eb="2">
      <t>ウリアゲ</t>
    </rPh>
    <rPh sb="2" eb="4">
      <t>ブモン</t>
    </rPh>
    <rPh sb="5" eb="7">
      <t>セッテイ</t>
    </rPh>
    <rPh sb="23" eb="24">
      <t>ワ</t>
    </rPh>
    <rPh sb="26" eb="28">
      <t>シュウケイ</t>
    </rPh>
    <phoneticPr fontId="6"/>
  </si>
  <si>
    <t>支払方法を現金に限定するか否かを設定する
　NULL：上位参照
　0：現金以外決済可
　1：現金以外決済不可</t>
    <rPh sb="0" eb="2">
      <t>シハラ</t>
    </rPh>
    <rPh sb="2" eb="4">
      <t>ホウホウ</t>
    </rPh>
    <rPh sb="5" eb="7">
      <t>ゲンキン</t>
    </rPh>
    <rPh sb="8" eb="10">
      <t>ゲンテイ</t>
    </rPh>
    <rPh sb="13" eb="14">
      <t>イナ</t>
    </rPh>
    <rPh sb="16" eb="18">
      <t>セッテイ</t>
    </rPh>
    <phoneticPr fontId="6"/>
  </si>
  <si>
    <t>POS操作による値引を許可するか否かを設定する
　NULL：上位参照
　0：手動アイテム値引可
　1：手動アイテム値引不可</t>
    <rPh sb="3" eb="5">
      <t>ソウサ</t>
    </rPh>
    <rPh sb="8" eb="10">
      <t>ネビキ</t>
    </rPh>
    <rPh sb="11" eb="13">
      <t>キョカ</t>
    </rPh>
    <rPh sb="16" eb="17">
      <t>イナ</t>
    </rPh>
    <rPh sb="19" eb="21">
      <t>セッテイ</t>
    </rPh>
    <phoneticPr fontId="6"/>
  </si>
  <si>
    <t>クーポン等による小計値引の対象とするか否かを設定する
　NULL：上位参照
　0：小計値引対象
　1：小計値引対象外</t>
    <rPh sb="4" eb="5">
      <t>トウ</t>
    </rPh>
    <rPh sb="8" eb="10">
      <t>ショウケイ</t>
    </rPh>
    <rPh sb="10" eb="12">
      <t>ネビキ</t>
    </rPh>
    <rPh sb="13" eb="15">
      <t>タイショウ</t>
    </rPh>
    <rPh sb="19" eb="20">
      <t>イナ</t>
    </rPh>
    <rPh sb="22" eb="24">
      <t>セッテイ</t>
    </rPh>
    <rPh sb="45" eb="47">
      <t>タイショウ</t>
    </rPh>
    <rPh sb="55" eb="58">
      <t>タイショウガイ</t>
    </rPh>
    <phoneticPr fontId="6"/>
  </si>
  <si>
    <t>POS操作による売価変更を許可するか否かを設定する
　NULL：上位参照
　0：売価変更可
　1：売価変更不可</t>
    <rPh sb="3" eb="5">
      <t>ソウサ</t>
    </rPh>
    <rPh sb="8" eb="10">
      <t>バイカ</t>
    </rPh>
    <rPh sb="10" eb="12">
      <t>ヘンコウ</t>
    </rPh>
    <rPh sb="13" eb="15">
      <t>キョカ</t>
    </rPh>
    <rPh sb="18" eb="19">
      <t>イナ</t>
    </rPh>
    <rPh sb="21" eb="23">
      <t>セッテイ</t>
    </rPh>
    <phoneticPr fontId="6"/>
  </si>
  <si>
    <t>(設定ありで所属する分類にも販売制限商品区分が設定されている場合：《単品マスタ》の設定を採用
NULL：上位参照)
1:分類なし
2:第1分類
3:指定第2分類
4:第2分類
5:第3分類
6:要指導</t>
    <rPh sb="10" eb="12">
      <t>ブンルイ</t>
    </rPh>
    <phoneticPr fontId="6"/>
  </si>
  <si>
    <t>年齢制限を行う場合のみ制限する年齢
(設定ありで所属する分類にも販売制限年齢が設定されている場合：《単品マスタ》の設定を採用
NULL：上位参照
0の場合：年齢制限なし)</t>
    <rPh sb="28" eb="30">
      <t>ブンルイ</t>
    </rPh>
    <phoneticPr fontId="6"/>
  </si>
  <si>
    <t>対象商品販売時、保証書を発行するか否かを設定する
（単品指定のみ）
　0：発行しない
　1：発行する</t>
    <rPh sb="0" eb="2">
      <t>タイショウ</t>
    </rPh>
    <rPh sb="2" eb="4">
      <t>ショウヒン</t>
    </rPh>
    <rPh sb="4" eb="6">
      <t>ハンバイ</t>
    </rPh>
    <rPh sb="6" eb="7">
      <t>ジ</t>
    </rPh>
    <rPh sb="8" eb="11">
      <t>ホショウショ</t>
    </rPh>
    <rPh sb="12" eb="14">
      <t>ハッコウ</t>
    </rPh>
    <rPh sb="17" eb="18">
      <t>イナ</t>
    </rPh>
    <rPh sb="20" eb="22">
      <t>セッテイ</t>
    </rPh>
    <rPh sb="26" eb="28">
      <t>タンピン</t>
    </rPh>
    <rPh sb="28" eb="30">
      <t>シテイ</t>
    </rPh>
    <phoneticPr fontId="6"/>
  </si>
  <si>
    <t>対象商品販売時、ポイント付与対象から除外するか否かを設定する
　NULL：上位参照
　0：ポイント対象
　1：ポイント対象外
※但し、WAONポイント除外対象は当項目の値を利用せずに実現している</t>
    <rPh sb="0" eb="2">
      <t>タイショウ</t>
    </rPh>
    <rPh sb="2" eb="4">
      <t>ショウヒン</t>
    </rPh>
    <rPh sb="4" eb="6">
      <t>ハンバイ</t>
    </rPh>
    <rPh sb="6" eb="7">
      <t>ジ</t>
    </rPh>
    <rPh sb="12" eb="14">
      <t>フヨ</t>
    </rPh>
    <rPh sb="14" eb="16">
      <t>タイショウ</t>
    </rPh>
    <rPh sb="18" eb="20">
      <t>ジョガイ</t>
    </rPh>
    <rPh sb="23" eb="24">
      <t>イナ</t>
    </rPh>
    <rPh sb="26" eb="28">
      <t>セッテイ</t>
    </rPh>
    <rPh sb="64" eb="65">
      <t>タダ</t>
    </rPh>
    <rPh sb="75" eb="77">
      <t>ジョガイ</t>
    </rPh>
    <rPh sb="77" eb="79">
      <t>タイショウ</t>
    </rPh>
    <rPh sb="80" eb="81">
      <t>トウ</t>
    </rPh>
    <rPh sb="81" eb="83">
      <t>コウモク</t>
    </rPh>
    <rPh sb="84" eb="85">
      <t>アタイ</t>
    </rPh>
    <rPh sb="86" eb="88">
      <t>リヨウ</t>
    </rPh>
    <rPh sb="91" eb="93">
      <t>ジツゲン</t>
    </rPh>
    <phoneticPr fontId="6"/>
  </si>
  <si>
    <t>ポイント率</t>
    <rPh sb="4" eb="5">
      <t>リツ</t>
    </rPh>
    <phoneticPr fontId="6"/>
  </si>
  <si>
    <t>原価率</t>
    <rPh sb="0" eb="2">
      <t>ゲンカ</t>
    </rPh>
    <rPh sb="2" eb="3">
      <t>リツ</t>
    </rPh>
    <phoneticPr fontId="6"/>
  </si>
  <si>
    <t>免税販売時、対象商品の免税種別を設定する
　NULL：上位参照
　1：消耗品
　2：一般品</t>
    <rPh sb="0" eb="2">
      <t>メンゼイ</t>
    </rPh>
    <rPh sb="2" eb="4">
      <t>ハンバイ</t>
    </rPh>
    <rPh sb="4" eb="5">
      <t>ジ</t>
    </rPh>
    <rPh sb="6" eb="8">
      <t>タイショウ</t>
    </rPh>
    <rPh sb="8" eb="10">
      <t>ショウヒン</t>
    </rPh>
    <rPh sb="11" eb="13">
      <t>メンゼイ</t>
    </rPh>
    <rPh sb="13" eb="15">
      <t>シュベツ</t>
    </rPh>
    <rPh sb="16" eb="18">
      <t>セッテイ</t>
    </rPh>
    <phoneticPr fontId="6"/>
  </si>
  <si>
    <t>MDHierarchyCode</t>
    <phoneticPr fontId="2"/>
  </si>
  <si>
    <t>MDHierarchyLevel</t>
    <phoneticPr fontId="2"/>
  </si>
  <si>
    <t>特売マスタ</t>
    <phoneticPr fontId="2"/>
  </si>
  <si>
    <t>SpecialPriceKsmMaster</t>
    <phoneticPr fontId="2"/>
  </si>
  <si>
    <t>スケジュール番号</t>
    <rPh sb="6" eb="8">
      <t>バンゴウ</t>
    </rPh>
    <phoneticPr fontId="7"/>
  </si>
  <si>
    <t>販促コード</t>
  </si>
  <si>
    <t>特売タイプコード</t>
    <rPh sb="0" eb="2">
      <t>トクバイ</t>
    </rPh>
    <phoneticPr fontId="7"/>
  </si>
  <si>
    <t>単品コード</t>
    <rPh sb="0" eb="2">
      <t>タンピン</t>
    </rPh>
    <phoneticPr fontId="7"/>
  </si>
  <si>
    <t>値引方法コード</t>
    <rPh sb="0" eb="2">
      <t>ネビ</t>
    </rPh>
    <phoneticPr fontId="7"/>
  </si>
  <si>
    <t>値引金額/率</t>
  </si>
  <si>
    <t>特売値段</t>
  </si>
  <si>
    <t>特売原価</t>
    <rPh sb="0" eb="2">
      <t>トクバイ</t>
    </rPh>
    <rPh sb="2" eb="4">
      <t>ゲンカ</t>
    </rPh>
    <phoneticPr fontId="7"/>
  </si>
  <si>
    <t>特売値入率</t>
    <rPh sb="0" eb="2">
      <t>トクバイ</t>
    </rPh>
    <rPh sb="3" eb="4">
      <t>ハイ</t>
    </rPh>
    <rPh sb="4" eb="5">
      <t>リツ</t>
    </rPh>
    <phoneticPr fontId="7"/>
  </si>
  <si>
    <t>名称</t>
  </si>
  <si>
    <t>開始日時</t>
  </si>
  <si>
    <t>終了日時</t>
  </si>
  <si>
    <t>採用曜日区分</t>
  </si>
  <si>
    <t>月曜日実施フラグ</t>
  </si>
  <si>
    <t>火曜日実施フラグ</t>
  </si>
  <si>
    <t>水曜日実施フラグ</t>
  </si>
  <si>
    <t>木曜日実施フラグ</t>
  </si>
  <si>
    <t>金曜日実施フラグ</t>
  </si>
  <si>
    <t>土曜日実施フラグ</t>
  </si>
  <si>
    <t>日曜日実施フラグ</t>
  </si>
  <si>
    <t>PromotionCode</t>
  </si>
  <si>
    <t>DiscountMethodCode</t>
  </si>
  <si>
    <t>DiscountValue</t>
  </si>
  <si>
    <t>SpecialPrice</t>
  </si>
  <si>
    <t>SpecialCostPrice</t>
  </si>
  <si>
    <t>SpecialMarkupRatio</t>
  </si>
  <si>
    <t>Name</t>
  </si>
  <si>
    <t>StartDateTime</t>
  </si>
  <si>
    <t>EndDateTime</t>
  </si>
  <si>
    <t>DateCategorizeTypeCode</t>
  </si>
  <si>
    <t>IsMonday</t>
  </si>
  <si>
    <t>IsTuesday</t>
  </si>
  <si>
    <t>IsWednesday</t>
  </si>
  <si>
    <t>IsThursday</t>
  </si>
  <si>
    <t>IsFriday</t>
  </si>
  <si>
    <t>IsSaturday</t>
  </si>
  <si>
    <t>IsSunday</t>
  </si>
  <si>
    <t>販促のスケジュール番号</t>
    <rPh sb="0" eb="2">
      <t>ハンソク</t>
    </rPh>
    <rPh sb="9" eb="11">
      <t>バンゴウ</t>
    </rPh>
    <phoneticPr fontId="5"/>
  </si>
  <si>
    <t>特売を管理する企画コードを設定する</t>
  </si>
  <si>
    <t>特売タイプを設定する
01：タイムサービス
02：期間特売</t>
    <rPh sb="0" eb="2">
      <t>トクバイ</t>
    </rPh>
    <rPh sb="6" eb="8">
      <t>セッテイ</t>
    </rPh>
    <phoneticPr fontId="5"/>
  </si>
  <si>
    <t>対象となる単品コードを設定する</t>
    <rPh sb="5" eb="7">
      <t>タンピン</t>
    </rPh>
    <phoneticPr fontId="5"/>
  </si>
  <si>
    <t>値引方法コードを設定する
　01：値引
　02：割引
　03：金額指定</t>
    <rPh sb="0" eb="2">
      <t>ネビキ</t>
    </rPh>
    <rPh sb="2" eb="4">
      <t>ホウホウ</t>
    </rPh>
    <rPh sb="8" eb="10">
      <t>セッテイ</t>
    </rPh>
    <rPh sb="17" eb="19">
      <t>ネビキ</t>
    </rPh>
    <rPh sb="24" eb="26">
      <t>ワリビキ</t>
    </rPh>
    <rPh sb="31" eb="33">
      <t>キンガク</t>
    </rPh>
    <rPh sb="33" eb="35">
      <t>シテイ</t>
    </rPh>
    <phoneticPr fontId="5"/>
  </si>
  <si>
    <t>特売商品販売時の販売単価/値引額/率（値引方法コードにより金額/割引率で意味が変わります）</t>
    <rPh sb="0" eb="2">
      <t>トクバイ</t>
    </rPh>
    <rPh sb="2" eb="4">
      <t>ショウヒン</t>
    </rPh>
    <rPh sb="4" eb="6">
      <t>ハンバイ</t>
    </rPh>
    <rPh sb="6" eb="7">
      <t>ドキ</t>
    </rPh>
    <rPh sb="8" eb="10">
      <t>ハンバイ</t>
    </rPh>
    <rPh sb="10" eb="12">
      <t>タンカ</t>
    </rPh>
    <rPh sb="13" eb="15">
      <t>ネビキ</t>
    </rPh>
    <rPh sb="15" eb="16">
      <t>ガク</t>
    </rPh>
    <rPh sb="17" eb="18">
      <t>リツ</t>
    </rPh>
    <rPh sb="19" eb="21">
      <t>ネビキ</t>
    </rPh>
    <rPh sb="21" eb="23">
      <t>ホウホウ</t>
    </rPh>
    <rPh sb="29" eb="31">
      <t>キンガク</t>
    </rPh>
    <rPh sb="32" eb="34">
      <t>ワリビキ</t>
    </rPh>
    <rPh sb="34" eb="35">
      <t>リツ</t>
    </rPh>
    <rPh sb="36" eb="38">
      <t>イミ</t>
    </rPh>
    <rPh sb="39" eb="40">
      <t>カ</t>
    </rPh>
    <phoneticPr fontId="5"/>
  </si>
  <si>
    <t>値引方法コードが01：値引、02：割引の場合、0を設定</t>
    <rPh sb="11" eb="13">
      <t>ネビキ</t>
    </rPh>
    <rPh sb="17" eb="19">
      <t>ワリビキ</t>
    </rPh>
    <rPh sb="20" eb="22">
      <t>バアイ</t>
    </rPh>
    <rPh sb="25" eb="27">
      <t>セッテイ</t>
    </rPh>
    <phoneticPr fontId="5"/>
  </si>
  <si>
    <t>特売商品の原価を設定する。
原価額ではなく値入率で管理する場合はNULLとする
※特売原価、特売値入率が未設定(NULL)の場合、商品マスタの原価、値入率が採用される</t>
    <rPh sb="21" eb="23">
      <t>ネイレ</t>
    </rPh>
    <rPh sb="23" eb="24">
      <t>リツ</t>
    </rPh>
    <rPh sb="41" eb="43">
      <t>トクバイ</t>
    </rPh>
    <rPh sb="46" eb="48">
      <t>トクバイ</t>
    </rPh>
    <rPh sb="48" eb="49">
      <t>ネ</t>
    </rPh>
    <rPh sb="49" eb="50">
      <t>イ</t>
    </rPh>
    <rPh sb="50" eb="51">
      <t>リツ</t>
    </rPh>
    <rPh sb="74" eb="75">
      <t>ネ</t>
    </rPh>
    <rPh sb="75" eb="76">
      <t>イ</t>
    </rPh>
    <rPh sb="76" eb="77">
      <t>リツ</t>
    </rPh>
    <phoneticPr fontId="5"/>
  </si>
  <si>
    <t>特売商品の粗利率を設定する（100-原価率)
値入率ではなく原価額で管理する場合はNULLとする
※特売原価、特売値入率が未設定(NULL)の場合、商品マスタの原価、値入率が採用される</t>
    <rPh sb="23" eb="25">
      <t>ネイレ</t>
    </rPh>
    <phoneticPr fontId="5"/>
  </si>
  <si>
    <t>特売商品の名称を設定する
画面、レシートにて使用</t>
    <rPh sb="0" eb="2">
      <t>トクバイ</t>
    </rPh>
    <rPh sb="2" eb="4">
      <t>ショウヒン</t>
    </rPh>
    <rPh sb="5" eb="7">
      <t>メイショウ</t>
    </rPh>
    <rPh sb="8" eb="10">
      <t>セッテイ</t>
    </rPh>
    <rPh sb="13" eb="15">
      <t>ガメン</t>
    </rPh>
    <rPh sb="22" eb="24">
      <t>シヨウ</t>
    </rPh>
    <phoneticPr fontId="5"/>
  </si>
  <si>
    <t>特売販売の開始日時（システム日時）を設定する_x000D_
"YYYY-MM-DD hh:mm:ss.sssssss"の形式で設定する</t>
  </si>
  <si>
    <t>特売販売の終了日時（システム日時）を設定する_x000D_
"YYYY-MM-DD hh:mm:ss.sssssss"の形式で設定する</t>
  </si>
  <si>
    <t>1：全曜日
2：曜日指定
※2以外の場合、月曜日フラグ～日曜日フラグの内容は無視する</t>
  </si>
  <si>
    <t>特売期間の内、月曜日に特売を行うか否かを設定する
　0：未実施
　1：実施</t>
    <rPh sb="0" eb="2">
      <t>トクバイ</t>
    </rPh>
    <rPh sb="2" eb="4">
      <t>キカン</t>
    </rPh>
    <rPh sb="5" eb="6">
      <t>ウチ</t>
    </rPh>
    <rPh sb="7" eb="10">
      <t>ゲツヨウビ</t>
    </rPh>
    <rPh sb="11" eb="13">
      <t>トクバイ</t>
    </rPh>
    <rPh sb="14" eb="15">
      <t>オコナ</t>
    </rPh>
    <rPh sb="17" eb="18">
      <t>イナ</t>
    </rPh>
    <rPh sb="20" eb="22">
      <t>セッテイ</t>
    </rPh>
    <rPh sb="28" eb="31">
      <t>ミジッシ</t>
    </rPh>
    <rPh sb="35" eb="37">
      <t>ジッシ</t>
    </rPh>
    <phoneticPr fontId="5"/>
  </si>
  <si>
    <t>特売期間の内、火曜日に特売を行うか否かを設定する
　0：未実施
　1：実施</t>
  </si>
  <si>
    <t>特売期間の内、水曜日に特売を行うか否かを設定する
　0：未実施
　1：実施</t>
  </si>
  <si>
    <t>特売期間の内、木曜日に特売を行うか否かを設定する
　0：未実施
　1：実施</t>
  </si>
  <si>
    <t>特売期間の内、金曜日に特売を行うか否かを設定する
　0：未実施
　1：実施</t>
  </si>
  <si>
    <t>特売期間の内、土曜日に特売を行うか否かを設定する
　0：未実施
　1：実施</t>
  </si>
  <si>
    <t>特売期間の内、日曜日に特売を行うか否かを設定する
　0：未実施
　1：実施</t>
    <rPh sb="7" eb="9">
      <t>ニチヨウ</t>
    </rPh>
    <phoneticPr fontId="5"/>
  </si>
  <si>
    <t>ScheduleNo</t>
    <phoneticPr fontId="2"/>
  </si>
  <si>
    <t>SpecialPriceTypeCode</t>
    <phoneticPr fontId="2"/>
  </si>
  <si>
    <t>CombinationKsmMaster</t>
    <phoneticPr fontId="2"/>
  </si>
  <si>
    <t>MMマスタ</t>
    <phoneticPr fontId="2"/>
  </si>
  <si>
    <t>ミックスマッチコード</t>
  </si>
  <si>
    <t>説明　（企画名称）</t>
    <rPh sb="0" eb="2">
      <t>セツメイ</t>
    </rPh>
    <rPh sb="4" eb="6">
      <t>キカク</t>
    </rPh>
    <rPh sb="6" eb="8">
      <t>メイショウ</t>
    </rPh>
    <phoneticPr fontId="7"/>
  </si>
  <si>
    <t>企画コード</t>
    <rPh sb="0" eb="2">
      <t>キカク</t>
    </rPh>
    <phoneticPr fontId="7"/>
  </si>
  <si>
    <t>ミックスマッチタイプ</t>
  </si>
  <si>
    <t>成立数１</t>
    <rPh sb="0" eb="2">
      <t>セイリツ</t>
    </rPh>
    <rPh sb="2" eb="3">
      <t>スウ</t>
    </rPh>
    <phoneticPr fontId="7"/>
  </si>
  <si>
    <t>成立価格１</t>
    <rPh sb="0" eb="2">
      <t>セイリツ</t>
    </rPh>
    <rPh sb="2" eb="4">
      <t>カカク</t>
    </rPh>
    <phoneticPr fontId="7"/>
  </si>
  <si>
    <t>成立後単品価格１</t>
    <rPh sb="0" eb="2">
      <t>セイリツ</t>
    </rPh>
    <rPh sb="2" eb="3">
      <t>ゴ</t>
    </rPh>
    <rPh sb="3" eb="5">
      <t>タンピン</t>
    </rPh>
    <rPh sb="5" eb="7">
      <t>カカク</t>
    </rPh>
    <phoneticPr fontId="7"/>
  </si>
  <si>
    <t>成立数２</t>
    <rPh sb="0" eb="2">
      <t>セイリツ</t>
    </rPh>
    <rPh sb="2" eb="3">
      <t>スウ</t>
    </rPh>
    <phoneticPr fontId="7"/>
  </si>
  <si>
    <t>成立価格２</t>
    <rPh sb="0" eb="2">
      <t>セイリツ</t>
    </rPh>
    <rPh sb="2" eb="4">
      <t>カカク</t>
    </rPh>
    <phoneticPr fontId="7"/>
  </si>
  <si>
    <t>成立後単品価格２</t>
    <rPh sb="0" eb="2">
      <t>セイリツ</t>
    </rPh>
    <rPh sb="2" eb="3">
      <t>ゴ</t>
    </rPh>
    <rPh sb="3" eb="5">
      <t>タンピン</t>
    </rPh>
    <rPh sb="5" eb="7">
      <t>カカク</t>
    </rPh>
    <phoneticPr fontId="7"/>
  </si>
  <si>
    <t>成立数３</t>
    <rPh sb="0" eb="2">
      <t>セイリツ</t>
    </rPh>
    <rPh sb="2" eb="3">
      <t>スウ</t>
    </rPh>
    <phoneticPr fontId="7"/>
  </si>
  <si>
    <t>成立価格３</t>
    <rPh sb="0" eb="2">
      <t>セイリツ</t>
    </rPh>
    <rPh sb="2" eb="4">
      <t>カカク</t>
    </rPh>
    <phoneticPr fontId="7"/>
  </si>
  <si>
    <t>成立後単品価格３</t>
    <rPh sb="0" eb="2">
      <t>セイリツ</t>
    </rPh>
    <rPh sb="2" eb="3">
      <t>ゴ</t>
    </rPh>
    <rPh sb="3" eb="5">
      <t>タンピン</t>
    </rPh>
    <rPh sb="5" eb="7">
      <t>カカク</t>
    </rPh>
    <phoneticPr fontId="7"/>
  </si>
  <si>
    <t>成立数４</t>
    <rPh sb="0" eb="2">
      <t>セイリツ</t>
    </rPh>
    <rPh sb="2" eb="3">
      <t>スウ</t>
    </rPh>
    <phoneticPr fontId="7"/>
  </si>
  <si>
    <t>成立価格４</t>
    <rPh sb="0" eb="2">
      <t>セイリツ</t>
    </rPh>
    <rPh sb="2" eb="4">
      <t>カカク</t>
    </rPh>
    <phoneticPr fontId="7"/>
  </si>
  <si>
    <t>成立後単品価格４</t>
    <rPh sb="0" eb="2">
      <t>セイリツ</t>
    </rPh>
    <rPh sb="2" eb="3">
      <t>ゴ</t>
    </rPh>
    <rPh sb="3" eb="5">
      <t>タンピン</t>
    </rPh>
    <rPh sb="5" eb="7">
      <t>カカク</t>
    </rPh>
    <phoneticPr fontId="7"/>
  </si>
  <si>
    <t>成立数５</t>
    <rPh sb="0" eb="2">
      <t>セイリツ</t>
    </rPh>
    <rPh sb="2" eb="3">
      <t>スウ</t>
    </rPh>
    <phoneticPr fontId="7"/>
  </si>
  <si>
    <t>成立価格５</t>
    <rPh sb="0" eb="2">
      <t>セイリツ</t>
    </rPh>
    <rPh sb="2" eb="4">
      <t>カカク</t>
    </rPh>
    <phoneticPr fontId="7"/>
  </si>
  <si>
    <t>成立後単品価格５</t>
    <rPh sb="0" eb="2">
      <t>セイリツ</t>
    </rPh>
    <rPh sb="2" eb="3">
      <t>ゴ</t>
    </rPh>
    <rPh sb="3" eb="5">
      <t>タンピン</t>
    </rPh>
    <rPh sb="5" eb="7">
      <t>カカク</t>
    </rPh>
    <phoneticPr fontId="7"/>
  </si>
  <si>
    <t>ＰＭ成立価格</t>
    <rPh sb="2" eb="4">
      <t>セイリツ</t>
    </rPh>
    <rPh sb="4" eb="6">
      <t>カカク</t>
    </rPh>
    <phoneticPr fontId="7"/>
  </si>
  <si>
    <t>CombinationCode</t>
  </si>
  <si>
    <t>CombinationType</t>
  </si>
  <si>
    <t>CombinationCount1</t>
  </si>
  <si>
    <t>CombinationPrice1</t>
  </si>
  <si>
    <t>CombinationOnePrice1</t>
  </si>
  <si>
    <t>CombinationCount2</t>
  </si>
  <si>
    <t>CombinationPrice2</t>
  </si>
  <si>
    <t>CombinationOnePrice2</t>
  </si>
  <si>
    <t>CombinationCount3</t>
  </si>
  <si>
    <t>CombinationPrice3</t>
  </si>
  <si>
    <t>CombinationOnePrice3</t>
  </si>
  <si>
    <t>CombinationCount4</t>
  </si>
  <si>
    <t>CombinationPrice4</t>
  </si>
  <si>
    <t>CombinationOnePrice4</t>
  </si>
  <si>
    <t>CombinationCount5</t>
  </si>
  <si>
    <t>CombinationPrice5</t>
  </si>
  <si>
    <t>CombinationOnePrice5</t>
  </si>
  <si>
    <t>PairMatchCombinationPrice</t>
  </si>
  <si>
    <t>ミックスマッチを管理するコードを設定する
※以降、企画販売と記載する</t>
    <rPh sb="8" eb="10">
      <t>カンリ</t>
    </rPh>
    <rPh sb="16" eb="18">
      <t>セッテイ</t>
    </rPh>
    <rPh sb="22" eb="24">
      <t>イコウ</t>
    </rPh>
    <rPh sb="25" eb="27">
      <t>キカク</t>
    </rPh>
    <rPh sb="27" eb="29">
      <t>ハンバイ</t>
    </rPh>
    <rPh sb="30" eb="32">
      <t>キサイ</t>
    </rPh>
    <phoneticPr fontId="6"/>
  </si>
  <si>
    <t>30桁（全角名称15文字）</t>
    <rPh sb="2" eb="3">
      <t>ケタ</t>
    </rPh>
    <phoneticPr fontId="6"/>
  </si>
  <si>
    <t>企画販売を管理する企画コードを設定する</t>
    <rPh sb="0" eb="2">
      <t>キカク</t>
    </rPh>
    <rPh sb="2" eb="4">
      <t>ハンバイ</t>
    </rPh>
    <rPh sb="5" eb="7">
      <t>カンリ</t>
    </rPh>
    <rPh sb="9" eb="11">
      <t>キカク</t>
    </rPh>
    <rPh sb="15" eb="17">
      <t>セッテイ</t>
    </rPh>
    <phoneticPr fontId="6"/>
  </si>
  <si>
    <t>1桁
2：バンドルミックス
3：ペアマッチ…未使用</t>
    <rPh sb="22" eb="25">
      <t>ミシヨウ</t>
    </rPh>
    <phoneticPr fontId="6"/>
  </si>
  <si>
    <t>企画販売の開始日（システム日付）を設定する
"YYYY-MM-DD hh:mm:ss.sssssss"の形式で設定する</t>
    <rPh sb="0" eb="2">
      <t>キカク</t>
    </rPh>
    <rPh sb="2" eb="4">
      <t>ハンバイ</t>
    </rPh>
    <rPh sb="5" eb="8">
      <t>カイシヒ</t>
    </rPh>
    <rPh sb="13" eb="15">
      <t>ヒヅケ</t>
    </rPh>
    <rPh sb="17" eb="19">
      <t>セッテイ</t>
    </rPh>
    <phoneticPr fontId="6"/>
  </si>
  <si>
    <t>企画販売の終了日（システム日付）を設定する
"YYYY-MM-DD hh:mm:ss.sssssss"の形式で設定する</t>
    <rPh sb="5" eb="7">
      <t>シュウリョウ</t>
    </rPh>
    <rPh sb="13" eb="15">
      <t>ヒヅケ</t>
    </rPh>
    <phoneticPr fontId="6"/>
  </si>
  <si>
    <t>１段階目のバンドルが成立する個数</t>
    <rPh sb="1" eb="3">
      <t>ダンカイ</t>
    </rPh>
    <rPh sb="3" eb="4">
      <t>メ</t>
    </rPh>
    <rPh sb="10" eb="12">
      <t>セイリツ</t>
    </rPh>
    <rPh sb="14" eb="16">
      <t>コスウ</t>
    </rPh>
    <phoneticPr fontId="6"/>
  </si>
  <si>
    <t>１段階目のバンドルが成立した場合の販売金額</t>
    <rPh sb="1" eb="3">
      <t>ダンカイ</t>
    </rPh>
    <rPh sb="3" eb="4">
      <t>メ</t>
    </rPh>
    <rPh sb="10" eb="12">
      <t>セイリツ</t>
    </rPh>
    <rPh sb="14" eb="16">
      <t>バアイ</t>
    </rPh>
    <rPh sb="17" eb="19">
      <t>ハンバイ</t>
    </rPh>
    <rPh sb="19" eb="21">
      <t>キンガク</t>
    </rPh>
    <phoneticPr fontId="6"/>
  </si>
  <si>
    <t>１段階目のバンドルの溢れ単品価格</t>
    <rPh sb="10" eb="11">
      <t>アフ</t>
    </rPh>
    <rPh sb="12" eb="14">
      <t>タンピン</t>
    </rPh>
    <rPh sb="14" eb="16">
      <t>カカク</t>
    </rPh>
    <phoneticPr fontId="6"/>
  </si>
  <si>
    <t>２段階目のバンドルが成立する個数</t>
    <rPh sb="1" eb="3">
      <t>ダンカイ</t>
    </rPh>
    <rPh sb="3" eb="4">
      <t>メ</t>
    </rPh>
    <rPh sb="10" eb="12">
      <t>セイリツ</t>
    </rPh>
    <rPh sb="14" eb="16">
      <t>コスウ</t>
    </rPh>
    <phoneticPr fontId="6"/>
  </si>
  <si>
    <t>２段階目のバンドルが成立した場合の販売金額</t>
    <rPh sb="1" eb="3">
      <t>ダンカイ</t>
    </rPh>
    <rPh sb="3" eb="4">
      <t>メ</t>
    </rPh>
    <rPh sb="10" eb="12">
      <t>セイリツ</t>
    </rPh>
    <rPh sb="14" eb="16">
      <t>バアイ</t>
    </rPh>
    <rPh sb="17" eb="19">
      <t>ハンバイ</t>
    </rPh>
    <rPh sb="19" eb="21">
      <t>キンガク</t>
    </rPh>
    <phoneticPr fontId="6"/>
  </si>
  <si>
    <t>２段階目のバンドルの溢れ単品価格</t>
    <rPh sb="10" eb="11">
      <t>アフ</t>
    </rPh>
    <rPh sb="12" eb="14">
      <t>タンピン</t>
    </rPh>
    <rPh sb="14" eb="16">
      <t>カカク</t>
    </rPh>
    <phoneticPr fontId="6"/>
  </si>
  <si>
    <t>３段階目のバンドルが成立する個数…未使用</t>
    <rPh sb="1" eb="3">
      <t>ダンカイ</t>
    </rPh>
    <rPh sb="3" eb="4">
      <t>メ</t>
    </rPh>
    <rPh sb="10" eb="12">
      <t>セイリツ</t>
    </rPh>
    <rPh sb="14" eb="16">
      <t>コスウ</t>
    </rPh>
    <rPh sb="17" eb="20">
      <t>ミシヨウ</t>
    </rPh>
    <phoneticPr fontId="6"/>
  </si>
  <si>
    <t>３段階目のバンドルが成立した場合の販売金額…未使用</t>
    <rPh sb="1" eb="3">
      <t>ダンカイ</t>
    </rPh>
    <rPh sb="3" eb="4">
      <t>メ</t>
    </rPh>
    <rPh sb="10" eb="12">
      <t>セイリツ</t>
    </rPh>
    <rPh sb="14" eb="16">
      <t>バアイ</t>
    </rPh>
    <rPh sb="17" eb="19">
      <t>ハンバイ</t>
    </rPh>
    <rPh sb="19" eb="21">
      <t>キンガク</t>
    </rPh>
    <phoneticPr fontId="6"/>
  </si>
  <si>
    <t>３段階目のバンドルの溢れ単品価格…未使用</t>
    <rPh sb="10" eb="11">
      <t>アフ</t>
    </rPh>
    <rPh sb="12" eb="14">
      <t>タンピン</t>
    </rPh>
    <rPh sb="14" eb="16">
      <t>カカク</t>
    </rPh>
    <phoneticPr fontId="6"/>
  </si>
  <si>
    <t>４段階目のバンドルが成立する個数…未使用</t>
    <rPh sb="1" eb="3">
      <t>ダンカイ</t>
    </rPh>
    <rPh sb="3" eb="4">
      <t>メ</t>
    </rPh>
    <rPh sb="10" eb="12">
      <t>セイリツ</t>
    </rPh>
    <rPh sb="14" eb="16">
      <t>コスウ</t>
    </rPh>
    <phoneticPr fontId="6"/>
  </si>
  <si>
    <t>４段階目のバンドルが成立した場合の販売金額…未使用</t>
    <rPh sb="1" eb="3">
      <t>ダンカイ</t>
    </rPh>
    <rPh sb="3" eb="4">
      <t>メ</t>
    </rPh>
    <rPh sb="10" eb="12">
      <t>セイリツ</t>
    </rPh>
    <rPh sb="14" eb="16">
      <t>バアイ</t>
    </rPh>
    <rPh sb="17" eb="19">
      <t>ハンバイ</t>
    </rPh>
    <rPh sb="19" eb="21">
      <t>キンガク</t>
    </rPh>
    <phoneticPr fontId="6"/>
  </si>
  <si>
    <t>４段階目のバンドルの溢れ単品価格…未使用</t>
    <rPh sb="10" eb="11">
      <t>アフ</t>
    </rPh>
    <rPh sb="12" eb="14">
      <t>タンピン</t>
    </rPh>
    <rPh sb="14" eb="16">
      <t>カカク</t>
    </rPh>
    <phoneticPr fontId="6"/>
  </si>
  <si>
    <t>５段階目のバンドルが成立する個数…未使用</t>
    <rPh sb="1" eb="3">
      <t>ダンカイ</t>
    </rPh>
    <rPh sb="3" eb="4">
      <t>メ</t>
    </rPh>
    <rPh sb="10" eb="12">
      <t>セイリツ</t>
    </rPh>
    <rPh sb="14" eb="16">
      <t>コスウ</t>
    </rPh>
    <phoneticPr fontId="6"/>
  </si>
  <si>
    <t>５段階目のバンドルが成立した場合の販売金額…未使用</t>
    <rPh sb="1" eb="3">
      <t>ダンカイ</t>
    </rPh>
    <rPh sb="3" eb="4">
      <t>メ</t>
    </rPh>
    <rPh sb="10" eb="12">
      <t>セイリツ</t>
    </rPh>
    <rPh sb="14" eb="16">
      <t>バアイ</t>
    </rPh>
    <rPh sb="17" eb="19">
      <t>ハンバイ</t>
    </rPh>
    <rPh sb="19" eb="21">
      <t>キンガク</t>
    </rPh>
    <phoneticPr fontId="6"/>
  </si>
  <si>
    <t>５段階目のバンドルの溢れ単品価格…未使用</t>
    <rPh sb="10" eb="11">
      <t>アフ</t>
    </rPh>
    <rPh sb="12" eb="14">
      <t>タンピン</t>
    </rPh>
    <rPh sb="14" eb="16">
      <t>カカク</t>
    </rPh>
    <phoneticPr fontId="6"/>
  </si>
  <si>
    <t>ペアマッチが成立した場合の販売金額</t>
    <rPh sb="6" eb="8">
      <t>セイリツ</t>
    </rPh>
    <rPh sb="10" eb="12">
      <t>バアイ</t>
    </rPh>
    <rPh sb="13" eb="15">
      <t>ハンバイ</t>
    </rPh>
    <rPh sb="15" eb="17">
      <t>キンガク</t>
    </rPh>
    <phoneticPr fontId="6"/>
  </si>
  <si>
    <t>企画販売期間の内、企画販売を行う特定曜日を指定するか否かを設定する
　1：全曜日
　2：曜日指定
　　※2以外の場合、月曜日フラグ～日曜日フラグの内容は無視する</t>
    <rPh sb="0" eb="2">
      <t>キカク</t>
    </rPh>
    <rPh sb="2" eb="4">
      <t>ハンバイ</t>
    </rPh>
    <rPh sb="9" eb="11">
      <t>キカク</t>
    </rPh>
    <phoneticPr fontId="6"/>
  </si>
  <si>
    <t>企画販売期間の内、月曜日に企画販売を行うか否かを設定する
　0：未実施
　1：実施</t>
    <rPh sb="13" eb="15">
      <t>キカク</t>
    </rPh>
    <rPh sb="15" eb="17">
      <t>ハンバイ</t>
    </rPh>
    <phoneticPr fontId="6"/>
  </si>
  <si>
    <t>企画販売期間の内、火曜日に企画販売を行うか否かを設定する
　0：未実施
　1：実施</t>
  </si>
  <si>
    <t>企画販売期間の内、水曜日に企画販売を行うか否かを設定する
　0：未実施
　1：実施</t>
  </si>
  <si>
    <t>企画販売期間の内、木曜日に企画販売を行うか否かを設定する
　0：未実施
　1：実施</t>
  </si>
  <si>
    <t>企画販売期間の内、金曜日に企画販売を行うか否かを設定する
　0：未実施
　1：実施</t>
  </si>
  <si>
    <t>企画販売期間の内、土曜日に企画販売を行うか否かを設定する
　0：未実施
　1：実施</t>
  </si>
  <si>
    <t>企画販売期間の内、日曜日に企画販売を行うか否かを設定する
　0：未実施
　1：実施</t>
    <rPh sb="9" eb="11">
      <t>ニチヨウ</t>
    </rPh>
    <phoneticPr fontId="6"/>
  </si>
  <si>
    <t>smallint</t>
  </si>
  <si>
    <t>CombinationCode</t>
    <phoneticPr fontId="2"/>
  </si>
  <si>
    <t>`CLASS` VARCHAR ( 1 ) NOT NULL COMMENT '処理区分',</t>
  </si>
  <si>
    <t xml:space="preserve"> </t>
    <phoneticPr fontId="2"/>
  </si>
  <si>
    <t>MM商品マスタ</t>
    <phoneticPr fontId="2"/>
  </si>
  <si>
    <t>CombinationItemKsmMaster</t>
    <phoneticPr fontId="2"/>
  </si>
  <si>
    <t>CategoryCode</t>
  </si>
  <si>
    <t>CombinationCostPrice</t>
  </si>
  <si>
    <t>PairMatchQuantity</t>
  </si>
  <si>
    <t>ミックスマッチ成立時原価</t>
    <rPh sb="7" eb="9">
      <t>セイリツ</t>
    </rPh>
    <rPh sb="9" eb="10">
      <t>ジ</t>
    </rPh>
    <rPh sb="10" eb="12">
      <t>ゲンカ</t>
    </rPh>
    <phoneticPr fontId="6"/>
  </si>
  <si>
    <t>ペアマッチ成立点数</t>
    <rPh sb="5" eb="7">
      <t>セイリツ</t>
    </rPh>
    <phoneticPr fontId="6"/>
  </si>
  <si>
    <t>企画販売の対象商品郡を管理するコードを設定する</t>
  </si>
  <si>
    <t>対象となる単品コードを設定する</t>
  </si>
  <si>
    <t>対象商品に設定されている親コードを設定する</t>
    <rPh sb="0" eb="2">
      <t>タイショウ</t>
    </rPh>
    <rPh sb="2" eb="4">
      <t>ショウヒン</t>
    </rPh>
    <rPh sb="5" eb="7">
      <t>セッテイ</t>
    </rPh>
    <rPh sb="17" eb="19">
      <t>セッテイ</t>
    </rPh>
    <phoneticPr fontId="6"/>
  </si>
  <si>
    <t>ミックスマッチ成立時の商品原価を設定する
※ミックスマッチ成立時原価が未設定(NULL)の場合、商品マスタの原価が採用される</t>
  </si>
  <si>
    <t>ペアマッチ販売成立条件</t>
    <rPh sb="5" eb="7">
      <t>ハンバイ</t>
    </rPh>
    <rPh sb="7" eb="9">
      <t>セイリツ</t>
    </rPh>
    <rPh sb="9" eb="11">
      <t>ジョウケン</t>
    </rPh>
    <phoneticPr fontId="6"/>
  </si>
  <si>
    <t>) ENGINE=InnoDB DEFAULT CHARSET=utf8;</t>
    <phoneticPr fontId="2"/>
  </si>
  <si>
    <t>MD階層値引マスタ（TBP用）</t>
    <phoneticPr fontId="2"/>
  </si>
  <si>
    <t>DiscountMDHierarchyMVKMaster</t>
    <phoneticPr fontId="2"/>
  </si>
  <si>
    <t>MD階層自動値引コード</t>
    <rPh sb="6" eb="8">
      <t>ネビ</t>
    </rPh>
    <phoneticPr fontId="7"/>
  </si>
  <si>
    <t>説明</t>
    <rPh sb="0" eb="2">
      <t>セツメイ</t>
    </rPh>
    <phoneticPr fontId="7"/>
  </si>
  <si>
    <t>MD階層コード</t>
  </si>
  <si>
    <t>MD階層レベル</t>
  </si>
  <si>
    <t>値引タイプコード</t>
  </si>
  <si>
    <t>適用開始日時</t>
    <rPh sb="0" eb="2">
      <t>テキヨウ</t>
    </rPh>
    <rPh sb="2" eb="4">
      <t>カイシ</t>
    </rPh>
    <rPh sb="4" eb="6">
      <t>ニチジ</t>
    </rPh>
    <phoneticPr fontId="7"/>
  </si>
  <si>
    <t>開始サービス時間</t>
  </si>
  <si>
    <t>終了サービス時間</t>
  </si>
  <si>
    <t>プロモーションタイプ</t>
  </si>
  <si>
    <t>プロモーション名称</t>
  </si>
  <si>
    <t>割引優先度</t>
  </si>
  <si>
    <t>支払制限パターン</t>
  </si>
  <si>
    <t>DiscountTypeCode</t>
  </si>
  <si>
    <t>ApplyDateTime</t>
  </si>
  <si>
    <t>StartServiceTime</t>
  </si>
  <si>
    <t>EndServiceTime</t>
  </si>
  <si>
    <t>PromotionType</t>
  </si>
  <si>
    <t>LongDescription</t>
  </si>
  <si>
    <t>DiscountPriority</t>
  </si>
  <si>
    <t>PaymentLimitPattern</t>
  </si>
  <si>
    <t>MD階層自動値下コード</t>
  </si>
  <si>
    <t>MD階層自動値下名称</t>
  </si>
  <si>
    <t>自動値下対象のMD階層コード</t>
  </si>
  <si>
    <t>自動値下対象のMD階層レベル</t>
  </si>
  <si>
    <t>企画コード（企画マスタ参照等はなし）</t>
    <rPh sb="6" eb="8">
      <t>キカク</t>
    </rPh>
    <rPh sb="11" eb="13">
      <t>サンショウ</t>
    </rPh>
    <rPh sb="13" eb="14">
      <t>トウ</t>
    </rPh>
    <phoneticPr fontId="6"/>
  </si>
  <si>
    <t>値引タイプコード（DiscountTypeMasterを参照）</t>
    <rPh sb="0" eb="2">
      <t>ネビ</t>
    </rPh>
    <phoneticPr fontId="6"/>
  </si>
  <si>
    <r>
      <t xml:space="preserve">値引方法コード（DiscountMethodMasterを参照　01：値引　02：割引　03：金額指定）
</t>
    </r>
    <r>
      <rPr>
        <sz val="11"/>
        <color theme="1"/>
        <rFont val="MS UI Gothic"/>
        <family val="3"/>
        <charset val="128"/>
      </rPr>
      <t>※03：金額指定 未対応</t>
    </r>
    <rPh sb="0" eb="2">
      <t>ネビ</t>
    </rPh>
    <rPh sb="57" eb="59">
      <t>キンガク</t>
    </rPh>
    <rPh sb="59" eb="61">
      <t>シテイ</t>
    </rPh>
    <rPh sb="62" eb="65">
      <t>ミタイオウ</t>
    </rPh>
    <phoneticPr fontId="6"/>
  </si>
  <si>
    <t>値引金額/率（値引方法コードにより金額/割引率で意味が変わります）</t>
    <rPh sb="0" eb="2">
      <t>ネビ</t>
    </rPh>
    <phoneticPr fontId="6"/>
  </si>
  <si>
    <t>適用開始日時</t>
    <rPh sb="0" eb="2">
      <t>テキヨウ</t>
    </rPh>
    <rPh sb="2" eb="4">
      <t>カイシ</t>
    </rPh>
    <rPh sb="4" eb="6">
      <t>ニチジ</t>
    </rPh>
    <phoneticPr fontId="6"/>
  </si>
  <si>
    <t>サービス開始時間（例：タイムセール開始時間を指定する）※未対応(開始日時で時間部分も判定している)</t>
    <rPh sb="28" eb="31">
      <t>ミタイオウ</t>
    </rPh>
    <rPh sb="32" eb="34">
      <t>カイシ</t>
    </rPh>
    <rPh sb="34" eb="36">
      <t>ニチジ</t>
    </rPh>
    <rPh sb="37" eb="39">
      <t>ジカン</t>
    </rPh>
    <rPh sb="39" eb="41">
      <t>ブブン</t>
    </rPh>
    <rPh sb="42" eb="44">
      <t>ハンテイ</t>
    </rPh>
    <phoneticPr fontId="6"/>
  </si>
  <si>
    <t>サービス終了時間（例：タイムセール終了時間を指定する）※未対応(終了日時で時間部分も判定している)</t>
    <rPh sb="28" eb="31">
      <t>ミタイオウ</t>
    </rPh>
    <rPh sb="32" eb="34">
      <t>シュウリョウ</t>
    </rPh>
    <rPh sb="34" eb="36">
      <t>ニチジ</t>
    </rPh>
    <rPh sb="37" eb="39">
      <t>ジカン</t>
    </rPh>
    <rPh sb="39" eb="41">
      <t>ブブン</t>
    </rPh>
    <rPh sb="42" eb="44">
      <t>ハンテイ</t>
    </rPh>
    <phoneticPr fontId="6"/>
  </si>
  <si>
    <t>"1：全曜日
2：曜日指定
※2以外の場合、月曜日フラグ～日曜日フラグの内容は無視する"</t>
  </si>
  <si>
    <t>月曜日実施フラグ（Ｔｒｕｅ：実施　False：未実施）</t>
  </si>
  <si>
    <t>火曜日実施フラグ（Ｔｒｕｅ：実施　False：未実施）</t>
  </si>
  <si>
    <t>水曜日実施フラグ（Ｔｒｕｅ：実施　False：未実施）</t>
  </si>
  <si>
    <t>木曜日実施フラグ（Ｔｒｕｅ：実施　False：未実施）</t>
  </si>
  <si>
    <t>金曜日実施フラグ（Ｔｒｕｅ：実施　False：未実施）</t>
  </si>
  <si>
    <t>土曜日実施フラグ（Ｔｒｕｅ：実施　False：未実施）</t>
  </si>
  <si>
    <t>日曜日実施フラグ（Ｔｒｕｅ：実施　False：未実施）</t>
  </si>
  <si>
    <t>101：一般プロモーション、104～106：会員プロモーション（104：キー、105：MSR、106：バーコード）</t>
    <rPh sb="4" eb="6">
      <t>イッパン</t>
    </rPh>
    <phoneticPr fontId="6"/>
  </si>
  <si>
    <t>1, 5, 10, 15, 20, 0　のどれか一つ。※優先順は昇順であるが0は最弱。　（TBP会員のみ使用）</t>
    <rPh sb="24" eb="25">
      <t>ヒト</t>
    </rPh>
    <rPh sb="32" eb="34">
      <t>ショウジュン</t>
    </rPh>
    <rPh sb="40" eb="42">
      <t>サイジャク</t>
    </rPh>
    <rPh sb="48" eb="50">
      <t>カイイン</t>
    </rPh>
    <rPh sb="52" eb="54">
      <t>シヨウ</t>
    </rPh>
    <phoneticPr fontId="6"/>
  </si>
  <si>
    <t>0：すべて、1：イオンカード限定パターン、2：特定WAONパターン、4：感謝デーパターン、8：イオンカード＋ＷＡＯＮ</t>
  </si>
  <si>
    <t>time</t>
  </si>
  <si>
    <t>DiscountMDHierarchyCode</t>
    <phoneticPr fontId="2"/>
  </si>
  <si>
    <t>PromotionCode</t>
    <phoneticPr fontId="2"/>
  </si>
  <si>
    <t>EmployeeCode</t>
  </si>
  <si>
    <t>EmployeeRoleCode</t>
  </si>
  <si>
    <t>Namekana</t>
  </si>
  <si>
    <t>従業員コード</t>
  </si>
  <si>
    <t>従業員役職コード</t>
  </si>
  <si>
    <t>従業員名</t>
  </si>
  <si>
    <t>カナ名称</t>
  </si>
  <si>
    <t>従業員区分説明</t>
  </si>
  <si>
    <t>企業コード</t>
    <rPh sb="0" eb="2">
      <t>キギョウ</t>
    </rPh>
    <phoneticPr fontId="6"/>
  </si>
  <si>
    <t>0:特権
3:クライアントジャーナル照会権限
4:クライアントメンテ権限
5:クライアント照会権限
9:なし</t>
  </si>
  <si>
    <t>EmployeeMaster</t>
    <phoneticPr fontId="2"/>
  </si>
  <si>
    <t>EmployeeCode</t>
    <phoneticPr fontId="2"/>
  </si>
  <si>
    <t>担当者拡張マスタ</t>
    <phoneticPr fontId="2"/>
  </si>
  <si>
    <t>EmployeeExMVKMaster</t>
    <phoneticPr fontId="2"/>
  </si>
  <si>
    <t>Password</t>
  </si>
  <si>
    <t>パスワード</t>
  </si>
  <si>
    <t>税コードマスタ</t>
    <phoneticPr fontId="2"/>
  </si>
  <si>
    <t>TaxCodeMaster</t>
    <phoneticPr fontId="2"/>
  </si>
  <si>
    <t>TaxType</t>
  </si>
  <si>
    <t>Rate</t>
  </si>
  <si>
    <t>RoundDigit</t>
  </si>
  <si>
    <t>RoundMethod</t>
  </si>
  <si>
    <t>税コード</t>
  </si>
  <si>
    <t>税タイプ</t>
  </si>
  <si>
    <t>レート</t>
  </si>
  <si>
    <t>説明</t>
  </si>
  <si>
    <t>丸め桁</t>
  </si>
  <si>
    <t>丸め方法</t>
  </si>
  <si>
    <t>『設定値』シート参照</t>
  </si>
  <si>
    <t>TaxCode</t>
    <phoneticPr fontId="2"/>
  </si>
  <si>
    <t>税グループ詳細マスタ</t>
    <phoneticPr fontId="2"/>
  </si>
  <si>
    <t>TaxGroupDetailMaster</t>
    <phoneticPr fontId="2"/>
  </si>
  <si>
    <t>税グループ詳細コード</t>
    <rPh sb="0" eb="1">
      <t>ゼイ</t>
    </rPh>
    <rPh sb="5" eb="7">
      <t>ショウサイ</t>
    </rPh>
    <phoneticPr fontId="6"/>
  </si>
  <si>
    <t>税コード</t>
    <rPh sb="0" eb="1">
      <t>ゼイ</t>
    </rPh>
    <phoneticPr fontId="6"/>
  </si>
  <si>
    <t>TaxGroupDetailCode</t>
  </si>
  <si>
    <t>TaxGroupDetailCode</t>
    <phoneticPr fontId="2"/>
  </si>
  <si>
    <t>税グループマスタ</t>
    <phoneticPr fontId="2"/>
  </si>
  <si>
    <t>TaxGroupMaster</t>
    <phoneticPr fontId="2"/>
  </si>
  <si>
    <t>税提供開始日</t>
    <rPh sb="0" eb="1">
      <t>ゼイ</t>
    </rPh>
    <rPh sb="1" eb="3">
      <t>テイキョウ</t>
    </rPh>
    <rPh sb="3" eb="6">
      <t>カイシビ</t>
    </rPh>
    <phoneticPr fontId="6"/>
  </si>
  <si>
    <t>税グループ詳細コード</t>
    <rPh sb="5" eb="7">
      <t>ショウサイ</t>
    </rPh>
    <phoneticPr fontId="6"/>
  </si>
  <si>
    <t>StartDate</t>
  </si>
  <si>
    <t>TaxGroupCode</t>
    <phoneticPr fontId="2"/>
  </si>
  <si>
    <t>StartDate</t>
    <phoneticPr fontId="2"/>
  </si>
  <si>
    <t>税種別</t>
  </si>
  <si>
    <t>TaxTypeMaster</t>
    <phoneticPr fontId="2"/>
  </si>
  <si>
    <t>税タイプマスタ</t>
    <phoneticPr fontId="2"/>
  </si>
  <si>
    <t>TaxType</t>
    <phoneticPr fontId="2"/>
  </si>
  <si>
    <t>軽減税率マスタ</t>
    <phoneticPr fontId="2"/>
  </si>
  <si>
    <t>ReducedTaxRateMaster</t>
    <phoneticPr fontId="2"/>
  </si>
  <si>
    <t>IsReducedTaxRate</t>
  </si>
  <si>
    <t>軽減税率対象フラグ</t>
    <rPh sb="0" eb="2">
      <t>ケイゲン</t>
    </rPh>
    <rPh sb="2" eb="4">
      <t>ゼイリツ</t>
    </rPh>
    <rPh sb="4" eb="6">
      <t>タイショウ</t>
    </rPh>
    <phoneticPr fontId="0"/>
  </si>
  <si>
    <t>変更先税グループコード</t>
    <rPh sb="0" eb="2">
      <t>ヘンコウ</t>
    </rPh>
    <rPh sb="2" eb="3">
      <t>サキ</t>
    </rPh>
    <rPh sb="3" eb="4">
      <t>ゼイ</t>
    </rPh>
    <phoneticPr fontId="0"/>
  </si>
  <si>
    <t>Trueの場合、レシートに軽減税率マークを印字する</t>
    <rPh sb="5" eb="7">
      <t>バアイ</t>
    </rPh>
    <rPh sb="13" eb="15">
      <t>ケイゲン</t>
    </rPh>
    <rPh sb="15" eb="17">
      <t>ゼイリツ</t>
    </rPh>
    <rPh sb="21" eb="23">
      <t>インジ</t>
    </rPh>
    <phoneticPr fontId="0"/>
  </si>
  <si>
    <t>税率変更機能で利用(ここで設定された税グループコードに変更する)</t>
    <rPh sb="0" eb="2">
      <t>ゼイリツ</t>
    </rPh>
    <rPh sb="2" eb="4">
      <t>ヘンコウ</t>
    </rPh>
    <rPh sb="4" eb="6">
      <t>キノウ</t>
    </rPh>
    <rPh sb="7" eb="9">
      <t>リヨウ</t>
    </rPh>
    <rPh sb="13" eb="15">
      <t>セッテイ</t>
    </rPh>
    <rPh sb="18" eb="19">
      <t>ゼイ</t>
    </rPh>
    <rPh sb="27" eb="29">
      <t>ヘンコウ</t>
    </rPh>
    <phoneticPr fontId="0"/>
  </si>
  <si>
    <t>SwitchTaxGroupCode</t>
    <phoneticPr fontId="2"/>
  </si>
  <si>
    <t>支払コード</t>
  </si>
  <si>
    <t>券コード</t>
  </si>
  <si>
    <t>単位額</t>
  </si>
  <si>
    <t>返品使用許可フラグ</t>
    <rPh sb="0" eb="2">
      <t>ヘンピン</t>
    </rPh>
    <rPh sb="2" eb="4">
      <t>シヨウ</t>
    </rPh>
    <rPh sb="4" eb="6">
      <t>キョカ</t>
    </rPh>
    <phoneticPr fontId="7"/>
  </si>
  <si>
    <t>取消許可フラグ</t>
    <rPh sb="0" eb="2">
      <t>トリケシ</t>
    </rPh>
    <rPh sb="2" eb="4">
      <t>キョカ</t>
    </rPh>
    <phoneticPr fontId="7"/>
  </si>
  <si>
    <t>一部返品交換許可フラグ</t>
    <rPh sb="0" eb="2">
      <t>イチブ</t>
    </rPh>
    <rPh sb="2" eb="4">
      <t>ヘンピン</t>
    </rPh>
    <rPh sb="4" eb="6">
      <t>コウカン</t>
    </rPh>
    <rPh sb="6" eb="8">
      <t>キョカ</t>
    </rPh>
    <phoneticPr fontId="7"/>
  </si>
  <si>
    <t>レジマイナス許可フラグ</t>
    <rPh sb="6" eb="8">
      <t>キョカ</t>
    </rPh>
    <phoneticPr fontId="7"/>
  </si>
  <si>
    <t>釣り許可フラグ</t>
  </si>
  <si>
    <t>預かりオーバー許可フラグ</t>
  </si>
  <si>
    <t>丁度預かり許可フラグ</t>
  </si>
  <si>
    <t>枚数変更許可フラグ</t>
    <rPh sb="0" eb="2">
      <t>マイスウ</t>
    </rPh>
    <rPh sb="2" eb="4">
      <t>ヘンコウ</t>
    </rPh>
    <rPh sb="4" eb="6">
      <t>キョカ</t>
    </rPh>
    <phoneticPr fontId="7"/>
  </si>
  <si>
    <t>ドロア開閉制御</t>
    <rPh sb="3" eb="5">
      <t>カイヘイ</t>
    </rPh>
    <rPh sb="5" eb="7">
      <t>セイギョ</t>
    </rPh>
    <phoneticPr fontId="7"/>
  </si>
  <si>
    <t>収入印紙対象フラグ</t>
  </si>
  <si>
    <t>集計グループコード</t>
  </si>
  <si>
    <t>券集計グループコード</t>
    <rPh sb="0" eb="1">
      <t>ケン</t>
    </rPh>
    <phoneticPr fontId="7"/>
  </si>
  <si>
    <t>UnitAmount</t>
  </si>
  <si>
    <t>CanReturn</t>
  </si>
  <si>
    <t>CanCancel</t>
  </si>
  <si>
    <t>CanReSale</t>
  </si>
  <si>
    <t>CanVoid</t>
  </si>
  <si>
    <t>CanChange</t>
  </si>
  <si>
    <t>CanOverDeposit</t>
  </si>
  <si>
    <t>CanJustFix</t>
  </si>
  <si>
    <t>CanChangeCount</t>
  </si>
  <si>
    <t>IsDrawer</t>
  </si>
  <si>
    <t>IsRevenueStampTarget</t>
  </si>
  <si>
    <t>PaymentSummaryGroupCode</t>
  </si>
  <si>
    <t>TicketSummaryGroupCode</t>
  </si>
  <si>
    <t>2⇒3⇒5へ変更 
カスミ様カスタマイズ⇒26に変更</t>
    <rPh sb="6" eb="8">
      <t>ヘンコウ</t>
    </rPh>
    <rPh sb="13" eb="14">
      <t>サマ</t>
    </rPh>
    <rPh sb="24" eb="26">
      <t>ヘンコウ</t>
    </rPh>
    <phoneticPr fontId="6"/>
  </si>
  <si>
    <t>支払可能な最少単位を設定。
1円の場合は1を設定します。
1ドルの場合は0.01を設定します。</t>
    <rPh sb="0" eb="2">
      <t>シハライ</t>
    </rPh>
    <rPh sb="2" eb="4">
      <t>カノウ</t>
    </rPh>
    <rPh sb="5" eb="7">
      <t>サイショウ</t>
    </rPh>
    <rPh sb="7" eb="9">
      <t>タンイ</t>
    </rPh>
    <rPh sb="10" eb="12">
      <t>セッテイ</t>
    </rPh>
    <rPh sb="15" eb="16">
      <t>エン</t>
    </rPh>
    <rPh sb="17" eb="19">
      <t>バアイ</t>
    </rPh>
    <rPh sb="22" eb="24">
      <t>セッテイ</t>
    </rPh>
    <rPh sb="33" eb="35">
      <t>バアイ</t>
    </rPh>
    <rPh sb="41" eb="43">
      <t>セッテイ</t>
    </rPh>
    <phoneticPr fontId="6"/>
  </si>
  <si>
    <t>カスミ様案件では、本フラグは参照しておらず、PGで制御している。
Trueの場合、返品で使用可
Falseの場合、返品で使用不可</t>
    <rPh sb="14" eb="16">
      <t>サンショウ</t>
    </rPh>
    <rPh sb="25" eb="27">
      <t>セイギョ</t>
    </rPh>
    <rPh sb="39" eb="41">
      <t>バアイ</t>
    </rPh>
    <rPh sb="42" eb="44">
      <t>ヘンピン</t>
    </rPh>
    <rPh sb="45" eb="47">
      <t>シヨウ</t>
    </rPh>
    <rPh sb="47" eb="48">
      <t>カ</t>
    </rPh>
    <rPh sb="55" eb="57">
      <t>バアイ</t>
    </rPh>
    <rPh sb="58" eb="60">
      <t>ヘンピン</t>
    </rPh>
    <rPh sb="61" eb="63">
      <t>シヨウ</t>
    </rPh>
    <rPh sb="63" eb="65">
      <t>フカ</t>
    </rPh>
    <phoneticPr fontId="6"/>
  </si>
  <si>
    <t>Trueの場合、支払明細クリア可
Falseの場合、支払明細クリア不可</t>
    <rPh sb="5" eb="7">
      <t>バアイ</t>
    </rPh>
    <rPh sb="8" eb="10">
      <t>シハラ</t>
    </rPh>
    <rPh sb="10" eb="12">
      <t>メイサイ</t>
    </rPh>
    <rPh sb="15" eb="16">
      <t>カ</t>
    </rPh>
    <rPh sb="23" eb="25">
      <t>バアイ</t>
    </rPh>
    <rPh sb="33" eb="35">
      <t>フカ</t>
    </rPh>
    <phoneticPr fontId="6"/>
  </si>
  <si>
    <t>Trueの場合、一部返品交換呼出し可
Falseの場合、一部返品交換呼出し不可</t>
    <rPh sb="8" eb="10">
      <t>イチブ</t>
    </rPh>
    <rPh sb="10" eb="12">
      <t>ヘンピン</t>
    </rPh>
    <rPh sb="12" eb="14">
      <t>コウカン</t>
    </rPh>
    <rPh sb="14" eb="16">
      <t>ヨビダ</t>
    </rPh>
    <phoneticPr fontId="6"/>
  </si>
  <si>
    <t>Trueの場合、レジマイナス呼出し可
Falseの場合、レジマイナス呼出し不可</t>
  </si>
  <si>
    <t>残金以上の預り金の場合に、釣銭を出すかを設定します。
False設定時は、残金500円で1000円預りの場合、釣銭は0円となります。
※返品時使用許可フラグ(True)の場合、本設定は不可(False)</t>
    <rPh sb="0" eb="2">
      <t>ザンキン</t>
    </rPh>
    <rPh sb="2" eb="4">
      <t>イジョウ</t>
    </rPh>
    <rPh sb="5" eb="6">
      <t>アズカ</t>
    </rPh>
    <rPh sb="7" eb="8">
      <t>キン</t>
    </rPh>
    <rPh sb="9" eb="11">
      <t>バアイ</t>
    </rPh>
    <rPh sb="13" eb="15">
      <t>ツリセン</t>
    </rPh>
    <rPh sb="16" eb="17">
      <t>ダ</t>
    </rPh>
    <rPh sb="20" eb="22">
      <t>セッテイ</t>
    </rPh>
    <rPh sb="32" eb="34">
      <t>セッテイ</t>
    </rPh>
    <rPh sb="34" eb="35">
      <t>ジ</t>
    </rPh>
    <rPh sb="37" eb="39">
      <t>ザンキン</t>
    </rPh>
    <rPh sb="42" eb="43">
      <t>エン</t>
    </rPh>
    <rPh sb="48" eb="49">
      <t>エン</t>
    </rPh>
    <rPh sb="49" eb="50">
      <t>アズカ</t>
    </rPh>
    <rPh sb="52" eb="54">
      <t>バアイ</t>
    </rPh>
    <rPh sb="55" eb="57">
      <t>ツリセン</t>
    </rPh>
    <rPh sb="59" eb="60">
      <t>エン</t>
    </rPh>
    <rPh sb="68" eb="70">
      <t>ヘンピン</t>
    </rPh>
    <rPh sb="70" eb="71">
      <t>トキ</t>
    </rPh>
    <rPh sb="71" eb="73">
      <t>シヨウ</t>
    </rPh>
    <rPh sb="73" eb="75">
      <t>キョカ</t>
    </rPh>
    <rPh sb="85" eb="87">
      <t>バアイ</t>
    </rPh>
    <rPh sb="88" eb="89">
      <t>ホン</t>
    </rPh>
    <rPh sb="89" eb="91">
      <t>セッテイ</t>
    </rPh>
    <rPh sb="92" eb="94">
      <t>フカ</t>
    </rPh>
    <phoneticPr fontId="6"/>
  </si>
  <si>
    <t>残金以上の値を入力可能かを設定します。</t>
    <rPh sb="0" eb="2">
      <t>ザンキン</t>
    </rPh>
    <rPh sb="2" eb="4">
      <t>イジョウ</t>
    </rPh>
    <rPh sb="5" eb="6">
      <t>アタイ</t>
    </rPh>
    <rPh sb="7" eb="9">
      <t>ニュウリョク</t>
    </rPh>
    <rPh sb="9" eb="11">
      <t>カノウ</t>
    </rPh>
    <rPh sb="13" eb="15">
      <t>セッテイ</t>
    </rPh>
    <phoneticPr fontId="6"/>
  </si>
  <si>
    <t>Trueの場合、置数なしで登録を行った場合に残金での支払いとします。</t>
    <rPh sb="5" eb="7">
      <t>バアイ</t>
    </rPh>
    <rPh sb="8" eb="9">
      <t>オ</t>
    </rPh>
    <rPh sb="9" eb="10">
      <t>スウ</t>
    </rPh>
    <rPh sb="13" eb="15">
      <t>トウロク</t>
    </rPh>
    <rPh sb="16" eb="17">
      <t>オコナ</t>
    </rPh>
    <rPh sb="19" eb="21">
      <t>バアイ</t>
    </rPh>
    <rPh sb="22" eb="24">
      <t>ザンキン</t>
    </rPh>
    <rPh sb="26" eb="28">
      <t>シハラ</t>
    </rPh>
    <phoneticPr fontId="6"/>
  </si>
  <si>
    <t>商品券など枚数変更可能なチケットの場合は、Trueを設定してください。</t>
    <rPh sb="0" eb="3">
      <t>ショウヒンケン</t>
    </rPh>
    <rPh sb="5" eb="7">
      <t>マイスウ</t>
    </rPh>
    <rPh sb="7" eb="9">
      <t>ヘンコウ</t>
    </rPh>
    <rPh sb="9" eb="11">
      <t>カノウ</t>
    </rPh>
    <rPh sb="17" eb="19">
      <t>バアイ</t>
    </rPh>
    <rPh sb="26" eb="28">
      <t>セッテイ</t>
    </rPh>
    <phoneticPr fontId="6"/>
  </si>
  <si>
    <t>ph1未対応
Trueの場合、ドロア開放する
Falseの場合、ドロア開放しない</t>
    <rPh sb="3" eb="6">
      <t>ミタイオウ</t>
    </rPh>
    <rPh sb="12" eb="14">
      <t>バアイ</t>
    </rPh>
    <rPh sb="18" eb="20">
      <t>カイホウ</t>
    </rPh>
    <rPh sb="29" eb="31">
      <t>バアイ</t>
    </rPh>
    <rPh sb="35" eb="37">
      <t>カイホウ</t>
    </rPh>
    <phoneticPr fontId="6"/>
  </si>
  <si>
    <t>0：ポイント対象　1：ポイント対象外</t>
  </si>
  <si>
    <t>本部システムでの券実績の集計コード</t>
    <rPh sb="0" eb="2">
      <t>ホンブ</t>
    </rPh>
    <rPh sb="8" eb="9">
      <t>ケン</t>
    </rPh>
    <rPh sb="9" eb="11">
      <t>ジッセキ</t>
    </rPh>
    <rPh sb="12" eb="14">
      <t>シュウケイ</t>
    </rPh>
    <phoneticPr fontId="6"/>
  </si>
  <si>
    <t>PaymentCode</t>
    <phoneticPr fontId="2"/>
  </si>
  <si>
    <t>TicketCode</t>
    <phoneticPr fontId="2"/>
  </si>
  <si>
    <t>券マスタ</t>
    <phoneticPr fontId="2"/>
  </si>
  <si>
    <t>PaymentTicketMaster</t>
    <phoneticPr fontId="2"/>
  </si>
  <si>
    <t>釣銭機回収設定マスタ</t>
    <phoneticPr fontId="2"/>
  </si>
  <si>
    <t>CashChangerRecoverSettingMaster</t>
    <phoneticPr fontId="2"/>
  </si>
  <si>
    <t>NumberOfLimit</t>
  </si>
  <si>
    <t>LeftBehind</t>
  </si>
  <si>
    <t>UsalLimit</t>
  </si>
  <si>
    <t>端末番号</t>
  </si>
  <si>
    <t>回収区分
0：残置 1：設定 8：ニアエンプティ 9：ニアフル</t>
    <rPh sb="0" eb="2">
      <t>カイシュウ</t>
    </rPh>
    <rPh sb="2" eb="4">
      <t>クブン</t>
    </rPh>
    <rPh sb="7" eb="8">
      <t>ザン</t>
    </rPh>
    <rPh sb="8" eb="9">
      <t>チ</t>
    </rPh>
    <rPh sb="12" eb="14">
      <t>セッテイ</t>
    </rPh>
    <phoneticPr fontId="6"/>
  </si>
  <si>
    <t>金種</t>
    <rPh sb="0" eb="2">
      <t>キンシュ</t>
    </rPh>
    <phoneticPr fontId="6"/>
  </si>
  <si>
    <t>上下限枚数</t>
    <rPh sb="0" eb="3">
      <t>ジョウカゲン</t>
    </rPh>
    <rPh sb="3" eb="5">
      <t>マイスウ</t>
    </rPh>
    <phoneticPr fontId="6"/>
  </si>
  <si>
    <t>残置枚数</t>
    <rPh sb="0" eb="1">
      <t>ザン</t>
    </rPh>
    <rPh sb="1" eb="2">
      <t>チ</t>
    </rPh>
    <rPh sb="2" eb="4">
      <t>マイスウ</t>
    </rPh>
    <phoneticPr fontId="6"/>
  </si>
  <si>
    <t>有効期限</t>
    <rPh sb="0" eb="2">
      <t>ユウコウ</t>
    </rPh>
    <rPh sb="2" eb="4">
      <t>キゲン</t>
    </rPh>
    <phoneticPr fontId="6"/>
  </si>
  <si>
    <t>採用曜日区分
1：全曜日 2：曜日指定
※2以外の場合、月曜日フラグ～日曜日フラグの内容は無視する</t>
  </si>
  <si>
    <t>月曜日実施フラグ
Ｔｒｕｅ：実施　False：未実施</t>
  </si>
  <si>
    <t>火曜日実施フラグ
Ｔｒｕｅ：実施　False：未実施</t>
  </si>
  <si>
    <t>水曜日実施フラグ
Ｔｒｕｅ：実施　False：未実施</t>
  </si>
  <si>
    <t>木曜日実施フラグ
Ｔｒｕｅ：実施　False：未実施</t>
  </si>
  <si>
    <t>金曜日実施フラグ
Ｔｒｕｅ：実施　False：未実施</t>
  </si>
  <si>
    <t>土曜日実施フラグ
Ｔｒｕｅ：実施　False：未実施</t>
  </si>
  <si>
    <t>日曜日実施フラグ
Ｔｒｕｅ：実施　False：未実施</t>
  </si>
  <si>
    <t>回収対象となるレジの端末番号を設定します
すべての端末に適用する場合は特定の値を設定します</t>
    <rPh sb="0" eb="2">
      <t>カイシュウ</t>
    </rPh>
    <rPh sb="2" eb="4">
      <t>タイショウ</t>
    </rPh>
    <rPh sb="10" eb="12">
      <t>タンマツ</t>
    </rPh>
    <rPh sb="12" eb="14">
      <t>バンゴウ</t>
    </rPh>
    <rPh sb="15" eb="17">
      <t>セッテイ</t>
    </rPh>
    <rPh sb="25" eb="27">
      <t>タンマツ</t>
    </rPh>
    <rPh sb="28" eb="30">
      <t>テキヨウ</t>
    </rPh>
    <rPh sb="32" eb="34">
      <t>バアイ</t>
    </rPh>
    <rPh sb="35" eb="37">
      <t>トクテイ</t>
    </rPh>
    <rPh sb="38" eb="39">
      <t>アタイ</t>
    </rPh>
    <rPh sb="40" eb="42">
      <t>セッテイ</t>
    </rPh>
    <phoneticPr fontId="6"/>
  </si>
  <si>
    <t>回収方法の区分を設定します</t>
    <rPh sb="0" eb="2">
      <t>カイシュウ</t>
    </rPh>
    <rPh sb="2" eb="4">
      <t>ホウホウ</t>
    </rPh>
    <rPh sb="5" eb="7">
      <t>クブン</t>
    </rPh>
    <rPh sb="8" eb="10">
      <t>セッテイ</t>
    </rPh>
    <phoneticPr fontId="6"/>
  </si>
  <si>
    <t>金種（全10種類）を設定します</t>
    <rPh sb="0" eb="2">
      <t>キンシュ</t>
    </rPh>
    <rPh sb="3" eb="4">
      <t>ゼン</t>
    </rPh>
    <rPh sb="6" eb="7">
      <t>シュ</t>
    </rPh>
    <rPh sb="7" eb="8">
      <t>ルイ</t>
    </rPh>
    <rPh sb="10" eb="12">
      <t>セッテイ</t>
    </rPh>
    <phoneticPr fontId="6"/>
  </si>
  <si>
    <t>ニアフルとなる上限枚数、ニアエンプティとなる下限枚数を設定します</t>
    <rPh sb="7" eb="9">
      <t>ジョウゲン</t>
    </rPh>
    <rPh sb="9" eb="11">
      <t>マイスウ</t>
    </rPh>
    <rPh sb="22" eb="24">
      <t>カゲン</t>
    </rPh>
    <rPh sb="24" eb="26">
      <t>マイスウ</t>
    </rPh>
    <rPh sb="27" eb="29">
      <t>セッテイ</t>
    </rPh>
    <phoneticPr fontId="6"/>
  </si>
  <si>
    <t>残置する枚数を設定します</t>
    <rPh sb="0" eb="1">
      <t>ザン</t>
    </rPh>
    <rPh sb="1" eb="2">
      <t>チ</t>
    </rPh>
    <rPh sb="4" eb="6">
      <t>マイスウ</t>
    </rPh>
    <rPh sb="7" eb="9">
      <t>セッテイ</t>
    </rPh>
    <phoneticPr fontId="6"/>
  </si>
  <si>
    <t>この設定が有効となる期限（設定日当日まで）を設定します</t>
    <rPh sb="2" eb="4">
      <t>セッテイ</t>
    </rPh>
    <rPh sb="5" eb="7">
      <t>ユウコウ</t>
    </rPh>
    <rPh sb="10" eb="12">
      <t>キゲン</t>
    </rPh>
    <rPh sb="13" eb="16">
      <t>セッテイビ</t>
    </rPh>
    <rPh sb="16" eb="18">
      <t>トウジツ</t>
    </rPh>
    <rPh sb="22" eb="24">
      <t>セッテイ</t>
    </rPh>
    <phoneticPr fontId="6"/>
  </si>
  <si>
    <t>すべての曜日で同じ設定を用いる場合は「1」
曜日毎の設定とする場合は「2」
を設定します</t>
    <rPh sb="4" eb="6">
      <t>ヨウビ</t>
    </rPh>
    <rPh sb="7" eb="8">
      <t>オナ</t>
    </rPh>
    <rPh sb="9" eb="11">
      <t>セッテイ</t>
    </rPh>
    <rPh sb="12" eb="13">
      <t>モチ</t>
    </rPh>
    <rPh sb="15" eb="17">
      <t>バアイ</t>
    </rPh>
    <rPh sb="22" eb="24">
      <t>ヨウビ</t>
    </rPh>
    <rPh sb="24" eb="25">
      <t>ゴト</t>
    </rPh>
    <rPh sb="26" eb="28">
      <t>セッテイ</t>
    </rPh>
    <rPh sb="31" eb="33">
      <t>バアイ</t>
    </rPh>
    <rPh sb="39" eb="41">
      <t>セッテイ</t>
    </rPh>
    <phoneticPr fontId="6"/>
  </si>
  <si>
    <t>金種、枚数の組み合わせを月曜日に適用する場合は「true」を設定します</t>
    <rPh sb="0" eb="2">
      <t>キンシュ</t>
    </rPh>
    <rPh sb="3" eb="5">
      <t>マイスウ</t>
    </rPh>
    <rPh sb="6" eb="7">
      <t>ク</t>
    </rPh>
    <rPh sb="8" eb="9">
      <t>ア</t>
    </rPh>
    <rPh sb="12" eb="15">
      <t>ゲツヨウビ</t>
    </rPh>
    <rPh sb="16" eb="18">
      <t>テキヨウ</t>
    </rPh>
    <rPh sb="20" eb="22">
      <t>バアイ</t>
    </rPh>
    <rPh sb="30" eb="32">
      <t>セッテイ</t>
    </rPh>
    <phoneticPr fontId="6"/>
  </si>
  <si>
    <t>金種、枚数の組み合わせを火曜日に適用する場合は「true」を設定します</t>
    <rPh sb="0" eb="2">
      <t>キンシュ</t>
    </rPh>
    <rPh sb="3" eb="5">
      <t>マイスウ</t>
    </rPh>
    <rPh sb="6" eb="7">
      <t>ク</t>
    </rPh>
    <rPh sb="8" eb="9">
      <t>ア</t>
    </rPh>
    <rPh sb="12" eb="15">
      <t>カヨウビ</t>
    </rPh>
    <rPh sb="16" eb="18">
      <t>テキヨウ</t>
    </rPh>
    <rPh sb="20" eb="22">
      <t>バアイ</t>
    </rPh>
    <rPh sb="30" eb="32">
      <t>セッテイ</t>
    </rPh>
    <phoneticPr fontId="6"/>
  </si>
  <si>
    <t>金種、枚数の組み合わせを水曜日に適用する場合は「true」を設定します</t>
    <rPh sb="0" eb="2">
      <t>キンシュ</t>
    </rPh>
    <rPh sb="3" eb="5">
      <t>マイスウ</t>
    </rPh>
    <rPh sb="6" eb="7">
      <t>ク</t>
    </rPh>
    <rPh sb="8" eb="9">
      <t>ア</t>
    </rPh>
    <rPh sb="12" eb="15">
      <t>スイヨウビ</t>
    </rPh>
    <rPh sb="16" eb="18">
      <t>テキヨウ</t>
    </rPh>
    <rPh sb="20" eb="22">
      <t>バアイ</t>
    </rPh>
    <rPh sb="30" eb="32">
      <t>セッテイ</t>
    </rPh>
    <phoneticPr fontId="6"/>
  </si>
  <si>
    <t>金種、枚数の組み合わせを木曜日に適用する場合は「true」を設定します</t>
    <rPh sb="0" eb="2">
      <t>キンシュ</t>
    </rPh>
    <rPh sb="3" eb="5">
      <t>マイスウ</t>
    </rPh>
    <rPh sb="6" eb="7">
      <t>ク</t>
    </rPh>
    <rPh sb="8" eb="9">
      <t>ア</t>
    </rPh>
    <rPh sb="12" eb="15">
      <t>モクヨウビ</t>
    </rPh>
    <rPh sb="16" eb="18">
      <t>テキヨウ</t>
    </rPh>
    <rPh sb="20" eb="22">
      <t>バアイ</t>
    </rPh>
    <rPh sb="30" eb="32">
      <t>セッテイ</t>
    </rPh>
    <phoneticPr fontId="6"/>
  </si>
  <si>
    <t>金種、枚数の組み合わせを金曜日に適用する場合は「true」を設定します</t>
    <rPh sb="0" eb="2">
      <t>キンシュ</t>
    </rPh>
    <rPh sb="3" eb="5">
      <t>マイスウ</t>
    </rPh>
    <rPh sb="6" eb="7">
      <t>ク</t>
    </rPh>
    <rPh sb="8" eb="9">
      <t>ア</t>
    </rPh>
    <rPh sb="12" eb="15">
      <t>キンヨウビ</t>
    </rPh>
    <rPh sb="16" eb="18">
      <t>テキヨウ</t>
    </rPh>
    <rPh sb="20" eb="22">
      <t>バアイ</t>
    </rPh>
    <rPh sb="30" eb="32">
      <t>セッテイ</t>
    </rPh>
    <phoneticPr fontId="6"/>
  </si>
  <si>
    <t>金種、枚数の組み合わせを土曜日に適用する場合は「true」を設定します</t>
    <rPh sb="0" eb="2">
      <t>キンシュ</t>
    </rPh>
    <rPh sb="3" eb="5">
      <t>マイスウ</t>
    </rPh>
    <rPh sb="6" eb="7">
      <t>ク</t>
    </rPh>
    <rPh sb="8" eb="9">
      <t>ア</t>
    </rPh>
    <rPh sb="12" eb="15">
      <t>ドヨウビ</t>
    </rPh>
    <rPh sb="16" eb="18">
      <t>テキヨウ</t>
    </rPh>
    <rPh sb="20" eb="22">
      <t>バアイ</t>
    </rPh>
    <rPh sb="30" eb="32">
      <t>セッテイ</t>
    </rPh>
    <phoneticPr fontId="6"/>
  </si>
  <si>
    <t>金種、枚数の組み合わせを日曜日に適用する場合は「true」を設定します</t>
    <rPh sb="0" eb="2">
      <t>キンシュ</t>
    </rPh>
    <rPh sb="3" eb="5">
      <t>マイスウ</t>
    </rPh>
    <rPh sb="6" eb="7">
      <t>ク</t>
    </rPh>
    <rPh sb="8" eb="9">
      <t>ア</t>
    </rPh>
    <rPh sb="12" eb="15">
      <t>ニチヨウビ</t>
    </rPh>
    <rPh sb="16" eb="18">
      <t>テキヨウ</t>
    </rPh>
    <rPh sb="20" eb="22">
      <t>バアイ</t>
    </rPh>
    <rPh sb="30" eb="32">
      <t>セッテイ</t>
    </rPh>
    <phoneticPr fontId="6"/>
  </si>
  <si>
    <t>Denominations</t>
    <phoneticPr fontId="2"/>
  </si>
  <si>
    <t>TerminalNo</t>
    <phoneticPr fontId="2"/>
  </si>
  <si>
    <t>RecoverCode</t>
    <phoneticPr fontId="2"/>
  </si>
  <si>
    <t>レシートクーポン発券マスタ</t>
    <phoneticPr fontId="2"/>
  </si>
  <si>
    <t>ReceiptCouponPrintMaster</t>
    <phoneticPr fontId="2"/>
  </si>
  <si>
    <t>レシートクーポン券コード</t>
    <rPh sb="8" eb="9">
      <t>ケン</t>
    </rPh>
    <phoneticPr fontId="5"/>
  </si>
  <si>
    <t>印字期間From</t>
    <rPh sb="0" eb="2">
      <t>インジ</t>
    </rPh>
    <rPh sb="2" eb="4">
      <t>キカン</t>
    </rPh>
    <phoneticPr fontId="5"/>
  </si>
  <si>
    <t>印字期間To</t>
    <rPh sb="0" eb="2">
      <t>インジ</t>
    </rPh>
    <rPh sb="2" eb="4">
      <t>キカン</t>
    </rPh>
    <phoneticPr fontId="5"/>
  </si>
  <si>
    <t>有効期間From</t>
    <rPh sb="0" eb="2">
      <t>ユウコウ</t>
    </rPh>
    <rPh sb="2" eb="4">
      <t>キカン</t>
    </rPh>
    <phoneticPr fontId="5"/>
  </si>
  <si>
    <t>有効期間To</t>
    <rPh sb="0" eb="2">
      <t>ユウコウ</t>
    </rPh>
    <rPh sb="2" eb="4">
      <t>キカン</t>
    </rPh>
    <phoneticPr fontId="5"/>
  </si>
  <si>
    <t>発券金額</t>
  </si>
  <si>
    <t>印字コンディションコード</t>
    <rPh sb="0" eb="2">
      <t>インジ</t>
    </rPh>
    <phoneticPr fontId="5"/>
  </si>
  <si>
    <t>レシートタイプコード</t>
  </si>
  <si>
    <t>条件キー</t>
    <rPh sb="0" eb="2">
      <t>ジョウケン</t>
    </rPh>
    <phoneticPr fontId="5"/>
  </si>
  <si>
    <t>タイトル</t>
  </si>
  <si>
    <t>メッセージ表示位置</t>
    <rPh sb="5" eb="7">
      <t>ヒョウジ</t>
    </rPh>
    <rPh sb="7" eb="9">
      <t>イチ</t>
    </rPh>
    <phoneticPr fontId="6"/>
  </si>
  <si>
    <t>行番号</t>
    <rPh sb="0" eb="1">
      <t>ギョウ</t>
    </rPh>
    <rPh sb="1" eb="3">
      <t>バンゴウ</t>
    </rPh>
    <phoneticPr fontId="6"/>
  </si>
  <si>
    <t>メッセージ</t>
  </si>
  <si>
    <t>メッセージフォントタイプ</t>
  </si>
  <si>
    <t>PrintTo</t>
  </si>
  <si>
    <t>EndDate</t>
  </si>
  <si>
    <t>TicketingAmount</t>
  </si>
  <si>
    <t>PrintConditionCode</t>
  </si>
  <si>
    <t>ReceiptTypeCode</t>
  </si>
  <si>
    <t>ConditionsKey</t>
  </si>
  <si>
    <t>Title</t>
  </si>
  <si>
    <t>Message</t>
  </si>
  <si>
    <t>MessageFontType</t>
  </si>
  <si>
    <t>レシートタイプコード＝0の場合、値割引バーコード（８桁）
レシートタイプコード＝1の場合、識別コード:987のバーコード（１３桁）</t>
    <rPh sb="13" eb="15">
      <t>バアイ</t>
    </rPh>
    <rPh sb="26" eb="27">
      <t>ケタ</t>
    </rPh>
    <rPh sb="45" eb="47">
      <t>シキベツ</t>
    </rPh>
    <rPh sb="63" eb="64">
      <t>ケタ</t>
    </rPh>
    <phoneticPr fontId="5"/>
  </si>
  <si>
    <t>00：指定なし　Step1未使用</t>
    <rPh sb="3" eb="5">
      <t>シテイ</t>
    </rPh>
    <rPh sb="13" eb="16">
      <t>ミシヨウ</t>
    </rPh>
    <phoneticPr fontId="5"/>
  </si>
  <si>
    <t>0:有効期間付きバーコード出力　1:固定バーコード出力</t>
    <rPh sb="2" eb="4">
      <t>ユウコウ</t>
    </rPh>
    <rPh sb="4" eb="6">
      <t>キカン</t>
    </rPh>
    <rPh sb="6" eb="7">
      <t>ツ</t>
    </rPh>
    <rPh sb="13" eb="15">
      <t>シュツリョク</t>
    </rPh>
    <rPh sb="18" eb="20">
      <t>コテイ</t>
    </rPh>
    <rPh sb="25" eb="27">
      <t>シュツリョク</t>
    </rPh>
    <phoneticPr fontId="5"/>
  </si>
  <si>
    <t>0：指定なし　Step1未使用</t>
    <rPh sb="2" eb="4">
      <t>シテイ</t>
    </rPh>
    <phoneticPr fontId="5"/>
  </si>
  <si>
    <t>1：表面　2：裏面</t>
    <rPh sb="2" eb="4">
      <t>ヒョウメン</t>
    </rPh>
    <rPh sb="7" eb="9">
      <t>ウラメン</t>
    </rPh>
    <phoneticPr fontId="5"/>
  </si>
  <si>
    <t>NULL/0：通常
1：太字
2：下線
3：4倍角</t>
    <rPh sb="7" eb="9">
      <t>ツウジョウ</t>
    </rPh>
    <rPh sb="12" eb="14">
      <t>フトジ</t>
    </rPh>
    <rPh sb="17" eb="19">
      <t>シタセン</t>
    </rPh>
    <rPh sb="23" eb="25">
      <t>バイカク</t>
    </rPh>
    <phoneticPr fontId="5"/>
  </si>
  <si>
    <t>ReceiptCouponCode</t>
    <phoneticPr fontId="2"/>
  </si>
  <si>
    <t>PrintFrom</t>
    <phoneticPr fontId="2"/>
  </si>
  <si>
    <t>MessagePosition</t>
    <phoneticPr fontId="2"/>
  </si>
  <si>
    <t>MessageLineNo</t>
    <phoneticPr fontId="2"/>
  </si>
  <si>
    <t xml:space="preserve"> , PRIMARY KEY (`CompanyCode`,`StoreCode`,`ReceiptCouponCode`,`PrintFrom`,`MessagePosition`,`MessageLineNo`),</t>
    <phoneticPr fontId="2"/>
  </si>
  <si>
    <t>プリセットメニューボタンマスタ</t>
    <phoneticPr fontId="2"/>
  </si>
  <si>
    <t>PresetMenuButtonMaster</t>
    <phoneticPr fontId="2"/>
  </si>
  <si>
    <t>プリセットボタンレイアウトコード</t>
  </si>
  <si>
    <t>グループコード</t>
  </si>
  <si>
    <t>ページ</t>
  </si>
  <si>
    <t>簡易X座標</t>
  </si>
  <si>
    <t>簡易Y座標</t>
  </si>
  <si>
    <t>適用日</t>
  </si>
  <si>
    <t>ボタンサイズ（１：通常、２：横倍）</t>
  </si>
  <si>
    <t>ボタンサイズ（１：通常、２：縦倍）</t>
  </si>
  <si>
    <t>ボタン表示名称</t>
  </si>
  <si>
    <t>WPFリソースディクショナリのキー</t>
  </si>
  <si>
    <t>ボタン表示名イメージファイル名など</t>
  </si>
  <si>
    <t>イベントグループコード</t>
  </si>
  <si>
    <t>設定値</t>
  </si>
  <si>
    <t>ButtonLayoutCode</t>
  </si>
  <si>
    <t>GroupCode</t>
  </si>
  <si>
    <t>PageNumber</t>
  </si>
  <si>
    <t>ButtonColumnNumber</t>
  </si>
  <si>
    <t>ButtonRowNumber</t>
  </si>
  <si>
    <t>ButtonColumnSpan</t>
  </si>
  <si>
    <t>ButtonRowSpan</t>
  </si>
  <si>
    <t>StyleKey</t>
  </si>
  <si>
    <t>StyleInformation</t>
  </si>
  <si>
    <t>EventGroupCode</t>
  </si>
  <si>
    <t>SettingData</t>
  </si>
  <si>
    <t>Y</t>
  </si>
  <si>
    <t>template</t>
    <phoneticPr fontId="2"/>
  </si>
  <si>
    <t>POS_MASTER</t>
    <phoneticPr fontId="2"/>
  </si>
  <si>
    <t>nvarchar</t>
  </si>
  <si>
    <t>ON DELETE CASCADE</t>
  </si>
  <si>
    <t>PresetButtonStyle1：青
PresetButtonStyle2：緑
PresetButtonStyle3：ピンク
PresetButtonStyle4：黄
PresetButtonStyle5：薄灰
PresetButtonStyle6：薄青
PresetButtonStyle7：黄緑
PresetButtonStyle8：水色
未設定　　　　　　　　：灰色
※Styleにはボタンの色だけでなくレイアウトも兼ねているため未設定はレイアウトが変わります。</t>
  </si>
  <si>
    <t>money</t>
  </si>
  <si>
    <t>numeric</t>
  </si>
  <si>
    <t>5, 2</t>
  </si>
  <si>
    <t>7, 0</t>
  </si>
  <si>
    <t>5, 0</t>
  </si>
  <si>
    <t>bit</t>
  </si>
  <si>
    <t>3,0</t>
  </si>
  <si>
    <t>datetime2</t>
  </si>
  <si>
    <t>money</t>
    <phoneticPr fontId="2"/>
  </si>
  <si>
    <t>商品コード
商品登録時の検索、画面/レシートへの表示に使用</t>
    <rPh sb="0" eb="2">
      <t>ショウヒン</t>
    </rPh>
    <rPh sb="6" eb="8">
      <t>ショウヒン</t>
    </rPh>
    <rPh sb="8" eb="10">
      <t>トウロク</t>
    </rPh>
    <rPh sb="10" eb="11">
      <t>ジ</t>
    </rPh>
    <rPh sb="12" eb="14">
      <t>ケンサク</t>
    </rPh>
    <rPh sb="15" eb="17">
      <t>ガメン</t>
    </rPh>
    <rPh sb="24" eb="26">
      <t>ヒョウジ</t>
    </rPh>
    <rPh sb="27" eb="29">
      <t>シヨウ</t>
    </rPh>
    <phoneticPr fontId="6"/>
  </si>
  <si>
    <t>商品情報が適用される営業日を設定する</t>
    <rPh sb="0" eb="2">
      <t>ショウヒン</t>
    </rPh>
    <rPh sb="2" eb="4">
      <t>ジョウホウ</t>
    </rPh>
    <rPh sb="5" eb="7">
      <t>テキヨウ</t>
    </rPh>
    <rPh sb="10" eb="13">
      <t>エイギョウビ</t>
    </rPh>
    <rPh sb="14" eb="16">
      <t>セッテイ</t>
    </rPh>
    <phoneticPr fontId="6"/>
  </si>
  <si>
    <t>商品の分類コードを設定する</t>
    <rPh sb="0" eb="2">
      <t>ショウヒン</t>
    </rPh>
    <rPh sb="3" eb="5">
      <t>ブンルイ</t>
    </rPh>
    <rPh sb="9" eb="11">
      <t>セッテイ</t>
    </rPh>
    <phoneticPr fontId="6"/>
  </si>
  <si>
    <t>自社コード
カスミ様の商品管理コードを設定する</t>
    <rPh sb="0" eb="2">
      <t>ジシャ</t>
    </rPh>
    <rPh sb="9" eb="10">
      <t>サマ</t>
    </rPh>
    <rPh sb="11" eb="13">
      <t>ショウヒン</t>
    </rPh>
    <rPh sb="13" eb="15">
      <t>カンリ</t>
    </rPh>
    <rPh sb="19" eb="21">
      <t>セッテイ</t>
    </rPh>
    <phoneticPr fontId="6"/>
  </si>
  <si>
    <t>単品コードの親JAN情報</t>
    <rPh sb="0" eb="2">
      <t>タンピン</t>
    </rPh>
    <rPh sb="6" eb="7">
      <t>オヤ</t>
    </rPh>
    <rPh sb="10" eb="12">
      <t>ジョウホウ</t>
    </rPh>
    <phoneticPr fontId="6"/>
  </si>
  <si>
    <t>商品の名称を設定する
画面、レシート、ラインディスプレイにて使用</t>
    <rPh sb="0" eb="2">
      <t>ショウヒン</t>
    </rPh>
    <rPh sb="3" eb="5">
      <t>メイショウ</t>
    </rPh>
    <rPh sb="6" eb="8">
      <t>セッテイ</t>
    </rPh>
    <phoneticPr fontId="6"/>
  </si>
  <si>
    <t>商品の名称を設定する
ラインディスプレイ（半角カナ用）にて使用</t>
  </si>
  <si>
    <t>商品の名称を設定する
レポートにて使用</t>
  </si>
  <si>
    <t>商品の販売単価を設定する</t>
    <rPh sb="0" eb="2">
      <t>ショウヒン</t>
    </rPh>
    <rPh sb="3" eb="5">
      <t>ハンバイ</t>
    </rPh>
    <rPh sb="5" eb="7">
      <t>タンカ</t>
    </rPh>
    <rPh sb="8" eb="10">
      <t>セッテイ</t>
    </rPh>
    <phoneticPr fontId="6"/>
  </si>
  <si>
    <t>商品の原価を設定する。
原価額ではなく原価率で管理する場合はNULLとする
※原価、値入率が未設定(NULL)の場合、分類マスタの値入率が採用される</t>
    <rPh sb="0" eb="2">
      <t>ショウヒン</t>
    </rPh>
    <rPh sb="3" eb="5">
      <t>ゲンカ</t>
    </rPh>
    <rPh sb="6" eb="8">
      <t>セッテイ</t>
    </rPh>
    <rPh sb="12" eb="14">
      <t>ゲンカ</t>
    </rPh>
    <rPh sb="14" eb="15">
      <t>ガク</t>
    </rPh>
    <rPh sb="19" eb="21">
      <t>ゲンカ</t>
    </rPh>
    <rPh sb="21" eb="22">
      <t>リツ</t>
    </rPh>
    <rPh sb="23" eb="25">
      <t>カンリ</t>
    </rPh>
    <rPh sb="27" eb="29">
      <t>バアイ</t>
    </rPh>
    <rPh sb="59" eb="61">
      <t>ブンルイ</t>
    </rPh>
    <phoneticPr fontId="6"/>
  </si>
  <si>
    <t>粗利率を設定する（100-原価率)
原価率ではなく原価額で管理する場合はNULLとする
※原価、値入率が未設定(NULL)の場合、分類マスタの値入率が採用される</t>
    <rPh sb="20" eb="21">
      <t>リツ</t>
    </rPh>
    <rPh sb="27" eb="28">
      <t>ガク</t>
    </rPh>
    <rPh sb="65" eb="67">
      <t>ブンルイ</t>
    </rPh>
    <phoneticPr fontId="6"/>
  </si>
  <si>
    <t>税変換種別を設定する
0：変換なし　1：みなし内税</t>
    <rPh sb="6" eb="8">
      <t>セッテイ</t>
    </rPh>
    <rPh sb="13" eb="15">
      <t>ヘンカン</t>
    </rPh>
    <rPh sb="23" eb="25">
      <t>ウチゼイ</t>
    </rPh>
    <phoneticPr fontId="6"/>
  </si>
  <si>
    <t>支払方法を現金に限定するか否かを設定する
　NULL：上位参照
　0：現金以外決済可
　1：現金以外決済不可</t>
  </si>
  <si>
    <t>POS操作による値引を許可するか否かを設定する
　NULL：上位参照
　0：手動アイテム値引可
　1：手動アイテム値引不可</t>
  </si>
  <si>
    <t>クーポン等による小計値引の対象とするか否かを設定する
　NULL：上位参照
　0：小計値引可
　1：小計値引不可</t>
  </si>
  <si>
    <t>POS操作による売価変更を許可するか否かを設定する
　NULL：上位参照
　0：売価変更可
　1：売価変更不可</t>
  </si>
  <si>
    <t>分類レベルでの自動値引設定にて値引の対象外とするか否かを設定する
　0：自動値引き可
　1：自動値引き不可</t>
    <rPh sb="0" eb="2">
      <t>ブンルイ</t>
    </rPh>
    <rPh sb="7" eb="9">
      <t>ジドウ</t>
    </rPh>
    <rPh sb="9" eb="11">
      <t>ネビキ</t>
    </rPh>
    <rPh sb="11" eb="13">
      <t>セッテイ</t>
    </rPh>
    <rPh sb="15" eb="17">
      <t>ネビキ</t>
    </rPh>
    <rPh sb="18" eb="21">
      <t>タイショウガイ</t>
    </rPh>
    <rPh sb="25" eb="26">
      <t>イナ</t>
    </rPh>
    <rPh sb="28" eb="30">
      <t>セッテイ</t>
    </rPh>
    <phoneticPr fontId="6"/>
  </si>
  <si>
    <t>商品登録時、単価入力を求めるか否かを設定する
　０：単価強制入力なし
　１：単価強制入力あり</t>
    <rPh sb="0" eb="2">
      <t>ショウヒン</t>
    </rPh>
    <rPh sb="2" eb="4">
      <t>トウロク</t>
    </rPh>
    <rPh sb="4" eb="5">
      <t>ジ</t>
    </rPh>
    <rPh sb="6" eb="8">
      <t>タンカ</t>
    </rPh>
    <rPh sb="8" eb="10">
      <t>ニュウリョク</t>
    </rPh>
    <rPh sb="11" eb="12">
      <t>モト</t>
    </rPh>
    <rPh sb="15" eb="16">
      <t>イナ</t>
    </rPh>
    <rPh sb="18" eb="20">
      <t>セッテイ</t>
    </rPh>
    <phoneticPr fontId="6"/>
  </si>
  <si>
    <t>対象商品販売時、ポイント付与対象から除外するか否かを設定する
　NULL：上位参照
　0：ポイント対象
　1：ポイント対象外</t>
  </si>
  <si>
    <t>設定ありで所属する分類にも販売制限商品区分が設定されている場合：《単品マスタ》の設定を採用
NULL：上位参照
1:分類なし
2:第1分類
3:指定第2分類
4:第2分類
5:第3分類
6:要指導</t>
    <rPh sb="9" eb="11">
      <t>ブンルイ</t>
    </rPh>
    <rPh sb="95" eb="96">
      <t>ヨウ</t>
    </rPh>
    <rPh sb="96" eb="98">
      <t>シドウ</t>
    </rPh>
    <phoneticPr fontId="6"/>
  </si>
  <si>
    <t>対象商品販売時、保証書を発行するか否かを設定する
　0：発行しない
　1：発行する</t>
  </si>
  <si>
    <t>重点対象商品か
　0：対象外
　1：対象</t>
    <rPh sb="0" eb="2">
      <t>ジュウテン</t>
    </rPh>
    <rPh sb="2" eb="4">
      <t>タイショウ</t>
    </rPh>
    <rPh sb="4" eb="6">
      <t>ショウヒン</t>
    </rPh>
    <rPh sb="11" eb="14">
      <t>タイショウガイ</t>
    </rPh>
    <rPh sb="18" eb="20">
      <t>タイショウ</t>
    </rPh>
    <phoneticPr fontId="6"/>
  </si>
  <si>
    <t>免税販売時、対象商品の免税種別を設定する
　NULL：上位参照
　1：消耗品
　2：一般品</t>
  </si>
  <si>
    <t>緊急単品登録された商品か
0：緊急単品登録されていない　
1：緊急単品登録された</t>
    <rPh sb="2" eb="4">
      <t>タンピン</t>
    </rPh>
    <rPh sb="4" eb="6">
      <t>トウロク</t>
    </rPh>
    <rPh sb="9" eb="11">
      <t>ショウヒン</t>
    </rPh>
    <phoneticPr fontId="6"/>
  </si>
  <si>
    <t>セルフメディケーション
0：対象外
1：対象
NULL：対象外</t>
    <rPh sb="14" eb="16">
      <t>タイショウ</t>
    </rPh>
    <rPh sb="16" eb="17">
      <t>ガイ</t>
    </rPh>
    <rPh sb="28" eb="31">
      <t>タイショウガイ</t>
    </rPh>
    <phoneticPr fontId="6"/>
  </si>
  <si>
    <t>0：通常　1：売価一括変更
売価一括変更機能で、1：売価一括変更の商品を対象にメンテナンスする</t>
  </si>
  <si>
    <t>本部での登録日時</t>
  </si>
  <si>
    <t>4, 2</t>
  </si>
  <si>
    <t>nvarchar</t>
    <phoneticPr fontId="2"/>
  </si>
  <si>
    <t>);</t>
    <phoneticPr fontId="2"/>
  </si>
  <si>
    <t>SET</t>
  </si>
  <si>
    <t>) SELECT</t>
    <phoneticPr fontId="2"/>
  </si>
  <si>
    <t>WHERE</t>
  </si>
  <si>
    <t>SET CHARACTER_SET_DATABASE = UTF8;</t>
  </si>
  <si>
    <t>WHERE</t>
    <phoneticPr fontId="2"/>
  </si>
  <si>
    <t xml:space="preserve">WHERE NOT EXISTS ( SELECT RECORD_ID </t>
    <phoneticPr fontId="2"/>
  </si>
  <si>
    <t>;</t>
    <phoneticPr fontId="2"/>
  </si>
  <si>
    <t>COMMIT;</t>
  </si>
  <si>
    <t>WAONポイント倍率</t>
    <rPh sb="8" eb="10">
      <t>バイリツ</t>
    </rPh>
    <phoneticPr fontId="7"/>
  </si>
  <si>
    <t>WAONポイント付与開始日時</t>
    <rPh sb="8" eb="10">
      <t>フヨ</t>
    </rPh>
    <rPh sb="10" eb="12">
      <t>カイシ</t>
    </rPh>
    <rPh sb="12" eb="14">
      <t>ニチジ</t>
    </rPh>
    <phoneticPr fontId="7"/>
  </si>
  <si>
    <t>WAONポイント付与終了日時</t>
    <rPh sb="8" eb="10">
      <t>フヨ</t>
    </rPh>
    <rPh sb="10" eb="12">
      <t>シュウリョウ</t>
    </rPh>
    <rPh sb="12" eb="14">
      <t>ニチジ</t>
    </rPh>
    <phoneticPr fontId="7"/>
  </si>
  <si>
    <t>分類拡張マスタ</t>
    <phoneticPr fontId="2"/>
  </si>
  <si>
    <t>MDHierarchyExMvkMaster</t>
    <phoneticPr fontId="2"/>
  </si>
  <si>
    <t>WaonPointRate</t>
  </si>
  <si>
    <t>WaonPointStartDateTime</t>
  </si>
  <si>
    <t>WaonPointEndDateTime</t>
  </si>
  <si>
    <t>3, 0</t>
  </si>
  <si>
    <t>WAON倍率情報（0～255）</t>
  </si>
  <si>
    <t>WAON倍率有効期間 開始日時</t>
  </si>
  <si>
    <t>WAON倍率有効期間 終了日時</t>
  </si>
  <si>
    <t>【釣銭機】在高情報</t>
    <rPh sb="1" eb="4">
      <t>ツリセンキ</t>
    </rPh>
    <rPh sb="5" eb="7">
      <t>アリダカ</t>
    </rPh>
    <rPh sb="7" eb="9">
      <t>ジョウホウ</t>
    </rPh>
    <phoneticPr fontId="2"/>
  </si>
  <si>
    <t>,`RECORD_VOID_FLAG` char(1) NOT NULL DEFAULT '' COMMENT 'レコード無効フラグ  '''': 有効フラグ、 1:無効フラグ'</t>
  </si>
  <si>
    <t>,`RECORD_VOID_FLAG` char(1) NOT NULL DEFAULT '' COMMENT 'レコード無効フラグ  '''': 有効フラグ、 1:無効フラグ'</t>
    <phoneticPr fontId="2"/>
  </si>
  <si>
    <t>,`RECORD_UPDATE_TIME` time NOT NULL COMMENT 'レコード更新時間/トリガーにより更新'</t>
  </si>
  <si>
    <t>,`RECORD_UPDATE_TIME` time NOT NULL COMMENT 'レコード更新時間/トリガーにより更新'</t>
    <phoneticPr fontId="2"/>
  </si>
  <si>
    <t>,`RECORD_UPDATE_DATE` date NOT NULL COMMENT 'レコード更新日付/トリガーにより更新'</t>
  </si>
  <si>
    <t>,`RECORD_UPDATE_DATE` date NOT NULL COMMENT 'レコード更新日付/トリガーにより更新'</t>
    <phoneticPr fontId="2"/>
  </si>
  <si>
    <t>,`RECORD_CREATE_TIME` time NOT NULL COMMENT 'レコード作成時間'</t>
  </si>
  <si>
    <t>,`RECORD_CREATE_TIME` time NOT NULL COMMENT 'レコード作成時間'</t>
    <phoneticPr fontId="2"/>
  </si>
  <si>
    <t>,`RECORD_CREATE_DATE` date NOT NULL COMMENT 'レコード作成日付'</t>
  </si>
  <si>
    <t>,`RECORD_CREATE_DATE` date NOT NULL COMMENT 'レコード作成日付'</t>
    <phoneticPr fontId="2"/>
  </si>
  <si>
    <t>`RECORD_ID` bigint NOT NULL AUTO_INCREMENT COMMENT 'レコードID'</t>
  </si>
  <si>
    <t>`RECORD_ID` bigint NOT NULL AUTO_INCREMENT COMMENT 'レコードID'</t>
    <phoneticPr fontId="2"/>
  </si>
  <si>
    <t>@1</t>
    <phoneticPr fontId="2"/>
  </si>
  <si>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</si>
  <si>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</si>
  <si>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</si>
  <si>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</si>
  <si>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</si>
  <si>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</si>
  <si>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</si>
  <si>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</si>
  <si>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</si>
  <si>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</si>
  <si>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</si>
  <si>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</si>
  <si>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</si>
  <si>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</si>
  <si>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</si>
  <si>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</si>
  <si>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</si>
  <si>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</si>
  <si>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</si>
  <si>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</si>
  <si>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</si>
  <si>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</si>
  <si>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</si>
  <si>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</si>
  <si>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</si>
  <si>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</si>
  <si>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</si>
  <si>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</si>
  <si>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</si>
  <si>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</si>
  <si>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</si>
  <si>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</si>
  <si>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</si>
  <si>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</si>
  <si>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phoneticPr fontId="2"/>
  </si>
  <si>
    <t>@37</t>
    <phoneticPr fontId="2"/>
  </si>
  <si>
    <t>分類マスタ</t>
    <phoneticPr fontId="2"/>
  </si>
  <si>
    <t>担当者マスタ</t>
    <phoneticPr fontId="2"/>
  </si>
  <si>
    <t>空白あり</t>
    <rPh sb="0" eb="2">
      <t>クウハク</t>
    </rPh>
    <phoneticPr fontId="2"/>
  </si>
  <si>
    <t>システム名</t>
    <phoneticPr fontId="2"/>
  </si>
  <si>
    <t>システム種別</t>
    <phoneticPr fontId="2"/>
  </si>
  <si>
    <t>作成者</t>
    <phoneticPr fontId="2"/>
  </si>
  <si>
    <t>作成日</t>
    <phoneticPr fontId="2"/>
  </si>
  <si>
    <t>更新者</t>
    <phoneticPr fontId="2"/>
  </si>
  <si>
    <t>更新日</t>
    <phoneticPr fontId="2"/>
  </si>
  <si>
    <t>版数</t>
    <phoneticPr fontId="2"/>
  </si>
  <si>
    <t>機能カテゴリ</t>
    <phoneticPr fontId="2"/>
  </si>
  <si>
    <t>項目</t>
    <phoneticPr fontId="2"/>
  </si>
  <si>
    <t>定義</t>
    <phoneticPr fontId="2"/>
  </si>
  <si>
    <t>POS機器設定</t>
    <rPh sb="3" eb="5">
      <t>キキ</t>
    </rPh>
    <rPh sb="5" eb="7">
      <t>セッテイ</t>
    </rPh>
    <phoneticPr fontId="2"/>
  </si>
  <si>
    <t>PosDeviceSetting</t>
    <phoneticPr fontId="2"/>
  </si>
  <si>
    <t>各接続機器ごとに提供されるサービスを設定</t>
    <rPh sb="0" eb="1">
      <t>カク</t>
    </rPh>
    <rPh sb="1" eb="3">
      <t>セツゾク</t>
    </rPh>
    <rPh sb="3" eb="5">
      <t>キキ</t>
    </rPh>
    <rPh sb="8" eb="10">
      <t>テイキョウ</t>
    </rPh>
    <rPh sb="18" eb="20">
      <t>セッテイ</t>
    </rPh>
    <phoneticPr fontId="2"/>
  </si>
  <si>
    <t>・サービス種別・・・「いらっしゃいませ」の待機画面で表示される「ボタン(提供サービス)」を定義する。</t>
    <rPh sb="5" eb="7">
      <t>シュベツ</t>
    </rPh>
    <rPh sb="21" eb="23">
      <t>タイキ</t>
    </rPh>
    <rPh sb="23" eb="25">
      <t>ガメン</t>
    </rPh>
    <rPh sb="26" eb="28">
      <t>ヒョウジ</t>
    </rPh>
    <rPh sb="36" eb="38">
      <t>テイキョウ</t>
    </rPh>
    <phoneticPr fontId="2"/>
  </si>
  <si>
    <t>・ポイント種別・・・支払画面の前に表示される利用ポイントの種別を定義する。</t>
    <rPh sb="5" eb="7">
      <t>シュベツ</t>
    </rPh>
    <rPh sb="10" eb="12">
      <t>シハライ</t>
    </rPh>
    <rPh sb="12" eb="14">
      <t>ガメン</t>
    </rPh>
    <rPh sb="15" eb="16">
      <t>マエ</t>
    </rPh>
    <rPh sb="17" eb="19">
      <t>ヒョウジ</t>
    </rPh>
    <rPh sb="22" eb="24">
      <t>リヨウ</t>
    </rPh>
    <rPh sb="29" eb="31">
      <t>シュベツ</t>
    </rPh>
    <rPh sb="32" eb="34">
      <t>テイギ</t>
    </rPh>
    <phoneticPr fontId="2"/>
  </si>
  <si>
    <t>・支払種別・・・支払画面に表示される支払方法を定義する。</t>
    <rPh sb="1" eb="3">
      <t>シハライ</t>
    </rPh>
    <rPh sb="3" eb="5">
      <t>シュベツ</t>
    </rPh>
    <rPh sb="8" eb="10">
      <t>シハライ</t>
    </rPh>
    <rPh sb="10" eb="12">
      <t>ガメン</t>
    </rPh>
    <rPh sb="13" eb="15">
      <t>ヒョウジ</t>
    </rPh>
    <rPh sb="18" eb="20">
      <t>シハライ</t>
    </rPh>
    <rPh sb="20" eb="22">
      <t>ホウホウ</t>
    </rPh>
    <rPh sb="23" eb="25">
      <t>テイギ</t>
    </rPh>
    <phoneticPr fontId="2"/>
  </si>
  <si>
    <t>Yes</t>
  </si>
  <si>
    <t>Yes</t>
    <phoneticPr fontId="2"/>
  </si>
  <si>
    <t>企業識別コード</t>
    <rPh sb="0" eb="2">
      <t>キギョウ</t>
    </rPh>
    <rPh sb="2" eb="4">
      <t>シキベツ</t>
    </rPh>
    <phoneticPr fontId="13"/>
  </si>
  <si>
    <t>店舗識別コード</t>
    <rPh sb="0" eb="2">
      <t>テンポ</t>
    </rPh>
    <rPh sb="2" eb="4">
      <t>シキベツ</t>
    </rPh>
    <phoneticPr fontId="13"/>
  </si>
  <si>
    <t>レジ番号</t>
    <phoneticPr fontId="2"/>
  </si>
  <si>
    <t>店舗内識別コード</t>
    <rPh sb="0" eb="2">
      <t>テンポ</t>
    </rPh>
    <rPh sb="2" eb="3">
      <t>ナイ</t>
    </rPh>
    <rPh sb="3" eb="5">
      <t>シキベツ</t>
    </rPh>
    <phoneticPr fontId="13"/>
  </si>
  <si>
    <t>device_class</t>
  </si>
  <si>
    <t>INTEGER</t>
    <phoneticPr fontId="2"/>
  </si>
  <si>
    <t>本番機："1"、検証機："9"　：この区分でAPIの参照先を変更</t>
    <rPh sb="0" eb="3">
      <t>ホンバンキ</t>
    </rPh>
    <rPh sb="8" eb="11">
      <t>ケンショウキ</t>
    </rPh>
    <rPh sb="19" eb="21">
      <t>クブン</t>
    </rPh>
    <rPh sb="26" eb="29">
      <t>サンショウサキ</t>
    </rPh>
    <rPh sb="30" eb="32">
      <t>ヘンコウ</t>
    </rPh>
    <phoneticPr fontId="2"/>
  </si>
  <si>
    <t>サービス種別1(Scan&amp;Go)</t>
    <rPh sb="4" eb="6">
      <t>シュベツ</t>
    </rPh>
    <phoneticPr fontId="2"/>
  </si>
  <si>
    <t>service_class01</t>
    <phoneticPr fontId="2"/>
  </si>
  <si>
    <t>"1"</t>
    <phoneticPr fontId="2"/>
  </si>
  <si>
    <t>1:１番の場所に表示  2:2番の場所に表示　0：非表示</t>
    <rPh sb="3" eb="4">
      <t>バン</t>
    </rPh>
    <rPh sb="5" eb="7">
      <t>バショ</t>
    </rPh>
    <rPh sb="8" eb="10">
      <t>ヒョウジ</t>
    </rPh>
    <rPh sb="15" eb="16">
      <t>バン</t>
    </rPh>
    <rPh sb="17" eb="19">
      <t>バショ</t>
    </rPh>
    <rPh sb="20" eb="22">
      <t>ヒョウジ</t>
    </rPh>
    <rPh sb="25" eb="28">
      <t>ヒヒョウジ</t>
    </rPh>
    <phoneticPr fontId="2"/>
  </si>
  <si>
    <t>サービス種別2(手動登録)</t>
    <rPh sb="4" eb="6">
      <t>シュベツ</t>
    </rPh>
    <rPh sb="8" eb="10">
      <t>シュドウ</t>
    </rPh>
    <rPh sb="10" eb="12">
      <t>トウロク</t>
    </rPh>
    <phoneticPr fontId="2"/>
  </si>
  <si>
    <t>service_class02</t>
  </si>
  <si>
    <t>INTEGER</t>
  </si>
  <si>
    <t>"0"</t>
  </si>
  <si>
    <t>0：非表示</t>
    <rPh sb="2" eb="5">
      <t>ヒヒョウジ</t>
    </rPh>
    <phoneticPr fontId="2"/>
  </si>
  <si>
    <t>サービス種別3(Ignicaチャージ)</t>
    <rPh sb="4" eb="6">
      <t>シュベツ</t>
    </rPh>
    <phoneticPr fontId="2"/>
  </si>
  <si>
    <t>service_class03</t>
  </si>
  <si>
    <t>サービス種別4(Ignica残高照会)</t>
    <rPh sb="4" eb="6">
      <t>シュベツ</t>
    </rPh>
    <rPh sb="14" eb="16">
      <t>ザンダカ</t>
    </rPh>
    <rPh sb="16" eb="18">
      <t>ショウカイ</t>
    </rPh>
    <phoneticPr fontId="2"/>
  </si>
  <si>
    <t>service_class04</t>
  </si>
  <si>
    <t>サービス種別5(WAONチャージ)</t>
    <rPh sb="4" eb="6">
      <t>シュベツ</t>
    </rPh>
    <phoneticPr fontId="2"/>
  </si>
  <si>
    <t>service_class05</t>
  </si>
  <si>
    <t>サービス種別6(WAON残高照会)</t>
    <rPh sb="4" eb="6">
      <t>シュベツ</t>
    </rPh>
    <rPh sb="12" eb="14">
      <t>ザンダカ</t>
    </rPh>
    <rPh sb="14" eb="16">
      <t>ショウカイ</t>
    </rPh>
    <phoneticPr fontId="2"/>
  </si>
  <si>
    <t>service_class06</t>
  </si>
  <si>
    <t>サービス種別7(予備)</t>
    <phoneticPr fontId="2"/>
  </si>
  <si>
    <t>service_class07</t>
  </si>
  <si>
    <t>サービス種別8(予備)</t>
    <rPh sb="4" eb="6">
      <t>シュベツ</t>
    </rPh>
    <phoneticPr fontId="2"/>
  </si>
  <si>
    <t>service_class08</t>
  </si>
  <si>
    <t>サービス種別9(予備)</t>
    <rPh sb="4" eb="6">
      <t>シュベツ</t>
    </rPh>
    <phoneticPr fontId="2"/>
  </si>
  <si>
    <t>service_class09</t>
  </si>
  <si>
    <t>サービス種別10(予備)</t>
    <rPh sb="4" eb="6">
      <t>シュベツ</t>
    </rPh>
    <phoneticPr fontId="2"/>
  </si>
  <si>
    <t>service_class10</t>
  </si>
  <si>
    <t>サービス種別11(予備)</t>
    <rPh sb="4" eb="6">
      <t>シュベツ</t>
    </rPh>
    <phoneticPr fontId="2"/>
  </si>
  <si>
    <t>service_class11</t>
  </si>
  <si>
    <t>チャージボタン</t>
    <phoneticPr fontId="2"/>
  </si>
  <si>
    <t>サービス種別12(予備)</t>
    <rPh sb="4" eb="6">
      <t>シュベツ</t>
    </rPh>
    <phoneticPr fontId="2"/>
  </si>
  <si>
    <t>service_class12</t>
  </si>
  <si>
    <t>サービス種別13(予備)</t>
    <rPh sb="4" eb="6">
      <t>シュベツ</t>
    </rPh>
    <phoneticPr fontId="2"/>
  </si>
  <si>
    <t>service_class13</t>
  </si>
  <si>
    <t>サービス種別14(予備)</t>
    <rPh sb="4" eb="6">
      <t>シュベツ</t>
    </rPh>
    <phoneticPr fontId="2"/>
  </si>
  <si>
    <t>service_class14</t>
  </si>
  <si>
    <t>サービス種別15(予備)</t>
    <rPh sb="4" eb="6">
      <t>シュベツ</t>
    </rPh>
    <phoneticPr fontId="2"/>
  </si>
  <si>
    <t>service_class15</t>
  </si>
  <si>
    <t>サービス種別16(予備)</t>
    <rPh sb="4" eb="6">
      <t>シュベツ</t>
    </rPh>
    <phoneticPr fontId="2"/>
  </si>
  <si>
    <t>service_class16</t>
  </si>
  <si>
    <t>サービス種別17(予備)</t>
    <rPh sb="4" eb="6">
      <t>シュベツ</t>
    </rPh>
    <phoneticPr fontId="2"/>
  </si>
  <si>
    <t>service_class17</t>
  </si>
  <si>
    <t>サービス種別18(予備)</t>
    <rPh sb="4" eb="6">
      <t>シュベツ</t>
    </rPh>
    <phoneticPr fontId="2"/>
  </si>
  <si>
    <t>service_class18</t>
  </si>
  <si>
    <t>number of prints</t>
    <phoneticPr fontId="2"/>
  </si>
  <si>
    <t>service_class19</t>
  </si>
  <si>
    <t>X回数</t>
    <rPh sb="1" eb="3">
      <t>カイスウ</t>
    </rPh>
    <phoneticPr fontId="2"/>
  </si>
  <si>
    <t>layout　class</t>
    <phoneticPr fontId="2"/>
  </si>
  <si>
    <t>service_class20</t>
  </si>
  <si>
    <t>1：button１　2：button2　※レイアウトの切替</t>
    <rPh sb="27" eb="29">
      <t>キリカエ</t>
    </rPh>
    <phoneticPr fontId="2"/>
  </si>
  <si>
    <t>ポイント種別1(Ignica)</t>
    <rPh sb="4" eb="6">
      <t>シュベツ</t>
    </rPh>
    <phoneticPr fontId="2"/>
  </si>
  <si>
    <t>point_class01</t>
    <phoneticPr fontId="2"/>
  </si>
  <si>
    <t>"0"</t>
    <phoneticPr fontId="2"/>
  </si>
  <si>
    <t>利用：可能："1"、不可："0"</t>
  </si>
  <si>
    <t>ポイント種別2(WAONポイント)</t>
    <rPh sb="4" eb="6">
      <t>シュベツ</t>
    </rPh>
    <phoneticPr fontId="2"/>
  </si>
  <si>
    <t>point_class02</t>
  </si>
  <si>
    <t>ポイント種別3(イオンカード)</t>
    <rPh sb="4" eb="6">
      <t>シュベツ</t>
    </rPh>
    <phoneticPr fontId="2"/>
  </si>
  <si>
    <t>point_class03</t>
  </si>
  <si>
    <t>ポイント種別4(WAONカード支払)</t>
    <rPh sb="4" eb="6">
      <t>シュベツ</t>
    </rPh>
    <rPh sb="15" eb="17">
      <t>シハライ</t>
    </rPh>
    <phoneticPr fontId="2"/>
  </si>
  <si>
    <t>point_class04</t>
  </si>
  <si>
    <t>ポイント種別5(予備)</t>
    <rPh sb="4" eb="6">
      <t>シュベツ</t>
    </rPh>
    <phoneticPr fontId="2"/>
  </si>
  <si>
    <t>point_class05</t>
  </si>
  <si>
    <t>ポイント種別6(予備)</t>
    <rPh sb="4" eb="6">
      <t>シュベツ</t>
    </rPh>
    <phoneticPr fontId="2"/>
  </si>
  <si>
    <t>point_class06</t>
  </si>
  <si>
    <t>ポイント種別7(予備)</t>
    <rPh sb="4" eb="6">
      <t>シュベツ</t>
    </rPh>
    <phoneticPr fontId="2"/>
  </si>
  <si>
    <t>point_class07</t>
  </si>
  <si>
    <t>ポイント種別8(予備)</t>
    <rPh sb="4" eb="6">
      <t>シュベツ</t>
    </rPh>
    <phoneticPr fontId="2"/>
  </si>
  <si>
    <t>point_class08</t>
  </si>
  <si>
    <t>ポイント種別9(予備)</t>
    <rPh sb="4" eb="6">
      <t>シュベツ</t>
    </rPh>
    <phoneticPr fontId="2"/>
  </si>
  <si>
    <t>point_class09</t>
  </si>
  <si>
    <t>ポイント種別10(予備)</t>
    <rPh sb="4" eb="6">
      <t>シュベツ</t>
    </rPh>
    <phoneticPr fontId="2"/>
  </si>
  <si>
    <t>point_class10</t>
  </si>
  <si>
    <t>ポイント種別11(予備)</t>
    <rPh sb="4" eb="6">
      <t>シュベツ</t>
    </rPh>
    <phoneticPr fontId="2"/>
  </si>
  <si>
    <t>point_class11</t>
  </si>
  <si>
    <t>ポイント種別12(予備)</t>
    <rPh sb="4" eb="6">
      <t>シュベツ</t>
    </rPh>
    <phoneticPr fontId="2"/>
  </si>
  <si>
    <t>point_class12</t>
  </si>
  <si>
    <t>ポイント種別13(予備)</t>
    <rPh sb="4" eb="6">
      <t>シュベツ</t>
    </rPh>
    <phoneticPr fontId="2"/>
  </si>
  <si>
    <t>point_class13</t>
  </si>
  <si>
    <t>ポイント種別14(予備)</t>
    <rPh sb="4" eb="6">
      <t>シュベツ</t>
    </rPh>
    <phoneticPr fontId="2"/>
  </si>
  <si>
    <t>point_class14</t>
  </si>
  <si>
    <t>ポイント種別15(予備)</t>
    <rPh sb="4" eb="6">
      <t>シュベツ</t>
    </rPh>
    <phoneticPr fontId="2"/>
  </si>
  <si>
    <t>point_class15</t>
  </si>
  <si>
    <t>ポイント種別16(予備)</t>
    <rPh sb="4" eb="6">
      <t>シュベツ</t>
    </rPh>
    <phoneticPr fontId="2"/>
  </si>
  <si>
    <t>point_class16</t>
  </si>
  <si>
    <t>ポイント種別17(予備)</t>
    <rPh sb="4" eb="6">
      <t>シュベツ</t>
    </rPh>
    <phoneticPr fontId="2"/>
  </si>
  <si>
    <t>point_class17</t>
  </si>
  <si>
    <t>ポイント種別18(予備)</t>
    <rPh sb="4" eb="6">
      <t>シュベツ</t>
    </rPh>
    <phoneticPr fontId="2"/>
  </si>
  <si>
    <t>point_class18</t>
  </si>
  <si>
    <t>ポイント種別19(予備)</t>
    <rPh sb="4" eb="6">
      <t>シュベツ</t>
    </rPh>
    <phoneticPr fontId="2"/>
  </si>
  <si>
    <t>point_class19</t>
  </si>
  <si>
    <t>ポイント種別20(予備)</t>
    <rPh sb="4" eb="6">
      <t>シュベツ</t>
    </rPh>
    <phoneticPr fontId="2"/>
  </si>
  <si>
    <t>point_class20</t>
  </si>
  <si>
    <t>支払種別1(現金)</t>
    <rPh sb="0" eb="2">
      <t>シハライ</t>
    </rPh>
    <rPh sb="2" eb="4">
      <t>シュベツ</t>
    </rPh>
    <rPh sb="6" eb="8">
      <t>ゲンキン</t>
    </rPh>
    <phoneticPr fontId="2"/>
  </si>
  <si>
    <t>payment_class01</t>
    <phoneticPr fontId="2"/>
  </si>
  <si>
    <t>利用：可能："1"、不可："0"（デフォルトで利用可能とする）</t>
    <rPh sb="0" eb="2">
      <t>リヨウ</t>
    </rPh>
    <rPh sb="3" eb="5">
      <t>カノウ</t>
    </rPh>
    <rPh sb="10" eb="12">
      <t>フカ</t>
    </rPh>
    <rPh sb="23" eb="27">
      <t>リヨウカノウ</t>
    </rPh>
    <phoneticPr fontId="2"/>
  </si>
  <si>
    <t>支払種別2(WAONポイント)</t>
    <rPh sb="0" eb="2">
      <t>シハライ</t>
    </rPh>
    <rPh sb="2" eb="4">
      <t>シュベツ</t>
    </rPh>
    <phoneticPr fontId="2"/>
  </si>
  <si>
    <t>payment_class02</t>
  </si>
  <si>
    <t>利用：可能："1"、不可："0"</t>
    <phoneticPr fontId="2"/>
  </si>
  <si>
    <t>支払種別3(Ignicaポイント)</t>
    <rPh sb="0" eb="2">
      <t>シハライ</t>
    </rPh>
    <rPh sb="2" eb="4">
      <t>シュベツ</t>
    </rPh>
    <phoneticPr fontId="2"/>
  </si>
  <si>
    <t>payment_class03</t>
  </si>
  <si>
    <t>支払種別4(WAON)</t>
    <rPh sb="0" eb="2">
      <t>シハライ</t>
    </rPh>
    <rPh sb="2" eb="4">
      <t>シュベツ</t>
    </rPh>
    <phoneticPr fontId="2"/>
  </si>
  <si>
    <t>payment_class04</t>
  </si>
  <si>
    <t>支払種別5(AEON Pay)</t>
    <rPh sb="0" eb="2">
      <t>シハライ</t>
    </rPh>
    <rPh sb="2" eb="4">
      <t>シュベツ</t>
    </rPh>
    <phoneticPr fontId="2"/>
  </si>
  <si>
    <t>payment_class05</t>
  </si>
  <si>
    <t>支払種別6(クレジット(1回))</t>
    <rPh sb="0" eb="2">
      <t>シハライ</t>
    </rPh>
    <rPh sb="2" eb="4">
      <t>シュベツ</t>
    </rPh>
    <phoneticPr fontId="2"/>
  </si>
  <si>
    <t>payment_class06</t>
  </si>
  <si>
    <t>支払種別7(クレジット(リボ))</t>
    <rPh sb="0" eb="2">
      <t>シハライ</t>
    </rPh>
    <rPh sb="2" eb="4">
      <t>シュベツ</t>
    </rPh>
    <phoneticPr fontId="2"/>
  </si>
  <si>
    <t>payment_class07</t>
  </si>
  <si>
    <t>支払種別8(イオンギフトカード)</t>
    <rPh sb="0" eb="2">
      <t>シハライ</t>
    </rPh>
    <rPh sb="2" eb="4">
      <t>シュベツ</t>
    </rPh>
    <phoneticPr fontId="2"/>
  </si>
  <si>
    <t>payment_class08</t>
  </si>
  <si>
    <t>支払種別9(電子マネー)</t>
    <rPh sb="0" eb="2">
      <t>シハライ</t>
    </rPh>
    <rPh sb="2" eb="4">
      <t>シュベツ</t>
    </rPh>
    <phoneticPr fontId="2"/>
  </si>
  <si>
    <t>payment_class09</t>
  </si>
  <si>
    <t>支払種別10(銀嶺)</t>
    <rPh sb="0" eb="2">
      <t>シハライ</t>
    </rPh>
    <rPh sb="2" eb="4">
      <t>シュベツ</t>
    </rPh>
    <phoneticPr fontId="2"/>
  </si>
  <si>
    <t>payment_class10</t>
  </si>
  <si>
    <t>支払種別11(クーポン)</t>
    <rPh sb="0" eb="2">
      <t>シハライ</t>
    </rPh>
    <rPh sb="2" eb="4">
      <t>シュベツ</t>
    </rPh>
    <phoneticPr fontId="2"/>
  </si>
  <si>
    <t>payment_class11</t>
  </si>
  <si>
    <t>支払種別12(金券)</t>
    <rPh sb="0" eb="2">
      <t>シハライ</t>
    </rPh>
    <rPh sb="2" eb="4">
      <t>シュベツ</t>
    </rPh>
    <phoneticPr fontId="2"/>
  </si>
  <si>
    <t>payment_class12</t>
  </si>
  <si>
    <t>支払種別13</t>
    <rPh sb="0" eb="2">
      <t>シハライ</t>
    </rPh>
    <rPh sb="2" eb="4">
      <t>シュベツ</t>
    </rPh>
    <phoneticPr fontId="2"/>
  </si>
  <si>
    <t>payment_class13</t>
  </si>
  <si>
    <t>支払種別14</t>
    <rPh sb="0" eb="2">
      <t>シハライ</t>
    </rPh>
    <rPh sb="2" eb="4">
      <t>シュベツ</t>
    </rPh>
    <phoneticPr fontId="2"/>
  </si>
  <si>
    <t>payment_class14</t>
  </si>
  <si>
    <t>支払種別15</t>
    <rPh sb="0" eb="2">
      <t>シハライ</t>
    </rPh>
    <rPh sb="2" eb="4">
      <t>シュベツ</t>
    </rPh>
    <phoneticPr fontId="2"/>
  </si>
  <si>
    <t>payment_class15</t>
  </si>
  <si>
    <t>支払種別16</t>
    <rPh sb="0" eb="2">
      <t>シハライ</t>
    </rPh>
    <rPh sb="2" eb="4">
      <t>シュベツ</t>
    </rPh>
    <phoneticPr fontId="2"/>
  </si>
  <si>
    <t>payment_class16</t>
  </si>
  <si>
    <t>支払種別17</t>
    <rPh sb="0" eb="2">
      <t>シハライ</t>
    </rPh>
    <rPh sb="2" eb="4">
      <t>シュベツ</t>
    </rPh>
    <phoneticPr fontId="2"/>
  </si>
  <si>
    <t>payment_class17</t>
  </si>
  <si>
    <t>支払種別18</t>
    <rPh sb="0" eb="2">
      <t>シハライ</t>
    </rPh>
    <rPh sb="2" eb="4">
      <t>シュベツ</t>
    </rPh>
    <phoneticPr fontId="2"/>
  </si>
  <si>
    <t>payment_class18</t>
  </si>
  <si>
    <t>支払種別19</t>
    <rPh sb="0" eb="2">
      <t>シハライ</t>
    </rPh>
    <rPh sb="2" eb="4">
      <t>シュベツ</t>
    </rPh>
    <phoneticPr fontId="2"/>
  </si>
  <si>
    <t>payment_class19</t>
  </si>
  <si>
    <t>支払種別20</t>
    <rPh sb="0" eb="2">
      <t>シハライ</t>
    </rPh>
    <rPh sb="2" eb="4">
      <t>シュベツ</t>
    </rPh>
    <phoneticPr fontId="2"/>
  </si>
  <si>
    <t>payment_class20</t>
  </si>
  <si>
    <t>company_code,store_code,instore_code</t>
    <phoneticPr fontId="2"/>
  </si>
  <si>
    <r>
      <rPr>
        <sz val="11"/>
        <rFont val="Meiryo UI"/>
        <family val="3"/>
        <charset val="128"/>
      </rPr>
      <t>Yes</t>
    </r>
  </si>
  <si>
    <t>※使用API</t>
    <rPh sb="1" eb="3">
      <t>シヨウ</t>
    </rPh>
    <phoneticPr fontId="2"/>
  </si>
  <si>
    <t>No.</t>
    <phoneticPr fontId="14"/>
  </si>
  <si>
    <t>API</t>
    <phoneticPr fontId="15"/>
  </si>
  <si>
    <t>METHOD</t>
  </si>
  <si>
    <t>認証</t>
  </si>
  <si>
    <t>←参照(Select)、更新(Update）、追加（Insert）で、URLを分けていただきたい。</t>
    <rPh sb="1" eb="3">
      <t>サンショウ</t>
    </rPh>
    <rPh sb="12" eb="14">
      <t>コウシン</t>
    </rPh>
    <rPh sb="23" eb="25">
      <t>ツイカ</t>
    </rPh>
    <rPh sb="39" eb="40">
      <t>ワ</t>
    </rPh>
    <phoneticPr fontId="15"/>
  </si>
  <si>
    <t>A001</t>
    <phoneticPr fontId="15"/>
  </si>
  <si>
    <t>pos/v1/〇〇〇/〇〇〇</t>
    <phoneticPr fontId="15"/>
  </si>
  <si>
    <t>POST</t>
  </si>
  <si>
    <t>-</t>
  </si>
  <si>
    <t>←更新で、無い場合は追加という対応が可能でしたら、更新だけで問題ありません。</t>
    <rPh sb="1" eb="3">
      <t>コウシン</t>
    </rPh>
    <rPh sb="5" eb="6">
      <t>ナ</t>
    </rPh>
    <rPh sb="7" eb="9">
      <t>バアイ</t>
    </rPh>
    <rPh sb="10" eb="12">
      <t>ツイカ</t>
    </rPh>
    <rPh sb="15" eb="17">
      <t>タイオウ</t>
    </rPh>
    <rPh sb="18" eb="20">
      <t>カノウ</t>
    </rPh>
    <rPh sb="25" eb="27">
      <t>コウシン</t>
    </rPh>
    <rPh sb="30" eb="32">
      <t>モンダイ</t>
    </rPh>
    <phoneticPr fontId="15"/>
  </si>
  <si>
    <t>リクエスト:更新(Update）、追加（Insert）</t>
    <phoneticPr fontId="14"/>
  </si>
  <si>
    <t>レスポンス&lt;200：OK&gt;</t>
    <phoneticPr fontId="15"/>
  </si>
  <si>
    <t>プロパティ</t>
    <phoneticPr fontId="15"/>
  </si>
  <si>
    <t>型</t>
    <phoneticPr fontId="15"/>
  </si>
  <si>
    <t>文字数</t>
    <rPh sb="0" eb="3">
      <t>モジスウ</t>
    </rPh>
    <phoneticPr fontId="15"/>
  </si>
  <si>
    <t>必須</t>
    <rPh sb="0" eb="2">
      <t>ヒッス</t>
    </rPh>
    <phoneticPr fontId="15"/>
  </si>
  <si>
    <t>説明</t>
    <rPh sb="0" eb="2">
      <t>セツメイ</t>
    </rPh>
    <phoneticPr fontId="15"/>
  </si>
  <si>
    <t>例</t>
    <phoneticPr fontId="15"/>
  </si>
  <si>
    <t>{</t>
  </si>
  <si>
    <t>なし</t>
    <phoneticPr fontId="15"/>
  </si>
  <si>
    <t>company_code</t>
    <phoneticPr fontId="15"/>
  </si>
  <si>
    <t>string</t>
    <phoneticPr fontId="15"/>
  </si>
  <si>
    <t>10</t>
    <phoneticPr fontId="15"/>
  </si>
  <si>
    <t>〇</t>
    <phoneticPr fontId="2"/>
  </si>
  <si>
    <t>〇</t>
    <phoneticPr fontId="15"/>
  </si>
  <si>
    <t>企業コード</t>
    <rPh sb="0" eb="2">
      <t>キギョウ</t>
    </rPh>
    <phoneticPr fontId="15"/>
  </si>
  <si>
    <t>store_code</t>
    <phoneticPr fontId="15"/>
  </si>
  <si>
    <t>店舗コード</t>
    <rPh sb="0" eb="2">
      <t>テンポ</t>
    </rPh>
    <phoneticPr fontId="15"/>
  </si>
  <si>
    <t>instore_code</t>
    <phoneticPr fontId="15"/>
  </si>
  <si>
    <t>店舗内コード</t>
    <rPh sb="0" eb="2">
      <t>テンポ</t>
    </rPh>
    <rPh sb="2" eb="3">
      <t>ナイ</t>
    </rPh>
    <phoneticPr fontId="15"/>
  </si>
  <si>
    <t>エラーメッセージ&lt;200：OK&gt;</t>
    <phoneticPr fontId="15"/>
  </si>
  <si>
    <t>5</t>
    <phoneticPr fontId="2"/>
  </si>
  <si>
    <t>class</t>
  </si>
  <si>
    <t>HTTPステータス</t>
  </si>
  <si>
    <t>ServiceClass01</t>
  </si>
  <si>
    <t>int</t>
    <phoneticPr fontId="2"/>
  </si>
  <si>
    <t>400</t>
  </si>
  <si>
    <t>{ message:"company_code に誤りがあります。（必須または10文字以内）"}</t>
  </si>
  <si>
    <t>ServiceClass02</t>
  </si>
  <si>
    <t>{ message:"store_code に誤りがあります。（必須または10文字以内）"}</t>
  </si>
  <si>
    <t>ServiceClass03</t>
  </si>
  <si>
    <t>{ message:"instore_code に誤りがあります。（必須または10文字以内）"}</t>
    <phoneticPr fontId="15"/>
  </si>
  <si>
    <t>ServiceClass04</t>
  </si>
  <si>
    <t>{ message:"プロパティ に誤りがあります。"}</t>
    <phoneticPr fontId="15"/>
  </si>
  <si>
    <t>ServiceClass05</t>
  </si>
  <si>
    <t>ServiceClass06</t>
  </si>
  <si>
    <t>ServiceClass07</t>
  </si>
  <si>
    <t>サービス種別7(予備)</t>
    <rPh sb="4" eb="6">
      <t>シュベツ</t>
    </rPh>
    <rPh sb="8" eb="10">
      <t>ヨビ</t>
    </rPh>
    <phoneticPr fontId="2"/>
  </si>
  <si>
    <t>ServiceClass08</t>
  </si>
  <si>
    <t>ServiceClass09</t>
  </si>
  <si>
    <t>ServiceClass10</t>
  </si>
  <si>
    <t>PointClass01</t>
  </si>
  <si>
    <t>PointClass02</t>
  </si>
  <si>
    <t>PointClass03</t>
  </si>
  <si>
    <t>PointClass04</t>
  </si>
  <si>
    <t>PointClass05</t>
  </si>
  <si>
    <t>PointClass06</t>
  </si>
  <si>
    <t>PointClass07</t>
  </si>
  <si>
    <t>PointClass08</t>
  </si>
  <si>
    <t>PointClass09</t>
  </si>
  <si>
    <t>PointClass10</t>
  </si>
  <si>
    <t>PaymentClass01</t>
  </si>
  <si>
    <t>PaymentClass02</t>
  </si>
  <si>
    <t>PaymentClass03</t>
  </si>
  <si>
    <t>PaymentClass04</t>
  </si>
  <si>
    <t>PaymentClass05</t>
  </si>
  <si>
    <t>PaymentClass06</t>
  </si>
  <si>
    <t>PaymentClass07</t>
  </si>
  <si>
    <t>PaymentClass08</t>
  </si>
  <si>
    <t>PaymentClass09</t>
  </si>
  <si>
    <t>PaymentClass10</t>
  </si>
  <si>
    <t>PaymentClass11</t>
  </si>
  <si>
    <t>PaymentClass12</t>
  </si>
  <si>
    <t>PaymentClass13</t>
  </si>
  <si>
    <t>PaymentClass14</t>
  </si>
  <si>
    <t>PaymentClass15</t>
  </si>
  <si>
    <t>PaymentClass16</t>
  </si>
  <si>
    <t>PaymentClass17</t>
  </si>
  <si>
    <t>PaymentClass18</t>
  </si>
  <si>
    <t>PaymentClass19</t>
  </si>
  <si>
    <t>PaymentClass20</t>
  </si>
  <si>
    <t>}</t>
    <phoneticPr fontId="2"/>
  </si>
  <si>
    <t>リクエスト:参照（Select）</t>
    <rPh sb="6" eb="8">
      <t>サンショウ</t>
    </rPh>
    <phoneticPr fontId="14"/>
  </si>
  <si>
    <t>例</t>
  </si>
  <si>
    <t xml:space="preserve">  "company_code: "300","</t>
  </si>
  <si>
    <t xml:space="preserve">  "store_code: "048405","</t>
  </si>
  <si>
    <t>}</t>
    <phoneticPr fontId="15"/>
  </si>
  <si>
    <t xml:space="preserve">  "instore_code: "901","</t>
  </si>
  <si>
    <t xml:space="preserve">  "RECORD_VOID_FLAG: false,"</t>
  </si>
  <si>
    <t xml:space="preserve">  "class: 9,"</t>
  </si>
  <si>
    <t xml:space="preserve">  "ServiceClass01: 1,"</t>
  </si>
  <si>
    <t xml:space="preserve">  "ServiceClass02: 9,"</t>
  </si>
  <si>
    <t xml:space="preserve">  "ServiceClass03: 9,"</t>
  </si>
  <si>
    <t xml:space="preserve">  "ServiceClass04: 9,"</t>
  </si>
  <si>
    <t xml:space="preserve">  "ServiceClass05: 9,"</t>
  </si>
  <si>
    <t xml:space="preserve">  "ServiceClass06: 9,"</t>
  </si>
  <si>
    <t xml:space="preserve">  "ServiceClass07: 9,"</t>
  </si>
  <si>
    <t xml:space="preserve">  "ServiceClass08: 9,"</t>
  </si>
  <si>
    <t xml:space="preserve">  "ServiceClass09: 9,"</t>
  </si>
  <si>
    <t xml:space="preserve">  "ServiceClass10: 9,"</t>
  </si>
  <si>
    <t xml:space="preserve">  "PointClass01: 9,"</t>
  </si>
  <si>
    <t xml:space="preserve">  "PointClass02: 9,"</t>
  </si>
  <si>
    <t xml:space="preserve">  "PointClass03: 9,"</t>
  </si>
  <si>
    <t xml:space="preserve">  "PointClass04: 9,"</t>
  </si>
  <si>
    <t xml:space="preserve">  "PointClass05: 9,"</t>
  </si>
  <si>
    <t xml:space="preserve">  "PointClass06: 9,"</t>
  </si>
  <si>
    <t xml:space="preserve">  "PointClass07: 9,"</t>
  </si>
  <si>
    <t xml:space="preserve">  "PointClass08: 9,"</t>
  </si>
  <si>
    <t xml:space="preserve">  "PointClass09: 9,"</t>
  </si>
  <si>
    <t xml:space="preserve">  "PointClass10: 9,"</t>
  </si>
  <si>
    <t xml:space="preserve">  "PaymentClass01: 1,"</t>
  </si>
  <si>
    <t xml:space="preserve">  "PaymentClass02: 9,"</t>
  </si>
  <si>
    <t xml:space="preserve">  "PaymentClass03: 9,"</t>
  </si>
  <si>
    <t xml:space="preserve">  "PaymentClass04: 9,"</t>
  </si>
  <si>
    <t xml:space="preserve">  "PaymentClass05: 9,"</t>
  </si>
  <si>
    <t xml:space="preserve">  "PaymentClass06: 9,"</t>
  </si>
  <si>
    <t xml:space="preserve">  "PaymentClass07: 9,"</t>
  </si>
  <si>
    <t xml:space="preserve">  "PaymentClass08: 9,"</t>
  </si>
  <si>
    <t xml:space="preserve">  "PaymentClass09: 9,"</t>
  </si>
  <si>
    <t xml:space="preserve">  "PaymentClass10: 9,"</t>
  </si>
  <si>
    <t xml:space="preserve">  "PaymentClass11: 9,"</t>
  </si>
  <si>
    <t xml:space="preserve">  "PaymentClass12: 9,"</t>
  </si>
  <si>
    <t xml:space="preserve">  "PaymentClass13: 9,"</t>
  </si>
  <si>
    <t xml:space="preserve">  "PaymentClass14: 9,"</t>
  </si>
  <si>
    <t xml:space="preserve">  "PaymentClass15: 9,"</t>
  </si>
  <si>
    <t xml:space="preserve">  "PaymentClass16: 9,"</t>
  </si>
  <si>
    <t xml:space="preserve">  "PaymentClass17: 9,"</t>
  </si>
  <si>
    <t xml:space="preserve">  "PaymentClass18: 9,"</t>
  </si>
  <si>
    <t xml:space="preserve">  "PaymentClass19: 9,"</t>
  </si>
  <si>
    <t xml:space="preserve">  "PaymentClass20: 9,"</t>
  </si>
  <si>
    <t>}</t>
  </si>
  <si>
    <t>釣銭機設定</t>
    <rPh sb="0" eb="3">
      <t>ツリセンキ</t>
    </rPh>
    <rPh sb="3" eb="5">
      <t>セッテイ</t>
    </rPh>
    <phoneticPr fontId="2"/>
  </si>
  <si>
    <t>ChangeMachineSetting</t>
    <phoneticPr fontId="2"/>
  </si>
  <si>
    <t>・釣銭機に設定される各種金種ごとの設定枚数を定義する。</t>
    <rPh sb="1" eb="4">
      <t>ツリセンキ</t>
    </rPh>
    <rPh sb="5" eb="7">
      <t>セッテイ</t>
    </rPh>
    <rPh sb="10" eb="12">
      <t>カクシュ</t>
    </rPh>
    <rPh sb="12" eb="14">
      <t>キンシュ</t>
    </rPh>
    <rPh sb="17" eb="19">
      <t>セッテイ</t>
    </rPh>
    <rPh sb="19" eb="21">
      <t>マイスウ</t>
    </rPh>
    <rPh sb="22" eb="24">
      <t>テイギ</t>
    </rPh>
    <phoneticPr fontId="2"/>
  </si>
  <si>
    <t>varchar(10)</t>
    <phoneticPr fontId="2"/>
  </si>
  <si>
    <t>varchar(10)</t>
  </si>
  <si>
    <t>status</t>
    <phoneticPr fontId="2"/>
  </si>
  <si>
    <t>decimal(3)</t>
    <phoneticPr fontId="2"/>
  </si>
  <si>
    <t>1:フル 2:ニアフル 3:ニアエンプティ 4:エンプティ 5:残置 6:釣銭準備金 7:両替最大数 8:両替優先順位 9:設定排出枚数(カスミのみ)</t>
    <rPh sb="32" eb="34">
      <t>ザンチ</t>
    </rPh>
    <rPh sb="37" eb="42">
      <t>ツリセンジュンビキン</t>
    </rPh>
    <rPh sb="62" eb="64">
      <t>セッテイ</t>
    </rPh>
    <rPh sb="64" eb="66">
      <t>ハイシュツ</t>
    </rPh>
    <rPh sb="66" eb="68">
      <t>マイスウ</t>
    </rPh>
    <phoneticPr fontId="2"/>
  </si>
  <si>
    <t>count_10000</t>
  </si>
  <si>
    <t>decimal(4)</t>
    <phoneticPr fontId="2"/>
  </si>
  <si>
    <t>”0”</t>
    <phoneticPr fontId="2"/>
  </si>
  <si>
    <t>count_5000</t>
  </si>
  <si>
    <t>decimal(4)</t>
  </si>
  <si>
    <t>”0”</t>
  </si>
  <si>
    <t>count_2000</t>
  </si>
  <si>
    <t>count_1000</t>
  </si>
  <si>
    <t>count_500</t>
  </si>
  <si>
    <t>count_100</t>
  </si>
  <si>
    <t>count_50</t>
  </si>
  <si>
    <t>count_10</t>
  </si>
  <si>
    <t>count_5</t>
  </si>
  <si>
    <t>count_1</t>
  </si>
  <si>
    <t>cassette</t>
  </si>
  <si>
    <t>company_code,store_code,instore_code,status</t>
    <phoneticPr fontId="2"/>
  </si>
  <si>
    <t>10000yen</t>
  </si>
  <si>
    <t>5000yen</t>
  </si>
  <si>
    <t>2000yen</t>
  </si>
  <si>
    <t>1000yen</t>
  </si>
  <si>
    <t>500yen</t>
  </si>
  <si>
    <t>100yen</t>
  </si>
  <si>
    <t>50yen</t>
  </si>
  <si>
    <t>10yen</t>
  </si>
  <si>
    <t>5yen</t>
  </si>
  <si>
    <t>1yen</t>
  </si>
  <si>
    <t>カセット</t>
  </si>
  <si>
    <t>〇</t>
  </si>
  <si>
    <t xml:space="preserve">  "10000yen: 1,"</t>
  </si>
  <si>
    <t xml:space="preserve">  "5000yen: 9,"</t>
  </si>
  <si>
    <t xml:space="preserve">  "2000yen: 9,"</t>
  </si>
  <si>
    <t xml:space="preserve">  "1000yen: 9,"</t>
  </si>
  <si>
    <t xml:space="preserve">  "500yen: 9,"</t>
  </si>
  <si>
    <t xml:space="preserve">  "100yen: 9,"</t>
  </si>
  <si>
    <t xml:space="preserve">  "50yen: 9,"</t>
  </si>
  <si>
    <t xml:space="preserve">  "10yen: 9,"</t>
  </si>
  <si>
    <t xml:space="preserve">  "5yen: 9,"</t>
  </si>
  <si>
    <t xml:space="preserve">  "1yen: 9,"</t>
  </si>
  <si>
    <t xml:space="preserve">  "cassette: 9,"</t>
  </si>
  <si>
    <t>Pos_device</t>
    <phoneticPr fontId="2"/>
  </si>
  <si>
    <t>店舗マスタ</t>
    <rPh sb="0" eb="2">
      <t>テンポ</t>
    </rPh>
    <phoneticPr fontId="2"/>
  </si>
  <si>
    <t>branch_master</t>
    <phoneticPr fontId="2"/>
  </si>
  <si>
    <t>業態コード</t>
    <rPh sb="0" eb="2">
      <t>ギョウタイ</t>
    </rPh>
    <phoneticPr fontId="2"/>
  </si>
  <si>
    <t>店舗名</t>
    <phoneticPr fontId="2"/>
  </si>
  <si>
    <t>varchar(40)</t>
    <phoneticPr fontId="2"/>
  </si>
  <si>
    <t>店舗郵便番号</t>
  </si>
  <si>
    <t>店舗都道府県名称</t>
  </si>
  <si>
    <t>店舗市区町村名称</t>
  </si>
  <si>
    <t>店舗町域名称</t>
  </si>
  <si>
    <t>店舗建物名称</t>
  </si>
  <si>
    <t>店舗電話番号</t>
  </si>
  <si>
    <t>店舗ＦＡＸ番号</t>
  </si>
  <si>
    <t>店舗名略称1</t>
    <rPh sb="3" eb="5">
      <t>リャクショウ</t>
    </rPh>
    <phoneticPr fontId="2"/>
  </si>
  <si>
    <t>店舗名略称2</t>
    <rPh sb="3" eb="5">
      <t>リャクショウ</t>
    </rPh>
    <phoneticPr fontId="2"/>
  </si>
  <si>
    <t>店舗名略称3</t>
    <rPh sb="3" eb="5">
      <t>リャクショウ</t>
    </rPh>
    <phoneticPr fontId="2"/>
  </si>
  <si>
    <t>店舗名略称4</t>
    <rPh sb="3" eb="5">
      <t>リャクショウ</t>
    </rPh>
    <phoneticPr fontId="2"/>
  </si>
  <si>
    <t>店舗名略称5</t>
    <rPh sb="3" eb="5">
      <t>リャクショウ</t>
    </rPh>
    <phoneticPr fontId="2"/>
  </si>
  <si>
    <t>Y</t>
    <phoneticPr fontId="2"/>
  </si>
  <si>
    <t>varchar(16)</t>
  </si>
  <si>
    <t>varchar(50)</t>
  </si>
  <si>
    <t>varchar(200)</t>
  </si>
  <si>
    <t>varchar(15)</t>
  </si>
  <si>
    <t>varchar(20)</t>
  </si>
  <si>
    <t>COMPANY_CODE</t>
  </si>
  <si>
    <t>STORE_CODE</t>
  </si>
  <si>
    <t>BUSINESS TYPE_CODE</t>
  </si>
  <si>
    <t>BRANCH_NAME</t>
  </si>
  <si>
    <t>POST_CODE</t>
  </si>
  <si>
    <t>PREFECTURE</t>
  </si>
  <si>
    <t>TOWN</t>
  </si>
  <si>
    <t>BLOCK</t>
  </si>
  <si>
    <t>BUILDING</t>
  </si>
  <si>
    <t>PHONE_NUMBER</t>
  </si>
  <si>
    <t>FAX_NUMBER</t>
  </si>
  <si>
    <t>BRANCH_SHORT_NAME1</t>
  </si>
  <si>
    <t>BRANCH_SHORT_NAME2</t>
  </si>
  <si>
    <t>BRANCH_SHORT_NAME3</t>
  </si>
  <si>
    <t>BRANCH_SHORT_NAME4</t>
  </si>
  <si>
    <t>BRANCH_SHORT_NAME5</t>
  </si>
  <si>
    <t>営業時間(開店)</t>
    <rPh sb="0" eb="2">
      <t>エイギョウ</t>
    </rPh>
    <rPh sb="2" eb="4">
      <t>ジカン</t>
    </rPh>
    <rPh sb="5" eb="7">
      <t>カイテン</t>
    </rPh>
    <phoneticPr fontId="2"/>
  </si>
  <si>
    <t>営業時間(閉店)</t>
    <rPh sb="5" eb="7">
      <t>ヘイテン</t>
    </rPh>
    <phoneticPr fontId="2"/>
  </si>
  <si>
    <t>START_HOURS</t>
    <phoneticPr fontId="2"/>
  </si>
  <si>
    <t>char(7)</t>
    <phoneticPr fontId="2"/>
  </si>
  <si>
    <t>char(5)</t>
  </si>
  <si>
    <t>レシートロゴ切替用</t>
    <rPh sb="6" eb="9">
      <t>キリカエヨウ</t>
    </rPh>
    <phoneticPr fontId="2"/>
  </si>
  <si>
    <t>各帳票表示用</t>
    <rPh sb="0" eb="1">
      <t>カク</t>
    </rPh>
    <rPh sb="1" eb="3">
      <t>チョウヒョウ</t>
    </rPh>
    <rPh sb="3" eb="6">
      <t>ヒョウジヨウ</t>
    </rPh>
    <phoneticPr fontId="2"/>
  </si>
  <si>
    <t>MASTER_CODE</t>
  </si>
  <si>
    <t>MASTER_CODE</t>
    <phoneticPr fontId="2"/>
  </si>
  <si>
    <t>PROPERTY_NAME</t>
    <phoneticPr fontId="2"/>
  </si>
  <si>
    <t>CODE_NO</t>
    <phoneticPr fontId="2"/>
  </si>
  <si>
    <t>COMPANY_CODE</t>
    <phoneticPr fontId="2"/>
  </si>
  <si>
    <t>CODE_VALUE</t>
    <phoneticPr fontId="2"/>
  </si>
  <si>
    <t>CODE_VALUE_EXT1</t>
  </si>
  <si>
    <t>CODE_VALUE_EXT2</t>
    <phoneticPr fontId="2"/>
  </si>
  <si>
    <t>CODE_VALUE_EXT3</t>
  </si>
  <si>
    <t>CODE_VALUE_EXT4</t>
  </si>
  <si>
    <t>varchar(50)</t>
    <phoneticPr fontId="2"/>
  </si>
  <si>
    <t>プロパティ名</t>
  </si>
  <si>
    <t>コード番号</t>
  </si>
  <si>
    <t>企業コード</t>
  </si>
  <si>
    <t>コード値</t>
  </si>
  <si>
    <t>コード値_その他1</t>
    <phoneticPr fontId="2"/>
  </si>
  <si>
    <t>コード値_その他2</t>
    <phoneticPr fontId="2"/>
  </si>
  <si>
    <t>コード値_その他3</t>
    <phoneticPr fontId="2"/>
  </si>
  <si>
    <t>コード値_その他4</t>
    <phoneticPr fontId="2"/>
  </si>
  <si>
    <t>code_master</t>
    <phoneticPr fontId="2"/>
  </si>
  <si>
    <t>コードマスタ</t>
    <phoneticPr fontId="2"/>
  </si>
  <si>
    <t>END_HOURS</t>
    <phoneticPr fontId="2"/>
  </si>
  <si>
    <t>receipt_no</t>
    <phoneticPr fontId="2"/>
  </si>
  <si>
    <t>record_datetime</t>
    <phoneticPr fontId="2"/>
  </si>
  <si>
    <t>設定定義</t>
  </si>
  <si>
    <t>共通機能</t>
  </si>
  <si>
    <t>きよはら</t>
  </si>
  <si>
    <t xml:space="preserve">Thanh Nguyên </t>
  </si>
  <si>
    <t>POS機器設定</t>
  </si>
  <si>
    <t/>
  </si>
  <si>
    <t>自動釣銭機設定</t>
  </si>
  <si>
    <t>PresetRadioButtonLeftStyle1：青
PresetRadioButtonLeftStyle2：緑
PresetRadioButtonLeftStyle3：ピンク
PresetRadioButtonLeftStyle4：黄色
PresetRadioButtonLeftStyle5：灰色
PresetRadioButtonLeftStyle6：紫
PresetRadioButtonLeftStyle7：茶色
未設定　　　　　　　　　　　　　　 ：濃緑
※Styleにはボタンの色だけでなくレイアウトも兼ねているため未設定はレイアウトが変わります。</t>
    <phoneticPr fontId="2"/>
  </si>
  <si>
    <t>プリセットボタンレイアウト名称</t>
    <rPh sb="13" eb="15">
      <t>メイショウ</t>
    </rPh>
    <phoneticPr fontId="2"/>
  </si>
  <si>
    <t>ButtonLayoutName</t>
    <phoneticPr fontId="2"/>
  </si>
  <si>
    <t>プリセットメニューマスタに、プリセットボタンレイアウト名称を追加</t>
    <rPh sb="30" eb="32">
      <t>ツイカ</t>
    </rPh>
    <phoneticPr fontId="2"/>
  </si>
  <si>
    <t>Thanh Nguyên</t>
    <phoneticPr fontId="2"/>
  </si>
  <si>
    <t>利用：可能："1"、不可："9"</t>
  </si>
  <si>
    <t>"9"</t>
    <phoneticPr fontId="2"/>
  </si>
  <si>
    <t>利用：可能："1"、不可："9"（デフォルトで利用可能とする）</t>
    <phoneticPr fontId="2"/>
  </si>
  <si>
    <t>PaymentClass01</t>
    <phoneticPr fontId="2"/>
  </si>
  <si>
    <t>PointClass01</t>
    <phoneticPr fontId="2"/>
  </si>
  <si>
    <t>利用：可能："1"、不可："9"（デフォルトで利用可能とする）</t>
    <rPh sb="0" eb="2">
      <t>リヨウ</t>
    </rPh>
    <rPh sb="3" eb="5">
      <t>カノウ</t>
    </rPh>
    <rPh sb="10" eb="12">
      <t>フカ</t>
    </rPh>
    <rPh sb="23" eb="27">
      <t>リヨウカノウ</t>
    </rPh>
    <phoneticPr fontId="2"/>
  </si>
  <si>
    <t>ServiceClass01</t>
    <phoneticPr fontId="2"/>
  </si>
  <si>
    <t>TEXT</t>
    <phoneticPr fontId="2"/>
  </si>
  <si>
    <t>TIMESTAMP</t>
    <phoneticPr fontId="2"/>
  </si>
  <si>
    <t>レコードID</t>
    <phoneticPr fontId="2"/>
  </si>
  <si>
    <t>company_code,store_code,instore_code,class</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</si>
</sst>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8">
    <font>
      <sz val="11"/>
      <name val="Meiryo UI"/>
      <family val="3"/>
      <charset val="128"/>
    </font>
    <font>
      <sz val="11"/>
      <name val="Meiryo UI"/>
      <family val="3"/>
      <charset val="128"/>
    </font>
    <font>
      <sz val="6"/>
      <name val="Meiryo UI"/>
      <family val="3"/>
      <charset val="128"/>
    </font>
    <font>
      <sz val="11"/>
      <color theme="0"/>
      <name val="Meiryo UI"/>
      <family val="3"/>
      <charset val="128"/>
    </font>
    <font>
      <sz val="18"/>
      <name val="Meiryo UI"/>
      <family val="3"/>
      <charset val="128"/>
    </font>
    <font>
      <b/>
      <sz val="24"/>
      <name val="Meiryo UI"/>
      <family val="3"/>
      <charset val="128"/>
    </font>
    <font>
      <b/>
      <sz val="9"/>
      <color indexed="81"/>
      <name val="MS P ゴシック"/>
      <family val="3"/>
      <charset val="128"/>
    </font>
    <font>
      <sz val="9"/>
      <color indexed="81"/>
      <name val="MS P ゴシック"/>
      <family val="3"/>
      <charset val="128"/>
    </font>
    <font>
      <sz val="11"/>
      <name val="メイリオ"/>
      <family val="3"/>
      <charset val="128"/>
    </font>
    <font>
      <sz val="6"/>
      <name val="MS UI Gothic"/>
      <family val="3"/>
      <charset val="128"/>
    </font>
    <font>
      <sz val="10"/>
      <name val="Meiryo UI"/>
      <family val="3"/>
      <charset val="128"/>
    </font>
    <font>
      <sz val="11"/>
      <color theme="1"/>
      <name val="MS UI Gothic"/>
      <family val="3"/>
      <charset val="128"/>
    </font>
    <font>
      <sz val="11"/>
      <color rgb="FFFF0000"/>
      <name val="Meiryo UI"/>
      <family val="3"/>
      <charset val="128"/>
    </font>
    <font>
      <sz val="10"/>
      <color theme="1"/>
      <name val="Meiryo UI"/>
      <family val="3"/>
      <charset val="128"/>
    </font>
    <font>
      <sz val="6"/>
      <name val="ＭＳ Ｐゴシック"/>
      <family val="3"/>
      <charset val="128"/>
    </font>
    <font>
      <sz val="6"/>
      <name val="游ゴシック"/>
      <family val="2"/>
      <charset val="128"/>
      <scheme val="minor"/>
    </font>
    <font>
      <sz val="12"/>
      <name val="Meiryo UI"/>
      <family val="3"/>
      <charset val="128"/>
    </font>
    <font>
      <sz val="9"/>
      <name val="Meiryo UI"/>
      <family val="3"/>
      <charset val="128"/>
    </font>
  </fonts>
  <fills count="11">
    <fill>
      <patternFill patternType="none"/>
    </fill>
    <fill>
      <patternFill patternType="gray125"/>
    </fill>
    <fill>
      <patternFill patternType="solid">
        <fgColor rgb="FF333399"/>
        <bgColor indexed="64"/>
      </patternFill>
    </fill>
    <fill>
      <patternFill patternType="solid">
        <fgColor theme="4" tint="0.79995117038483843"/>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0000"/>
        <bgColor indexed="64"/>
      </patternFill>
    </fill>
  </fills>
  <borders count="64">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style="thin">
        <color auto="1"/>
      </right>
      <top/>
      <bottom style="hair">
        <color auto="1"/>
      </bottom>
      <diagonal/>
    </border>
    <border>
      <left/>
      <right/>
      <top/>
      <bottom style="hair">
        <color auto="1"/>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right/>
      <top style="thin">
        <color theme="0" tint="-0.499984740745262"/>
      </top>
      <bottom/>
      <diagonal/>
    </border>
    <border>
      <left style="thin">
        <color theme="0" tint="-0.499984740745262"/>
      </left>
      <right/>
      <top style="thin">
        <color theme="0" tint="-0.499984740745262"/>
      </top>
      <bottom style="hair">
        <color theme="0" tint="-0.499984740745262"/>
      </bottom>
      <diagonal/>
    </border>
    <border>
      <left/>
      <right style="thin">
        <color theme="0" tint="-0.499984740745262"/>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style="thin">
        <color auto="1"/>
      </left>
      <right/>
      <top style="hair">
        <color auto="1"/>
      </top>
      <bottom/>
      <diagonal/>
    </border>
    <border>
      <left/>
      <right style="thin">
        <color auto="1"/>
      </right>
      <top style="hair">
        <color auto="1"/>
      </top>
      <bottom/>
      <diagonal/>
    </border>
    <border>
      <left/>
      <right/>
      <top style="hair">
        <color auto="1"/>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hair">
        <color auto="1"/>
      </left>
      <right/>
      <top style="thin">
        <color auto="1"/>
      </top>
      <bottom/>
      <diagonal/>
    </border>
    <border>
      <left style="hair">
        <color indexed="64"/>
      </left>
      <right style="hair">
        <color indexed="64"/>
      </right>
      <top style="thin">
        <color indexed="64"/>
      </top>
      <bottom/>
      <diagonal/>
    </border>
    <border>
      <left/>
      <right style="hair">
        <color auto="1"/>
      </right>
      <top style="thin">
        <color indexed="64"/>
      </top>
      <bottom style="hair">
        <color indexed="64"/>
      </bottom>
      <diagonal/>
    </border>
    <border>
      <left style="hair">
        <color auto="1"/>
      </left>
      <right/>
      <top style="thin">
        <color auto="1"/>
      </top>
      <bottom style="hair">
        <color auto="1"/>
      </bottom>
      <diagonal/>
    </border>
    <border>
      <left/>
      <right style="hair">
        <color auto="1"/>
      </right>
      <top style="hair">
        <color indexed="64"/>
      </top>
      <bottom style="hair">
        <color indexed="64"/>
      </bottom>
      <diagonal/>
    </border>
    <border>
      <left style="hair">
        <color auto="1"/>
      </left>
      <right/>
      <top style="hair">
        <color auto="1"/>
      </top>
      <bottom style="hair">
        <color auto="1"/>
      </bottom>
      <diagonal/>
    </border>
    <border>
      <left style="hair">
        <color indexed="64"/>
      </left>
      <right/>
      <top/>
      <bottom/>
      <diagonal/>
    </border>
    <border>
      <left/>
      <right style="hair">
        <color auto="1"/>
      </right>
      <top style="thin">
        <color indexed="64"/>
      </top>
      <bottom/>
      <diagonal/>
    </border>
    <border>
      <left/>
      <right style="hair">
        <color indexed="64"/>
      </right>
      <top/>
      <bottom/>
      <diagonal/>
    </border>
    <border>
      <left/>
      <right style="hair">
        <color auto="1"/>
      </right>
      <top style="hair">
        <color indexed="64"/>
      </top>
      <bottom style="thin">
        <color indexed="64"/>
      </bottom>
      <diagonal/>
    </border>
    <border>
      <left style="hair">
        <color auto="1"/>
      </left>
      <right/>
      <top style="hair">
        <color auto="1"/>
      </top>
      <bottom style="thin">
        <color auto="1"/>
      </bottom>
      <diagonal/>
    </border>
    <border>
      <left style="hair">
        <color indexed="64"/>
      </left>
      <right/>
      <top/>
      <bottom style="thin">
        <color indexed="64"/>
      </bottom>
      <diagonal/>
    </border>
    <border>
      <left/>
      <right style="hair">
        <color indexed="64"/>
      </right>
      <top/>
      <bottom style="thin">
        <color indexed="64"/>
      </bottom>
      <diagonal/>
    </border>
    <border>
      <left style="hair">
        <color auto="1"/>
      </left>
      <right/>
      <top style="thin">
        <color auto="1"/>
      </top>
      <bottom style="thin">
        <color indexed="64"/>
      </bottom>
      <diagonal/>
    </border>
    <border>
      <left/>
      <right style="hair">
        <color auto="1"/>
      </right>
      <top/>
      <bottom style="hair">
        <color indexed="64"/>
      </bottom>
      <diagonal/>
    </border>
    <border>
      <left style="hair">
        <color auto="1"/>
      </left>
      <right/>
      <top/>
      <bottom style="hair">
        <color auto="1"/>
      </bottom>
      <diagonal/>
    </border>
    <border>
      <left/>
      <right style="hair">
        <color indexed="64"/>
      </right>
      <top style="hair">
        <color indexed="64"/>
      </top>
      <bottom/>
      <diagonal/>
    </border>
    <border>
      <left style="hair">
        <color indexed="64"/>
      </left>
      <right/>
      <top style="hair">
        <color indexed="64"/>
      </top>
      <bottom/>
      <diagonal/>
    </border>
    <border>
      <left style="hair">
        <color indexed="64"/>
      </left>
      <right style="hair">
        <color indexed="64"/>
      </right>
      <top/>
      <bottom/>
      <diagonal/>
    </border>
  </borders>
  <cellStyleXfs count="1">
    <xf numFmtId="0" fontId="0" fillId="0" borderId="0">
      <alignment vertical="center"/>
    </xf>
  </cellStyleXfs>
  <cellXfs count="324">
    <xf numFmtId="0" fontId="0" fillId="0" borderId="0" xfId="0">
      <alignment vertical="center"/>
    </xf>
    <xf numFmtId="0" fontId="0" fillId="0" borderId="1" xfId="0" applyBorder="1">
      <alignment vertical="center"/>
    </xf>
    <xf numFmtId="0" fontId="0" fillId="0" borderId="5"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0" fillId="0" borderId="24" xfId="0" applyBorder="1">
      <alignment vertical="center"/>
    </xf>
    <xf numFmtId="0" fontId="0" fillId="0" borderId="25" xfId="0" applyBorder="1">
      <alignment vertical="center"/>
    </xf>
    <xf numFmtId="0" fontId="0" fillId="0" borderId="26" xfId="0" applyBorder="1">
      <alignment vertical="center"/>
    </xf>
    <xf numFmtId="0" fontId="0" fillId="0" borderId="27" xfId="0" applyBorder="1">
      <alignment vertical="center"/>
    </xf>
    <xf numFmtId="0" fontId="0" fillId="5" borderId="31" xfId="0" applyFill="1" applyBorder="1" applyAlignment="1">
      <alignment horizontal="center" vertical="center"/>
    </xf>
    <xf numFmtId="0" fontId="0" fillId="5" borderId="32" xfId="0" applyFill="1" applyBorder="1" applyAlignment="1">
      <alignment horizontal="center" vertical="center"/>
    </xf>
    <xf numFmtId="0" fontId="0" fillId="5" borderId="31" xfId="0" applyFill="1" applyBorder="1" applyAlignment="1">
      <alignment horizontal="left" vertical="center"/>
    </xf>
    <xf numFmtId="0" fontId="0" fillId="5" borderId="33" xfId="0" applyFill="1" applyBorder="1" applyAlignment="1">
      <alignment horizontal="left" vertical="center"/>
    </xf>
    <xf numFmtId="0" fontId="0" fillId="5" borderId="32" xfId="0" applyFill="1" applyBorder="1" applyAlignment="1">
      <alignment horizontal="left" vertical="center"/>
    </xf>
    <xf numFmtId="0" fontId="0" fillId="5" borderId="12" xfId="0" applyFill="1" applyBorder="1" applyAlignment="1">
      <alignment horizontal="left" vertical="center"/>
    </xf>
    <xf numFmtId="0" fontId="0" fillId="5" borderId="28" xfId="0" applyFill="1" applyBorder="1" applyAlignment="1">
      <alignment horizontal="left" vertical="center"/>
    </xf>
    <xf numFmtId="0" fontId="0" fillId="5" borderId="28" xfId="0" applyFill="1" applyBorder="1" applyAlignment="1">
      <alignment horizontal="center" vertical="center"/>
    </xf>
    <xf numFmtId="0" fontId="0" fillId="5" borderId="30" xfId="0" applyFill="1" applyBorder="1" applyAlignment="1">
      <alignment horizontal="center" vertical="center"/>
    </xf>
    <xf numFmtId="0" fontId="0" fillId="5" borderId="29" xfId="0" applyFill="1" applyBorder="1" applyAlignment="1">
      <alignment horizontal="left" vertical="center"/>
    </xf>
    <xf numFmtId="0" fontId="0" fillId="5" borderId="30" xfId="0" applyFill="1" applyBorder="1" applyAlignment="1">
      <alignment horizontal="left" vertical="center"/>
    </xf>
    <xf numFmtId="0" fontId="0" fillId="5" borderId="28" xfId="0" quotePrefix="1" applyFill="1" applyBorder="1" applyAlignment="1">
      <alignment horizontal="left" vertical="center"/>
    </xf>
    <xf numFmtId="0" fontId="0" fillId="5" borderId="15" xfId="0" applyFill="1" applyBorder="1" applyAlignment="1">
      <alignment horizontal="center" vertical="center"/>
    </xf>
    <xf numFmtId="0" fontId="0" fillId="5" borderId="17" xfId="0" applyFill="1" applyBorder="1" applyAlignment="1">
      <alignment horizontal="center" vertical="center"/>
    </xf>
    <xf numFmtId="0" fontId="0" fillId="5" borderId="15" xfId="0" applyFill="1" applyBorder="1" applyAlignment="1">
      <alignment horizontal="left" vertical="center"/>
    </xf>
    <xf numFmtId="0" fontId="0" fillId="5" borderId="16" xfId="0" applyFill="1" applyBorder="1" applyAlignment="1">
      <alignment horizontal="left" vertical="center"/>
    </xf>
    <xf numFmtId="0" fontId="0" fillId="5" borderId="17" xfId="0" applyFill="1" applyBorder="1" applyAlignment="1">
      <alignment horizontal="left" vertical="center"/>
    </xf>
    <xf numFmtId="0" fontId="0" fillId="5" borderId="0" xfId="0" applyFill="1">
      <alignment vertical="center"/>
    </xf>
    <xf numFmtId="0" fontId="0" fillId="4" borderId="4" xfId="0" applyFill="1" applyBorder="1" applyAlignment="1">
      <alignment horizontal="left" vertical="center"/>
    </xf>
    <xf numFmtId="0" fontId="0" fillId="4" borderId="11" xfId="0" applyFill="1" applyBorder="1" applyAlignment="1">
      <alignment horizontal="left" vertical="center"/>
    </xf>
    <xf numFmtId="0" fontId="0" fillId="4" borderId="10" xfId="0" applyFill="1" applyBorder="1" applyAlignment="1">
      <alignment horizontal="left" vertical="center"/>
    </xf>
    <xf numFmtId="0" fontId="0" fillId="0" borderId="0" xfId="0" applyAlignment="1">
      <alignment horizontal="left" vertical="center"/>
    </xf>
    <xf numFmtId="0" fontId="0" fillId="5" borderId="4" xfId="0" applyFill="1" applyBorder="1" applyAlignment="1">
      <alignment horizontal="left" vertical="center"/>
    </xf>
    <xf numFmtId="0" fontId="0" fillId="5" borderId="11" xfId="0" applyFill="1" applyBorder="1" applyAlignment="1">
      <alignment horizontal="left" vertical="center"/>
    </xf>
    <xf numFmtId="0" fontId="0" fillId="5" borderId="10" xfId="0" applyFill="1" applyBorder="1" applyAlignment="1">
      <alignment horizontal="left" vertical="center"/>
    </xf>
    <xf numFmtId="0" fontId="0" fillId="0" borderId="4"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4" borderId="10" xfId="0" applyFill="1" applyBorder="1">
      <alignment vertical="center"/>
    </xf>
    <xf numFmtId="0" fontId="0" fillId="4" borderId="11" xfId="0" applyFill="1" applyBorder="1">
      <alignment vertical="center"/>
    </xf>
    <xf numFmtId="0" fontId="0" fillId="0" borderId="10" xfId="0" applyBorder="1">
      <alignment vertical="center"/>
    </xf>
    <xf numFmtId="0" fontId="0" fillId="0" borderId="11" xfId="0" applyBorder="1">
      <alignment vertical="center"/>
    </xf>
    <xf numFmtId="0" fontId="8" fillId="6" borderId="34" xfId="0" applyFont="1" applyFill="1" applyBorder="1" applyAlignment="1">
      <alignment horizontal="left" vertical="center"/>
    </xf>
    <xf numFmtId="0" fontId="8" fillId="6" borderId="35" xfId="0" applyFont="1" applyFill="1" applyBorder="1" applyAlignment="1">
      <alignment horizontal="left" vertical="center"/>
    </xf>
    <xf numFmtId="0" fontId="8" fillId="6" borderId="36" xfId="0" applyFont="1" applyFill="1" applyBorder="1" applyAlignment="1">
      <alignment horizontal="left" vertical="center"/>
    </xf>
    <xf numFmtId="49" fontId="8" fillId="6" borderId="36" xfId="0" applyNumberFormat="1" applyFont="1" applyFill="1" applyBorder="1">
      <alignment vertical="center"/>
    </xf>
    <xf numFmtId="0" fontId="8" fillId="5" borderId="37" xfId="0" applyFont="1" applyFill="1" applyBorder="1" applyAlignment="1">
      <alignment horizontal="centerContinuous" vertical="center"/>
    </xf>
    <xf numFmtId="0" fontId="8" fillId="5" borderId="38" xfId="0" applyFont="1" applyFill="1" applyBorder="1" applyAlignment="1">
      <alignment horizontal="centerContinuous" vertical="center"/>
    </xf>
    <xf numFmtId="0" fontId="8" fillId="5" borderId="34" xfId="0" applyFont="1" applyFill="1" applyBorder="1" applyAlignment="1">
      <alignment horizontal="left" vertical="center"/>
    </xf>
    <xf numFmtId="0" fontId="8" fillId="5" borderId="36" xfId="0" applyFont="1" applyFill="1" applyBorder="1" applyAlignment="1">
      <alignment horizontal="left" vertical="center"/>
    </xf>
    <xf numFmtId="0" fontId="8" fillId="5" borderId="35" xfId="0" applyFont="1" applyFill="1" applyBorder="1" applyAlignment="1">
      <alignment horizontal="left" vertical="center"/>
    </xf>
    <xf numFmtId="0" fontId="8" fillId="5" borderId="39" xfId="0" applyFont="1" applyFill="1" applyBorder="1" applyAlignment="1">
      <alignment horizontal="left" vertical="center"/>
    </xf>
    <xf numFmtId="0" fontId="8" fillId="5" borderId="38" xfId="0" applyFont="1" applyFill="1" applyBorder="1" applyAlignment="1">
      <alignment horizontal="left" vertical="center"/>
    </xf>
    <xf numFmtId="0" fontId="8" fillId="5" borderId="37" xfId="0" applyFont="1" applyFill="1" applyBorder="1" applyAlignment="1">
      <alignment horizontal="left" vertical="center"/>
    </xf>
    <xf numFmtId="49" fontId="8" fillId="5" borderId="39" xfId="0" applyNumberFormat="1" applyFont="1" applyFill="1" applyBorder="1">
      <alignment vertical="center"/>
    </xf>
    <xf numFmtId="0" fontId="8" fillId="5" borderId="37" xfId="0" applyFont="1" applyFill="1" applyBorder="1">
      <alignment vertical="center"/>
    </xf>
    <xf numFmtId="0" fontId="0" fillId="5" borderId="12" xfId="0" applyFill="1" applyBorder="1" applyAlignment="1">
      <alignment horizontal="center" vertical="center"/>
    </xf>
    <xf numFmtId="0" fontId="0" fillId="5" borderId="14" xfId="0" applyFill="1" applyBorder="1" applyAlignment="1">
      <alignment horizontal="center" vertical="center"/>
    </xf>
    <xf numFmtId="0" fontId="0" fillId="5" borderId="13" xfId="0" applyFill="1" applyBorder="1" applyAlignment="1">
      <alignment horizontal="left" vertical="center"/>
    </xf>
    <xf numFmtId="0" fontId="0" fillId="5" borderId="14" xfId="0" applyFill="1" applyBorder="1" applyAlignment="1">
      <alignment horizontal="left" vertical="center"/>
    </xf>
    <xf numFmtId="0" fontId="0" fillId="5" borderId="28" xfId="0" applyFill="1" applyBorder="1">
      <alignment vertical="center"/>
    </xf>
    <xf numFmtId="0" fontId="0" fillId="5" borderId="29" xfId="0" applyFill="1" applyBorder="1">
      <alignment vertical="center"/>
    </xf>
    <xf numFmtId="0" fontId="0" fillId="5" borderId="30" xfId="0" applyFill="1" applyBorder="1">
      <alignment vertical="center"/>
    </xf>
    <xf numFmtId="0" fontId="10" fillId="0" borderId="0" xfId="0" applyFont="1">
      <alignment vertical="center"/>
    </xf>
    <xf numFmtId="20" fontId="0" fillId="5" borderId="31" xfId="0" quotePrefix="1" applyNumberFormat="1" applyFill="1" applyBorder="1" applyAlignment="1">
      <alignment horizontal="left" vertical="center"/>
    </xf>
    <xf numFmtId="0" fontId="0" fillId="0" borderId="0" xfId="0" applyAlignment="1">
      <alignment horizontal="center" vertical="center"/>
    </xf>
    <xf numFmtId="0" fontId="0" fillId="5" borderId="5" xfId="0" applyFill="1" applyBorder="1" applyAlignment="1">
      <alignment horizontal="center" vertical="center"/>
    </xf>
    <xf numFmtId="0" fontId="0" fillId="5" borderId="9" xfId="0" applyFill="1" applyBorder="1" applyAlignment="1">
      <alignment horizontal="center" vertical="center"/>
    </xf>
    <xf numFmtId="0" fontId="0" fillId="5" borderId="6" xfId="0" applyFill="1" applyBorder="1" applyAlignment="1">
      <alignment horizontal="left" vertical="center"/>
    </xf>
    <xf numFmtId="0" fontId="0" fillId="5" borderId="9" xfId="0" applyFill="1" applyBorder="1" applyAlignment="1">
      <alignment horizontal="left" vertical="center"/>
    </xf>
    <xf numFmtId="0" fontId="0" fillId="5" borderId="5" xfId="0" applyFill="1" applyBorder="1" applyAlignment="1">
      <alignment horizontal="left" vertical="center"/>
    </xf>
    <xf numFmtId="0" fontId="3" fillId="2" borderId="0" xfId="0" applyFont="1" applyFill="1" applyAlignment="1">
      <alignment horizontal="center" vertical="center"/>
    </xf>
    <xf numFmtId="0" fontId="0" fillId="7" borderId="12" xfId="0" applyFill="1" applyBorder="1" applyAlignment="1">
      <alignment horizontal="center" vertical="center"/>
    </xf>
    <xf numFmtId="0" fontId="0" fillId="7" borderId="14" xfId="0" applyFill="1" applyBorder="1" applyAlignment="1">
      <alignment horizontal="center" vertical="center"/>
    </xf>
    <xf numFmtId="0" fontId="0" fillId="7" borderId="12" xfId="0" applyFill="1" applyBorder="1" applyAlignment="1">
      <alignment horizontal="left" vertical="center"/>
    </xf>
    <xf numFmtId="0" fontId="0" fillId="7" borderId="13" xfId="0" applyFill="1" applyBorder="1" applyAlignment="1">
      <alignment horizontal="left" vertical="center"/>
    </xf>
    <xf numFmtId="0" fontId="0" fillId="7" borderId="14" xfId="0" applyFill="1" applyBorder="1" applyAlignment="1">
      <alignment horizontal="left" vertical="center"/>
    </xf>
    <xf numFmtId="0" fontId="0" fillId="7" borderId="28" xfId="0" applyFill="1" applyBorder="1" applyAlignment="1">
      <alignment horizontal="center" vertical="center"/>
    </xf>
    <xf numFmtId="0" fontId="0" fillId="7" borderId="30" xfId="0" applyFill="1" applyBorder="1" applyAlignment="1">
      <alignment horizontal="center" vertical="center"/>
    </xf>
    <xf numFmtId="0" fontId="0" fillId="7" borderId="28" xfId="0" applyFill="1" applyBorder="1" applyAlignment="1">
      <alignment horizontal="left" vertical="center"/>
    </xf>
    <xf numFmtId="0" fontId="0" fillId="7" borderId="29" xfId="0" applyFill="1" applyBorder="1" applyAlignment="1">
      <alignment horizontal="left" vertical="center"/>
    </xf>
    <xf numFmtId="0" fontId="0" fillId="7" borderId="30" xfId="0" applyFill="1" applyBorder="1" applyAlignment="1">
      <alignment horizontal="left" vertical="center"/>
    </xf>
    <xf numFmtId="0" fontId="0" fillId="7" borderId="28" xfId="0" quotePrefix="1" applyFill="1" applyBorder="1" applyAlignment="1">
      <alignment horizontal="left" vertical="center"/>
    </xf>
    <xf numFmtId="0" fontId="0" fillId="7" borderId="15" xfId="0" applyFill="1" applyBorder="1" applyAlignment="1">
      <alignment horizontal="center" vertical="center"/>
    </xf>
    <xf numFmtId="0" fontId="0" fillId="7" borderId="17" xfId="0" applyFill="1" applyBorder="1" applyAlignment="1">
      <alignment horizontal="center" vertical="center"/>
    </xf>
    <xf numFmtId="0" fontId="0" fillId="7" borderId="15" xfId="0" applyFill="1" applyBorder="1" applyAlignment="1">
      <alignment horizontal="left" vertical="center"/>
    </xf>
    <xf numFmtId="0" fontId="0" fillId="7" borderId="16" xfId="0" applyFill="1" applyBorder="1" applyAlignment="1">
      <alignment horizontal="left" vertical="center"/>
    </xf>
    <xf numFmtId="0" fontId="0" fillId="7" borderId="17" xfId="0" applyFill="1" applyBorder="1" applyAlignment="1">
      <alignment horizontal="left" vertical="center"/>
    </xf>
    <xf numFmtId="0" fontId="0" fillId="4" borderId="2" xfId="0" applyFill="1" applyBorder="1" applyAlignment="1">
      <alignment horizontal="left" vertical="center"/>
    </xf>
    <xf numFmtId="0" fontId="0" fillId="4" borderId="7" xfId="0" applyFill="1" applyBorder="1" applyAlignment="1">
      <alignment horizontal="left" vertical="center"/>
    </xf>
    <xf numFmtId="0" fontId="0" fillId="4" borderId="3" xfId="0" applyFill="1" applyBorder="1" applyAlignment="1">
      <alignment horizontal="left" vertical="center"/>
    </xf>
    <xf numFmtId="0" fontId="0" fillId="8" borderId="0" xfId="0" applyFill="1">
      <alignment vertical="center"/>
    </xf>
    <xf numFmtId="0" fontId="0" fillId="0" borderId="0" xfId="0" quotePrefix="1">
      <alignment vertical="center"/>
    </xf>
    <xf numFmtId="0" fontId="0" fillId="5" borderId="28" xfId="0" applyFill="1" applyBorder="1" applyAlignment="1">
      <alignment horizontal="left" vertical="center" wrapText="1"/>
    </xf>
    <xf numFmtId="0" fontId="0" fillId="0" borderId="1" xfId="0" quotePrefix="1" applyBorder="1">
      <alignment vertical="center"/>
    </xf>
    <xf numFmtId="0" fontId="0" fillId="9" borderId="28" xfId="0" applyFill="1" applyBorder="1" applyAlignment="1">
      <alignment horizontal="center" vertical="center"/>
    </xf>
    <xf numFmtId="0" fontId="0" fillId="9" borderId="30" xfId="0" applyFill="1" applyBorder="1" applyAlignment="1">
      <alignment horizontal="center" vertical="center"/>
    </xf>
    <xf numFmtId="0" fontId="0" fillId="9" borderId="28" xfId="0" applyFill="1" applyBorder="1" applyAlignment="1">
      <alignment horizontal="left" vertical="center"/>
    </xf>
    <xf numFmtId="0" fontId="0" fillId="9" borderId="29" xfId="0" applyFill="1" applyBorder="1" applyAlignment="1">
      <alignment horizontal="left" vertical="center"/>
    </xf>
    <xf numFmtId="0" fontId="0" fillId="9" borderId="30" xfId="0" applyFill="1" applyBorder="1" applyAlignment="1">
      <alignment horizontal="left" vertical="center"/>
    </xf>
    <xf numFmtId="0" fontId="12" fillId="0" borderId="0" xfId="0" applyFont="1">
      <alignment vertical="center"/>
    </xf>
    <xf numFmtId="0" fontId="0" fillId="5" borderId="40" xfId="0" applyFill="1" applyBorder="1" applyAlignment="1">
      <alignment horizontal="center" vertical="center"/>
    </xf>
    <xf numFmtId="0" fontId="0" fillId="5" borderId="41" xfId="0" applyFill="1" applyBorder="1" applyAlignment="1">
      <alignment horizontal="center" vertical="center"/>
    </xf>
    <xf numFmtId="0" fontId="0" fillId="5" borderId="40" xfId="0" applyFill="1" applyBorder="1" applyAlignment="1">
      <alignment horizontal="left" vertical="center"/>
    </xf>
    <xf numFmtId="0" fontId="0" fillId="5" borderId="42" xfId="0" applyFill="1" applyBorder="1" applyAlignment="1">
      <alignment horizontal="left" vertical="center"/>
    </xf>
    <xf numFmtId="0" fontId="0" fillId="5" borderId="41" xfId="0" applyFill="1" applyBorder="1" applyAlignment="1">
      <alignment horizontal="left" vertical="center"/>
    </xf>
    <xf numFmtId="0" fontId="0" fillId="5" borderId="4" xfId="0" applyFill="1" applyBorder="1" applyAlignment="1">
      <alignment horizontal="center" vertical="center"/>
    </xf>
    <xf numFmtId="0" fontId="0" fillId="5" borderId="11" xfId="0" applyFill="1" applyBorder="1" applyAlignment="1">
      <alignment horizontal="center" vertical="center"/>
    </xf>
    <xf numFmtId="0" fontId="0" fillId="5" borderId="13" xfId="0" applyFill="1" applyBorder="1" applyAlignment="1">
      <alignment horizontal="center" vertical="center"/>
    </xf>
    <xf numFmtId="0" fontId="3" fillId="10" borderId="12" xfId="0" applyFont="1" applyFill="1" applyBorder="1" applyAlignment="1">
      <alignment horizontal="left" vertical="center"/>
    </xf>
    <xf numFmtId="0" fontId="3" fillId="10" borderId="13" xfId="0" applyFont="1" applyFill="1" applyBorder="1" applyAlignment="1">
      <alignment horizontal="left" vertical="center"/>
    </xf>
    <xf numFmtId="0" fontId="3" fillId="10" borderId="14" xfId="0" applyFont="1" applyFill="1" applyBorder="1" applyAlignment="1">
      <alignment horizontal="left" vertical="center"/>
    </xf>
    <xf numFmtId="0" fontId="0" fillId="5" borderId="29" xfId="0" applyFill="1" applyBorder="1" applyAlignment="1">
      <alignment horizontal="center" vertical="center"/>
    </xf>
    <xf numFmtId="0" fontId="0" fillId="5" borderId="16" xfId="0" applyFill="1" applyBorder="1" applyAlignment="1">
      <alignment horizontal="center" vertical="center"/>
    </xf>
    <xf numFmtId="0" fontId="0" fillId="5" borderId="15" xfId="0" applyFill="1" applyBorder="1">
      <alignment vertical="center"/>
    </xf>
    <xf numFmtId="0" fontId="0" fillId="5" borderId="16" xfId="0" applyFill="1" applyBorder="1">
      <alignment vertical="center"/>
    </xf>
    <xf numFmtId="0" fontId="0" fillId="5" borderId="17" xfId="0" applyFill="1" applyBorder="1">
      <alignment vertical="center"/>
    </xf>
    <xf numFmtId="0" fontId="0" fillId="5" borderId="12" xfId="0" applyFill="1" applyBorder="1">
      <alignment vertical="center"/>
    </xf>
    <xf numFmtId="0" fontId="0" fillId="5" borderId="13" xfId="0" applyFill="1" applyBorder="1">
      <alignment vertical="center"/>
    </xf>
    <xf numFmtId="0" fontId="0" fillId="5" borderId="14" xfId="0" applyFill="1" applyBorder="1">
      <alignment vertical="center"/>
    </xf>
    <xf numFmtId="0" fontId="0" fillId="0" borderId="29" xfId="0" applyBorder="1">
      <alignment vertical="center"/>
    </xf>
    <xf numFmtId="0" fontId="0" fillId="0" borderId="43" xfId="0" applyBorder="1">
      <alignment vertical="center"/>
    </xf>
    <xf numFmtId="49" fontId="16" fillId="4" borderId="4" xfId="0" applyNumberFormat="1" applyFont="1" applyFill="1" applyBorder="1">
      <alignment vertical="center"/>
    </xf>
    <xf numFmtId="49" fontId="16" fillId="4" borderId="10" xfId="0" applyNumberFormat="1" applyFont="1" applyFill="1" applyBorder="1">
      <alignment vertical="center"/>
    </xf>
    <xf numFmtId="49" fontId="16" fillId="4" borderId="11" xfId="0" applyNumberFormat="1" applyFont="1" applyFill="1" applyBorder="1">
      <alignment vertical="center"/>
    </xf>
    <xf numFmtId="49" fontId="16" fillId="4" borderId="2" xfId="0" applyNumberFormat="1" applyFont="1" applyFill="1" applyBorder="1">
      <alignment vertical="center"/>
    </xf>
    <xf numFmtId="49" fontId="16" fillId="4" borderId="3" xfId="0" applyNumberFormat="1" applyFont="1" applyFill="1" applyBorder="1">
      <alignment vertical="center"/>
    </xf>
    <xf numFmtId="0" fontId="0" fillId="4" borderId="3" xfId="0" applyFill="1" applyBorder="1">
      <alignment vertical="center"/>
    </xf>
    <xf numFmtId="0" fontId="0" fillId="4" borderId="7" xfId="0" applyFill="1" applyBorder="1">
      <alignment vertical="center"/>
    </xf>
    <xf numFmtId="0" fontId="16" fillId="4" borderId="1" xfId="0" applyFont="1" applyFill="1" applyBorder="1">
      <alignment vertical="center"/>
    </xf>
    <xf numFmtId="0" fontId="16" fillId="4" borderId="0" xfId="0" applyFont="1" applyFill="1">
      <alignment vertical="center"/>
    </xf>
    <xf numFmtId="0" fontId="16" fillId="4" borderId="45" xfId="0" applyFont="1" applyFill="1" applyBorder="1">
      <alignment vertical="center"/>
    </xf>
    <xf numFmtId="0" fontId="16" fillId="4" borderId="3" xfId="0" applyFont="1" applyFill="1" applyBorder="1">
      <alignment vertical="center"/>
    </xf>
    <xf numFmtId="0" fontId="16" fillId="4" borderId="46" xfId="0" applyFont="1" applyFill="1" applyBorder="1">
      <alignment vertical="center"/>
    </xf>
    <xf numFmtId="0" fontId="0" fillId="4" borderId="0" xfId="0" applyFill="1">
      <alignment vertical="center"/>
    </xf>
    <xf numFmtId="0" fontId="0" fillId="4" borderId="8" xfId="0" applyFill="1" applyBorder="1">
      <alignment vertical="center"/>
    </xf>
    <xf numFmtId="0" fontId="16" fillId="4" borderId="5" xfId="0" applyFont="1" applyFill="1" applyBorder="1">
      <alignment vertical="center"/>
    </xf>
    <xf numFmtId="0" fontId="16" fillId="4" borderId="6" xfId="0" applyFont="1" applyFill="1" applyBorder="1">
      <alignment vertical="center"/>
    </xf>
    <xf numFmtId="0" fontId="0" fillId="4" borderId="6" xfId="0" applyFill="1" applyBorder="1">
      <alignment vertical="center"/>
    </xf>
    <xf numFmtId="0" fontId="0" fillId="4" borderId="9" xfId="0" applyFill="1" applyBorder="1">
      <alignment vertical="center"/>
    </xf>
    <xf numFmtId="0" fontId="16" fillId="5" borderId="12" xfId="0" applyFont="1" applyFill="1" applyBorder="1">
      <alignment vertical="center"/>
    </xf>
    <xf numFmtId="0" fontId="16" fillId="5" borderId="13" xfId="0" applyFont="1" applyFill="1" applyBorder="1">
      <alignment vertical="center"/>
    </xf>
    <xf numFmtId="0" fontId="16" fillId="5" borderId="47" xfId="0" applyFont="1" applyFill="1" applyBorder="1">
      <alignment vertical="center"/>
    </xf>
    <xf numFmtId="0" fontId="16" fillId="5" borderId="48" xfId="0" applyFont="1" applyFill="1" applyBorder="1">
      <alignment vertical="center"/>
    </xf>
    <xf numFmtId="49" fontId="16" fillId="5" borderId="48" xfId="0" quotePrefix="1" applyNumberFormat="1" applyFont="1" applyFill="1" applyBorder="1" applyAlignment="1">
      <alignment horizontal="centerContinuous" vertical="center"/>
    </xf>
    <xf numFmtId="0" fontId="16" fillId="5" borderId="48" xfId="0" applyFont="1" applyFill="1" applyBorder="1" applyAlignment="1">
      <alignment horizontal="centerContinuous" vertical="center"/>
    </xf>
    <xf numFmtId="0" fontId="16" fillId="5" borderId="13" xfId="0" applyFont="1" applyFill="1" applyBorder="1" applyAlignment="1">
      <alignment horizontal="centerContinuous" vertical="center"/>
    </xf>
    <xf numFmtId="0" fontId="16" fillId="5" borderId="47" xfId="0" applyFont="1" applyFill="1" applyBorder="1" applyAlignment="1">
      <alignment horizontal="centerContinuous" vertical="center"/>
    </xf>
    <xf numFmtId="0" fontId="16" fillId="5" borderId="45" xfId="0" applyFont="1" applyFill="1" applyBorder="1" applyAlignment="1">
      <alignment vertical="top"/>
    </xf>
    <xf numFmtId="0" fontId="16" fillId="5" borderId="3" xfId="0" applyFont="1" applyFill="1" applyBorder="1">
      <alignment vertical="center"/>
    </xf>
    <xf numFmtId="0" fontId="0" fillId="5" borderId="3" xfId="0" applyFill="1" applyBorder="1">
      <alignment vertical="center"/>
    </xf>
    <xf numFmtId="0" fontId="0" fillId="5" borderId="7" xfId="0" applyFill="1" applyBorder="1">
      <alignment vertical="center"/>
    </xf>
    <xf numFmtId="0" fontId="16" fillId="5" borderId="2" xfId="0" applyFont="1" applyFill="1" applyBorder="1">
      <alignment vertical="center"/>
    </xf>
    <xf numFmtId="0" fontId="16" fillId="5" borderId="3" xfId="0" applyFont="1" applyFill="1" applyBorder="1" applyAlignment="1">
      <alignment horizontal="centerContinuous" vertical="top" wrapText="1"/>
    </xf>
    <xf numFmtId="0" fontId="17" fillId="5" borderId="3" xfId="0" applyFont="1" applyFill="1" applyBorder="1" applyAlignment="1">
      <alignment vertical="top"/>
    </xf>
    <xf numFmtId="0" fontId="16" fillId="5" borderId="28" xfId="0" applyFont="1" applyFill="1" applyBorder="1">
      <alignment vertical="center"/>
    </xf>
    <xf numFmtId="0" fontId="16" fillId="5" borderId="29" xfId="0" applyFont="1" applyFill="1" applyBorder="1">
      <alignment vertical="center"/>
    </xf>
    <xf numFmtId="0" fontId="16" fillId="5" borderId="49" xfId="0" applyFont="1" applyFill="1" applyBorder="1">
      <alignment vertical="center"/>
    </xf>
    <xf numFmtId="0" fontId="16" fillId="5" borderId="50" xfId="0" applyFont="1" applyFill="1" applyBorder="1">
      <alignment vertical="center"/>
    </xf>
    <xf numFmtId="49" fontId="16" fillId="5" borderId="50" xfId="0" quotePrefix="1" applyNumberFormat="1" applyFont="1" applyFill="1" applyBorder="1" applyAlignment="1">
      <alignment horizontal="centerContinuous" vertical="center"/>
    </xf>
    <xf numFmtId="0" fontId="16" fillId="5" borderId="50" xfId="0" applyFont="1" applyFill="1" applyBorder="1" applyAlignment="1">
      <alignment horizontal="centerContinuous" vertical="center"/>
    </xf>
    <xf numFmtId="0" fontId="16" fillId="5" borderId="29" xfId="0" applyFont="1" applyFill="1" applyBorder="1" applyAlignment="1">
      <alignment horizontal="centerContinuous" vertical="center"/>
    </xf>
    <xf numFmtId="0" fontId="16" fillId="5" borderId="49" xfId="0" applyFont="1" applyFill="1" applyBorder="1" applyAlignment="1">
      <alignment horizontal="centerContinuous" vertical="center"/>
    </xf>
    <xf numFmtId="0" fontId="16" fillId="5" borderId="51" xfId="0" applyFont="1" applyFill="1" applyBorder="1" applyAlignment="1">
      <alignment vertical="top"/>
    </xf>
    <xf numFmtId="0" fontId="16" fillId="5" borderId="0" xfId="0" applyFont="1" applyFill="1">
      <alignment vertical="center"/>
    </xf>
    <xf numFmtId="0" fontId="0" fillId="5" borderId="8" xfId="0" applyFill="1" applyBorder="1">
      <alignment vertical="center"/>
    </xf>
    <xf numFmtId="0" fontId="16" fillId="5" borderId="1" xfId="0" applyFont="1" applyFill="1" applyBorder="1">
      <alignment vertical="center"/>
    </xf>
    <xf numFmtId="0" fontId="16" fillId="5" borderId="0" xfId="0" applyFont="1" applyFill="1" applyAlignment="1">
      <alignment horizontal="centerContinuous" vertical="top" wrapText="1"/>
    </xf>
    <xf numFmtId="0" fontId="17" fillId="5" borderId="0" xfId="0" applyFont="1" applyFill="1" applyAlignment="1">
      <alignment vertical="top"/>
    </xf>
    <xf numFmtId="49" fontId="16" fillId="5" borderId="50" xfId="0" applyNumberFormat="1" applyFont="1" applyFill="1" applyBorder="1" applyAlignment="1">
      <alignment horizontal="centerContinuous" vertical="center"/>
    </xf>
    <xf numFmtId="0" fontId="17" fillId="5" borderId="52" xfId="0" applyFont="1" applyFill="1" applyBorder="1" applyAlignment="1">
      <alignment vertical="top"/>
    </xf>
    <xf numFmtId="0" fontId="17" fillId="5" borderId="45" xfId="0" applyFont="1" applyFill="1" applyBorder="1" applyAlignment="1">
      <alignment vertical="top"/>
    </xf>
    <xf numFmtId="0" fontId="16" fillId="5" borderId="0" xfId="0" applyFont="1" applyFill="1" applyAlignment="1">
      <alignment horizontal="centerContinuous" vertical="center"/>
    </xf>
    <xf numFmtId="0" fontId="17" fillId="5" borderId="53" xfId="0" applyFont="1" applyFill="1" applyBorder="1" applyAlignment="1">
      <alignment vertical="top"/>
    </xf>
    <xf numFmtId="0" fontId="17" fillId="5" borderId="51" xfId="0" applyFont="1" applyFill="1" applyBorder="1" applyAlignment="1">
      <alignment vertical="top"/>
    </xf>
    <xf numFmtId="49" fontId="16" fillId="5" borderId="50" xfId="0" applyNumberFormat="1" applyFont="1" applyFill="1" applyBorder="1">
      <alignment vertical="center"/>
    </xf>
    <xf numFmtId="0" fontId="0" fillId="5" borderId="53" xfId="0" applyFill="1" applyBorder="1">
      <alignment vertical="center"/>
    </xf>
    <xf numFmtId="0" fontId="0" fillId="5" borderId="51" xfId="0" applyFill="1" applyBorder="1">
      <alignment vertical="center"/>
    </xf>
    <xf numFmtId="0" fontId="0" fillId="5" borderId="49" xfId="0" applyFill="1" applyBorder="1">
      <alignment vertical="center"/>
    </xf>
    <xf numFmtId="0" fontId="0" fillId="5" borderId="50" xfId="0" applyFill="1" applyBorder="1">
      <alignment vertical="center"/>
    </xf>
    <xf numFmtId="0" fontId="0" fillId="5" borderId="1" xfId="0" applyFill="1" applyBorder="1">
      <alignment vertical="center"/>
    </xf>
    <xf numFmtId="0" fontId="0" fillId="5" borderId="54" xfId="0" applyFill="1" applyBorder="1">
      <alignment vertical="center"/>
    </xf>
    <xf numFmtId="0" fontId="0" fillId="5" borderId="55" xfId="0" applyFill="1" applyBorder="1">
      <alignment vertical="center"/>
    </xf>
    <xf numFmtId="0" fontId="0" fillId="5" borderId="56" xfId="0" applyFill="1" applyBorder="1">
      <alignment vertical="center"/>
    </xf>
    <xf numFmtId="0" fontId="0" fillId="5" borderId="6" xfId="0" applyFill="1" applyBorder="1">
      <alignment vertical="center"/>
    </xf>
    <xf numFmtId="0" fontId="0" fillId="5" borderId="9" xfId="0" applyFill="1" applyBorder="1">
      <alignment vertical="center"/>
    </xf>
    <xf numFmtId="0" fontId="0" fillId="5" borderId="5" xfId="0" applyFill="1" applyBorder="1">
      <alignment vertical="center"/>
    </xf>
    <xf numFmtId="0" fontId="0" fillId="5" borderId="57" xfId="0" applyFill="1" applyBorder="1">
      <alignment vertical="center"/>
    </xf>
    <xf numFmtId="0" fontId="16" fillId="4" borderId="4" xfId="0" applyFont="1" applyFill="1" applyBorder="1">
      <alignment vertical="center"/>
    </xf>
    <xf numFmtId="0" fontId="16" fillId="4" borderId="10" xfId="0" applyFont="1" applyFill="1" applyBorder="1">
      <alignment vertical="center"/>
    </xf>
    <xf numFmtId="0" fontId="16" fillId="4" borderId="58" xfId="0" applyFont="1" applyFill="1" applyBorder="1">
      <alignment vertical="center"/>
    </xf>
    <xf numFmtId="0" fontId="17" fillId="4" borderId="10" xfId="0" applyFont="1" applyFill="1" applyBorder="1" applyAlignment="1">
      <alignment vertical="top"/>
    </xf>
    <xf numFmtId="0" fontId="16" fillId="5" borderId="31" xfId="0" applyFont="1" applyFill="1" applyBorder="1">
      <alignment vertical="center"/>
    </xf>
    <xf numFmtId="0" fontId="16" fillId="5" borderId="33" xfId="0" applyFont="1" applyFill="1" applyBorder="1">
      <alignment vertical="center"/>
    </xf>
    <xf numFmtId="0" fontId="16" fillId="5" borderId="59" xfId="0" applyFont="1" applyFill="1" applyBorder="1">
      <alignment vertical="center"/>
    </xf>
    <xf numFmtId="0" fontId="16" fillId="5" borderId="60" xfId="0" applyFont="1" applyFill="1" applyBorder="1">
      <alignment vertical="center"/>
    </xf>
    <xf numFmtId="49" fontId="16" fillId="5" borderId="0" xfId="0" applyNumberFormat="1" applyFont="1" applyFill="1">
      <alignment vertical="center"/>
    </xf>
    <xf numFmtId="0" fontId="0" fillId="5" borderId="40" xfId="0" applyFill="1" applyBorder="1">
      <alignment vertical="center"/>
    </xf>
    <xf numFmtId="0" fontId="0" fillId="5" borderId="42" xfId="0" applyFill="1" applyBorder="1">
      <alignment vertical="center"/>
    </xf>
    <xf numFmtId="0" fontId="0" fillId="5" borderId="61" xfId="0" applyFill="1" applyBorder="1">
      <alignment vertical="center"/>
    </xf>
    <xf numFmtId="0" fontId="0" fillId="5" borderId="62" xfId="0" applyFill="1" applyBorder="1">
      <alignment vertical="center"/>
    </xf>
    <xf numFmtId="0" fontId="16" fillId="5" borderId="5" xfId="0" applyFont="1" applyFill="1" applyBorder="1">
      <alignment vertical="center"/>
    </xf>
    <xf numFmtId="49" fontId="0" fillId="4" borderId="4" xfId="0" applyNumberFormat="1" applyFill="1" applyBorder="1">
      <alignment vertical="center"/>
    </xf>
    <xf numFmtId="49" fontId="0" fillId="4" borderId="10" xfId="0" applyNumberFormat="1" applyFill="1" applyBorder="1">
      <alignment vertical="center"/>
    </xf>
    <xf numFmtId="49" fontId="0" fillId="4" borderId="11" xfId="0" applyNumberFormat="1" applyFill="1" applyBorder="1">
      <alignment vertical="center"/>
    </xf>
    <xf numFmtId="0" fontId="16" fillId="4" borderId="51" xfId="0" applyFont="1" applyFill="1" applyBorder="1">
      <alignment vertical="center"/>
    </xf>
    <xf numFmtId="0" fontId="16" fillId="4" borderId="63" xfId="0" applyFont="1" applyFill="1" applyBorder="1">
      <alignment vertical="center"/>
    </xf>
    <xf numFmtId="0" fontId="16" fillId="5" borderId="48" xfId="0" applyFont="1" applyFill="1" applyBorder="1" applyAlignment="1">
      <alignment vertical="top"/>
    </xf>
    <xf numFmtId="0" fontId="17" fillId="5" borderId="13" xfId="0" applyFont="1" applyFill="1" applyBorder="1" applyAlignment="1">
      <alignment vertical="top"/>
    </xf>
    <xf numFmtId="0" fontId="16" fillId="5" borderId="50" xfId="0" applyFont="1" applyFill="1" applyBorder="1" applyAlignment="1">
      <alignment vertical="top"/>
    </xf>
    <xf numFmtId="0" fontId="17" fillId="5" borderId="29" xfId="0" applyFont="1" applyFill="1" applyBorder="1" applyAlignment="1">
      <alignment vertical="top"/>
    </xf>
    <xf numFmtId="49" fontId="16" fillId="5" borderId="29" xfId="0" applyNumberFormat="1" applyFont="1" applyFill="1" applyBorder="1">
      <alignment vertical="center"/>
    </xf>
    <xf numFmtId="0" fontId="16" fillId="5" borderId="40" xfId="0" applyFont="1" applyFill="1" applyBorder="1">
      <alignment vertical="center"/>
    </xf>
    <xf numFmtId="0" fontId="16" fillId="5" borderId="42" xfId="0" applyFont="1" applyFill="1" applyBorder="1">
      <alignment vertical="center"/>
    </xf>
    <xf numFmtId="0" fontId="16" fillId="5" borderId="61" xfId="0" applyFont="1" applyFill="1" applyBorder="1">
      <alignment vertical="center"/>
    </xf>
    <xf numFmtId="0" fontId="16" fillId="5" borderId="62" xfId="0" applyFont="1" applyFill="1" applyBorder="1">
      <alignment vertical="center"/>
    </xf>
    <xf numFmtId="49" fontId="16" fillId="5" borderId="62" xfId="0" applyNumberFormat="1" applyFont="1" applyFill="1" applyBorder="1" applyAlignment="1">
      <alignment horizontal="centerContinuous" vertical="center"/>
    </xf>
    <xf numFmtId="0" fontId="16" fillId="5" borderId="62" xfId="0" applyFont="1" applyFill="1" applyBorder="1" applyAlignment="1">
      <alignment horizontal="centerContinuous" vertical="center"/>
    </xf>
    <xf numFmtId="0" fontId="16" fillId="5" borderId="42" xfId="0" applyFont="1" applyFill="1" applyBorder="1" applyAlignment="1">
      <alignment horizontal="centerContinuous" vertical="center"/>
    </xf>
    <xf numFmtId="0" fontId="16" fillId="5" borderId="61" xfId="0" applyFont="1" applyFill="1" applyBorder="1" applyAlignment="1">
      <alignment horizontal="centerContinuous" vertical="center"/>
    </xf>
    <xf numFmtId="0" fontId="0" fillId="5" borderId="60" xfId="0" applyFill="1" applyBorder="1">
      <alignment vertical="center"/>
    </xf>
    <xf numFmtId="0" fontId="0" fillId="5" borderId="33" xfId="0" applyFill="1" applyBorder="1">
      <alignment vertical="center"/>
    </xf>
    <xf numFmtId="0" fontId="0" fillId="5" borderId="32" xfId="0" applyFill="1" applyBorder="1">
      <alignment vertical="center"/>
    </xf>
    <xf numFmtId="0" fontId="3" fillId="10" borderId="28" xfId="0" applyFont="1" applyFill="1" applyBorder="1" applyAlignment="1">
      <alignment horizontal="left" vertical="center"/>
    </xf>
    <xf numFmtId="0" fontId="3" fillId="10" borderId="29" xfId="0" applyFont="1" applyFill="1" applyBorder="1" applyAlignment="1">
      <alignment horizontal="left" vertical="center"/>
    </xf>
    <xf numFmtId="0" fontId="3" fillId="10" borderId="30" xfId="0" applyFont="1" applyFill="1" applyBorder="1" applyAlignment="1">
      <alignment horizontal="left" vertical="center"/>
    </xf>
    <xf numFmtId="0" fontId="0" fillId="5" borderId="15" xfId="0" applyFill="1" applyBorder="1" applyAlignment="1">
      <alignment horizontal="left" vertical="center" wrapText="1"/>
    </xf>
    <xf numFmtId="0" fontId="0" fillId="5" borderId="30" xfId="0" quotePrefix="1" applyFill="1" applyBorder="1" applyAlignment="1">
      <alignment horizontal="left" vertical="center"/>
    </xf>
    <xf numFmtId="0" fontId="0" fillId="5" borderId="29" xfId="0" quotePrefix="1" applyFill="1" applyBorder="1" applyAlignment="1">
      <alignment horizontal="left" vertical="center"/>
    </xf>
    <xf numFmtId="0" fontId="0" fillId="0" borderId="4"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3" fillId="2" borderId="4"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7" xfId="0" applyFont="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9" xfId="0" applyFon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7" xfId="0" applyNumberFormat="1" applyBorder="1" applyAlignment="1">
      <alignment horizontal="center" vertical="center"/>
    </xf>
    <xf numFmtId="2" fontId="0" fillId="0" borderId="5" xfId="0" applyNumberFormat="1" applyBorder="1" applyAlignment="1">
      <alignment horizontal="center" vertical="center"/>
    </xf>
    <xf numFmtId="2" fontId="0" fillId="0" borderId="6" xfId="0" applyNumberFormat="1" applyBorder="1" applyAlignment="1">
      <alignment horizontal="center" vertical="center"/>
    </xf>
    <xf numFmtId="2" fontId="0" fillId="0" borderId="9" xfId="0" applyNumberFormat="1" applyBorder="1" applyAlignment="1">
      <alignment horizontal="center" vertical="center"/>
    </xf>
    <xf numFmtId="176" fontId="0" fillId="0" borderId="2" xfId="0" applyNumberFormat="1" applyBorder="1" applyAlignment="1">
      <alignment horizontal="center" vertical="center"/>
    </xf>
    <xf numFmtId="176" fontId="0" fillId="0" borderId="3" xfId="0" applyNumberFormat="1" applyBorder="1" applyAlignment="1">
      <alignment horizontal="center" vertical="center"/>
    </xf>
    <xf numFmtId="176" fontId="0" fillId="0" borderId="7" xfId="0" applyNumberFormat="1" applyBorder="1" applyAlignment="1">
      <alignment horizontal="center" vertical="center"/>
    </xf>
    <xf numFmtId="176" fontId="0" fillId="0" borderId="5" xfId="0" applyNumberFormat="1" applyBorder="1" applyAlignment="1">
      <alignment horizontal="center" vertical="center"/>
    </xf>
    <xf numFmtId="176" fontId="0" fillId="0" borderId="6" xfId="0" applyNumberFormat="1" applyBorder="1" applyAlignment="1">
      <alignment horizontal="center" vertical="center"/>
    </xf>
    <xf numFmtId="176" fontId="0" fillId="0" borderId="9" xfId="0" applyNumberFormat="1" applyBorder="1" applyAlignment="1">
      <alignment horizontal="center" vertical="center"/>
    </xf>
    <xf numFmtId="14" fontId="0" fillId="0" borderId="2" xfId="0" applyNumberFormat="1" applyBorder="1" applyAlignment="1">
      <alignment horizontal="center" vertical="center"/>
    </xf>
    <xf numFmtId="0" fontId="5" fillId="0" borderId="0" xfId="0" applyFont="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9" xfId="0" applyFont="1" applyFill="1" applyBorder="1" applyAlignment="1">
      <alignment horizontal="center"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3" xfId="0" applyBorder="1">
      <alignment vertical="center"/>
    </xf>
    <xf numFmtId="0" fontId="0" fillId="0" borderId="7" xfId="0" applyBorder="1">
      <alignment vertical="center"/>
    </xf>
    <xf numFmtId="0" fontId="0" fillId="0" borderId="6" xfId="0" applyBorder="1">
      <alignment vertical="center"/>
    </xf>
    <xf numFmtId="0" fontId="0" fillId="0" borderId="9" xfId="0" applyBorder="1">
      <alignment vertical="center"/>
    </xf>
    <xf numFmtId="0" fontId="0" fillId="0" borderId="2" xfId="0" applyBorder="1">
      <alignment vertical="center"/>
    </xf>
    <xf numFmtId="0" fontId="0" fillId="0" borderId="5" xfId="0"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3" fillId="2" borderId="0" xfId="0" applyFont="1" applyFill="1">
      <alignment vertical="center"/>
    </xf>
    <xf numFmtId="0" fontId="0" fillId="3" borderId="12" xfId="0" applyFill="1" applyBorder="1" applyAlignment="1">
      <alignment horizontal="left" vertical="center"/>
    </xf>
    <xf numFmtId="0" fontId="0" fillId="3" borderId="13" xfId="0" applyFill="1" applyBorder="1" applyAlignment="1">
      <alignment horizontal="left" vertical="center"/>
    </xf>
    <xf numFmtId="0" fontId="0" fillId="3" borderId="14" xfId="0" applyFill="1"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0" borderId="15" xfId="0"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xf>
    <xf numFmtId="0" fontId="0" fillId="3" borderId="28" xfId="0" applyFill="1" applyBorder="1" applyAlignment="1">
      <alignment horizontal="left" vertical="center"/>
    </xf>
    <xf numFmtId="0" fontId="0" fillId="3" borderId="29" xfId="0" applyFill="1" applyBorder="1" applyAlignment="1">
      <alignment horizontal="left" vertical="center"/>
    </xf>
    <xf numFmtId="0" fontId="0" fillId="3" borderId="30" xfId="0" applyFill="1" applyBorder="1" applyAlignment="1">
      <alignment horizontal="left" vertical="center"/>
    </xf>
    <xf numFmtId="0" fontId="0" fillId="0" borderId="28" xfId="0" applyBorder="1" applyAlignment="1">
      <alignment horizontal="left" vertical="center"/>
    </xf>
    <xf numFmtId="0" fontId="0" fillId="0" borderId="29" xfId="0" applyBorder="1" applyAlignment="1">
      <alignment horizontal="left" vertical="center"/>
    </xf>
    <xf numFmtId="0" fontId="0" fillId="0" borderId="30" xfId="0" applyBorder="1" applyAlignment="1">
      <alignment horizontal="left" vertical="center"/>
    </xf>
    <xf numFmtId="14" fontId="0" fillId="0" borderId="28" xfId="0" quotePrefix="1" applyNumberFormat="1" applyBorder="1" applyAlignment="1">
      <alignment horizontal="left" vertical="center" wrapText="1"/>
    </xf>
    <xf numFmtId="14" fontId="0" fillId="0" borderId="29" xfId="0" quotePrefix="1" applyNumberFormat="1" applyBorder="1" applyAlignment="1">
      <alignment horizontal="left" vertical="center" wrapText="1"/>
    </xf>
    <xf numFmtId="14" fontId="0" fillId="0" borderId="30" xfId="0" quotePrefix="1" applyNumberFormat="1" applyBorder="1" applyAlignment="1">
      <alignment horizontal="left" vertical="center" wrapText="1"/>
    </xf>
    <xf numFmtId="0" fontId="0" fillId="3" borderId="15" xfId="0" applyFill="1" applyBorder="1" applyAlignment="1">
      <alignment horizontal="left" vertical="center"/>
    </xf>
    <xf numFmtId="0" fontId="0" fillId="3" borderId="16" xfId="0" applyFill="1" applyBorder="1" applyAlignment="1">
      <alignment horizontal="left" vertical="center"/>
    </xf>
    <xf numFmtId="0" fontId="0" fillId="3" borderId="17" xfId="0" applyFill="1" applyBorder="1" applyAlignment="1">
      <alignment horizontal="left" vertical="center"/>
    </xf>
    <xf numFmtId="14" fontId="0" fillId="0" borderId="15" xfId="0" applyNumberFormat="1" applyBorder="1" applyAlignment="1">
      <alignment horizontal="left" vertical="center"/>
    </xf>
    <xf numFmtId="14" fontId="0" fillId="0" borderId="16" xfId="0" applyNumberFormat="1" applyBorder="1" applyAlignment="1">
      <alignment horizontal="left" vertical="center"/>
    </xf>
    <xf numFmtId="14" fontId="0" fillId="0" borderId="17" xfId="0" applyNumberFormat="1" applyBorder="1" applyAlignment="1">
      <alignment horizontal="left" vertical="center"/>
    </xf>
    <xf numFmtId="0" fontId="0" fillId="3" borderId="4" xfId="0" applyFill="1" applyBorder="1" applyAlignment="1">
      <alignment horizontal="left" vertical="center"/>
    </xf>
    <xf numFmtId="0" fontId="0" fillId="3" borderId="10" xfId="0" applyFill="1" applyBorder="1" applyAlignment="1">
      <alignment horizontal="left" vertical="center"/>
    </xf>
    <xf numFmtId="0" fontId="0" fillId="3" borderId="11" xfId="0" applyFill="1" applyBorder="1" applyAlignment="1">
      <alignment horizontal="left" vertical="center"/>
    </xf>
    <xf numFmtId="0" fontId="0" fillId="0" borderId="0" xfId="0">
      <alignment vertical="center"/>
    </xf>
    <xf numFmtId="49" fontId="0" fillId="4" borderId="44" xfId="0" applyNumberFormat="1" applyFill="1" applyBorder="1">
      <alignment vertical="center"/>
    </xf>
    <xf numFmtId="0" fontId="0" fillId="4" borderId="44" xfId="0" applyFill="1" applyBorder="1">
      <alignment vertical="center"/>
    </xf>
    <xf numFmtId="0" fontId="0" fillId="0" borderId="44" xfId="0" applyBorder="1" applyAlignment="1">
      <alignment vertical="center" shrinkToFit="1"/>
    </xf>
    <xf numFmtId="0" fontId="0" fillId="0" borderId="44" xfId="0" applyBorder="1">
      <alignment vertical="center"/>
    </xf>
  </cellXfs>
  <cellStyles count="1">
    <cellStyle name="標準"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203200</xdr:colOff>
      <xdr:row>159</xdr:row>
      <xdr:rowOff>190500</xdr:rowOff>
    </xdr:from>
    <xdr:to>
      <xdr:col>37</xdr:col>
      <xdr:colOff>139700</xdr:colOff>
      <xdr:row>168</xdr:row>
      <xdr:rowOff>114300</xdr:rowOff>
    </xdr:to>
    <xdr:sp macro="" textlink="">
      <xdr:nvSpPr>
        <xdr:cNvPr id="2" name="テキスト ボックス 1">
          <a:extLst>
            <a:ext uri="{FF2B5EF4-FFF2-40B4-BE49-F238E27FC236}">
              <a16:creationId xmlns:a16="http://schemas.microsoft.com/office/drawing/2014/main" id="{44025D4A-76FA-4971-A0D8-F8D521460D59}"/>
            </a:ext>
          </a:extLst>
        </xdr:cNvPr>
        <xdr:cNvSpPr txBox="1"/>
      </xdr:nvSpPr>
      <xdr:spPr>
        <a:xfrm>
          <a:off x="441325" y="31032450"/>
          <a:ext cx="8509000" cy="1809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検索条件で、</a:t>
          </a:r>
          <a:br>
            <a:rPr kumimoji="1" lang="en-US" altLang="ja-JP" sz="1100">
              <a:latin typeface="Meiryo UI" panose="020B0604030504040204" pitchFamily="50" charset="-128"/>
              <a:ea typeface="Meiryo UI" panose="020B0604030504040204" pitchFamily="50" charset="-128"/>
            </a:rPr>
          </a:br>
          <a:r>
            <a:rPr kumimoji="1" lang="en-US" altLang="ja-JP" sz="1100">
              <a:latin typeface="Meiryo UI" panose="020B0604030504040204" pitchFamily="50" charset="-128"/>
              <a:ea typeface="Meiryo UI" panose="020B0604030504040204" pitchFamily="50" charset="-128"/>
            </a:rPr>
            <a:t>company_code</a:t>
          </a:r>
          <a:r>
            <a:rPr kumimoji="1" lang="ja-JP" altLang="en-US" sz="1100">
              <a:latin typeface="Meiryo UI" panose="020B0604030504040204" pitchFamily="50" charset="-128"/>
              <a:ea typeface="Meiryo UI" panose="020B0604030504040204" pitchFamily="50" charset="-128"/>
            </a:rPr>
            <a:t>がヒットするものの、</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でヒットしない場合は、</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instore_code</a:t>
          </a:r>
          <a:r>
            <a:rPr kumimoji="1" lang="ja-JP" altLang="en-US" sz="1100">
              <a:latin typeface="Meiryo UI" panose="020B0604030504040204" pitchFamily="50" charset="-128"/>
              <a:ea typeface="Meiryo UI" panose="020B0604030504040204" pitchFamily="50" charset="-128"/>
            </a:rPr>
            <a:t>が空欄のものを。</a:t>
          </a:r>
          <a:br>
            <a:rPr kumimoji="1" lang="en-US" altLang="ja-JP" sz="1100">
              <a:latin typeface="Meiryo UI" panose="020B0604030504040204" pitchFamily="50" charset="-128"/>
              <a:ea typeface="Meiryo UI" panose="020B0604030504040204" pitchFamily="50" charset="-128"/>
            </a:rPr>
          </a:br>
          <a:r>
            <a:rPr kumimoji="1" lang="en-US" altLang="ja-JP" sz="1100">
              <a:latin typeface="Meiryo UI" panose="020B0604030504040204" pitchFamily="50" charset="-128"/>
              <a:ea typeface="Meiryo UI" panose="020B0604030504040204" pitchFamily="50" charset="-128"/>
            </a:rPr>
            <a:t>company_code</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がヒットするものの、</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がヒットしない場合は、</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が空欄のものを、</a:t>
          </a:r>
          <a:br>
            <a:rPr kumimoji="1" lang="en-US" altLang="ja-JP" sz="1100">
              <a:solidFill>
                <a:schemeClr val="dk1"/>
              </a:solidFill>
              <a:effectLst/>
              <a:latin typeface="Meiryo UI" panose="020B0604030504040204" pitchFamily="50" charset="-128"/>
              <a:ea typeface="Meiryo UI" panose="020B0604030504040204" pitchFamily="50" charset="-128"/>
              <a:cs typeface="+mn-cs"/>
            </a:rPr>
          </a:br>
          <a:r>
            <a:rPr kumimoji="1" lang="en-US" altLang="ja-JP" sz="1100">
              <a:solidFill>
                <a:schemeClr val="dk1"/>
              </a:solidFill>
              <a:effectLst/>
              <a:latin typeface="Meiryo UI" panose="020B0604030504040204" pitchFamily="50" charset="-128"/>
              <a:ea typeface="Meiryo UI" panose="020B0604030504040204" pitchFamily="50" charset="-128"/>
              <a:cs typeface="+mn-cs"/>
            </a:rPr>
            <a:t>company_code</a:t>
          </a:r>
          <a:r>
            <a:rPr kumimoji="1" lang="ja-JP" altLang="ja-JP" sz="1100">
              <a:solidFill>
                <a:schemeClr val="dk1"/>
              </a:solidFill>
              <a:effectLst/>
              <a:latin typeface="Meiryo UI" panose="020B0604030504040204" pitchFamily="50" charset="-128"/>
              <a:ea typeface="Meiryo UI" panose="020B0604030504040204" pitchFamily="50" charset="-128"/>
              <a:cs typeface="+mn-cs"/>
            </a:rPr>
            <a:t>、</a:t>
          </a:r>
          <a:r>
            <a:rPr kumimoji="1" lang="en-US" altLang="ja-JP" sz="1100">
              <a:solidFill>
                <a:schemeClr val="dk1"/>
              </a:solidFill>
              <a:effectLst/>
              <a:latin typeface="Meiryo UI" panose="020B0604030504040204" pitchFamily="50" charset="-128"/>
              <a:ea typeface="Meiryo UI" panose="020B0604030504040204" pitchFamily="50" charset="-128"/>
              <a:cs typeface="+mn-cs"/>
            </a:rPr>
            <a:t>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がヒットする場合は、そのまま検索して、</a:t>
          </a:r>
          <a:r>
            <a:rPr kumimoji="1" lang="en-US" altLang="ja-JP" sz="1100">
              <a:solidFill>
                <a:schemeClr val="dk1"/>
              </a:solidFill>
              <a:effectLst/>
              <a:latin typeface="Meiryo UI" panose="020B0604030504040204" pitchFamily="50" charset="-128"/>
              <a:ea typeface="Meiryo UI" panose="020B0604030504040204" pitchFamily="50" charset="-128"/>
              <a:cs typeface="+mn-cs"/>
            </a:rPr>
            <a:t>1</a:t>
          </a:r>
          <a:r>
            <a:rPr kumimoji="1" lang="ja-JP" altLang="en-US" sz="1100">
              <a:solidFill>
                <a:schemeClr val="dk1"/>
              </a:solidFill>
              <a:effectLst/>
              <a:latin typeface="Meiryo UI" panose="020B0604030504040204" pitchFamily="50" charset="-128"/>
              <a:ea typeface="Meiryo UI" panose="020B0604030504040204" pitchFamily="50" charset="-128"/>
              <a:cs typeface="+mn-cs"/>
            </a:rPr>
            <a:t>レコードだけを返すようしてください。</a:t>
          </a:r>
          <a:endParaRPr kumimoji="1" lang="ja-JP" altLang="en-US" sz="1100">
            <a:latin typeface="Meiryo UI" panose="020B0604030504040204" pitchFamily="50" charset="-128"/>
            <a:ea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203200</xdr:colOff>
      <xdr:row>138</xdr:row>
      <xdr:rowOff>190500</xdr:rowOff>
    </xdr:from>
    <xdr:to>
      <xdr:col>37</xdr:col>
      <xdr:colOff>139700</xdr:colOff>
      <xdr:row>147</xdr:row>
      <xdr:rowOff>114300</xdr:rowOff>
    </xdr:to>
    <xdr:sp macro="" textlink="">
      <xdr:nvSpPr>
        <xdr:cNvPr id="2" name="テキスト ボックス 1">
          <a:extLst>
            <a:ext uri="{FF2B5EF4-FFF2-40B4-BE49-F238E27FC236}">
              <a16:creationId xmlns:a16="http://schemas.microsoft.com/office/drawing/2014/main" id="{AC0A099C-9EF2-4B30-AFD2-802BCAB73DB3}"/>
            </a:ext>
          </a:extLst>
        </xdr:cNvPr>
        <xdr:cNvSpPr txBox="1"/>
      </xdr:nvSpPr>
      <xdr:spPr>
        <a:xfrm>
          <a:off x="965200" y="27793950"/>
          <a:ext cx="27368500" cy="1724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検索条件で、</a:t>
          </a:r>
          <a:br>
            <a:rPr kumimoji="1" lang="en-US" altLang="ja-JP" sz="1100">
              <a:latin typeface="Meiryo UI" panose="020B0604030504040204" pitchFamily="50" charset="-128"/>
              <a:ea typeface="Meiryo UI" panose="020B0604030504040204" pitchFamily="50" charset="-128"/>
            </a:rPr>
          </a:br>
          <a:r>
            <a:rPr kumimoji="1" lang="en-US" altLang="ja-JP" sz="1100">
              <a:latin typeface="Meiryo UI" panose="020B0604030504040204" pitchFamily="50" charset="-128"/>
              <a:ea typeface="Meiryo UI" panose="020B0604030504040204" pitchFamily="50" charset="-128"/>
            </a:rPr>
            <a:t>company_code</a:t>
          </a:r>
          <a:r>
            <a:rPr kumimoji="1" lang="ja-JP" altLang="en-US" sz="1100">
              <a:latin typeface="Meiryo UI" panose="020B0604030504040204" pitchFamily="50" charset="-128"/>
              <a:ea typeface="Meiryo UI" panose="020B0604030504040204" pitchFamily="50" charset="-128"/>
            </a:rPr>
            <a:t>がヒットするものの、</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でヒットしない場合は、</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instore_code</a:t>
          </a:r>
          <a:r>
            <a:rPr kumimoji="1" lang="ja-JP" altLang="en-US" sz="1100">
              <a:latin typeface="Meiryo UI" panose="020B0604030504040204" pitchFamily="50" charset="-128"/>
              <a:ea typeface="Meiryo UI" panose="020B0604030504040204" pitchFamily="50" charset="-128"/>
            </a:rPr>
            <a:t>が空欄のものを。</a:t>
          </a:r>
          <a:br>
            <a:rPr kumimoji="1" lang="en-US" altLang="ja-JP" sz="1100">
              <a:latin typeface="Meiryo UI" panose="020B0604030504040204" pitchFamily="50" charset="-128"/>
              <a:ea typeface="Meiryo UI" panose="020B0604030504040204" pitchFamily="50" charset="-128"/>
            </a:rPr>
          </a:br>
          <a:r>
            <a:rPr kumimoji="1" lang="en-US" altLang="ja-JP" sz="1100">
              <a:latin typeface="Meiryo UI" panose="020B0604030504040204" pitchFamily="50" charset="-128"/>
              <a:ea typeface="Meiryo UI" panose="020B0604030504040204" pitchFamily="50" charset="-128"/>
            </a:rPr>
            <a:t>company_code</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がヒットするものの、</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がヒットしない場合は、</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が空欄のものを、</a:t>
          </a:r>
          <a:br>
            <a:rPr kumimoji="1" lang="en-US" altLang="ja-JP" sz="1100">
              <a:solidFill>
                <a:schemeClr val="dk1"/>
              </a:solidFill>
              <a:effectLst/>
              <a:latin typeface="Meiryo UI" panose="020B0604030504040204" pitchFamily="50" charset="-128"/>
              <a:ea typeface="Meiryo UI" panose="020B0604030504040204" pitchFamily="50" charset="-128"/>
              <a:cs typeface="+mn-cs"/>
            </a:rPr>
          </a:br>
          <a:r>
            <a:rPr kumimoji="1" lang="en-US" altLang="ja-JP" sz="1100">
              <a:solidFill>
                <a:schemeClr val="dk1"/>
              </a:solidFill>
              <a:effectLst/>
              <a:latin typeface="Meiryo UI" panose="020B0604030504040204" pitchFamily="50" charset="-128"/>
              <a:ea typeface="Meiryo UI" panose="020B0604030504040204" pitchFamily="50" charset="-128"/>
              <a:cs typeface="+mn-cs"/>
            </a:rPr>
            <a:t>company_code</a:t>
          </a:r>
          <a:r>
            <a:rPr kumimoji="1" lang="ja-JP" altLang="ja-JP" sz="1100">
              <a:solidFill>
                <a:schemeClr val="dk1"/>
              </a:solidFill>
              <a:effectLst/>
              <a:latin typeface="Meiryo UI" panose="020B0604030504040204" pitchFamily="50" charset="-128"/>
              <a:ea typeface="Meiryo UI" panose="020B0604030504040204" pitchFamily="50" charset="-128"/>
              <a:cs typeface="+mn-cs"/>
            </a:rPr>
            <a:t>、</a:t>
          </a:r>
          <a:r>
            <a:rPr kumimoji="1" lang="en-US" altLang="ja-JP" sz="1100">
              <a:solidFill>
                <a:schemeClr val="dk1"/>
              </a:solidFill>
              <a:effectLst/>
              <a:latin typeface="Meiryo UI" panose="020B0604030504040204" pitchFamily="50" charset="-128"/>
              <a:ea typeface="Meiryo UI" panose="020B0604030504040204" pitchFamily="50" charset="-128"/>
              <a:cs typeface="+mn-cs"/>
            </a:rPr>
            <a:t>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がヒットする場合は、そのまま検索して、</a:t>
          </a:r>
          <a:r>
            <a:rPr kumimoji="1" lang="en-US" altLang="ja-JP" sz="1100">
              <a:solidFill>
                <a:schemeClr val="dk1"/>
              </a:solidFill>
              <a:effectLst/>
              <a:latin typeface="Meiryo UI" panose="020B0604030504040204" pitchFamily="50" charset="-128"/>
              <a:ea typeface="Meiryo UI" panose="020B0604030504040204" pitchFamily="50" charset="-128"/>
              <a:cs typeface="+mn-cs"/>
            </a:rPr>
            <a:t>1</a:t>
          </a:r>
          <a:r>
            <a:rPr kumimoji="1" lang="ja-JP" altLang="en-US" sz="1100">
              <a:solidFill>
                <a:schemeClr val="dk1"/>
              </a:solidFill>
              <a:effectLst/>
              <a:latin typeface="Meiryo UI" panose="020B0604030504040204" pitchFamily="50" charset="-128"/>
              <a:ea typeface="Meiryo UI" panose="020B0604030504040204" pitchFamily="50" charset="-128"/>
              <a:cs typeface="+mn-cs"/>
            </a:rPr>
            <a:t>レコードだけを返すようしてください。</a:t>
          </a:r>
          <a:endParaRPr kumimoji="1" lang="ja-JP" altLang="en-US" sz="1100">
            <a:latin typeface="Meiryo UI" panose="020B0604030504040204" pitchFamily="50" charset="-128"/>
            <a:ea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kitkat44g-my.sharepoint.com/personal/kiyohara_kadutoshi_com1/Documents/&#9679;prjs_pos_system/30_implementation/32_design/JP/30_POS&#12469;&#12540;&#12496;&#12540;/50_DB&#23450;&#32681;/DB&#23450;&#32681;_API.xlsx" TargetMode="External"/><Relationship Id="rId1" Type="http://schemas.openxmlformats.org/officeDocument/2006/relationships/externalLinkPath" Target="DB&#23450;&#32681;_AP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sheetName val="改廃履歴"/>
      <sheetName val="概要"/>
      <sheetName val="POS機器設定"/>
      <sheetName val="釣銭機設定"/>
      <sheetName val="テンプレート"/>
    </sheetNames>
    <sheetDataSet>
      <sheetData sheetId="0">
        <row r="1">
          <cell r="W1" t="str">
            <v>基本設計書</v>
          </cell>
        </row>
        <row r="2">
          <cell r="A2" t="str">
            <v>現金専用簡易セルフPOS</v>
          </cell>
          <cell r="K2" t="str">
            <v>API</v>
          </cell>
          <cell r="AP2" t="str">
            <v>きよはら</v>
          </cell>
          <cell r="AT2">
            <v>44867</v>
          </cell>
          <cell r="AY2" t="str">
            <v>きよはら</v>
          </cell>
          <cell r="BC2">
            <v>44867</v>
          </cell>
          <cell r="BH2">
            <v>0.1</v>
          </cell>
        </row>
        <row r="4">
          <cell r="H4" t="str">
            <v>共通</v>
          </cell>
          <cell r="Z4" t="str">
            <v>API(設定)定義書</v>
          </cell>
        </row>
      </sheetData>
      <sheetData sheetId="1"/>
      <sheetData sheetId="2"/>
      <sheetData sheetId="3"/>
      <sheetData sheetId="4"/>
      <sheetData sheetId="5"/>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1.xml"/><Relationship Id="rId1" Type="http://schemas.openxmlformats.org/officeDocument/2006/relationships/printerSettings" Target="../printerSettings/printerSettings33.bin"/><Relationship Id="rId4" Type="http://schemas.openxmlformats.org/officeDocument/2006/relationships/comments" Target="../comments29.xml"/></Relationships>
</file>

<file path=xl/worksheets/_rels/sheet34.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33.vml"/><Relationship Id="rId2" Type="http://schemas.openxmlformats.org/officeDocument/2006/relationships/drawing" Target="../drawings/drawing2.xml"/><Relationship Id="rId1" Type="http://schemas.openxmlformats.org/officeDocument/2006/relationships/printerSettings" Target="../printerSettings/printerSettings38.bin"/><Relationship Id="rId4" Type="http://schemas.openxmlformats.org/officeDocument/2006/relationships/comments" Target="../comments33.xml"/></Relationships>
</file>

<file path=xl/worksheets/_rels/sheet39.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A0A36-4D2F-4AD9-90BF-5A472F37B97F}">
  <dimension ref="A1:BK55"/>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
        <v>57</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
        <v>15</v>
      </c>
      <c r="B2" s="242"/>
      <c r="C2" s="242"/>
      <c r="D2" s="242"/>
      <c r="E2" s="242"/>
      <c r="F2" s="242"/>
      <c r="G2" s="242"/>
      <c r="H2" s="242"/>
      <c r="I2" s="242"/>
      <c r="J2" s="243"/>
      <c r="K2" s="241"/>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68" t="s">
        <v>58</v>
      </c>
      <c r="AQ2" s="242"/>
      <c r="AR2" s="242"/>
      <c r="AS2" s="243"/>
      <c r="AT2" s="262">
        <v>44652</v>
      </c>
      <c r="AU2" s="263"/>
      <c r="AV2" s="263"/>
      <c r="AW2" s="263"/>
      <c r="AX2" s="264"/>
      <c r="AY2" s="241" t="str">
        <f>LOOKUP(2,1/(改廃履歴!H11:H30000&lt;&gt;""),改廃履歴!H11:H30000)</f>
        <v>Thanh Nguyên</v>
      </c>
      <c r="AZ2" s="242"/>
      <c r="BA2" s="242"/>
      <c r="BB2" s="243"/>
      <c r="BC2" s="262">
        <f>LOOKUP(2,1/(改廃履歴!B11:B30000&lt;&gt;""),改廃履歴!B11:B30000)</f>
        <v>45285</v>
      </c>
      <c r="BD2" s="263"/>
      <c r="BE2" s="263"/>
      <c r="BF2" s="263"/>
      <c r="BG2" s="264"/>
      <c r="BH2" s="256">
        <f>LOOKUP(2,1/(改廃履歴!O11:O30000&lt;&gt;""),改廃履歴!O11:O30000)</f>
        <v>0.2</v>
      </c>
      <c r="BI2" s="257"/>
      <c r="BJ2" s="257"/>
      <c r="BK2" s="258"/>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59"/>
      <c r="BI3" s="260"/>
      <c r="BJ3" s="260"/>
      <c r="BK3" s="261"/>
    </row>
    <row r="4" spans="1:63" ht="24.95" customHeight="1">
      <c r="A4" s="238" t="s">
        <v>1</v>
      </c>
      <c r="B4" s="239"/>
      <c r="C4" s="239"/>
      <c r="D4" s="239"/>
      <c r="E4" s="239"/>
      <c r="F4" s="239"/>
      <c r="G4" s="240"/>
      <c r="H4" s="235" t="s">
        <v>56</v>
      </c>
      <c r="I4" s="236"/>
      <c r="J4" s="236"/>
      <c r="K4" s="236"/>
      <c r="L4" s="236"/>
      <c r="M4" s="236"/>
      <c r="N4" s="236"/>
      <c r="O4" s="236"/>
      <c r="P4" s="236"/>
      <c r="Q4" s="236"/>
      <c r="R4" s="236"/>
      <c r="S4" s="236"/>
      <c r="T4" s="237"/>
      <c r="U4" s="238" t="s">
        <v>8</v>
      </c>
      <c r="V4" s="239"/>
      <c r="W4" s="239"/>
      <c r="X4" s="239"/>
      <c r="Y4" s="240"/>
      <c r="Z4" s="235"/>
      <c r="AA4" s="236"/>
      <c r="AB4" s="236"/>
      <c r="AC4" s="236"/>
      <c r="AD4" s="236"/>
      <c r="AE4" s="236"/>
      <c r="AF4" s="236"/>
      <c r="AG4" s="236"/>
      <c r="AH4" s="236"/>
      <c r="AI4" s="236"/>
      <c r="AJ4" s="236"/>
      <c r="AK4" s="236"/>
      <c r="AL4" s="236"/>
      <c r="AM4" s="236"/>
      <c r="AN4" s="236"/>
      <c r="AO4" s="237"/>
      <c r="AP4" s="235" t="s">
        <v>16</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K8" s="4"/>
    </row>
    <row r="9" spans="1:63" ht="15" customHeight="1">
      <c r="A9" s="1"/>
      <c r="BK9" s="4"/>
    </row>
    <row r="10" spans="1:63" ht="15" customHeight="1">
      <c r="A10" s="1"/>
      <c r="BK10" s="4"/>
    </row>
    <row r="11" spans="1:63" ht="15" customHeight="1">
      <c r="A11" s="1"/>
      <c r="BK11" s="4"/>
    </row>
    <row r="12" spans="1:63" ht="15" customHeight="1">
      <c r="A12" s="1"/>
      <c r="BK12" s="4"/>
    </row>
    <row r="13" spans="1:63" ht="15" customHeight="1">
      <c r="A13" s="1"/>
      <c r="BK13" s="4"/>
    </row>
    <row r="14" spans="1:63" ht="15" customHeight="1" thickBot="1">
      <c r="A14" s="1"/>
      <c r="BK14" s="4"/>
    </row>
    <row r="15" spans="1:63" ht="15" customHeight="1" thickTop="1">
      <c r="A15" s="1"/>
      <c r="K15" s="7"/>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11"/>
      <c r="BK15" s="4"/>
    </row>
    <row r="16" spans="1:63" ht="15" customHeight="1">
      <c r="A16" s="1"/>
      <c r="K16" s="6"/>
      <c r="L16" s="269" t="s">
        <v>17</v>
      </c>
      <c r="M16" s="269"/>
      <c r="N16" s="269"/>
      <c r="O16" s="269"/>
      <c r="P16" s="269"/>
      <c r="Q16" s="269"/>
      <c r="R16" s="269"/>
      <c r="S16" s="269"/>
      <c r="T16" s="269"/>
      <c r="U16" s="269"/>
      <c r="V16" s="269"/>
      <c r="W16" s="269"/>
      <c r="X16" s="269"/>
      <c r="Y16" s="269"/>
      <c r="Z16" s="269"/>
      <c r="AA16" s="269"/>
      <c r="AB16" s="269"/>
      <c r="AC16" s="269"/>
      <c r="AD16" s="269"/>
      <c r="AE16" s="269"/>
      <c r="AF16" s="269"/>
      <c r="AG16" s="269"/>
      <c r="AH16" s="269"/>
      <c r="AI16" s="269"/>
      <c r="AJ16" s="269"/>
      <c r="AK16" s="269"/>
      <c r="AL16" s="269"/>
      <c r="AM16" s="269"/>
      <c r="AN16" s="269"/>
      <c r="AO16" s="269"/>
      <c r="AP16" s="269"/>
      <c r="AQ16" s="269"/>
      <c r="AR16" s="269"/>
      <c r="AS16" s="269"/>
      <c r="AT16" s="269"/>
      <c r="AU16" s="269"/>
      <c r="AV16" s="269"/>
      <c r="AW16" s="269"/>
      <c r="AX16" s="269"/>
      <c r="AY16" s="269"/>
      <c r="AZ16" s="269"/>
      <c r="BA16" s="12"/>
      <c r="BK16" s="4"/>
    </row>
    <row r="17" spans="1:63" ht="15" customHeight="1">
      <c r="A17" s="1"/>
      <c r="K17" s="6"/>
      <c r="L17" s="269"/>
      <c r="M17" s="269"/>
      <c r="N17" s="269"/>
      <c r="O17" s="269"/>
      <c r="P17" s="269"/>
      <c r="Q17" s="269"/>
      <c r="R17" s="269"/>
      <c r="S17" s="269"/>
      <c r="T17" s="269"/>
      <c r="U17" s="269"/>
      <c r="V17" s="269"/>
      <c r="W17" s="269"/>
      <c r="X17" s="269"/>
      <c r="Y17" s="269"/>
      <c r="Z17" s="269"/>
      <c r="AA17" s="269"/>
      <c r="AB17" s="269"/>
      <c r="AC17" s="269"/>
      <c r="AD17" s="269"/>
      <c r="AE17" s="269"/>
      <c r="AF17" s="269"/>
      <c r="AG17" s="269"/>
      <c r="AH17" s="269"/>
      <c r="AI17" s="269"/>
      <c r="AJ17" s="269"/>
      <c r="AK17" s="269"/>
      <c r="AL17" s="269"/>
      <c r="AM17" s="269"/>
      <c r="AN17" s="269"/>
      <c r="AO17" s="269"/>
      <c r="AP17" s="269"/>
      <c r="AQ17" s="269"/>
      <c r="AR17" s="269"/>
      <c r="AS17" s="269"/>
      <c r="AT17" s="269"/>
      <c r="AU17" s="269"/>
      <c r="AV17" s="269"/>
      <c r="AW17" s="269"/>
      <c r="AX17" s="269"/>
      <c r="AY17" s="269"/>
      <c r="AZ17" s="269"/>
      <c r="BA17" s="12"/>
      <c r="BK17" s="4"/>
    </row>
    <row r="18" spans="1:63" ht="15" customHeight="1">
      <c r="A18" s="1"/>
      <c r="K18" s="6"/>
      <c r="L18" s="269"/>
      <c r="M18" s="269"/>
      <c r="N18" s="269"/>
      <c r="O18" s="269"/>
      <c r="P18" s="269"/>
      <c r="Q18" s="269"/>
      <c r="R18" s="269"/>
      <c r="S18" s="269"/>
      <c r="T18" s="269"/>
      <c r="U18" s="269"/>
      <c r="V18" s="269"/>
      <c r="W18" s="269"/>
      <c r="X18" s="269"/>
      <c r="Y18" s="269"/>
      <c r="Z18" s="269"/>
      <c r="AA18" s="269"/>
      <c r="AB18" s="269"/>
      <c r="AC18" s="269"/>
      <c r="AD18" s="269"/>
      <c r="AE18" s="269"/>
      <c r="AF18" s="269"/>
      <c r="AG18" s="269"/>
      <c r="AH18" s="269"/>
      <c r="AI18" s="269"/>
      <c r="AJ18" s="269"/>
      <c r="AK18" s="269"/>
      <c r="AL18" s="269"/>
      <c r="AM18" s="269"/>
      <c r="AN18" s="269"/>
      <c r="AO18" s="269"/>
      <c r="AP18" s="269"/>
      <c r="AQ18" s="269"/>
      <c r="AR18" s="269"/>
      <c r="AS18" s="269"/>
      <c r="AT18" s="269"/>
      <c r="AU18" s="269"/>
      <c r="AV18" s="269"/>
      <c r="AW18" s="269"/>
      <c r="AX18" s="269"/>
      <c r="AY18" s="269"/>
      <c r="AZ18" s="269"/>
      <c r="BA18" s="12"/>
      <c r="BK18" s="4"/>
    </row>
    <row r="19" spans="1:63" ht="15" customHeight="1">
      <c r="A19" s="1"/>
      <c r="K19" s="6"/>
      <c r="L19" s="269"/>
      <c r="M19" s="269"/>
      <c r="N19" s="269"/>
      <c r="O19" s="269"/>
      <c r="P19" s="269"/>
      <c r="Q19" s="269"/>
      <c r="R19" s="269"/>
      <c r="S19" s="269"/>
      <c r="T19" s="269"/>
      <c r="U19" s="269"/>
      <c r="V19" s="269"/>
      <c r="W19" s="269"/>
      <c r="X19" s="269"/>
      <c r="Y19" s="269"/>
      <c r="Z19" s="269"/>
      <c r="AA19" s="269"/>
      <c r="AB19" s="269"/>
      <c r="AC19" s="269"/>
      <c r="AD19" s="269"/>
      <c r="AE19" s="269"/>
      <c r="AF19" s="269"/>
      <c r="AG19" s="269"/>
      <c r="AH19" s="269"/>
      <c r="AI19" s="269"/>
      <c r="AJ19" s="269"/>
      <c r="AK19" s="269"/>
      <c r="AL19" s="269"/>
      <c r="AM19" s="269"/>
      <c r="AN19" s="269"/>
      <c r="AO19" s="269"/>
      <c r="AP19" s="269"/>
      <c r="AQ19" s="269"/>
      <c r="AR19" s="269"/>
      <c r="AS19" s="269"/>
      <c r="AT19" s="269"/>
      <c r="AU19" s="269"/>
      <c r="AV19" s="269"/>
      <c r="AW19" s="269"/>
      <c r="AX19" s="269"/>
      <c r="AY19" s="269"/>
      <c r="AZ19" s="269"/>
      <c r="BA19" s="12"/>
      <c r="BK19" s="4"/>
    </row>
    <row r="20" spans="1:63" ht="15" customHeight="1">
      <c r="A20" s="1"/>
      <c r="K20" s="6"/>
      <c r="L20" s="269"/>
      <c r="M20" s="269"/>
      <c r="N20" s="269"/>
      <c r="O20" s="269"/>
      <c r="P20" s="269"/>
      <c r="Q20" s="269"/>
      <c r="R20" s="269"/>
      <c r="S20" s="269"/>
      <c r="T20" s="269"/>
      <c r="U20" s="269"/>
      <c r="V20" s="269"/>
      <c r="W20" s="269"/>
      <c r="X20" s="269"/>
      <c r="Y20" s="269"/>
      <c r="Z20" s="269"/>
      <c r="AA20" s="269"/>
      <c r="AB20" s="269"/>
      <c r="AC20" s="269"/>
      <c r="AD20" s="269"/>
      <c r="AE20" s="269"/>
      <c r="AF20" s="269"/>
      <c r="AG20" s="269"/>
      <c r="AH20" s="269"/>
      <c r="AI20" s="269"/>
      <c r="AJ20" s="269"/>
      <c r="AK20" s="269"/>
      <c r="AL20" s="269"/>
      <c r="AM20" s="269"/>
      <c r="AN20" s="269"/>
      <c r="AO20" s="269"/>
      <c r="AP20" s="269"/>
      <c r="AQ20" s="269"/>
      <c r="AR20" s="269"/>
      <c r="AS20" s="269"/>
      <c r="AT20" s="269"/>
      <c r="AU20" s="269"/>
      <c r="AV20" s="269"/>
      <c r="AW20" s="269"/>
      <c r="AX20" s="269"/>
      <c r="AY20" s="269"/>
      <c r="AZ20" s="269"/>
      <c r="BA20" s="12"/>
      <c r="BK20" s="4"/>
    </row>
    <row r="21" spans="1:63" ht="15" customHeight="1">
      <c r="A21" s="1"/>
      <c r="K21" s="6"/>
      <c r="L21" s="269"/>
      <c r="M21" s="269"/>
      <c r="N21" s="269"/>
      <c r="O21" s="269"/>
      <c r="P21" s="269"/>
      <c r="Q21" s="269"/>
      <c r="R21" s="269"/>
      <c r="S21" s="269"/>
      <c r="T21" s="269"/>
      <c r="U21" s="269"/>
      <c r="V21" s="269"/>
      <c r="W21" s="269"/>
      <c r="X21" s="269"/>
      <c r="Y21" s="269"/>
      <c r="Z21" s="269"/>
      <c r="AA21" s="269"/>
      <c r="AB21" s="269"/>
      <c r="AC21" s="269"/>
      <c r="AD21" s="269"/>
      <c r="AE21" s="269"/>
      <c r="AF21" s="269"/>
      <c r="AG21" s="269"/>
      <c r="AH21" s="269"/>
      <c r="AI21" s="269"/>
      <c r="AJ21" s="269"/>
      <c r="AK21" s="269"/>
      <c r="AL21" s="269"/>
      <c r="AM21" s="269"/>
      <c r="AN21" s="269"/>
      <c r="AO21" s="269"/>
      <c r="AP21" s="269"/>
      <c r="AQ21" s="269"/>
      <c r="AR21" s="269"/>
      <c r="AS21" s="269"/>
      <c r="AT21" s="269"/>
      <c r="AU21" s="269"/>
      <c r="AV21" s="269"/>
      <c r="AW21" s="269"/>
      <c r="AX21" s="269"/>
      <c r="AY21" s="269"/>
      <c r="AZ21" s="269"/>
      <c r="BA21" s="12"/>
      <c r="BK21" s="4"/>
    </row>
    <row r="22" spans="1:63" ht="15" customHeight="1" thickBot="1">
      <c r="A22" s="1"/>
      <c r="K22" s="6"/>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2"/>
      <c r="BK22" s="4"/>
    </row>
    <row r="23" spans="1:63" ht="15" customHeight="1">
      <c r="A23" s="1"/>
      <c r="K23" s="6"/>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2"/>
      <c r="BK23" s="4"/>
    </row>
    <row r="24" spans="1:63" ht="15" customHeight="1">
      <c r="A24" s="1"/>
      <c r="K24" s="6"/>
      <c r="L24" s="269" t="str">
        <f>K2&amp;"/"&amp;H4&amp;"/"&amp;Z4</f>
        <v>/共通/</v>
      </c>
      <c r="M24" s="269"/>
      <c r="N24" s="269"/>
      <c r="O24" s="269"/>
      <c r="P24" s="269"/>
      <c r="Q24" s="269"/>
      <c r="R24" s="269"/>
      <c r="S24" s="269"/>
      <c r="T24" s="269"/>
      <c r="U24" s="269"/>
      <c r="V24" s="269"/>
      <c r="W24" s="269"/>
      <c r="X24" s="269"/>
      <c r="Y24" s="269"/>
      <c r="Z24" s="269"/>
      <c r="AA24" s="269"/>
      <c r="AB24" s="269"/>
      <c r="AC24" s="269"/>
      <c r="AD24" s="269"/>
      <c r="AE24" s="269"/>
      <c r="AF24" s="269"/>
      <c r="AG24" s="269"/>
      <c r="AH24" s="269"/>
      <c r="AI24" s="269"/>
      <c r="AJ24" s="269"/>
      <c r="AK24" s="269"/>
      <c r="AL24" s="269"/>
      <c r="AM24" s="269"/>
      <c r="AN24" s="269"/>
      <c r="AO24" s="269"/>
      <c r="AP24" s="269"/>
      <c r="AQ24" s="269"/>
      <c r="AR24" s="269"/>
      <c r="AS24" s="269"/>
      <c r="AT24" s="269"/>
      <c r="AU24" s="269"/>
      <c r="AV24" s="269"/>
      <c r="AW24" s="269"/>
      <c r="AX24" s="269"/>
      <c r="AY24" s="269"/>
      <c r="AZ24" s="269"/>
      <c r="BA24" s="12"/>
      <c r="BK24" s="4"/>
    </row>
    <row r="25" spans="1:63" ht="15" customHeight="1">
      <c r="A25" s="1"/>
      <c r="K25" s="6"/>
      <c r="L25" s="269"/>
      <c r="M25" s="269"/>
      <c r="N25" s="269"/>
      <c r="O25" s="269"/>
      <c r="P25" s="269"/>
      <c r="Q25" s="269"/>
      <c r="R25" s="269"/>
      <c r="S25" s="269"/>
      <c r="T25" s="269"/>
      <c r="U25" s="269"/>
      <c r="V25" s="269"/>
      <c r="W25" s="269"/>
      <c r="X25" s="269"/>
      <c r="Y25" s="269"/>
      <c r="Z25" s="269"/>
      <c r="AA25" s="269"/>
      <c r="AB25" s="269"/>
      <c r="AC25" s="269"/>
      <c r="AD25" s="269"/>
      <c r="AE25" s="269"/>
      <c r="AF25" s="269"/>
      <c r="AG25" s="269"/>
      <c r="AH25" s="269"/>
      <c r="AI25" s="269"/>
      <c r="AJ25" s="269"/>
      <c r="AK25" s="269"/>
      <c r="AL25" s="269"/>
      <c r="AM25" s="269"/>
      <c r="AN25" s="269"/>
      <c r="AO25" s="269"/>
      <c r="AP25" s="269"/>
      <c r="AQ25" s="269"/>
      <c r="AR25" s="269"/>
      <c r="AS25" s="269"/>
      <c r="AT25" s="269"/>
      <c r="AU25" s="269"/>
      <c r="AV25" s="269"/>
      <c r="AW25" s="269"/>
      <c r="AX25" s="269"/>
      <c r="AY25" s="269"/>
      <c r="AZ25" s="269"/>
      <c r="BA25" s="12"/>
      <c r="BK25" s="4"/>
    </row>
    <row r="26" spans="1:63" ht="15" customHeight="1">
      <c r="A26" s="1"/>
      <c r="K26" s="6"/>
      <c r="L26" s="269"/>
      <c r="M26" s="269"/>
      <c r="N26" s="269"/>
      <c r="O26" s="269"/>
      <c r="P26" s="269"/>
      <c r="Q26" s="269"/>
      <c r="R26" s="269"/>
      <c r="S26" s="269"/>
      <c r="T26" s="269"/>
      <c r="U26" s="269"/>
      <c r="V26" s="269"/>
      <c r="W26" s="269"/>
      <c r="X26" s="269"/>
      <c r="Y26" s="269"/>
      <c r="Z26" s="269"/>
      <c r="AA26" s="269"/>
      <c r="AB26" s="269"/>
      <c r="AC26" s="269"/>
      <c r="AD26" s="269"/>
      <c r="AE26" s="269"/>
      <c r="AF26" s="269"/>
      <c r="AG26" s="269"/>
      <c r="AH26" s="269"/>
      <c r="AI26" s="269"/>
      <c r="AJ26" s="269"/>
      <c r="AK26" s="269"/>
      <c r="AL26" s="269"/>
      <c r="AM26" s="269"/>
      <c r="AN26" s="269"/>
      <c r="AO26" s="269"/>
      <c r="AP26" s="269"/>
      <c r="AQ26" s="269"/>
      <c r="AR26" s="269"/>
      <c r="AS26" s="269"/>
      <c r="AT26" s="269"/>
      <c r="AU26" s="269"/>
      <c r="AV26" s="269"/>
      <c r="AW26" s="269"/>
      <c r="AX26" s="269"/>
      <c r="AY26" s="269"/>
      <c r="AZ26" s="269"/>
      <c r="BA26" s="12"/>
      <c r="BK26" s="4"/>
    </row>
    <row r="27" spans="1:63" ht="15" customHeight="1">
      <c r="A27" s="1"/>
      <c r="K27" s="6"/>
      <c r="L27" s="269"/>
      <c r="M27" s="269"/>
      <c r="N27" s="269"/>
      <c r="O27" s="269"/>
      <c r="P27" s="269"/>
      <c r="Q27" s="269"/>
      <c r="R27" s="269"/>
      <c r="S27" s="269"/>
      <c r="T27" s="269"/>
      <c r="U27" s="269"/>
      <c r="V27" s="269"/>
      <c r="W27" s="269"/>
      <c r="X27" s="269"/>
      <c r="Y27" s="269"/>
      <c r="Z27" s="269"/>
      <c r="AA27" s="269"/>
      <c r="AB27" s="269"/>
      <c r="AC27" s="269"/>
      <c r="AD27" s="269"/>
      <c r="AE27" s="269"/>
      <c r="AF27" s="269"/>
      <c r="AG27" s="269"/>
      <c r="AH27" s="269"/>
      <c r="AI27" s="269"/>
      <c r="AJ27" s="269"/>
      <c r="AK27" s="269"/>
      <c r="AL27" s="269"/>
      <c r="AM27" s="269"/>
      <c r="AN27" s="269"/>
      <c r="AO27" s="269"/>
      <c r="AP27" s="269"/>
      <c r="AQ27" s="269"/>
      <c r="AR27" s="269"/>
      <c r="AS27" s="269"/>
      <c r="AT27" s="269"/>
      <c r="AU27" s="269"/>
      <c r="AV27" s="269"/>
      <c r="AW27" s="269"/>
      <c r="AX27" s="269"/>
      <c r="AY27" s="269"/>
      <c r="AZ27" s="269"/>
      <c r="BA27" s="12"/>
      <c r="BK27" s="4"/>
    </row>
    <row r="28" spans="1:63" ht="15" customHeight="1">
      <c r="A28" s="1"/>
      <c r="K28" s="6"/>
      <c r="L28" s="269"/>
      <c r="M28" s="269"/>
      <c r="N28" s="269"/>
      <c r="O28" s="269"/>
      <c r="P28" s="269"/>
      <c r="Q28" s="269"/>
      <c r="R28" s="269"/>
      <c r="S28" s="269"/>
      <c r="T28" s="269"/>
      <c r="U28" s="269"/>
      <c r="V28" s="269"/>
      <c r="W28" s="269"/>
      <c r="X28" s="269"/>
      <c r="Y28" s="269"/>
      <c r="Z28" s="269"/>
      <c r="AA28" s="269"/>
      <c r="AB28" s="269"/>
      <c r="AC28" s="269"/>
      <c r="AD28" s="269"/>
      <c r="AE28" s="269"/>
      <c r="AF28" s="269"/>
      <c r="AG28" s="269"/>
      <c r="AH28" s="269"/>
      <c r="AI28" s="269"/>
      <c r="AJ28" s="269"/>
      <c r="AK28" s="269"/>
      <c r="AL28" s="269"/>
      <c r="AM28" s="269"/>
      <c r="AN28" s="269"/>
      <c r="AO28" s="269"/>
      <c r="AP28" s="269"/>
      <c r="AQ28" s="269"/>
      <c r="AR28" s="269"/>
      <c r="AS28" s="269"/>
      <c r="AT28" s="269"/>
      <c r="AU28" s="269"/>
      <c r="AV28" s="269"/>
      <c r="AW28" s="269"/>
      <c r="AX28" s="269"/>
      <c r="AY28" s="269"/>
      <c r="AZ28" s="269"/>
      <c r="BA28" s="12"/>
      <c r="BK28" s="4"/>
    </row>
    <row r="29" spans="1:63" ht="15" customHeight="1">
      <c r="A29" s="1"/>
      <c r="K29" s="6"/>
      <c r="L29" s="269"/>
      <c r="M29" s="269"/>
      <c r="N29" s="269"/>
      <c r="O29" s="269"/>
      <c r="P29" s="269"/>
      <c r="Q29" s="269"/>
      <c r="R29" s="269"/>
      <c r="S29" s="269"/>
      <c r="T29" s="269"/>
      <c r="U29" s="269"/>
      <c r="V29" s="269"/>
      <c r="W29" s="269"/>
      <c r="X29" s="269"/>
      <c r="Y29" s="269"/>
      <c r="Z29" s="269"/>
      <c r="AA29" s="269"/>
      <c r="AB29" s="269"/>
      <c r="AC29" s="269"/>
      <c r="AD29" s="269"/>
      <c r="AE29" s="269"/>
      <c r="AF29" s="269"/>
      <c r="AG29" s="269"/>
      <c r="AH29" s="269"/>
      <c r="AI29" s="269"/>
      <c r="AJ29" s="269"/>
      <c r="AK29" s="269"/>
      <c r="AL29" s="269"/>
      <c r="AM29" s="269"/>
      <c r="AN29" s="269"/>
      <c r="AO29" s="269"/>
      <c r="AP29" s="269"/>
      <c r="AQ29" s="269"/>
      <c r="AR29" s="269"/>
      <c r="AS29" s="269"/>
      <c r="AT29" s="269"/>
      <c r="AU29" s="269"/>
      <c r="AV29" s="269"/>
      <c r="AW29" s="269"/>
      <c r="AX29" s="269"/>
      <c r="AY29" s="269"/>
      <c r="AZ29" s="269"/>
      <c r="BA29" s="12"/>
      <c r="BK29" s="4"/>
    </row>
    <row r="30" spans="1:63" ht="15" customHeight="1">
      <c r="A30" s="1"/>
      <c r="K30" s="6"/>
      <c r="L30" s="269"/>
      <c r="M30" s="269"/>
      <c r="N30" s="269"/>
      <c r="O30" s="269"/>
      <c r="P30" s="269"/>
      <c r="Q30" s="269"/>
      <c r="R30" s="269"/>
      <c r="S30" s="269"/>
      <c r="T30" s="269"/>
      <c r="U30" s="269"/>
      <c r="V30" s="269"/>
      <c r="W30" s="269"/>
      <c r="X30" s="269"/>
      <c r="Y30" s="269"/>
      <c r="Z30" s="269"/>
      <c r="AA30" s="269"/>
      <c r="AB30" s="269"/>
      <c r="AC30" s="269"/>
      <c r="AD30" s="269"/>
      <c r="AE30" s="269"/>
      <c r="AF30" s="269"/>
      <c r="AG30" s="269"/>
      <c r="AH30" s="269"/>
      <c r="AI30" s="269"/>
      <c r="AJ30" s="269"/>
      <c r="AK30" s="269"/>
      <c r="AL30" s="269"/>
      <c r="AM30" s="269"/>
      <c r="AN30" s="269"/>
      <c r="AO30" s="269"/>
      <c r="AP30" s="269"/>
      <c r="AQ30" s="269"/>
      <c r="AR30" s="269"/>
      <c r="AS30" s="269"/>
      <c r="AT30" s="269"/>
      <c r="AU30" s="269"/>
      <c r="AV30" s="269"/>
      <c r="AW30" s="269"/>
      <c r="AX30" s="269"/>
      <c r="AY30" s="269"/>
      <c r="AZ30" s="269"/>
      <c r="BA30" s="12"/>
      <c r="BK30" s="4"/>
    </row>
    <row r="31" spans="1:63" ht="15" customHeight="1">
      <c r="A31" s="1"/>
      <c r="K31" s="6"/>
      <c r="L31" s="269"/>
      <c r="M31" s="269"/>
      <c r="N31" s="269"/>
      <c r="O31" s="269"/>
      <c r="P31" s="269"/>
      <c r="Q31" s="269"/>
      <c r="R31" s="269"/>
      <c r="S31" s="269"/>
      <c r="T31" s="269"/>
      <c r="U31" s="269"/>
      <c r="V31" s="269"/>
      <c r="W31" s="269"/>
      <c r="X31" s="269"/>
      <c r="Y31" s="269"/>
      <c r="Z31" s="269"/>
      <c r="AA31" s="269"/>
      <c r="AB31" s="269"/>
      <c r="AC31" s="269"/>
      <c r="AD31" s="269"/>
      <c r="AE31" s="269"/>
      <c r="AF31" s="269"/>
      <c r="AG31" s="269"/>
      <c r="AH31" s="269"/>
      <c r="AI31" s="269"/>
      <c r="AJ31" s="269"/>
      <c r="AK31" s="269"/>
      <c r="AL31" s="269"/>
      <c r="AM31" s="269"/>
      <c r="AN31" s="269"/>
      <c r="AO31" s="269"/>
      <c r="AP31" s="269"/>
      <c r="AQ31" s="269"/>
      <c r="AR31" s="269"/>
      <c r="AS31" s="269"/>
      <c r="AT31" s="269"/>
      <c r="AU31" s="269"/>
      <c r="AV31" s="269"/>
      <c r="AW31" s="269"/>
      <c r="AX31" s="269"/>
      <c r="AY31" s="269"/>
      <c r="AZ31" s="269"/>
      <c r="BA31" s="12"/>
      <c r="BK31" s="4"/>
    </row>
    <row r="32" spans="1:63" ht="15" customHeight="1">
      <c r="A32" s="1"/>
      <c r="K32" s="6"/>
      <c r="L32" s="269"/>
      <c r="M32" s="269"/>
      <c r="N32" s="269"/>
      <c r="O32" s="269"/>
      <c r="P32" s="269"/>
      <c r="Q32" s="269"/>
      <c r="R32" s="269"/>
      <c r="S32" s="269"/>
      <c r="T32" s="269"/>
      <c r="U32" s="269"/>
      <c r="V32" s="269"/>
      <c r="W32" s="269"/>
      <c r="X32" s="269"/>
      <c r="Y32" s="269"/>
      <c r="Z32" s="269"/>
      <c r="AA32" s="269"/>
      <c r="AB32" s="269"/>
      <c r="AC32" s="269"/>
      <c r="AD32" s="269"/>
      <c r="AE32" s="269"/>
      <c r="AF32" s="269"/>
      <c r="AG32" s="269"/>
      <c r="AH32" s="269"/>
      <c r="AI32" s="269"/>
      <c r="AJ32" s="269"/>
      <c r="AK32" s="269"/>
      <c r="AL32" s="269"/>
      <c r="AM32" s="269"/>
      <c r="AN32" s="269"/>
      <c r="AO32" s="269"/>
      <c r="AP32" s="269"/>
      <c r="AQ32" s="269"/>
      <c r="AR32" s="269"/>
      <c r="AS32" s="269"/>
      <c r="AT32" s="269"/>
      <c r="AU32" s="269"/>
      <c r="AV32" s="269"/>
      <c r="AW32" s="269"/>
      <c r="AX32" s="269"/>
      <c r="AY32" s="269"/>
      <c r="AZ32" s="269"/>
      <c r="BA32" s="12"/>
      <c r="BK32" s="4"/>
    </row>
    <row r="33" spans="1:63" ht="15" customHeight="1">
      <c r="A33" s="1"/>
      <c r="K33" s="6"/>
      <c r="L33" s="269"/>
      <c r="M33" s="269"/>
      <c r="N33" s="269"/>
      <c r="O33" s="269"/>
      <c r="P33" s="269"/>
      <c r="Q33" s="269"/>
      <c r="R33" s="269"/>
      <c r="S33" s="269"/>
      <c r="T33" s="269"/>
      <c r="U33" s="269"/>
      <c r="V33" s="269"/>
      <c r="W33" s="269"/>
      <c r="X33" s="269"/>
      <c r="Y33" s="269"/>
      <c r="Z33" s="269"/>
      <c r="AA33" s="269"/>
      <c r="AB33" s="269"/>
      <c r="AC33" s="269"/>
      <c r="AD33" s="269"/>
      <c r="AE33" s="269"/>
      <c r="AF33" s="269"/>
      <c r="AG33" s="269"/>
      <c r="AH33" s="269"/>
      <c r="AI33" s="269"/>
      <c r="AJ33" s="269"/>
      <c r="AK33" s="269"/>
      <c r="AL33" s="269"/>
      <c r="AM33" s="269"/>
      <c r="AN33" s="269"/>
      <c r="AO33" s="269"/>
      <c r="AP33" s="269"/>
      <c r="AQ33" s="269"/>
      <c r="AR33" s="269"/>
      <c r="AS33" s="269"/>
      <c r="AT33" s="269"/>
      <c r="AU33" s="269"/>
      <c r="AV33" s="269"/>
      <c r="AW33" s="269"/>
      <c r="AX33" s="269"/>
      <c r="AY33" s="269"/>
      <c r="AZ33" s="269"/>
      <c r="BA33" s="12"/>
      <c r="BK33" s="4"/>
    </row>
    <row r="34" spans="1:63" ht="15" customHeight="1">
      <c r="A34" s="1"/>
      <c r="K34" s="6"/>
      <c r="L34" s="269"/>
      <c r="M34" s="269"/>
      <c r="N34" s="269"/>
      <c r="O34" s="269"/>
      <c r="P34" s="269"/>
      <c r="Q34" s="269"/>
      <c r="R34" s="269"/>
      <c r="S34" s="269"/>
      <c r="T34" s="269"/>
      <c r="U34" s="269"/>
      <c r="V34" s="269"/>
      <c r="W34" s="269"/>
      <c r="X34" s="269"/>
      <c r="Y34" s="269"/>
      <c r="Z34" s="269"/>
      <c r="AA34" s="269"/>
      <c r="AB34" s="269"/>
      <c r="AC34" s="269"/>
      <c r="AD34" s="269"/>
      <c r="AE34" s="269"/>
      <c r="AF34" s="269"/>
      <c r="AG34" s="269"/>
      <c r="AH34" s="269"/>
      <c r="AI34" s="269"/>
      <c r="AJ34" s="269"/>
      <c r="AK34" s="269"/>
      <c r="AL34" s="269"/>
      <c r="AM34" s="269"/>
      <c r="AN34" s="269"/>
      <c r="AO34" s="269"/>
      <c r="AP34" s="269"/>
      <c r="AQ34" s="269"/>
      <c r="AR34" s="269"/>
      <c r="AS34" s="269"/>
      <c r="AT34" s="269"/>
      <c r="AU34" s="269"/>
      <c r="AV34" s="269"/>
      <c r="AW34" s="269"/>
      <c r="AX34" s="269"/>
      <c r="AY34" s="269"/>
      <c r="AZ34" s="269"/>
      <c r="BA34" s="12"/>
      <c r="BK34" s="4"/>
    </row>
    <row r="35" spans="1:63" ht="15" customHeight="1">
      <c r="A35" s="1"/>
      <c r="K35" s="6"/>
      <c r="L35" s="269"/>
      <c r="M35" s="269"/>
      <c r="N35" s="269"/>
      <c r="O35" s="269"/>
      <c r="P35" s="269"/>
      <c r="Q35" s="269"/>
      <c r="R35" s="269"/>
      <c r="S35" s="269"/>
      <c r="T35" s="269"/>
      <c r="U35" s="269"/>
      <c r="V35" s="269"/>
      <c r="W35" s="269"/>
      <c r="X35" s="269"/>
      <c r="Y35" s="269"/>
      <c r="Z35" s="269"/>
      <c r="AA35" s="269"/>
      <c r="AB35" s="269"/>
      <c r="AC35" s="269"/>
      <c r="AD35" s="269"/>
      <c r="AE35" s="269"/>
      <c r="AF35" s="269"/>
      <c r="AG35" s="269"/>
      <c r="AH35" s="269"/>
      <c r="AI35" s="269"/>
      <c r="AJ35" s="269"/>
      <c r="AK35" s="269"/>
      <c r="AL35" s="269"/>
      <c r="AM35" s="269"/>
      <c r="AN35" s="269"/>
      <c r="AO35" s="269"/>
      <c r="AP35" s="269"/>
      <c r="AQ35" s="269"/>
      <c r="AR35" s="269"/>
      <c r="AS35" s="269"/>
      <c r="AT35" s="269"/>
      <c r="AU35" s="269"/>
      <c r="AV35" s="269"/>
      <c r="AW35" s="269"/>
      <c r="AX35" s="269"/>
      <c r="AY35" s="269"/>
      <c r="AZ35" s="269"/>
      <c r="BA35" s="12"/>
      <c r="BK35" s="4"/>
    </row>
    <row r="36" spans="1:63" ht="15" customHeight="1">
      <c r="A36" s="1"/>
      <c r="K36" s="6"/>
      <c r="L36" s="269"/>
      <c r="M36" s="269"/>
      <c r="N36" s="269"/>
      <c r="O36" s="269"/>
      <c r="P36" s="269"/>
      <c r="Q36" s="269"/>
      <c r="R36" s="269"/>
      <c r="S36" s="269"/>
      <c r="T36" s="269"/>
      <c r="U36" s="269"/>
      <c r="V36" s="269"/>
      <c r="W36" s="269"/>
      <c r="X36" s="269"/>
      <c r="Y36" s="269"/>
      <c r="Z36" s="269"/>
      <c r="AA36" s="269"/>
      <c r="AB36" s="269"/>
      <c r="AC36" s="269"/>
      <c r="AD36" s="269"/>
      <c r="AE36" s="269"/>
      <c r="AF36" s="269"/>
      <c r="AG36" s="269"/>
      <c r="AH36" s="269"/>
      <c r="AI36" s="269"/>
      <c r="AJ36" s="269"/>
      <c r="AK36" s="269"/>
      <c r="AL36" s="269"/>
      <c r="AM36" s="269"/>
      <c r="AN36" s="269"/>
      <c r="AO36" s="269"/>
      <c r="AP36" s="269"/>
      <c r="AQ36" s="269"/>
      <c r="AR36" s="269"/>
      <c r="AS36" s="269"/>
      <c r="AT36" s="269"/>
      <c r="AU36" s="269"/>
      <c r="AV36" s="269"/>
      <c r="AW36" s="269"/>
      <c r="AX36" s="269"/>
      <c r="AY36" s="269"/>
      <c r="AZ36" s="269"/>
      <c r="BA36" s="12"/>
      <c r="BK36" s="4"/>
    </row>
    <row r="37" spans="1:63" ht="15" customHeight="1" thickBot="1">
      <c r="A37" s="1"/>
      <c r="K37" s="9"/>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3"/>
      <c r="BK37" s="4"/>
    </row>
    <row r="38" spans="1:63" ht="15" customHeight="1" thickTop="1">
      <c r="A38" s="1"/>
      <c r="BK38" s="4"/>
    </row>
    <row r="39" spans="1:63" ht="15" customHeight="1">
      <c r="A39" s="1"/>
      <c r="BK39" s="4"/>
    </row>
    <row r="40" spans="1:63" ht="15" customHeight="1">
      <c r="A40" s="1"/>
      <c r="BK40" s="4"/>
    </row>
    <row r="41" spans="1:63" ht="15" customHeight="1">
      <c r="A41" s="1"/>
      <c r="BK41" s="4"/>
    </row>
    <row r="42" spans="1:63" ht="15" customHeight="1">
      <c r="A42" s="1"/>
      <c r="BK42" s="4"/>
    </row>
    <row r="43" spans="1:63" ht="15" customHeight="1">
      <c r="A43" s="1"/>
      <c r="BK43" s="4"/>
    </row>
    <row r="44" spans="1:63" ht="15" customHeight="1">
      <c r="A44" s="1"/>
      <c r="Q44" s="273" t="s">
        <v>18</v>
      </c>
      <c r="R44" s="274"/>
      <c r="S44" s="274"/>
      <c r="T44" s="274"/>
      <c r="U44" s="274"/>
      <c r="V44" s="274"/>
      <c r="W44" s="274"/>
      <c r="X44" s="274"/>
      <c r="Y44" s="274"/>
      <c r="Z44" s="275"/>
      <c r="AA44" s="273" t="s">
        <v>14</v>
      </c>
      <c r="AB44" s="274"/>
      <c r="AC44" s="274"/>
      <c r="AD44" s="274"/>
      <c r="AE44" s="274"/>
      <c r="AF44" s="274"/>
      <c r="AG44" s="274"/>
      <c r="AH44" s="274"/>
      <c r="AI44" s="274"/>
      <c r="AJ44" s="274"/>
      <c r="AK44" s="274"/>
      <c r="AL44" s="274"/>
      <c r="AM44" s="274"/>
      <c r="AN44" s="274"/>
      <c r="AO44" s="274"/>
      <c r="AP44" s="275"/>
      <c r="AQ44" s="273" t="s">
        <v>7</v>
      </c>
      <c r="AR44" s="274"/>
      <c r="AS44" s="274"/>
      <c r="AT44" s="274"/>
      <c r="AU44" s="275"/>
      <c r="BK44" s="4"/>
    </row>
    <row r="45" spans="1:63" ht="15" customHeight="1">
      <c r="A45" s="1"/>
      <c r="Q45" s="276"/>
      <c r="R45" s="277"/>
      <c r="S45" s="277"/>
      <c r="T45" s="277"/>
      <c r="U45" s="277"/>
      <c r="V45" s="277"/>
      <c r="W45" s="277"/>
      <c r="X45" s="277"/>
      <c r="Y45" s="277"/>
      <c r="Z45" s="278"/>
      <c r="AA45" s="276"/>
      <c r="AB45" s="277"/>
      <c r="AC45" s="277"/>
      <c r="AD45" s="277"/>
      <c r="AE45" s="277"/>
      <c r="AF45" s="277"/>
      <c r="AG45" s="277"/>
      <c r="AH45" s="277"/>
      <c r="AI45" s="277"/>
      <c r="AJ45" s="277"/>
      <c r="AK45" s="277"/>
      <c r="AL45" s="277"/>
      <c r="AM45" s="277"/>
      <c r="AN45" s="277"/>
      <c r="AO45" s="277"/>
      <c r="AP45" s="278"/>
      <c r="AQ45" s="276"/>
      <c r="AR45" s="277"/>
      <c r="AS45" s="277"/>
      <c r="AT45" s="277"/>
      <c r="AU45" s="278"/>
      <c r="BK45" s="4"/>
    </row>
    <row r="46" spans="1:63" ht="15" customHeight="1">
      <c r="A46" s="1"/>
      <c r="Q46" s="241"/>
      <c r="R46" s="242"/>
      <c r="S46" s="242"/>
      <c r="T46" s="242"/>
      <c r="U46" s="242"/>
      <c r="V46" s="242"/>
      <c r="W46" s="242"/>
      <c r="X46" s="242"/>
      <c r="Y46" s="242"/>
      <c r="Z46" s="243"/>
      <c r="AA46" s="241"/>
      <c r="AB46" s="242"/>
      <c r="AC46" s="242"/>
      <c r="AD46" s="242"/>
      <c r="AE46" s="242"/>
      <c r="AF46" s="242"/>
      <c r="AG46" s="242"/>
      <c r="AH46" s="242"/>
      <c r="AI46" s="242"/>
      <c r="AJ46" s="242"/>
      <c r="AK46" s="242"/>
      <c r="AL46" s="242"/>
      <c r="AM46" s="242"/>
      <c r="AN46" s="242"/>
      <c r="AO46" s="242"/>
      <c r="AP46" s="243"/>
      <c r="AQ46" s="241"/>
      <c r="AR46" s="242"/>
      <c r="AS46" s="242"/>
      <c r="AT46" s="242"/>
      <c r="AU46" s="243"/>
      <c r="BK46" s="4"/>
    </row>
    <row r="47" spans="1:63" ht="15" customHeight="1">
      <c r="A47" s="1"/>
      <c r="Q47" s="270"/>
      <c r="R47" s="271"/>
      <c r="S47" s="271"/>
      <c r="T47" s="271"/>
      <c r="U47" s="271"/>
      <c r="V47" s="271"/>
      <c r="W47" s="271"/>
      <c r="X47" s="271"/>
      <c r="Y47" s="271"/>
      <c r="Z47" s="272"/>
      <c r="AA47" s="270"/>
      <c r="AB47" s="271"/>
      <c r="AC47" s="271"/>
      <c r="AD47" s="271"/>
      <c r="AE47" s="271"/>
      <c r="AF47" s="271"/>
      <c r="AG47" s="271"/>
      <c r="AH47" s="271"/>
      <c r="AI47" s="271"/>
      <c r="AJ47" s="271"/>
      <c r="AK47" s="271"/>
      <c r="AL47" s="271"/>
      <c r="AM47" s="271"/>
      <c r="AN47" s="271"/>
      <c r="AO47" s="271"/>
      <c r="AP47" s="272"/>
      <c r="AQ47" s="270"/>
      <c r="AR47" s="271"/>
      <c r="AS47" s="271"/>
      <c r="AT47" s="271"/>
      <c r="AU47" s="272"/>
      <c r="BK47" s="4"/>
    </row>
    <row r="48" spans="1:63" ht="15" customHeight="1">
      <c r="A48" s="1"/>
      <c r="Q48" s="270"/>
      <c r="R48" s="271"/>
      <c r="S48" s="271"/>
      <c r="T48" s="271"/>
      <c r="U48" s="271"/>
      <c r="V48" s="271"/>
      <c r="W48" s="271"/>
      <c r="X48" s="271"/>
      <c r="Y48" s="271"/>
      <c r="Z48" s="272"/>
      <c r="AA48" s="270"/>
      <c r="AB48" s="271"/>
      <c r="AC48" s="271"/>
      <c r="AD48" s="271"/>
      <c r="AE48" s="271"/>
      <c r="AF48" s="271"/>
      <c r="AG48" s="271"/>
      <c r="AH48" s="271"/>
      <c r="AI48" s="271"/>
      <c r="AJ48" s="271"/>
      <c r="AK48" s="271"/>
      <c r="AL48" s="271"/>
      <c r="AM48" s="271"/>
      <c r="AN48" s="271"/>
      <c r="AO48" s="271"/>
      <c r="AP48" s="272"/>
      <c r="AQ48" s="270"/>
      <c r="AR48" s="271"/>
      <c r="AS48" s="271"/>
      <c r="AT48" s="271"/>
      <c r="AU48" s="272"/>
      <c r="BK48" s="4"/>
    </row>
    <row r="49" spans="1:63" ht="15" customHeight="1">
      <c r="A49" s="1"/>
      <c r="Q49" s="244"/>
      <c r="R49" s="245"/>
      <c r="S49" s="245"/>
      <c r="T49" s="245"/>
      <c r="U49" s="245"/>
      <c r="V49" s="245"/>
      <c r="W49" s="245"/>
      <c r="X49" s="245"/>
      <c r="Y49" s="245"/>
      <c r="Z49" s="246"/>
      <c r="AA49" s="244"/>
      <c r="AB49" s="245"/>
      <c r="AC49" s="245"/>
      <c r="AD49" s="245"/>
      <c r="AE49" s="245"/>
      <c r="AF49" s="245"/>
      <c r="AG49" s="245"/>
      <c r="AH49" s="245"/>
      <c r="AI49" s="245"/>
      <c r="AJ49" s="245"/>
      <c r="AK49" s="245"/>
      <c r="AL49" s="245"/>
      <c r="AM49" s="245"/>
      <c r="AN49" s="245"/>
      <c r="AO49" s="245"/>
      <c r="AP49" s="246"/>
      <c r="AQ49" s="244"/>
      <c r="AR49" s="245"/>
      <c r="AS49" s="245"/>
      <c r="AT49" s="245"/>
      <c r="AU49" s="246"/>
      <c r="BK49" s="4"/>
    </row>
    <row r="50" spans="1:63" ht="15" customHeight="1">
      <c r="A50" s="1"/>
      <c r="BK50" s="4"/>
    </row>
    <row r="51" spans="1:63" ht="15" customHeight="1">
      <c r="A51" s="1"/>
      <c r="BK51" s="4"/>
    </row>
    <row r="52" spans="1:63" ht="15" customHeight="1">
      <c r="A52" s="1"/>
      <c r="BK52" s="4"/>
    </row>
    <row r="53" spans="1:63" ht="15" customHeight="1">
      <c r="A53" s="1"/>
      <c r="BK53" s="4"/>
    </row>
    <row r="54" spans="1:63" ht="15" customHeight="1">
      <c r="A54" s="1"/>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8">
    <mergeCell ref="L16:AZ21"/>
    <mergeCell ref="L24:AZ36"/>
    <mergeCell ref="AQ46:AU49"/>
    <mergeCell ref="AA46:AP49"/>
    <mergeCell ref="Q46:Z49"/>
    <mergeCell ref="AQ44:AU45"/>
    <mergeCell ref="AA44:AP45"/>
    <mergeCell ref="Q44:Z45"/>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0445C-80D4-403D-842A-F44C2BC12F7D}">
  <dimension ref="A1:BK55"/>
  <sheetViews>
    <sheetView view="pageBreakPreview" zoomScale="80" zoomScaleNormal="75" zoomScaleSheetLayoutView="80" workbookViewId="0">
      <selection activeCell="S24" sqref="S24:AW24"/>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9</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8" t="s">
        <v>10</v>
      </c>
      <c r="BK8" s="4"/>
    </row>
    <row r="9" spans="1:63" ht="15" customHeight="1">
      <c r="A9" s="1"/>
      <c r="BK9" s="4"/>
    </row>
    <row r="10" spans="1:63" ht="15" customHeight="1">
      <c r="A10" s="1"/>
      <c r="B10" s="291" t="s">
        <v>11</v>
      </c>
      <c r="C10" s="291"/>
      <c r="D10" s="291"/>
      <c r="E10" s="291"/>
      <c r="F10" s="291"/>
      <c r="G10" s="291"/>
      <c r="H10" s="291" t="s">
        <v>5</v>
      </c>
      <c r="I10" s="291"/>
      <c r="J10" s="291"/>
      <c r="K10" s="291"/>
      <c r="L10" s="291"/>
      <c r="M10" s="291"/>
      <c r="N10" s="291"/>
      <c r="O10" s="291" t="s">
        <v>7</v>
      </c>
      <c r="P10" s="291"/>
      <c r="Q10" s="291"/>
      <c r="R10" s="291"/>
      <c r="S10" s="291" t="s">
        <v>12</v>
      </c>
      <c r="T10" s="291"/>
      <c r="U10" s="291"/>
      <c r="V10" s="291"/>
      <c r="W10" s="291"/>
      <c r="X10" s="291"/>
      <c r="Y10" s="291"/>
      <c r="Z10" s="291"/>
      <c r="AA10" s="291"/>
      <c r="AB10" s="291"/>
      <c r="AC10" s="291"/>
      <c r="AD10" s="291"/>
      <c r="AE10" s="291"/>
      <c r="AF10" s="291"/>
      <c r="AG10" s="291"/>
      <c r="AH10" s="291"/>
      <c r="AI10" s="291"/>
      <c r="AJ10" s="291"/>
      <c r="AK10" s="291"/>
      <c r="AL10" s="291"/>
      <c r="AM10" s="291"/>
      <c r="AN10" s="291"/>
      <c r="AO10" s="291"/>
      <c r="AP10" s="291"/>
      <c r="AQ10" s="291"/>
      <c r="AR10" s="291"/>
      <c r="AS10" s="291"/>
      <c r="AT10" s="291"/>
      <c r="AU10" s="291"/>
      <c r="AV10" s="291"/>
      <c r="AW10" s="291"/>
      <c r="AX10" s="291" t="s">
        <v>13</v>
      </c>
      <c r="AY10" s="291"/>
      <c r="AZ10" s="291"/>
      <c r="BA10" s="291"/>
      <c r="BB10" s="291"/>
      <c r="BC10" s="291"/>
      <c r="BD10" s="291" t="s">
        <v>14</v>
      </c>
      <c r="BE10" s="291"/>
      <c r="BF10" s="291"/>
      <c r="BG10" s="291"/>
      <c r="BH10" s="291"/>
      <c r="BI10" s="291"/>
      <c r="BJ10" s="291"/>
      <c r="BK10" s="4"/>
    </row>
    <row r="11" spans="1:63" ht="15" customHeight="1">
      <c r="A11" s="1"/>
      <c r="B11" s="268">
        <v>44652</v>
      </c>
      <c r="C11" s="242"/>
      <c r="D11" s="242"/>
      <c r="E11" s="242"/>
      <c r="F11" s="242"/>
      <c r="G11" s="243"/>
      <c r="H11" s="241" t="s">
        <v>58</v>
      </c>
      <c r="I11" s="242"/>
      <c r="J11" s="242"/>
      <c r="K11" s="242"/>
      <c r="L11" s="242"/>
      <c r="M11" s="242"/>
      <c r="N11" s="243"/>
      <c r="O11" s="241">
        <v>0.1</v>
      </c>
      <c r="P11" s="242"/>
      <c r="Q11" s="242"/>
      <c r="R11" s="242"/>
      <c r="S11" s="279" t="s">
        <v>59</v>
      </c>
      <c r="T11" s="280"/>
      <c r="U11" s="280"/>
      <c r="V11" s="280"/>
      <c r="W11" s="280"/>
      <c r="X11" s="280"/>
      <c r="Y11" s="280"/>
      <c r="Z11" s="280"/>
      <c r="AA11" s="280"/>
      <c r="AB11" s="280"/>
      <c r="AC11" s="280"/>
      <c r="AD11" s="280"/>
      <c r="AE11" s="280"/>
      <c r="AF11" s="280"/>
      <c r="AG11" s="280"/>
      <c r="AH11" s="280"/>
      <c r="AI11" s="280"/>
      <c r="AJ11" s="280"/>
      <c r="AK11" s="280"/>
      <c r="AL11" s="280"/>
      <c r="AM11" s="280"/>
      <c r="AN11" s="280"/>
      <c r="AO11" s="280"/>
      <c r="AP11" s="280"/>
      <c r="AQ11" s="280"/>
      <c r="AR11" s="280"/>
      <c r="AS11" s="280"/>
      <c r="AT11" s="280"/>
      <c r="AU11" s="280"/>
      <c r="AV11" s="280"/>
      <c r="AW11" s="281"/>
      <c r="AX11" s="282"/>
      <c r="AY11" s="282"/>
      <c r="AZ11" s="282"/>
      <c r="BA11" s="282"/>
      <c r="BB11" s="282"/>
      <c r="BC11" s="283"/>
      <c r="BD11" s="286"/>
      <c r="BE11" s="282"/>
      <c r="BF11" s="282"/>
      <c r="BG11" s="282"/>
      <c r="BH11" s="282"/>
      <c r="BI11" s="282"/>
      <c r="BJ11" s="283"/>
      <c r="BK11" s="4"/>
    </row>
    <row r="12" spans="1:63" ht="15" customHeight="1">
      <c r="A12" s="1"/>
      <c r="B12" s="244"/>
      <c r="C12" s="245"/>
      <c r="D12" s="245"/>
      <c r="E12" s="245"/>
      <c r="F12" s="245"/>
      <c r="G12" s="246"/>
      <c r="H12" s="244"/>
      <c r="I12" s="245"/>
      <c r="J12" s="245"/>
      <c r="K12" s="245"/>
      <c r="L12" s="245"/>
      <c r="M12" s="245"/>
      <c r="N12" s="246"/>
      <c r="O12" s="244"/>
      <c r="P12" s="245"/>
      <c r="Q12" s="245"/>
      <c r="R12" s="245"/>
      <c r="S12" s="288"/>
      <c r="T12" s="289"/>
      <c r="U12" s="289"/>
      <c r="V12" s="289"/>
      <c r="W12" s="289"/>
      <c r="X12" s="289"/>
      <c r="Y12" s="289"/>
      <c r="Z12" s="289"/>
      <c r="AA12" s="289"/>
      <c r="AB12" s="289"/>
      <c r="AC12" s="289"/>
      <c r="AD12" s="289"/>
      <c r="AE12" s="289"/>
      <c r="AF12" s="289"/>
      <c r="AG12" s="289"/>
      <c r="AH12" s="289"/>
      <c r="AI12" s="289"/>
      <c r="AJ12" s="289"/>
      <c r="AK12" s="289"/>
      <c r="AL12" s="289"/>
      <c r="AM12" s="289"/>
      <c r="AN12" s="289"/>
      <c r="AO12" s="289"/>
      <c r="AP12" s="289"/>
      <c r="AQ12" s="289"/>
      <c r="AR12" s="289"/>
      <c r="AS12" s="289"/>
      <c r="AT12" s="289"/>
      <c r="AU12" s="289"/>
      <c r="AV12" s="289"/>
      <c r="AW12" s="290"/>
      <c r="AX12" s="284"/>
      <c r="AY12" s="284"/>
      <c r="AZ12" s="284"/>
      <c r="BA12" s="284"/>
      <c r="BB12" s="284"/>
      <c r="BC12" s="285"/>
      <c r="BD12" s="287"/>
      <c r="BE12" s="284"/>
      <c r="BF12" s="284"/>
      <c r="BG12" s="284"/>
      <c r="BH12" s="284"/>
      <c r="BI12" s="284"/>
      <c r="BJ12" s="285"/>
      <c r="BK12" s="4"/>
    </row>
    <row r="13" spans="1:63" ht="15" customHeight="1">
      <c r="A13" s="1"/>
      <c r="B13" s="268">
        <v>45285</v>
      </c>
      <c r="C13" s="242"/>
      <c r="D13" s="242"/>
      <c r="E13" s="242"/>
      <c r="F13" s="242"/>
      <c r="G13" s="243"/>
      <c r="H13" s="241" t="s">
        <v>1423</v>
      </c>
      <c r="I13" s="242"/>
      <c r="J13" s="242"/>
      <c r="K13" s="242"/>
      <c r="L13" s="242"/>
      <c r="M13" s="242"/>
      <c r="N13" s="243"/>
      <c r="O13" s="241">
        <v>0.2</v>
      </c>
      <c r="P13" s="242"/>
      <c r="Q13" s="242"/>
      <c r="R13" s="242"/>
      <c r="S13" s="279" t="s">
        <v>1422</v>
      </c>
      <c r="T13" s="280"/>
      <c r="U13" s="280"/>
      <c r="V13" s="280"/>
      <c r="W13" s="280"/>
      <c r="X13" s="280"/>
      <c r="Y13" s="280"/>
      <c r="Z13" s="280"/>
      <c r="AA13" s="280"/>
      <c r="AB13" s="280"/>
      <c r="AC13" s="280"/>
      <c r="AD13" s="280"/>
      <c r="AE13" s="280"/>
      <c r="AF13" s="280"/>
      <c r="AG13" s="280"/>
      <c r="AH13" s="280"/>
      <c r="AI13" s="280"/>
      <c r="AJ13" s="280"/>
      <c r="AK13" s="280"/>
      <c r="AL13" s="280"/>
      <c r="AM13" s="280"/>
      <c r="AN13" s="280"/>
      <c r="AO13" s="280"/>
      <c r="AP13" s="280"/>
      <c r="AQ13" s="280"/>
      <c r="AR13" s="280"/>
      <c r="AS13" s="280"/>
      <c r="AT13" s="280"/>
      <c r="AU13" s="280"/>
      <c r="AV13" s="280"/>
      <c r="AW13" s="281"/>
      <c r="AX13" s="282"/>
      <c r="AY13" s="282"/>
      <c r="AZ13" s="282"/>
      <c r="BA13" s="282"/>
      <c r="BB13" s="282"/>
      <c r="BC13" s="283"/>
      <c r="BD13" s="286"/>
      <c r="BE13" s="282"/>
      <c r="BF13" s="282"/>
      <c r="BG13" s="282"/>
      <c r="BH13" s="282"/>
      <c r="BI13" s="282"/>
      <c r="BJ13" s="283"/>
      <c r="BK13" s="4"/>
    </row>
    <row r="14" spans="1:63" ht="15" customHeight="1">
      <c r="A14" s="1"/>
      <c r="B14" s="244"/>
      <c r="C14" s="245"/>
      <c r="D14" s="245"/>
      <c r="E14" s="245"/>
      <c r="F14" s="245"/>
      <c r="G14" s="246"/>
      <c r="H14" s="244"/>
      <c r="I14" s="245"/>
      <c r="J14" s="245"/>
      <c r="K14" s="245"/>
      <c r="L14" s="245"/>
      <c r="M14" s="245"/>
      <c r="N14" s="246"/>
      <c r="O14" s="244"/>
      <c r="P14" s="245"/>
      <c r="Q14" s="245"/>
      <c r="R14" s="245"/>
      <c r="S14" s="288"/>
      <c r="T14" s="289"/>
      <c r="U14" s="289"/>
      <c r="V14" s="289"/>
      <c r="W14" s="289"/>
      <c r="X14" s="289"/>
      <c r="Y14" s="289"/>
      <c r="Z14" s="289"/>
      <c r="AA14" s="289"/>
      <c r="AB14" s="289"/>
      <c r="AC14" s="289"/>
      <c r="AD14" s="289"/>
      <c r="AE14" s="289"/>
      <c r="AF14" s="289"/>
      <c r="AG14" s="289"/>
      <c r="AH14" s="289"/>
      <c r="AI14" s="289"/>
      <c r="AJ14" s="289"/>
      <c r="AK14" s="289"/>
      <c r="AL14" s="289"/>
      <c r="AM14" s="289"/>
      <c r="AN14" s="289"/>
      <c r="AO14" s="289"/>
      <c r="AP14" s="289"/>
      <c r="AQ14" s="289"/>
      <c r="AR14" s="289"/>
      <c r="AS14" s="289"/>
      <c r="AT14" s="289"/>
      <c r="AU14" s="289"/>
      <c r="AV14" s="289"/>
      <c r="AW14" s="290"/>
      <c r="AX14" s="284"/>
      <c r="AY14" s="284"/>
      <c r="AZ14" s="284"/>
      <c r="BA14" s="284"/>
      <c r="BB14" s="284"/>
      <c r="BC14" s="285"/>
      <c r="BD14" s="287"/>
      <c r="BE14" s="284"/>
      <c r="BF14" s="284"/>
      <c r="BG14" s="284"/>
      <c r="BH14" s="284"/>
      <c r="BI14" s="284"/>
      <c r="BJ14" s="285"/>
      <c r="BK14" s="4"/>
    </row>
    <row r="15" spans="1:63" ht="15" customHeight="1">
      <c r="A15" s="1"/>
      <c r="B15" s="241"/>
      <c r="C15" s="242"/>
      <c r="D15" s="242"/>
      <c r="E15" s="242"/>
      <c r="F15" s="242"/>
      <c r="G15" s="243"/>
      <c r="H15" s="241"/>
      <c r="I15" s="242"/>
      <c r="J15" s="242"/>
      <c r="K15" s="242"/>
      <c r="L15" s="242"/>
      <c r="M15" s="242"/>
      <c r="N15" s="243"/>
      <c r="O15" s="241"/>
      <c r="P15" s="242"/>
      <c r="Q15" s="242"/>
      <c r="R15" s="242"/>
      <c r="S15" s="279"/>
      <c r="T15" s="280"/>
      <c r="U15" s="280"/>
      <c r="V15" s="280"/>
      <c r="W15" s="280"/>
      <c r="X15" s="280"/>
      <c r="Y15" s="280"/>
      <c r="Z15" s="280"/>
      <c r="AA15" s="280"/>
      <c r="AB15" s="280"/>
      <c r="AC15" s="280"/>
      <c r="AD15" s="280"/>
      <c r="AE15" s="280"/>
      <c r="AF15" s="280"/>
      <c r="AG15" s="280"/>
      <c r="AH15" s="280"/>
      <c r="AI15" s="280"/>
      <c r="AJ15" s="280"/>
      <c r="AK15" s="280"/>
      <c r="AL15" s="280"/>
      <c r="AM15" s="280"/>
      <c r="AN15" s="280"/>
      <c r="AO15" s="280"/>
      <c r="AP15" s="280"/>
      <c r="AQ15" s="280"/>
      <c r="AR15" s="280"/>
      <c r="AS15" s="280"/>
      <c r="AT15" s="280"/>
      <c r="AU15" s="280"/>
      <c r="AV15" s="280"/>
      <c r="AW15" s="281"/>
      <c r="AX15" s="282"/>
      <c r="AY15" s="282"/>
      <c r="AZ15" s="282"/>
      <c r="BA15" s="282"/>
      <c r="BB15" s="282"/>
      <c r="BC15" s="283"/>
      <c r="BD15" s="286"/>
      <c r="BE15" s="282"/>
      <c r="BF15" s="282"/>
      <c r="BG15" s="282"/>
      <c r="BH15" s="282"/>
      <c r="BI15" s="282"/>
      <c r="BJ15" s="283"/>
      <c r="BK15" s="4"/>
    </row>
    <row r="16" spans="1:63" ht="15" customHeight="1">
      <c r="A16" s="1"/>
      <c r="B16" s="244"/>
      <c r="C16" s="245"/>
      <c r="D16" s="245"/>
      <c r="E16" s="245"/>
      <c r="F16" s="245"/>
      <c r="G16" s="246"/>
      <c r="H16" s="244"/>
      <c r="I16" s="245"/>
      <c r="J16" s="245"/>
      <c r="K16" s="245"/>
      <c r="L16" s="245"/>
      <c r="M16" s="245"/>
      <c r="N16" s="246"/>
      <c r="O16" s="244"/>
      <c r="P16" s="245"/>
      <c r="Q16" s="245"/>
      <c r="R16" s="245"/>
      <c r="S16" s="288"/>
      <c r="T16" s="289"/>
      <c r="U16" s="289"/>
      <c r="V16" s="289"/>
      <c r="W16" s="289"/>
      <c r="X16" s="289"/>
      <c r="Y16" s="289"/>
      <c r="Z16" s="289"/>
      <c r="AA16" s="289"/>
      <c r="AB16" s="289"/>
      <c r="AC16" s="289"/>
      <c r="AD16" s="289"/>
      <c r="AE16" s="289"/>
      <c r="AF16" s="289"/>
      <c r="AG16" s="289"/>
      <c r="AH16" s="289"/>
      <c r="AI16" s="289"/>
      <c r="AJ16" s="289"/>
      <c r="AK16" s="289"/>
      <c r="AL16" s="289"/>
      <c r="AM16" s="289"/>
      <c r="AN16" s="289"/>
      <c r="AO16" s="289"/>
      <c r="AP16" s="289"/>
      <c r="AQ16" s="289"/>
      <c r="AR16" s="289"/>
      <c r="AS16" s="289"/>
      <c r="AT16" s="289"/>
      <c r="AU16" s="289"/>
      <c r="AV16" s="289"/>
      <c r="AW16" s="290"/>
      <c r="AX16" s="284"/>
      <c r="AY16" s="284"/>
      <c r="AZ16" s="284"/>
      <c r="BA16" s="284"/>
      <c r="BB16" s="284"/>
      <c r="BC16" s="285"/>
      <c r="BD16" s="287"/>
      <c r="BE16" s="284"/>
      <c r="BF16" s="284"/>
      <c r="BG16" s="284"/>
      <c r="BH16" s="284"/>
      <c r="BI16" s="284"/>
      <c r="BJ16" s="285"/>
      <c r="BK16" s="4"/>
    </row>
    <row r="17" spans="1:63" ht="15" customHeight="1">
      <c r="A17" s="1"/>
      <c r="B17" s="241"/>
      <c r="C17" s="242"/>
      <c r="D17" s="242"/>
      <c r="E17" s="242"/>
      <c r="F17" s="242"/>
      <c r="G17" s="243"/>
      <c r="H17" s="241"/>
      <c r="I17" s="242"/>
      <c r="J17" s="242"/>
      <c r="K17" s="242"/>
      <c r="L17" s="242"/>
      <c r="M17" s="242"/>
      <c r="N17" s="243"/>
      <c r="O17" s="241"/>
      <c r="P17" s="242"/>
      <c r="Q17" s="242"/>
      <c r="R17" s="242"/>
      <c r="S17" s="279"/>
      <c r="T17" s="280"/>
      <c r="U17" s="280"/>
      <c r="V17" s="280"/>
      <c r="W17" s="280"/>
      <c r="X17" s="280"/>
      <c r="Y17" s="280"/>
      <c r="Z17" s="280"/>
      <c r="AA17" s="280"/>
      <c r="AB17" s="280"/>
      <c r="AC17" s="280"/>
      <c r="AD17" s="280"/>
      <c r="AE17" s="280"/>
      <c r="AF17" s="280"/>
      <c r="AG17" s="280"/>
      <c r="AH17" s="280"/>
      <c r="AI17" s="280"/>
      <c r="AJ17" s="280"/>
      <c r="AK17" s="280"/>
      <c r="AL17" s="280"/>
      <c r="AM17" s="280"/>
      <c r="AN17" s="280"/>
      <c r="AO17" s="280"/>
      <c r="AP17" s="280"/>
      <c r="AQ17" s="280"/>
      <c r="AR17" s="280"/>
      <c r="AS17" s="280"/>
      <c r="AT17" s="280"/>
      <c r="AU17" s="280"/>
      <c r="AV17" s="280"/>
      <c r="AW17" s="281"/>
      <c r="AX17" s="282"/>
      <c r="AY17" s="282"/>
      <c r="AZ17" s="282"/>
      <c r="BA17" s="282"/>
      <c r="BB17" s="282"/>
      <c r="BC17" s="283"/>
      <c r="BD17" s="286"/>
      <c r="BE17" s="282"/>
      <c r="BF17" s="282"/>
      <c r="BG17" s="282"/>
      <c r="BH17" s="282"/>
      <c r="BI17" s="282"/>
      <c r="BJ17" s="283"/>
      <c r="BK17" s="4"/>
    </row>
    <row r="18" spans="1:63" ht="15" customHeight="1">
      <c r="A18" s="1"/>
      <c r="B18" s="244"/>
      <c r="C18" s="245"/>
      <c r="D18" s="245"/>
      <c r="E18" s="245"/>
      <c r="F18" s="245"/>
      <c r="G18" s="246"/>
      <c r="H18" s="244"/>
      <c r="I18" s="245"/>
      <c r="J18" s="245"/>
      <c r="K18" s="245"/>
      <c r="L18" s="245"/>
      <c r="M18" s="245"/>
      <c r="N18" s="246"/>
      <c r="O18" s="244"/>
      <c r="P18" s="245"/>
      <c r="Q18" s="245"/>
      <c r="R18" s="245"/>
      <c r="S18" s="288"/>
      <c r="T18" s="289"/>
      <c r="U18" s="289"/>
      <c r="V18" s="289"/>
      <c r="W18" s="289"/>
      <c r="X18" s="289"/>
      <c r="Y18" s="289"/>
      <c r="Z18" s="289"/>
      <c r="AA18" s="289"/>
      <c r="AB18" s="289"/>
      <c r="AC18" s="289"/>
      <c r="AD18" s="289"/>
      <c r="AE18" s="289"/>
      <c r="AF18" s="289"/>
      <c r="AG18" s="289"/>
      <c r="AH18" s="289"/>
      <c r="AI18" s="289"/>
      <c r="AJ18" s="289"/>
      <c r="AK18" s="289"/>
      <c r="AL18" s="289"/>
      <c r="AM18" s="289"/>
      <c r="AN18" s="289"/>
      <c r="AO18" s="289"/>
      <c r="AP18" s="289"/>
      <c r="AQ18" s="289"/>
      <c r="AR18" s="289"/>
      <c r="AS18" s="289"/>
      <c r="AT18" s="289"/>
      <c r="AU18" s="289"/>
      <c r="AV18" s="289"/>
      <c r="AW18" s="290"/>
      <c r="AX18" s="284"/>
      <c r="AY18" s="284"/>
      <c r="AZ18" s="284"/>
      <c r="BA18" s="284"/>
      <c r="BB18" s="284"/>
      <c r="BC18" s="285"/>
      <c r="BD18" s="287"/>
      <c r="BE18" s="284"/>
      <c r="BF18" s="284"/>
      <c r="BG18" s="284"/>
      <c r="BH18" s="284"/>
      <c r="BI18" s="284"/>
      <c r="BJ18" s="285"/>
      <c r="BK18" s="4"/>
    </row>
    <row r="19" spans="1:63" ht="15" customHeight="1">
      <c r="A19" s="1"/>
      <c r="B19" s="241"/>
      <c r="C19" s="242"/>
      <c r="D19" s="242"/>
      <c r="E19" s="242"/>
      <c r="F19" s="242"/>
      <c r="G19" s="243"/>
      <c r="H19" s="241"/>
      <c r="I19" s="242"/>
      <c r="J19" s="242"/>
      <c r="K19" s="242"/>
      <c r="L19" s="242"/>
      <c r="M19" s="242"/>
      <c r="N19" s="243"/>
      <c r="O19" s="241"/>
      <c r="P19" s="242"/>
      <c r="Q19" s="242"/>
      <c r="R19" s="242"/>
      <c r="S19" s="279"/>
      <c r="T19" s="280"/>
      <c r="U19" s="280"/>
      <c r="V19" s="280"/>
      <c r="W19" s="280"/>
      <c r="X19" s="280"/>
      <c r="Y19" s="280"/>
      <c r="Z19" s="280"/>
      <c r="AA19" s="280"/>
      <c r="AB19" s="280"/>
      <c r="AC19" s="280"/>
      <c r="AD19" s="280"/>
      <c r="AE19" s="280"/>
      <c r="AF19" s="280"/>
      <c r="AG19" s="280"/>
      <c r="AH19" s="280"/>
      <c r="AI19" s="280"/>
      <c r="AJ19" s="280"/>
      <c r="AK19" s="280"/>
      <c r="AL19" s="280"/>
      <c r="AM19" s="280"/>
      <c r="AN19" s="280"/>
      <c r="AO19" s="280"/>
      <c r="AP19" s="280"/>
      <c r="AQ19" s="280"/>
      <c r="AR19" s="280"/>
      <c r="AS19" s="280"/>
      <c r="AT19" s="280"/>
      <c r="AU19" s="280"/>
      <c r="AV19" s="280"/>
      <c r="AW19" s="281"/>
      <c r="AX19" s="282"/>
      <c r="AY19" s="282"/>
      <c r="AZ19" s="282"/>
      <c r="BA19" s="282"/>
      <c r="BB19" s="282"/>
      <c r="BC19" s="283"/>
      <c r="BD19" s="286"/>
      <c r="BE19" s="282"/>
      <c r="BF19" s="282"/>
      <c r="BG19" s="282"/>
      <c r="BH19" s="282"/>
      <c r="BI19" s="282"/>
      <c r="BJ19" s="283"/>
      <c r="BK19" s="4"/>
    </row>
    <row r="20" spans="1:63" ht="15" customHeight="1">
      <c r="A20" s="1"/>
      <c r="B20" s="244"/>
      <c r="C20" s="245"/>
      <c r="D20" s="245"/>
      <c r="E20" s="245"/>
      <c r="F20" s="245"/>
      <c r="G20" s="246"/>
      <c r="H20" s="244"/>
      <c r="I20" s="245"/>
      <c r="J20" s="245"/>
      <c r="K20" s="245"/>
      <c r="L20" s="245"/>
      <c r="M20" s="245"/>
      <c r="N20" s="246"/>
      <c r="O20" s="244"/>
      <c r="P20" s="245"/>
      <c r="Q20" s="245"/>
      <c r="R20" s="245"/>
      <c r="S20" s="288"/>
      <c r="T20" s="289"/>
      <c r="U20" s="289"/>
      <c r="V20" s="289"/>
      <c r="W20" s="289"/>
      <c r="X20" s="289"/>
      <c r="Y20" s="289"/>
      <c r="Z20" s="289"/>
      <c r="AA20" s="289"/>
      <c r="AB20" s="289"/>
      <c r="AC20" s="289"/>
      <c r="AD20" s="289"/>
      <c r="AE20" s="289"/>
      <c r="AF20" s="289"/>
      <c r="AG20" s="289"/>
      <c r="AH20" s="289"/>
      <c r="AI20" s="289"/>
      <c r="AJ20" s="289"/>
      <c r="AK20" s="289"/>
      <c r="AL20" s="289"/>
      <c r="AM20" s="289"/>
      <c r="AN20" s="289"/>
      <c r="AO20" s="289"/>
      <c r="AP20" s="289"/>
      <c r="AQ20" s="289"/>
      <c r="AR20" s="289"/>
      <c r="AS20" s="289"/>
      <c r="AT20" s="289"/>
      <c r="AU20" s="289"/>
      <c r="AV20" s="289"/>
      <c r="AW20" s="290"/>
      <c r="AX20" s="284"/>
      <c r="AY20" s="284"/>
      <c r="AZ20" s="284"/>
      <c r="BA20" s="284"/>
      <c r="BB20" s="284"/>
      <c r="BC20" s="285"/>
      <c r="BD20" s="287"/>
      <c r="BE20" s="284"/>
      <c r="BF20" s="284"/>
      <c r="BG20" s="284"/>
      <c r="BH20" s="284"/>
      <c r="BI20" s="284"/>
      <c r="BJ20" s="285"/>
      <c r="BK20" s="4"/>
    </row>
    <row r="21" spans="1:63" ht="15" customHeight="1">
      <c r="A21" s="1"/>
      <c r="B21" s="241"/>
      <c r="C21" s="242"/>
      <c r="D21" s="242"/>
      <c r="E21" s="242"/>
      <c r="F21" s="242"/>
      <c r="G21" s="243"/>
      <c r="H21" s="241"/>
      <c r="I21" s="242"/>
      <c r="J21" s="242"/>
      <c r="K21" s="242"/>
      <c r="L21" s="242"/>
      <c r="M21" s="242"/>
      <c r="N21" s="243"/>
      <c r="O21" s="241"/>
      <c r="P21" s="242"/>
      <c r="Q21" s="242"/>
      <c r="R21" s="242"/>
      <c r="S21" s="279"/>
      <c r="T21" s="280"/>
      <c r="U21" s="280"/>
      <c r="V21" s="280"/>
      <c r="W21" s="280"/>
      <c r="X21" s="280"/>
      <c r="Y21" s="280"/>
      <c r="Z21" s="280"/>
      <c r="AA21" s="280"/>
      <c r="AB21" s="280"/>
      <c r="AC21" s="280"/>
      <c r="AD21" s="280"/>
      <c r="AE21" s="280"/>
      <c r="AF21" s="280"/>
      <c r="AG21" s="280"/>
      <c r="AH21" s="280"/>
      <c r="AI21" s="280"/>
      <c r="AJ21" s="280"/>
      <c r="AK21" s="280"/>
      <c r="AL21" s="280"/>
      <c r="AM21" s="280"/>
      <c r="AN21" s="280"/>
      <c r="AO21" s="280"/>
      <c r="AP21" s="280"/>
      <c r="AQ21" s="280"/>
      <c r="AR21" s="280"/>
      <c r="AS21" s="280"/>
      <c r="AT21" s="280"/>
      <c r="AU21" s="280"/>
      <c r="AV21" s="280"/>
      <c r="AW21" s="281"/>
      <c r="AX21" s="282"/>
      <c r="AY21" s="282"/>
      <c r="AZ21" s="282"/>
      <c r="BA21" s="282"/>
      <c r="BB21" s="282"/>
      <c r="BC21" s="283"/>
      <c r="BD21" s="286"/>
      <c r="BE21" s="282"/>
      <c r="BF21" s="282"/>
      <c r="BG21" s="282"/>
      <c r="BH21" s="282"/>
      <c r="BI21" s="282"/>
      <c r="BJ21" s="283"/>
      <c r="BK21" s="4"/>
    </row>
    <row r="22" spans="1:63" ht="15" customHeight="1">
      <c r="A22" s="1"/>
      <c r="B22" s="244"/>
      <c r="C22" s="245"/>
      <c r="D22" s="245"/>
      <c r="E22" s="245"/>
      <c r="F22" s="245"/>
      <c r="G22" s="246"/>
      <c r="H22" s="244"/>
      <c r="I22" s="245"/>
      <c r="J22" s="245"/>
      <c r="K22" s="245"/>
      <c r="L22" s="245"/>
      <c r="M22" s="245"/>
      <c r="N22" s="246"/>
      <c r="O22" s="244"/>
      <c r="P22" s="245"/>
      <c r="Q22" s="245"/>
      <c r="R22" s="245"/>
      <c r="S22" s="288"/>
      <c r="T22" s="289"/>
      <c r="U22" s="289"/>
      <c r="V22" s="289"/>
      <c r="W22" s="289"/>
      <c r="X22" s="289"/>
      <c r="Y22" s="289"/>
      <c r="Z22" s="289"/>
      <c r="AA22" s="289"/>
      <c r="AB22" s="289"/>
      <c r="AC22" s="289"/>
      <c r="AD22" s="289"/>
      <c r="AE22" s="289"/>
      <c r="AF22" s="289"/>
      <c r="AG22" s="289"/>
      <c r="AH22" s="289"/>
      <c r="AI22" s="289"/>
      <c r="AJ22" s="289"/>
      <c r="AK22" s="289"/>
      <c r="AL22" s="289"/>
      <c r="AM22" s="289"/>
      <c r="AN22" s="289"/>
      <c r="AO22" s="289"/>
      <c r="AP22" s="289"/>
      <c r="AQ22" s="289"/>
      <c r="AR22" s="289"/>
      <c r="AS22" s="289"/>
      <c r="AT22" s="289"/>
      <c r="AU22" s="289"/>
      <c r="AV22" s="289"/>
      <c r="AW22" s="290"/>
      <c r="AX22" s="284"/>
      <c r="AY22" s="284"/>
      <c r="AZ22" s="284"/>
      <c r="BA22" s="284"/>
      <c r="BB22" s="284"/>
      <c r="BC22" s="285"/>
      <c r="BD22" s="287"/>
      <c r="BE22" s="284"/>
      <c r="BF22" s="284"/>
      <c r="BG22" s="284"/>
      <c r="BH22" s="284"/>
      <c r="BI22" s="284"/>
      <c r="BJ22" s="285"/>
      <c r="BK22" s="4"/>
    </row>
    <row r="23" spans="1:63" ht="15" customHeight="1">
      <c r="A23" s="1"/>
      <c r="B23" s="241"/>
      <c r="C23" s="242"/>
      <c r="D23" s="242"/>
      <c r="E23" s="242"/>
      <c r="F23" s="242"/>
      <c r="G23" s="243"/>
      <c r="H23" s="241"/>
      <c r="I23" s="242"/>
      <c r="J23" s="242"/>
      <c r="K23" s="242"/>
      <c r="L23" s="242"/>
      <c r="M23" s="242"/>
      <c r="N23" s="243"/>
      <c r="O23" s="241"/>
      <c r="P23" s="242"/>
      <c r="Q23" s="242"/>
      <c r="R23" s="242"/>
      <c r="S23" s="279"/>
      <c r="T23" s="280"/>
      <c r="U23" s="280"/>
      <c r="V23" s="280"/>
      <c r="W23" s="280"/>
      <c r="X23" s="280"/>
      <c r="Y23" s="280"/>
      <c r="Z23" s="280"/>
      <c r="AA23" s="280"/>
      <c r="AB23" s="280"/>
      <c r="AC23" s="280"/>
      <c r="AD23" s="280"/>
      <c r="AE23" s="280"/>
      <c r="AF23" s="280"/>
      <c r="AG23" s="280"/>
      <c r="AH23" s="280"/>
      <c r="AI23" s="280"/>
      <c r="AJ23" s="280"/>
      <c r="AK23" s="280"/>
      <c r="AL23" s="280"/>
      <c r="AM23" s="280"/>
      <c r="AN23" s="280"/>
      <c r="AO23" s="280"/>
      <c r="AP23" s="280"/>
      <c r="AQ23" s="280"/>
      <c r="AR23" s="280"/>
      <c r="AS23" s="280"/>
      <c r="AT23" s="280"/>
      <c r="AU23" s="280"/>
      <c r="AV23" s="280"/>
      <c r="AW23" s="281"/>
      <c r="AX23" s="282"/>
      <c r="AY23" s="282"/>
      <c r="AZ23" s="282"/>
      <c r="BA23" s="282"/>
      <c r="BB23" s="282"/>
      <c r="BC23" s="283"/>
      <c r="BD23" s="286"/>
      <c r="BE23" s="282"/>
      <c r="BF23" s="282"/>
      <c r="BG23" s="282"/>
      <c r="BH23" s="282"/>
      <c r="BI23" s="282"/>
      <c r="BJ23" s="283"/>
      <c r="BK23" s="4"/>
    </row>
    <row r="24" spans="1:63" ht="15" customHeight="1">
      <c r="A24" s="1"/>
      <c r="B24" s="244"/>
      <c r="C24" s="245"/>
      <c r="D24" s="245"/>
      <c r="E24" s="245"/>
      <c r="F24" s="245"/>
      <c r="G24" s="246"/>
      <c r="H24" s="244"/>
      <c r="I24" s="245"/>
      <c r="J24" s="245"/>
      <c r="K24" s="245"/>
      <c r="L24" s="245"/>
      <c r="M24" s="245"/>
      <c r="N24" s="246"/>
      <c r="O24" s="244"/>
      <c r="P24" s="245"/>
      <c r="Q24" s="245"/>
      <c r="R24" s="245"/>
      <c r="S24" s="288"/>
      <c r="T24" s="289"/>
      <c r="U24" s="289"/>
      <c r="V24" s="289"/>
      <c r="W24" s="289"/>
      <c r="X24" s="289"/>
      <c r="Y24" s="289"/>
      <c r="Z24" s="289"/>
      <c r="AA24" s="289"/>
      <c r="AB24" s="289"/>
      <c r="AC24" s="289"/>
      <c r="AD24" s="289"/>
      <c r="AE24" s="289"/>
      <c r="AF24" s="289"/>
      <c r="AG24" s="289"/>
      <c r="AH24" s="289"/>
      <c r="AI24" s="289"/>
      <c r="AJ24" s="289"/>
      <c r="AK24" s="289"/>
      <c r="AL24" s="289"/>
      <c r="AM24" s="289"/>
      <c r="AN24" s="289"/>
      <c r="AO24" s="289"/>
      <c r="AP24" s="289"/>
      <c r="AQ24" s="289"/>
      <c r="AR24" s="289"/>
      <c r="AS24" s="289"/>
      <c r="AT24" s="289"/>
      <c r="AU24" s="289"/>
      <c r="AV24" s="289"/>
      <c r="AW24" s="290"/>
      <c r="AX24" s="284"/>
      <c r="AY24" s="284"/>
      <c r="AZ24" s="284"/>
      <c r="BA24" s="284"/>
      <c r="BB24" s="284"/>
      <c r="BC24" s="285"/>
      <c r="BD24" s="287"/>
      <c r="BE24" s="284"/>
      <c r="BF24" s="284"/>
      <c r="BG24" s="284"/>
      <c r="BH24" s="284"/>
      <c r="BI24" s="284"/>
      <c r="BJ24" s="285"/>
      <c r="BK24" s="4"/>
    </row>
    <row r="25" spans="1:63" ht="15" customHeight="1">
      <c r="A25" s="1"/>
      <c r="B25" s="241"/>
      <c r="C25" s="242"/>
      <c r="D25" s="242"/>
      <c r="E25" s="242"/>
      <c r="F25" s="242"/>
      <c r="G25" s="243"/>
      <c r="H25" s="241"/>
      <c r="I25" s="242"/>
      <c r="J25" s="242"/>
      <c r="K25" s="242"/>
      <c r="L25" s="242"/>
      <c r="M25" s="242"/>
      <c r="N25" s="243"/>
      <c r="O25" s="241"/>
      <c r="P25" s="242"/>
      <c r="Q25" s="242"/>
      <c r="R25" s="242"/>
      <c r="S25" s="279"/>
      <c r="T25" s="280"/>
      <c r="U25" s="280"/>
      <c r="V25" s="280"/>
      <c r="W25" s="280"/>
      <c r="X25" s="280"/>
      <c r="Y25" s="280"/>
      <c r="Z25" s="280"/>
      <c r="AA25" s="280"/>
      <c r="AB25" s="280"/>
      <c r="AC25" s="280"/>
      <c r="AD25" s="280"/>
      <c r="AE25" s="280"/>
      <c r="AF25" s="280"/>
      <c r="AG25" s="280"/>
      <c r="AH25" s="280"/>
      <c r="AI25" s="280"/>
      <c r="AJ25" s="280"/>
      <c r="AK25" s="280"/>
      <c r="AL25" s="280"/>
      <c r="AM25" s="280"/>
      <c r="AN25" s="280"/>
      <c r="AO25" s="280"/>
      <c r="AP25" s="280"/>
      <c r="AQ25" s="280"/>
      <c r="AR25" s="280"/>
      <c r="AS25" s="280"/>
      <c r="AT25" s="280"/>
      <c r="AU25" s="280"/>
      <c r="AV25" s="280"/>
      <c r="AW25" s="281"/>
      <c r="AX25" s="282"/>
      <c r="AY25" s="282"/>
      <c r="AZ25" s="282"/>
      <c r="BA25" s="282"/>
      <c r="BB25" s="282"/>
      <c r="BC25" s="283"/>
      <c r="BD25" s="286"/>
      <c r="BE25" s="282"/>
      <c r="BF25" s="282"/>
      <c r="BG25" s="282"/>
      <c r="BH25" s="282"/>
      <c r="BI25" s="282"/>
      <c r="BJ25" s="283"/>
      <c r="BK25" s="4"/>
    </row>
    <row r="26" spans="1:63" ht="15" customHeight="1">
      <c r="A26" s="1"/>
      <c r="B26" s="244"/>
      <c r="C26" s="245"/>
      <c r="D26" s="245"/>
      <c r="E26" s="245"/>
      <c r="F26" s="245"/>
      <c r="G26" s="246"/>
      <c r="H26" s="244"/>
      <c r="I26" s="245"/>
      <c r="J26" s="245"/>
      <c r="K26" s="245"/>
      <c r="L26" s="245"/>
      <c r="M26" s="245"/>
      <c r="N26" s="246"/>
      <c r="O26" s="244"/>
      <c r="P26" s="245"/>
      <c r="Q26" s="245"/>
      <c r="R26" s="245"/>
      <c r="S26" s="288"/>
      <c r="T26" s="289"/>
      <c r="U26" s="289"/>
      <c r="V26" s="289"/>
      <c r="W26" s="289"/>
      <c r="X26" s="289"/>
      <c r="Y26" s="289"/>
      <c r="Z26" s="289"/>
      <c r="AA26" s="289"/>
      <c r="AB26" s="289"/>
      <c r="AC26" s="289"/>
      <c r="AD26" s="289"/>
      <c r="AE26" s="289"/>
      <c r="AF26" s="289"/>
      <c r="AG26" s="289"/>
      <c r="AH26" s="289"/>
      <c r="AI26" s="289"/>
      <c r="AJ26" s="289"/>
      <c r="AK26" s="289"/>
      <c r="AL26" s="289"/>
      <c r="AM26" s="289"/>
      <c r="AN26" s="289"/>
      <c r="AO26" s="289"/>
      <c r="AP26" s="289"/>
      <c r="AQ26" s="289"/>
      <c r="AR26" s="289"/>
      <c r="AS26" s="289"/>
      <c r="AT26" s="289"/>
      <c r="AU26" s="289"/>
      <c r="AV26" s="289"/>
      <c r="AW26" s="290"/>
      <c r="AX26" s="284"/>
      <c r="AY26" s="284"/>
      <c r="AZ26" s="284"/>
      <c r="BA26" s="284"/>
      <c r="BB26" s="284"/>
      <c r="BC26" s="285"/>
      <c r="BD26" s="287"/>
      <c r="BE26" s="284"/>
      <c r="BF26" s="284"/>
      <c r="BG26" s="284"/>
      <c r="BH26" s="284"/>
      <c r="BI26" s="284"/>
      <c r="BJ26" s="285"/>
      <c r="BK26" s="4"/>
    </row>
    <row r="27" spans="1:63" ht="15" customHeight="1">
      <c r="A27" s="1"/>
      <c r="B27" s="241"/>
      <c r="C27" s="242"/>
      <c r="D27" s="242"/>
      <c r="E27" s="242"/>
      <c r="F27" s="242"/>
      <c r="G27" s="243"/>
      <c r="H27" s="241"/>
      <c r="I27" s="242"/>
      <c r="J27" s="242"/>
      <c r="K27" s="242"/>
      <c r="L27" s="242"/>
      <c r="M27" s="242"/>
      <c r="N27" s="243"/>
      <c r="O27" s="241"/>
      <c r="P27" s="242"/>
      <c r="Q27" s="242"/>
      <c r="R27" s="242"/>
      <c r="S27" s="279"/>
      <c r="T27" s="280"/>
      <c r="U27" s="280"/>
      <c r="V27" s="280"/>
      <c r="W27" s="280"/>
      <c r="X27" s="280"/>
      <c r="Y27" s="280"/>
      <c r="Z27" s="280"/>
      <c r="AA27" s="280"/>
      <c r="AB27" s="280"/>
      <c r="AC27" s="280"/>
      <c r="AD27" s="280"/>
      <c r="AE27" s="280"/>
      <c r="AF27" s="280"/>
      <c r="AG27" s="280"/>
      <c r="AH27" s="280"/>
      <c r="AI27" s="280"/>
      <c r="AJ27" s="280"/>
      <c r="AK27" s="280"/>
      <c r="AL27" s="280"/>
      <c r="AM27" s="280"/>
      <c r="AN27" s="280"/>
      <c r="AO27" s="280"/>
      <c r="AP27" s="280"/>
      <c r="AQ27" s="280"/>
      <c r="AR27" s="280"/>
      <c r="AS27" s="280"/>
      <c r="AT27" s="280"/>
      <c r="AU27" s="280"/>
      <c r="AV27" s="280"/>
      <c r="AW27" s="281"/>
      <c r="AX27" s="282"/>
      <c r="AY27" s="282"/>
      <c r="AZ27" s="282"/>
      <c r="BA27" s="282"/>
      <c r="BB27" s="282"/>
      <c r="BC27" s="283"/>
      <c r="BD27" s="286"/>
      <c r="BE27" s="282"/>
      <c r="BF27" s="282"/>
      <c r="BG27" s="282"/>
      <c r="BH27" s="282"/>
      <c r="BI27" s="282"/>
      <c r="BJ27" s="283"/>
      <c r="BK27" s="4"/>
    </row>
    <row r="28" spans="1:63" ht="15" customHeight="1">
      <c r="A28" s="1"/>
      <c r="B28" s="244"/>
      <c r="C28" s="245"/>
      <c r="D28" s="245"/>
      <c r="E28" s="245"/>
      <c r="F28" s="245"/>
      <c r="G28" s="246"/>
      <c r="H28" s="244"/>
      <c r="I28" s="245"/>
      <c r="J28" s="245"/>
      <c r="K28" s="245"/>
      <c r="L28" s="245"/>
      <c r="M28" s="245"/>
      <c r="N28" s="246"/>
      <c r="O28" s="244"/>
      <c r="P28" s="245"/>
      <c r="Q28" s="245"/>
      <c r="R28" s="245"/>
      <c r="S28" s="288"/>
      <c r="T28" s="289"/>
      <c r="U28" s="289"/>
      <c r="V28" s="289"/>
      <c r="W28" s="289"/>
      <c r="X28" s="289"/>
      <c r="Y28" s="289"/>
      <c r="Z28" s="289"/>
      <c r="AA28" s="289"/>
      <c r="AB28" s="289"/>
      <c r="AC28" s="289"/>
      <c r="AD28" s="289"/>
      <c r="AE28" s="289"/>
      <c r="AF28" s="289"/>
      <c r="AG28" s="289"/>
      <c r="AH28" s="289"/>
      <c r="AI28" s="289"/>
      <c r="AJ28" s="289"/>
      <c r="AK28" s="289"/>
      <c r="AL28" s="289"/>
      <c r="AM28" s="289"/>
      <c r="AN28" s="289"/>
      <c r="AO28" s="289"/>
      <c r="AP28" s="289"/>
      <c r="AQ28" s="289"/>
      <c r="AR28" s="289"/>
      <c r="AS28" s="289"/>
      <c r="AT28" s="289"/>
      <c r="AU28" s="289"/>
      <c r="AV28" s="289"/>
      <c r="AW28" s="290"/>
      <c r="AX28" s="284"/>
      <c r="AY28" s="284"/>
      <c r="AZ28" s="284"/>
      <c r="BA28" s="284"/>
      <c r="BB28" s="284"/>
      <c r="BC28" s="285"/>
      <c r="BD28" s="287"/>
      <c r="BE28" s="284"/>
      <c r="BF28" s="284"/>
      <c r="BG28" s="284"/>
      <c r="BH28" s="284"/>
      <c r="BI28" s="284"/>
      <c r="BJ28" s="285"/>
      <c r="BK28" s="4"/>
    </row>
    <row r="29" spans="1:63" ht="15" customHeight="1">
      <c r="A29" s="1"/>
      <c r="B29" s="241"/>
      <c r="C29" s="242"/>
      <c r="D29" s="242"/>
      <c r="E29" s="242"/>
      <c r="F29" s="242"/>
      <c r="G29" s="243"/>
      <c r="H29" s="241"/>
      <c r="I29" s="242"/>
      <c r="J29" s="242"/>
      <c r="K29" s="242"/>
      <c r="L29" s="242"/>
      <c r="M29" s="242"/>
      <c r="N29" s="243"/>
      <c r="O29" s="241"/>
      <c r="P29" s="242"/>
      <c r="Q29" s="242"/>
      <c r="R29" s="242"/>
      <c r="S29" s="279"/>
      <c r="T29" s="280"/>
      <c r="U29" s="280"/>
      <c r="V29" s="280"/>
      <c r="W29" s="280"/>
      <c r="X29" s="280"/>
      <c r="Y29" s="280"/>
      <c r="Z29" s="280"/>
      <c r="AA29" s="280"/>
      <c r="AB29" s="280"/>
      <c r="AC29" s="280"/>
      <c r="AD29" s="280"/>
      <c r="AE29" s="280"/>
      <c r="AF29" s="280"/>
      <c r="AG29" s="280"/>
      <c r="AH29" s="280"/>
      <c r="AI29" s="280"/>
      <c r="AJ29" s="280"/>
      <c r="AK29" s="280"/>
      <c r="AL29" s="280"/>
      <c r="AM29" s="280"/>
      <c r="AN29" s="280"/>
      <c r="AO29" s="280"/>
      <c r="AP29" s="280"/>
      <c r="AQ29" s="280"/>
      <c r="AR29" s="280"/>
      <c r="AS29" s="280"/>
      <c r="AT29" s="280"/>
      <c r="AU29" s="280"/>
      <c r="AV29" s="280"/>
      <c r="AW29" s="281"/>
      <c r="AX29" s="282"/>
      <c r="AY29" s="282"/>
      <c r="AZ29" s="282"/>
      <c r="BA29" s="282"/>
      <c r="BB29" s="282"/>
      <c r="BC29" s="283"/>
      <c r="BD29" s="286"/>
      <c r="BE29" s="282"/>
      <c r="BF29" s="282"/>
      <c r="BG29" s="282"/>
      <c r="BH29" s="282"/>
      <c r="BI29" s="282"/>
      <c r="BJ29" s="283"/>
      <c r="BK29" s="4"/>
    </row>
    <row r="30" spans="1:63" ht="15" customHeight="1">
      <c r="A30" s="1"/>
      <c r="B30" s="244"/>
      <c r="C30" s="245"/>
      <c r="D30" s="245"/>
      <c r="E30" s="245"/>
      <c r="F30" s="245"/>
      <c r="G30" s="246"/>
      <c r="H30" s="244"/>
      <c r="I30" s="245"/>
      <c r="J30" s="245"/>
      <c r="K30" s="245"/>
      <c r="L30" s="245"/>
      <c r="M30" s="245"/>
      <c r="N30" s="246"/>
      <c r="O30" s="244"/>
      <c r="P30" s="245"/>
      <c r="Q30" s="245"/>
      <c r="R30" s="245"/>
      <c r="S30" s="288"/>
      <c r="T30" s="289"/>
      <c r="U30" s="289"/>
      <c r="V30" s="289"/>
      <c r="W30" s="289"/>
      <c r="X30" s="289"/>
      <c r="Y30" s="289"/>
      <c r="Z30" s="289"/>
      <c r="AA30" s="289"/>
      <c r="AB30" s="289"/>
      <c r="AC30" s="289"/>
      <c r="AD30" s="289"/>
      <c r="AE30" s="289"/>
      <c r="AF30" s="289"/>
      <c r="AG30" s="289"/>
      <c r="AH30" s="289"/>
      <c r="AI30" s="289"/>
      <c r="AJ30" s="289"/>
      <c r="AK30" s="289"/>
      <c r="AL30" s="289"/>
      <c r="AM30" s="289"/>
      <c r="AN30" s="289"/>
      <c r="AO30" s="289"/>
      <c r="AP30" s="289"/>
      <c r="AQ30" s="289"/>
      <c r="AR30" s="289"/>
      <c r="AS30" s="289"/>
      <c r="AT30" s="289"/>
      <c r="AU30" s="289"/>
      <c r="AV30" s="289"/>
      <c r="AW30" s="290"/>
      <c r="AX30" s="284"/>
      <c r="AY30" s="284"/>
      <c r="AZ30" s="284"/>
      <c r="BA30" s="284"/>
      <c r="BB30" s="284"/>
      <c r="BC30" s="285"/>
      <c r="BD30" s="287"/>
      <c r="BE30" s="284"/>
      <c r="BF30" s="284"/>
      <c r="BG30" s="284"/>
      <c r="BH30" s="284"/>
      <c r="BI30" s="284"/>
      <c r="BJ30" s="285"/>
      <c r="BK30" s="4"/>
    </row>
    <row r="31" spans="1:63" ht="15" customHeight="1">
      <c r="A31" s="1"/>
      <c r="B31" s="241"/>
      <c r="C31" s="242"/>
      <c r="D31" s="242"/>
      <c r="E31" s="242"/>
      <c r="F31" s="242"/>
      <c r="G31" s="243"/>
      <c r="H31" s="241"/>
      <c r="I31" s="242"/>
      <c r="J31" s="242"/>
      <c r="K31" s="242"/>
      <c r="L31" s="242"/>
      <c r="M31" s="242"/>
      <c r="N31" s="243"/>
      <c r="O31" s="241"/>
      <c r="P31" s="242"/>
      <c r="Q31" s="242"/>
      <c r="R31" s="242"/>
      <c r="S31" s="279"/>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1"/>
      <c r="AX31" s="282"/>
      <c r="AY31" s="282"/>
      <c r="AZ31" s="282"/>
      <c r="BA31" s="282"/>
      <c r="BB31" s="282"/>
      <c r="BC31" s="283"/>
      <c r="BD31" s="286"/>
      <c r="BE31" s="282"/>
      <c r="BF31" s="282"/>
      <c r="BG31" s="282"/>
      <c r="BH31" s="282"/>
      <c r="BI31" s="282"/>
      <c r="BJ31" s="283"/>
      <c r="BK31" s="4"/>
    </row>
    <row r="32" spans="1:63" ht="15" customHeight="1">
      <c r="A32" s="1"/>
      <c r="B32" s="244"/>
      <c r="C32" s="245"/>
      <c r="D32" s="245"/>
      <c r="E32" s="245"/>
      <c r="F32" s="245"/>
      <c r="G32" s="246"/>
      <c r="H32" s="244"/>
      <c r="I32" s="245"/>
      <c r="J32" s="245"/>
      <c r="K32" s="245"/>
      <c r="L32" s="245"/>
      <c r="M32" s="245"/>
      <c r="N32" s="246"/>
      <c r="O32" s="244"/>
      <c r="P32" s="245"/>
      <c r="Q32" s="245"/>
      <c r="R32" s="245"/>
      <c r="S32" s="288"/>
      <c r="T32" s="289"/>
      <c r="U32" s="289"/>
      <c r="V32" s="289"/>
      <c r="W32" s="289"/>
      <c r="X32" s="289"/>
      <c r="Y32" s="289"/>
      <c r="Z32" s="289"/>
      <c r="AA32" s="289"/>
      <c r="AB32" s="289"/>
      <c r="AC32" s="289"/>
      <c r="AD32" s="289"/>
      <c r="AE32" s="289"/>
      <c r="AF32" s="289"/>
      <c r="AG32" s="289"/>
      <c r="AH32" s="289"/>
      <c r="AI32" s="289"/>
      <c r="AJ32" s="289"/>
      <c r="AK32" s="289"/>
      <c r="AL32" s="289"/>
      <c r="AM32" s="289"/>
      <c r="AN32" s="289"/>
      <c r="AO32" s="289"/>
      <c r="AP32" s="289"/>
      <c r="AQ32" s="289"/>
      <c r="AR32" s="289"/>
      <c r="AS32" s="289"/>
      <c r="AT32" s="289"/>
      <c r="AU32" s="289"/>
      <c r="AV32" s="289"/>
      <c r="AW32" s="290"/>
      <c r="AX32" s="284"/>
      <c r="AY32" s="284"/>
      <c r="AZ32" s="284"/>
      <c r="BA32" s="284"/>
      <c r="BB32" s="284"/>
      <c r="BC32" s="285"/>
      <c r="BD32" s="287"/>
      <c r="BE32" s="284"/>
      <c r="BF32" s="284"/>
      <c r="BG32" s="284"/>
      <c r="BH32" s="284"/>
      <c r="BI32" s="284"/>
      <c r="BJ32" s="285"/>
      <c r="BK32" s="4"/>
    </row>
    <row r="33" spans="1:63" ht="15" customHeight="1">
      <c r="A33" s="1"/>
      <c r="B33" s="241"/>
      <c r="C33" s="242"/>
      <c r="D33" s="242"/>
      <c r="E33" s="242"/>
      <c r="F33" s="242"/>
      <c r="G33" s="243"/>
      <c r="H33" s="241"/>
      <c r="I33" s="242"/>
      <c r="J33" s="242"/>
      <c r="K33" s="242"/>
      <c r="L33" s="242"/>
      <c r="M33" s="242"/>
      <c r="N33" s="243"/>
      <c r="O33" s="241"/>
      <c r="P33" s="242"/>
      <c r="Q33" s="242"/>
      <c r="R33" s="242"/>
      <c r="S33" s="279"/>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1"/>
      <c r="AX33" s="282"/>
      <c r="AY33" s="282"/>
      <c r="AZ33" s="282"/>
      <c r="BA33" s="282"/>
      <c r="BB33" s="282"/>
      <c r="BC33" s="283"/>
      <c r="BD33" s="286"/>
      <c r="BE33" s="282"/>
      <c r="BF33" s="282"/>
      <c r="BG33" s="282"/>
      <c r="BH33" s="282"/>
      <c r="BI33" s="282"/>
      <c r="BJ33" s="283"/>
      <c r="BK33" s="4"/>
    </row>
    <row r="34" spans="1:63" ht="15" customHeight="1">
      <c r="A34" s="1"/>
      <c r="B34" s="244"/>
      <c r="C34" s="245"/>
      <c r="D34" s="245"/>
      <c r="E34" s="245"/>
      <c r="F34" s="245"/>
      <c r="G34" s="246"/>
      <c r="H34" s="244"/>
      <c r="I34" s="245"/>
      <c r="J34" s="245"/>
      <c r="K34" s="245"/>
      <c r="L34" s="245"/>
      <c r="M34" s="245"/>
      <c r="N34" s="246"/>
      <c r="O34" s="244"/>
      <c r="P34" s="245"/>
      <c r="Q34" s="245"/>
      <c r="R34" s="245"/>
      <c r="S34" s="288"/>
      <c r="T34" s="289"/>
      <c r="U34" s="289"/>
      <c r="V34" s="289"/>
      <c r="W34" s="289"/>
      <c r="X34" s="289"/>
      <c r="Y34" s="289"/>
      <c r="Z34" s="289"/>
      <c r="AA34" s="289"/>
      <c r="AB34" s="289"/>
      <c r="AC34" s="289"/>
      <c r="AD34" s="289"/>
      <c r="AE34" s="289"/>
      <c r="AF34" s="289"/>
      <c r="AG34" s="289"/>
      <c r="AH34" s="289"/>
      <c r="AI34" s="289"/>
      <c r="AJ34" s="289"/>
      <c r="AK34" s="289"/>
      <c r="AL34" s="289"/>
      <c r="AM34" s="289"/>
      <c r="AN34" s="289"/>
      <c r="AO34" s="289"/>
      <c r="AP34" s="289"/>
      <c r="AQ34" s="289"/>
      <c r="AR34" s="289"/>
      <c r="AS34" s="289"/>
      <c r="AT34" s="289"/>
      <c r="AU34" s="289"/>
      <c r="AV34" s="289"/>
      <c r="AW34" s="290"/>
      <c r="AX34" s="284"/>
      <c r="AY34" s="284"/>
      <c r="AZ34" s="284"/>
      <c r="BA34" s="284"/>
      <c r="BB34" s="284"/>
      <c r="BC34" s="285"/>
      <c r="BD34" s="287"/>
      <c r="BE34" s="284"/>
      <c r="BF34" s="284"/>
      <c r="BG34" s="284"/>
      <c r="BH34" s="284"/>
      <c r="BI34" s="284"/>
      <c r="BJ34" s="285"/>
      <c r="BK34" s="4"/>
    </row>
    <row r="35" spans="1:63" ht="15" customHeight="1">
      <c r="A35" s="1"/>
      <c r="B35" s="241"/>
      <c r="C35" s="242"/>
      <c r="D35" s="242"/>
      <c r="E35" s="242"/>
      <c r="F35" s="242"/>
      <c r="G35" s="243"/>
      <c r="H35" s="241"/>
      <c r="I35" s="242"/>
      <c r="J35" s="242"/>
      <c r="K35" s="242"/>
      <c r="L35" s="242"/>
      <c r="M35" s="242"/>
      <c r="N35" s="243"/>
      <c r="O35" s="241"/>
      <c r="P35" s="242"/>
      <c r="Q35" s="242"/>
      <c r="R35" s="242"/>
      <c r="S35" s="279"/>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1"/>
      <c r="AX35" s="282"/>
      <c r="AY35" s="282"/>
      <c r="AZ35" s="282"/>
      <c r="BA35" s="282"/>
      <c r="BB35" s="282"/>
      <c r="BC35" s="283"/>
      <c r="BD35" s="286"/>
      <c r="BE35" s="282"/>
      <c r="BF35" s="282"/>
      <c r="BG35" s="282"/>
      <c r="BH35" s="282"/>
      <c r="BI35" s="282"/>
      <c r="BJ35" s="283"/>
      <c r="BK35" s="4"/>
    </row>
    <row r="36" spans="1:63" ht="15" customHeight="1">
      <c r="A36" s="1"/>
      <c r="B36" s="244"/>
      <c r="C36" s="245"/>
      <c r="D36" s="245"/>
      <c r="E36" s="245"/>
      <c r="F36" s="245"/>
      <c r="G36" s="246"/>
      <c r="H36" s="244"/>
      <c r="I36" s="245"/>
      <c r="J36" s="245"/>
      <c r="K36" s="245"/>
      <c r="L36" s="245"/>
      <c r="M36" s="245"/>
      <c r="N36" s="246"/>
      <c r="O36" s="244"/>
      <c r="P36" s="245"/>
      <c r="Q36" s="245"/>
      <c r="R36" s="245"/>
      <c r="S36" s="288"/>
      <c r="T36" s="289"/>
      <c r="U36" s="289"/>
      <c r="V36" s="289"/>
      <c r="W36" s="289"/>
      <c r="X36" s="289"/>
      <c r="Y36" s="289"/>
      <c r="Z36" s="289"/>
      <c r="AA36" s="289"/>
      <c r="AB36" s="289"/>
      <c r="AC36" s="289"/>
      <c r="AD36" s="289"/>
      <c r="AE36" s="289"/>
      <c r="AF36" s="289"/>
      <c r="AG36" s="289"/>
      <c r="AH36" s="289"/>
      <c r="AI36" s="289"/>
      <c r="AJ36" s="289"/>
      <c r="AK36" s="289"/>
      <c r="AL36" s="289"/>
      <c r="AM36" s="289"/>
      <c r="AN36" s="289"/>
      <c r="AO36" s="289"/>
      <c r="AP36" s="289"/>
      <c r="AQ36" s="289"/>
      <c r="AR36" s="289"/>
      <c r="AS36" s="289"/>
      <c r="AT36" s="289"/>
      <c r="AU36" s="289"/>
      <c r="AV36" s="289"/>
      <c r="AW36" s="290"/>
      <c r="AX36" s="284"/>
      <c r="AY36" s="284"/>
      <c r="AZ36" s="284"/>
      <c r="BA36" s="284"/>
      <c r="BB36" s="284"/>
      <c r="BC36" s="285"/>
      <c r="BD36" s="287"/>
      <c r="BE36" s="284"/>
      <c r="BF36" s="284"/>
      <c r="BG36" s="284"/>
      <c r="BH36" s="284"/>
      <c r="BI36" s="284"/>
      <c r="BJ36" s="285"/>
      <c r="BK36" s="4"/>
    </row>
    <row r="37" spans="1:63" ht="15" customHeight="1">
      <c r="A37" s="1"/>
      <c r="B37" s="241"/>
      <c r="C37" s="242"/>
      <c r="D37" s="242"/>
      <c r="E37" s="242"/>
      <c r="F37" s="242"/>
      <c r="G37" s="243"/>
      <c r="H37" s="241"/>
      <c r="I37" s="242"/>
      <c r="J37" s="242"/>
      <c r="K37" s="242"/>
      <c r="L37" s="242"/>
      <c r="M37" s="242"/>
      <c r="N37" s="243"/>
      <c r="O37" s="241"/>
      <c r="P37" s="242"/>
      <c r="Q37" s="242"/>
      <c r="R37" s="242"/>
      <c r="S37" s="279"/>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1"/>
      <c r="AX37" s="282"/>
      <c r="AY37" s="282"/>
      <c r="AZ37" s="282"/>
      <c r="BA37" s="282"/>
      <c r="BB37" s="282"/>
      <c r="BC37" s="283"/>
      <c r="BD37" s="286"/>
      <c r="BE37" s="282"/>
      <c r="BF37" s="282"/>
      <c r="BG37" s="282"/>
      <c r="BH37" s="282"/>
      <c r="BI37" s="282"/>
      <c r="BJ37" s="283"/>
      <c r="BK37" s="4"/>
    </row>
    <row r="38" spans="1:63" ht="15" customHeight="1">
      <c r="A38" s="1"/>
      <c r="B38" s="244"/>
      <c r="C38" s="245"/>
      <c r="D38" s="245"/>
      <c r="E38" s="245"/>
      <c r="F38" s="245"/>
      <c r="G38" s="246"/>
      <c r="H38" s="244"/>
      <c r="I38" s="245"/>
      <c r="J38" s="245"/>
      <c r="K38" s="245"/>
      <c r="L38" s="245"/>
      <c r="M38" s="245"/>
      <c r="N38" s="246"/>
      <c r="O38" s="244"/>
      <c r="P38" s="245"/>
      <c r="Q38" s="245"/>
      <c r="R38" s="245"/>
      <c r="S38" s="288"/>
      <c r="T38" s="289"/>
      <c r="U38" s="289"/>
      <c r="V38" s="289"/>
      <c r="W38" s="289"/>
      <c r="X38" s="289"/>
      <c r="Y38" s="289"/>
      <c r="Z38" s="289"/>
      <c r="AA38" s="289"/>
      <c r="AB38" s="289"/>
      <c r="AC38" s="289"/>
      <c r="AD38" s="289"/>
      <c r="AE38" s="289"/>
      <c r="AF38" s="289"/>
      <c r="AG38" s="289"/>
      <c r="AH38" s="289"/>
      <c r="AI38" s="289"/>
      <c r="AJ38" s="289"/>
      <c r="AK38" s="289"/>
      <c r="AL38" s="289"/>
      <c r="AM38" s="289"/>
      <c r="AN38" s="289"/>
      <c r="AO38" s="289"/>
      <c r="AP38" s="289"/>
      <c r="AQ38" s="289"/>
      <c r="AR38" s="289"/>
      <c r="AS38" s="289"/>
      <c r="AT38" s="289"/>
      <c r="AU38" s="289"/>
      <c r="AV38" s="289"/>
      <c r="AW38" s="290"/>
      <c r="AX38" s="284"/>
      <c r="AY38" s="284"/>
      <c r="AZ38" s="284"/>
      <c r="BA38" s="284"/>
      <c r="BB38" s="284"/>
      <c r="BC38" s="285"/>
      <c r="BD38" s="287"/>
      <c r="BE38" s="284"/>
      <c r="BF38" s="284"/>
      <c r="BG38" s="284"/>
      <c r="BH38" s="284"/>
      <c r="BI38" s="284"/>
      <c r="BJ38" s="285"/>
      <c r="BK38" s="4"/>
    </row>
    <row r="39" spans="1:63" ht="15" customHeight="1">
      <c r="A39" s="1"/>
      <c r="B39" s="241"/>
      <c r="C39" s="242"/>
      <c r="D39" s="242"/>
      <c r="E39" s="242"/>
      <c r="F39" s="242"/>
      <c r="G39" s="243"/>
      <c r="H39" s="241"/>
      <c r="I39" s="242"/>
      <c r="J39" s="242"/>
      <c r="K39" s="242"/>
      <c r="L39" s="242"/>
      <c r="M39" s="242"/>
      <c r="N39" s="243"/>
      <c r="O39" s="241"/>
      <c r="P39" s="242"/>
      <c r="Q39" s="242"/>
      <c r="R39" s="242"/>
      <c r="S39" s="279"/>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1"/>
      <c r="AX39" s="282"/>
      <c r="AY39" s="282"/>
      <c r="AZ39" s="282"/>
      <c r="BA39" s="282"/>
      <c r="BB39" s="282"/>
      <c r="BC39" s="283"/>
      <c r="BD39" s="286"/>
      <c r="BE39" s="282"/>
      <c r="BF39" s="282"/>
      <c r="BG39" s="282"/>
      <c r="BH39" s="282"/>
      <c r="BI39" s="282"/>
      <c r="BJ39" s="283"/>
      <c r="BK39" s="4"/>
    </row>
    <row r="40" spans="1:63" ht="15" customHeight="1">
      <c r="A40" s="1"/>
      <c r="B40" s="244"/>
      <c r="C40" s="245"/>
      <c r="D40" s="245"/>
      <c r="E40" s="245"/>
      <c r="F40" s="245"/>
      <c r="G40" s="246"/>
      <c r="H40" s="244"/>
      <c r="I40" s="245"/>
      <c r="J40" s="245"/>
      <c r="K40" s="245"/>
      <c r="L40" s="245"/>
      <c r="M40" s="245"/>
      <c r="N40" s="246"/>
      <c r="O40" s="244"/>
      <c r="P40" s="245"/>
      <c r="Q40" s="245"/>
      <c r="R40" s="245"/>
      <c r="S40" s="288"/>
      <c r="T40" s="289"/>
      <c r="U40" s="289"/>
      <c r="V40" s="289"/>
      <c r="W40" s="289"/>
      <c r="X40" s="289"/>
      <c r="Y40" s="289"/>
      <c r="Z40" s="289"/>
      <c r="AA40" s="289"/>
      <c r="AB40" s="289"/>
      <c r="AC40" s="289"/>
      <c r="AD40" s="289"/>
      <c r="AE40" s="289"/>
      <c r="AF40" s="289"/>
      <c r="AG40" s="289"/>
      <c r="AH40" s="289"/>
      <c r="AI40" s="289"/>
      <c r="AJ40" s="289"/>
      <c r="AK40" s="289"/>
      <c r="AL40" s="289"/>
      <c r="AM40" s="289"/>
      <c r="AN40" s="289"/>
      <c r="AO40" s="289"/>
      <c r="AP40" s="289"/>
      <c r="AQ40" s="289"/>
      <c r="AR40" s="289"/>
      <c r="AS40" s="289"/>
      <c r="AT40" s="289"/>
      <c r="AU40" s="289"/>
      <c r="AV40" s="289"/>
      <c r="AW40" s="290"/>
      <c r="AX40" s="284"/>
      <c r="AY40" s="284"/>
      <c r="AZ40" s="284"/>
      <c r="BA40" s="284"/>
      <c r="BB40" s="284"/>
      <c r="BC40" s="285"/>
      <c r="BD40" s="287"/>
      <c r="BE40" s="284"/>
      <c r="BF40" s="284"/>
      <c r="BG40" s="284"/>
      <c r="BH40" s="284"/>
      <c r="BI40" s="284"/>
      <c r="BJ40" s="285"/>
      <c r="BK40" s="4"/>
    </row>
    <row r="41" spans="1:63" ht="15" customHeight="1">
      <c r="A41" s="1"/>
      <c r="B41" s="241"/>
      <c r="C41" s="242"/>
      <c r="D41" s="242"/>
      <c r="E41" s="242"/>
      <c r="F41" s="242"/>
      <c r="G41" s="243"/>
      <c r="H41" s="241"/>
      <c r="I41" s="242"/>
      <c r="J41" s="242"/>
      <c r="K41" s="242"/>
      <c r="L41" s="242"/>
      <c r="M41" s="242"/>
      <c r="N41" s="243"/>
      <c r="O41" s="241"/>
      <c r="P41" s="242"/>
      <c r="Q41" s="242"/>
      <c r="R41" s="242"/>
      <c r="S41" s="279"/>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1"/>
      <c r="AX41" s="282"/>
      <c r="AY41" s="282"/>
      <c r="AZ41" s="282"/>
      <c r="BA41" s="282"/>
      <c r="BB41" s="282"/>
      <c r="BC41" s="283"/>
      <c r="BD41" s="286"/>
      <c r="BE41" s="282"/>
      <c r="BF41" s="282"/>
      <c r="BG41" s="282"/>
      <c r="BH41" s="282"/>
      <c r="BI41" s="282"/>
      <c r="BJ41" s="283"/>
      <c r="BK41" s="4"/>
    </row>
    <row r="42" spans="1:63" ht="15" customHeight="1">
      <c r="A42" s="1"/>
      <c r="B42" s="244"/>
      <c r="C42" s="245"/>
      <c r="D42" s="245"/>
      <c r="E42" s="245"/>
      <c r="F42" s="245"/>
      <c r="G42" s="246"/>
      <c r="H42" s="244"/>
      <c r="I42" s="245"/>
      <c r="J42" s="245"/>
      <c r="K42" s="245"/>
      <c r="L42" s="245"/>
      <c r="M42" s="245"/>
      <c r="N42" s="246"/>
      <c r="O42" s="244"/>
      <c r="P42" s="245"/>
      <c r="Q42" s="245"/>
      <c r="R42" s="245"/>
      <c r="S42" s="288"/>
      <c r="T42" s="289"/>
      <c r="U42" s="289"/>
      <c r="V42" s="289"/>
      <c r="W42" s="289"/>
      <c r="X42" s="289"/>
      <c r="Y42" s="289"/>
      <c r="Z42" s="289"/>
      <c r="AA42" s="289"/>
      <c r="AB42" s="289"/>
      <c r="AC42" s="289"/>
      <c r="AD42" s="289"/>
      <c r="AE42" s="289"/>
      <c r="AF42" s="289"/>
      <c r="AG42" s="289"/>
      <c r="AH42" s="289"/>
      <c r="AI42" s="289"/>
      <c r="AJ42" s="289"/>
      <c r="AK42" s="289"/>
      <c r="AL42" s="289"/>
      <c r="AM42" s="289"/>
      <c r="AN42" s="289"/>
      <c r="AO42" s="289"/>
      <c r="AP42" s="289"/>
      <c r="AQ42" s="289"/>
      <c r="AR42" s="289"/>
      <c r="AS42" s="289"/>
      <c r="AT42" s="289"/>
      <c r="AU42" s="289"/>
      <c r="AV42" s="289"/>
      <c r="AW42" s="290"/>
      <c r="AX42" s="284"/>
      <c r="AY42" s="284"/>
      <c r="AZ42" s="284"/>
      <c r="BA42" s="284"/>
      <c r="BB42" s="284"/>
      <c r="BC42" s="285"/>
      <c r="BD42" s="287"/>
      <c r="BE42" s="284"/>
      <c r="BF42" s="284"/>
      <c r="BG42" s="284"/>
      <c r="BH42" s="284"/>
      <c r="BI42" s="284"/>
      <c r="BJ42" s="285"/>
      <c r="BK42" s="4"/>
    </row>
    <row r="43" spans="1:63" ht="15" customHeight="1">
      <c r="A43" s="1"/>
      <c r="B43" s="241"/>
      <c r="C43" s="242"/>
      <c r="D43" s="242"/>
      <c r="E43" s="242"/>
      <c r="F43" s="242"/>
      <c r="G43" s="243"/>
      <c r="H43" s="241"/>
      <c r="I43" s="242"/>
      <c r="J43" s="242"/>
      <c r="K43" s="242"/>
      <c r="L43" s="242"/>
      <c r="M43" s="242"/>
      <c r="N43" s="243"/>
      <c r="O43" s="241"/>
      <c r="P43" s="242"/>
      <c r="Q43" s="242"/>
      <c r="R43" s="242"/>
      <c r="S43" s="279"/>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1"/>
      <c r="AX43" s="282"/>
      <c r="AY43" s="282"/>
      <c r="AZ43" s="282"/>
      <c r="BA43" s="282"/>
      <c r="BB43" s="282"/>
      <c r="BC43" s="283"/>
      <c r="BD43" s="286"/>
      <c r="BE43" s="282"/>
      <c r="BF43" s="282"/>
      <c r="BG43" s="282"/>
      <c r="BH43" s="282"/>
      <c r="BI43" s="282"/>
      <c r="BJ43" s="283"/>
      <c r="BK43" s="4"/>
    </row>
    <row r="44" spans="1:63" ht="15" customHeight="1">
      <c r="A44" s="1"/>
      <c r="B44" s="244"/>
      <c r="C44" s="245"/>
      <c r="D44" s="245"/>
      <c r="E44" s="245"/>
      <c r="F44" s="245"/>
      <c r="G44" s="246"/>
      <c r="H44" s="244"/>
      <c r="I44" s="245"/>
      <c r="J44" s="245"/>
      <c r="K44" s="245"/>
      <c r="L44" s="245"/>
      <c r="M44" s="245"/>
      <c r="N44" s="246"/>
      <c r="O44" s="244"/>
      <c r="P44" s="245"/>
      <c r="Q44" s="245"/>
      <c r="R44" s="245"/>
      <c r="S44" s="288"/>
      <c r="T44" s="289"/>
      <c r="U44" s="289"/>
      <c r="V44" s="289"/>
      <c r="W44" s="289"/>
      <c r="X44" s="289"/>
      <c r="Y44" s="289"/>
      <c r="Z44" s="289"/>
      <c r="AA44" s="289"/>
      <c r="AB44" s="289"/>
      <c r="AC44" s="289"/>
      <c r="AD44" s="289"/>
      <c r="AE44" s="289"/>
      <c r="AF44" s="289"/>
      <c r="AG44" s="289"/>
      <c r="AH44" s="289"/>
      <c r="AI44" s="289"/>
      <c r="AJ44" s="289"/>
      <c r="AK44" s="289"/>
      <c r="AL44" s="289"/>
      <c r="AM44" s="289"/>
      <c r="AN44" s="289"/>
      <c r="AO44" s="289"/>
      <c r="AP44" s="289"/>
      <c r="AQ44" s="289"/>
      <c r="AR44" s="289"/>
      <c r="AS44" s="289"/>
      <c r="AT44" s="289"/>
      <c r="AU44" s="289"/>
      <c r="AV44" s="289"/>
      <c r="AW44" s="290"/>
      <c r="AX44" s="284"/>
      <c r="AY44" s="284"/>
      <c r="AZ44" s="284"/>
      <c r="BA44" s="284"/>
      <c r="BB44" s="284"/>
      <c r="BC44" s="285"/>
      <c r="BD44" s="287"/>
      <c r="BE44" s="284"/>
      <c r="BF44" s="284"/>
      <c r="BG44" s="284"/>
      <c r="BH44" s="284"/>
      <c r="BI44" s="284"/>
      <c r="BJ44" s="285"/>
      <c r="BK44" s="4"/>
    </row>
    <row r="45" spans="1:63" ht="15" customHeight="1">
      <c r="A45" s="1"/>
      <c r="B45" s="241"/>
      <c r="C45" s="242"/>
      <c r="D45" s="242"/>
      <c r="E45" s="242"/>
      <c r="F45" s="242"/>
      <c r="G45" s="243"/>
      <c r="H45" s="241"/>
      <c r="I45" s="242"/>
      <c r="J45" s="242"/>
      <c r="K45" s="242"/>
      <c r="L45" s="242"/>
      <c r="M45" s="242"/>
      <c r="N45" s="243"/>
      <c r="O45" s="241"/>
      <c r="P45" s="242"/>
      <c r="Q45" s="242"/>
      <c r="R45" s="242"/>
      <c r="S45" s="279"/>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1"/>
      <c r="AX45" s="282"/>
      <c r="AY45" s="282"/>
      <c r="AZ45" s="282"/>
      <c r="BA45" s="282"/>
      <c r="BB45" s="282"/>
      <c r="BC45" s="283"/>
      <c r="BD45" s="286"/>
      <c r="BE45" s="282"/>
      <c r="BF45" s="282"/>
      <c r="BG45" s="282"/>
      <c r="BH45" s="282"/>
      <c r="BI45" s="282"/>
      <c r="BJ45" s="283"/>
      <c r="BK45" s="4"/>
    </row>
    <row r="46" spans="1:63" ht="15" customHeight="1">
      <c r="A46" s="1"/>
      <c r="B46" s="244"/>
      <c r="C46" s="245"/>
      <c r="D46" s="245"/>
      <c r="E46" s="245"/>
      <c r="F46" s="245"/>
      <c r="G46" s="246"/>
      <c r="H46" s="244"/>
      <c r="I46" s="245"/>
      <c r="J46" s="245"/>
      <c r="K46" s="245"/>
      <c r="L46" s="245"/>
      <c r="M46" s="245"/>
      <c r="N46" s="246"/>
      <c r="O46" s="244"/>
      <c r="P46" s="245"/>
      <c r="Q46" s="245"/>
      <c r="R46" s="245"/>
      <c r="S46" s="288"/>
      <c r="T46" s="289"/>
      <c r="U46" s="289"/>
      <c r="V46" s="289"/>
      <c r="W46" s="289"/>
      <c r="X46" s="289"/>
      <c r="Y46" s="289"/>
      <c r="Z46" s="289"/>
      <c r="AA46" s="289"/>
      <c r="AB46" s="289"/>
      <c r="AC46" s="289"/>
      <c r="AD46" s="289"/>
      <c r="AE46" s="289"/>
      <c r="AF46" s="289"/>
      <c r="AG46" s="289"/>
      <c r="AH46" s="289"/>
      <c r="AI46" s="289"/>
      <c r="AJ46" s="289"/>
      <c r="AK46" s="289"/>
      <c r="AL46" s="289"/>
      <c r="AM46" s="289"/>
      <c r="AN46" s="289"/>
      <c r="AO46" s="289"/>
      <c r="AP46" s="289"/>
      <c r="AQ46" s="289"/>
      <c r="AR46" s="289"/>
      <c r="AS46" s="289"/>
      <c r="AT46" s="289"/>
      <c r="AU46" s="289"/>
      <c r="AV46" s="289"/>
      <c r="AW46" s="290"/>
      <c r="AX46" s="284"/>
      <c r="AY46" s="284"/>
      <c r="AZ46" s="284"/>
      <c r="BA46" s="284"/>
      <c r="BB46" s="284"/>
      <c r="BC46" s="285"/>
      <c r="BD46" s="287"/>
      <c r="BE46" s="284"/>
      <c r="BF46" s="284"/>
      <c r="BG46" s="284"/>
      <c r="BH46" s="284"/>
      <c r="BI46" s="284"/>
      <c r="BJ46" s="285"/>
      <c r="BK46" s="4"/>
    </row>
    <row r="47" spans="1:63" ht="15" customHeight="1">
      <c r="A47" s="1"/>
      <c r="B47" s="241"/>
      <c r="C47" s="242"/>
      <c r="D47" s="242"/>
      <c r="E47" s="242"/>
      <c r="F47" s="242"/>
      <c r="G47" s="243"/>
      <c r="H47" s="241"/>
      <c r="I47" s="242"/>
      <c r="J47" s="242"/>
      <c r="K47" s="242"/>
      <c r="L47" s="242"/>
      <c r="M47" s="242"/>
      <c r="N47" s="243"/>
      <c r="O47" s="241"/>
      <c r="P47" s="242"/>
      <c r="Q47" s="242"/>
      <c r="R47" s="242"/>
      <c r="S47" s="279"/>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1"/>
      <c r="AX47" s="282"/>
      <c r="AY47" s="282"/>
      <c r="AZ47" s="282"/>
      <c r="BA47" s="282"/>
      <c r="BB47" s="282"/>
      <c r="BC47" s="283"/>
      <c r="BD47" s="286"/>
      <c r="BE47" s="282"/>
      <c r="BF47" s="282"/>
      <c r="BG47" s="282"/>
      <c r="BH47" s="282"/>
      <c r="BI47" s="282"/>
      <c r="BJ47" s="283"/>
      <c r="BK47" s="4"/>
    </row>
    <row r="48" spans="1:63" ht="15" customHeight="1">
      <c r="A48" s="1"/>
      <c r="B48" s="244"/>
      <c r="C48" s="245"/>
      <c r="D48" s="245"/>
      <c r="E48" s="245"/>
      <c r="F48" s="245"/>
      <c r="G48" s="246"/>
      <c r="H48" s="244"/>
      <c r="I48" s="245"/>
      <c r="J48" s="245"/>
      <c r="K48" s="245"/>
      <c r="L48" s="245"/>
      <c r="M48" s="245"/>
      <c r="N48" s="246"/>
      <c r="O48" s="244"/>
      <c r="P48" s="245"/>
      <c r="Q48" s="245"/>
      <c r="R48" s="245"/>
      <c r="S48" s="288"/>
      <c r="T48" s="289"/>
      <c r="U48" s="289"/>
      <c r="V48" s="289"/>
      <c r="W48" s="289"/>
      <c r="X48" s="289"/>
      <c r="Y48" s="289"/>
      <c r="Z48" s="289"/>
      <c r="AA48" s="289"/>
      <c r="AB48" s="289"/>
      <c r="AC48" s="289"/>
      <c r="AD48" s="289"/>
      <c r="AE48" s="289"/>
      <c r="AF48" s="289"/>
      <c r="AG48" s="289"/>
      <c r="AH48" s="289"/>
      <c r="AI48" s="289"/>
      <c r="AJ48" s="289"/>
      <c r="AK48" s="289"/>
      <c r="AL48" s="289"/>
      <c r="AM48" s="289"/>
      <c r="AN48" s="289"/>
      <c r="AO48" s="289"/>
      <c r="AP48" s="289"/>
      <c r="AQ48" s="289"/>
      <c r="AR48" s="289"/>
      <c r="AS48" s="289"/>
      <c r="AT48" s="289"/>
      <c r="AU48" s="289"/>
      <c r="AV48" s="289"/>
      <c r="AW48" s="290"/>
      <c r="AX48" s="284"/>
      <c r="AY48" s="284"/>
      <c r="AZ48" s="284"/>
      <c r="BA48" s="284"/>
      <c r="BB48" s="284"/>
      <c r="BC48" s="285"/>
      <c r="BD48" s="287"/>
      <c r="BE48" s="284"/>
      <c r="BF48" s="284"/>
      <c r="BG48" s="284"/>
      <c r="BH48" s="284"/>
      <c r="BI48" s="284"/>
      <c r="BJ48" s="285"/>
      <c r="BK48" s="4"/>
    </row>
    <row r="49" spans="1:63" ht="15" customHeight="1">
      <c r="A49" s="1"/>
      <c r="B49" s="241"/>
      <c r="C49" s="242"/>
      <c r="D49" s="242"/>
      <c r="E49" s="242"/>
      <c r="F49" s="242"/>
      <c r="G49" s="243"/>
      <c r="H49" s="241"/>
      <c r="I49" s="242"/>
      <c r="J49" s="242"/>
      <c r="K49" s="242"/>
      <c r="L49" s="242"/>
      <c r="M49" s="242"/>
      <c r="N49" s="243"/>
      <c r="O49" s="241"/>
      <c r="P49" s="242"/>
      <c r="Q49" s="242"/>
      <c r="R49" s="242"/>
      <c r="S49" s="279"/>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1"/>
      <c r="AX49" s="282"/>
      <c r="AY49" s="282"/>
      <c r="AZ49" s="282"/>
      <c r="BA49" s="282"/>
      <c r="BB49" s="282"/>
      <c r="BC49" s="283"/>
      <c r="BD49" s="286"/>
      <c r="BE49" s="282"/>
      <c r="BF49" s="282"/>
      <c r="BG49" s="282"/>
      <c r="BH49" s="282"/>
      <c r="BI49" s="282"/>
      <c r="BJ49" s="283"/>
      <c r="BK49" s="4"/>
    </row>
    <row r="50" spans="1:63" ht="15" customHeight="1">
      <c r="A50" s="1"/>
      <c r="B50" s="244"/>
      <c r="C50" s="245"/>
      <c r="D50" s="245"/>
      <c r="E50" s="245"/>
      <c r="F50" s="245"/>
      <c r="G50" s="246"/>
      <c r="H50" s="244"/>
      <c r="I50" s="245"/>
      <c r="J50" s="245"/>
      <c r="K50" s="245"/>
      <c r="L50" s="245"/>
      <c r="M50" s="245"/>
      <c r="N50" s="246"/>
      <c r="O50" s="244"/>
      <c r="P50" s="245"/>
      <c r="Q50" s="245"/>
      <c r="R50" s="245"/>
      <c r="S50" s="288"/>
      <c r="T50" s="289"/>
      <c r="U50" s="289"/>
      <c r="V50" s="289"/>
      <c r="W50" s="289"/>
      <c r="X50" s="289"/>
      <c r="Y50" s="289"/>
      <c r="Z50" s="289"/>
      <c r="AA50" s="289"/>
      <c r="AB50" s="289"/>
      <c r="AC50" s="289"/>
      <c r="AD50" s="289"/>
      <c r="AE50" s="289"/>
      <c r="AF50" s="289"/>
      <c r="AG50" s="289"/>
      <c r="AH50" s="289"/>
      <c r="AI50" s="289"/>
      <c r="AJ50" s="289"/>
      <c r="AK50" s="289"/>
      <c r="AL50" s="289"/>
      <c r="AM50" s="289"/>
      <c r="AN50" s="289"/>
      <c r="AO50" s="289"/>
      <c r="AP50" s="289"/>
      <c r="AQ50" s="289"/>
      <c r="AR50" s="289"/>
      <c r="AS50" s="289"/>
      <c r="AT50" s="289"/>
      <c r="AU50" s="289"/>
      <c r="AV50" s="289"/>
      <c r="AW50" s="290"/>
      <c r="AX50" s="284"/>
      <c r="AY50" s="284"/>
      <c r="AZ50" s="284"/>
      <c r="BA50" s="284"/>
      <c r="BB50" s="284"/>
      <c r="BC50" s="285"/>
      <c r="BD50" s="287"/>
      <c r="BE50" s="284"/>
      <c r="BF50" s="284"/>
      <c r="BG50" s="284"/>
      <c r="BH50" s="284"/>
      <c r="BI50" s="284"/>
      <c r="BJ50" s="285"/>
      <c r="BK50" s="4"/>
    </row>
    <row r="51" spans="1:63" ht="15" customHeight="1">
      <c r="A51" s="1"/>
      <c r="B51" s="241"/>
      <c r="C51" s="242"/>
      <c r="D51" s="242"/>
      <c r="E51" s="242"/>
      <c r="F51" s="242"/>
      <c r="G51" s="243"/>
      <c r="H51" s="241"/>
      <c r="I51" s="242"/>
      <c r="J51" s="242"/>
      <c r="K51" s="242"/>
      <c r="L51" s="242"/>
      <c r="M51" s="242"/>
      <c r="N51" s="243"/>
      <c r="O51" s="241"/>
      <c r="P51" s="242"/>
      <c r="Q51" s="242"/>
      <c r="R51" s="242"/>
      <c r="S51" s="279"/>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1"/>
      <c r="AX51" s="282"/>
      <c r="AY51" s="282"/>
      <c r="AZ51" s="282"/>
      <c r="BA51" s="282"/>
      <c r="BB51" s="282"/>
      <c r="BC51" s="283"/>
      <c r="BD51" s="286"/>
      <c r="BE51" s="282"/>
      <c r="BF51" s="282"/>
      <c r="BG51" s="282"/>
      <c r="BH51" s="282"/>
      <c r="BI51" s="282"/>
      <c r="BJ51" s="283"/>
      <c r="BK51" s="4"/>
    </row>
    <row r="52" spans="1:63" ht="15" customHeight="1">
      <c r="A52" s="1"/>
      <c r="B52" s="244"/>
      <c r="C52" s="245"/>
      <c r="D52" s="245"/>
      <c r="E52" s="245"/>
      <c r="F52" s="245"/>
      <c r="G52" s="246"/>
      <c r="H52" s="244"/>
      <c r="I52" s="245"/>
      <c r="J52" s="245"/>
      <c r="K52" s="245"/>
      <c r="L52" s="245"/>
      <c r="M52" s="245"/>
      <c r="N52" s="246"/>
      <c r="O52" s="244"/>
      <c r="P52" s="245"/>
      <c r="Q52" s="245"/>
      <c r="R52" s="245"/>
      <c r="S52" s="288"/>
      <c r="T52" s="289"/>
      <c r="U52" s="289"/>
      <c r="V52" s="289"/>
      <c r="W52" s="289"/>
      <c r="X52" s="289"/>
      <c r="Y52" s="289"/>
      <c r="Z52" s="289"/>
      <c r="AA52" s="289"/>
      <c r="AB52" s="289"/>
      <c r="AC52" s="289"/>
      <c r="AD52" s="289"/>
      <c r="AE52" s="289"/>
      <c r="AF52" s="289"/>
      <c r="AG52" s="289"/>
      <c r="AH52" s="289"/>
      <c r="AI52" s="289"/>
      <c r="AJ52" s="289"/>
      <c r="AK52" s="289"/>
      <c r="AL52" s="289"/>
      <c r="AM52" s="289"/>
      <c r="AN52" s="289"/>
      <c r="AO52" s="289"/>
      <c r="AP52" s="289"/>
      <c r="AQ52" s="289"/>
      <c r="AR52" s="289"/>
      <c r="AS52" s="289"/>
      <c r="AT52" s="289"/>
      <c r="AU52" s="289"/>
      <c r="AV52" s="289"/>
      <c r="AW52" s="290"/>
      <c r="AX52" s="284"/>
      <c r="AY52" s="284"/>
      <c r="AZ52" s="284"/>
      <c r="BA52" s="284"/>
      <c r="BB52" s="284"/>
      <c r="BC52" s="285"/>
      <c r="BD52" s="287"/>
      <c r="BE52" s="284"/>
      <c r="BF52" s="284"/>
      <c r="BG52" s="284"/>
      <c r="BH52" s="284"/>
      <c r="BI52" s="284"/>
      <c r="BJ52" s="285"/>
      <c r="BK52" s="4"/>
    </row>
    <row r="53" spans="1:63" ht="15" customHeight="1">
      <c r="A53" s="1"/>
      <c r="B53" s="241"/>
      <c r="C53" s="242"/>
      <c r="D53" s="242"/>
      <c r="E53" s="242"/>
      <c r="F53" s="242"/>
      <c r="G53" s="243"/>
      <c r="H53" s="241"/>
      <c r="I53" s="242"/>
      <c r="J53" s="242"/>
      <c r="K53" s="242"/>
      <c r="L53" s="242"/>
      <c r="M53" s="242"/>
      <c r="N53" s="243"/>
      <c r="O53" s="241"/>
      <c r="P53" s="242"/>
      <c r="Q53" s="242"/>
      <c r="R53" s="242"/>
      <c r="S53" s="279"/>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1"/>
      <c r="AX53" s="282"/>
      <c r="AY53" s="282"/>
      <c r="AZ53" s="282"/>
      <c r="BA53" s="282"/>
      <c r="BB53" s="282"/>
      <c r="BC53" s="283"/>
      <c r="BD53" s="286"/>
      <c r="BE53" s="282"/>
      <c r="BF53" s="282"/>
      <c r="BG53" s="282"/>
      <c r="BH53" s="282"/>
      <c r="BI53" s="282"/>
      <c r="BJ53" s="283"/>
      <c r="BK53" s="4"/>
    </row>
    <row r="54" spans="1:63" ht="15" customHeight="1">
      <c r="A54" s="1"/>
      <c r="B54" s="244"/>
      <c r="C54" s="245"/>
      <c r="D54" s="245"/>
      <c r="E54" s="245"/>
      <c r="F54" s="245"/>
      <c r="G54" s="246"/>
      <c r="H54" s="244"/>
      <c r="I54" s="245"/>
      <c r="J54" s="245"/>
      <c r="K54" s="245"/>
      <c r="L54" s="245"/>
      <c r="M54" s="245"/>
      <c r="N54" s="246"/>
      <c r="O54" s="244"/>
      <c r="P54" s="245"/>
      <c r="Q54" s="245"/>
      <c r="R54" s="245"/>
      <c r="S54" s="288"/>
      <c r="T54" s="289"/>
      <c r="U54" s="289"/>
      <c r="V54" s="289"/>
      <c r="W54" s="289"/>
      <c r="X54" s="289"/>
      <c r="Y54" s="289"/>
      <c r="Z54" s="289"/>
      <c r="AA54" s="289"/>
      <c r="AB54" s="289"/>
      <c r="AC54" s="289"/>
      <c r="AD54" s="289"/>
      <c r="AE54" s="289"/>
      <c r="AF54" s="289"/>
      <c r="AG54" s="289"/>
      <c r="AH54" s="289"/>
      <c r="AI54" s="289"/>
      <c r="AJ54" s="289"/>
      <c r="AK54" s="289"/>
      <c r="AL54" s="289"/>
      <c r="AM54" s="289"/>
      <c r="AN54" s="289"/>
      <c r="AO54" s="289"/>
      <c r="AP54" s="289"/>
      <c r="AQ54" s="289"/>
      <c r="AR54" s="289"/>
      <c r="AS54" s="289"/>
      <c r="AT54" s="289"/>
      <c r="AU54" s="289"/>
      <c r="AV54" s="289"/>
      <c r="AW54" s="290"/>
      <c r="AX54" s="284"/>
      <c r="AY54" s="284"/>
      <c r="AZ54" s="284"/>
      <c r="BA54" s="284"/>
      <c r="BB54" s="284"/>
      <c r="BC54" s="285"/>
      <c r="BD54" s="287"/>
      <c r="BE54" s="284"/>
      <c r="BF54" s="284"/>
      <c r="BG54" s="284"/>
      <c r="BH54" s="284"/>
      <c r="BI54" s="284"/>
      <c r="BJ54" s="285"/>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2D0DF-366D-44B9-BD37-4CFBECA1014F}">
  <dimension ref="A1:BK55"/>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75</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s="48" t="s">
        <v>79</v>
      </c>
      <c r="C7" s="49"/>
      <c r="D7" s="48" t="s">
        <v>76</v>
      </c>
      <c r="E7" s="50"/>
      <c r="F7" s="50"/>
      <c r="G7" s="50"/>
      <c r="H7" s="50"/>
      <c r="I7" s="50"/>
      <c r="J7" s="50"/>
      <c r="K7" s="50"/>
      <c r="L7" s="49"/>
      <c r="M7" s="48" t="s">
        <v>77</v>
      </c>
      <c r="N7" s="50"/>
      <c r="O7" s="50"/>
      <c r="P7" s="50"/>
      <c r="Q7" s="50"/>
      <c r="R7" s="50"/>
      <c r="S7" s="50"/>
      <c r="T7" s="50"/>
      <c r="U7" s="50"/>
      <c r="V7" s="50"/>
      <c r="W7" s="50"/>
      <c r="X7" s="50"/>
      <c r="Y7" s="50"/>
      <c r="Z7" s="50"/>
      <c r="AA7" s="49"/>
      <c r="AB7" s="48" t="s">
        <v>78</v>
      </c>
      <c r="AC7" s="50"/>
      <c r="AD7" s="50"/>
      <c r="AE7" s="50"/>
      <c r="AF7" s="50"/>
      <c r="AG7" s="50"/>
      <c r="AH7" s="50"/>
      <c r="AI7" s="50"/>
      <c r="AJ7" s="50"/>
      <c r="AK7" s="50"/>
      <c r="AL7" s="50"/>
      <c r="AM7" s="50"/>
      <c r="AN7" s="50"/>
      <c r="AO7" s="50"/>
      <c r="AP7" s="50"/>
      <c r="AQ7" s="51"/>
      <c r="AR7" s="51"/>
      <c r="AS7" s="51"/>
      <c r="AT7" s="50"/>
      <c r="AU7" s="50"/>
      <c r="AV7" s="49"/>
      <c r="AW7" s="48" t="s">
        <v>82</v>
      </c>
      <c r="AX7" s="50"/>
      <c r="AY7" s="50"/>
      <c r="AZ7" s="50"/>
      <c r="BA7" s="50"/>
      <c r="BB7" s="50"/>
      <c r="BC7" s="50"/>
      <c r="BD7" s="50"/>
      <c r="BE7" s="50"/>
      <c r="BF7" s="50"/>
      <c r="BG7" s="50"/>
      <c r="BH7" s="50"/>
      <c r="BI7" s="50"/>
      <c r="BJ7" s="49"/>
      <c r="BK7" s="4"/>
    </row>
    <row r="8" spans="1:63" ht="15" customHeight="1">
      <c r="A8" s="1"/>
      <c r="B8" s="52"/>
      <c r="C8" s="53"/>
      <c r="D8" s="54" t="s">
        <v>81</v>
      </c>
      <c r="E8" s="55"/>
      <c r="F8" s="55"/>
      <c r="G8" s="55"/>
      <c r="H8" s="55"/>
      <c r="I8" s="55"/>
      <c r="J8" s="55"/>
      <c r="K8" s="55"/>
      <c r="L8" s="56"/>
      <c r="M8" s="61" t="s">
        <v>80</v>
      </c>
      <c r="N8" s="57"/>
      <c r="O8" s="57"/>
      <c r="P8" s="57"/>
      <c r="Q8" s="57"/>
      <c r="R8" s="57"/>
      <c r="S8" s="57"/>
      <c r="T8" s="57"/>
      <c r="U8" s="57"/>
      <c r="V8" s="57"/>
      <c r="W8" s="57"/>
      <c r="X8" s="57"/>
      <c r="Y8" s="57"/>
      <c r="Z8" s="57"/>
      <c r="AA8" s="58"/>
      <c r="AB8" s="59" t="s">
        <v>85</v>
      </c>
      <c r="AC8" s="57"/>
      <c r="AD8" s="57"/>
      <c r="AE8" s="57"/>
      <c r="AF8" s="57"/>
      <c r="AG8" s="57"/>
      <c r="AH8" s="57"/>
      <c r="AI8" s="57"/>
      <c r="AJ8" s="57"/>
      <c r="AK8" s="57"/>
      <c r="AL8" s="57"/>
      <c r="AM8" s="57"/>
      <c r="AN8" s="57"/>
      <c r="AO8" s="57"/>
      <c r="AP8" s="57"/>
      <c r="AQ8" s="60"/>
      <c r="AR8" s="60"/>
      <c r="AS8" s="60"/>
      <c r="AT8" s="57"/>
      <c r="AU8" s="57"/>
      <c r="AV8" s="58"/>
      <c r="AW8" s="59"/>
      <c r="AX8" s="57"/>
      <c r="AY8" s="57"/>
      <c r="AZ8" s="57"/>
      <c r="BA8" s="57"/>
      <c r="BB8" s="57"/>
      <c r="BC8" s="57"/>
      <c r="BD8" s="57"/>
      <c r="BE8" s="57"/>
      <c r="BF8" s="57"/>
      <c r="BG8" s="57"/>
      <c r="BH8" s="57"/>
      <c r="BI8" s="57"/>
      <c r="BJ8" s="58"/>
      <c r="BK8" s="4"/>
    </row>
    <row r="9" spans="1:63" ht="15" customHeight="1">
      <c r="A9" s="1"/>
      <c r="B9" s="52"/>
      <c r="C9" s="53"/>
      <c r="D9" s="54"/>
      <c r="E9" s="55"/>
      <c r="F9" s="55"/>
      <c r="G9" s="55"/>
      <c r="H9" s="55"/>
      <c r="I9" s="55"/>
      <c r="J9" s="55"/>
      <c r="K9" s="55"/>
      <c r="L9" s="56"/>
      <c r="M9" s="61"/>
      <c r="N9" s="57"/>
      <c r="O9" s="57"/>
      <c r="P9" s="57"/>
      <c r="Q9" s="57"/>
      <c r="R9" s="57"/>
      <c r="S9" s="57"/>
      <c r="T9" s="57"/>
      <c r="U9" s="57"/>
      <c r="V9" s="57"/>
      <c r="W9" s="57"/>
      <c r="X9" s="57"/>
      <c r="Y9" s="57"/>
      <c r="Z9" s="57"/>
      <c r="AA9" s="58"/>
      <c r="AB9" s="59"/>
      <c r="AC9" s="57"/>
      <c r="AD9" s="57"/>
      <c r="AE9" s="57"/>
      <c r="AF9" s="57"/>
      <c r="AG9" s="57"/>
      <c r="AH9" s="57"/>
      <c r="AI9" s="57"/>
      <c r="AJ9" s="57"/>
      <c r="AK9" s="57"/>
      <c r="AL9" s="57"/>
      <c r="AM9" s="57"/>
      <c r="AN9" s="57"/>
      <c r="AO9" s="57"/>
      <c r="AP9" s="57"/>
      <c r="AQ9" s="60"/>
      <c r="AR9" s="60"/>
      <c r="AS9" s="60"/>
      <c r="AT9" s="57"/>
      <c r="AU9" s="57"/>
      <c r="AV9" s="58"/>
      <c r="AW9" s="59"/>
      <c r="AX9" s="57"/>
      <c r="AY9" s="57"/>
      <c r="AZ9" s="57"/>
      <c r="BA9" s="57"/>
      <c r="BB9" s="57"/>
      <c r="BC9" s="57"/>
      <c r="BD9" s="57"/>
      <c r="BE9" s="57"/>
      <c r="BF9" s="57"/>
      <c r="BG9" s="57"/>
      <c r="BH9" s="57"/>
      <c r="BI9" s="57"/>
      <c r="BJ9" s="58"/>
      <c r="BK9" s="4"/>
    </row>
    <row r="10" spans="1:63" ht="15" customHeight="1">
      <c r="A10" s="1"/>
      <c r="B10" s="52"/>
      <c r="C10" s="53"/>
      <c r="D10" s="54"/>
      <c r="E10" s="55"/>
      <c r="F10" s="55"/>
      <c r="G10" s="55"/>
      <c r="H10" s="55"/>
      <c r="I10" s="55"/>
      <c r="J10" s="55"/>
      <c r="K10" s="55"/>
      <c r="L10" s="56"/>
      <c r="M10" s="61"/>
      <c r="N10" s="57"/>
      <c r="O10" s="57"/>
      <c r="P10" s="57"/>
      <c r="Q10" s="57"/>
      <c r="R10" s="57"/>
      <c r="S10" s="57"/>
      <c r="T10" s="57"/>
      <c r="U10" s="57"/>
      <c r="V10" s="57"/>
      <c r="W10" s="57"/>
      <c r="X10" s="57"/>
      <c r="Y10" s="57"/>
      <c r="Z10" s="57"/>
      <c r="AA10" s="58"/>
      <c r="AB10" s="59"/>
      <c r="AC10" s="57"/>
      <c r="AD10" s="57"/>
      <c r="AE10" s="57"/>
      <c r="AF10" s="57"/>
      <c r="AG10" s="57"/>
      <c r="AH10" s="57"/>
      <c r="AI10" s="57"/>
      <c r="AJ10" s="57"/>
      <c r="AK10" s="57"/>
      <c r="AL10" s="57"/>
      <c r="AM10" s="57"/>
      <c r="AN10" s="57"/>
      <c r="AO10" s="57"/>
      <c r="AP10" s="57"/>
      <c r="AQ10" s="60"/>
      <c r="AR10" s="60"/>
      <c r="AS10" s="60"/>
      <c r="AT10" s="57"/>
      <c r="AU10" s="57"/>
      <c r="AV10" s="58"/>
      <c r="AW10" s="59"/>
      <c r="AX10" s="57"/>
      <c r="AY10" s="57"/>
      <c r="AZ10" s="57"/>
      <c r="BA10" s="57"/>
      <c r="BB10" s="57"/>
      <c r="BC10" s="57"/>
      <c r="BD10" s="57"/>
      <c r="BE10" s="57"/>
      <c r="BF10" s="57"/>
      <c r="BG10" s="57"/>
      <c r="BH10" s="57"/>
      <c r="BI10" s="57"/>
      <c r="BJ10" s="58"/>
      <c r="BK10" s="4"/>
    </row>
    <row r="11" spans="1:63" ht="15" customHeight="1">
      <c r="A11" s="1"/>
      <c r="B11" s="52"/>
      <c r="C11" s="53"/>
      <c r="D11" s="54"/>
      <c r="E11" s="55"/>
      <c r="F11" s="55"/>
      <c r="G11" s="55"/>
      <c r="H11" s="55"/>
      <c r="I11" s="55"/>
      <c r="J11" s="55"/>
      <c r="K11" s="55"/>
      <c r="L11" s="56"/>
      <c r="M11" s="61"/>
      <c r="N11" s="57"/>
      <c r="O11" s="57"/>
      <c r="P11" s="57"/>
      <c r="Q11" s="57"/>
      <c r="R11" s="57"/>
      <c r="S11" s="57"/>
      <c r="T11" s="57"/>
      <c r="U11" s="57"/>
      <c r="V11" s="57"/>
      <c r="W11" s="57"/>
      <c r="X11" s="57"/>
      <c r="Y11" s="57"/>
      <c r="Z11" s="57"/>
      <c r="AA11" s="58"/>
      <c r="AB11" s="59"/>
      <c r="AC11" s="57"/>
      <c r="AD11" s="57"/>
      <c r="AE11" s="57"/>
      <c r="AF11" s="57"/>
      <c r="AG11" s="57"/>
      <c r="AH11" s="57"/>
      <c r="AI11" s="57"/>
      <c r="AJ11" s="57"/>
      <c r="AK11" s="57"/>
      <c r="AL11" s="57"/>
      <c r="AM11" s="57"/>
      <c r="AN11" s="57"/>
      <c r="AO11" s="57"/>
      <c r="AP11" s="57"/>
      <c r="AQ11" s="60"/>
      <c r="AR11" s="60"/>
      <c r="AS11" s="60"/>
      <c r="AT11" s="57"/>
      <c r="AU11" s="57"/>
      <c r="AV11" s="58"/>
      <c r="AW11" s="59"/>
      <c r="AX11" s="57"/>
      <c r="AY11" s="57"/>
      <c r="AZ11" s="57"/>
      <c r="BA11" s="57"/>
      <c r="BB11" s="57"/>
      <c r="BC11" s="57"/>
      <c r="BD11" s="57"/>
      <c r="BE11" s="57"/>
      <c r="BF11" s="57"/>
      <c r="BG11" s="57"/>
      <c r="BH11" s="57"/>
      <c r="BI11" s="57"/>
      <c r="BJ11" s="58"/>
      <c r="BK11" s="4"/>
    </row>
    <row r="12" spans="1:63" ht="15" customHeight="1">
      <c r="A12" s="1"/>
      <c r="B12" s="52"/>
      <c r="C12" s="53"/>
      <c r="D12" s="54"/>
      <c r="E12" s="55"/>
      <c r="F12" s="55"/>
      <c r="G12" s="55"/>
      <c r="H12" s="55"/>
      <c r="I12" s="55"/>
      <c r="J12" s="55"/>
      <c r="K12" s="55"/>
      <c r="L12" s="56"/>
      <c r="M12" s="61"/>
      <c r="N12" s="57"/>
      <c r="O12" s="57"/>
      <c r="P12" s="57"/>
      <c r="Q12" s="57"/>
      <c r="R12" s="57"/>
      <c r="S12" s="57"/>
      <c r="T12" s="57"/>
      <c r="U12" s="57"/>
      <c r="V12" s="57"/>
      <c r="W12" s="57"/>
      <c r="X12" s="57"/>
      <c r="Y12" s="57"/>
      <c r="Z12" s="57"/>
      <c r="AA12" s="58"/>
      <c r="AB12" s="59"/>
      <c r="AC12" s="57"/>
      <c r="AD12" s="57"/>
      <c r="AE12" s="57"/>
      <c r="AF12" s="57"/>
      <c r="AG12" s="57"/>
      <c r="AH12" s="57"/>
      <c r="AI12" s="57"/>
      <c r="AJ12" s="57"/>
      <c r="AK12" s="57"/>
      <c r="AL12" s="57"/>
      <c r="AM12" s="57"/>
      <c r="AN12" s="57"/>
      <c r="AO12" s="57"/>
      <c r="AP12" s="57"/>
      <c r="AQ12" s="60"/>
      <c r="AR12" s="60"/>
      <c r="AS12" s="60"/>
      <c r="AT12" s="57"/>
      <c r="AU12" s="57"/>
      <c r="AV12" s="58"/>
      <c r="AW12" s="59"/>
      <c r="AX12" s="57"/>
      <c r="AY12" s="57"/>
      <c r="AZ12" s="57"/>
      <c r="BA12" s="57"/>
      <c r="BB12" s="57"/>
      <c r="BC12" s="57"/>
      <c r="BD12" s="57"/>
      <c r="BE12" s="57"/>
      <c r="BF12" s="57"/>
      <c r="BG12" s="57"/>
      <c r="BH12" s="57"/>
      <c r="BI12" s="57"/>
      <c r="BJ12" s="58"/>
      <c r="BK12" s="4"/>
    </row>
    <row r="13" spans="1:63" ht="15" customHeight="1">
      <c r="A13" s="1"/>
      <c r="B13" s="52"/>
      <c r="C13" s="53"/>
      <c r="D13" s="54"/>
      <c r="E13" s="55"/>
      <c r="F13" s="55"/>
      <c r="G13" s="55"/>
      <c r="H13" s="55"/>
      <c r="I13" s="55"/>
      <c r="J13" s="55"/>
      <c r="K13" s="55"/>
      <c r="L13" s="56"/>
      <c r="M13" s="61"/>
      <c r="N13" s="57"/>
      <c r="O13" s="57"/>
      <c r="P13" s="57"/>
      <c r="Q13" s="57"/>
      <c r="R13" s="57"/>
      <c r="S13" s="57"/>
      <c r="T13" s="57"/>
      <c r="U13" s="57"/>
      <c r="V13" s="57"/>
      <c r="W13" s="57"/>
      <c r="X13" s="57"/>
      <c r="Y13" s="57"/>
      <c r="Z13" s="57"/>
      <c r="AA13" s="58"/>
      <c r="AB13" s="59"/>
      <c r="AC13" s="57"/>
      <c r="AD13" s="57"/>
      <c r="AE13" s="57"/>
      <c r="AF13" s="57"/>
      <c r="AG13" s="57"/>
      <c r="AH13" s="57"/>
      <c r="AI13" s="57"/>
      <c r="AJ13" s="57"/>
      <c r="AK13" s="57"/>
      <c r="AL13" s="57"/>
      <c r="AM13" s="57"/>
      <c r="AN13" s="57"/>
      <c r="AO13" s="57"/>
      <c r="AP13" s="57"/>
      <c r="AQ13" s="60"/>
      <c r="AR13" s="60"/>
      <c r="AS13" s="60"/>
      <c r="AT13" s="57"/>
      <c r="AU13" s="57"/>
      <c r="AV13" s="58"/>
      <c r="AW13" s="59"/>
      <c r="AX13" s="57"/>
      <c r="AY13" s="57"/>
      <c r="AZ13" s="57"/>
      <c r="BA13" s="57"/>
      <c r="BB13" s="57"/>
      <c r="BC13" s="57"/>
      <c r="BD13" s="57"/>
      <c r="BE13" s="57"/>
      <c r="BF13" s="57"/>
      <c r="BG13" s="57"/>
      <c r="BH13" s="57"/>
      <c r="BI13" s="57"/>
      <c r="BJ13" s="58"/>
      <c r="BK13" s="4"/>
    </row>
    <row r="14" spans="1:63" ht="15" customHeight="1">
      <c r="A14" s="1"/>
      <c r="B14" s="52"/>
      <c r="C14" s="53"/>
      <c r="D14" s="54"/>
      <c r="E14" s="55"/>
      <c r="F14" s="55"/>
      <c r="G14" s="55"/>
      <c r="H14" s="55"/>
      <c r="I14" s="55"/>
      <c r="J14" s="55"/>
      <c r="K14" s="55"/>
      <c r="L14" s="56"/>
      <c r="M14" s="61"/>
      <c r="N14" s="57"/>
      <c r="O14" s="57"/>
      <c r="P14" s="57"/>
      <c r="Q14" s="57"/>
      <c r="R14" s="57"/>
      <c r="S14" s="57"/>
      <c r="T14" s="57"/>
      <c r="U14" s="57"/>
      <c r="V14" s="57"/>
      <c r="W14" s="57"/>
      <c r="X14" s="57"/>
      <c r="Y14" s="57"/>
      <c r="Z14" s="57"/>
      <c r="AA14" s="58"/>
      <c r="AB14" s="59"/>
      <c r="AC14" s="57"/>
      <c r="AD14" s="57"/>
      <c r="AE14" s="57"/>
      <c r="AF14" s="57"/>
      <c r="AG14" s="57"/>
      <c r="AH14" s="57"/>
      <c r="AI14" s="57"/>
      <c r="AJ14" s="57"/>
      <c r="AK14" s="57"/>
      <c r="AL14" s="57"/>
      <c r="AM14" s="57"/>
      <c r="AN14" s="57"/>
      <c r="AO14" s="57"/>
      <c r="AP14" s="57"/>
      <c r="AQ14" s="60"/>
      <c r="AR14" s="60"/>
      <c r="AS14" s="60"/>
      <c r="AT14" s="57"/>
      <c r="AU14" s="57"/>
      <c r="AV14" s="58"/>
      <c r="AW14" s="59"/>
      <c r="AX14" s="57"/>
      <c r="AY14" s="57"/>
      <c r="AZ14" s="57"/>
      <c r="BA14" s="57"/>
      <c r="BB14" s="57"/>
      <c r="BC14" s="57"/>
      <c r="BD14" s="57"/>
      <c r="BE14" s="57"/>
      <c r="BF14" s="57"/>
      <c r="BG14" s="57"/>
      <c r="BH14" s="57"/>
      <c r="BI14" s="57"/>
      <c r="BJ14" s="58"/>
      <c r="BK14" s="4"/>
    </row>
    <row r="15" spans="1:63" ht="15" customHeight="1">
      <c r="A15" s="1"/>
      <c r="B15" s="52"/>
      <c r="C15" s="53"/>
      <c r="D15" s="54"/>
      <c r="E15" s="55"/>
      <c r="F15" s="55"/>
      <c r="G15" s="55"/>
      <c r="H15" s="55"/>
      <c r="I15" s="55"/>
      <c r="J15" s="55"/>
      <c r="K15" s="55"/>
      <c r="L15" s="56"/>
      <c r="M15" s="61"/>
      <c r="N15" s="57"/>
      <c r="O15" s="57"/>
      <c r="P15" s="57"/>
      <c r="Q15" s="57"/>
      <c r="R15" s="57"/>
      <c r="S15" s="57"/>
      <c r="T15" s="57"/>
      <c r="U15" s="57"/>
      <c r="V15" s="57"/>
      <c r="W15" s="57"/>
      <c r="X15" s="57"/>
      <c r="Y15" s="57"/>
      <c r="Z15" s="57"/>
      <c r="AA15" s="58"/>
      <c r="AB15" s="59"/>
      <c r="AC15" s="57"/>
      <c r="AD15" s="57"/>
      <c r="AE15" s="57"/>
      <c r="AF15" s="57"/>
      <c r="AG15" s="57"/>
      <c r="AH15" s="57"/>
      <c r="AI15" s="57"/>
      <c r="AJ15" s="57"/>
      <c r="AK15" s="57"/>
      <c r="AL15" s="57"/>
      <c r="AM15" s="57"/>
      <c r="AN15" s="57"/>
      <c r="AO15" s="57"/>
      <c r="AP15" s="57"/>
      <c r="AQ15" s="60"/>
      <c r="AR15" s="60"/>
      <c r="AS15" s="60"/>
      <c r="AT15" s="57"/>
      <c r="AU15" s="57"/>
      <c r="AV15" s="58"/>
      <c r="AW15" s="59"/>
      <c r="AX15" s="57"/>
      <c r="AY15" s="57"/>
      <c r="AZ15" s="57"/>
      <c r="BA15" s="57"/>
      <c r="BB15" s="57"/>
      <c r="BC15" s="57"/>
      <c r="BD15" s="57"/>
      <c r="BE15" s="57"/>
      <c r="BF15" s="57"/>
      <c r="BG15" s="57"/>
      <c r="BH15" s="57"/>
      <c r="BI15" s="57"/>
      <c r="BJ15" s="58"/>
      <c r="BK15" s="4"/>
    </row>
    <row r="16" spans="1:63" ht="15" customHeight="1">
      <c r="A16" s="1"/>
      <c r="B16" s="52"/>
      <c r="C16" s="53"/>
      <c r="D16" s="54"/>
      <c r="E16" s="55"/>
      <c r="F16" s="55"/>
      <c r="G16" s="55"/>
      <c r="H16" s="55"/>
      <c r="I16" s="55"/>
      <c r="J16" s="55"/>
      <c r="K16" s="55"/>
      <c r="L16" s="56"/>
      <c r="M16" s="61"/>
      <c r="N16" s="57"/>
      <c r="O16" s="57"/>
      <c r="P16" s="57"/>
      <c r="Q16" s="57"/>
      <c r="R16" s="57"/>
      <c r="S16" s="57"/>
      <c r="T16" s="57"/>
      <c r="U16" s="57"/>
      <c r="V16" s="57"/>
      <c r="W16" s="57"/>
      <c r="X16" s="57"/>
      <c r="Y16" s="57"/>
      <c r="Z16" s="57"/>
      <c r="AA16" s="58"/>
      <c r="AB16" s="59"/>
      <c r="AC16" s="57"/>
      <c r="AD16" s="57"/>
      <c r="AE16" s="57"/>
      <c r="AF16" s="57"/>
      <c r="AG16" s="57"/>
      <c r="AH16" s="57"/>
      <c r="AI16" s="57"/>
      <c r="AJ16" s="57"/>
      <c r="AK16" s="57"/>
      <c r="AL16" s="57"/>
      <c r="AM16" s="57"/>
      <c r="AN16" s="57"/>
      <c r="AO16" s="57"/>
      <c r="AP16" s="57"/>
      <c r="AQ16" s="60"/>
      <c r="AR16" s="60"/>
      <c r="AS16" s="60"/>
      <c r="AT16" s="57"/>
      <c r="AU16" s="57"/>
      <c r="AV16" s="58"/>
      <c r="AW16" s="59"/>
      <c r="AX16" s="57"/>
      <c r="AY16" s="57"/>
      <c r="AZ16" s="57"/>
      <c r="BA16" s="57"/>
      <c r="BB16" s="57"/>
      <c r="BC16" s="57"/>
      <c r="BD16" s="57"/>
      <c r="BE16" s="57"/>
      <c r="BF16" s="57"/>
      <c r="BG16" s="57"/>
      <c r="BH16" s="57"/>
      <c r="BI16" s="57"/>
      <c r="BJ16" s="58"/>
      <c r="BK16" s="4"/>
    </row>
    <row r="17" spans="1:63" ht="15" customHeight="1">
      <c r="A17" s="1"/>
      <c r="B17" s="52"/>
      <c r="C17" s="53"/>
      <c r="D17" s="54"/>
      <c r="E17" s="55"/>
      <c r="F17" s="55"/>
      <c r="G17" s="55"/>
      <c r="H17" s="55"/>
      <c r="I17" s="55"/>
      <c r="J17" s="55"/>
      <c r="K17" s="55"/>
      <c r="L17" s="56"/>
      <c r="M17" s="61"/>
      <c r="N17" s="57"/>
      <c r="O17" s="57"/>
      <c r="P17" s="57"/>
      <c r="Q17" s="57"/>
      <c r="R17" s="57"/>
      <c r="S17" s="57"/>
      <c r="T17" s="57"/>
      <c r="U17" s="57"/>
      <c r="V17" s="57"/>
      <c r="W17" s="57"/>
      <c r="X17" s="57"/>
      <c r="Y17" s="57"/>
      <c r="Z17" s="57"/>
      <c r="AA17" s="58"/>
      <c r="AB17" s="59"/>
      <c r="AC17" s="57"/>
      <c r="AD17" s="57"/>
      <c r="AE17" s="57"/>
      <c r="AF17" s="57"/>
      <c r="AG17" s="57"/>
      <c r="AH17" s="57"/>
      <c r="AI17" s="57"/>
      <c r="AJ17" s="57"/>
      <c r="AK17" s="57"/>
      <c r="AL17" s="57"/>
      <c r="AM17" s="57"/>
      <c r="AN17" s="57"/>
      <c r="AO17" s="57"/>
      <c r="AP17" s="57"/>
      <c r="AQ17" s="60"/>
      <c r="AR17" s="60"/>
      <c r="AS17" s="60"/>
      <c r="AT17" s="57"/>
      <c r="AU17" s="57"/>
      <c r="AV17" s="58"/>
      <c r="AW17" s="59"/>
      <c r="AX17" s="57"/>
      <c r="AY17" s="57"/>
      <c r="AZ17" s="57"/>
      <c r="BA17" s="57"/>
      <c r="BB17" s="57"/>
      <c r="BC17" s="57"/>
      <c r="BD17" s="57"/>
      <c r="BE17" s="57"/>
      <c r="BF17" s="57"/>
      <c r="BG17" s="57"/>
      <c r="BH17" s="57"/>
      <c r="BI17" s="57"/>
      <c r="BJ17" s="58"/>
      <c r="BK17" s="4"/>
    </row>
    <row r="18" spans="1:63" ht="15" customHeight="1">
      <c r="A18" s="1"/>
      <c r="B18" s="52"/>
      <c r="C18" s="53"/>
      <c r="D18" s="54"/>
      <c r="E18" s="55"/>
      <c r="F18" s="55"/>
      <c r="G18" s="55"/>
      <c r="H18" s="55"/>
      <c r="I18" s="55"/>
      <c r="J18" s="55"/>
      <c r="K18" s="55"/>
      <c r="L18" s="56"/>
      <c r="M18" s="61"/>
      <c r="N18" s="57"/>
      <c r="O18" s="57"/>
      <c r="P18" s="57"/>
      <c r="Q18" s="57"/>
      <c r="R18" s="57"/>
      <c r="S18" s="57"/>
      <c r="T18" s="57"/>
      <c r="U18" s="57"/>
      <c r="V18" s="57"/>
      <c r="W18" s="57"/>
      <c r="X18" s="57"/>
      <c r="Y18" s="57"/>
      <c r="Z18" s="57"/>
      <c r="AA18" s="58"/>
      <c r="AB18" s="59"/>
      <c r="AC18" s="57"/>
      <c r="AD18" s="57"/>
      <c r="AE18" s="57"/>
      <c r="AF18" s="57"/>
      <c r="AG18" s="57"/>
      <c r="AH18" s="57"/>
      <c r="AI18" s="57"/>
      <c r="AJ18" s="57"/>
      <c r="AK18" s="57"/>
      <c r="AL18" s="57"/>
      <c r="AM18" s="57"/>
      <c r="AN18" s="57"/>
      <c r="AO18" s="57"/>
      <c r="AP18" s="57"/>
      <c r="AQ18" s="60"/>
      <c r="AR18" s="60"/>
      <c r="AS18" s="60"/>
      <c r="AT18" s="57"/>
      <c r="AU18" s="57"/>
      <c r="AV18" s="58"/>
      <c r="AW18" s="59"/>
      <c r="AX18" s="57"/>
      <c r="AY18" s="57"/>
      <c r="AZ18" s="57"/>
      <c r="BA18" s="57"/>
      <c r="BB18" s="57"/>
      <c r="BC18" s="57"/>
      <c r="BD18" s="57"/>
      <c r="BE18" s="57"/>
      <c r="BF18" s="57"/>
      <c r="BG18" s="57"/>
      <c r="BH18" s="57"/>
      <c r="BI18" s="57"/>
      <c r="BJ18" s="58"/>
      <c r="BK18" s="4"/>
    </row>
    <row r="19" spans="1:63" ht="15" customHeight="1">
      <c r="A19" s="1"/>
      <c r="B19" s="52"/>
      <c r="C19" s="53"/>
      <c r="D19" s="54"/>
      <c r="E19" s="55"/>
      <c r="F19" s="55"/>
      <c r="G19" s="55"/>
      <c r="H19" s="55"/>
      <c r="I19" s="55"/>
      <c r="J19" s="55"/>
      <c r="K19" s="55"/>
      <c r="L19" s="56"/>
      <c r="M19" s="61"/>
      <c r="N19" s="57"/>
      <c r="O19" s="57"/>
      <c r="P19" s="57"/>
      <c r="Q19" s="57"/>
      <c r="R19" s="57"/>
      <c r="S19" s="57"/>
      <c r="T19" s="57"/>
      <c r="U19" s="57"/>
      <c r="V19" s="57"/>
      <c r="W19" s="57"/>
      <c r="X19" s="57"/>
      <c r="Y19" s="57"/>
      <c r="Z19" s="57"/>
      <c r="AA19" s="58"/>
      <c r="AB19" s="59"/>
      <c r="AC19" s="57"/>
      <c r="AD19" s="57"/>
      <c r="AE19" s="57"/>
      <c r="AF19" s="57"/>
      <c r="AG19" s="57"/>
      <c r="AH19" s="57"/>
      <c r="AI19" s="57"/>
      <c r="AJ19" s="57"/>
      <c r="AK19" s="57"/>
      <c r="AL19" s="57"/>
      <c r="AM19" s="57"/>
      <c r="AN19" s="57"/>
      <c r="AO19" s="57"/>
      <c r="AP19" s="57"/>
      <c r="AQ19" s="60"/>
      <c r="AR19" s="60"/>
      <c r="AS19" s="60"/>
      <c r="AT19" s="57"/>
      <c r="AU19" s="57"/>
      <c r="AV19" s="58"/>
      <c r="AW19" s="59"/>
      <c r="AX19" s="57"/>
      <c r="AY19" s="57"/>
      <c r="AZ19" s="57"/>
      <c r="BA19" s="57"/>
      <c r="BB19" s="57"/>
      <c r="BC19" s="57"/>
      <c r="BD19" s="57"/>
      <c r="BE19" s="57"/>
      <c r="BF19" s="57"/>
      <c r="BG19" s="57"/>
      <c r="BH19" s="57"/>
      <c r="BI19" s="57"/>
      <c r="BJ19" s="58"/>
      <c r="BK19" s="4"/>
    </row>
    <row r="20" spans="1:63" ht="15" customHeight="1">
      <c r="A20" s="1"/>
      <c r="B20" s="52"/>
      <c r="C20" s="53"/>
      <c r="D20" s="54"/>
      <c r="E20" s="55"/>
      <c r="F20" s="55"/>
      <c r="G20" s="55"/>
      <c r="H20" s="55"/>
      <c r="I20" s="55"/>
      <c r="J20" s="55"/>
      <c r="K20" s="55"/>
      <c r="L20" s="56"/>
      <c r="M20" s="61"/>
      <c r="N20" s="57"/>
      <c r="O20" s="57"/>
      <c r="P20" s="57"/>
      <c r="Q20" s="57"/>
      <c r="R20" s="57"/>
      <c r="S20" s="57"/>
      <c r="T20" s="57"/>
      <c r="U20" s="57"/>
      <c r="V20" s="57"/>
      <c r="W20" s="57"/>
      <c r="X20" s="57"/>
      <c r="Y20" s="57"/>
      <c r="Z20" s="57"/>
      <c r="AA20" s="58"/>
      <c r="AB20" s="59"/>
      <c r="AC20" s="57"/>
      <c r="AD20" s="57"/>
      <c r="AE20" s="57"/>
      <c r="AF20" s="57"/>
      <c r="AG20" s="57"/>
      <c r="AH20" s="57"/>
      <c r="AI20" s="57"/>
      <c r="AJ20" s="57"/>
      <c r="AK20" s="57"/>
      <c r="AL20" s="57"/>
      <c r="AM20" s="57"/>
      <c r="AN20" s="57"/>
      <c r="AO20" s="57"/>
      <c r="AP20" s="57"/>
      <c r="AQ20" s="60"/>
      <c r="AR20" s="60"/>
      <c r="AS20" s="60"/>
      <c r="AT20" s="57"/>
      <c r="AU20" s="57"/>
      <c r="AV20" s="58"/>
      <c r="AW20" s="59"/>
      <c r="AX20" s="57"/>
      <c r="AY20" s="57"/>
      <c r="AZ20" s="57"/>
      <c r="BA20" s="57"/>
      <c r="BB20" s="57"/>
      <c r="BC20" s="57"/>
      <c r="BD20" s="57"/>
      <c r="BE20" s="57"/>
      <c r="BF20" s="57"/>
      <c r="BG20" s="57"/>
      <c r="BH20" s="57"/>
      <c r="BI20" s="57"/>
      <c r="BJ20" s="58"/>
      <c r="BK20" s="4"/>
    </row>
    <row r="21" spans="1:63" ht="15" customHeight="1">
      <c r="A21" s="1"/>
      <c r="B21" s="52"/>
      <c r="C21" s="53"/>
      <c r="D21" s="54"/>
      <c r="E21" s="55"/>
      <c r="F21" s="55"/>
      <c r="G21" s="55"/>
      <c r="H21" s="55"/>
      <c r="I21" s="55"/>
      <c r="J21" s="55"/>
      <c r="K21" s="55"/>
      <c r="L21" s="56"/>
      <c r="M21" s="61"/>
      <c r="N21" s="57"/>
      <c r="O21" s="57"/>
      <c r="P21" s="57"/>
      <c r="Q21" s="57"/>
      <c r="R21" s="57"/>
      <c r="S21" s="57"/>
      <c r="T21" s="57"/>
      <c r="U21" s="57"/>
      <c r="V21" s="57"/>
      <c r="W21" s="57"/>
      <c r="X21" s="57"/>
      <c r="Y21" s="57"/>
      <c r="Z21" s="57"/>
      <c r="AA21" s="58"/>
      <c r="AB21" s="59"/>
      <c r="AC21" s="57"/>
      <c r="AD21" s="57"/>
      <c r="AE21" s="57"/>
      <c r="AF21" s="57"/>
      <c r="AG21" s="57"/>
      <c r="AH21" s="57"/>
      <c r="AI21" s="57"/>
      <c r="AJ21" s="57"/>
      <c r="AK21" s="57"/>
      <c r="AL21" s="57"/>
      <c r="AM21" s="57"/>
      <c r="AN21" s="57"/>
      <c r="AO21" s="57"/>
      <c r="AP21" s="57"/>
      <c r="AQ21" s="60"/>
      <c r="AR21" s="60"/>
      <c r="AS21" s="60"/>
      <c r="AT21" s="57"/>
      <c r="AU21" s="57"/>
      <c r="AV21" s="58"/>
      <c r="AW21" s="59"/>
      <c r="AX21" s="57"/>
      <c r="AY21" s="57"/>
      <c r="AZ21" s="57"/>
      <c r="BA21" s="57"/>
      <c r="BB21" s="57"/>
      <c r="BC21" s="57"/>
      <c r="BD21" s="57"/>
      <c r="BE21" s="57"/>
      <c r="BF21" s="57"/>
      <c r="BG21" s="57"/>
      <c r="BH21" s="57"/>
      <c r="BI21" s="57"/>
      <c r="BJ21" s="58"/>
      <c r="BK21" s="4"/>
    </row>
    <row r="22" spans="1:63" ht="15" customHeight="1">
      <c r="A22" s="1"/>
      <c r="B22" s="52"/>
      <c r="C22" s="53"/>
      <c r="D22" s="54"/>
      <c r="E22" s="55"/>
      <c r="F22" s="55"/>
      <c r="G22" s="55"/>
      <c r="H22" s="55"/>
      <c r="I22" s="55"/>
      <c r="J22" s="55"/>
      <c r="K22" s="55"/>
      <c r="L22" s="56"/>
      <c r="M22" s="61"/>
      <c r="N22" s="57"/>
      <c r="O22" s="57"/>
      <c r="P22" s="57"/>
      <c r="Q22" s="57"/>
      <c r="R22" s="57"/>
      <c r="S22" s="57"/>
      <c r="T22" s="57"/>
      <c r="U22" s="57"/>
      <c r="V22" s="57"/>
      <c r="W22" s="57"/>
      <c r="X22" s="57"/>
      <c r="Y22" s="57"/>
      <c r="Z22" s="57"/>
      <c r="AA22" s="58"/>
      <c r="AB22" s="59"/>
      <c r="AC22" s="57"/>
      <c r="AD22" s="57"/>
      <c r="AE22" s="57"/>
      <c r="AF22" s="57"/>
      <c r="AG22" s="57"/>
      <c r="AH22" s="57"/>
      <c r="AI22" s="57"/>
      <c r="AJ22" s="57"/>
      <c r="AK22" s="57"/>
      <c r="AL22" s="57"/>
      <c r="AM22" s="57"/>
      <c r="AN22" s="57"/>
      <c r="AO22" s="57"/>
      <c r="AP22" s="57"/>
      <c r="AQ22" s="60"/>
      <c r="AR22" s="60"/>
      <c r="AS22" s="60"/>
      <c r="AT22" s="57"/>
      <c r="AU22" s="57"/>
      <c r="AV22" s="58"/>
      <c r="AW22" s="59"/>
      <c r="AX22" s="57"/>
      <c r="AY22" s="57"/>
      <c r="AZ22" s="57"/>
      <c r="BA22" s="57"/>
      <c r="BB22" s="57"/>
      <c r="BC22" s="57"/>
      <c r="BD22" s="57"/>
      <c r="BE22" s="57"/>
      <c r="BF22" s="57"/>
      <c r="BG22" s="57"/>
      <c r="BH22" s="57"/>
      <c r="BI22" s="57"/>
      <c r="BJ22" s="58"/>
      <c r="BK22" s="4"/>
    </row>
    <row r="23" spans="1:63" ht="15" customHeight="1">
      <c r="A23" s="1"/>
      <c r="B23" s="52"/>
      <c r="C23" s="53"/>
      <c r="D23" s="54"/>
      <c r="E23" s="55"/>
      <c r="F23" s="55"/>
      <c r="G23" s="55"/>
      <c r="H23" s="55"/>
      <c r="I23" s="55"/>
      <c r="J23" s="55"/>
      <c r="K23" s="55"/>
      <c r="L23" s="56"/>
      <c r="M23" s="61"/>
      <c r="N23" s="57"/>
      <c r="O23" s="57"/>
      <c r="P23" s="57"/>
      <c r="Q23" s="57"/>
      <c r="R23" s="57"/>
      <c r="S23" s="57"/>
      <c r="T23" s="57"/>
      <c r="U23" s="57"/>
      <c r="V23" s="57"/>
      <c r="W23" s="57"/>
      <c r="X23" s="57"/>
      <c r="Y23" s="57"/>
      <c r="Z23" s="57"/>
      <c r="AA23" s="58"/>
      <c r="AB23" s="59"/>
      <c r="AC23" s="57"/>
      <c r="AD23" s="57"/>
      <c r="AE23" s="57"/>
      <c r="AF23" s="57"/>
      <c r="AG23" s="57"/>
      <c r="AH23" s="57"/>
      <c r="AI23" s="57"/>
      <c r="AJ23" s="57"/>
      <c r="AK23" s="57"/>
      <c r="AL23" s="57"/>
      <c r="AM23" s="57"/>
      <c r="AN23" s="57"/>
      <c r="AO23" s="57"/>
      <c r="AP23" s="57"/>
      <c r="AQ23" s="60"/>
      <c r="AR23" s="60"/>
      <c r="AS23" s="60"/>
      <c r="AT23" s="57"/>
      <c r="AU23" s="57"/>
      <c r="AV23" s="58"/>
      <c r="AW23" s="59"/>
      <c r="AX23" s="57"/>
      <c r="AY23" s="57"/>
      <c r="AZ23" s="57"/>
      <c r="BA23" s="57"/>
      <c r="BB23" s="57"/>
      <c r="BC23" s="57"/>
      <c r="BD23" s="57"/>
      <c r="BE23" s="57"/>
      <c r="BF23" s="57"/>
      <c r="BG23" s="57"/>
      <c r="BH23" s="57"/>
      <c r="BI23" s="57"/>
      <c r="BJ23" s="58"/>
      <c r="BK23" s="4"/>
    </row>
    <row r="24" spans="1:63" ht="15" customHeight="1">
      <c r="A24" s="1"/>
      <c r="B24" s="52"/>
      <c r="C24" s="53"/>
      <c r="D24" s="54"/>
      <c r="E24" s="55"/>
      <c r="F24" s="55"/>
      <c r="G24" s="55"/>
      <c r="H24" s="55"/>
      <c r="I24" s="55"/>
      <c r="J24" s="55"/>
      <c r="K24" s="55"/>
      <c r="L24" s="56"/>
      <c r="M24" s="61"/>
      <c r="N24" s="57"/>
      <c r="O24" s="57"/>
      <c r="P24" s="57"/>
      <c r="Q24" s="57"/>
      <c r="R24" s="57"/>
      <c r="S24" s="57"/>
      <c r="T24" s="57"/>
      <c r="U24" s="57"/>
      <c r="V24" s="57"/>
      <c r="W24" s="57"/>
      <c r="X24" s="57"/>
      <c r="Y24" s="57"/>
      <c r="Z24" s="57"/>
      <c r="AA24" s="58"/>
      <c r="AB24" s="59"/>
      <c r="AC24" s="57"/>
      <c r="AD24" s="57"/>
      <c r="AE24" s="57"/>
      <c r="AF24" s="57"/>
      <c r="AG24" s="57"/>
      <c r="AH24" s="57"/>
      <c r="AI24" s="57"/>
      <c r="AJ24" s="57"/>
      <c r="AK24" s="57"/>
      <c r="AL24" s="57"/>
      <c r="AM24" s="57"/>
      <c r="AN24" s="57"/>
      <c r="AO24" s="57"/>
      <c r="AP24" s="57"/>
      <c r="AQ24" s="60"/>
      <c r="AR24" s="60"/>
      <c r="AS24" s="60"/>
      <c r="AT24" s="57"/>
      <c r="AU24" s="57"/>
      <c r="AV24" s="58"/>
      <c r="AW24" s="59"/>
      <c r="AX24" s="57"/>
      <c r="AY24" s="57"/>
      <c r="AZ24" s="57"/>
      <c r="BA24" s="57"/>
      <c r="BB24" s="57"/>
      <c r="BC24" s="57"/>
      <c r="BD24" s="57"/>
      <c r="BE24" s="57"/>
      <c r="BF24" s="57"/>
      <c r="BG24" s="57"/>
      <c r="BH24" s="57"/>
      <c r="BI24" s="57"/>
      <c r="BJ24" s="58"/>
      <c r="BK24" s="4"/>
    </row>
    <row r="25" spans="1:63" ht="15" customHeight="1">
      <c r="A25" s="1"/>
      <c r="B25" s="52"/>
      <c r="C25" s="53"/>
      <c r="D25" s="54"/>
      <c r="E25" s="55"/>
      <c r="F25" s="55"/>
      <c r="G25" s="55"/>
      <c r="H25" s="55"/>
      <c r="I25" s="55"/>
      <c r="J25" s="55"/>
      <c r="K25" s="55"/>
      <c r="L25" s="56"/>
      <c r="M25" s="61"/>
      <c r="N25" s="57"/>
      <c r="O25" s="57"/>
      <c r="P25" s="57"/>
      <c r="Q25" s="57"/>
      <c r="R25" s="57"/>
      <c r="S25" s="57"/>
      <c r="T25" s="57"/>
      <c r="U25" s="57"/>
      <c r="V25" s="57"/>
      <c r="W25" s="57"/>
      <c r="X25" s="57"/>
      <c r="Y25" s="57"/>
      <c r="Z25" s="57"/>
      <c r="AA25" s="58"/>
      <c r="AB25" s="59"/>
      <c r="AC25" s="57"/>
      <c r="AD25" s="57"/>
      <c r="AE25" s="57"/>
      <c r="AF25" s="57"/>
      <c r="AG25" s="57"/>
      <c r="AH25" s="57"/>
      <c r="AI25" s="57"/>
      <c r="AJ25" s="57"/>
      <c r="AK25" s="57"/>
      <c r="AL25" s="57"/>
      <c r="AM25" s="57"/>
      <c r="AN25" s="57"/>
      <c r="AO25" s="57"/>
      <c r="AP25" s="57"/>
      <c r="AQ25" s="60"/>
      <c r="AR25" s="60"/>
      <c r="AS25" s="60"/>
      <c r="AT25" s="57"/>
      <c r="AU25" s="57"/>
      <c r="AV25" s="58"/>
      <c r="AW25" s="59"/>
      <c r="AX25" s="57"/>
      <c r="AY25" s="57"/>
      <c r="AZ25" s="57"/>
      <c r="BA25" s="57"/>
      <c r="BB25" s="57"/>
      <c r="BC25" s="57"/>
      <c r="BD25" s="57"/>
      <c r="BE25" s="57"/>
      <c r="BF25" s="57"/>
      <c r="BG25" s="57"/>
      <c r="BH25" s="57"/>
      <c r="BI25" s="57"/>
      <c r="BJ25" s="58"/>
      <c r="BK25" s="4"/>
    </row>
    <row r="26" spans="1:63" ht="15" customHeight="1">
      <c r="A26" s="1"/>
      <c r="B26" s="52"/>
      <c r="C26" s="53"/>
      <c r="D26" s="54"/>
      <c r="E26" s="55"/>
      <c r="F26" s="55"/>
      <c r="G26" s="55"/>
      <c r="H26" s="55"/>
      <c r="I26" s="55"/>
      <c r="J26" s="55"/>
      <c r="K26" s="55"/>
      <c r="L26" s="56"/>
      <c r="M26" s="61"/>
      <c r="N26" s="57"/>
      <c r="O26" s="57"/>
      <c r="P26" s="57"/>
      <c r="Q26" s="57"/>
      <c r="R26" s="57"/>
      <c r="S26" s="57"/>
      <c r="T26" s="57"/>
      <c r="U26" s="57"/>
      <c r="V26" s="57"/>
      <c r="W26" s="57"/>
      <c r="X26" s="57"/>
      <c r="Y26" s="57"/>
      <c r="Z26" s="57"/>
      <c r="AA26" s="58"/>
      <c r="AB26" s="59"/>
      <c r="AC26" s="57"/>
      <c r="AD26" s="57"/>
      <c r="AE26" s="57"/>
      <c r="AF26" s="57"/>
      <c r="AG26" s="57"/>
      <c r="AH26" s="57"/>
      <c r="AI26" s="57"/>
      <c r="AJ26" s="57"/>
      <c r="AK26" s="57"/>
      <c r="AL26" s="57"/>
      <c r="AM26" s="57"/>
      <c r="AN26" s="57"/>
      <c r="AO26" s="57"/>
      <c r="AP26" s="57"/>
      <c r="AQ26" s="60"/>
      <c r="AR26" s="60"/>
      <c r="AS26" s="60"/>
      <c r="AT26" s="57"/>
      <c r="AU26" s="57"/>
      <c r="AV26" s="58"/>
      <c r="AW26" s="59"/>
      <c r="AX26" s="57"/>
      <c r="AY26" s="57"/>
      <c r="AZ26" s="57"/>
      <c r="BA26" s="57"/>
      <c r="BB26" s="57"/>
      <c r="BC26" s="57"/>
      <c r="BD26" s="57"/>
      <c r="BE26" s="57"/>
      <c r="BF26" s="57"/>
      <c r="BG26" s="57"/>
      <c r="BH26" s="57"/>
      <c r="BI26" s="57"/>
      <c r="BJ26" s="58"/>
      <c r="BK26" s="4"/>
    </row>
    <row r="27" spans="1:63" ht="15" customHeight="1">
      <c r="A27" s="1"/>
      <c r="B27" s="52"/>
      <c r="C27" s="53"/>
      <c r="D27" s="54"/>
      <c r="E27" s="55"/>
      <c r="F27" s="55"/>
      <c r="G27" s="55"/>
      <c r="H27" s="55"/>
      <c r="I27" s="55"/>
      <c r="J27" s="55"/>
      <c r="K27" s="55"/>
      <c r="L27" s="56"/>
      <c r="M27" s="61"/>
      <c r="N27" s="57"/>
      <c r="O27" s="57"/>
      <c r="P27" s="57"/>
      <c r="Q27" s="57"/>
      <c r="R27" s="57"/>
      <c r="S27" s="57"/>
      <c r="T27" s="57"/>
      <c r="U27" s="57"/>
      <c r="V27" s="57"/>
      <c r="W27" s="57"/>
      <c r="X27" s="57"/>
      <c r="Y27" s="57"/>
      <c r="Z27" s="57"/>
      <c r="AA27" s="58"/>
      <c r="AB27" s="59"/>
      <c r="AC27" s="57"/>
      <c r="AD27" s="57"/>
      <c r="AE27" s="57"/>
      <c r="AF27" s="57"/>
      <c r="AG27" s="57"/>
      <c r="AH27" s="57"/>
      <c r="AI27" s="57"/>
      <c r="AJ27" s="57"/>
      <c r="AK27" s="57"/>
      <c r="AL27" s="57"/>
      <c r="AM27" s="57"/>
      <c r="AN27" s="57"/>
      <c r="AO27" s="57"/>
      <c r="AP27" s="57"/>
      <c r="AQ27" s="60"/>
      <c r="AR27" s="60"/>
      <c r="AS27" s="60"/>
      <c r="AT27" s="57"/>
      <c r="AU27" s="57"/>
      <c r="AV27" s="58"/>
      <c r="AW27" s="59"/>
      <c r="AX27" s="57"/>
      <c r="AY27" s="57"/>
      <c r="AZ27" s="57"/>
      <c r="BA27" s="57"/>
      <c r="BB27" s="57"/>
      <c r="BC27" s="57"/>
      <c r="BD27" s="57"/>
      <c r="BE27" s="57"/>
      <c r="BF27" s="57"/>
      <c r="BG27" s="57"/>
      <c r="BH27" s="57"/>
      <c r="BI27" s="57"/>
      <c r="BJ27" s="58"/>
      <c r="BK27" s="4"/>
    </row>
    <row r="28" spans="1:63" ht="15" customHeight="1">
      <c r="A28" s="1"/>
      <c r="B28" s="52"/>
      <c r="C28" s="53"/>
      <c r="D28" s="54"/>
      <c r="E28" s="55"/>
      <c r="F28" s="55"/>
      <c r="G28" s="55"/>
      <c r="H28" s="55"/>
      <c r="I28" s="55"/>
      <c r="J28" s="55"/>
      <c r="K28" s="55"/>
      <c r="L28" s="56"/>
      <c r="M28" s="61"/>
      <c r="N28" s="57"/>
      <c r="O28" s="57"/>
      <c r="P28" s="57"/>
      <c r="Q28" s="57"/>
      <c r="R28" s="57"/>
      <c r="S28" s="57"/>
      <c r="T28" s="57"/>
      <c r="U28" s="57"/>
      <c r="V28" s="57"/>
      <c r="W28" s="57"/>
      <c r="X28" s="57"/>
      <c r="Y28" s="57"/>
      <c r="Z28" s="57"/>
      <c r="AA28" s="58"/>
      <c r="AB28" s="59"/>
      <c r="AC28" s="57"/>
      <c r="AD28" s="57"/>
      <c r="AE28" s="57"/>
      <c r="AF28" s="57"/>
      <c r="AG28" s="57"/>
      <c r="AH28" s="57"/>
      <c r="AI28" s="57"/>
      <c r="AJ28" s="57"/>
      <c r="AK28" s="57"/>
      <c r="AL28" s="57"/>
      <c r="AM28" s="57"/>
      <c r="AN28" s="57"/>
      <c r="AO28" s="57"/>
      <c r="AP28" s="57"/>
      <c r="AQ28" s="60"/>
      <c r="AR28" s="60"/>
      <c r="AS28" s="60"/>
      <c r="AT28" s="57"/>
      <c r="AU28" s="57"/>
      <c r="AV28" s="58"/>
      <c r="AW28" s="59"/>
      <c r="AX28" s="57"/>
      <c r="AY28" s="57"/>
      <c r="AZ28" s="57"/>
      <c r="BA28" s="57"/>
      <c r="BB28" s="57"/>
      <c r="BC28" s="57"/>
      <c r="BD28" s="57"/>
      <c r="BE28" s="57"/>
      <c r="BF28" s="57"/>
      <c r="BG28" s="57"/>
      <c r="BH28" s="57"/>
      <c r="BI28" s="57"/>
      <c r="BJ28" s="58"/>
      <c r="BK28" s="4"/>
    </row>
    <row r="29" spans="1:63" ht="15" customHeight="1">
      <c r="A29" s="1"/>
      <c r="B29" s="52"/>
      <c r="C29" s="53"/>
      <c r="D29" s="54"/>
      <c r="E29" s="55"/>
      <c r="F29" s="55"/>
      <c r="G29" s="55"/>
      <c r="H29" s="55"/>
      <c r="I29" s="55"/>
      <c r="J29" s="55"/>
      <c r="K29" s="55"/>
      <c r="L29" s="56"/>
      <c r="M29" s="61"/>
      <c r="N29" s="57"/>
      <c r="O29" s="57"/>
      <c r="P29" s="57"/>
      <c r="Q29" s="57"/>
      <c r="R29" s="57"/>
      <c r="S29" s="57"/>
      <c r="T29" s="57"/>
      <c r="U29" s="57"/>
      <c r="V29" s="57"/>
      <c r="W29" s="57"/>
      <c r="X29" s="57"/>
      <c r="Y29" s="57"/>
      <c r="Z29" s="57"/>
      <c r="AA29" s="58"/>
      <c r="AB29" s="59"/>
      <c r="AC29" s="57"/>
      <c r="AD29" s="57"/>
      <c r="AE29" s="57"/>
      <c r="AF29" s="57"/>
      <c r="AG29" s="57"/>
      <c r="AH29" s="57"/>
      <c r="AI29" s="57"/>
      <c r="AJ29" s="57"/>
      <c r="AK29" s="57"/>
      <c r="AL29" s="57"/>
      <c r="AM29" s="57"/>
      <c r="AN29" s="57"/>
      <c r="AO29" s="57"/>
      <c r="AP29" s="57"/>
      <c r="AQ29" s="60"/>
      <c r="AR29" s="60"/>
      <c r="AS29" s="60"/>
      <c r="AT29" s="57"/>
      <c r="AU29" s="57"/>
      <c r="AV29" s="58"/>
      <c r="AW29" s="59"/>
      <c r="AX29" s="57"/>
      <c r="AY29" s="57"/>
      <c r="AZ29" s="57"/>
      <c r="BA29" s="57"/>
      <c r="BB29" s="57"/>
      <c r="BC29" s="57"/>
      <c r="BD29" s="57"/>
      <c r="BE29" s="57"/>
      <c r="BF29" s="57"/>
      <c r="BG29" s="57"/>
      <c r="BH29" s="57"/>
      <c r="BI29" s="57"/>
      <c r="BJ29" s="58"/>
      <c r="BK29" s="4"/>
    </row>
    <row r="30" spans="1:63" ht="15" customHeight="1">
      <c r="A30" s="1"/>
      <c r="B30" s="52"/>
      <c r="C30" s="53"/>
      <c r="D30" s="54"/>
      <c r="E30" s="55"/>
      <c r="F30" s="55"/>
      <c r="G30" s="55"/>
      <c r="H30" s="55"/>
      <c r="I30" s="55"/>
      <c r="J30" s="55"/>
      <c r="K30" s="55"/>
      <c r="L30" s="56"/>
      <c r="M30" s="61"/>
      <c r="N30" s="57"/>
      <c r="O30" s="57"/>
      <c r="P30" s="57"/>
      <c r="Q30" s="57"/>
      <c r="R30" s="57"/>
      <c r="S30" s="57"/>
      <c r="T30" s="57"/>
      <c r="U30" s="57"/>
      <c r="V30" s="57"/>
      <c r="W30" s="57"/>
      <c r="X30" s="57"/>
      <c r="Y30" s="57"/>
      <c r="Z30" s="57"/>
      <c r="AA30" s="58"/>
      <c r="AB30" s="59"/>
      <c r="AC30" s="57"/>
      <c r="AD30" s="57"/>
      <c r="AE30" s="57"/>
      <c r="AF30" s="57"/>
      <c r="AG30" s="57"/>
      <c r="AH30" s="57"/>
      <c r="AI30" s="57"/>
      <c r="AJ30" s="57"/>
      <c r="AK30" s="57"/>
      <c r="AL30" s="57"/>
      <c r="AM30" s="57"/>
      <c r="AN30" s="57"/>
      <c r="AO30" s="57"/>
      <c r="AP30" s="57"/>
      <c r="AQ30" s="60"/>
      <c r="AR30" s="60"/>
      <c r="AS30" s="60"/>
      <c r="AT30" s="57"/>
      <c r="AU30" s="57"/>
      <c r="AV30" s="58"/>
      <c r="AW30" s="59"/>
      <c r="AX30" s="57"/>
      <c r="AY30" s="57"/>
      <c r="AZ30" s="57"/>
      <c r="BA30" s="57"/>
      <c r="BB30" s="57"/>
      <c r="BC30" s="57"/>
      <c r="BD30" s="57"/>
      <c r="BE30" s="57"/>
      <c r="BF30" s="57"/>
      <c r="BG30" s="57"/>
      <c r="BH30" s="57"/>
      <c r="BI30" s="57"/>
      <c r="BJ30" s="58"/>
      <c r="BK30" s="4"/>
    </row>
    <row r="31" spans="1:63" ht="15" customHeight="1">
      <c r="A31" s="1"/>
      <c r="B31" s="52"/>
      <c r="C31" s="53"/>
      <c r="D31" s="54"/>
      <c r="E31" s="55"/>
      <c r="F31" s="55"/>
      <c r="G31" s="55"/>
      <c r="H31" s="55"/>
      <c r="I31" s="55"/>
      <c r="J31" s="55"/>
      <c r="K31" s="55"/>
      <c r="L31" s="56"/>
      <c r="M31" s="61"/>
      <c r="N31" s="57"/>
      <c r="O31" s="57"/>
      <c r="P31" s="57"/>
      <c r="Q31" s="57"/>
      <c r="R31" s="57"/>
      <c r="S31" s="57"/>
      <c r="T31" s="57"/>
      <c r="U31" s="57"/>
      <c r="V31" s="57"/>
      <c r="W31" s="57"/>
      <c r="X31" s="57"/>
      <c r="Y31" s="57"/>
      <c r="Z31" s="57"/>
      <c r="AA31" s="58"/>
      <c r="AB31" s="59"/>
      <c r="AC31" s="57"/>
      <c r="AD31" s="57"/>
      <c r="AE31" s="57"/>
      <c r="AF31" s="57"/>
      <c r="AG31" s="57"/>
      <c r="AH31" s="57"/>
      <c r="AI31" s="57"/>
      <c r="AJ31" s="57"/>
      <c r="AK31" s="57"/>
      <c r="AL31" s="57"/>
      <c r="AM31" s="57"/>
      <c r="AN31" s="57"/>
      <c r="AO31" s="57"/>
      <c r="AP31" s="57"/>
      <c r="AQ31" s="60"/>
      <c r="AR31" s="60"/>
      <c r="AS31" s="60"/>
      <c r="AT31" s="57"/>
      <c r="AU31" s="57"/>
      <c r="AV31" s="58"/>
      <c r="AW31" s="59"/>
      <c r="AX31" s="57"/>
      <c r="AY31" s="57"/>
      <c r="AZ31" s="57"/>
      <c r="BA31" s="57"/>
      <c r="BB31" s="57"/>
      <c r="BC31" s="57"/>
      <c r="BD31" s="57"/>
      <c r="BE31" s="57"/>
      <c r="BF31" s="57"/>
      <c r="BG31" s="57"/>
      <c r="BH31" s="57"/>
      <c r="BI31" s="57"/>
      <c r="BJ31" s="58"/>
      <c r="BK31" s="4"/>
    </row>
    <row r="32" spans="1:63" ht="15" customHeight="1">
      <c r="A32" s="1"/>
      <c r="B32" s="52"/>
      <c r="C32" s="53"/>
      <c r="D32" s="54"/>
      <c r="E32" s="55"/>
      <c r="F32" s="55"/>
      <c r="G32" s="55"/>
      <c r="H32" s="55"/>
      <c r="I32" s="55"/>
      <c r="J32" s="55"/>
      <c r="K32" s="55"/>
      <c r="L32" s="56"/>
      <c r="M32" s="61"/>
      <c r="N32" s="57"/>
      <c r="O32" s="57"/>
      <c r="P32" s="57"/>
      <c r="Q32" s="57"/>
      <c r="R32" s="57"/>
      <c r="S32" s="57"/>
      <c r="T32" s="57"/>
      <c r="U32" s="57"/>
      <c r="V32" s="57"/>
      <c r="W32" s="57"/>
      <c r="X32" s="57"/>
      <c r="Y32" s="57"/>
      <c r="Z32" s="57"/>
      <c r="AA32" s="58"/>
      <c r="AB32" s="59"/>
      <c r="AC32" s="57"/>
      <c r="AD32" s="57"/>
      <c r="AE32" s="57"/>
      <c r="AF32" s="57"/>
      <c r="AG32" s="57"/>
      <c r="AH32" s="57"/>
      <c r="AI32" s="57"/>
      <c r="AJ32" s="57"/>
      <c r="AK32" s="57"/>
      <c r="AL32" s="57"/>
      <c r="AM32" s="57"/>
      <c r="AN32" s="57"/>
      <c r="AO32" s="57"/>
      <c r="AP32" s="57"/>
      <c r="AQ32" s="60"/>
      <c r="AR32" s="60"/>
      <c r="AS32" s="60"/>
      <c r="AT32" s="57"/>
      <c r="AU32" s="57"/>
      <c r="AV32" s="58"/>
      <c r="AW32" s="59"/>
      <c r="AX32" s="57"/>
      <c r="AY32" s="57"/>
      <c r="AZ32" s="57"/>
      <c r="BA32" s="57"/>
      <c r="BB32" s="57"/>
      <c r="BC32" s="57"/>
      <c r="BD32" s="57"/>
      <c r="BE32" s="57"/>
      <c r="BF32" s="57"/>
      <c r="BG32" s="57"/>
      <c r="BH32" s="57"/>
      <c r="BI32" s="57"/>
      <c r="BJ32" s="58"/>
      <c r="BK32" s="4"/>
    </row>
    <row r="33" spans="1:63" ht="15" customHeight="1">
      <c r="A33" s="1"/>
      <c r="B33" s="52"/>
      <c r="C33" s="53"/>
      <c r="D33" s="54"/>
      <c r="E33" s="55"/>
      <c r="F33" s="55"/>
      <c r="G33" s="55"/>
      <c r="H33" s="55"/>
      <c r="I33" s="55"/>
      <c r="J33" s="55"/>
      <c r="K33" s="55"/>
      <c r="L33" s="56"/>
      <c r="M33" s="61"/>
      <c r="N33" s="57"/>
      <c r="O33" s="57"/>
      <c r="P33" s="57"/>
      <c r="Q33" s="57"/>
      <c r="R33" s="57"/>
      <c r="S33" s="57"/>
      <c r="T33" s="57"/>
      <c r="U33" s="57"/>
      <c r="V33" s="57"/>
      <c r="W33" s="57"/>
      <c r="X33" s="57"/>
      <c r="Y33" s="57"/>
      <c r="Z33" s="57"/>
      <c r="AA33" s="58"/>
      <c r="AB33" s="59"/>
      <c r="AC33" s="57"/>
      <c r="AD33" s="57"/>
      <c r="AE33" s="57"/>
      <c r="AF33" s="57"/>
      <c r="AG33" s="57"/>
      <c r="AH33" s="57"/>
      <c r="AI33" s="57"/>
      <c r="AJ33" s="57"/>
      <c r="AK33" s="57"/>
      <c r="AL33" s="57"/>
      <c r="AM33" s="57"/>
      <c r="AN33" s="57"/>
      <c r="AO33" s="57"/>
      <c r="AP33" s="57"/>
      <c r="AQ33" s="60"/>
      <c r="AR33" s="60"/>
      <c r="AS33" s="60"/>
      <c r="AT33" s="57"/>
      <c r="AU33" s="57"/>
      <c r="AV33" s="58"/>
      <c r="AW33" s="59"/>
      <c r="AX33" s="57"/>
      <c r="AY33" s="57"/>
      <c r="AZ33" s="57"/>
      <c r="BA33" s="57"/>
      <c r="BB33" s="57"/>
      <c r="BC33" s="57"/>
      <c r="BD33" s="57"/>
      <c r="BE33" s="57"/>
      <c r="BF33" s="57"/>
      <c r="BG33" s="57"/>
      <c r="BH33" s="57"/>
      <c r="BI33" s="57"/>
      <c r="BJ33" s="58"/>
      <c r="BK33" s="4"/>
    </row>
    <row r="34" spans="1:63" ht="15" customHeight="1">
      <c r="A34" s="1"/>
      <c r="B34" s="52"/>
      <c r="C34" s="53"/>
      <c r="D34" s="54"/>
      <c r="E34" s="55"/>
      <c r="F34" s="55"/>
      <c r="G34" s="55"/>
      <c r="H34" s="55"/>
      <c r="I34" s="55"/>
      <c r="J34" s="55"/>
      <c r="K34" s="55"/>
      <c r="L34" s="56"/>
      <c r="M34" s="61"/>
      <c r="N34" s="57"/>
      <c r="O34" s="57"/>
      <c r="P34" s="57"/>
      <c r="Q34" s="57"/>
      <c r="R34" s="57"/>
      <c r="S34" s="57"/>
      <c r="T34" s="57"/>
      <c r="U34" s="57"/>
      <c r="V34" s="57"/>
      <c r="W34" s="57"/>
      <c r="X34" s="57"/>
      <c r="Y34" s="57"/>
      <c r="Z34" s="57"/>
      <c r="AA34" s="58"/>
      <c r="AB34" s="59"/>
      <c r="AC34" s="57"/>
      <c r="AD34" s="57"/>
      <c r="AE34" s="57"/>
      <c r="AF34" s="57"/>
      <c r="AG34" s="57"/>
      <c r="AH34" s="57"/>
      <c r="AI34" s="57"/>
      <c r="AJ34" s="57"/>
      <c r="AK34" s="57"/>
      <c r="AL34" s="57"/>
      <c r="AM34" s="57"/>
      <c r="AN34" s="57"/>
      <c r="AO34" s="57"/>
      <c r="AP34" s="57"/>
      <c r="AQ34" s="60"/>
      <c r="AR34" s="60"/>
      <c r="AS34" s="60"/>
      <c r="AT34" s="57"/>
      <c r="AU34" s="57"/>
      <c r="AV34" s="58"/>
      <c r="AW34" s="59"/>
      <c r="AX34" s="57"/>
      <c r="AY34" s="57"/>
      <c r="AZ34" s="57"/>
      <c r="BA34" s="57"/>
      <c r="BB34" s="57"/>
      <c r="BC34" s="57"/>
      <c r="BD34" s="57"/>
      <c r="BE34" s="57"/>
      <c r="BF34" s="57"/>
      <c r="BG34" s="57"/>
      <c r="BH34" s="57"/>
      <c r="BI34" s="57"/>
      <c r="BJ34" s="58"/>
      <c r="BK34" s="4"/>
    </row>
    <row r="35" spans="1:63" ht="15" customHeight="1">
      <c r="A35" s="1"/>
      <c r="B35" s="52"/>
      <c r="C35" s="53"/>
      <c r="D35" s="54"/>
      <c r="E35" s="55"/>
      <c r="F35" s="55"/>
      <c r="G35" s="55"/>
      <c r="H35" s="55"/>
      <c r="I35" s="55"/>
      <c r="J35" s="55"/>
      <c r="K35" s="55"/>
      <c r="L35" s="56"/>
      <c r="M35" s="61"/>
      <c r="N35" s="57"/>
      <c r="O35" s="57"/>
      <c r="P35" s="57"/>
      <c r="Q35" s="57"/>
      <c r="R35" s="57"/>
      <c r="S35" s="57"/>
      <c r="T35" s="57"/>
      <c r="U35" s="57"/>
      <c r="V35" s="57"/>
      <c r="W35" s="57"/>
      <c r="X35" s="57"/>
      <c r="Y35" s="57"/>
      <c r="Z35" s="57"/>
      <c r="AA35" s="58"/>
      <c r="AB35" s="59"/>
      <c r="AC35" s="57"/>
      <c r="AD35" s="57"/>
      <c r="AE35" s="57"/>
      <c r="AF35" s="57"/>
      <c r="AG35" s="57"/>
      <c r="AH35" s="57"/>
      <c r="AI35" s="57"/>
      <c r="AJ35" s="57"/>
      <c r="AK35" s="57"/>
      <c r="AL35" s="57"/>
      <c r="AM35" s="57"/>
      <c r="AN35" s="57"/>
      <c r="AO35" s="57"/>
      <c r="AP35" s="57"/>
      <c r="AQ35" s="60"/>
      <c r="AR35" s="60"/>
      <c r="AS35" s="60"/>
      <c r="AT35" s="57"/>
      <c r="AU35" s="57"/>
      <c r="AV35" s="58"/>
      <c r="AW35" s="59"/>
      <c r="AX35" s="57"/>
      <c r="AY35" s="57"/>
      <c r="AZ35" s="57"/>
      <c r="BA35" s="57"/>
      <c r="BB35" s="57"/>
      <c r="BC35" s="57"/>
      <c r="BD35" s="57"/>
      <c r="BE35" s="57"/>
      <c r="BF35" s="57"/>
      <c r="BG35" s="57"/>
      <c r="BH35" s="57"/>
      <c r="BI35" s="57"/>
      <c r="BJ35" s="58"/>
      <c r="BK35" s="4"/>
    </row>
    <row r="36" spans="1:63" ht="15" customHeight="1">
      <c r="A36" s="1"/>
      <c r="B36" s="52"/>
      <c r="C36" s="53"/>
      <c r="D36" s="54"/>
      <c r="E36" s="55"/>
      <c r="F36" s="55"/>
      <c r="G36" s="55"/>
      <c r="H36" s="55"/>
      <c r="I36" s="55"/>
      <c r="J36" s="55"/>
      <c r="K36" s="55"/>
      <c r="L36" s="56"/>
      <c r="M36" s="61"/>
      <c r="N36" s="57"/>
      <c r="O36" s="57"/>
      <c r="P36" s="57"/>
      <c r="Q36" s="57"/>
      <c r="R36" s="57"/>
      <c r="S36" s="57"/>
      <c r="T36" s="57"/>
      <c r="U36" s="57"/>
      <c r="V36" s="57"/>
      <c r="W36" s="57"/>
      <c r="X36" s="57"/>
      <c r="Y36" s="57"/>
      <c r="Z36" s="57"/>
      <c r="AA36" s="58"/>
      <c r="AB36" s="59"/>
      <c r="AC36" s="57"/>
      <c r="AD36" s="57"/>
      <c r="AE36" s="57"/>
      <c r="AF36" s="57"/>
      <c r="AG36" s="57"/>
      <c r="AH36" s="57"/>
      <c r="AI36" s="57"/>
      <c r="AJ36" s="57"/>
      <c r="AK36" s="57"/>
      <c r="AL36" s="57"/>
      <c r="AM36" s="57"/>
      <c r="AN36" s="57"/>
      <c r="AO36" s="57"/>
      <c r="AP36" s="57"/>
      <c r="AQ36" s="60"/>
      <c r="AR36" s="60"/>
      <c r="AS36" s="60"/>
      <c r="AT36" s="57"/>
      <c r="AU36" s="57"/>
      <c r="AV36" s="58"/>
      <c r="AW36" s="59"/>
      <c r="AX36" s="57"/>
      <c r="AY36" s="57"/>
      <c r="AZ36" s="57"/>
      <c r="BA36" s="57"/>
      <c r="BB36" s="57"/>
      <c r="BC36" s="57"/>
      <c r="BD36" s="57"/>
      <c r="BE36" s="57"/>
      <c r="BF36" s="57"/>
      <c r="BG36" s="57"/>
      <c r="BH36" s="57"/>
      <c r="BI36" s="57"/>
      <c r="BJ36" s="58"/>
      <c r="BK36" s="4"/>
    </row>
    <row r="37" spans="1:63" ht="15" customHeight="1">
      <c r="A37" s="1"/>
      <c r="B37" s="52"/>
      <c r="C37" s="53"/>
      <c r="D37" s="54"/>
      <c r="E37" s="55"/>
      <c r="F37" s="55"/>
      <c r="G37" s="55"/>
      <c r="H37" s="55"/>
      <c r="I37" s="55"/>
      <c r="J37" s="55"/>
      <c r="K37" s="55"/>
      <c r="L37" s="56"/>
      <c r="M37" s="61"/>
      <c r="N37" s="57"/>
      <c r="O37" s="57"/>
      <c r="P37" s="57"/>
      <c r="Q37" s="57"/>
      <c r="R37" s="57"/>
      <c r="S37" s="57"/>
      <c r="T37" s="57"/>
      <c r="U37" s="57"/>
      <c r="V37" s="57"/>
      <c r="W37" s="57"/>
      <c r="X37" s="57"/>
      <c r="Y37" s="57"/>
      <c r="Z37" s="57"/>
      <c r="AA37" s="58"/>
      <c r="AB37" s="59"/>
      <c r="AC37" s="57"/>
      <c r="AD37" s="57"/>
      <c r="AE37" s="57"/>
      <c r="AF37" s="57"/>
      <c r="AG37" s="57"/>
      <c r="AH37" s="57"/>
      <c r="AI37" s="57"/>
      <c r="AJ37" s="57"/>
      <c r="AK37" s="57"/>
      <c r="AL37" s="57"/>
      <c r="AM37" s="57"/>
      <c r="AN37" s="57"/>
      <c r="AO37" s="57"/>
      <c r="AP37" s="57"/>
      <c r="AQ37" s="60"/>
      <c r="AR37" s="60"/>
      <c r="AS37" s="60"/>
      <c r="AT37" s="57"/>
      <c r="AU37" s="57"/>
      <c r="AV37" s="58"/>
      <c r="AW37" s="59"/>
      <c r="AX37" s="57"/>
      <c r="AY37" s="57"/>
      <c r="AZ37" s="57"/>
      <c r="BA37" s="57"/>
      <c r="BB37" s="57"/>
      <c r="BC37" s="57"/>
      <c r="BD37" s="57"/>
      <c r="BE37" s="57"/>
      <c r="BF37" s="57"/>
      <c r="BG37" s="57"/>
      <c r="BH37" s="57"/>
      <c r="BI37" s="57"/>
      <c r="BJ37" s="58"/>
      <c r="BK37" s="4"/>
    </row>
    <row r="38" spans="1:63" ht="15" customHeight="1">
      <c r="A38" s="1"/>
      <c r="B38" s="52"/>
      <c r="C38" s="53"/>
      <c r="D38" s="54"/>
      <c r="E38" s="55"/>
      <c r="F38" s="55"/>
      <c r="G38" s="55"/>
      <c r="H38" s="55"/>
      <c r="I38" s="55"/>
      <c r="J38" s="55"/>
      <c r="K38" s="55"/>
      <c r="L38" s="56"/>
      <c r="M38" s="61"/>
      <c r="N38" s="57"/>
      <c r="O38" s="57"/>
      <c r="P38" s="57"/>
      <c r="Q38" s="57"/>
      <c r="R38" s="57"/>
      <c r="S38" s="57"/>
      <c r="T38" s="57"/>
      <c r="U38" s="57"/>
      <c r="V38" s="57"/>
      <c r="W38" s="57"/>
      <c r="X38" s="57"/>
      <c r="Y38" s="57"/>
      <c r="Z38" s="57"/>
      <c r="AA38" s="58"/>
      <c r="AB38" s="59"/>
      <c r="AC38" s="57"/>
      <c r="AD38" s="57"/>
      <c r="AE38" s="57"/>
      <c r="AF38" s="57"/>
      <c r="AG38" s="57"/>
      <c r="AH38" s="57"/>
      <c r="AI38" s="57"/>
      <c r="AJ38" s="57"/>
      <c r="AK38" s="57"/>
      <c r="AL38" s="57"/>
      <c r="AM38" s="57"/>
      <c r="AN38" s="57"/>
      <c r="AO38" s="57"/>
      <c r="AP38" s="57"/>
      <c r="AQ38" s="60"/>
      <c r="AR38" s="60"/>
      <c r="AS38" s="60"/>
      <c r="AT38" s="57"/>
      <c r="AU38" s="57"/>
      <c r="AV38" s="58"/>
      <c r="AW38" s="59"/>
      <c r="AX38" s="57"/>
      <c r="AY38" s="57"/>
      <c r="AZ38" s="57"/>
      <c r="BA38" s="57"/>
      <c r="BB38" s="57"/>
      <c r="BC38" s="57"/>
      <c r="BD38" s="57"/>
      <c r="BE38" s="57"/>
      <c r="BF38" s="57"/>
      <c r="BG38" s="57"/>
      <c r="BH38" s="57"/>
      <c r="BI38" s="57"/>
      <c r="BJ38" s="58"/>
      <c r="BK38" s="4"/>
    </row>
    <row r="39" spans="1:63" ht="15" customHeight="1">
      <c r="A39" s="1"/>
      <c r="B39" s="52"/>
      <c r="C39" s="53"/>
      <c r="D39" s="54"/>
      <c r="E39" s="55"/>
      <c r="F39" s="55"/>
      <c r="G39" s="55"/>
      <c r="H39" s="55"/>
      <c r="I39" s="55"/>
      <c r="J39" s="55"/>
      <c r="K39" s="55"/>
      <c r="L39" s="56"/>
      <c r="M39" s="61"/>
      <c r="N39" s="57"/>
      <c r="O39" s="57"/>
      <c r="P39" s="57"/>
      <c r="Q39" s="57"/>
      <c r="R39" s="57"/>
      <c r="S39" s="57"/>
      <c r="T39" s="57"/>
      <c r="U39" s="57"/>
      <c r="V39" s="57"/>
      <c r="W39" s="57"/>
      <c r="X39" s="57"/>
      <c r="Y39" s="57"/>
      <c r="Z39" s="57"/>
      <c r="AA39" s="58"/>
      <c r="AB39" s="59"/>
      <c r="AC39" s="57"/>
      <c r="AD39" s="57"/>
      <c r="AE39" s="57"/>
      <c r="AF39" s="57"/>
      <c r="AG39" s="57"/>
      <c r="AH39" s="57"/>
      <c r="AI39" s="57"/>
      <c r="AJ39" s="57"/>
      <c r="AK39" s="57"/>
      <c r="AL39" s="57"/>
      <c r="AM39" s="57"/>
      <c r="AN39" s="57"/>
      <c r="AO39" s="57"/>
      <c r="AP39" s="57"/>
      <c r="AQ39" s="60"/>
      <c r="AR39" s="60"/>
      <c r="AS39" s="60"/>
      <c r="AT39" s="57"/>
      <c r="AU39" s="57"/>
      <c r="AV39" s="58"/>
      <c r="AW39" s="59"/>
      <c r="AX39" s="57"/>
      <c r="AY39" s="57"/>
      <c r="AZ39" s="57"/>
      <c r="BA39" s="57"/>
      <c r="BB39" s="57"/>
      <c r="BC39" s="57"/>
      <c r="BD39" s="57"/>
      <c r="BE39" s="57"/>
      <c r="BF39" s="57"/>
      <c r="BG39" s="57"/>
      <c r="BH39" s="57"/>
      <c r="BI39" s="57"/>
      <c r="BJ39" s="58"/>
      <c r="BK39" s="4"/>
    </row>
    <row r="40" spans="1:63" ht="15" customHeight="1">
      <c r="A40" s="1"/>
      <c r="B40" s="52"/>
      <c r="C40" s="53"/>
      <c r="D40" s="54"/>
      <c r="E40" s="55"/>
      <c r="F40" s="55"/>
      <c r="G40" s="55"/>
      <c r="H40" s="55"/>
      <c r="I40" s="55"/>
      <c r="J40" s="55"/>
      <c r="K40" s="55"/>
      <c r="L40" s="56"/>
      <c r="M40" s="61"/>
      <c r="N40" s="57"/>
      <c r="O40" s="57"/>
      <c r="P40" s="57"/>
      <c r="Q40" s="57"/>
      <c r="R40" s="57"/>
      <c r="S40" s="57"/>
      <c r="T40" s="57"/>
      <c r="U40" s="57"/>
      <c r="V40" s="57"/>
      <c r="W40" s="57"/>
      <c r="X40" s="57"/>
      <c r="Y40" s="57"/>
      <c r="Z40" s="57"/>
      <c r="AA40" s="58"/>
      <c r="AB40" s="59"/>
      <c r="AC40" s="57"/>
      <c r="AD40" s="57"/>
      <c r="AE40" s="57"/>
      <c r="AF40" s="57"/>
      <c r="AG40" s="57"/>
      <c r="AH40" s="57"/>
      <c r="AI40" s="57"/>
      <c r="AJ40" s="57"/>
      <c r="AK40" s="57"/>
      <c r="AL40" s="57"/>
      <c r="AM40" s="57"/>
      <c r="AN40" s="57"/>
      <c r="AO40" s="57"/>
      <c r="AP40" s="57"/>
      <c r="AQ40" s="60"/>
      <c r="AR40" s="60"/>
      <c r="AS40" s="60"/>
      <c r="AT40" s="57"/>
      <c r="AU40" s="57"/>
      <c r="AV40" s="58"/>
      <c r="AW40" s="59"/>
      <c r="AX40" s="57"/>
      <c r="AY40" s="57"/>
      <c r="AZ40" s="57"/>
      <c r="BA40" s="57"/>
      <c r="BB40" s="57"/>
      <c r="BC40" s="57"/>
      <c r="BD40" s="57"/>
      <c r="BE40" s="57"/>
      <c r="BF40" s="57"/>
      <c r="BG40" s="57"/>
      <c r="BH40" s="57"/>
      <c r="BI40" s="57"/>
      <c r="BJ40" s="58"/>
      <c r="BK40" s="4"/>
    </row>
    <row r="41" spans="1:63" ht="15" customHeight="1">
      <c r="A41" s="1"/>
      <c r="B41" s="52"/>
      <c r="C41" s="53"/>
      <c r="D41" s="54"/>
      <c r="E41" s="55"/>
      <c r="F41" s="55"/>
      <c r="G41" s="55"/>
      <c r="H41" s="55"/>
      <c r="I41" s="55"/>
      <c r="J41" s="55"/>
      <c r="K41" s="55"/>
      <c r="L41" s="56"/>
      <c r="M41" s="61"/>
      <c r="N41" s="57"/>
      <c r="O41" s="57"/>
      <c r="P41" s="57"/>
      <c r="Q41" s="57"/>
      <c r="R41" s="57"/>
      <c r="S41" s="57"/>
      <c r="T41" s="57"/>
      <c r="U41" s="57"/>
      <c r="V41" s="57"/>
      <c r="W41" s="57"/>
      <c r="X41" s="57"/>
      <c r="Y41" s="57"/>
      <c r="Z41" s="57"/>
      <c r="AA41" s="58"/>
      <c r="AB41" s="59"/>
      <c r="AC41" s="57"/>
      <c r="AD41" s="57"/>
      <c r="AE41" s="57"/>
      <c r="AF41" s="57"/>
      <c r="AG41" s="57"/>
      <c r="AH41" s="57"/>
      <c r="AI41" s="57"/>
      <c r="AJ41" s="57"/>
      <c r="AK41" s="57"/>
      <c r="AL41" s="57"/>
      <c r="AM41" s="57"/>
      <c r="AN41" s="57"/>
      <c r="AO41" s="57"/>
      <c r="AP41" s="57"/>
      <c r="AQ41" s="60"/>
      <c r="AR41" s="60"/>
      <c r="AS41" s="60"/>
      <c r="AT41" s="57"/>
      <c r="AU41" s="57"/>
      <c r="AV41" s="58"/>
      <c r="AW41" s="59"/>
      <c r="AX41" s="57"/>
      <c r="AY41" s="57"/>
      <c r="AZ41" s="57"/>
      <c r="BA41" s="57"/>
      <c r="BB41" s="57"/>
      <c r="BC41" s="57"/>
      <c r="BD41" s="57"/>
      <c r="BE41" s="57"/>
      <c r="BF41" s="57"/>
      <c r="BG41" s="57"/>
      <c r="BH41" s="57"/>
      <c r="BI41" s="57"/>
      <c r="BJ41" s="58"/>
      <c r="BK41" s="4"/>
    </row>
    <row r="42" spans="1:63" ht="15" customHeight="1">
      <c r="A42" s="1"/>
      <c r="B42" s="52"/>
      <c r="C42" s="53"/>
      <c r="D42" s="54"/>
      <c r="E42" s="55"/>
      <c r="F42" s="55"/>
      <c r="G42" s="55"/>
      <c r="H42" s="55"/>
      <c r="I42" s="55"/>
      <c r="J42" s="55"/>
      <c r="K42" s="55"/>
      <c r="L42" s="56"/>
      <c r="M42" s="61"/>
      <c r="N42" s="57"/>
      <c r="O42" s="57"/>
      <c r="P42" s="57"/>
      <c r="Q42" s="57"/>
      <c r="R42" s="57"/>
      <c r="S42" s="57"/>
      <c r="T42" s="57"/>
      <c r="U42" s="57"/>
      <c r="V42" s="57"/>
      <c r="W42" s="57"/>
      <c r="X42" s="57"/>
      <c r="Y42" s="57"/>
      <c r="Z42" s="57"/>
      <c r="AA42" s="58"/>
      <c r="AB42" s="59"/>
      <c r="AC42" s="57"/>
      <c r="AD42" s="57"/>
      <c r="AE42" s="57"/>
      <c r="AF42" s="57"/>
      <c r="AG42" s="57"/>
      <c r="AH42" s="57"/>
      <c r="AI42" s="57"/>
      <c r="AJ42" s="57"/>
      <c r="AK42" s="57"/>
      <c r="AL42" s="57"/>
      <c r="AM42" s="57"/>
      <c r="AN42" s="57"/>
      <c r="AO42" s="57"/>
      <c r="AP42" s="57"/>
      <c r="AQ42" s="60"/>
      <c r="AR42" s="60"/>
      <c r="AS42" s="60"/>
      <c r="AT42" s="57"/>
      <c r="AU42" s="57"/>
      <c r="AV42" s="58"/>
      <c r="AW42" s="59"/>
      <c r="AX42" s="57"/>
      <c r="AY42" s="57"/>
      <c r="AZ42" s="57"/>
      <c r="BA42" s="57"/>
      <c r="BB42" s="57"/>
      <c r="BC42" s="57"/>
      <c r="BD42" s="57"/>
      <c r="BE42" s="57"/>
      <c r="BF42" s="57"/>
      <c r="BG42" s="57"/>
      <c r="BH42" s="57"/>
      <c r="BI42" s="57"/>
      <c r="BJ42" s="58"/>
      <c r="BK42" s="4"/>
    </row>
    <row r="43" spans="1:63" ht="15" customHeight="1">
      <c r="A43" s="1"/>
      <c r="B43" s="52"/>
      <c r="C43" s="53"/>
      <c r="D43" s="54"/>
      <c r="E43" s="55"/>
      <c r="F43" s="55"/>
      <c r="G43" s="55"/>
      <c r="H43" s="55"/>
      <c r="I43" s="55"/>
      <c r="J43" s="55"/>
      <c r="K43" s="55"/>
      <c r="L43" s="56"/>
      <c r="M43" s="61"/>
      <c r="N43" s="57"/>
      <c r="O43" s="57"/>
      <c r="P43" s="57"/>
      <c r="Q43" s="57"/>
      <c r="R43" s="57"/>
      <c r="S43" s="57"/>
      <c r="T43" s="57"/>
      <c r="U43" s="57"/>
      <c r="V43" s="57"/>
      <c r="W43" s="57"/>
      <c r="X43" s="57"/>
      <c r="Y43" s="57"/>
      <c r="Z43" s="57"/>
      <c r="AA43" s="58"/>
      <c r="AB43" s="59"/>
      <c r="AC43" s="57"/>
      <c r="AD43" s="57"/>
      <c r="AE43" s="57"/>
      <c r="AF43" s="57"/>
      <c r="AG43" s="57"/>
      <c r="AH43" s="57"/>
      <c r="AI43" s="57"/>
      <c r="AJ43" s="57"/>
      <c r="AK43" s="57"/>
      <c r="AL43" s="57"/>
      <c r="AM43" s="57"/>
      <c r="AN43" s="57"/>
      <c r="AO43" s="57"/>
      <c r="AP43" s="57"/>
      <c r="AQ43" s="60"/>
      <c r="AR43" s="60"/>
      <c r="AS43" s="60"/>
      <c r="AT43" s="57"/>
      <c r="AU43" s="57"/>
      <c r="AV43" s="58"/>
      <c r="AW43" s="59"/>
      <c r="AX43" s="57"/>
      <c r="AY43" s="57"/>
      <c r="AZ43" s="57"/>
      <c r="BA43" s="57"/>
      <c r="BB43" s="57"/>
      <c r="BC43" s="57"/>
      <c r="BD43" s="57"/>
      <c r="BE43" s="57"/>
      <c r="BF43" s="57"/>
      <c r="BG43" s="57"/>
      <c r="BH43" s="57"/>
      <c r="BI43" s="57"/>
      <c r="BJ43" s="58"/>
      <c r="BK43" s="4"/>
    </row>
    <row r="44" spans="1:63" ht="15" customHeight="1">
      <c r="A44" s="1"/>
      <c r="B44" s="52"/>
      <c r="C44" s="53"/>
      <c r="D44" s="54"/>
      <c r="E44" s="55"/>
      <c r="F44" s="55"/>
      <c r="G44" s="55"/>
      <c r="H44" s="55"/>
      <c r="I44" s="55"/>
      <c r="J44" s="55"/>
      <c r="K44" s="55"/>
      <c r="L44" s="56"/>
      <c r="M44" s="61"/>
      <c r="N44" s="57"/>
      <c r="O44" s="57"/>
      <c r="P44" s="57"/>
      <c r="Q44" s="57"/>
      <c r="R44" s="57"/>
      <c r="S44" s="57"/>
      <c r="T44" s="57"/>
      <c r="U44" s="57"/>
      <c r="V44" s="57"/>
      <c r="W44" s="57"/>
      <c r="X44" s="57"/>
      <c r="Y44" s="57"/>
      <c r="Z44" s="57"/>
      <c r="AA44" s="58"/>
      <c r="AB44" s="59"/>
      <c r="AC44" s="57"/>
      <c r="AD44" s="57"/>
      <c r="AE44" s="57"/>
      <c r="AF44" s="57"/>
      <c r="AG44" s="57"/>
      <c r="AH44" s="57"/>
      <c r="AI44" s="57"/>
      <c r="AJ44" s="57"/>
      <c r="AK44" s="57"/>
      <c r="AL44" s="57"/>
      <c r="AM44" s="57"/>
      <c r="AN44" s="57"/>
      <c r="AO44" s="57"/>
      <c r="AP44" s="57"/>
      <c r="AQ44" s="60"/>
      <c r="AR44" s="60"/>
      <c r="AS44" s="60"/>
      <c r="AT44" s="57"/>
      <c r="AU44" s="57"/>
      <c r="AV44" s="58"/>
      <c r="AW44" s="59"/>
      <c r="AX44" s="57"/>
      <c r="AY44" s="57"/>
      <c r="AZ44" s="57"/>
      <c r="BA44" s="57"/>
      <c r="BB44" s="57"/>
      <c r="BC44" s="57"/>
      <c r="BD44" s="57"/>
      <c r="BE44" s="57"/>
      <c r="BF44" s="57"/>
      <c r="BG44" s="57"/>
      <c r="BH44" s="57"/>
      <c r="BI44" s="57"/>
      <c r="BJ44" s="58"/>
      <c r="BK44" s="4"/>
    </row>
    <row r="45" spans="1:63" ht="15" customHeight="1">
      <c r="A45" s="1"/>
      <c r="B45" s="52"/>
      <c r="C45" s="53"/>
      <c r="D45" s="54"/>
      <c r="E45" s="55"/>
      <c r="F45" s="55"/>
      <c r="G45" s="55"/>
      <c r="H45" s="55"/>
      <c r="I45" s="55"/>
      <c r="J45" s="55"/>
      <c r="K45" s="55"/>
      <c r="L45" s="56"/>
      <c r="M45" s="61"/>
      <c r="N45" s="57"/>
      <c r="O45" s="57"/>
      <c r="P45" s="57"/>
      <c r="Q45" s="57"/>
      <c r="R45" s="57"/>
      <c r="S45" s="57"/>
      <c r="T45" s="57"/>
      <c r="U45" s="57"/>
      <c r="V45" s="57"/>
      <c r="W45" s="57"/>
      <c r="X45" s="57"/>
      <c r="Y45" s="57"/>
      <c r="Z45" s="57"/>
      <c r="AA45" s="58"/>
      <c r="AB45" s="59"/>
      <c r="AC45" s="57"/>
      <c r="AD45" s="57"/>
      <c r="AE45" s="57"/>
      <c r="AF45" s="57"/>
      <c r="AG45" s="57"/>
      <c r="AH45" s="57"/>
      <c r="AI45" s="57"/>
      <c r="AJ45" s="57"/>
      <c r="AK45" s="57"/>
      <c r="AL45" s="57"/>
      <c r="AM45" s="57"/>
      <c r="AN45" s="57"/>
      <c r="AO45" s="57"/>
      <c r="AP45" s="57"/>
      <c r="AQ45" s="60"/>
      <c r="AR45" s="60"/>
      <c r="AS45" s="60"/>
      <c r="AT45" s="57"/>
      <c r="AU45" s="57"/>
      <c r="AV45" s="58"/>
      <c r="AW45" s="59"/>
      <c r="AX45" s="57"/>
      <c r="AY45" s="57"/>
      <c r="AZ45" s="57"/>
      <c r="BA45" s="57"/>
      <c r="BB45" s="57"/>
      <c r="BC45" s="57"/>
      <c r="BD45" s="57"/>
      <c r="BE45" s="57"/>
      <c r="BF45" s="57"/>
      <c r="BG45" s="57"/>
      <c r="BH45" s="57"/>
      <c r="BI45" s="57"/>
      <c r="BJ45" s="58"/>
      <c r="BK45" s="4"/>
    </row>
    <row r="46" spans="1:63" ht="15" customHeight="1">
      <c r="A46" s="1"/>
      <c r="B46" s="52"/>
      <c r="C46" s="53"/>
      <c r="D46" s="54"/>
      <c r="E46" s="55"/>
      <c r="F46" s="55"/>
      <c r="G46" s="55"/>
      <c r="H46" s="55"/>
      <c r="I46" s="55"/>
      <c r="J46" s="55"/>
      <c r="K46" s="55"/>
      <c r="L46" s="56"/>
      <c r="M46" s="61"/>
      <c r="N46" s="57"/>
      <c r="O46" s="57"/>
      <c r="P46" s="57"/>
      <c r="Q46" s="57"/>
      <c r="R46" s="57"/>
      <c r="S46" s="57"/>
      <c r="T46" s="57"/>
      <c r="U46" s="57"/>
      <c r="V46" s="57"/>
      <c r="W46" s="57"/>
      <c r="X46" s="57"/>
      <c r="Y46" s="57"/>
      <c r="Z46" s="57"/>
      <c r="AA46" s="58"/>
      <c r="AB46" s="59"/>
      <c r="AC46" s="57"/>
      <c r="AD46" s="57"/>
      <c r="AE46" s="57"/>
      <c r="AF46" s="57"/>
      <c r="AG46" s="57"/>
      <c r="AH46" s="57"/>
      <c r="AI46" s="57"/>
      <c r="AJ46" s="57"/>
      <c r="AK46" s="57"/>
      <c r="AL46" s="57"/>
      <c r="AM46" s="57"/>
      <c r="AN46" s="57"/>
      <c r="AO46" s="57"/>
      <c r="AP46" s="57"/>
      <c r="AQ46" s="60"/>
      <c r="AR46" s="60"/>
      <c r="AS46" s="60"/>
      <c r="AT46" s="57"/>
      <c r="AU46" s="57"/>
      <c r="AV46" s="58"/>
      <c r="AW46" s="59"/>
      <c r="AX46" s="57"/>
      <c r="AY46" s="57"/>
      <c r="AZ46" s="57"/>
      <c r="BA46" s="57"/>
      <c r="BB46" s="57"/>
      <c r="BC46" s="57"/>
      <c r="BD46" s="57"/>
      <c r="BE46" s="57"/>
      <c r="BF46" s="57"/>
      <c r="BG46" s="57"/>
      <c r="BH46" s="57"/>
      <c r="BI46" s="57"/>
      <c r="BJ46" s="58"/>
      <c r="BK46" s="4"/>
    </row>
    <row r="47" spans="1:63" ht="15" customHeight="1">
      <c r="A47" s="1"/>
      <c r="B47" s="52"/>
      <c r="C47" s="53"/>
      <c r="D47" s="54"/>
      <c r="E47" s="55"/>
      <c r="F47" s="55"/>
      <c r="G47" s="55"/>
      <c r="H47" s="55"/>
      <c r="I47" s="55"/>
      <c r="J47" s="55"/>
      <c r="K47" s="55"/>
      <c r="L47" s="56"/>
      <c r="M47" s="61"/>
      <c r="N47" s="57"/>
      <c r="O47" s="57"/>
      <c r="P47" s="57"/>
      <c r="Q47" s="57"/>
      <c r="R47" s="57"/>
      <c r="S47" s="57"/>
      <c r="T47" s="57"/>
      <c r="U47" s="57"/>
      <c r="V47" s="57"/>
      <c r="W47" s="57"/>
      <c r="X47" s="57"/>
      <c r="Y47" s="57"/>
      <c r="Z47" s="57"/>
      <c r="AA47" s="58"/>
      <c r="AB47" s="59"/>
      <c r="AC47" s="57"/>
      <c r="AD47" s="57"/>
      <c r="AE47" s="57"/>
      <c r="AF47" s="57"/>
      <c r="AG47" s="57"/>
      <c r="AH47" s="57"/>
      <c r="AI47" s="57"/>
      <c r="AJ47" s="57"/>
      <c r="AK47" s="57"/>
      <c r="AL47" s="57"/>
      <c r="AM47" s="57"/>
      <c r="AN47" s="57"/>
      <c r="AO47" s="57"/>
      <c r="AP47" s="57"/>
      <c r="AQ47" s="60"/>
      <c r="AR47" s="60"/>
      <c r="AS47" s="60"/>
      <c r="AT47" s="57"/>
      <c r="AU47" s="57"/>
      <c r="AV47" s="58"/>
      <c r="AW47" s="59"/>
      <c r="AX47" s="57"/>
      <c r="AY47" s="57"/>
      <c r="AZ47" s="57"/>
      <c r="BA47" s="57"/>
      <c r="BB47" s="57"/>
      <c r="BC47" s="57"/>
      <c r="BD47" s="57"/>
      <c r="BE47" s="57"/>
      <c r="BF47" s="57"/>
      <c r="BG47" s="57"/>
      <c r="BH47" s="57"/>
      <c r="BI47" s="57"/>
      <c r="BJ47" s="58"/>
      <c r="BK47" s="4"/>
    </row>
    <row r="48" spans="1:63" ht="15" customHeight="1">
      <c r="A48" s="1"/>
      <c r="B48" s="52"/>
      <c r="C48" s="53"/>
      <c r="D48" s="54"/>
      <c r="E48" s="55"/>
      <c r="F48" s="55"/>
      <c r="G48" s="55"/>
      <c r="H48" s="55"/>
      <c r="I48" s="55"/>
      <c r="J48" s="55"/>
      <c r="K48" s="55"/>
      <c r="L48" s="56"/>
      <c r="M48" s="61"/>
      <c r="N48" s="57"/>
      <c r="O48" s="57"/>
      <c r="P48" s="57"/>
      <c r="Q48" s="57"/>
      <c r="R48" s="57"/>
      <c r="S48" s="57"/>
      <c r="T48" s="57"/>
      <c r="U48" s="57"/>
      <c r="V48" s="57"/>
      <c r="W48" s="57"/>
      <c r="X48" s="57"/>
      <c r="Y48" s="57"/>
      <c r="Z48" s="57"/>
      <c r="AA48" s="58"/>
      <c r="AB48" s="59"/>
      <c r="AC48" s="57"/>
      <c r="AD48" s="57"/>
      <c r="AE48" s="57"/>
      <c r="AF48" s="57"/>
      <c r="AG48" s="57"/>
      <c r="AH48" s="57"/>
      <c r="AI48" s="57"/>
      <c r="AJ48" s="57"/>
      <c r="AK48" s="57"/>
      <c r="AL48" s="57"/>
      <c r="AM48" s="57"/>
      <c r="AN48" s="57"/>
      <c r="AO48" s="57"/>
      <c r="AP48" s="57"/>
      <c r="AQ48" s="60"/>
      <c r="AR48" s="60"/>
      <c r="AS48" s="60"/>
      <c r="AT48" s="57"/>
      <c r="AU48" s="57"/>
      <c r="AV48" s="58"/>
      <c r="AW48" s="59"/>
      <c r="AX48" s="57"/>
      <c r="AY48" s="57"/>
      <c r="AZ48" s="57"/>
      <c r="BA48" s="57"/>
      <c r="BB48" s="57"/>
      <c r="BC48" s="57"/>
      <c r="BD48" s="57"/>
      <c r="BE48" s="57"/>
      <c r="BF48" s="57"/>
      <c r="BG48" s="57"/>
      <c r="BH48" s="57"/>
      <c r="BI48" s="57"/>
      <c r="BJ48" s="58"/>
      <c r="BK48" s="4"/>
    </row>
    <row r="49" spans="1:63" ht="15" customHeight="1">
      <c r="A49" s="1"/>
      <c r="B49" s="52"/>
      <c r="C49" s="53"/>
      <c r="D49" s="54"/>
      <c r="E49" s="55"/>
      <c r="F49" s="55"/>
      <c r="G49" s="55"/>
      <c r="H49" s="55"/>
      <c r="I49" s="55"/>
      <c r="J49" s="55"/>
      <c r="K49" s="55"/>
      <c r="L49" s="56"/>
      <c r="M49" s="61"/>
      <c r="N49" s="57"/>
      <c r="O49" s="57"/>
      <c r="P49" s="57"/>
      <c r="Q49" s="57"/>
      <c r="R49" s="57"/>
      <c r="S49" s="57"/>
      <c r="T49" s="57"/>
      <c r="U49" s="57"/>
      <c r="V49" s="57"/>
      <c r="W49" s="57"/>
      <c r="X49" s="57"/>
      <c r="Y49" s="57"/>
      <c r="Z49" s="57"/>
      <c r="AA49" s="58"/>
      <c r="AB49" s="59"/>
      <c r="AC49" s="57"/>
      <c r="AD49" s="57"/>
      <c r="AE49" s="57"/>
      <c r="AF49" s="57"/>
      <c r="AG49" s="57"/>
      <c r="AH49" s="57"/>
      <c r="AI49" s="57"/>
      <c r="AJ49" s="57"/>
      <c r="AK49" s="57"/>
      <c r="AL49" s="57"/>
      <c r="AM49" s="57"/>
      <c r="AN49" s="57"/>
      <c r="AO49" s="57"/>
      <c r="AP49" s="57"/>
      <c r="AQ49" s="60"/>
      <c r="AR49" s="60"/>
      <c r="AS49" s="60"/>
      <c r="AT49" s="57"/>
      <c r="AU49" s="57"/>
      <c r="AV49" s="58"/>
      <c r="AW49" s="59"/>
      <c r="AX49" s="57"/>
      <c r="AY49" s="57"/>
      <c r="AZ49" s="57"/>
      <c r="BA49" s="57"/>
      <c r="BB49" s="57"/>
      <c r="BC49" s="57"/>
      <c r="BD49" s="57"/>
      <c r="BE49" s="57"/>
      <c r="BF49" s="57"/>
      <c r="BG49" s="57"/>
      <c r="BH49" s="57"/>
      <c r="BI49" s="57"/>
      <c r="BJ49" s="58"/>
      <c r="BK49" s="4"/>
    </row>
    <row r="50" spans="1:63" ht="15" customHeight="1">
      <c r="A50" s="1"/>
      <c r="B50" s="52"/>
      <c r="C50" s="53"/>
      <c r="D50" s="54"/>
      <c r="E50" s="55"/>
      <c r="F50" s="55"/>
      <c r="G50" s="55"/>
      <c r="H50" s="55"/>
      <c r="I50" s="55"/>
      <c r="J50" s="55"/>
      <c r="K50" s="55"/>
      <c r="L50" s="56"/>
      <c r="M50" s="61"/>
      <c r="N50" s="57"/>
      <c r="O50" s="57"/>
      <c r="P50" s="57"/>
      <c r="Q50" s="57"/>
      <c r="R50" s="57"/>
      <c r="S50" s="57"/>
      <c r="T50" s="57"/>
      <c r="U50" s="57"/>
      <c r="V50" s="57"/>
      <c r="W50" s="57"/>
      <c r="X50" s="57"/>
      <c r="Y50" s="57"/>
      <c r="Z50" s="57"/>
      <c r="AA50" s="58"/>
      <c r="AB50" s="59"/>
      <c r="AC50" s="57"/>
      <c r="AD50" s="57"/>
      <c r="AE50" s="57"/>
      <c r="AF50" s="57"/>
      <c r="AG50" s="57"/>
      <c r="AH50" s="57"/>
      <c r="AI50" s="57"/>
      <c r="AJ50" s="57"/>
      <c r="AK50" s="57"/>
      <c r="AL50" s="57"/>
      <c r="AM50" s="57"/>
      <c r="AN50" s="57"/>
      <c r="AO50" s="57"/>
      <c r="AP50" s="57"/>
      <c r="AQ50" s="60"/>
      <c r="AR50" s="60"/>
      <c r="AS50" s="60"/>
      <c r="AT50" s="57"/>
      <c r="AU50" s="57"/>
      <c r="AV50" s="58"/>
      <c r="AW50" s="59"/>
      <c r="AX50" s="57"/>
      <c r="AY50" s="57"/>
      <c r="AZ50" s="57"/>
      <c r="BA50" s="57"/>
      <c r="BB50" s="57"/>
      <c r="BC50" s="57"/>
      <c r="BD50" s="57"/>
      <c r="BE50" s="57"/>
      <c r="BF50" s="57"/>
      <c r="BG50" s="57"/>
      <c r="BH50" s="57"/>
      <c r="BI50" s="57"/>
      <c r="BJ50" s="58"/>
      <c r="BK50" s="4"/>
    </row>
    <row r="51" spans="1:63" ht="15" customHeight="1">
      <c r="A51" s="1"/>
      <c r="B51" s="52"/>
      <c r="C51" s="53"/>
      <c r="D51" s="54"/>
      <c r="E51" s="55"/>
      <c r="F51" s="55"/>
      <c r="G51" s="55"/>
      <c r="H51" s="55"/>
      <c r="I51" s="55"/>
      <c r="J51" s="55"/>
      <c r="K51" s="55"/>
      <c r="L51" s="56"/>
      <c r="M51" s="61"/>
      <c r="N51" s="57"/>
      <c r="O51" s="57"/>
      <c r="P51" s="57"/>
      <c r="Q51" s="57"/>
      <c r="R51" s="57"/>
      <c r="S51" s="57"/>
      <c r="T51" s="57"/>
      <c r="U51" s="57"/>
      <c r="V51" s="57"/>
      <c r="W51" s="57"/>
      <c r="X51" s="57"/>
      <c r="Y51" s="57"/>
      <c r="Z51" s="57"/>
      <c r="AA51" s="58"/>
      <c r="AB51" s="59"/>
      <c r="AC51" s="57"/>
      <c r="AD51" s="57"/>
      <c r="AE51" s="57"/>
      <c r="AF51" s="57"/>
      <c r="AG51" s="57"/>
      <c r="AH51" s="57"/>
      <c r="AI51" s="57"/>
      <c r="AJ51" s="57"/>
      <c r="AK51" s="57"/>
      <c r="AL51" s="57"/>
      <c r="AM51" s="57"/>
      <c r="AN51" s="57"/>
      <c r="AO51" s="57"/>
      <c r="AP51" s="57"/>
      <c r="AQ51" s="60"/>
      <c r="AR51" s="60"/>
      <c r="AS51" s="60"/>
      <c r="AT51" s="57"/>
      <c r="AU51" s="57"/>
      <c r="AV51" s="58"/>
      <c r="AW51" s="59"/>
      <c r="AX51" s="57"/>
      <c r="AY51" s="57"/>
      <c r="AZ51" s="57"/>
      <c r="BA51" s="57"/>
      <c r="BB51" s="57"/>
      <c r="BC51" s="57"/>
      <c r="BD51" s="57"/>
      <c r="BE51" s="57"/>
      <c r="BF51" s="57"/>
      <c r="BG51" s="57"/>
      <c r="BH51" s="57"/>
      <c r="BI51" s="57"/>
      <c r="BJ51" s="58"/>
      <c r="BK51" s="4"/>
    </row>
    <row r="52" spans="1:63" ht="15" customHeight="1">
      <c r="A52" s="1"/>
      <c r="B52" s="52"/>
      <c r="C52" s="53"/>
      <c r="D52" s="54"/>
      <c r="E52" s="55"/>
      <c r="F52" s="55"/>
      <c r="G52" s="55"/>
      <c r="H52" s="55"/>
      <c r="I52" s="55"/>
      <c r="J52" s="55"/>
      <c r="K52" s="55"/>
      <c r="L52" s="56"/>
      <c r="M52" s="61"/>
      <c r="N52" s="57"/>
      <c r="O52" s="57"/>
      <c r="P52" s="57"/>
      <c r="Q52" s="57"/>
      <c r="R52" s="57"/>
      <c r="S52" s="57"/>
      <c r="T52" s="57"/>
      <c r="U52" s="57"/>
      <c r="V52" s="57"/>
      <c r="W52" s="57"/>
      <c r="X52" s="57"/>
      <c r="Y52" s="57"/>
      <c r="Z52" s="57"/>
      <c r="AA52" s="58"/>
      <c r="AB52" s="59"/>
      <c r="AC52" s="57"/>
      <c r="AD52" s="57"/>
      <c r="AE52" s="57"/>
      <c r="AF52" s="57"/>
      <c r="AG52" s="57"/>
      <c r="AH52" s="57"/>
      <c r="AI52" s="57"/>
      <c r="AJ52" s="57"/>
      <c r="AK52" s="57"/>
      <c r="AL52" s="57"/>
      <c r="AM52" s="57"/>
      <c r="AN52" s="57"/>
      <c r="AO52" s="57"/>
      <c r="AP52" s="57"/>
      <c r="AQ52" s="60"/>
      <c r="AR52" s="60"/>
      <c r="AS52" s="60"/>
      <c r="AT52" s="57"/>
      <c r="AU52" s="57"/>
      <c r="AV52" s="58"/>
      <c r="AW52" s="59"/>
      <c r="AX52" s="57"/>
      <c r="AY52" s="57"/>
      <c r="AZ52" s="57"/>
      <c r="BA52" s="57"/>
      <c r="BB52" s="57"/>
      <c r="BC52" s="57"/>
      <c r="BD52" s="57"/>
      <c r="BE52" s="57"/>
      <c r="BF52" s="57"/>
      <c r="BG52" s="57"/>
      <c r="BH52" s="57"/>
      <c r="BI52" s="57"/>
      <c r="BJ52" s="58"/>
      <c r="BK52" s="4"/>
    </row>
    <row r="53" spans="1:63" ht="15" customHeight="1">
      <c r="A53" s="1"/>
      <c r="B53" s="52"/>
      <c r="C53" s="53"/>
      <c r="D53" s="54"/>
      <c r="E53" s="55"/>
      <c r="F53" s="55"/>
      <c r="G53" s="55"/>
      <c r="H53" s="55"/>
      <c r="I53" s="55"/>
      <c r="J53" s="55"/>
      <c r="K53" s="55"/>
      <c r="L53" s="56"/>
      <c r="M53" s="61"/>
      <c r="N53" s="57"/>
      <c r="O53" s="57"/>
      <c r="P53" s="57"/>
      <c r="Q53" s="57"/>
      <c r="R53" s="57"/>
      <c r="S53" s="57"/>
      <c r="T53" s="57"/>
      <c r="U53" s="57"/>
      <c r="V53" s="57"/>
      <c r="W53" s="57"/>
      <c r="X53" s="57"/>
      <c r="Y53" s="57"/>
      <c r="Z53" s="57"/>
      <c r="AA53" s="58"/>
      <c r="AB53" s="59"/>
      <c r="AC53" s="57"/>
      <c r="AD53" s="57"/>
      <c r="AE53" s="57"/>
      <c r="AF53" s="57"/>
      <c r="AG53" s="57"/>
      <c r="AH53" s="57"/>
      <c r="AI53" s="57"/>
      <c r="AJ53" s="57"/>
      <c r="AK53" s="57"/>
      <c r="AL53" s="57"/>
      <c r="AM53" s="57"/>
      <c r="AN53" s="57"/>
      <c r="AO53" s="57"/>
      <c r="AP53" s="57"/>
      <c r="AQ53" s="60"/>
      <c r="AR53" s="60"/>
      <c r="AS53" s="60"/>
      <c r="AT53" s="57"/>
      <c r="AU53" s="57"/>
      <c r="AV53" s="58"/>
      <c r="AW53" s="59"/>
      <c r="AX53" s="57"/>
      <c r="AY53" s="57"/>
      <c r="AZ53" s="57"/>
      <c r="BA53" s="57"/>
      <c r="BB53" s="57"/>
      <c r="BC53" s="57"/>
      <c r="BD53" s="57"/>
      <c r="BE53" s="57"/>
      <c r="BF53" s="57"/>
      <c r="BG53" s="57"/>
      <c r="BH53" s="57"/>
      <c r="BI53" s="57"/>
      <c r="BJ53" s="58"/>
      <c r="BK53" s="4"/>
    </row>
    <row r="54" spans="1:63" ht="15" customHeight="1">
      <c r="A54" s="1"/>
      <c r="B54" s="52"/>
      <c r="C54" s="53"/>
      <c r="D54" s="54"/>
      <c r="E54" s="55"/>
      <c r="F54" s="55"/>
      <c r="G54" s="55"/>
      <c r="H54" s="55"/>
      <c r="I54" s="55"/>
      <c r="J54" s="55"/>
      <c r="K54" s="55"/>
      <c r="L54" s="56"/>
      <c r="M54" s="61"/>
      <c r="N54" s="57"/>
      <c r="O54" s="57"/>
      <c r="P54" s="57"/>
      <c r="Q54" s="57"/>
      <c r="R54" s="57"/>
      <c r="S54" s="57"/>
      <c r="T54" s="57"/>
      <c r="U54" s="57"/>
      <c r="V54" s="57"/>
      <c r="W54" s="57"/>
      <c r="X54" s="57"/>
      <c r="Y54" s="57"/>
      <c r="Z54" s="57"/>
      <c r="AA54" s="58"/>
      <c r="AB54" s="59"/>
      <c r="AC54" s="57"/>
      <c r="AD54" s="57"/>
      <c r="AE54" s="57"/>
      <c r="AF54" s="57"/>
      <c r="AG54" s="57"/>
      <c r="AH54" s="57"/>
      <c r="AI54" s="57"/>
      <c r="AJ54" s="57"/>
      <c r="AK54" s="57"/>
      <c r="AL54" s="57"/>
      <c r="AM54" s="57"/>
      <c r="AN54" s="57"/>
      <c r="AO54" s="57"/>
      <c r="AP54" s="57"/>
      <c r="AQ54" s="60"/>
      <c r="AR54" s="60"/>
      <c r="AS54" s="60"/>
      <c r="AT54" s="57"/>
      <c r="AU54" s="57"/>
      <c r="AV54" s="58"/>
      <c r="AW54" s="59"/>
      <c r="AX54" s="57"/>
      <c r="AY54" s="57"/>
      <c r="AZ54" s="57"/>
      <c r="BA54" s="57"/>
      <c r="BB54" s="57"/>
      <c r="BC54" s="57"/>
      <c r="BD54" s="57"/>
      <c r="BE54" s="57"/>
      <c r="BF54" s="57"/>
      <c r="BG54" s="57"/>
      <c r="BH54" s="57"/>
      <c r="BI54" s="57"/>
      <c r="BJ54" s="58"/>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2D35F-2004-4F59-9FFE-BD11358DAEBC}">
  <dimension ref="A1:BK55"/>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281</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K8" s="4"/>
    </row>
    <row r="9" spans="1:63" ht="15" customHeight="1">
      <c r="A9" s="1"/>
      <c r="BK9" s="4"/>
    </row>
    <row r="10" spans="1:63" ht="15" customHeight="1">
      <c r="A10" s="1"/>
      <c r="BK10" s="4"/>
    </row>
    <row r="11" spans="1:63" ht="15" customHeight="1">
      <c r="A11" s="1"/>
      <c r="BK11" s="4"/>
    </row>
    <row r="12" spans="1:63" ht="15" customHeight="1">
      <c r="A12" s="1"/>
      <c r="BK12" s="4"/>
    </row>
    <row r="13" spans="1:63" ht="15" customHeight="1">
      <c r="A13" s="1"/>
      <c r="BK13" s="4"/>
    </row>
    <row r="14" spans="1:63" ht="15" customHeight="1">
      <c r="A14" s="1"/>
      <c r="BK14" s="4"/>
    </row>
    <row r="15" spans="1:63" ht="15" customHeight="1">
      <c r="A15" s="1"/>
      <c r="BK15" s="4"/>
    </row>
    <row r="16" spans="1:63" ht="15" customHeight="1">
      <c r="A16" s="1"/>
      <c r="BK16" s="4"/>
    </row>
    <row r="17" spans="1:63" ht="15" customHeight="1">
      <c r="A17" s="1"/>
      <c r="BK17" s="4"/>
    </row>
    <row r="18" spans="1:63" ht="15" customHeight="1">
      <c r="A18" s="1"/>
      <c r="BK18" s="4"/>
    </row>
    <row r="19" spans="1:63" ht="15" customHeight="1">
      <c r="A19" s="1"/>
      <c r="BK19" s="4"/>
    </row>
    <row r="20" spans="1:63" ht="15" customHeight="1">
      <c r="A20" s="1"/>
      <c r="BK20" s="4"/>
    </row>
    <row r="21" spans="1:63" ht="15" customHeight="1">
      <c r="A21" s="1"/>
      <c r="BK21" s="4"/>
    </row>
    <row r="22" spans="1:63" ht="15" customHeight="1">
      <c r="A22" s="1"/>
      <c r="BK22" s="4"/>
    </row>
    <row r="23" spans="1:63" ht="15" customHeight="1">
      <c r="A23" s="1"/>
      <c r="BK23" s="4"/>
    </row>
    <row r="24" spans="1:63" ht="15" customHeight="1">
      <c r="A24" s="1"/>
      <c r="BK24" s="4"/>
    </row>
    <row r="25" spans="1:63" ht="15" customHeight="1">
      <c r="A25" s="1"/>
      <c r="BK25" s="4"/>
    </row>
    <row r="26" spans="1:63" ht="15" customHeight="1">
      <c r="A26" s="1"/>
      <c r="BK26" s="4"/>
    </row>
    <row r="27" spans="1:63" ht="15" customHeight="1">
      <c r="A27" s="1"/>
      <c r="BK27" s="4"/>
    </row>
    <row r="28" spans="1:63" ht="15" customHeight="1">
      <c r="A28" s="1"/>
      <c r="BK28" s="4"/>
    </row>
    <row r="29" spans="1:63" ht="15" customHeight="1">
      <c r="A29" s="1"/>
      <c r="BK29" s="4"/>
    </row>
    <row r="30" spans="1:63" ht="15" customHeight="1">
      <c r="A30" s="1"/>
      <c r="BK30" s="4"/>
    </row>
    <row r="31" spans="1:63" ht="15" customHeight="1">
      <c r="A31" s="1"/>
      <c r="BK31" s="4"/>
    </row>
    <row r="32" spans="1:63" ht="15" customHeight="1">
      <c r="A32" s="1"/>
      <c r="BK32" s="4"/>
    </row>
    <row r="33" spans="1:63" ht="15" customHeight="1">
      <c r="A33" s="1"/>
      <c r="BK33" s="4"/>
    </row>
    <row r="34" spans="1:63" ht="15" customHeight="1">
      <c r="A34" s="1"/>
      <c r="BK34" s="4"/>
    </row>
    <row r="35" spans="1:63" ht="15" customHeight="1">
      <c r="A35" s="1"/>
      <c r="BK35" s="4"/>
    </row>
    <row r="36" spans="1:63" ht="15" customHeight="1">
      <c r="A36" s="1"/>
      <c r="BK36" s="4"/>
    </row>
    <row r="37" spans="1:63" ht="15" customHeight="1">
      <c r="A37" s="1"/>
      <c r="BK37" s="4"/>
    </row>
    <row r="38" spans="1:63" ht="15" customHeight="1">
      <c r="A38" s="1"/>
      <c r="BK38" s="4"/>
    </row>
    <row r="39" spans="1:63" ht="15" customHeight="1">
      <c r="A39" s="1"/>
      <c r="BK39" s="4"/>
    </row>
    <row r="40" spans="1:63" ht="15" customHeight="1">
      <c r="A40" s="1"/>
      <c r="BK40" s="4"/>
    </row>
    <row r="41" spans="1:63" ht="15" customHeight="1">
      <c r="A41" s="1"/>
      <c r="BK41" s="4"/>
    </row>
    <row r="42" spans="1:63" ht="15" customHeight="1">
      <c r="A42" s="1"/>
      <c r="BK42" s="4"/>
    </row>
    <row r="43" spans="1:63" ht="15" customHeight="1">
      <c r="A43" s="1"/>
      <c r="BK43" s="4"/>
    </row>
    <row r="44" spans="1:63" ht="15" customHeight="1">
      <c r="A44" s="1"/>
      <c r="BK44" s="4"/>
    </row>
    <row r="45" spans="1:63" ht="15" customHeight="1">
      <c r="A45" s="1"/>
      <c r="BK45" s="4"/>
    </row>
    <row r="46" spans="1:63" ht="15" customHeight="1">
      <c r="A46" s="1"/>
      <c r="BK46" s="4"/>
    </row>
    <row r="47" spans="1:63" ht="15" customHeight="1">
      <c r="A47" s="1"/>
      <c r="BK47" s="4"/>
    </row>
    <row r="48" spans="1:63" ht="15" customHeight="1">
      <c r="A48" s="1"/>
      <c r="BK48" s="4"/>
    </row>
    <row r="49" spans="1:63" ht="15" customHeight="1">
      <c r="A49" s="1"/>
      <c r="BK49" s="4"/>
    </row>
    <row r="50" spans="1:63" ht="15" customHeight="1">
      <c r="A50" s="1"/>
      <c r="BK50" s="4"/>
    </row>
    <row r="51" spans="1:63" ht="15" customHeight="1">
      <c r="A51" s="1"/>
      <c r="BK51" s="4"/>
    </row>
    <row r="52" spans="1:63" ht="15" customHeight="1">
      <c r="A52" s="1"/>
      <c r="BK52" s="4"/>
    </row>
    <row r="53" spans="1:63" ht="15" customHeight="1">
      <c r="A53" s="1"/>
      <c r="BK53" s="4"/>
    </row>
    <row r="54" spans="1:63" ht="15" customHeight="1">
      <c r="A54" s="1"/>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AE2FA-4A2D-4B9A-B638-CAAB5A769DF5}">
  <dimension ref="A1:BP67"/>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19</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292" t="s">
        <v>43</v>
      </c>
      <c r="C8" s="293"/>
      <c r="D8" s="293"/>
      <c r="E8" s="293"/>
      <c r="F8" s="294"/>
      <c r="G8" s="295"/>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row>
    <row r="9" spans="1:63" ht="15" customHeight="1">
      <c r="A9" s="1"/>
      <c r="B9" s="301" t="s">
        <v>45</v>
      </c>
      <c r="C9" s="302"/>
      <c r="D9" s="302"/>
      <c r="E9" s="302"/>
      <c r="F9" s="303"/>
      <c r="G9" s="304" t="s">
        <v>74</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row>
    <row r="10" spans="1:63" ht="15" customHeight="1">
      <c r="A10" s="1"/>
      <c r="B10" s="310" t="s">
        <v>47</v>
      </c>
      <c r="C10" s="311"/>
      <c r="D10" s="311"/>
      <c r="E10" s="311"/>
      <c r="F10" s="312"/>
      <c r="G10" s="298"/>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row>
    <row r="11" spans="1:63"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row>
    <row r="12" spans="1:63"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row>
    <row r="13" spans="1:63"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row>
    <row r="14" spans="1:63"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row>
    <row r="15" spans="1:63"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row>
    <row r="16" spans="1:63"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 (</v>
      </c>
      <c r="BN20" t="str">
        <f>"CREATE TABLE `TMP`.`"&amp;G10&amp;"` ("</f>
        <v>CREATE TABLE `TMP`.`` (</v>
      </c>
    </row>
    <row r="21" spans="1:68" ht="15" customHeight="1">
      <c r="A21" s="1"/>
      <c r="B21" s="16">
        <v>1</v>
      </c>
      <c r="C21" s="17"/>
      <c r="D21" s="18" t="s">
        <v>30</v>
      </c>
      <c r="E21" s="19"/>
      <c r="F21" s="19"/>
      <c r="G21" s="19"/>
      <c r="H21" s="19"/>
      <c r="I21" s="19"/>
      <c r="J21" s="19"/>
      <c r="K21" s="19"/>
      <c r="L21" s="19"/>
      <c r="M21" s="19"/>
      <c r="N21" s="19"/>
      <c r="O21" s="19"/>
      <c r="P21" s="19"/>
      <c r="Q21" s="20"/>
      <c r="R21" s="18" t="s">
        <v>62</v>
      </c>
      <c r="S21" s="19"/>
      <c r="T21" s="19"/>
      <c r="U21" s="19"/>
      <c r="V21" s="19"/>
      <c r="W21" s="19"/>
      <c r="X21" s="19"/>
      <c r="Y21" s="19"/>
      <c r="Z21" s="19"/>
      <c r="AA21" s="19"/>
      <c r="AB21" s="20"/>
      <c r="AC21" s="18" t="s">
        <v>31</v>
      </c>
      <c r="AD21" s="19"/>
      <c r="AE21" s="19"/>
      <c r="AF21" s="19"/>
      <c r="AG21" s="20"/>
      <c r="AH21" s="18">
        <v>1</v>
      </c>
      <c r="AI21" s="20"/>
      <c r="AJ21" s="18" t="s">
        <v>885</v>
      </c>
      <c r="AK21" s="19"/>
      <c r="AL21" s="20"/>
      <c r="AM21" s="18" t="s">
        <v>32</v>
      </c>
      <c r="AN21" s="19"/>
      <c r="AO21" s="19"/>
      <c r="AP21" s="19"/>
      <c r="AQ21" s="19"/>
      <c r="AR21" s="19"/>
      <c r="AS21" s="20"/>
      <c r="AT21" s="21"/>
      <c r="AU21" s="19"/>
      <c r="AV21" s="19"/>
      <c r="AW21" s="19"/>
      <c r="AX21" s="19"/>
      <c r="AY21" s="19"/>
      <c r="AZ21" s="19"/>
      <c r="BA21" s="19"/>
      <c r="BB21" s="19"/>
      <c r="BC21" s="19"/>
      <c r="BD21" s="19"/>
      <c r="BE21" s="19"/>
      <c r="BF21" s="19"/>
      <c r="BG21" s="19"/>
      <c r="BH21" s="19"/>
      <c r="BI21" s="19"/>
      <c r="BJ21" s="20"/>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16">
        <v>2</v>
      </c>
      <c r="C22" s="17"/>
      <c r="D22" s="22" t="s">
        <v>66</v>
      </c>
      <c r="E22" s="19"/>
      <c r="F22" s="19"/>
      <c r="G22" s="19"/>
      <c r="H22" s="19"/>
      <c r="I22" s="19"/>
      <c r="J22" s="19"/>
      <c r="K22" s="19"/>
      <c r="L22" s="19"/>
      <c r="M22" s="19"/>
      <c r="N22" s="19"/>
      <c r="O22" s="19"/>
      <c r="P22" s="19"/>
      <c r="Q22" s="20"/>
      <c r="R22" s="18" t="s">
        <v>61</v>
      </c>
      <c r="S22" s="19"/>
      <c r="T22" s="19"/>
      <c r="U22" s="19"/>
      <c r="V22" s="19"/>
      <c r="W22" s="19"/>
      <c r="X22" s="19"/>
      <c r="Y22" s="19"/>
      <c r="Z22" s="19"/>
      <c r="AA22" s="19"/>
      <c r="AB22" s="20"/>
      <c r="AC22" s="18" t="s">
        <v>33</v>
      </c>
      <c r="AD22" s="19"/>
      <c r="AE22" s="19"/>
      <c r="AF22" s="19"/>
      <c r="AG22" s="20"/>
      <c r="AH22" s="18"/>
      <c r="AI22" s="20"/>
      <c r="AJ22" s="18" t="s">
        <v>885</v>
      </c>
      <c r="AK22" s="19"/>
      <c r="AL22" s="20"/>
      <c r="AM22" s="18" t="s">
        <v>71</v>
      </c>
      <c r="AN22" s="19"/>
      <c r="AO22" s="19"/>
      <c r="AP22" s="19"/>
      <c r="AQ22" s="19"/>
      <c r="AR22" s="19"/>
      <c r="AS22" s="20"/>
      <c r="AT22" s="18"/>
      <c r="AU22" s="19"/>
      <c r="AV22" s="19"/>
      <c r="AW22" s="19"/>
      <c r="AX22" s="19"/>
      <c r="AY22" s="19"/>
      <c r="AZ22" s="19"/>
      <c r="BA22" s="19"/>
      <c r="BB22" s="19"/>
      <c r="BC22" s="19"/>
      <c r="BD22" s="19"/>
      <c r="BE22" s="19"/>
      <c r="BF22" s="19"/>
      <c r="BG22" s="19"/>
      <c r="BH22" s="19"/>
      <c r="BI22" s="19"/>
      <c r="BJ22" s="20"/>
      <c r="BK22" s="4"/>
      <c r="BM22" t="str">
        <f t="shared" ref="BM22:BM37"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18"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18"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18"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16">
        <v>7</v>
      </c>
      <c r="C27" s="17"/>
      <c r="D27" s="22" t="s">
        <v>301</v>
      </c>
      <c r="E27" s="19"/>
      <c r="F27" s="19"/>
      <c r="G27" s="19"/>
      <c r="H27" s="19"/>
      <c r="I27" s="19"/>
      <c r="J27" s="19"/>
      <c r="K27" s="19"/>
      <c r="L27" s="19"/>
      <c r="M27" s="19"/>
      <c r="N27" s="19"/>
      <c r="O27" s="19"/>
      <c r="P27" s="19"/>
      <c r="Q27" s="20"/>
      <c r="R27" s="18"/>
      <c r="S27" s="19"/>
      <c r="T27" s="19"/>
      <c r="U27" s="19"/>
      <c r="V27" s="19"/>
      <c r="W27" s="19"/>
      <c r="X27" s="19"/>
      <c r="Y27" s="19"/>
      <c r="Z27" s="19"/>
      <c r="AA27" s="19"/>
      <c r="AB27" s="20"/>
      <c r="AC27" s="18"/>
      <c r="AD27" s="19"/>
      <c r="AE27" s="19"/>
      <c r="AF27" s="19"/>
      <c r="AG27" s="20"/>
      <c r="AH27" s="18"/>
      <c r="AI27" s="20"/>
      <c r="AJ27" s="18"/>
      <c r="AK27" s="19"/>
      <c r="AL27" s="20"/>
      <c r="AM27" s="18"/>
      <c r="AN27" s="19"/>
      <c r="AO27" s="19"/>
      <c r="AP27" s="19"/>
      <c r="AQ27" s="19"/>
      <c r="AR27" s="19"/>
      <c r="AS27" s="20"/>
      <c r="AT27" s="18"/>
      <c r="AU27" s="19"/>
      <c r="AV27" s="19"/>
      <c r="AW27" s="19"/>
      <c r="AX27" s="19"/>
      <c r="AY27" s="19"/>
      <c r="AZ27" s="19"/>
      <c r="BA27" s="19"/>
      <c r="BB27" s="19"/>
      <c r="BC27" s="19"/>
      <c r="BD27" s="19"/>
      <c r="BE27" s="19"/>
      <c r="BF27" s="19"/>
      <c r="BG27" s="19"/>
      <c r="BH27" s="19"/>
      <c r="BI27" s="19"/>
      <c r="BJ27" s="20"/>
      <c r="BK27" s="4"/>
      <c r="BM27" t="str">
        <f t="shared" si="0"/>
        <v>,``   COMMENT 'ボタン番号'</v>
      </c>
      <c r="BN27" t="str">
        <f t="shared" ref="BN27:BN37" si="3">",`"&amp;R27&amp;"` "&amp;AC27&amp;" "&amp;IF(AJ27="Y","NOT NULL","")&amp;" COMMENT '"&amp;D27&amp;"'"</f>
        <v>,``   COMMENT 'ボタン番号'</v>
      </c>
      <c r="BO27" t="str">
        <f t="shared" si="1"/>
        <v>,A.`` = B.``</v>
      </c>
      <c r="BP27" t="str">
        <f t="shared" si="2"/>
        <v>,``</v>
      </c>
    </row>
    <row r="28" spans="1:68" ht="15" customHeight="1">
      <c r="A28" s="1"/>
      <c r="B28" s="16">
        <v>8</v>
      </c>
      <c r="C28" s="17"/>
      <c r="D28" s="22" t="s">
        <v>302</v>
      </c>
      <c r="E28" s="19"/>
      <c r="F28" s="19"/>
      <c r="G28" s="19"/>
      <c r="H28" s="19"/>
      <c r="I28" s="19"/>
      <c r="J28" s="19"/>
      <c r="K28" s="19"/>
      <c r="L28" s="19"/>
      <c r="M28" s="19"/>
      <c r="N28" s="19"/>
      <c r="O28" s="19"/>
      <c r="P28" s="19"/>
      <c r="Q28" s="20"/>
      <c r="R28" s="18"/>
      <c r="S28" s="19"/>
      <c r="T28" s="19"/>
      <c r="U28" s="19"/>
      <c r="V28" s="19"/>
      <c r="W28" s="19"/>
      <c r="X28" s="19"/>
      <c r="Y28" s="19"/>
      <c r="Z28" s="19"/>
      <c r="AA28" s="19"/>
      <c r="AB28" s="20"/>
      <c r="AC28" s="18"/>
      <c r="AD28" s="19"/>
      <c r="AE28" s="19"/>
      <c r="AF28" s="19"/>
      <c r="AG28" s="20"/>
      <c r="AH28" s="18"/>
      <c r="AI28" s="20"/>
      <c r="AJ28" s="18"/>
      <c r="AK28" s="19"/>
      <c r="AL28" s="20"/>
      <c r="AM28" s="18"/>
      <c r="AN28" s="19"/>
      <c r="AO28" s="19"/>
      <c r="AP28" s="19"/>
      <c r="AQ28" s="19"/>
      <c r="AR28" s="19"/>
      <c r="AS28" s="20"/>
      <c r="AT28" s="18"/>
      <c r="AU28" s="19"/>
      <c r="AV28" s="19"/>
      <c r="AW28" s="19"/>
      <c r="AX28" s="19"/>
      <c r="AY28" s="19"/>
      <c r="AZ28" s="19"/>
      <c r="BA28" s="19"/>
      <c r="BB28" s="19"/>
      <c r="BC28" s="19"/>
      <c r="BD28" s="19"/>
      <c r="BE28" s="19"/>
      <c r="BF28" s="19"/>
      <c r="BG28" s="19"/>
      <c r="BH28" s="19"/>
      <c r="BI28" s="19"/>
      <c r="BJ28" s="20"/>
      <c r="BK28" s="4"/>
      <c r="BM28" t="str">
        <f t="shared" si="0"/>
        <v>,``   COMMENT 'ラベル'</v>
      </c>
      <c r="BN28" t="str">
        <f t="shared" si="3"/>
        <v>,``   COMMENT 'ラベル'</v>
      </c>
      <c r="BO28" t="str">
        <f t="shared" si="1"/>
        <v>,A.`` = B.``</v>
      </c>
      <c r="BP28" t="str">
        <f t="shared" si="2"/>
        <v>,``</v>
      </c>
    </row>
    <row r="29" spans="1:68" ht="15" customHeight="1">
      <c r="A29" s="1"/>
      <c r="B29" s="16">
        <v>9</v>
      </c>
      <c r="C29" s="24"/>
      <c r="D29" s="22" t="s">
        <v>303</v>
      </c>
      <c r="E29" s="19"/>
      <c r="F29" s="19"/>
      <c r="G29" s="19"/>
      <c r="H29" s="19"/>
      <c r="I29" s="19"/>
      <c r="J29" s="19"/>
      <c r="K29" s="19"/>
      <c r="L29" s="19"/>
      <c r="M29" s="19"/>
      <c r="N29" s="19"/>
      <c r="O29" s="19"/>
      <c r="P29" s="19"/>
      <c r="Q29" s="20"/>
      <c r="R29" s="18"/>
      <c r="S29" s="19"/>
      <c r="T29" s="19"/>
      <c r="U29" s="19"/>
      <c r="V29" s="19"/>
      <c r="W29" s="19"/>
      <c r="X29" s="19"/>
      <c r="Y29" s="19"/>
      <c r="Z29" s="19"/>
      <c r="AA29" s="19"/>
      <c r="AB29" s="20"/>
      <c r="AC29" s="18"/>
      <c r="AD29" s="19"/>
      <c r="AE29" s="19"/>
      <c r="AF29" s="19"/>
      <c r="AG29" s="20"/>
      <c r="AH29" s="18"/>
      <c r="AI29" s="20"/>
      <c r="AJ29" s="22"/>
      <c r="AK29" s="19"/>
      <c r="AL29" s="20"/>
      <c r="AM29" s="22"/>
      <c r="AN29" s="19"/>
      <c r="AO29" s="19"/>
      <c r="AP29" s="19"/>
      <c r="AQ29" s="19"/>
      <c r="AR29" s="19"/>
      <c r="AS29" s="20"/>
      <c r="AT29" s="22"/>
      <c r="AU29" s="19"/>
      <c r="AV29" s="19"/>
      <c r="AW29" s="19"/>
      <c r="AX29" s="19"/>
      <c r="AY29" s="19"/>
      <c r="AZ29" s="19"/>
      <c r="BA29" s="19"/>
      <c r="BB29" s="19"/>
      <c r="BC29" s="19"/>
      <c r="BD29" s="19"/>
      <c r="BE29" s="19"/>
      <c r="BF29" s="19"/>
      <c r="BG29" s="19"/>
      <c r="BH29" s="19"/>
      <c r="BI29" s="19"/>
      <c r="BJ29" s="20"/>
      <c r="BK29" s="4"/>
      <c r="BM29" t="str">
        <f t="shared" si="0"/>
        <v>,``   COMMENT '遷移先'</v>
      </c>
      <c r="BN29" t="str">
        <f t="shared" si="3"/>
        <v>,``   COMMENT '遷移先'</v>
      </c>
      <c r="BO29" t="str">
        <f t="shared" si="1"/>
        <v>,A.`` = B.``</v>
      </c>
      <c r="BP29" t="str">
        <f t="shared" si="2"/>
        <v>,``</v>
      </c>
    </row>
    <row r="30" spans="1:68" ht="15" customHeight="1">
      <c r="A30" s="1"/>
      <c r="B30" s="16">
        <v>10</v>
      </c>
      <c r="C30" s="24"/>
      <c r="D30" s="18" t="s">
        <v>304</v>
      </c>
      <c r="E30" s="19"/>
      <c r="F30" s="19"/>
      <c r="G30" s="19"/>
      <c r="H30" s="19"/>
      <c r="I30" s="19"/>
      <c r="J30" s="19"/>
      <c r="K30" s="19"/>
      <c r="L30" s="19"/>
      <c r="M30" s="19"/>
      <c r="N30" s="19"/>
      <c r="O30" s="19"/>
      <c r="P30" s="19"/>
      <c r="Q30" s="20"/>
      <c r="R30" s="18"/>
      <c r="S30" s="19"/>
      <c r="T30" s="19"/>
      <c r="U30" s="19"/>
      <c r="V30" s="19"/>
      <c r="W30" s="19"/>
      <c r="X30" s="19"/>
      <c r="Y30" s="19"/>
      <c r="Z30" s="19"/>
      <c r="AA30" s="19"/>
      <c r="AB30" s="20"/>
      <c r="AC30" s="18"/>
      <c r="AD30" s="19"/>
      <c r="AE30" s="19"/>
      <c r="AF30" s="19"/>
      <c r="AG30" s="20"/>
      <c r="AH30" s="18"/>
      <c r="AI30" s="20"/>
      <c r="AJ30" s="22"/>
      <c r="AK30" s="19"/>
      <c r="AL30" s="20"/>
      <c r="AM30" s="18"/>
      <c r="AN30" s="19"/>
      <c r="AO30" s="19"/>
      <c r="AP30" s="19"/>
      <c r="AQ30" s="19"/>
      <c r="AR30" s="19"/>
      <c r="AS30" s="20"/>
      <c r="AT30" s="70" t="s">
        <v>305</v>
      </c>
      <c r="AU30" s="19"/>
      <c r="AV30" s="19"/>
      <c r="AW30" s="19"/>
      <c r="AX30" s="19"/>
      <c r="AY30" s="19"/>
      <c r="AZ30" s="19"/>
      <c r="BA30" s="19"/>
      <c r="BB30" s="19"/>
      <c r="BC30" s="19"/>
      <c r="BD30" s="19"/>
      <c r="BE30" s="19"/>
      <c r="BF30" s="19"/>
      <c r="BG30" s="19"/>
      <c r="BH30" s="19"/>
      <c r="BI30" s="19"/>
      <c r="BJ30" s="20"/>
      <c r="BK30" s="4"/>
      <c r="BM30" t="str">
        <f t="shared" si="0"/>
        <v>,``   COMMENT '活性化/1：開設時活性 / 2：非開設時活性 /3：常に活性 / 99：常に非活性'</v>
      </c>
      <c r="BN30" t="str">
        <f t="shared" si="3"/>
        <v>,``   COMMENT '活性化'</v>
      </c>
      <c r="BO30" t="str">
        <f t="shared" si="1"/>
        <v>,A.`` = B.``</v>
      </c>
      <c r="BP30" t="str">
        <f t="shared" si="2"/>
        <v>,``</v>
      </c>
    </row>
    <row r="31" spans="1:68" ht="15" customHeight="1">
      <c r="A31" s="1"/>
      <c r="B31" s="16">
        <v>11</v>
      </c>
      <c r="C31" s="24"/>
      <c r="D31" s="22"/>
      <c r="E31" s="25"/>
      <c r="F31" s="25"/>
      <c r="G31" s="25"/>
      <c r="H31" s="25"/>
      <c r="I31" s="25"/>
      <c r="J31" s="25"/>
      <c r="K31" s="25"/>
      <c r="L31" s="25"/>
      <c r="M31" s="25"/>
      <c r="N31" s="25"/>
      <c r="O31" s="25"/>
      <c r="P31" s="25"/>
      <c r="Q31" s="26"/>
      <c r="R31" s="22"/>
      <c r="S31" s="25"/>
      <c r="T31" s="25"/>
      <c r="U31" s="25"/>
      <c r="V31" s="25"/>
      <c r="W31" s="25"/>
      <c r="X31" s="25"/>
      <c r="Y31" s="25"/>
      <c r="Z31" s="25"/>
      <c r="AA31" s="25"/>
      <c r="AB31" s="26"/>
      <c r="AC31" s="22"/>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   COMMENT ''</v>
      </c>
      <c r="BN31" t="str">
        <f t="shared" si="3"/>
        <v>,``   COMMENT ''</v>
      </c>
      <c r="BO31" t="str">
        <f t="shared" si="1"/>
        <v>,A.`` = B.``</v>
      </c>
      <c r="BP31" t="str">
        <f t="shared" si="2"/>
        <v>,``</v>
      </c>
    </row>
    <row r="32" spans="1:68" ht="15" customHeight="1">
      <c r="A32" s="1"/>
      <c r="B32" s="16">
        <v>12</v>
      </c>
      <c r="C32" s="24"/>
      <c r="D32" s="22"/>
      <c r="E32" s="25"/>
      <c r="F32" s="25"/>
      <c r="G32" s="25"/>
      <c r="H32" s="25"/>
      <c r="I32" s="25"/>
      <c r="J32" s="25"/>
      <c r="K32" s="25"/>
      <c r="L32" s="25"/>
      <c r="M32" s="25"/>
      <c r="N32" s="25"/>
      <c r="O32" s="25"/>
      <c r="P32" s="25"/>
      <c r="Q32" s="26"/>
      <c r="R32" s="22"/>
      <c r="S32" s="25"/>
      <c r="T32" s="25"/>
      <c r="U32" s="25"/>
      <c r="V32" s="25"/>
      <c r="W32" s="25"/>
      <c r="X32" s="25"/>
      <c r="Y32" s="25"/>
      <c r="Z32" s="25"/>
      <c r="AA32" s="25"/>
      <c r="AB32" s="26"/>
      <c r="AC32" s="22"/>
      <c r="AD32" s="25"/>
      <c r="AE32" s="25"/>
      <c r="AF32" s="25"/>
      <c r="AG32" s="26"/>
      <c r="AH32" s="22"/>
      <c r="AI32" s="26"/>
      <c r="AJ32" s="22"/>
      <c r="AK32" s="25"/>
      <c r="AL32" s="26"/>
      <c r="AM32" s="22"/>
      <c r="AN32" s="25"/>
      <c r="AO32" s="25"/>
      <c r="AP32" s="25"/>
      <c r="AQ32" s="25"/>
      <c r="AR32" s="25"/>
      <c r="AS32" s="26"/>
      <c r="AT32" s="33"/>
      <c r="AU32" s="25"/>
      <c r="AV32" s="25"/>
      <c r="AW32" s="25"/>
      <c r="AX32" s="25"/>
      <c r="AY32" s="25"/>
      <c r="AZ32" s="25"/>
      <c r="BA32" s="25"/>
      <c r="BB32" s="25"/>
      <c r="BC32" s="25"/>
      <c r="BD32" s="25"/>
      <c r="BE32" s="25"/>
      <c r="BF32" s="25"/>
      <c r="BG32" s="25"/>
      <c r="BH32" s="25"/>
      <c r="BI32" s="25"/>
      <c r="BJ32" s="26"/>
      <c r="BK32" s="4"/>
      <c r="BM32" t="str">
        <f t="shared" si="0"/>
        <v>,``   COMMENT ''</v>
      </c>
      <c r="BN32" t="str">
        <f t="shared" si="3"/>
        <v>,``   COMMENT ''</v>
      </c>
      <c r="BO32" t="str">
        <f t="shared" si="1"/>
        <v>,A.`` = B.``</v>
      </c>
      <c r="BP32" t="str">
        <f t="shared" si="2"/>
        <v>,``</v>
      </c>
    </row>
    <row r="33" spans="1:68" ht="15" customHeight="1">
      <c r="A33" s="1"/>
      <c r="B33" s="28">
        <v>13</v>
      </c>
      <c r="C33" s="29"/>
      <c r="D33" s="30"/>
      <c r="E33" s="31"/>
      <c r="F33" s="31"/>
      <c r="G33" s="31"/>
      <c r="H33" s="31"/>
      <c r="I33" s="31"/>
      <c r="J33" s="31"/>
      <c r="K33" s="31"/>
      <c r="L33" s="31"/>
      <c r="M33" s="31"/>
      <c r="N33" s="31"/>
      <c r="O33" s="31"/>
      <c r="P33" s="31"/>
      <c r="Q33" s="32"/>
      <c r="R33" s="30"/>
      <c r="S33" s="31"/>
      <c r="T33" s="31"/>
      <c r="U33" s="31"/>
      <c r="V33" s="31"/>
      <c r="W33" s="31"/>
      <c r="X33" s="31"/>
      <c r="Y33" s="31"/>
      <c r="Z33" s="31"/>
      <c r="AA33" s="31"/>
      <c r="AB33" s="32"/>
      <c r="AC33" s="30"/>
      <c r="AD33" s="31"/>
      <c r="AE33" s="31"/>
      <c r="AF33" s="31"/>
      <c r="AG33" s="32"/>
      <c r="AH33" s="30"/>
      <c r="AI33" s="32"/>
      <c r="AJ33" s="30"/>
      <c r="AK33" s="31"/>
      <c r="AL33" s="32"/>
      <c r="AM33" s="30"/>
      <c r="AN33" s="31"/>
      <c r="AO33" s="31"/>
      <c r="AP33" s="31"/>
      <c r="AQ33" s="31"/>
      <c r="AR33" s="31"/>
      <c r="AS33" s="32"/>
      <c r="AT33" s="30"/>
      <c r="AU33" s="31"/>
      <c r="AV33" s="31"/>
      <c r="AW33" s="31"/>
      <c r="AX33" s="31"/>
      <c r="AY33" s="31"/>
      <c r="AZ33" s="31"/>
      <c r="BA33" s="31"/>
      <c r="BB33" s="31"/>
      <c r="BC33" s="31"/>
      <c r="BD33" s="31"/>
      <c r="BE33" s="31"/>
      <c r="BF33" s="31"/>
      <c r="BG33" s="31"/>
      <c r="BH33" s="31"/>
      <c r="BI33" s="31"/>
      <c r="BJ33" s="32"/>
      <c r="BK33" s="4"/>
      <c r="BM33" t="str">
        <f t="shared" si="0"/>
        <v>,``   COMMENT ''</v>
      </c>
      <c r="BN33" t="str">
        <f t="shared" si="3"/>
        <v>,``   COMMENT ''</v>
      </c>
      <c r="BO33" t="str">
        <f t="shared" si="1"/>
        <v>,A.`` = B.``</v>
      </c>
      <c r="BP33" t="str">
        <f t="shared" si="2"/>
        <v>,``</v>
      </c>
    </row>
    <row r="34" spans="1:68" ht="15" customHeight="1">
      <c r="A34" s="1"/>
      <c r="BK34" s="4"/>
      <c r="BM34" t="str">
        <f t="shared" si="0"/>
        <v>,``   COMMENT ''</v>
      </c>
      <c r="BN34" t="str">
        <f t="shared" si="3"/>
        <v>,``   COMMENT ''</v>
      </c>
      <c r="BO34" t="str">
        <f t="shared" si="1"/>
        <v>,A.`` = B.``</v>
      </c>
      <c r="BP34" t="str">
        <f t="shared" si="2"/>
        <v>,``</v>
      </c>
    </row>
    <row r="35" spans="1:68" ht="15" customHeight="1">
      <c r="A35" s="1"/>
      <c r="BK35" s="4"/>
      <c r="BM35" t="str">
        <f t="shared" si="0"/>
        <v>,``   COMMENT ''</v>
      </c>
      <c r="BN35" t="str">
        <f t="shared" si="3"/>
        <v>,``   COMMENT ''</v>
      </c>
      <c r="BO35" t="str">
        <f t="shared" si="1"/>
        <v>,A.`` = B.``</v>
      </c>
      <c r="BP35" t="str">
        <f t="shared" si="2"/>
        <v>,``</v>
      </c>
    </row>
    <row r="36" spans="1:68" ht="15" customHeight="1">
      <c r="A36" s="1"/>
      <c r="B36" s="37" t="s">
        <v>49</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4"/>
      <c r="BM36" t="str">
        <f t="shared" si="0"/>
        <v>,``   COMMENT ''</v>
      </c>
      <c r="BN36" t="str">
        <f t="shared" si="3"/>
        <v>,``   COMMENT ''</v>
      </c>
      <c r="BO36" t="str">
        <f t="shared" si="1"/>
        <v>,A.`` = B.``</v>
      </c>
      <c r="BP36" t="str">
        <f t="shared" si="2"/>
        <v>,``</v>
      </c>
    </row>
    <row r="37" spans="1:68" ht="15" customHeight="1">
      <c r="A37" s="1"/>
      <c r="B37" s="34" t="s">
        <v>50</v>
      </c>
      <c r="C37" s="35"/>
      <c r="D37" s="34" t="s">
        <v>51</v>
      </c>
      <c r="E37" s="44"/>
      <c r="F37" s="36"/>
      <c r="G37" s="36"/>
      <c r="H37" s="36"/>
      <c r="I37" s="36"/>
      <c r="J37" s="36"/>
      <c r="K37" s="36"/>
      <c r="L37" s="36"/>
      <c r="M37" s="36"/>
      <c r="N37" s="36"/>
      <c r="O37" s="36"/>
      <c r="P37" s="36"/>
      <c r="Q37" s="35"/>
      <c r="R37" s="34" t="s">
        <v>52</v>
      </c>
      <c r="S37" s="44"/>
      <c r="T37" s="36"/>
      <c r="U37" s="36"/>
      <c r="V37" s="36"/>
      <c r="W37" s="36"/>
      <c r="X37" s="36"/>
      <c r="Y37" s="36"/>
      <c r="Z37" s="36"/>
      <c r="AA37" s="36"/>
      <c r="AB37" s="36"/>
      <c r="AC37" s="36"/>
      <c r="AD37" s="36"/>
      <c r="AE37" s="36"/>
      <c r="AF37" s="36"/>
      <c r="AG37" s="36"/>
      <c r="AH37" s="36"/>
      <c r="AI37" s="36"/>
      <c r="AJ37" s="36"/>
      <c r="AK37" s="35"/>
      <c r="AL37" s="34" t="s">
        <v>53</v>
      </c>
      <c r="AM37" s="36"/>
      <c r="AN37" s="36"/>
      <c r="AO37" s="45"/>
      <c r="AP37" s="34" t="s">
        <v>54</v>
      </c>
      <c r="AQ37" s="36"/>
      <c r="AR37" s="36"/>
      <c r="AS37" s="35"/>
      <c r="AT37" s="34" t="s">
        <v>48</v>
      </c>
      <c r="AU37" s="44"/>
      <c r="AV37" s="44"/>
      <c r="AW37" s="36"/>
      <c r="AX37" s="36"/>
      <c r="AY37" s="44"/>
      <c r="AZ37" s="36"/>
      <c r="BA37" s="36"/>
      <c r="BB37" s="36"/>
      <c r="BC37" s="36"/>
      <c r="BD37" s="36"/>
      <c r="BE37" s="36"/>
      <c r="BF37" s="36"/>
      <c r="BG37" s="36"/>
      <c r="BH37" s="36"/>
      <c r="BI37" s="44"/>
      <c r="BJ37" s="35"/>
      <c r="BK37" s="4"/>
      <c r="BM37" t="str">
        <f t="shared" si="0"/>
        <v>,`カラム一覧`   COMMENT 'Index名/備考'</v>
      </c>
      <c r="BN37" t="str">
        <f t="shared" si="3"/>
        <v>,`カラム一覧`   COMMENT 'Index名'</v>
      </c>
      <c r="BO37" t="str">
        <f t="shared" si="1"/>
        <v>,A.`カラム一覧` = B.`カラム一覧`</v>
      </c>
      <c r="BP37" t="str">
        <f t="shared" si="2"/>
        <v>,`カラム一覧`</v>
      </c>
    </row>
    <row r="38" spans="1:68" ht="15" customHeight="1">
      <c r="A38" s="1"/>
      <c r="B38" s="38">
        <v>1</v>
      </c>
      <c r="C38" s="39"/>
      <c r="D38" s="38" t="s">
        <v>55</v>
      </c>
      <c r="E38" s="46"/>
      <c r="F38" s="40"/>
      <c r="G38" s="40"/>
      <c r="H38" s="40"/>
      <c r="I38" s="40"/>
      <c r="J38" s="40"/>
      <c r="K38" s="40"/>
      <c r="L38" s="40"/>
      <c r="M38" s="40"/>
      <c r="N38" s="40"/>
      <c r="O38" s="40"/>
      <c r="P38" s="40"/>
      <c r="Q38" s="39"/>
      <c r="R38"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`RECORD_ID`</v>
      </c>
      <c r="S38" s="46"/>
      <c r="T38" s="40"/>
      <c r="U38" s="40"/>
      <c r="V38" s="40"/>
      <c r="W38" s="40"/>
      <c r="X38" s="40"/>
      <c r="Y38" s="40"/>
      <c r="Z38" s="40"/>
      <c r="AA38" s="40"/>
      <c r="AB38" s="40"/>
      <c r="AC38" s="40"/>
      <c r="AD38" s="40"/>
      <c r="AE38" s="40"/>
      <c r="AF38" s="40"/>
      <c r="AG38" s="40"/>
      <c r="AH38" s="40"/>
      <c r="AI38" s="40"/>
      <c r="AJ38" s="40"/>
      <c r="AK38" s="39"/>
      <c r="AL38" s="38" t="s">
        <v>885</v>
      </c>
      <c r="AM38" s="40"/>
      <c r="AN38" s="40"/>
      <c r="AO38" s="47"/>
      <c r="AP38" s="38" t="s">
        <v>885</v>
      </c>
      <c r="AQ38" s="40"/>
      <c r="AR38" s="40"/>
      <c r="AS38" s="39"/>
      <c r="AT38" s="38"/>
      <c r="AU38" s="46"/>
      <c r="AV38" s="46"/>
      <c r="AW38" s="40"/>
      <c r="AX38" s="40"/>
      <c r="AY38" s="46"/>
      <c r="AZ38" s="40"/>
      <c r="BA38" s="40"/>
      <c r="BB38" s="40"/>
      <c r="BC38" s="40"/>
      <c r="BD38" s="40"/>
      <c r="BE38" s="40"/>
      <c r="BF38" s="40"/>
      <c r="BG38" s="40"/>
      <c r="BH38" s="40"/>
      <c r="BI38" s="46"/>
      <c r="BJ38" s="39"/>
      <c r="BK38" s="4"/>
      <c r="BM38"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(`RECORD_ID`),</v>
      </c>
      <c r="BN38" t="str">
        <f>BM38</f>
        <v xml:space="preserve"> , PRIMARY KEY (`RECORD_ID`),</v>
      </c>
      <c r="BO38" t="str">
        <f t="shared" si="1"/>
        <v>,A.``RECORD_ID`` = B.``RECORD_ID``</v>
      </c>
      <c r="BP38" t="str">
        <f t="shared" si="2"/>
        <v>,``RECORD_ID``</v>
      </c>
    </row>
    <row r="39" spans="1:68" ht="15" customHeight="1">
      <c r="A39" s="1"/>
      <c r="BK39" s="4"/>
      <c r="BM39" t="s">
        <v>452</v>
      </c>
      <c r="BO39" t="str">
        <f t="shared" si="1"/>
        <v>,A.`` = B.``</v>
      </c>
      <c r="BP39" t="str">
        <f t="shared" si="2"/>
        <v>,``</v>
      </c>
    </row>
    <row r="40" spans="1:68" ht="15" customHeight="1">
      <c r="A40" s="1"/>
      <c r="BK40" s="4"/>
      <c r="BM40" t="str">
        <f>") ENGINE=InnoDB DEFAULT CHARSET=utf8 COMMENT = '"&amp;$G$9&amp;"';"</f>
        <v>) ENGINE=InnoDB DEFAULT CHARSET=utf8 COMMENT = '機器接続情報';</v>
      </c>
      <c r="BN40" t="str">
        <f>") ENGINE=InnoDB DEFAULT CHARSET=utf8 COMMENT = '"&amp;$G$9&amp;"_TMP';"</f>
        <v>) ENGINE=InnoDB DEFAULT CHARSET=utf8 COMMENT = '機器接続情報_TMP';</v>
      </c>
      <c r="BO40" t="str">
        <f t="shared" si="1"/>
        <v>,A.`` = B.``</v>
      </c>
      <c r="BP40" t="str">
        <f t="shared" si="2"/>
        <v>,``</v>
      </c>
    </row>
    <row r="41" spans="1:68" ht="15" customHeight="1">
      <c r="A41" s="1"/>
      <c r="B41" s="37" t="s">
        <v>34</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4"/>
      <c r="BO41" t="str">
        <f t="shared" si="1"/>
        <v>,A.`` = B.``</v>
      </c>
      <c r="BP41" t="str">
        <f t="shared" si="2"/>
        <v>,``</v>
      </c>
    </row>
    <row r="42" spans="1:68" ht="15" customHeight="1">
      <c r="A42" s="1"/>
      <c r="B42" s="34" t="s">
        <v>35</v>
      </c>
      <c r="C42" s="45"/>
      <c r="D42" s="34" t="s">
        <v>36</v>
      </c>
      <c r="E42" s="44"/>
      <c r="F42" s="44"/>
      <c r="G42" s="44"/>
      <c r="H42" s="44"/>
      <c r="I42" s="44"/>
      <c r="J42" s="44"/>
      <c r="K42" s="44"/>
      <c r="L42" s="36"/>
      <c r="M42" s="36"/>
      <c r="N42" s="36"/>
      <c r="O42" s="36"/>
      <c r="P42" s="36"/>
      <c r="Q42" s="35"/>
      <c r="R42" s="34" t="s">
        <v>37</v>
      </c>
      <c r="S42" s="36"/>
      <c r="T42" s="45"/>
      <c r="U42" s="34" t="s">
        <v>38</v>
      </c>
      <c r="V42" s="36"/>
      <c r="W42" s="44"/>
      <c r="X42" s="45"/>
      <c r="Y42" s="34" t="s">
        <v>39</v>
      </c>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5"/>
      <c r="BK42" s="4"/>
      <c r="BM42" t="str">
        <f>"CREATE TRIGGER `"&amp;G2&amp;"_CR_Date_Time` BEFORE INSERT ON `"&amp;G2&amp;"`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c r="BO42" t="str">
        <f t="shared" si="1"/>
        <v>,A.`イベント` = B.`イベント`</v>
      </c>
      <c r="BP42" t="str">
        <f t="shared" si="2"/>
        <v>,`イベント`</v>
      </c>
    </row>
    <row r="43" spans="1:68" ht="15" customHeight="1">
      <c r="A43" s="1"/>
      <c r="B43" s="41">
        <v>1</v>
      </c>
      <c r="C43" s="47"/>
      <c r="D43" s="41" t="str">
        <f>G10&amp;"_"&amp;R43&amp;"_"&amp;"trg"</f>
        <v>_update_trg</v>
      </c>
      <c r="E43" s="46"/>
      <c r="F43" s="46"/>
      <c r="G43" s="46"/>
      <c r="H43" s="46"/>
      <c r="I43" s="46"/>
      <c r="J43" s="46"/>
      <c r="K43" s="46"/>
      <c r="L43" s="42"/>
      <c r="M43" s="42"/>
      <c r="N43" s="42"/>
      <c r="O43" s="42"/>
      <c r="P43" s="42"/>
      <c r="Q43" s="43"/>
      <c r="R43" s="41" t="s">
        <v>40</v>
      </c>
      <c r="S43" s="42"/>
      <c r="T43" s="47"/>
      <c r="U43" s="41" t="s">
        <v>41</v>
      </c>
      <c r="V43" s="42"/>
      <c r="W43" s="46"/>
      <c r="X43" s="47"/>
      <c r="Y43" s="41" t="s">
        <v>42</v>
      </c>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3"/>
      <c r="BK43" s="4"/>
      <c r="BM43" t="str">
        <f>"CREATE TRIGGER `"&amp;G2&amp;"_UP_Date_Time` BEFORE UPDATE ON `"&amp;G2&amp;"` FOR EACH ROW SET NEW.record_update_date = CURRENT_DATE, NEW.record_update_time = CURRENT_TIME;"</f>
        <v>CREATE TRIGGER `_UP_Date_Time` BEFORE UPDATE ON `` FOR EACH ROW SET NEW.record_update_date = CURRENT_DATE, NEW.record_update_time = CURRENT_TIME;</v>
      </c>
    </row>
    <row r="44" spans="1:68" ht="15" customHeight="1">
      <c r="A44" s="1"/>
      <c r="BK44" s="4"/>
    </row>
    <row r="45" spans="1:68" ht="15" customHeight="1">
      <c r="A45" s="1"/>
      <c r="BK45" s="4"/>
    </row>
    <row r="46" spans="1:68" ht="15" customHeight="1">
      <c r="A46" s="1"/>
      <c r="BK46" s="4"/>
    </row>
    <row r="47" spans="1:68" ht="15" customHeight="1">
      <c r="A47" s="1"/>
      <c r="BK47" s="4"/>
    </row>
    <row r="48" spans="1:68" ht="15" customHeight="1">
      <c r="A48" s="1"/>
      <c r="BK48" s="4"/>
    </row>
    <row r="49" spans="1:68" ht="15" customHeight="1">
      <c r="A49" s="1"/>
      <c r="BK49" s="4"/>
    </row>
    <row r="50" spans="1:68" ht="15" customHeight="1">
      <c r="A50" s="1"/>
      <c r="BK50" s="4"/>
    </row>
    <row r="51" spans="1:68" ht="15" customHeight="1">
      <c r="A51" s="1"/>
      <c r="BK51" s="4"/>
    </row>
    <row r="52" spans="1:68" ht="15" customHeight="1">
      <c r="A52" s="1"/>
      <c r="BK52" s="4"/>
    </row>
    <row r="53" spans="1:68" ht="15" customHeight="1">
      <c r="A53" s="1"/>
      <c r="BK53" s="4"/>
    </row>
    <row r="54" spans="1:68" ht="15" customHeight="1">
      <c r="A54" s="1"/>
      <c r="BK54" s="4"/>
    </row>
    <row r="55" spans="1:68"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row r="63" spans="1:68">
      <c r="BM63" t="s">
        <v>858</v>
      </c>
      <c r="BN63" t="str">
        <f>BM63</f>
        <v xml:space="preserve"> , PRIMARY KEY (`CompanyCode`,`StoreCode`,`ReceiptCouponCode`,`PrintFrom`,`MessagePosition`,`MessageLineNo`),</v>
      </c>
      <c r="BO63" t="str">
        <f t="shared" si="1"/>
        <v>,A.`` = B.``</v>
      </c>
      <c r="BP63" t="str">
        <f t="shared" si="2"/>
        <v>,``</v>
      </c>
    </row>
    <row r="64" spans="1:68">
      <c r="BM64" t="s">
        <v>452</v>
      </c>
      <c r="BO64" t="str">
        <f t="shared" si="1"/>
        <v>,A.`` = B.``</v>
      </c>
      <c r="BP64" t="str">
        <f t="shared" si="2"/>
        <v>,``</v>
      </c>
    </row>
    <row r="65" spans="65:68">
      <c r="BM65" t="s">
        <v>639</v>
      </c>
      <c r="BN65" t="str">
        <f>BM65</f>
        <v>) ENGINE=InnoDB DEFAULT CHARSET=utf8;</v>
      </c>
      <c r="BO65" t="str">
        <f t="shared" si="1"/>
        <v>,A.`` = B.``</v>
      </c>
      <c r="BP65" t="str">
        <f t="shared" si="2"/>
        <v>,``</v>
      </c>
    </row>
    <row r="66" spans="65:68">
      <c r="BM66" t="str">
        <f>"CREATE TRIGGER `"&amp;G10&amp;"_CR_Date_Time` BEFORE INSERT ON `"&amp;G10&amp;"`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67" spans="65:68">
      <c r="BM67" t="str">
        <f>"CREATE TRIGGER `"&amp;G10&amp;"_UP_Date_Time` BEFORE UPDATE ON `"&amp;G10&amp;"` FOR EACH ROW SET NEW.record_update_date = CURRENT_DATE, NEW.record_update_time = CURRENT_TIME;"</f>
        <v>CREATE TRIGGER `_UP_Date_Time` BEFORE UPDATE ON `` FOR EACH ROW SET NEW.record_update_date = CURRENT_DATE, NEW.record_update_time = CURRENT_TIME;</v>
      </c>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DE648-5AFE-488C-84F5-EE4B25E69774}">
  <dimension ref="A1:BP68"/>
  <sheetViews>
    <sheetView view="pageBreakPreview" topLeftCell="A14" zoomScale="80" zoomScaleNormal="75" zoomScaleSheetLayoutView="80" workbookViewId="0">
      <selection activeCell="R30" sqref="R30"/>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19</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292" t="s">
        <v>43</v>
      </c>
      <c r="C8" s="293"/>
      <c r="D8" s="293"/>
      <c r="E8" s="293"/>
      <c r="F8" s="294"/>
      <c r="G8" s="295"/>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row>
    <row r="9" spans="1:63" ht="15" customHeight="1">
      <c r="A9" s="1"/>
      <c r="B9" s="301" t="s">
        <v>45</v>
      </c>
      <c r="C9" s="302"/>
      <c r="D9" s="302"/>
      <c r="E9" s="302"/>
      <c r="F9" s="303"/>
      <c r="G9" s="304" t="s">
        <v>287</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row>
    <row r="10" spans="1:63" ht="15" customHeight="1">
      <c r="A10" s="1"/>
      <c r="B10" s="310" t="s">
        <v>47</v>
      </c>
      <c r="C10" s="311"/>
      <c r="D10" s="311"/>
      <c r="E10" s="311"/>
      <c r="F10" s="312"/>
      <c r="G10" s="298" t="s">
        <v>210</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row>
    <row r="11" spans="1:63"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row>
    <row r="12" spans="1:63"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row>
    <row r="13" spans="1:63"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row>
    <row r="14" spans="1:63"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row>
    <row r="15" spans="1:63"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row>
    <row r="16" spans="1:63"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``.`sales_details`;</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``.`sales_details` (</v>
      </c>
      <c r="BN20" t="str">
        <f>"CREATE TABLE `TMP`.`"&amp;G10&amp;"` ("</f>
        <v>CREATE TABLE `TMP`.`sales_details`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225</v>
      </c>
      <c r="E27" s="25"/>
      <c r="F27" s="25"/>
      <c r="G27" s="25"/>
      <c r="H27" s="25"/>
      <c r="I27" s="25"/>
      <c r="J27" s="25"/>
      <c r="K27" s="25"/>
      <c r="L27" s="25"/>
      <c r="M27" s="25"/>
      <c r="N27" s="25"/>
      <c r="O27" s="25"/>
      <c r="P27" s="25"/>
      <c r="Q27" s="26"/>
      <c r="R27" s="22" t="s">
        <v>212</v>
      </c>
      <c r="S27" s="25"/>
      <c r="T27" s="25"/>
      <c r="U27" s="25"/>
      <c r="V27" s="25"/>
      <c r="W27" s="25"/>
      <c r="X27" s="25"/>
      <c r="Y27" s="25"/>
      <c r="Z27" s="25"/>
      <c r="AA27" s="25"/>
      <c r="AB27" s="26"/>
      <c r="AC27" s="22" t="s">
        <v>213</v>
      </c>
      <c r="AD27" s="25"/>
      <c r="AE27" s="25"/>
      <c r="AF27" s="25"/>
      <c r="AG27" s="26"/>
      <c r="AH27" s="22">
        <v>1</v>
      </c>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c r="BM27" t="str">
        <f t="shared" si="0"/>
        <v>,`company_code` char(3)  COMMENT '企業コード'</v>
      </c>
      <c r="BN27" t="str">
        <f t="shared" ref="BN27:BN42" si="3">",`"&amp;R27&amp;"` "&amp;AC27&amp;" "&amp;IF(AJ27="Y","NOT NULL","")&amp;" COMMENT '"&amp;D27&amp;"'"</f>
        <v>,`company_code` char(3)  COMMENT '企業コード'</v>
      </c>
      <c r="BO27" t="str">
        <f t="shared" si="1"/>
        <v>,A.`company_code` = B.`company_code`</v>
      </c>
      <c r="BP27" t="str">
        <f t="shared" si="2"/>
        <v>,`company_code`</v>
      </c>
    </row>
    <row r="28" spans="1:68" ht="15" customHeight="1">
      <c r="A28" s="1"/>
      <c r="B28" s="23">
        <v>8</v>
      </c>
      <c r="C28" s="24"/>
      <c r="D28" s="22" t="s">
        <v>226</v>
      </c>
      <c r="E28" s="25"/>
      <c r="F28" s="25"/>
      <c r="G28" s="25"/>
      <c r="H28" s="25"/>
      <c r="I28" s="25"/>
      <c r="J28" s="25"/>
      <c r="K28" s="25"/>
      <c r="L28" s="25"/>
      <c r="M28" s="25"/>
      <c r="N28" s="25"/>
      <c r="O28" s="25"/>
      <c r="P28" s="25"/>
      <c r="Q28" s="26"/>
      <c r="R28" s="22" t="s">
        <v>214</v>
      </c>
      <c r="S28" s="25"/>
      <c r="T28" s="25"/>
      <c r="U28" s="25"/>
      <c r="V28" s="25"/>
      <c r="W28" s="25"/>
      <c r="X28" s="25"/>
      <c r="Y28" s="25"/>
      <c r="Z28" s="25"/>
      <c r="AA28" s="25"/>
      <c r="AB28" s="26"/>
      <c r="AC28" s="22" t="s">
        <v>215</v>
      </c>
      <c r="AD28" s="25"/>
      <c r="AE28" s="25"/>
      <c r="AF28" s="25"/>
      <c r="AG28" s="26"/>
      <c r="AH28" s="22">
        <v>2</v>
      </c>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,`store_code` char(5)  COMMENT '店舗コード'</v>
      </c>
      <c r="BN28" t="str">
        <f t="shared" si="3"/>
        <v>,`store_code` char(5)  COMMENT '店舗コード'</v>
      </c>
      <c r="BO28" t="str">
        <f t="shared" si="1"/>
        <v>,A.`store_code` = B.`store_code`</v>
      </c>
      <c r="BP28" t="str">
        <f t="shared" si="2"/>
        <v>,`store_code`</v>
      </c>
    </row>
    <row r="29" spans="1:68" ht="15" customHeight="1">
      <c r="A29" s="1"/>
      <c r="B29" s="23">
        <v>9</v>
      </c>
      <c r="C29" s="24"/>
      <c r="D29" s="22" t="s">
        <v>227</v>
      </c>
      <c r="E29" s="25"/>
      <c r="F29" s="25"/>
      <c r="G29" s="25"/>
      <c r="H29" s="25"/>
      <c r="I29" s="25"/>
      <c r="J29" s="25"/>
      <c r="K29" s="25"/>
      <c r="L29" s="25"/>
      <c r="M29" s="25"/>
      <c r="N29" s="25"/>
      <c r="O29" s="25"/>
      <c r="P29" s="25"/>
      <c r="Q29" s="26"/>
      <c r="R29" s="22" t="s">
        <v>216</v>
      </c>
      <c r="S29" s="25"/>
      <c r="T29" s="25"/>
      <c r="U29" s="25"/>
      <c r="V29" s="25"/>
      <c r="W29" s="25"/>
      <c r="X29" s="25"/>
      <c r="Y29" s="25"/>
      <c r="Z29" s="25"/>
      <c r="AA29" s="25"/>
      <c r="AB29" s="26"/>
      <c r="AC29" s="22" t="s">
        <v>215</v>
      </c>
      <c r="AD29" s="25"/>
      <c r="AE29" s="25"/>
      <c r="AF29" s="25"/>
      <c r="AG29" s="26"/>
      <c r="AH29" s="22">
        <v>3</v>
      </c>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,`instore_code` char(5)  COMMENT 'レジ番号'</v>
      </c>
      <c r="BN29" t="str">
        <f t="shared" si="3"/>
        <v>,`instore_code` char(5)  COMMENT 'レジ番号'</v>
      </c>
      <c r="BO29" t="str">
        <f t="shared" si="1"/>
        <v>,A.`instore_code` = B.`instore_code`</v>
      </c>
      <c r="BP29" t="str">
        <f t="shared" si="2"/>
        <v>,`instore_code`</v>
      </c>
    </row>
    <row r="30" spans="1:68" ht="15" customHeight="1">
      <c r="A30" s="1"/>
      <c r="B30" s="23">
        <v>13</v>
      </c>
      <c r="C30" s="24"/>
      <c r="D30" s="22" t="s">
        <v>231</v>
      </c>
      <c r="E30" s="25"/>
      <c r="F30" s="25"/>
      <c r="G30" s="25"/>
      <c r="H30" s="25"/>
      <c r="I30" s="25"/>
      <c r="J30" s="25"/>
      <c r="K30" s="25"/>
      <c r="L30" s="25"/>
      <c r="M30" s="25"/>
      <c r="N30" s="25"/>
      <c r="O30" s="25"/>
      <c r="P30" s="25"/>
      <c r="Q30" s="26"/>
      <c r="R30" s="22" t="s">
        <v>224</v>
      </c>
      <c r="S30" s="25"/>
      <c r="T30" s="25"/>
      <c r="U30" s="25"/>
      <c r="V30" s="25"/>
      <c r="W30" s="25"/>
      <c r="X30" s="25"/>
      <c r="Y30" s="25"/>
      <c r="Z30" s="25"/>
      <c r="AA30" s="25"/>
      <c r="AB30" s="26"/>
      <c r="AC30" s="22" t="s">
        <v>234</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,`record_datetime` char(16)  COMMENT '取引確定日時&lt;取引確定後&gt;'</v>
      </c>
      <c r="BN30" t="str">
        <f t="shared" si="3"/>
        <v>,`record_datetime` char(16)  COMMENT '取引確定日時&lt;取引確定後&gt;'</v>
      </c>
      <c r="BO30" t="str">
        <f t="shared" si="1"/>
        <v>,A.`record_datetime` = B.`record_datetime`</v>
      </c>
      <c r="BP30" t="str">
        <f t="shared" si="2"/>
        <v>,`record_datetime`</v>
      </c>
    </row>
    <row r="31" spans="1:68" ht="15" customHeight="1">
      <c r="A31" s="1"/>
      <c r="B31" s="23">
        <v>14</v>
      </c>
      <c r="C31" s="24"/>
      <c r="D31" s="22" t="s">
        <v>288</v>
      </c>
      <c r="E31" s="25"/>
      <c r="F31" s="25"/>
      <c r="G31" s="25"/>
      <c r="H31" s="25"/>
      <c r="I31" s="25"/>
      <c r="J31" s="25"/>
      <c r="K31" s="25"/>
      <c r="L31" s="25"/>
      <c r="M31" s="25"/>
      <c r="N31" s="25"/>
      <c r="O31" s="25"/>
      <c r="P31" s="25"/>
      <c r="Q31" s="26"/>
      <c r="R31" s="22" t="s">
        <v>217</v>
      </c>
      <c r="S31" s="25"/>
      <c r="T31" s="25"/>
      <c r="U31" s="25"/>
      <c r="V31" s="25"/>
      <c r="W31" s="25"/>
      <c r="X31" s="25"/>
      <c r="Y31" s="25"/>
      <c r="Z31" s="25"/>
      <c r="AA31" s="25"/>
      <c r="AB31" s="26"/>
      <c r="AC31" s="22" t="s">
        <v>233</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,`journal_no` char(10)  COMMENT 'ジャーナルNO&lt;取引確定後&gt;'</v>
      </c>
      <c r="BN31" t="str">
        <f t="shared" si="3"/>
        <v>,`journal_no` char(10)  COMMENT 'ジャーナルNO&lt;取引確定後&gt;'</v>
      </c>
      <c r="BO31" t="str">
        <f t="shared" si="1"/>
        <v>,A.`journal_no` = B.`journal_no`</v>
      </c>
      <c r="BP31" t="str">
        <f t="shared" si="2"/>
        <v>,`journal_no`</v>
      </c>
    </row>
    <row r="32" spans="1:68" ht="15" customHeight="1">
      <c r="A32" s="1"/>
      <c r="B32" s="23">
        <v>15</v>
      </c>
      <c r="C32" s="24"/>
      <c r="D32" s="22" t="s">
        <v>289</v>
      </c>
      <c r="E32" s="25"/>
      <c r="F32" s="25"/>
      <c r="G32" s="25"/>
      <c r="H32" s="25"/>
      <c r="I32" s="25"/>
      <c r="J32" s="25"/>
      <c r="K32" s="25"/>
      <c r="L32" s="25"/>
      <c r="M32" s="25"/>
      <c r="N32" s="25"/>
      <c r="O32" s="25"/>
      <c r="P32" s="25"/>
      <c r="Q32" s="26"/>
      <c r="R32" s="22" t="s">
        <v>1410</v>
      </c>
      <c r="S32" s="25"/>
      <c r="T32" s="25"/>
      <c r="U32" s="25"/>
      <c r="V32" s="25"/>
      <c r="W32" s="25"/>
      <c r="X32" s="25"/>
      <c r="Y32" s="25"/>
      <c r="Z32" s="25"/>
      <c r="AA32" s="25"/>
      <c r="AB32" s="26"/>
      <c r="AC32" s="22" t="s">
        <v>233</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,`receipt_no` char(10)  COMMENT 'レシートNO&lt;取引確定後&gt;'</v>
      </c>
      <c r="BN32" t="str">
        <f t="shared" si="3"/>
        <v>,`receipt_no` char(10)  COMMENT 'レシートNO&lt;取引確定後&gt;'</v>
      </c>
      <c r="BO32" t="str">
        <f t="shared" si="1"/>
        <v>,A.`receipt_no` = B.`receipt_no`</v>
      </c>
      <c r="BP32" t="str">
        <f t="shared" si="2"/>
        <v>,`receipt_no`</v>
      </c>
    </row>
    <row r="33" spans="1:68" ht="15" customHeight="1">
      <c r="A33" s="1"/>
      <c r="B33" s="23">
        <v>16</v>
      </c>
      <c r="C33" s="24"/>
      <c r="D33" s="22" t="s">
        <v>228</v>
      </c>
      <c r="E33" s="25"/>
      <c r="F33" s="25"/>
      <c r="G33" s="25"/>
      <c r="H33" s="25"/>
      <c r="I33" s="25"/>
      <c r="J33" s="25"/>
      <c r="K33" s="25"/>
      <c r="L33" s="25"/>
      <c r="M33" s="25"/>
      <c r="N33" s="25"/>
      <c r="O33" s="25"/>
      <c r="P33" s="25"/>
      <c r="Q33" s="26"/>
      <c r="R33" s="22" t="s">
        <v>221</v>
      </c>
      <c r="S33" s="25"/>
      <c r="T33" s="25"/>
      <c r="U33" s="25"/>
      <c r="V33" s="25"/>
      <c r="W33" s="25"/>
      <c r="X33" s="25"/>
      <c r="Y33" s="25"/>
      <c r="Z33" s="25"/>
      <c r="AA33" s="25"/>
      <c r="AB33" s="26"/>
      <c r="AC33" s="22" t="s">
        <v>278</v>
      </c>
      <c r="AD33" s="25"/>
      <c r="AE33" s="25"/>
      <c r="AF33" s="25"/>
      <c r="AG33" s="26"/>
      <c r="AH33" s="22"/>
      <c r="AI33" s="26"/>
      <c r="AJ33" s="22"/>
      <c r="AK33" s="25"/>
      <c r="AL33" s="26"/>
      <c r="AM33" s="22"/>
      <c r="AN33" s="25"/>
      <c r="AO33" s="25"/>
      <c r="AP33" s="25"/>
      <c r="AQ33" s="25"/>
      <c r="AR33" s="25"/>
      <c r="AS33" s="26"/>
      <c r="AT33" s="22" t="s">
        <v>261</v>
      </c>
      <c r="AU33" s="25"/>
      <c r="AV33" s="25"/>
      <c r="AW33" s="25"/>
      <c r="AX33" s="25"/>
      <c r="AY33" s="25"/>
      <c r="AZ33" s="25"/>
      <c r="BA33" s="25"/>
      <c r="BB33" s="25"/>
      <c r="BC33" s="25"/>
      <c r="BD33" s="25"/>
      <c r="BE33" s="25"/>
      <c r="BF33" s="25"/>
      <c r="BG33" s="25"/>
      <c r="BH33" s="25"/>
      <c r="BI33" s="25"/>
      <c r="BJ33" s="26"/>
      <c r="BK33" s="4"/>
      <c r="BM33" t="str">
        <f t="shared" si="0"/>
        <v>,`confirm_age` bool  COMMENT '年齢確認フラグ ( true : 確認済み )/true : 確認済み'</v>
      </c>
      <c r="BN33" t="str">
        <f t="shared" si="3"/>
        <v>,`confirm_age` bool  COMMENT '年齢確認フラグ ( true : 確認済み )'</v>
      </c>
      <c r="BO33" t="str">
        <f t="shared" si="1"/>
        <v>,A.`confirm_age` = B.`confirm_age`</v>
      </c>
      <c r="BP33" t="str">
        <f t="shared" si="2"/>
        <v>,`confirm_age`</v>
      </c>
    </row>
    <row r="34" spans="1:68" ht="15" customHeight="1">
      <c r="A34" s="1"/>
      <c r="B34" s="23">
        <v>17</v>
      </c>
      <c r="C34" s="24"/>
      <c r="D34" s="22" t="s">
        <v>229</v>
      </c>
      <c r="E34" s="25"/>
      <c r="F34" s="25"/>
      <c r="G34" s="25"/>
      <c r="H34" s="25"/>
      <c r="I34" s="25"/>
      <c r="J34" s="25"/>
      <c r="K34" s="25"/>
      <c r="L34" s="25"/>
      <c r="M34" s="25"/>
      <c r="N34" s="25"/>
      <c r="O34" s="25"/>
      <c r="P34" s="25"/>
      <c r="Q34" s="26"/>
      <c r="R34" s="22" t="s">
        <v>222</v>
      </c>
      <c r="S34" s="25"/>
      <c r="T34" s="25"/>
      <c r="U34" s="25"/>
      <c r="V34" s="25"/>
      <c r="W34" s="25"/>
      <c r="X34" s="25"/>
      <c r="Y34" s="25"/>
      <c r="Z34" s="25"/>
      <c r="AA34" s="25"/>
      <c r="AB34" s="26"/>
      <c r="AC34" s="22" t="s">
        <v>246</v>
      </c>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,`account_id` string  COMMENT 'Scan&amp;Go アカウントID'</v>
      </c>
      <c r="BN34" t="str">
        <f t="shared" si="3"/>
        <v>,`account_id` string  COMMENT 'Scan&amp;Go アカウントID'</v>
      </c>
      <c r="BO34" t="str">
        <f t="shared" si="1"/>
        <v>,A.`account_id` = B.`account_id`</v>
      </c>
      <c r="BP34" t="str">
        <f t="shared" si="2"/>
        <v>,`account_id`</v>
      </c>
    </row>
    <row r="35" spans="1:68" ht="15" customHeight="1">
      <c r="A35" s="1"/>
      <c r="B35" s="23">
        <v>18</v>
      </c>
      <c r="C35" s="24"/>
      <c r="D35" s="22" t="s">
        <v>230</v>
      </c>
      <c r="E35" s="25"/>
      <c r="F35" s="25"/>
      <c r="G35" s="25"/>
      <c r="H35" s="25"/>
      <c r="I35" s="25"/>
      <c r="J35" s="25"/>
      <c r="K35" s="25"/>
      <c r="L35" s="25"/>
      <c r="M35" s="25"/>
      <c r="N35" s="25"/>
      <c r="O35" s="25"/>
      <c r="P35" s="25"/>
      <c r="Q35" s="26"/>
      <c r="R35" s="22" t="s">
        <v>223</v>
      </c>
      <c r="S35" s="25"/>
      <c r="T35" s="25"/>
      <c r="U35" s="25"/>
      <c r="V35" s="25"/>
      <c r="W35" s="25"/>
      <c r="X35" s="25"/>
      <c r="Y35" s="25"/>
      <c r="Z35" s="25"/>
      <c r="AA35" s="25"/>
      <c r="AB35" s="26"/>
      <c r="AC35" s="22" t="s">
        <v>246</v>
      </c>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,`account_name` string  COMMENT 'Scan&amp;Go アカウント名'</v>
      </c>
      <c r="BN35" t="str">
        <f t="shared" si="3"/>
        <v>,`account_name` string  COMMENT 'Scan&amp;Go アカウント名'</v>
      </c>
      <c r="BO35" t="str">
        <f t="shared" si="1"/>
        <v>,A.`account_name` = B.`account_name`</v>
      </c>
      <c r="BP35" t="str">
        <f t="shared" si="2"/>
        <v>,`account_name`</v>
      </c>
    </row>
    <row r="36" spans="1:68" ht="15" customHeight="1">
      <c r="A36" s="1"/>
      <c r="B36" s="23">
        <v>19</v>
      </c>
      <c r="C36" s="24"/>
      <c r="D36" s="22" t="s">
        <v>262</v>
      </c>
      <c r="E36" s="25"/>
      <c r="F36" s="25"/>
      <c r="G36" s="25"/>
      <c r="H36" s="25"/>
      <c r="I36" s="25"/>
      <c r="J36" s="25"/>
      <c r="K36" s="25"/>
      <c r="L36" s="25"/>
      <c r="M36" s="25"/>
      <c r="N36" s="25"/>
      <c r="O36" s="25"/>
      <c r="P36" s="25"/>
      <c r="Q36" s="26"/>
      <c r="R36" s="22" t="s">
        <v>269</v>
      </c>
      <c r="S36" s="25"/>
      <c r="T36" s="25"/>
      <c r="U36" s="25"/>
      <c r="V36" s="25"/>
      <c r="W36" s="25"/>
      <c r="X36" s="25"/>
      <c r="Y36" s="25"/>
      <c r="Z36" s="25"/>
      <c r="AA36" s="25"/>
      <c r="AB36" s="26"/>
      <c r="AC36" s="22" t="s">
        <v>246</v>
      </c>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,`item_total_price_fmt` string  COMMENT '明細合計金額'</v>
      </c>
      <c r="BN36" t="str">
        <f t="shared" si="3"/>
        <v>,`item_total_price_fmt` string  COMMENT '明細合計金額'</v>
      </c>
      <c r="BO36" t="str">
        <f t="shared" si="1"/>
        <v>,A.`item_total_price_fmt` = B.`item_total_price_fmt`</v>
      </c>
      <c r="BP36" t="str">
        <f t="shared" si="2"/>
        <v>,`item_total_price_fmt`</v>
      </c>
    </row>
    <row r="37" spans="1:68" ht="15" customHeight="1">
      <c r="A37" s="1"/>
      <c r="B37" s="23">
        <v>20</v>
      </c>
      <c r="C37" s="24"/>
      <c r="D37" s="22" t="s">
        <v>263</v>
      </c>
      <c r="E37" s="25"/>
      <c r="F37" s="25"/>
      <c r="G37" s="25"/>
      <c r="H37" s="25"/>
      <c r="I37" s="25"/>
      <c r="J37" s="25"/>
      <c r="K37" s="25"/>
      <c r="L37" s="25"/>
      <c r="M37" s="25"/>
      <c r="N37" s="25"/>
      <c r="O37" s="25"/>
      <c r="P37" s="25"/>
      <c r="Q37" s="26"/>
      <c r="R37" s="22" t="s">
        <v>270</v>
      </c>
      <c r="S37" s="25"/>
      <c r="T37" s="25"/>
      <c r="U37" s="25"/>
      <c r="V37" s="25"/>
      <c r="W37" s="25"/>
      <c r="X37" s="25"/>
      <c r="Y37" s="25"/>
      <c r="Z37" s="25"/>
      <c r="AA37" s="25"/>
      <c r="AB37" s="26"/>
      <c r="AC37" s="22" t="s">
        <v>246</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,`mm_discount_price_fmt` string  COMMENT 'まとめ値引金額'</v>
      </c>
      <c r="BN37" t="str">
        <f t="shared" si="3"/>
        <v>,`mm_discount_price_fmt` string  COMMENT 'まとめ値引金額'</v>
      </c>
      <c r="BO37" t="str">
        <f t="shared" si="1"/>
        <v>,A.`mm_discount_price_fmt` = B.`mm_discount_price_fmt`</v>
      </c>
      <c r="BP37" t="str">
        <f t="shared" si="2"/>
        <v>,`mm_discount_price_fmt`</v>
      </c>
    </row>
    <row r="38" spans="1:68" ht="15" customHeight="1">
      <c r="A38" s="1"/>
      <c r="B38" s="23">
        <v>21</v>
      </c>
      <c r="C38" s="24"/>
      <c r="D38" s="22" t="s">
        <v>264</v>
      </c>
      <c r="E38" s="25"/>
      <c r="F38" s="25"/>
      <c r="G38" s="25"/>
      <c r="H38" s="25"/>
      <c r="I38" s="25"/>
      <c r="J38" s="25"/>
      <c r="K38" s="25"/>
      <c r="L38" s="25"/>
      <c r="M38" s="25"/>
      <c r="N38" s="25"/>
      <c r="O38" s="25"/>
      <c r="P38" s="25"/>
      <c r="Q38" s="26"/>
      <c r="R38" s="22" t="s">
        <v>271</v>
      </c>
      <c r="S38" s="25"/>
      <c r="T38" s="25"/>
      <c r="U38" s="25"/>
      <c r="V38" s="25"/>
      <c r="W38" s="25"/>
      <c r="X38" s="25"/>
      <c r="Y38" s="25"/>
      <c r="Z38" s="25"/>
      <c r="AA38" s="25"/>
      <c r="AB38" s="26"/>
      <c r="AC38" s="22" t="s">
        <v>246</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,`subtotal_price_fmt` string  COMMENT '小計金額'</v>
      </c>
      <c r="BN38" t="str">
        <f t="shared" si="3"/>
        <v>,`subtotal_price_fmt` string  COMMENT '小計金額'</v>
      </c>
      <c r="BO38" t="str">
        <f t="shared" si="1"/>
        <v>,A.`subtotal_price_fmt` = B.`subtotal_price_fmt`</v>
      </c>
      <c r="BP38" t="str">
        <f t="shared" si="2"/>
        <v>,`subtotal_price_fmt`</v>
      </c>
    </row>
    <row r="39" spans="1:68" ht="15" customHeight="1">
      <c r="A39" s="1"/>
      <c r="B39" s="23">
        <v>22</v>
      </c>
      <c r="C39" s="24"/>
      <c r="D39" s="22" t="s">
        <v>265</v>
      </c>
      <c r="E39" s="25"/>
      <c r="F39" s="25"/>
      <c r="G39" s="25"/>
      <c r="H39" s="25"/>
      <c r="I39" s="25"/>
      <c r="J39" s="25"/>
      <c r="K39" s="25"/>
      <c r="L39" s="25"/>
      <c r="M39" s="25"/>
      <c r="N39" s="25"/>
      <c r="O39" s="25"/>
      <c r="P39" s="25"/>
      <c r="Q39" s="26"/>
      <c r="R39" s="22" t="s">
        <v>272</v>
      </c>
      <c r="S39" s="25"/>
      <c r="T39" s="25"/>
      <c r="U39" s="25"/>
      <c r="V39" s="25"/>
      <c r="W39" s="25"/>
      <c r="X39" s="25"/>
      <c r="Y39" s="25"/>
      <c r="Z39" s="25"/>
      <c r="AA39" s="25"/>
      <c r="AB39" s="26"/>
      <c r="AC39" s="22" t="s">
        <v>246</v>
      </c>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,`subtotal_discount_price_fmt` string  COMMENT '小計値引金額'</v>
      </c>
      <c r="BN39" t="str">
        <f t="shared" si="3"/>
        <v>,`subtotal_discount_price_fmt` string  COMMENT '小計値引金額'</v>
      </c>
      <c r="BO39" t="str">
        <f t="shared" si="1"/>
        <v>,A.`subtotal_discount_price_fmt` = B.`subtotal_discount_price_fmt`</v>
      </c>
      <c r="BP39" t="str">
        <f t="shared" si="2"/>
        <v>,`subtotal_discount_price_fmt`</v>
      </c>
    </row>
    <row r="40" spans="1:68" ht="15" customHeight="1">
      <c r="A40" s="1"/>
      <c r="B40" s="23">
        <v>23</v>
      </c>
      <c r="C40" s="24"/>
      <c r="D40" s="22" t="s">
        <v>266</v>
      </c>
      <c r="E40" s="25"/>
      <c r="F40" s="25"/>
      <c r="G40" s="25"/>
      <c r="H40" s="25"/>
      <c r="I40" s="25"/>
      <c r="J40" s="25"/>
      <c r="K40" s="25"/>
      <c r="L40" s="25"/>
      <c r="M40" s="25"/>
      <c r="N40" s="25"/>
      <c r="O40" s="25"/>
      <c r="P40" s="25"/>
      <c r="Q40" s="26"/>
      <c r="R40" s="22" t="s">
        <v>273</v>
      </c>
      <c r="S40" s="25"/>
      <c r="T40" s="25"/>
      <c r="U40" s="25"/>
      <c r="V40" s="25"/>
      <c r="W40" s="25"/>
      <c r="X40" s="25"/>
      <c r="Y40" s="25"/>
      <c r="Z40" s="25"/>
      <c r="AA40" s="25"/>
      <c r="AB40" s="26"/>
      <c r="AC40" s="22" t="s">
        <v>246</v>
      </c>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,`total_tax_excluded_fmt` string  COMMENT '外税合計'</v>
      </c>
      <c r="BN40" t="str">
        <f t="shared" si="3"/>
        <v>,`total_tax_excluded_fmt` string  COMMENT '外税合計'</v>
      </c>
      <c r="BO40" t="str">
        <f t="shared" si="1"/>
        <v>,A.`total_tax_excluded_fmt` = B.`total_tax_excluded_fmt`</v>
      </c>
      <c r="BP40" t="str">
        <f t="shared" si="2"/>
        <v>,`total_tax_excluded_fmt`</v>
      </c>
    </row>
    <row r="41" spans="1:68" ht="15" customHeight="1">
      <c r="A41" s="1"/>
      <c r="B41" s="23">
        <v>24</v>
      </c>
      <c r="C41" s="24"/>
      <c r="D41" s="22" t="s">
        <v>267</v>
      </c>
      <c r="E41" s="25"/>
      <c r="F41" s="25"/>
      <c r="G41" s="25"/>
      <c r="H41" s="25"/>
      <c r="I41" s="25"/>
      <c r="J41" s="25"/>
      <c r="K41" s="25"/>
      <c r="L41" s="25"/>
      <c r="M41" s="25"/>
      <c r="N41" s="25"/>
      <c r="O41" s="25"/>
      <c r="P41" s="25"/>
      <c r="Q41" s="26"/>
      <c r="R41" s="22" t="s">
        <v>274</v>
      </c>
      <c r="S41" s="25"/>
      <c r="T41" s="25"/>
      <c r="U41" s="25"/>
      <c r="V41" s="25"/>
      <c r="W41" s="25"/>
      <c r="X41" s="25"/>
      <c r="Y41" s="25"/>
      <c r="Z41" s="25"/>
      <c r="AA41" s="25"/>
      <c r="AB41" s="26"/>
      <c r="AC41" s="22" t="s">
        <v>246</v>
      </c>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,`total_price_fmt` string  COMMENT '合計金額　（=小計金額 - 小計値引金額 + 外税合計）'</v>
      </c>
      <c r="BN41" t="str">
        <f t="shared" si="3"/>
        <v>,`total_price_fmt` string  COMMENT '合計金額　（=小計金額 - 小計値引金額 + 外税合計）'</v>
      </c>
      <c r="BO41" t="str">
        <f t="shared" si="1"/>
        <v>,A.`total_price_fmt` = B.`total_price_fmt`</v>
      </c>
      <c r="BP41" t="str">
        <f t="shared" si="2"/>
        <v>,`total_price_fmt`</v>
      </c>
    </row>
    <row r="42" spans="1:68" ht="15" customHeight="1">
      <c r="A42" s="1"/>
      <c r="B42" s="23">
        <v>25</v>
      </c>
      <c r="C42" s="24"/>
      <c r="D42" s="22" t="s">
        <v>268</v>
      </c>
      <c r="E42" s="25"/>
      <c r="F42" s="25"/>
      <c r="G42" s="25"/>
      <c r="H42" s="25"/>
      <c r="I42" s="25"/>
      <c r="J42" s="25"/>
      <c r="K42" s="25"/>
      <c r="L42" s="25"/>
      <c r="M42" s="25"/>
      <c r="N42" s="25"/>
      <c r="O42" s="25"/>
      <c r="P42" s="25"/>
      <c r="Q42" s="26"/>
      <c r="R42" s="22" t="s">
        <v>275</v>
      </c>
      <c r="S42" s="25"/>
      <c r="T42" s="25"/>
      <c r="U42" s="25"/>
      <c r="V42" s="25"/>
      <c r="W42" s="25"/>
      <c r="X42" s="25"/>
      <c r="Y42" s="25"/>
      <c r="Z42" s="25"/>
      <c r="AA42" s="25"/>
      <c r="AB42" s="26"/>
      <c r="AC42" s="22" t="s">
        <v>246</v>
      </c>
      <c r="AD42" s="25"/>
      <c r="AE42" s="25"/>
      <c r="AF42" s="25"/>
      <c r="AG42" s="26"/>
      <c r="AH42" s="22"/>
      <c r="AI42" s="26"/>
      <c r="AJ42" s="22"/>
      <c r="AK42" s="25"/>
      <c r="AL42" s="26"/>
      <c r="AM42" s="22"/>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M42" t="str">
        <f t="shared" si="0"/>
        <v>,`total_quantity_fmt` string  COMMENT '合計点数'</v>
      </c>
      <c r="BN42" t="str">
        <f t="shared" si="3"/>
        <v>,`total_quantity_fmt` string  COMMENT '合計点数'</v>
      </c>
      <c r="BO42" t="str">
        <f t="shared" si="1"/>
        <v>,A.`total_quantity_fmt` = B.`total_quantity_fmt`</v>
      </c>
      <c r="BP42" t="str">
        <f t="shared" si="2"/>
        <v>,`total_quantity_fmt`</v>
      </c>
    </row>
    <row r="43" spans="1:68" ht="15" customHeight="1">
      <c r="A43" s="1"/>
      <c r="B43" s="23">
        <v>26</v>
      </c>
      <c r="C43" s="24"/>
      <c r="D43" s="22"/>
      <c r="E43" s="25"/>
      <c r="F43" s="25"/>
      <c r="G43" s="25"/>
      <c r="H43" s="25"/>
      <c r="I43" s="25"/>
      <c r="J43" s="25"/>
      <c r="K43" s="25"/>
      <c r="L43" s="25"/>
      <c r="M43" s="25"/>
      <c r="N43" s="25"/>
      <c r="O43" s="25"/>
      <c r="P43" s="25"/>
      <c r="Q43" s="26"/>
      <c r="R43" s="22"/>
      <c r="S43" s="25"/>
      <c r="T43" s="25"/>
      <c r="U43" s="25"/>
      <c r="V43" s="25"/>
      <c r="W43" s="25"/>
      <c r="X43" s="25"/>
      <c r="Y43" s="25"/>
      <c r="Z43" s="25"/>
      <c r="AA43" s="25"/>
      <c r="AB43" s="26"/>
      <c r="AC43" s="22"/>
      <c r="AD43" s="25"/>
      <c r="AE43" s="25"/>
      <c r="AF43" s="25"/>
      <c r="AG43" s="26"/>
      <c r="AH43" s="22"/>
      <c r="AI43" s="26"/>
      <c r="AJ43" s="22"/>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row>
    <row r="44" spans="1:68" ht="15" customHeight="1">
      <c r="A44" s="1"/>
      <c r="B44" s="23">
        <v>27</v>
      </c>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v>28</v>
      </c>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8">
        <v>29</v>
      </c>
      <c r="C46" s="29"/>
      <c r="D46" s="30"/>
      <c r="E46" s="31"/>
      <c r="F46" s="31"/>
      <c r="G46" s="31"/>
      <c r="H46" s="31"/>
      <c r="I46" s="31"/>
      <c r="J46" s="31"/>
      <c r="K46" s="31"/>
      <c r="L46" s="31"/>
      <c r="M46" s="31"/>
      <c r="N46" s="31"/>
      <c r="O46" s="31"/>
      <c r="P46" s="31"/>
      <c r="Q46" s="32"/>
      <c r="R46" s="30"/>
      <c r="S46" s="31"/>
      <c r="T46" s="31"/>
      <c r="U46" s="31"/>
      <c r="V46" s="31"/>
      <c r="W46" s="31"/>
      <c r="X46" s="31"/>
      <c r="Y46" s="31"/>
      <c r="Z46" s="31"/>
      <c r="AA46" s="31"/>
      <c r="AB46" s="32"/>
      <c r="AC46" s="30"/>
      <c r="AD46" s="31"/>
      <c r="AE46" s="31"/>
      <c r="AF46" s="31"/>
      <c r="AG46" s="32"/>
      <c r="AH46" s="30"/>
      <c r="AI46" s="32"/>
      <c r="AJ46" s="30"/>
      <c r="AK46" s="31"/>
      <c r="AL46" s="32"/>
      <c r="AM46" s="30"/>
      <c r="AN46" s="31"/>
      <c r="AO46" s="31"/>
      <c r="AP46" s="31"/>
      <c r="AQ46" s="31"/>
      <c r="AR46" s="31"/>
      <c r="AS46" s="32"/>
      <c r="AT46" s="30"/>
      <c r="AU46" s="31"/>
      <c r="AV46" s="31"/>
      <c r="AW46" s="31"/>
      <c r="AX46" s="31"/>
      <c r="AY46" s="31"/>
      <c r="AZ46" s="31"/>
      <c r="BA46" s="31"/>
      <c r="BB46" s="31"/>
      <c r="BC46" s="31"/>
      <c r="BD46" s="31"/>
      <c r="BE46" s="31"/>
      <c r="BF46" s="31"/>
      <c r="BG46" s="31"/>
      <c r="BH46" s="31"/>
      <c r="BI46" s="31"/>
      <c r="BJ46" s="32"/>
      <c r="BK46" s="4"/>
    </row>
    <row r="47" spans="1:68" ht="15" customHeight="1">
      <c r="A47" s="1"/>
      <c r="BK47" s="4"/>
    </row>
    <row r="48" spans="1:68" ht="15" customHeight="1">
      <c r="A48" s="1"/>
      <c r="BK48" s="4"/>
    </row>
    <row r="49" spans="1:68" ht="15" customHeight="1">
      <c r="A49" s="1"/>
      <c r="B49" s="37" t="s">
        <v>49</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row>
    <row r="50" spans="1:68" ht="15" customHeight="1">
      <c r="A50" s="1"/>
      <c r="B50" s="34" t="s">
        <v>50</v>
      </c>
      <c r="C50" s="35"/>
      <c r="D50" s="34" t="s">
        <v>51</v>
      </c>
      <c r="E50" s="44"/>
      <c r="F50" s="36"/>
      <c r="G50" s="36"/>
      <c r="H50" s="36"/>
      <c r="I50" s="36"/>
      <c r="J50" s="36"/>
      <c r="K50" s="36"/>
      <c r="L50" s="36"/>
      <c r="M50" s="36"/>
      <c r="N50" s="36"/>
      <c r="O50" s="36"/>
      <c r="P50" s="36"/>
      <c r="Q50" s="35"/>
      <c r="R50" s="34" t="s">
        <v>52</v>
      </c>
      <c r="S50" s="44"/>
      <c r="T50" s="36"/>
      <c r="U50" s="36"/>
      <c r="V50" s="36"/>
      <c r="W50" s="36"/>
      <c r="X50" s="36"/>
      <c r="Y50" s="36"/>
      <c r="Z50" s="36"/>
      <c r="AA50" s="36"/>
      <c r="AB50" s="36"/>
      <c r="AC50" s="36"/>
      <c r="AD50" s="36"/>
      <c r="AE50" s="36"/>
      <c r="AF50" s="36"/>
      <c r="AG50" s="36"/>
      <c r="AH50" s="36"/>
      <c r="AI50" s="36"/>
      <c r="AJ50" s="36"/>
      <c r="AK50" s="35"/>
      <c r="AL50" s="34" t="s">
        <v>53</v>
      </c>
      <c r="AM50" s="36"/>
      <c r="AN50" s="36"/>
      <c r="AO50" s="45"/>
      <c r="AP50" s="34" t="s">
        <v>54</v>
      </c>
      <c r="AQ50" s="36"/>
      <c r="AR50" s="36"/>
      <c r="AS50" s="35"/>
      <c r="AT50" s="34" t="s">
        <v>48</v>
      </c>
      <c r="AU50" s="44"/>
      <c r="AV50" s="44"/>
      <c r="AW50" s="36"/>
      <c r="AX50" s="36"/>
      <c r="AY50" s="44"/>
      <c r="AZ50" s="36"/>
      <c r="BA50" s="36"/>
      <c r="BB50" s="36"/>
      <c r="BC50" s="36"/>
      <c r="BD50" s="36"/>
      <c r="BE50" s="36"/>
      <c r="BF50" s="36"/>
      <c r="BG50" s="36"/>
      <c r="BH50" s="36"/>
      <c r="BI50" s="44"/>
      <c r="BJ50" s="35"/>
      <c r="BK50" s="4"/>
    </row>
    <row r="51" spans="1:68" ht="15" customHeight="1">
      <c r="A51" s="1"/>
      <c r="B51" s="38">
        <v>1</v>
      </c>
      <c r="C51" s="39"/>
      <c r="D51" s="38" t="s">
        <v>55</v>
      </c>
      <c r="E51" s="46"/>
      <c r="F51" s="40"/>
      <c r="G51" s="40"/>
      <c r="H51" s="40"/>
      <c r="I51" s="40"/>
      <c r="J51" s="40"/>
      <c r="K51" s="40"/>
      <c r="L51" s="40"/>
      <c r="M51" s="40"/>
      <c r="N51" s="40"/>
      <c r="O51" s="40"/>
      <c r="P51" s="40"/>
      <c r="Q51" s="39"/>
      <c r="R51"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`company_code`,`store_code`,`instore_code`</v>
      </c>
      <c r="S51" s="46"/>
      <c r="T51" s="40"/>
      <c r="U51" s="40"/>
      <c r="V51" s="40"/>
      <c r="W51" s="40"/>
      <c r="X51" s="40"/>
      <c r="Y51" s="40"/>
      <c r="Z51" s="40"/>
      <c r="AA51" s="40"/>
      <c r="AB51" s="40"/>
      <c r="AC51" s="40"/>
      <c r="AD51" s="40"/>
      <c r="AE51" s="40"/>
      <c r="AF51" s="40"/>
      <c r="AG51" s="40"/>
      <c r="AH51" s="40"/>
      <c r="AI51" s="40"/>
      <c r="AJ51" s="40"/>
      <c r="AK51" s="39"/>
      <c r="AL51" s="38" t="s">
        <v>885</v>
      </c>
      <c r="AM51" s="40"/>
      <c r="AN51" s="40"/>
      <c r="AO51" s="47"/>
      <c r="AP51" s="38" t="s">
        <v>885</v>
      </c>
      <c r="AQ51" s="40"/>
      <c r="AR51" s="40"/>
      <c r="AS51" s="39"/>
      <c r="AT51" s="38"/>
      <c r="AU51" s="46"/>
      <c r="AV51" s="46"/>
      <c r="AW51" s="40"/>
      <c r="AX51" s="40"/>
      <c r="AY51" s="46"/>
      <c r="AZ51" s="40"/>
      <c r="BA51" s="40"/>
      <c r="BB51" s="40"/>
      <c r="BC51" s="40"/>
      <c r="BD51" s="40"/>
      <c r="BE51" s="40"/>
      <c r="BF51" s="40"/>
      <c r="BG51" s="40"/>
      <c r="BH51" s="40"/>
      <c r="BI51" s="46"/>
      <c r="BJ51" s="39"/>
      <c r="BK51" s="4"/>
      <c r="BM51"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(`company_code`,`store_code`,`instore_code`),</v>
      </c>
      <c r="BN51" t="str">
        <f>BM51</f>
        <v xml:space="preserve"> , PRIMARY KEY (`company_code`,`store_code`,`instore_code`),</v>
      </c>
    </row>
    <row r="52" spans="1:68" ht="15" customHeight="1">
      <c r="A52" s="1"/>
      <c r="BK52" s="4"/>
      <c r="BM52" t="s">
        <v>452</v>
      </c>
    </row>
    <row r="53" spans="1:68" ht="15" customHeight="1">
      <c r="A53" s="1"/>
      <c r="BK53" s="4"/>
      <c r="BM53" t="str">
        <f>") ENGINE=InnoDB DEFAULT CHARSET=utf8 COMMENT = '"&amp;$G$9&amp;"';"</f>
        <v>) ENGINE=InnoDB DEFAULT CHARSET=utf8 COMMENT = '売上情報';</v>
      </c>
      <c r="BN53" t="str">
        <f>") ENGINE=InnoDB DEFAULT CHARSET=utf8 COMMENT = '"&amp;$G$9&amp;"_TMP';"</f>
        <v>) ENGINE=InnoDB DEFAULT CHARSET=utf8 COMMENT = '売上情報_TMP';</v>
      </c>
    </row>
    <row r="54" spans="1:68" ht="15" customHeight="1">
      <c r="A54" s="1"/>
      <c r="B54" s="37" t="s">
        <v>34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4"/>
    </row>
    <row r="55" spans="1:68" ht="15" customHeight="1">
      <c r="A55" s="1"/>
      <c r="B55" s="34" t="s">
        <v>35</v>
      </c>
      <c r="C55" s="45"/>
      <c r="D55" s="34" t="s">
        <v>36</v>
      </c>
      <c r="E55" s="44"/>
      <c r="F55" s="44"/>
      <c r="G55" s="44"/>
      <c r="H55" s="44"/>
      <c r="I55" s="44"/>
      <c r="J55" s="44"/>
      <c r="K55" s="44"/>
      <c r="L55" s="36"/>
      <c r="M55" s="36"/>
      <c r="N55" s="36"/>
      <c r="O55" s="36"/>
      <c r="P55" s="36"/>
      <c r="Q55" s="35"/>
      <c r="R55" s="34" t="s">
        <v>37</v>
      </c>
      <c r="S55" s="36"/>
      <c r="T55" s="45"/>
      <c r="U55" s="34" t="s">
        <v>38</v>
      </c>
      <c r="V55" s="36"/>
      <c r="W55" s="44"/>
      <c r="X55" s="45"/>
      <c r="Y55" s="34" t="s">
        <v>39</v>
      </c>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5"/>
      <c r="BK55" s="4"/>
      <c r="BM55" t="str">
        <f>"CREATE TRIGGER `"&amp;G15&amp;"_CR_Date_Time` BEFORE INSERT ON `"&amp;G15&amp;"`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56" spans="1:68" ht="15" customHeight="1">
      <c r="A56" s="1"/>
      <c r="B56" s="41">
        <v>1</v>
      </c>
      <c r="C56" s="47"/>
      <c r="D56" s="41" t="str">
        <f>G10&amp;"_"&amp;R56&amp;"_"&amp;"trg"</f>
        <v>sales_details_update_trg</v>
      </c>
      <c r="E56" s="46"/>
      <c r="F56" s="46"/>
      <c r="G56" s="46"/>
      <c r="H56" s="46"/>
      <c r="I56" s="46"/>
      <c r="J56" s="46"/>
      <c r="K56" s="46"/>
      <c r="L56" s="42"/>
      <c r="M56" s="42"/>
      <c r="N56" s="42"/>
      <c r="O56" s="42"/>
      <c r="P56" s="42"/>
      <c r="Q56" s="43"/>
      <c r="R56" s="41" t="s">
        <v>40</v>
      </c>
      <c r="S56" s="42"/>
      <c r="T56" s="47"/>
      <c r="U56" s="41" t="s">
        <v>41</v>
      </c>
      <c r="V56" s="42"/>
      <c r="W56" s="46"/>
      <c r="X56" s="47"/>
      <c r="Y56" s="41" t="s">
        <v>42</v>
      </c>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3"/>
      <c r="BK56" s="4"/>
      <c r="BM56" t="str">
        <f>"CREATE TRIGGER `"&amp;G15&amp;"_UP_Date_Time` BEFORE UPDATE ON `"&amp;G15&amp;"` FOR EACH ROW SET NEW.record_update_date = CURRENT_DATE, NEW.record_update_time = CURRENT_TIME;"</f>
        <v>CREATE TRIGGER `_UP_Date_Time` BEFORE UPDATE ON `` FOR EACH ROW SET NEW.record_update_date = CURRENT_DATE, NEW.record_update_time = CURRENT_TIME;</v>
      </c>
    </row>
    <row r="57" spans="1:68" ht="15" customHeight="1">
      <c r="A57" s="1"/>
      <c r="BK57" s="4"/>
    </row>
    <row r="58" spans="1:68" ht="15" customHeight="1">
      <c r="A58" s="1"/>
      <c r="BK58" s="4"/>
    </row>
    <row r="59" spans="1:68" ht="15" customHeight="1">
      <c r="A59" s="1"/>
      <c r="BK59" s="4"/>
    </row>
    <row r="60" spans="1:68" ht="15" customHeight="1">
      <c r="A60" s="1"/>
      <c r="BK60" s="4"/>
    </row>
    <row r="61" spans="1:68" ht="15" customHeight="1">
      <c r="A61" s="1"/>
      <c r="BK61" s="4"/>
    </row>
    <row r="62" spans="1:68" ht="15" customHeight="1">
      <c r="A62" s="1"/>
      <c r="BK62" s="4"/>
    </row>
    <row r="63" spans="1:68" ht="15" customHeight="1">
      <c r="A63" s="1"/>
      <c r="BK63" s="4"/>
      <c r="BM63" t="s">
        <v>858</v>
      </c>
      <c r="BN63" t="str">
        <f>BM63</f>
        <v xml:space="preserve"> , PRIMARY KEY (`CompanyCode`,`StoreCode`,`ReceiptCouponCode`,`PrintFrom`,`MessagePosition`,`MessageLineNo`),</v>
      </c>
      <c r="BO63" t="str">
        <f t="shared" si="1"/>
        <v>,A.`` = B.``</v>
      </c>
      <c r="BP63" t="str">
        <f t="shared" si="2"/>
        <v>,``</v>
      </c>
    </row>
    <row r="64" spans="1:68" ht="15" customHeight="1">
      <c r="A64" s="1"/>
      <c r="BK64" s="4"/>
      <c r="BM64" t="s">
        <v>452</v>
      </c>
      <c r="BO64" t="str">
        <f t="shared" si="1"/>
        <v>,A.`` = B.``</v>
      </c>
      <c r="BP64" t="str">
        <f t="shared" si="2"/>
        <v>,``</v>
      </c>
    </row>
    <row r="65" spans="1:68" ht="15" customHeight="1">
      <c r="A65" s="1"/>
      <c r="BK65" s="4"/>
      <c r="BM65" t="s">
        <v>639</v>
      </c>
      <c r="BN65" t="str">
        <f>BM65</f>
        <v>) ENGINE=InnoDB DEFAULT CHARSET=utf8;</v>
      </c>
      <c r="BO65" t="str">
        <f t="shared" si="1"/>
        <v>,A.`` = B.``</v>
      </c>
      <c r="BP65" t="str">
        <f t="shared" si="2"/>
        <v>,``</v>
      </c>
    </row>
    <row r="66" spans="1:68" ht="15" customHeight="1">
      <c r="A66" s="1"/>
      <c r="BK66" s="4"/>
      <c r="BM66" t="str">
        <f>"CREATE TRIGGER `"&amp;G10&amp;"_CR_Date_Time` BEFORE INSERT ON `"&amp;G10&amp;"` FOR EACH ROW SET NEW.record_create_date = CURRENT_DATE, NEW.record_create_time = CURRENT_TIME, NEW.record_update_date = CURRENT_DATE, NEW.record_update_time = CURRENT_TIME;"</f>
        <v>CREATE TRIGGER `sales_details_CR_Date_Time` BEFORE INSERT ON `sales_details` FOR EACH ROW SET NEW.record_create_date = CURRENT_DATE, NEW.record_create_time = CURRENT_TIME, NEW.record_update_date = CURRENT_DATE, NEW.record_update_time = CURRENT_TIME;</v>
      </c>
    </row>
    <row r="67" spans="1:68" ht="15" customHeight="1">
      <c r="A67" s="1"/>
      <c r="BK67" s="4"/>
      <c r="BM67" t="str">
        <f>"CREATE TRIGGER `"&amp;G10&amp;"_UP_Date_Time` BEFORE UPDATE ON `"&amp;G10&amp;"` FOR EACH ROW SET NEW.record_update_date = CURRENT_DATE, NEW.record_update_time = CURRENT_TIME;"</f>
        <v>CREATE TRIGGER `sales_details_UP_Date_Time` BEFORE UPDATE ON `sales_details` FOR EACH ROW SET NEW.record_update_date = CURRENT_DATE, NEW.record_update_time = CURRENT_TIME;</v>
      </c>
    </row>
    <row r="68" spans="1:68" ht="15" customHeight="1">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5"/>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445F-4C75-4494-A1EC-8BDEA7E29BA1}">
  <dimension ref="A1:BP68"/>
  <sheetViews>
    <sheetView view="pageBreakPreview" topLeftCell="A5" zoomScale="80" zoomScaleNormal="75" zoomScaleSheetLayoutView="80" workbookViewId="0">
      <selection activeCell="AE27" sqref="AE27"/>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19</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292" t="s">
        <v>43</v>
      </c>
      <c r="C8" s="293"/>
      <c r="D8" s="293"/>
      <c r="E8" s="293"/>
      <c r="F8" s="294"/>
      <c r="G8" s="295"/>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row>
    <row r="9" spans="1:63" ht="15" customHeight="1">
      <c r="A9" s="1"/>
      <c r="B9" s="301" t="s">
        <v>45</v>
      </c>
      <c r="C9" s="302"/>
      <c r="D9" s="302"/>
      <c r="E9" s="302"/>
      <c r="F9" s="303"/>
      <c r="G9" s="304" t="s">
        <v>211</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row>
    <row r="10" spans="1:63" ht="15" customHeight="1">
      <c r="A10" s="1"/>
      <c r="B10" s="310" t="s">
        <v>47</v>
      </c>
      <c r="C10" s="311"/>
      <c r="D10" s="311"/>
      <c r="E10" s="311"/>
      <c r="F10" s="312"/>
      <c r="G10" s="298" t="s">
        <v>210</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row>
    <row r="11" spans="1:63"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row>
    <row r="12" spans="1:63"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row>
    <row r="13" spans="1:63"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row>
    <row r="14" spans="1:63"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row>
    <row r="15" spans="1:63"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row>
    <row r="16" spans="1:63"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``.`sales_details`;</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``.`sales_details` (</v>
      </c>
      <c r="BN20" t="str">
        <f>"CREATE TABLE `TMP`.`"&amp;G10&amp;"` ("</f>
        <v>CREATE TABLE `TMP`.`sales_details`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225</v>
      </c>
      <c r="E27" s="25"/>
      <c r="F27" s="25"/>
      <c r="G27" s="25"/>
      <c r="H27" s="25"/>
      <c r="I27" s="25"/>
      <c r="J27" s="25"/>
      <c r="K27" s="25"/>
      <c r="L27" s="25"/>
      <c r="M27" s="25"/>
      <c r="N27" s="25"/>
      <c r="O27" s="25"/>
      <c r="P27" s="25"/>
      <c r="Q27" s="26"/>
      <c r="R27" s="22" t="s">
        <v>212</v>
      </c>
      <c r="S27" s="25"/>
      <c r="T27" s="25"/>
      <c r="U27" s="25"/>
      <c r="V27" s="25"/>
      <c r="W27" s="25"/>
      <c r="X27" s="25"/>
      <c r="Y27" s="25"/>
      <c r="Z27" s="25"/>
      <c r="AA27" s="25"/>
      <c r="AB27" s="26"/>
      <c r="AC27" s="22" t="s">
        <v>213</v>
      </c>
      <c r="AD27" s="25"/>
      <c r="AE27" s="25"/>
      <c r="AF27" s="25"/>
      <c r="AG27" s="26"/>
      <c r="AH27" s="22">
        <v>1</v>
      </c>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c r="BM27" t="str">
        <f t="shared" si="0"/>
        <v>,`company_code` char(3)  COMMENT '企業コード'</v>
      </c>
      <c r="BN27" t="str">
        <f t="shared" ref="BN27:BN42" si="3">",`"&amp;R27&amp;"` "&amp;AC27&amp;" "&amp;IF(AJ27="Y","NOT NULL","")&amp;" COMMENT '"&amp;D27&amp;"'"</f>
        <v>,`company_code` char(3)  COMMENT '企業コード'</v>
      </c>
      <c r="BO27" t="str">
        <f t="shared" si="1"/>
        <v>,A.`company_code` = B.`company_code`</v>
      </c>
      <c r="BP27" t="str">
        <f t="shared" si="2"/>
        <v>,`company_code`</v>
      </c>
    </row>
    <row r="28" spans="1:68" ht="15" customHeight="1">
      <c r="A28" s="1"/>
      <c r="B28" s="23">
        <v>8</v>
      </c>
      <c r="C28" s="24"/>
      <c r="D28" s="22" t="s">
        <v>226</v>
      </c>
      <c r="E28" s="25"/>
      <c r="F28" s="25"/>
      <c r="G28" s="25"/>
      <c r="H28" s="25"/>
      <c r="I28" s="25"/>
      <c r="J28" s="25"/>
      <c r="K28" s="25"/>
      <c r="L28" s="25"/>
      <c r="M28" s="25"/>
      <c r="N28" s="25"/>
      <c r="O28" s="25"/>
      <c r="P28" s="25"/>
      <c r="Q28" s="26"/>
      <c r="R28" s="22" t="s">
        <v>214</v>
      </c>
      <c r="S28" s="25"/>
      <c r="T28" s="25"/>
      <c r="U28" s="25"/>
      <c r="V28" s="25"/>
      <c r="W28" s="25"/>
      <c r="X28" s="25"/>
      <c r="Y28" s="25"/>
      <c r="Z28" s="25"/>
      <c r="AA28" s="25"/>
      <c r="AB28" s="26"/>
      <c r="AC28" s="22" t="s">
        <v>215</v>
      </c>
      <c r="AD28" s="25"/>
      <c r="AE28" s="25"/>
      <c r="AF28" s="25"/>
      <c r="AG28" s="26"/>
      <c r="AH28" s="22">
        <v>2</v>
      </c>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,`store_code` char(5)  COMMENT '店舗コード'</v>
      </c>
      <c r="BN28" t="str">
        <f t="shared" si="3"/>
        <v>,`store_code` char(5)  COMMENT '店舗コード'</v>
      </c>
      <c r="BO28" t="str">
        <f t="shared" si="1"/>
        <v>,A.`store_code` = B.`store_code`</v>
      </c>
      <c r="BP28" t="str">
        <f t="shared" si="2"/>
        <v>,`store_code`</v>
      </c>
    </row>
    <row r="29" spans="1:68" ht="15" customHeight="1">
      <c r="A29" s="1"/>
      <c r="B29" s="23">
        <v>9</v>
      </c>
      <c r="C29" s="24"/>
      <c r="D29" s="22" t="s">
        <v>227</v>
      </c>
      <c r="E29" s="25"/>
      <c r="F29" s="25"/>
      <c r="G29" s="25"/>
      <c r="H29" s="25"/>
      <c r="I29" s="25"/>
      <c r="J29" s="25"/>
      <c r="K29" s="25"/>
      <c r="L29" s="25"/>
      <c r="M29" s="25"/>
      <c r="N29" s="25"/>
      <c r="O29" s="25"/>
      <c r="P29" s="25"/>
      <c r="Q29" s="26"/>
      <c r="R29" s="22" t="s">
        <v>216</v>
      </c>
      <c r="S29" s="25"/>
      <c r="T29" s="25"/>
      <c r="U29" s="25"/>
      <c r="V29" s="25"/>
      <c r="W29" s="25"/>
      <c r="X29" s="25"/>
      <c r="Y29" s="25"/>
      <c r="Z29" s="25"/>
      <c r="AA29" s="25"/>
      <c r="AB29" s="26"/>
      <c r="AC29" s="22" t="s">
        <v>215</v>
      </c>
      <c r="AD29" s="25"/>
      <c r="AE29" s="25"/>
      <c r="AF29" s="25"/>
      <c r="AG29" s="26"/>
      <c r="AH29" s="22">
        <v>3</v>
      </c>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,`instore_code` char(5)  COMMENT 'レジ番号'</v>
      </c>
      <c r="BN29" t="str">
        <f t="shared" si="3"/>
        <v>,`instore_code` char(5)  COMMENT 'レジ番号'</v>
      </c>
      <c r="BO29" t="str">
        <f t="shared" si="1"/>
        <v>,A.`instore_code` = B.`instore_code`</v>
      </c>
      <c r="BP29" t="str">
        <f t="shared" si="2"/>
        <v>,`instore_code`</v>
      </c>
    </row>
    <row r="30" spans="1:68" ht="15" customHeight="1">
      <c r="A30" s="1"/>
      <c r="B30" s="23">
        <v>13</v>
      </c>
      <c r="C30" s="24"/>
      <c r="D30" s="22" t="s">
        <v>231</v>
      </c>
      <c r="E30" s="25"/>
      <c r="F30" s="25"/>
      <c r="G30" s="25"/>
      <c r="H30" s="25"/>
      <c r="I30" s="25"/>
      <c r="J30" s="25"/>
      <c r="K30" s="25"/>
      <c r="L30" s="25"/>
      <c r="M30" s="25"/>
      <c r="N30" s="25"/>
      <c r="O30" s="25"/>
      <c r="P30" s="25"/>
      <c r="Q30" s="26"/>
      <c r="R30" s="22" t="s">
        <v>1411</v>
      </c>
      <c r="S30" s="25"/>
      <c r="T30" s="25"/>
      <c r="U30" s="25"/>
      <c r="V30" s="25"/>
      <c r="W30" s="25"/>
      <c r="X30" s="25"/>
      <c r="Y30" s="25"/>
      <c r="Z30" s="25"/>
      <c r="AA30" s="25"/>
      <c r="AB30" s="26"/>
      <c r="AC30" s="22" t="s">
        <v>234</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,`record_datetime` char(16)  COMMENT '取引確定日時&lt;取引確定後&gt;'</v>
      </c>
      <c r="BN30" t="str">
        <f t="shared" si="3"/>
        <v>,`record_datetime` char(16)  COMMENT '取引確定日時&lt;取引確定後&gt;'</v>
      </c>
      <c r="BO30" t="str">
        <f t="shared" si="1"/>
        <v>,A.`record_datetime` = B.`record_datetime`</v>
      </c>
      <c r="BP30" t="str">
        <f t="shared" si="2"/>
        <v>,`record_datetime`</v>
      </c>
    </row>
    <row r="31" spans="1:68" ht="15" customHeight="1">
      <c r="A31" s="1"/>
      <c r="B31" s="23">
        <v>14</v>
      </c>
      <c r="C31" s="24"/>
      <c r="D31" s="22" t="s">
        <v>219</v>
      </c>
      <c r="E31" s="25"/>
      <c r="F31" s="25"/>
      <c r="G31" s="25"/>
      <c r="H31" s="25"/>
      <c r="I31" s="25"/>
      <c r="J31" s="25"/>
      <c r="K31" s="25"/>
      <c r="L31" s="25"/>
      <c r="M31" s="25"/>
      <c r="N31" s="25"/>
      <c r="O31" s="25"/>
      <c r="P31" s="25"/>
      <c r="Q31" s="26"/>
      <c r="R31" s="22" t="s">
        <v>217</v>
      </c>
      <c r="S31" s="25"/>
      <c r="T31" s="25"/>
      <c r="U31" s="25"/>
      <c r="V31" s="25"/>
      <c r="W31" s="25"/>
      <c r="X31" s="25"/>
      <c r="Y31" s="25"/>
      <c r="Z31" s="25"/>
      <c r="AA31" s="25"/>
      <c r="AB31" s="26"/>
      <c r="AC31" s="22" t="s">
        <v>233</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,`journal_no` char(10)  COMMENT 'ジャーナルNO&lt;取引確定後&gt;'</v>
      </c>
      <c r="BN31" t="str">
        <f t="shared" si="3"/>
        <v>,`journal_no` char(10)  COMMENT 'ジャーナルNO&lt;取引確定後&gt;'</v>
      </c>
      <c r="BO31" t="str">
        <f t="shared" si="1"/>
        <v>,A.`journal_no` = B.`journal_no`</v>
      </c>
      <c r="BP31" t="str">
        <f t="shared" si="2"/>
        <v>,`journal_no`</v>
      </c>
    </row>
    <row r="32" spans="1:68" ht="15" customHeight="1">
      <c r="A32" s="1"/>
      <c r="B32" s="23">
        <v>15</v>
      </c>
      <c r="C32" s="24"/>
      <c r="D32" s="22" t="s">
        <v>220</v>
      </c>
      <c r="E32" s="25"/>
      <c r="F32" s="25"/>
      <c r="G32" s="25"/>
      <c r="H32" s="25"/>
      <c r="I32" s="25"/>
      <c r="J32" s="25"/>
      <c r="K32" s="25"/>
      <c r="L32" s="25"/>
      <c r="M32" s="25"/>
      <c r="N32" s="25"/>
      <c r="O32" s="25"/>
      <c r="P32" s="25"/>
      <c r="Q32" s="26"/>
      <c r="R32" s="22" t="s">
        <v>218</v>
      </c>
      <c r="S32" s="25"/>
      <c r="T32" s="25"/>
      <c r="U32" s="25"/>
      <c r="V32" s="25"/>
      <c r="W32" s="25"/>
      <c r="X32" s="25"/>
      <c r="Y32" s="25"/>
      <c r="Z32" s="25"/>
      <c r="AA32" s="25"/>
      <c r="AB32" s="26"/>
      <c r="AC32" s="22" t="s">
        <v>233</v>
      </c>
      <c r="AD32" s="25"/>
      <c r="AE32" s="25"/>
      <c r="AF32" s="25"/>
      <c r="AG32" s="26"/>
      <c r="AH32" s="22">
        <v>4</v>
      </c>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,`receipt_no` char(10)  COMMENT 'レシートNO&lt;取引確定後&gt;'</v>
      </c>
      <c r="BN32" t="str">
        <f t="shared" si="3"/>
        <v>,`receipt_no` char(10)  COMMENT 'レシートNO&lt;取引確定後&gt;'</v>
      </c>
      <c r="BO32" t="str">
        <f t="shared" si="1"/>
        <v>,A.`receipt_no` = B.`receipt_no`</v>
      </c>
      <c r="BP32" t="str">
        <f t="shared" si="2"/>
        <v>,`receipt_no`</v>
      </c>
    </row>
    <row r="33" spans="1:68" ht="15" customHeight="1">
      <c r="A33" s="1"/>
      <c r="B33" s="23">
        <v>16</v>
      </c>
      <c r="C33" s="24"/>
      <c r="D33" s="22" t="s">
        <v>248</v>
      </c>
      <c r="E33" s="25"/>
      <c r="F33" s="25"/>
      <c r="G33" s="25"/>
      <c r="H33" s="25"/>
      <c r="I33" s="25"/>
      <c r="J33" s="25"/>
      <c r="K33" s="25"/>
      <c r="L33" s="25"/>
      <c r="M33" s="25"/>
      <c r="N33" s="25"/>
      <c r="O33" s="25"/>
      <c r="P33" s="25"/>
      <c r="Q33" s="26"/>
      <c r="R33" s="22" t="s">
        <v>235</v>
      </c>
      <c r="S33" s="25"/>
      <c r="T33" s="25"/>
      <c r="U33" s="25"/>
      <c r="V33" s="25"/>
      <c r="W33" s="25"/>
      <c r="X33" s="25"/>
      <c r="Y33" s="25"/>
      <c r="Z33" s="25"/>
      <c r="AA33" s="25"/>
      <c r="AB33" s="26"/>
      <c r="AC33" s="22" t="s">
        <v>246</v>
      </c>
      <c r="AD33" s="25"/>
      <c r="AE33" s="25"/>
      <c r="AF33" s="25"/>
      <c r="AG33" s="26"/>
      <c r="AH33" s="22">
        <v>5</v>
      </c>
      <c r="AI33" s="26"/>
      <c r="AJ33" s="22"/>
      <c r="AK33" s="25"/>
      <c r="AL33" s="26"/>
      <c r="AM33" s="22"/>
      <c r="AN33" s="25"/>
      <c r="AO33" s="25"/>
      <c r="AP33" s="25"/>
      <c r="AQ33" s="25"/>
      <c r="AR33" s="25"/>
      <c r="AS33" s="26"/>
      <c r="AT33" s="22" t="s">
        <v>261</v>
      </c>
      <c r="AU33" s="25"/>
      <c r="AV33" s="25"/>
      <c r="AW33" s="25"/>
      <c r="AX33" s="25"/>
      <c r="AY33" s="25"/>
      <c r="AZ33" s="25"/>
      <c r="BA33" s="25"/>
      <c r="BB33" s="25"/>
      <c r="BC33" s="25"/>
      <c r="BD33" s="25"/>
      <c r="BE33" s="25"/>
      <c r="BF33" s="25"/>
      <c r="BG33" s="25"/>
      <c r="BH33" s="25"/>
      <c r="BI33" s="25"/>
      <c r="BJ33" s="26"/>
      <c r="BK33" s="4"/>
      <c r="BM33" t="str">
        <f t="shared" si="0"/>
        <v>,`item_no` string  COMMENT '明細行番号/true : 確認済み'</v>
      </c>
      <c r="BN33" t="str">
        <f t="shared" si="3"/>
        <v>,`item_no` string  COMMENT '明細行番号'</v>
      </c>
      <c r="BO33" t="str">
        <f t="shared" si="1"/>
        <v>,A.`item_no` = B.`item_no`</v>
      </c>
      <c r="BP33" t="str">
        <f t="shared" si="2"/>
        <v>,`item_no`</v>
      </c>
    </row>
    <row r="34" spans="1:68" ht="15" customHeight="1">
      <c r="A34" s="1"/>
      <c r="B34" s="23">
        <v>17</v>
      </c>
      <c r="C34" s="24"/>
      <c r="D34" s="22" t="s">
        <v>290</v>
      </c>
      <c r="E34" s="25"/>
      <c r="F34" s="25"/>
      <c r="G34" s="25"/>
      <c r="H34" s="25"/>
      <c r="I34" s="25"/>
      <c r="J34" s="25"/>
      <c r="K34" s="25"/>
      <c r="L34" s="25"/>
      <c r="M34" s="25"/>
      <c r="N34" s="25"/>
      <c r="O34" s="25"/>
      <c r="P34" s="25"/>
      <c r="Q34" s="26"/>
      <c r="R34" s="22"/>
      <c r="S34" s="25"/>
      <c r="T34" s="25"/>
      <c r="U34" s="25"/>
      <c r="V34" s="25"/>
      <c r="W34" s="25"/>
      <c r="X34" s="25"/>
      <c r="Y34" s="25"/>
      <c r="Z34" s="25"/>
      <c r="AA34" s="25"/>
      <c r="AB34" s="26"/>
      <c r="AC34" s="22"/>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   COMMENT '税種説明 (tax_exclude | tax_include | tax_exempt)'</v>
      </c>
      <c r="BN34" t="str">
        <f t="shared" si="3"/>
        <v>,``   COMMENT '税種説明 (tax_exclude | tax_include | tax_exempt)'</v>
      </c>
      <c r="BO34" t="str">
        <f t="shared" si="1"/>
        <v>,A.`` = B.``</v>
      </c>
      <c r="BP34" t="str">
        <f t="shared" si="2"/>
        <v>,``</v>
      </c>
    </row>
    <row r="35" spans="1:68" ht="15" customHeight="1">
      <c r="A35" s="1"/>
      <c r="B35" s="23">
        <v>18</v>
      </c>
      <c r="C35" s="24"/>
      <c r="D35" s="22" t="s">
        <v>276</v>
      </c>
      <c r="E35" s="25"/>
      <c r="F35" s="25"/>
      <c r="G35" s="25"/>
      <c r="H35" s="25"/>
      <c r="I35" s="25"/>
      <c r="J35" s="25"/>
      <c r="K35" s="25"/>
      <c r="L35" s="25"/>
      <c r="M35" s="25"/>
      <c r="N35" s="25"/>
      <c r="O35" s="25"/>
      <c r="P35" s="25"/>
      <c r="Q35" s="26"/>
      <c r="R35" s="22"/>
      <c r="S35" s="25"/>
      <c r="T35" s="25"/>
      <c r="U35" s="25"/>
      <c r="V35" s="25"/>
      <c r="W35" s="25"/>
      <c r="X35" s="25"/>
      <c r="Y35" s="25"/>
      <c r="Z35" s="25"/>
      <c r="AA35" s="25"/>
      <c r="AB35" s="26"/>
      <c r="AC35" s="22"/>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   COMMENT '税額'</v>
      </c>
      <c r="BN35" t="str">
        <f t="shared" si="3"/>
        <v>,``   COMMENT '税額'</v>
      </c>
      <c r="BO35" t="str">
        <f t="shared" si="1"/>
        <v>,A.`` = B.``</v>
      </c>
      <c r="BP35" t="str">
        <f t="shared" si="2"/>
        <v>,``</v>
      </c>
    </row>
    <row r="36" spans="1:68" ht="15" customHeight="1">
      <c r="A36" s="1"/>
      <c r="B36" s="23">
        <v>19</v>
      </c>
      <c r="C36" s="24"/>
      <c r="D36" s="22" t="s">
        <v>277</v>
      </c>
      <c r="E36" s="25"/>
      <c r="F36" s="25"/>
      <c r="G36" s="25"/>
      <c r="H36" s="25"/>
      <c r="I36" s="25"/>
      <c r="J36" s="25"/>
      <c r="K36" s="25"/>
      <c r="L36" s="25"/>
      <c r="M36" s="25"/>
      <c r="N36" s="25"/>
      <c r="O36" s="25"/>
      <c r="P36" s="25"/>
      <c r="Q36" s="26"/>
      <c r="R36" s="22"/>
      <c r="S36" s="25"/>
      <c r="T36" s="25"/>
      <c r="U36" s="25"/>
      <c r="V36" s="25"/>
      <c r="W36" s="25"/>
      <c r="X36" s="25"/>
      <c r="Y36" s="25"/>
      <c r="Z36" s="25"/>
      <c r="AA36" s="25"/>
      <c r="AB36" s="26"/>
      <c r="AC36" s="22"/>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   COMMENT '外対象金額'</v>
      </c>
      <c r="BN36" t="str">
        <f t="shared" si="3"/>
        <v>,``   COMMENT '外対象金額'</v>
      </c>
      <c r="BO36" t="str">
        <f t="shared" si="1"/>
        <v>,A.`` = B.``</v>
      </c>
      <c r="BP36" t="str">
        <f t="shared" si="2"/>
        <v>,``</v>
      </c>
    </row>
    <row r="37" spans="1:68" ht="15" customHeight="1">
      <c r="A37" s="1"/>
      <c r="B37" s="23">
        <v>20</v>
      </c>
      <c r="C37" s="24"/>
      <c r="D37" s="22"/>
      <c r="E37" s="25"/>
      <c r="F37" s="25"/>
      <c r="G37" s="25"/>
      <c r="H37" s="25"/>
      <c r="I37" s="25"/>
      <c r="J37" s="25"/>
      <c r="K37" s="25"/>
      <c r="L37" s="25"/>
      <c r="M37" s="25"/>
      <c r="N37" s="25"/>
      <c r="O37" s="25"/>
      <c r="P37" s="25"/>
      <c r="Q37" s="26"/>
      <c r="R37" s="22"/>
      <c r="S37" s="25"/>
      <c r="T37" s="25"/>
      <c r="U37" s="25"/>
      <c r="V37" s="25"/>
      <c r="W37" s="25"/>
      <c r="X37" s="25"/>
      <c r="Y37" s="25"/>
      <c r="Z37" s="25"/>
      <c r="AA37" s="25"/>
      <c r="AB37" s="26"/>
      <c r="AC37" s="22"/>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   COMMENT ''</v>
      </c>
      <c r="BN37" t="str">
        <f t="shared" si="3"/>
        <v>,``   COMMENT ''</v>
      </c>
      <c r="BO37" t="str">
        <f t="shared" si="1"/>
        <v>,A.`` = B.``</v>
      </c>
      <c r="BP37" t="str">
        <f t="shared" si="2"/>
        <v>,``</v>
      </c>
    </row>
    <row r="38" spans="1:68" ht="15" customHeight="1">
      <c r="A38" s="1"/>
      <c r="B38" s="23">
        <v>21</v>
      </c>
      <c r="C38" s="24"/>
      <c r="D38" s="22"/>
      <c r="E38" s="25"/>
      <c r="F38" s="25"/>
      <c r="G38" s="25"/>
      <c r="H38" s="25"/>
      <c r="I38" s="25"/>
      <c r="J38" s="25"/>
      <c r="K38" s="25"/>
      <c r="L38" s="25"/>
      <c r="M38" s="25"/>
      <c r="N38" s="25"/>
      <c r="O38" s="25"/>
      <c r="P38" s="25"/>
      <c r="Q38" s="26"/>
      <c r="R38" s="22"/>
      <c r="S38" s="25"/>
      <c r="T38" s="25"/>
      <c r="U38" s="25"/>
      <c r="V38" s="25"/>
      <c r="W38" s="25"/>
      <c r="X38" s="25"/>
      <c r="Y38" s="25"/>
      <c r="Z38" s="25"/>
      <c r="AA38" s="25"/>
      <c r="AB38" s="26"/>
      <c r="AC38" s="22"/>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   COMMENT ''</v>
      </c>
      <c r="BN38" t="str">
        <f t="shared" si="3"/>
        <v>,``   COMMENT ''</v>
      </c>
      <c r="BO38" t="str">
        <f t="shared" si="1"/>
        <v>,A.`` = B.``</v>
      </c>
      <c r="BP38" t="str">
        <f t="shared" si="2"/>
        <v>,``</v>
      </c>
    </row>
    <row r="39" spans="1:68" ht="15" customHeight="1">
      <c r="A39" s="1"/>
      <c r="B39" s="23">
        <v>22</v>
      </c>
      <c r="C39" s="24"/>
      <c r="D39" s="22"/>
      <c r="E39" s="25"/>
      <c r="F39" s="25"/>
      <c r="G39" s="25"/>
      <c r="H39" s="25"/>
      <c r="I39" s="25"/>
      <c r="J39" s="25"/>
      <c r="K39" s="25"/>
      <c r="L39" s="25"/>
      <c r="M39" s="25"/>
      <c r="N39" s="25"/>
      <c r="O39" s="25"/>
      <c r="P39" s="25"/>
      <c r="Q39" s="26"/>
      <c r="R39" s="22"/>
      <c r="S39" s="25"/>
      <c r="T39" s="25"/>
      <c r="U39" s="25"/>
      <c r="V39" s="25"/>
      <c r="W39" s="25"/>
      <c r="X39" s="25"/>
      <c r="Y39" s="25"/>
      <c r="Z39" s="25"/>
      <c r="AA39" s="25"/>
      <c r="AB39" s="26"/>
      <c r="AC39" s="22"/>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   COMMENT ''</v>
      </c>
      <c r="BN39" t="str">
        <f t="shared" si="3"/>
        <v>,``   COMMENT ''</v>
      </c>
      <c r="BO39" t="str">
        <f t="shared" si="1"/>
        <v>,A.`` = B.``</v>
      </c>
      <c r="BP39" t="str">
        <f t="shared" si="2"/>
        <v>,``</v>
      </c>
    </row>
    <row r="40" spans="1:68" ht="15" customHeight="1">
      <c r="A40" s="1"/>
      <c r="B40" s="23">
        <v>23</v>
      </c>
      <c r="C40" s="24"/>
      <c r="D40" s="22"/>
      <c r="E40" s="25"/>
      <c r="F40" s="25"/>
      <c r="G40" s="25"/>
      <c r="H40" s="25"/>
      <c r="I40" s="25"/>
      <c r="J40" s="25"/>
      <c r="K40" s="25"/>
      <c r="L40" s="25"/>
      <c r="M40" s="25"/>
      <c r="N40" s="25"/>
      <c r="O40" s="25"/>
      <c r="P40" s="25"/>
      <c r="Q40" s="26"/>
      <c r="R40" s="22"/>
      <c r="S40" s="25"/>
      <c r="T40" s="25"/>
      <c r="U40" s="25"/>
      <c r="V40" s="25"/>
      <c r="W40" s="25"/>
      <c r="X40" s="25"/>
      <c r="Y40" s="25"/>
      <c r="Z40" s="25"/>
      <c r="AA40" s="25"/>
      <c r="AB40" s="26"/>
      <c r="AC40" s="22"/>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   COMMENT ''</v>
      </c>
      <c r="BN40" t="str">
        <f t="shared" si="3"/>
        <v>,``   COMMENT ''</v>
      </c>
      <c r="BO40" t="str">
        <f t="shared" si="1"/>
        <v>,A.`` = B.``</v>
      </c>
      <c r="BP40" t="str">
        <f t="shared" si="2"/>
        <v>,``</v>
      </c>
    </row>
    <row r="41" spans="1:68" ht="15" customHeight="1">
      <c r="A41" s="1"/>
      <c r="B41" s="23">
        <v>24</v>
      </c>
      <c r="C41" s="24"/>
      <c r="D41" s="22"/>
      <c r="E41" s="25"/>
      <c r="F41" s="25"/>
      <c r="G41" s="25"/>
      <c r="H41" s="25"/>
      <c r="I41" s="25"/>
      <c r="J41" s="25"/>
      <c r="K41" s="25"/>
      <c r="L41" s="25"/>
      <c r="M41" s="25"/>
      <c r="N41" s="25"/>
      <c r="O41" s="25"/>
      <c r="P41" s="25"/>
      <c r="Q41" s="26"/>
      <c r="R41" s="22"/>
      <c r="S41" s="25"/>
      <c r="T41" s="25"/>
      <c r="U41" s="25"/>
      <c r="V41" s="25"/>
      <c r="W41" s="25"/>
      <c r="X41" s="25"/>
      <c r="Y41" s="25"/>
      <c r="Z41" s="25"/>
      <c r="AA41" s="25"/>
      <c r="AB41" s="26"/>
      <c r="AC41" s="22"/>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   COMMENT ''</v>
      </c>
      <c r="BN41" t="str">
        <f t="shared" si="3"/>
        <v>,``   COMMENT ''</v>
      </c>
      <c r="BO41" t="str">
        <f t="shared" si="1"/>
        <v>,A.`` = B.``</v>
      </c>
      <c r="BP41" t="str">
        <f t="shared" si="2"/>
        <v>,``</v>
      </c>
    </row>
    <row r="42" spans="1:68" ht="15" customHeight="1">
      <c r="A42" s="1"/>
      <c r="B42" s="23">
        <v>25</v>
      </c>
      <c r="C42" s="24"/>
      <c r="D42" s="22"/>
      <c r="E42" s="25"/>
      <c r="F42" s="25"/>
      <c r="G42" s="25"/>
      <c r="H42" s="25"/>
      <c r="I42" s="25"/>
      <c r="J42" s="25"/>
      <c r="K42" s="25"/>
      <c r="L42" s="25"/>
      <c r="M42" s="25"/>
      <c r="N42" s="25"/>
      <c r="O42" s="25"/>
      <c r="P42" s="25"/>
      <c r="Q42" s="26"/>
      <c r="R42" s="22"/>
      <c r="S42" s="25"/>
      <c r="T42" s="25"/>
      <c r="U42" s="25"/>
      <c r="V42" s="25"/>
      <c r="W42" s="25"/>
      <c r="X42" s="25"/>
      <c r="Y42" s="25"/>
      <c r="Z42" s="25"/>
      <c r="AA42" s="25"/>
      <c r="AB42" s="26"/>
      <c r="AC42" s="22"/>
      <c r="AD42" s="25"/>
      <c r="AE42" s="25"/>
      <c r="AF42" s="25"/>
      <c r="AG42" s="26"/>
      <c r="AH42" s="22"/>
      <c r="AI42" s="26"/>
      <c r="AJ42" s="22"/>
      <c r="AK42" s="25"/>
      <c r="AL42" s="26"/>
      <c r="AM42" s="22"/>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M42" t="str">
        <f t="shared" si="0"/>
        <v>,``   COMMENT ''</v>
      </c>
      <c r="BN42" t="str">
        <f t="shared" si="3"/>
        <v>,``   COMMENT ''</v>
      </c>
      <c r="BO42" t="str">
        <f t="shared" si="1"/>
        <v>,A.`` = B.``</v>
      </c>
      <c r="BP42" t="str">
        <f t="shared" si="2"/>
        <v>,``</v>
      </c>
    </row>
    <row r="43" spans="1:68" ht="15" customHeight="1">
      <c r="A43" s="1"/>
      <c r="B43" s="23">
        <v>26</v>
      </c>
      <c r="C43" s="24"/>
      <c r="D43" s="22"/>
      <c r="E43" s="25"/>
      <c r="F43" s="25"/>
      <c r="G43" s="25"/>
      <c r="H43" s="25"/>
      <c r="I43" s="25"/>
      <c r="J43" s="25"/>
      <c r="K43" s="25"/>
      <c r="L43" s="25"/>
      <c r="M43" s="25"/>
      <c r="N43" s="25"/>
      <c r="O43" s="25"/>
      <c r="P43" s="25"/>
      <c r="Q43" s="26"/>
      <c r="R43" s="22"/>
      <c r="S43" s="25"/>
      <c r="T43" s="25"/>
      <c r="U43" s="25"/>
      <c r="V43" s="25"/>
      <c r="W43" s="25"/>
      <c r="X43" s="25"/>
      <c r="Y43" s="25"/>
      <c r="Z43" s="25"/>
      <c r="AA43" s="25"/>
      <c r="AB43" s="26"/>
      <c r="AC43" s="22"/>
      <c r="AD43" s="25"/>
      <c r="AE43" s="25"/>
      <c r="AF43" s="25"/>
      <c r="AG43" s="26"/>
      <c r="AH43" s="22"/>
      <c r="AI43" s="26"/>
      <c r="AJ43" s="22"/>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row>
    <row r="44" spans="1:68" ht="15" customHeight="1">
      <c r="A44" s="1"/>
      <c r="B44" s="23">
        <v>27</v>
      </c>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v>28</v>
      </c>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8">
        <v>29</v>
      </c>
      <c r="C46" s="29"/>
      <c r="D46" s="30"/>
      <c r="E46" s="31"/>
      <c r="F46" s="31"/>
      <c r="G46" s="31"/>
      <c r="H46" s="31"/>
      <c r="I46" s="31"/>
      <c r="J46" s="31"/>
      <c r="K46" s="31"/>
      <c r="L46" s="31"/>
      <c r="M46" s="31"/>
      <c r="N46" s="31"/>
      <c r="O46" s="31"/>
      <c r="P46" s="31"/>
      <c r="Q46" s="32"/>
      <c r="R46" s="30"/>
      <c r="S46" s="31"/>
      <c r="T46" s="31"/>
      <c r="U46" s="31"/>
      <c r="V46" s="31"/>
      <c r="W46" s="31"/>
      <c r="X46" s="31"/>
      <c r="Y46" s="31"/>
      <c r="Z46" s="31"/>
      <c r="AA46" s="31"/>
      <c r="AB46" s="32"/>
      <c r="AC46" s="30"/>
      <c r="AD46" s="31"/>
      <c r="AE46" s="31"/>
      <c r="AF46" s="31"/>
      <c r="AG46" s="32"/>
      <c r="AH46" s="30"/>
      <c r="AI46" s="32"/>
      <c r="AJ46" s="30"/>
      <c r="AK46" s="31"/>
      <c r="AL46" s="32"/>
      <c r="AM46" s="30"/>
      <c r="AN46" s="31"/>
      <c r="AO46" s="31"/>
      <c r="AP46" s="31"/>
      <c r="AQ46" s="31"/>
      <c r="AR46" s="31"/>
      <c r="AS46" s="32"/>
      <c r="AT46" s="30"/>
      <c r="AU46" s="31"/>
      <c r="AV46" s="31"/>
      <c r="AW46" s="31"/>
      <c r="AX46" s="31"/>
      <c r="AY46" s="31"/>
      <c r="AZ46" s="31"/>
      <c r="BA46" s="31"/>
      <c r="BB46" s="31"/>
      <c r="BC46" s="31"/>
      <c r="BD46" s="31"/>
      <c r="BE46" s="31"/>
      <c r="BF46" s="31"/>
      <c r="BG46" s="31"/>
      <c r="BH46" s="31"/>
      <c r="BI46" s="31"/>
      <c r="BJ46" s="32"/>
      <c r="BK46" s="4"/>
    </row>
    <row r="47" spans="1:68" ht="15" customHeight="1">
      <c r="A47" s="1"/>
      <c r="BK47" s="4"/>
    </row>
    <row r="48" spans="1:68" ht="15" customHeight="1">
      <c r="A48" s="1"/>
      <c r="BK48" s="4"/>
    </row>
    <row r="49" spans="1:68" ht="15" customHeight="1">
      <c r="A49" s="1"/>
      <c r="B49" s="37" t="s">
        <v>49</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row>
    <row r="50" spans="1:68" ht="15" customHeight="1">
      <c r="A50" s="1"/>
      <c r="B50" s="34" t="s">
        <v>50</v>
      </c>
      <c r="C50" s="35"/>
      <c r="D50" s="34" t="s">
        <v>51</v>
      </c>
      <c r="E50" s="44"/>
      <c r="F50" s="36"/>
      <c r="G50" s="36"/>
      <c r="H50" s="36"/>
      <c r="I50" s="36"/>
      <c r="J50" s="36"/>
      <c r="K50" s="36"/>
      <c r="L50" s="36"/>
      <c r="M50" s="36"/>
      <c r="N50" s="36"/>
      <c r="O50" s="36"/>
      <c r="P50" s="36"/>
      <c r="Q50" s="35"/>
      <c r="R50" s="34" t="s">
        <v>52</v>
      </c>
      <c r="S50" s="44"/>
      <c r="T50" s="36"/>
      <c r="U50" s="36"/>
      <c r="V50" s="36"/>
      <c r="W50" s="36"/>
      <c r="X50" s="36"/>
      <c r="Y50" s="36"/>
      <c r="Z50" s="36"/>
      <c r="AA50" s="36"/>
      <c r="AB50" s="36"/>
      <c r="AC50" s="36"/>
      <c r="AD50" s="36"/>
      <c r="AE50" s="36"/>
      <c r="AF50" s="36"/>
      <c r="AG50" s="36"/>
      <c r="AH50" s="36"/>
      <c r="AI50" s="36"/>
      <c r="AJ50" s="36"/>
      <c r="AK50" s="35"/>
      <c r="AL50" s="34" t="s">
        <v>53</v>
      </c>
      <c r="AM50" s="36"/>
      <c r="AN50" s="36"/>
      <c r="AO50" s="45"/>
      <c r="AP50" s="34" t="s">
        <v>54</v>
      </c>
      <c r="AQ50" s="36"/>
      <c r="AR50" s="36"/>
      <c r="AS50" s="35"/>
      <c r="AT50" s="34" t="s">
        <v>48</v>
      </c>
      <c r="AU50" s="44"/>
      <c r="AV50" s="44"/>
      <c r="AW50" s="36"/>
      <c r="AX50" s="36"/>
      <c r="AY50" s="44"/>
      <c r="AZ50" s="36"/>
      <c r="BA50" s="36"/>
      <c r="BB50" s="36"/>
      <c r="BC50" s="36"/>
      <c r="BD50" s="36"/>
      <c r="BE50" s="36"/>
      <c r="BF50" s="36"/>
      <c r="BG50" s="36"/>
      <c r="BH50" s="36"/>
      <c r="BI50" s="44"/>
      <c r="BJ50" s="35"/>
      <c r="BK50" s="4"/>
    </row>
    <row r="51" spans="1:68" ht="15" customHeight="1">
      <c r="A51" s="1"/>
      <c r="B51" s="38">
        <v>1</v>
      </c>
      <c r="C51" s="39"/>
      <c r="D51" s="38" t="s">
        <v>55</v>
      </c>
      <c r="E51" s="46"/>
      <c r="F51" s="40"/>
      <c r="G51" s="40"/>
      <c r="H51" s="40"/>
      <c r="I51" s="40"/>
      <c r="J51" s="40"/>
      <c r="K51" s="40"/>
      <c r="L51" s="40"/>
      <c r="M51" s="40"/>
      <c r="N51" s="40"/>
      <c r="O51" s="40"/>
      <c r="P51" s="40"/>
      <c r="Q51" s="39"/>
      <c r="R51"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`company_code`,`store_code`,`instore_code`,`receipt_no`,`item_no`</v>
      </c>
      <c r="S51" s="46"/>
      <c r="T51" s="40"/>
      <c r="U51" s="40"/>
      <c r="V51" s="40"/>
      <c r="W51" s="40"/>
      <c r="X51" s="40"/>
      <c r="Y51" s="40"/>
      <c r="Z51" s="40"/>
      <c r="AA51" s="40"/>
      <c r="AB51" s="40"/>
      <c r="AC51" s="40"/>
      <c r="AD51" s="40"/>
      <c r="AE51" s="40"/>
      <c r="AF51" s="40"/>
      <c r="AG51" s="40"/>
      <c r="AH51" s="40"/>
      <c r="AI51" s="40"/>
      <c r="AJ51" s="40"/>
      <c r="AK51" s="39"/>
      <c r="AL51" s="38" t="s">
        <v>885</v>
      </c>
      <c r="AM51" s="40"/>
      <c r="AN51" s="40"/>
      <c r="AO51" s="47"/>
      <c r="AP51" s="38" t="s">
        <v>885</v>
      </c>
      <c r="AQ51" s="40"/>
      <c r="AR51" s="40"/>
      <c r="AS51" s="39"/>
      <c r="AT51" s="38"/>
      <c r="AU51" s="46"/>
      <c r="AV51" s="46"/>
      <c r="AW51" s="40"/>
      <c r="AX51" s="40"/>
      <c r="AY51" s="46"/>
      <c r="AZ51" s="40"/>
      <c r="BA51" s="40"/>
      <c r="BB51" s="40"/>
      <c r="BC51" s="40"/>
      <c r="BD51" s="40"/>
      <c r="BE51" s="40"/>
      <c r="BF51" s="40"/>
      <c r="BG51" s="40"/>
      <c r="BH51" s="40"/>
      <c r="BI51" s="46"/>
      <c r="BJ51" s="39"/>
      <c r="BK51" s="4"/>
      <c r="BM51"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(`company_code`,`store_code`,`instore_code`,`receipt_no`,`item_no`),</v>
      </c>
      <c r="BN51" t="str">
        <f>BM51</f>
        <v xml:space="preserve"> , PRIMARY KEY (`company_code`,`store_code`,`instore_code`,`receipt_no`,`item_no`),</v>
      </c>
    </row>
    <row r="52" spans="1:68" ht="15" customHeight="1">
      <c r="A52" s="1"/>
      <c r="BK52" s="4"/>
      <c r="BM52" t="s">
        <v>452</v>
      </c>
    </row>
    <row r="53" spans="1:68" ht="15" customHeight="1">
      <c r="A53" s="1"/>
      <c r="BK53" s="4"/>
      <c r="BM53" t="str">
        <f>") ENGINE=InnoDB DEFAULT CHARSET=utf8 COMMENT = '"&amp;$G$9&amp;"';"</f>
        <v>) ENGINE=InnoDB DEFAULT CHARSET=utf8 COMMENT = '売上情報明細';</v>
      </c>
      <c r="BN53" t="str">
        <f>") ENGINE=InnoDB DEFAULT CHARSET=utf8 COMMENT = '"&amp;$G$9&amp;"_TMP';"</f>
        <v>) ENGINE=InnoDB DEFAULT CHARSET=utf8 COMMENT = '売上情報明細_TMP';</v>
      </c>
    </row>
    <row r="54" spans="1:68" ht="15" customHeight="1">
      <c r="A54" s="1"/>
      <c r="B54" s="37" t="s">
        <v>34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4"/>
    </row>
    <row r="55" spans="1:68" ht="15" customHeight="1">
      <c r="A55" s="1"/>
      <c r="B55" s="34" t="s">
        <v>35</v>
      </c>
      <c r="C55" s="45"/>
      <c r="D55" s="34" t="s">
        <v>36</v>
      </c>
      <c r="E55" s="44"/>
      <c r="F55" s="44"/>
      <c r="G55" s="44"/>
      <c r="H55" s="44"/>
      <c r="I55" s="44"/>
      <c r="J55" s="44"/>
      <c r="K55" s="44"/>
      <c r="L55" s="36"/>
      <c r="M55" s="36"/>
      <c r="N55" s="36"/>
      <c r="O55" s="36"/>
      <c r="P55" s="36"/>
      <c r="Q55" s="35"/>
      <c r="R55" s="34" t="s">
        <v>37</v>
      </c>
      <c r="S55" s="36"/>
      <c r="T55" s="45"/>
      <c r="U55" s="34" t="s">
        <v>38</v>
      </c>
      <c r="V55" s="36"/>
      <c r="W55" s="44"/>
      <c r="X55" s="45"/>
      <c r="Y55" s="34" t="s">
        <v>39</v>
      </c>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5"/>
      <c r="BK55" s="4"/>
      <c r="BM55" t="str">
        <f>"CREATE TRIGGER `"&amp;G15&amp;"_CR_Date_Time` BEFORE INSERT ON `"&amp;G15&amp;"`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56" spans="1:68" ht="15" customHeight="1">
      <c r="A56" s="1"/>
      <c r="B56" s="41">
        <v>1</v>
      </c>
      <c r="C56" s="47"/>
      <c r="D56" s="41" t="str">
        <f>G10&amp;"_"&amp;R56&amp;"_"&amp;"trg"</f>
        <v>sales_details_update_trg</v>
      </c>
      <c r="E56" s="46"/>
      <c r="F56" s="46"/>
      <c r="G56" s="46"/>
      <c r="H56" s="46"/>
      <c r="I56" s="46"/>
      <c r="J56" s="46"/>
      <c r="K56" s="46"/>
      <c r="L56" s="42"/>
      <c r="M56" s="42"/>
      <c r="N56" s="42"/>
      <c r="O56" s="42"/>
      <c r="P56" s="42"/>
      <c r="Q56" s="43"/>
      <c r="R56" s="41" t="s">
        <v>40</v>
      </c>
      <c r="S56" s="42"/>
      <c r="T56" s="47"/>
      <c r="U56" s="41" t="s">
        <v>41</v>
      </c>
      <c r="V56" s="42"/>
      <c r="W56" s="46"/>
      <c r="X56" s="47"/>
      <c r="Y56" s="41" t="s">
        <v>42</v>
      </c>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3"/>
      <c r="BK56" s="4"/>
      <c r="BM56" t="str">
        <f>"CREATE TRIGGER `"&amp;G15&amp;"_UP_Date_Time` BEFORE UPDATE ON `"&amp;G15&amp;"` FOR EACH ROW SET NEW.record_update_date = CURRENT_DATE, NEW.record_update_time = CURRENT_TIME;"</f>
        <v>CREATE TRIGGER `_UP_Date_Time` BEFORE UPDATE ON `` FOR EACH ROW SET NEW.record_update_date = CURRENT_DATE, NEW.record_update_time = CURRENT_TIME;</v>
      </c>
    </row>
    <row r="57" spans="1:68" ht="15" customHeight="1">
      <c r="A57" s="1"/>
      <c r="BK57" s="4"/>
    </row>
    <row r="58" spans="1:68" ht="15" customHeight="1">
      <c r="A58" s="1"/>
      <c r="BK58" s="4"/>
    </row>
    <row r="59" spans="1:68" ht="15" customHeight="1">
      <c r="A59" s="1"/>
      <c r="BK59" s="4"/>
    </row>
    <row r="60" spans="1:68" ht="15" customHeight="1">
      <c r="A60" s="1"/>
      <c r="BK60" s="4"/>
    </row>
    <row r="61" spans="1:68" ht="15" customHeight="1">
      <c r="A61" s="1"/>
      <c r="BK61" s="4"/>
    </row>
    <row r="62" spans="1:68" ht="15" customHeight="1">
      <c r="A62" s="1"/>
      <c r="BK62" s="4"/>
    </row>
    <row r="63" spans="1:68" ht="15" customHeight="1">
      <c r="A63" s="1"/>
      <c r="BK63" s="4"/>
      <c r="BM63" t="s">
        <v>858</v>
      </c>
      <c r="BN63" t="str">
        <f>BM63</f>
        <v xml:space="preserve"> , PRIMARY KEY (`CompanyCode`,`StoreCode`,`ReceiptCouponCode`,`PrintFrom`,`MessagePosition`,`MessageLineNo`),</v>
      </c>
      <c r="BO63" t="str">
        <f t="shared" si="1"/>
        <v>,A.`` = B.``</v>
      </c>
      <c r="BP63" t="str">
        <f t="shared" si="2"/>
        <v>,``</v>
      </c>
    </row>
    <row r="64" spans="1:68" ht="15" customHeight="1">
      <c r="A64" s="1"/>
      <c r="BK64" s="4"/>
      <c r="BM64" t="s">
        <v>452</v>
      </c>
      <c r="BO64" t="str">
        <f t="shared" si="1"/>
        <v>,A.`` = B.``</v>
      </c>
      <c r="BP64" t="str">
        <f t="shared" si="2"/>
        <v>,``</v>
      </c>
    </row>
    <row r="65" spans="1:68" ht="15" customHeight="1">
      <c r="A65" s="1"/>
      <c r="BK65" s="4"/>
      <c r="BM65" t="s">
        <v>639</v>
      </c>
      <c r="BN65" t="str">
        <f>BM65</f>
        <v>) ENGINE=InnoDB DEFAULT CHARSET=utf8;</v>
      </c>
      <c r="BO65" t="str">
        <f t="shared" si="1"/>
        <v>,A.`` = B.``</v>
      </c>
      <c r="BP65" t="str">
        <f t="shared" si="2"/>
        <v>,``</v>
      </c>
    </row>
    <row r="66" spans="1:68" ht="15" customHeight="1">
      <c r="A66" s="1"/>
      <c r="BK66" s="4"/>
      <c r="BM66" t="str">
        <f>"CREATE TRIGGER `"&amp;G10&amp;"_CR_Date_Time` BEFORE INSERT ON `"&amp;G10&amp;"` FOR EACH ROW SET NEW.record_create_date = CURRENT_DATE, NEW.record_create_time = CURRENT_TIME, NEW.record_update_date = CURRENT_DATE, NEW.record_update_time = CURRENT_TIME;"</f>
        <v>CREATE TRIGGER `sales_details_CR_Date_Time` BEFORE INSERT ON `sales_details` FOR EACH ROW SET NEW.record_create_date = CURRENT_DATE, NEW.record_create_time = CURRENT_TIME, NEW.record_update_date = CURRENT_DATE, NEW.record_update_time = CURRENT_TIME;</v>
      </c>
    </row>
    <row r="67" spans="1:68" ht="15" customHeight="1">
      <c r="A67" s="1"/>
      <c r="BK67" s="4"/>
      <c r="BM67" t="str">
        <f>"CREATE TRIGGER `"&amp;G10&amp;"_UP_Date_Time` BEFORE UPDATE ON `"&amp;G10&amp;"` FOR EACH ROW SET NEW.record_update_date = CURRENT_DATE, NEW.record_update_time = CURRENT_TIME;"</f>
        <v>CREATE TRIGGER `sales_details_UP_Date_Time` BEFORE UPDATE ON `sales_details` FOR EACH ROW SET NEW.record_update_date = CURRENT_DATE, NEW.record_update_time = CURRENT_TIME;</v>
      </c>
    </row>
    <row r="68" spans="1:68" ht="15" customHeight="1">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5"/>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981EF-7C86-437D-8844-9F7146332CA0}">
  <dimension ref="A1:BP68"/>
  <sheetViews>
    <sheetView view="pageBreakPreview" topLeftCell="A16" zoomScale="80" zoomScaleNormal="75" zoomScaleSheetLayoutView="80" workbookViewId="0">
      <selection activeCell="BN19" sqref="BN19"/>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19</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292" t="s">
        <v>43</v>
      </c>
      <c r="C8" s="293"/>
      <c r="D8" s="293"/>
      <c r="E8" s="293"/>
      <c r="F8" s="294"/>
      <c r="G8" s="295"/>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row>
    <row r="9" spans="1:63" ht="15" customHeight="1">
      <c r="A9" s="1"/>
      <c r="B9" s="301" t="s">
        <v>45</v>
      </c>
      <c r="C9" s="302"/>
      <c r="D9" s="302"/>
      <c r="E9" s="302"/>
      <c r="F9" s="303"/>
      <c r="G9" s="304" t="s">
        <v>211</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row>
    <row r="10" spans="1:63" ht="15" customHeight="1">
      <c r="A10" s="1"/>
      <c r="B10" s="310" t="s">
        <v>47</v>
      </c>
      <c r="C10" s="311"/>
      <c r="D10" s="311"/>
      <c r="E10" s="311"/>
      <c r="F10" s="312"/>
      <c r="G10" s="298" t="s">
        <v>210</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row>
    <row r="11" spans="1:63"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row>
    <row r="12" spans="1:63"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row>
    <row r="13" spans="1:63"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row>
    <row r="14" spans="1:63"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row>
    <row r="15" spans="1:63"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row>
    <row r="16" spans="1:63"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``.`sales_details`;</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``.`sales_details` (</v>
      </c>
      <c r="BN20" t="str">
        <f>"CREATE TABLE `TMP`.`"&amp;G10&amp;"` ("</f>
        <v>CREATE TABLE `TMP`.`sales_details`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t="s">
        <v>885</v>
      </c>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225</v>
      </c>
      <c r="E27" s="25"/>
      <c r="F27" s="25"/>
      <c r="G27" s="25"/>
      <c r="H27" s="25"/>
      <c r="I27" s="25"/>
      <c r="J27" s="25"/>
      <c r="K27" s="25"/>
      <c r="L27" s="25"/>
      <c r="M27" s="25"/>
      <c r="N27" s="25"/>
      <c r="O27" s="25"/>
      <c r="P27" s="25"/>
      <c r="Q27" s="26"/>
      <c r="R27" s="22" t="s">
        <v>212</v>
      </c>
      <c r="S27" s="25"/>
      <c r="T27" s="25"/>
      <c r="U27" s="25"/>
      <c r="V27" s="25"/>
      <c r="W27" s="25"/>
      <c r="X27" s="25"/>
      <c r="Y27" s="25"/>
      <c r="Z27" s="25"/>
      <c r="AA27" s="25"/>
      <c r="AB27" s="26"/>
      <c r="AC27" s="22" t="s">
        <v>213</v>
      </c>
      <c r="AD27" s="25"/>
      <c r="AE27" s="25"/>
      <c r="AF27" s="25"/>
      <c r="AG27" s="26"/>
      <c r="AH27" s="22"/>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c r="BM27" t="str">
        <f t="shared" si="0"/>
        <v>,`company_code` char(3)  COMMENT '企業コード'</v>
      </c>
      <c r="BN27" t="str">
        <f t="shared" ref="BN27:BN42" si="3">",`"&amp;R27&amp;"` "&amp;AC27&amp;" "&amp;IF(AJ27="Y","NOT NULL","")&amp;" COMMENT '"&amp;D27&amp;"'"</f>
        <v>,`company_code` char(3)  COMMENT '企業コード'</v>
      </c>
      <c r="BO27" t="str">
        <f t="shared" si="1"/>
        <v>,A.`company_code` = B.`company_code`</v>
      </c>
      <c r="BP27" t="str">
        <f t="shared" si="2"/>
        <v>,`company_code`</v>
      </c>
    </row>
    <row r="28" spans="1:68" ht="15" customHeight="1">
      <c r="A28" s="1"/>
      <c r="B28" s="23">
        <v>8</v>
      </c>
      <c r="C28" s="24"/>
      <c r="D28" s="22" t="s">
        <v>226</v>
      </c>
      <c r="E28" s="25"/>
      <c r="F28" s="25"/>
      <c r="G28" s="25"/>
      <c r="H28" s="25"/>
      <c r="I28" s="25"/>
      <c r="J28" s="25"/>
      <c r="K28" s="25"/>
      <c r="L28" s="25"/>
      <c r="M28" s="25"/>
      <c r="N28" s="25"/>
      <c r="O28" s="25"/>
      <c r="P28" s="25"/>
      <c r="Q28" s="26"/>
      <c r="R28" s="22" t="s">
        <v>214</v>
      </c>
      <c r="S28" s="25"/>
      <c r="T28" s="25"/>
      <c r="U28" s="25"/>
      <c r="V28" s="25"/>
      <c r="W28" s="25"/>
      <c r="X28" s="25"/>
      <c r="Y28" s="25"/>
      <c r="Z28" s="25"/>
      <c r="AA28" s="25"/>
      <c r="AB28" s="26"/>
      <c r="AC28" s="22" t="s">
        <v>215</v>
      </c>
      <c r="AD28" s="25"/>
      <c r="AE28" s="25"/>
      <c r="AF28" s="25"/>
      <c r="AG28" s="26"/>
      <c r="AH28" s="22"/>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,`store_code` char(5)  COMMENT '店舗コード'</v>
      </c>
      <c r="BN28" t="str">
        <f t="shared" si="3"/>
        <v>,`store_code` char(5)  COMMENT '店舗コード'</v>
      </c>
      <c r="BO28" t="str">
        <f t="shared" si="1"/>
        <v>,A.`store_code` = B.`store_code`</v>
      </c>
      <c r="BP28" t="str">
        <f t="shared" si="2"/>
        <v>,`store_code`</v>
      </c>
    </row>
    <row r="29" spans="1:68" ht="15" customHeight="1">
      <c r="A29" s="1"/>
      <c r="B29" s="23">
        <v>9</v>
      </c>
      <c r="C29" s="24"/>
      <c r="D29" s="22" t="s">
        <v>227</v>
      </c>
      <c r="E29" s="25"/>
      <c r="F29" s="25"/>
      <c r="G29" s="25"/>
      <c r="H29" s="25"/>
      <c r="I29" s="25"/>
      <c r="J29" s="25"/>
      <c r="K29" s="25"/>
      <c r="L29" s="25"/>
      <c r="M29" s="25"/>
      <c r="N29" s="25"/>
      <c r="O29" s="25"/>
      <c r="P29" s="25"/>
      <c r="Q29" s="26"/>
      <c r="R29" s="22" t="s">
        <v>216</v>
      </c>
      <c r="S29" s="25"/>
      <c r="T29" s="25"/>
      <c r="U29" s="25"/>
      <c r="V29" s="25"/>
      <c r="W29" s="25"/>
      <c r="X29" s="25"/>
      <c r="Y29" s="25"/>
      <c r="Z29" s="25"/>
      <c r="AA29" s="25"/>
      <c r="AB29" s="26"/>
      <c r="AC29" s="22" t="s">
        <v>215</v>
      </c>
      <c r="AD29" s="25"/>
      <c r="AE29" s="25"/>
      <c r="AF29" s="25"/>
      <c r="AG29" s="26"/>
      <c r="AH29" s="22"/>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,`instore_code` char(5)  COMMENT 'レジ番号'</v>
      </c>
      <c r="BN29" t="str">
        <f t="shared" si="3"/>
        <v>,`instore_code` char(5)  COMMENT 'レジ番号'</v>
      </c>
      <c r="BO29" t="str">
        <f t="shared" si="1"/>
        <v>,A.`instore_code` = B.`instore_code`</v>
      </c>
      <c r="BP29" t="str">
        <f t="shared" si="2"/>
        <v>,`instore_code`</v>
      </c>
    </row>
    <row r="30" spans="1:68" ht="15" customHeight="1">
      <c r="A30" s="1"/>
      <c r="B30" s="23">
        <v>13</v>
      </c>
      <c r="C30" s="24"/>
      <c r="D30" s="22" t="s">
        <v>231</v>
      </c>
      <c r="E30" s="25"/>
      <c r="F30" s="25"/>
      <c r="G30" s="25"/>
      <c r="H30" s="25"/>
      <c r="I30" s="25"/>
      <c r="J30" s="25"/>
      <c r="K30" s="25"/>
      <c r="L30" s="25"/>
      <c r="M30" s="25"/>
      <c r="N30" s="25"/>
      <c r="O30" s="25"/>
      <c r="P30" s="25"/>
      <c r="Q30" s="26"/>
      <c r="R30" s="22" t="s">
        <v>224</v>
      </c>
      <c r="S30" s="25"/>
      <c r="T30" s="25"/>
      <c r="U30" s="25"/>
      <c r="V30" s="25"/>
      <c r="W30" s="25"/>
      <c r="X30" s="25"/>
      <c r="Y30" s="25"/>
      <c r="Z30" s="25"/>
      <c r="AA30" s="25"/>
      <c r="AB30" s="26"/>
      <c r="AC30" s="22" t="s">
        <v>234</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,`record_datetime` char(16)  COMMENT '取引確定日時&lt;取引確定後&gt;'</v>
      </c>
      <c r="BN30" t="str">
        <f t="shared" si="3"/>
        <v>,`record_datetime` char(16)  COMMENT '取引確定日時&lt;取引確定後&gt;'</v>
      </c>
      <c r="BO30" t="str">
        <f t="shared" si="1"/>
        <v>,A.`record_datetime` = B.`record_datetime`</v>
      </c>
      <c r="BP30" t="str">
        <f t="shared" si="2"/>
        <v>,`record_datetime`</v>
      </c>
    </row>
    <row r="31" spans="1:68" ht="15" customHeight="1">
      <c r="A31" s="1"/>
      <c r="B31" s="23">
        <v>14</v>
      </c>
      <c r="C31" s="24"/>
      <c r="D31" s="22" t="s">
        <v>219</v>
      </c>
      <c r="E31" s="25"/>
      <c r="F31" s="25"/>
      <c r="G31" s="25"/>
      <c r="H31" s="25"/>
      <c r="I31" s="25"/>
      <c r="J31" s="25"/>
      <c r="K31" s="25"/>
      <c r="L31" s="25"/>
      <c r="M31" s="25"/>
      <c r="N31" s="25"/>
      <c r="O31" s="25"/>
      <c r="P31" s="25"/>
      <c r="Q31" s="26"/>
      <c r="R31" s="22" t="s">
        <v>217</v>
      </c>
      <c r="S31" s="25"/>
      <c r="T31" s="25"/>
      <c r="U31" s="25"/>
      <c r="V31" s="25"/>
      <c r="W31" s="25"/>
      <c r="X31" s="25"/>
      <c r="Y31" s="25"/>
      <c r="Z31" s="25"/>
      <c r="AA31" s="25"/>
      <c r="AB31" s="26"/>
      <c r="AC31" s="22" t="s">
        <v>233</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,`journal_no` char(10)  COMMENT 'ジャーナルNO&lt;取引確定後&gt;'</v>
      </c>
      <c r="BN31" t="str">
        <f t="shared" si="3"/>
        <v>,`journal_no` char(10)  COMMENT 'ジャーナルNO&lt;取引確定後&gt;'</v>
      </c>
      <c r="BO31" t="str">
        <f t="shared" si="1"/>
        <v>,A.`journal_no` = B.`journal_no`</v>
      </c>
      <c r="BP31" t="str">
        <f t="shared" si="2"/>
        <v>,`journal_no`</v>
      </c>
    </row>
    <row r="32" spans="1:68" ht="15" customHeight="1">
      <c r="A32" s="1"/>
      <c r="B32" s="23">
        <v>15</v>
      </c>
      <c r="C32" s="24"/>
      <c r="D32" s="22" t="s">
        <v>220</v>
      </c>
      <c r="E32" s="25"/>
      <c r="F32" s="25"/>
      <c r="G32" s="25"/>
      <c r="H32" s="25"/>
      <c r="I32" s="25"/>
      <c r="J32" s="25"/>
      <c r="K32" s="25"/>
      <c r="L32" s="25"/>
      <c r="M32" s="25"/>
      <c r="N32" s="25"/>
      <c r="O32" s="25"/>
      <c r="P32" s="25"/>
      <c r="Q32" s="26"/>
      <c r="R32" s="22" t="s">
        <v>218</v>
      </c>
      <c r="S32" s="25"/>
      <c r="T32" s="25"/>
      <c r="U32" s="25"/>
      <c r="V32" s="25"/>
      <c r="W32" s="25"/>
      <c r="X32" s="25"/>
      <c r="Y32" s="25"/>
      <c r="Z32" s="25"/>
      <c r="AA32" s="25"/>
      <c r="AB32" s="26"/>
      <c r="AC32" s="22" t="s">
        <v>233</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,`receipt_no` char(10)  COMMENT 'レシートNO&lt;取引確定後&gt;'</v>
      </c>
      <c r="BN32" t="str">
        <f t="shared" si="3"/>
        <v>,`receipt_no` char(10)  COMMENT 'レシートNO&lt;取引確定後&gt;'</v>
      </c>
      <c r="BO32" t="str">
        <f t="shared" si="1"/>
        <v>,A.`receipt_no` = B.`receipt_no`</v>
      </c>
      <c r="BP32" t="str">
        <f t="shared" si="2"/>
        <v>,`receipt_no`</v>
      </c>
    </row>
    <row r="33" spans="1:68" ht="15" customHeight="1">
      <c r="A33" s="1"/>
      <c r="B33" s="23">
        <v>16</v>
      </c>
      <c r="C33" s="24"/>
      <c r="D33" s="22" t="s">
        <v>248</v>
      </c>
      <c r="E33" s="25"/>
      <c r="F33" s="25"/>
      <c r="G33" s="25"/>
      <c r="H33" s="25"/>
      <c r="I33" s="25"/>
      <c r="J33" s="25"/>
      <c r="K33" s="25"/>
      <c r="L33" s="25"/>
      <c r="M33" s="25"/>
      <c r="N33" s="25"/>
      <c r="O33" s="25"/>
      <c r="P33" s="25"/>
      <c r="Q33" s="26"/>
      <c r="R33" s="22" t="s">
        <v>235</v>
      </c>
      <c r="S33" s="25"/>
      <c r="T33" s="25"/>
      <c r="U33" s="25"/>
      <c r="V33" s="25"/>
      <c r="W33" s="25"/>
      <c r="X33" s="25"/>
      <c r="Y33" s="25"/>
      <c r="Z33" s="25"/>
      <c r="AA33" s="25"/>
      <c r="AB33" s="26"/>
      <c r="AC33" s="22" t="s">
        <v>246</v>
      </c>
      <c r="AD33" s="25"/>
      <c r="AE33" s="25"/>
      <c r="AF33" s="25"/>
      <c r="AG33" s="26"/>
      <c r="AH33" s="22"/>
      <c r="AI33" s="26"/>
      <c r="AJ33" s="22"/>
      <c r="AK33" s="25"/>
      <c r="AL33" s="26"/>
      <c r="AM33" s="22"/>
      <c r="AN33" s="25"/>
      <c r="AO33" s="25"/>
      <c r="AP33" s="25"/>
      <c r="AQ33" s="25"/>
      <c r="AR33" s="25"/>
      <c r="AS33" s="26"/>
      <c r="AT33" s="22" t="s">
        <v>261</v>
      </c>
      <c r="AU33" s="25"/>
      <c r="AV33" s="25"/>
      <c r="AW33" s="25"/>
      <c r="AX33" s="25"/>
      <c r="AY33" s="25"/>
      <c r="AZ33" s="25"/>
      <c r="BA33" s="25"/>
      <c r="BB33" s="25"/>
      <c r="BC33" s="25"/>
      <c r="BD33" s="25"/>
      <c r="BE33" s="25"/>
      <c r="BF33" s="25"/>
      <c r="BG33" s="25"/>
      <c r="BH33" s="25"/>
      <c r="BI33" s="25"/>
      <c r="BJ33" s="26"/>
      <c r="BK33" s="4"/>
      <c r="BM33" t="str">
        <f t="shared" si="0"/>
        <v>,`item_no` string  COMMENT '明細行番号/true : 確認済み'</v>
      </c>
      <c r="BN33" t="str">
        <f t="shared" si="3"/>
        <v>,`item_no` string  COMMENT '明細行番号'</v>
      </c>
      <c r="BO33" t="str">
        <f t="shared" si="1"/>
        <v>,A.`item_no` = B.`item_no`</v>
      </c>
      <c r="BP33" t="str">
        <f t="shared" si="2"/>
        <v>,`item_no`</v>
      </c>
    </row>
    <row r="34" spans="1:68" ht="15" customHeight="1">
      <c r="A34" s="1"/>
      <c r="B34" s="23">
        <v>17</v>
      </c>
      <c r="C34" s="24"/>
      <c r="D34" s="22" t="s">
        <v>229</v>
      </c>
      <c r="E34" s="25"/>
      <c r="F34" s="25"/>
      <c r="G34" s="25"/>
      <c r="H34" s="25"/>
      <c r="I34" s="25"/>
      <c r="J34" s="25"/>
      <c r="K34" s="25"/>
      <c r="L34" s="25"/>
      <c r="M34" s="25"/>
      <c r="N34" s="25"/>
      <c r="O34" s="25"/>
      <c r="P34" s="25"/>
      <c r="Q34" s="26"/>
      <c r="R34" s="22" t="s">
        <v>222</v>
      </c>
      <c r="S34" s="25"/>
      <c r="T34" s="25"/>
      <c r="U34" s="25"/>
      <c r="V34" s="25"/>
      <c r="W34" s="25"/>
      <c r="X34" s="25"/>
      <c r="Y34" s="25"/>
      <c r="Z34" s="25"/>
      <c r="AA34" s="25"/>
      <c r="AB34" s="26"/>
      <c r="AC34" s="22" t="s">
        <v>246</v>
      </c>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,`account_id` string  COMMENT 'Scan&amp;Go アカウントID'</v>
      </c>
      <c r="BN34" t="str">
        <f t="shared" si="3"/>
        <v>,`account_id` string  COMMENT 'Scan&amp;Go アカウントID'</v>
      </c>
      <c r="BO34" t="str">
        <f t="shared" si="1"/>
        <v>,A.`account_id` = B.`account_id`</v>
      </c>
      <c r="BP34" t="str">
        <f t="shared" si="2"/>
        <v>,`account_id`</v>
      </c>
    </row>
    <row r="35" spans="1:68" ht="15" customHeight="1">
      <c r="A35" s="1"/>
      <c r="B35" s="23">
        <v>18</v>
      </c>
      <c r="C35" s="24"/>
      <c r="D35" s="22" t="s">
        <v>230</v>
      </c>
      <c r="E35" s="25"/>
      <c r="F35" s="25"/>
      <c r="G35" s="25"/>
      <c r="H35" s="25"/>
      <c r="I35" s="25"/>
      <c r="J35" s="25"/>
      <c r="K35" s="25"/>
      <c r="L35" s="25"/>
      <c r="M35" s="25"/>
      <c r="N35" s="25"/>
      <c r="O35" s="25"/>
      <c r="P35" s="25"/>
      <c r="Q35" s="26"/>
      <c r="R35" s="22" t="s">
        <v>223</v>
      </c>
      <c r="S35" s="25"/>
      <c r="T35" s="25"/>
      <c r="U35" s="25"/>
      <c r="V35" s="25"/>
      <c r="W35" s="25"/>
      <c r="X35" s="25"/>
      <c r="Y35" s="25"/>
      <c r="Z35" s="25"/>
      <c r="AA35" s="25"/>
      <c r="AB35" s="26"/>
      <c r="AC35" s="22" t="s">
        <v>246</v>
      </c>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,`account_name` string  COMMENT 'Scan&amp;Go アカウント名'</v>
      </c>
      <c r="BN35" t="str">
        <f t="shared" si="3"/>
        <v>,`account_name` string  COMMENT 'Scan&amp;Go アカウント名'</v>
      </c>
      <c r="BO35" t="str">
        <f t="shared" si="1"/>
        <v>,A.`account_name` = B.`account_name`</v>
      </c>
      <c r="BP35" t="str">
        <f t="shared" si="2"/>
        <v>,`account_name`</v>
      </c>
    </row>
    <row r="36" spans="1:68" ht="15" customHeight="1">
      <c r="A36" s="1"/>
      <c r="B36" s="23">
        <v>19</v>
      </c>
      <c r="C36" s="24"/>
      <c r="D36" s="22" t="s">
        <v>262</v>
      </c>
      <c r="E36" s="25"/>
      <c r="F36" s="25"/>
      <c r="G36" s="25"/>
      <c r="H36" s="25"/>
      <c r="I36" s="25"/>
      <c r="J36" s="25"/>
      <c r="K36" s="25"/>
      <c r="L36" s="25"/>
      <c r="M36" s="25"/>
      <c r="N36" s="25"/>
      <c r="O36" s="25"/>
      <c r="P36" s="25"/>
      <c r="Q36" s="26"/>
      <c r="R36" s="22" t="s">
        <v>269</v>
      </c>
      <c r="S36" s="25"/>
      <c r="T36" s="25"/>
      <c r="U36" s="25"/>
      <c r="V36" s="25"/>
      <c r="W36" s="25"/>
      <c r="X36" s="25"/>
      <c r="Y36" s="25"/>
      <c r="Z36" s="25"/>
      <c r="AA36" s="25"/>
      <c r="AB36" s="26"/>
      <c r="AC36" s="22" t="s">
        <v>246</v>
      </c>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,`item_total_price_fmt` string  COMMENT '明細合計金額'</v>
      </c>
      <c r="BN36" t="str">
        <f t="shared" si="3"/>
        <v>,`item_total_price_fmt` string  COMMENT '明細合計金額'</v>
      </c>
      <c r="BO36" t="str">
        <f t="shared" si="1"/>
        <v>,A.`item_total_price_fmt` = B.`item_total_price_fmt`</v>
      </c>
      <c r="BP36" t="str">
        <f t="shared" si="2"/>
        <v>,`item_total_price_fmt`</v>
      </c>
    </row>
    <row r="37" spans="1:68" ht="15" customHeight="1">
      <c r="A37" s="1"/>
      <c r="B37" s="23">
        <v>20</v>
      </c>
      <c r="C37" s="24"/>
      <c r="D37" s="22" t="s">
        <v>263</v>
      </c>
      <c r="E37" s="25"/>
      <c r="F37" s="25"/>
      <c r="G37" s="25"/>
      <c r="H37" s="25"/>
      <c r="I37" s="25"/>
      <c r="J37" s="25"/>
      <c r="K37" s="25"/>
      <c r="L37" s="25"/>
      <c r="M37" s="25"/>
      <c r="N37" s="25"/>
      <c r="O37" s="25"/>
      <c r="P37" s="25"/>
      <c r="Q37" s="26"/>
      <c r="R37" s="22" t="s">
        <v>270</v>
      </c>
      <c r="S37" s="25"/>
      <c r="T37" s="25"/>
      <c r="U37" s="25"/>
      <c r="V37" s="25"/>
      <c r="W37" s="25"/>
      <c r="X37" s="25"/>
      <c r="Y37" s="25"/>
      <c r="Z37" s="25"/>
      <c r="AA37" s="25"/>
      <c r="AB37" s="26"/>
      <c r="AC37" s="22" t="s">
        <v>246</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,`mm_discount_price_fmt` string  COMMENT 'まとめ値引金額'</v>
      </c>
      <c r="BN37" t="str">
        <f t="shared" si="3"/>
        <v>,`mm_discount_price_fmt` string  COMMENT 'まとめ値引金額'</v>
      </c>
      <c r="BO37" t="str">
        <f t="shared" si="1"/>
        <v>,A.`mm_discount_price_fmt` = B.`mm_discount_price_fmt`</v>
      </c>
      <c r="BP37" t="str">
        <f t="shared" si="2"/>
        <v>,`mm_discount_price_fmt`</v>
      </c>
    </row>
    <row r="38" spans="1:68" ht="15" customHeight="1">
      <c r="A38" s="1"/>
      <c r="B38" s="23">
        <v>21</v>
      </c>
      <c r="C38" s="24"/>
      <c r="D38" s="22" t="s">
        <v>264</v>
      </c>
      <c r="E38" s="25"/>
      <c r="F38" s="25"/>
      <c r="G38" s="25"/>
      <c r="H38" s="25"/>
      <c r="I38" s="25"/>
      <c r="J38" s="25"/>
      <c r="K38" s="25"/>
      <c r="L38" s="25"/>
      <c r="M38" s="25"/>
      <c r="N38" s="25"/>
      <c r="O38" s="25"/>
      <c r="P38" s="25"/>
      <c r="Q38" s="26"/>
      <c r="R38" s="22" t="s">
        <v>271</v>
      </c>
      <c r="S38" s="25"/>
      <c r="T38" s="25"/>
      <c r="U38" s="25"/>
      <c r="V38" s="25"/>
      <c r="W38" s="25"/>
      <c r="X38" s="25"/>
      <c r="Y38" s="25"/>
      <c r="Z38" s="25"/>
      <c r="AA38" s="25"/>
      <c r="AB38" s="26"/>
      <c r="AC38" s="22" t="s">
        <v>246</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,`subtotal_price_fmt` string  COMMENT '小計金額'</v>
      </c>
      <c r="BN38" t="str">
        <f t="shared" si="3"/>
        <v>,`subtotal_price_fmt` string  COMMENT '小計金額'</v>
      </c>
      <c r="BO38" t="str">
        <f t="shared" si="1"/>
        <v>,A.`subtotal_price_fmt` = B.`subtotal_price_fmt`</v>
      </c>
      <c r="BP38" t="str">
        <f t="shared" si="2"/>
        <v>,`subtotal_price_fmt`</v>
      </c>
    </row>
    <row r="39" spans="1:68" ht="15" customHeight="1">
      <c r="A39" s="1"/>
      <c r="B39" s="23">
        <v>22</v>
      </c>
      <c r="C39" s="24"/>
      <c r="D39" s="22" t="s">
        <v>265</v>
      </c>
      <c r="E39" s="25"/>
      <c r="F39" s="25"/>
      <c r="G39" s="25"/>
      <c r="H39" s="25"/>
      <c r="I39" s="25"/>
      <c r="J39" s="25"/>
      <c r="K39" s="25"/>
      <c r="L39" s="25"/>
      <c r="M39" s="25"/>
      <c r="N39" s="25"/>
      <c r="O39" s="25"/>
      <c r="P39" s="25"/>
      <c r="Q39" s="26"/>
      <c r="R39" s="22" t="s">
        <v>272</v>
      </c>
      <c r="S39" s="25"/>
      <c r="T39" s="25"/>
      <c r="U39" s="25"/>
      <c r="V39" s="25"/>
      <c r="W39" s="25"/>
      <c r="X39" s="25"/>
      <c r="Y39" s="25"/>
      <c r="Z39" s="25"/>
      <c r="AA39" s="25"/>
      <c r="AB39" s="26"/>
      <c r="AC39" s="22" t="s">
        <v>246</v>
      </c>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,`subtotal_discount_price_fmt` string  COMMENT '小計値引金額'</v>
      </c>
      <c r="BN39" t="str">
        <f t="shared" si="3"/>
        <v>,`subtotal_discount_price_fmt` string  COMMENT '小計値引金額'</v>
      </c>
      <c r="BO39" t="str">
        <f t="shared" si="1"/>
        <v>,A.`subtotal_discount_price_fmt` = B.`subtotal_discount_price_fmt`</v>
      </c>
      <c r="BP39" t="str">
        <f t="shared" si="2"/>
        <v>,`subtotal_discount_price_fmt`</v>
      </c>
    </row>
    <row r="40" spans="1:68" ht="15" customHeight="1">
      <c r="A40" s="1"/>
      <c r="B40" s="23">
        <v>23</v>
      </c>
      <c r="C40" s="24"/>
      <c r="D40" s="22" t="s">
        <v>266</v>
      </c>
      <c r="E40" s="25"/>
      <c r="F40" s="25"/>
      <c r="G40" s="25"/>
      <c r="H40" s="25"/>
      <c r="I40" s="25"/>
      <c r="J40" s="25"/>
      <c r="K40" s="25"/>
      <c r="L40" s="25"/>
      <c r="M40" s="25"/>
      <c r="N40" s="25"/>
      <c r="O40" s="25"/>
      <c r="P40" s="25"/>
      <c r="Q40" s="26"/>
      <c r="R40" s="22" t="s">
        <v>273</v>
      </c>
      <c r="S40" s="25"/>
      <c r="T40" s="25"/>
      <c r="U40" s="25"/>
      <c r="V40" s="25"/>
      <c r="W40" s="25"/>
      <c r="X40" s="25"/>
      <c r="Y40" s="25"/>
      <c r="Z40" s="25"/>
      <c r="AA40" s="25"/>
      <c r="AB40" s="26"/>
      <c r="AC40" s="22" t="s">
        <v>246</v>
      </c>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,`total_tax_excluded_fmt` string  COMMENT '外税合計'</v>
      </c>
      <c r="BN40" t="str">
        <f t="shared" si="3"/>
        <v>,`total_tax_excluded_fmt` string  COMMENT '外税合計'</v>
      </c>
      <c r="BO40" t="str">
        <f t="shared" si="1"/>
        <v>,A.`total_tax_excluded_fmt` = B.`total_tax_excluded_fmt`</v>
      </c>
      <c r="BP40" t="str">
        <f t="shared" si="2"/>
        <v>,`total_tax_excluded_fmt`</v>
      </c>
    </row>
    <row r="41" spans="1:68" ht="15" customHeight="1">
      <c r="A41" s="1"/>
      <c r="B41" s="23">
        <v>24</v>
      </c>
      <c r="C41" s="24"/>
      <c r="D41" s="22" t="s">
        <v>267</v>
      </c>
      <c r="E41" s="25"/>
      <c r="F41" s="25"/>
      <c r="G41" s="25"/>
      <c r="H41" s="25"/>
      <c r="I41" s="25"/>
      <c r="J41" s="25"/>
      <c r="K41" s="25"/>
      <c r="L41" s="25"/>
      <c r="M41" s="25"/>
      <c r="N41" s="25"/>
      <c r="O41" s="25"/>
      <c r="P41" s="25"/>
      <c r="Q41" s="26"/>
      <c r="R41" s="22" t="s">
        <v>274</v>
      </c>
      <c r="S41" s="25"/>
      <c r="T41" s="25"/>
      <c r="U41" s="25"/>
      <c r="V41" s="25"/>
      <c r="W41" s="25"/>
      <c r="X41" s="25"/>
      <c r="Y41" s="25"/>
      <c r="Z41" s="25"/>
      <c r="AA41" s="25"/>
      <c r="AB41" s="26"/>
      <c r="AC41" s="22" t="s">
        <v>246</v>
      </c>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,`total_price_fmt` string  COMMENT '合計金額　（=小計金額 - 小計値引金額 + 外税合計）'</v>
      </c>
      <c r="BN41" t="str">
        <f t="shared" si="3"/>
        <v>,`total_price_fmt` string  COMMENT '合計金額　（=小計金額 - 小計値引金額 + 外税合計）'</v>
      </c>
      <c r="BO41" t="str">
        <f t="shared" si="1"/>
        <v>,A.`total_price_fmt` = B.`total_price_fmt`</v>
      </c>
      <c r="BP41" t="str">
        <f t="shared" si="2"/>
        <v>,`total_price_fmt`</v>
      </c>
    </row>
    <row r="42" spans="1:68" ht="15" customHeight="1">
      <c r="A42" s="1"/>
      <c r="B42" s="23">
        <v>25</v>
      </c>
      <c r="C42" s="24"/>
      <c r="D42" s="22" t="s">
        <v>268</v>
      </c>
      <c r="E42" s="25"/>
      <c r="F42" s="25"/>
      <c r="G42" s="25"/>
      <c r="H42" s="25"/>
      <c r="I42" s="25"/>
      <c r="J42" s="25"/>
      <c r="K42" s="25"/>
      <c r="L42" s="25"/>
      <c r="M42" s="25"/>
      <c r="N42" s="25"/>
      <c r="O42" s="25"/>
      <c r="P42" s="25"/>
      <c r="Q42" s="26"/>
      <c r="R42" s="22" t="s">
        <v>275</v>
      </c>
      <c r="S42" s="25"/>
      <c r="T42" s="25"/>
      <c r="U42" s="25"/>
      <c r="V42" s="25"/>
      <c r="W42" s="25"/>
      <c r="X42" s="25"/>
      <c r="Y42" s="25"/>
      <c r="Z42" s="25"/>
      <c r="AA42" s="25"/>
      <c r="AB42" s="26"/>
      <c r="AC42" s="22" t="s">
        <v>246</v>
      </c>
      <c r="AD42" s="25"/>
      <c r="AE42" s="25"/>
      <c r="AF42" s="25"/>
      <c r="AG42" s="26"/>
      <c r="AH42" s="22"/>
      <c r="AI42" s="26"/>
      <c r="AJ42" s="22"/>
      <c r="AK42" s="25"/>
      <c r="AL42" s="26"/>
      <c r="AM42" s="22"/>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M42" t="str">
        <f t="shared" si="0"/>
        <v>,`total_quantity_fmt` string  COMMENT '合計点数'</v>
      </c>
      <c r="BN42" t="str">
        <f t="shared" si="3"/>
        <v>,`total_quantity_fmt` string  COMMENT '合計点数'</v>
      </c>
      <c r="BO42" t="str">
        <f t="shared" si="1"/>
        <v>,A.`total_quantity_fmt` = B.`total_quantity_fmt`</v>
      </c>
      <c r="BP42" t="str">
        <f t="shared" si="2"/>
        <v>,`total_quantity_fmt`</v>
      </c>
    </row>
    <row r="43" spans="1:68" ht="15" customHeight="1">
      <c r="A43" s="1"/>
      <c r="B43" s="23">
        <v>26</v>
      </c>
      <c r="C43" s="24"/>
      <c r="D43" s="22"/>
      <c r="E43" s="25"/>
      <c r="F43" s="25"/>
      <c r="G43" s="25"/>
      <c r="H43" s="25"/>
      <c r="I43" s="25"/>
      <c r="J43" s="25"/>
      <c r="K43" s="25"/>
      <c r="L43" s="25"/>
      <c r="M43" s="25"/>
      <c r="N43" s="25"/>
      <c r="O43" s="25"/>
      <c r="P43" s="25"/>
      <c r="Q43" s="26"/>
      <c r="R43" s="22"/>
      <c r="S43" s="25"/>
      <c r="T43" s="25"/>
      <c r="U43" s="25"/>
      <c r="V43" s="25"/>
      <c r="W43" s="25"/>
      <c r="X43" s="25"/>
      <c r="Y43" s="25"/>
      <c r="Z43" s="25"/>
      <c r="AA43" s="25"/>
      <c r="AB43" s="26"/>
      <c r="AC43" s="22"/>
      <c r="AD43" s="25"/>
      <c r="AE43" s="25"/>
      <c r="AF43" s="25"/>
      <c r="AG43" s="26"/>
      <c r="AH43" s="22"/>
      <c r="AI43" s="26"/>
      <c r="AJ43" s="22"/>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row>
    <row r="44" spans="1:68" ht="15" customHeight="1">
      <c r="A44" s="1"/>
      <c r="B44" s="23">
        <v>27</v>
      </c>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v>28</v>
      </c>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8">
        <v>29</v>
      </c>
      <c r="C46" s="29"/>
      <c r="D46" s="30"/>
      <c r="E46" s="31"/>
      <c r="F46" s="31"/>
      <c r="G46" s="31"/>
      <c r="H46" s="31"/>
      <c r="I46" s="31"/>
      <c r="J46" s="31"/>
      <c r="K46" s="31"/>
      <c r="L46" s="31"/>
      <c r="M46" s="31"/>
      <c r="N46" s="31"/>
      <c r="O46" s="31"/>
      <c r="P46" s="31"/>
      <c r="Q46" s="32"/>
      <c r="R46" s="30"/>
      <c r="S46" s="31"/>
      <c r="T46" s="31"/>
      <c r="U46" s="31"/>
      <c r="V46" s="31"/>
      <c r="W46" s="31"/>
      <c r="X46" s="31"/>
      <c r="Y46" s="31"/>
      <c r="Z46" s="31"/>
      <c r="AA46" s="31"/>
      <c r="AB46" s="32"/>
      <c r="AC46" s="30"/>
      <c r="AD46" s="31"/>
      <c r="AE46" s="31"/>
      <c r="AF46" s="31"/>
      <c r="AG46" s="32"/>
      <c r="AH46" s="30"/>
      <c r="AI46" s="32"/>
      <c r="AJ46" s="30"/>
      <c r="AK46" s="31"/>
      <c r="AL46" s="32"/>
      <c r="AM46" s="30"/>
      <c r="AN46" s="31"/>
      <c r="AO46" s="31"/>
      <c r="AP46" s="31"/>
      <c r="AQ46" s="31"/>
      <c r="AR46" s="31"/>
      <c r="AS46" s="32"/>
      <c r="AT46" s="30"/>
      <c r="AU46" s="31"/>
      <c r="AV46" s="31"/>
      <c r="AW46" s="31"/>
      <c r="AX46" s="31"/>
      <c r="AY46" s="31"/>
      <c r="AZ46" s="31"/>
      <c r="BA46" s="31"/>
      <c r="BB46" s="31"/>
      <c r="BC46" s="31"/>
      <c r="BD46" s="31"/>
      <c r="BE46" s="31"/>
      <c r="BF46" s="31"/>
      <c r="BG46" s="31"/>
      <c r="BH46" s="31"/>
      <c r="BI46" s="31"/>
      <c r="BJ46" s="32"/>
      <c r="BK46" s="4"/>
    </row>
    <row r="47" spans="1:68" ht="15" customHeight="1">
      <c r="A47" s="1"/>
      <c r="BK47" s="4"/>
    </row>
    <row r="48" spans="1:68" ht="15" customHeight="1">
      <c r="A48" s="1"/>
      <c r="BK48" s="4"/>
    </row>
    <row r="49" spans="1:68" ht="15" customHeight="1">
      <c r="A49" s="1"/>
      <c r="B49" s="37" t="s">
        <v>49</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row>
    <row r="50" spans="1:68" ht="15" customHeight="1">
      <c r="A50" s="1"/>
      <c r="B50" s="34" t="s">
        <v>50</v>
      </c>
      <c r="C50" s="35"/>
      <c r="D50" s="34" t="s">
        <v>51</v>
      </c>
      <c r="E50" s="44"/>
      <c r="F50" s="36"/>
      <c r="G50" s="36"/>
      <c r="H50" s="36"/>
      <c r="I50" s="36"/>
      <c r="J50" s="36"/>
      <c r="K50" s="36"/>
      <c r="L50" s="36"/>
      <c r="M50" s="36"/>
      <c r="N50" s="36"/>
      <c r="O50" s="36"/>
      <c r="P50" s="36"/>
      <c r="Q50" s="35"/>
      <c r="R50" s="34" t="s">
        <v>52</v>
      </c>
      <c r="S50" s="44"/>
      <c r="T50" s="36"/>
      <c r="U50" s="36"/>
      <c r="V50" s="36"/>
      <c r="W50" s="36"/>
      <c r="X50" s="36"/>
      <c r="Y50" s="36"/>
      <c r="Z50" s="36"/>
      <c r="AA50" s="36"/>
      <c r="AB50" s="36"/>
      <c r="AC50" s="36"/>
      <c r="AD50" s="36"/>
      <c r="AE50" s="36"/>
      <c r="AF50" s="36"/>
      <c r="AG50" s="36"/>
      <c r="AH50" s="36"/>
      <c r="AI50" s="36"/>
      <c r="AJ50" s="36"/>
      <c r="AK50" s="35"/>
      <c r="AL50" s="34" t="s">
        <v>53</v>
      </c>
      <c r="AM50" s="36"/>
      <c r="AN50" s="36"/>
      <c r="AO50" s="45"/>
      <c r="AP50" s="34" t="s">
        <v>54</v>
      </c>
      <c r="AQ50" s="36"/>
      <c r="AR50" s="36"/>
      <c r="AS50" s="35"/>
      <c r="AT50" s="34" t="s">
        <v>48</v>
      </c>
      <c r="AU50" s="44"/>
      <c r="AV50" s="44"/>
      <c r="AW50" s="36"/>
      <c r="AX50" s="36"/>
      <c r="AY50" s="44"/>
      <c r="AZ50" s="36"/>
      <c r="BA50" s="36"/>
      <c r="BB50" s="36"/>
      <c r="BC50" s="36"/>
      <c r="BD50" s="36"/>
      <c r="BE50" s="36"/>
      <c r="BF50" s="36"/>
      <c r="BG50" s="36"/>
      <c r="BH50" s="36"/>
      <c r="BI50" s="44"/>
      <c r="BJ50" s="35"/>
      <c r="BK50" s="4"/>
    </row>
    <row r="51" spans="1:68" ht="15" customHeight="1">
      <c r="A51" s="1"/>
      <c r="B51" s="38">
        <v>1</v>
      </c>
      <c r="C51" s="39"/>
      <c r="D51" s="38" t="s">
        <v>55</v>
      </c>
      <c r="E51" s="46"/>
      <c r="F51" s="40"/>
      <c r="G51" s="40"/>
      <c r="H51" s="40"/>
      <c r="I51" s="40"/>
      <c r="J51" s="40"/>
      <c r="K51" s="40"/>
      <c r="L51" s="40"/>
      <c r="M51" s="40"/>
      <c r="N51" s="40"/>
      <c r="O51" s="40"/>
      <c r="P51" s="40"/>
      <c r="Q51" s="39"/>
      <c r="R51"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
      </c>
      <c r="S51" s="46"/>
      <c r="T51" s="40"/>
      <c r="U51" s="40"/>
      <c r="V51" s="40"/>
      <c r="W51" s="40"/>
      <c r="X51" s="40"/>
      <c r="Y51" s="40"/>
      <c r="Z51" s="40"/>
      <c r="AA51" s="40"/>
      <c r="AB51" s="40"/>
      <c r="AC51" s="40"/>
      <c r="AD51" s="40"/>
      <c r="AE51" s="40"/>
      <c r="AF51" s="40"/>
      <c r="AG51" s="40"/>
      <c r="AH51" s="40"/>
      <c r="AI51" s="40"/>
      <c r="AJ51" s="40"/>
      <c r="AK51" s="39"/>
      <c r="AL51" s="38" t="s">
        <v>885</v>
      </c>
      <c r="AM51" s="40"/>
      <c r="AN51" s="40"/>
      <c r="AO51" s="47"/>
      <c r="AP51" s="38" t="s">
        <v>885</v>
      </c>
      <c r="AQ51" s="40"/>
      <c r="AR51" s="40"/>
      <c r="AS51" s="39"/>
      <c r="AT51" s="38"/>
      <c r="AU51" s="46"/>
      <c r="AV51" s="46"/>
      <c r="AW51" s="40"/>
      <c r="AX51" s="40"/>
      <c r="AY51" s="46"/>
      <c r="AZ51" s="40"/>
      <c r="BA51" s="40"/>
      <c r="BB51" s="40"/>
      <c r="BC51" s="40"/>
      <c r="BD51" s="40"/>
      <c r="BE51" s="40"/>
      <c r="BF51" s="40"/>
      <c r="BG51" s="40"/>
      <c r="BH51" s="40"/>
      <c r="BI51" s="46"/>
      <c r="BJ51" s="39"/>
      <c r="BK51" s="4"/>
      <c r="BM51"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N51" t="str">
        <f>BM51</f>
        <v xml:space="preserve"> , PRIMARY KEY (),</v>
      </c>
    </row>
    <row r="52" spans="1:68" ht="15" customHeight="1">
      <c r="A52" s="1"/>
      <c r="BK52" s="4"/>
      <c r="BM52" t="s">
        <v>452</v>
      </c>
    </row>
    <row r="53" spans="1:68" ht="15" customHeight="1">
      <c r="A53" s="1"/>
      <c r="BK53" s="4"/>
      <c r="BM53" t="str">
        <f>") ENGINE=InnoDB DEFAULT CHARSET=utf8 COMMENT = '"&amp;$G$9&amp;"';"</f>
        <v>) ENGINE=InnoDB DEFAULT CHARSET=utf8 COMMENT = '売上情報明細';</v>
      </c>
      <c r="BN53" t="str">
        <f>") ENGINE=InnoDB DEFAULT CHARSET=utf8 COMMENT = '"&amp;$G$9&amp;"_TMP';"</f>
        <v>) ENGINE=InnoDB DEFAULT CHARSET=utf8 COMMENT = '売上情報明細_TMP';</v>
      </c>
    </row>
    <row r="54" spans="1:68" ht="15" customHeight="1">
      <c r="A54" s="1"/>
      <c r="B54" s="37" t="s">
        <v>34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4"/>
    </row>
    <row r="55" spans="1:68" ht="15" customHeight="1">
      <c r="A55" s="1"/>
      <c r="B55" s="34" t="s">
        <v>35</v>
      </c>
      <c r="C55" s="45"/>
      <c r="D55" s="34" t="s">
        <v>36</v>
      </c>
      <c r="E55" s="44"/>
      <c r="F55" s="44"/>
      <c r="G55" s="44"/>
      <c r="H55" s="44"/>
      <c r="I55" s="44"/>
      <c r="J55" s="44"/>
      <c r="K55" s="44"/>
      <c r="L55" s="36"/>
      <c r="M55" s="36"/>
      <c r="N55" s="36"/>
      <c r="O55" s="36"/>
      <c r="P55" s="36"/>
      <c r="Q55" s="35"/>
      <c r="R55" s="34" t="s">
        <v>37</v>
      </c>
      <c r="S55" s="36"/>
      <c r="T55" s="45"/>
      <c r="U55" s="34" t="s">
        <v>38</v>
      </c>
      <c r="V55" s="36"/>
      <c r="W55" s="44"/>
      <c r="X55" s="45"/>
      <c r="Y55" s="34" t="s">
        <v>39</v>
      </c>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5"/>
      <c r="BK55" s="4"/>
      <c r="BM55" t="str">
        <f>"CREATE TRIGGER `"&amp;G15&amp;"_CR_Date_Time` BEFORE INSERT ON `"&amp;G15&amp;"`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56" spans="1:68" ht="15" customHeight="1">
      <c r="A56" s="1"/>
      <c r="B56" s="41">
        <v>1</v>
      </c>
      <c r="C56" s="47"/>
      <c r="D56" s="41" t="str">
        <f>G10&amp;"_"&amp;R56&amp;"_"&amp;"trg"</f>
        <v>sales_details_update_trg</v>
      </c>
      <c r="E56" s="46"/>
      <c r="F56" s="46"/>
      <c r="G56" s="46"/>
      <c r="H56" s="46"/>
      <c r="I56" s="46"/>
      <c r="J56" s="46"/>
      <c r="K56" s="46"/>
      <c r="L56" s="42"/>
      <c r="M56" s="42"/>
      <c r="N56" s="42"/>
      <c r="O56" s="42"/>
      <c r="P56" s="42"/>
      <c r="Q56" s="43"/>
      <c r="R56" s="41" t="s">
        <v>40</v>
      </c>
      <c r="S56" s="42"/>
      <c r="T56" s="47"/>
      <c r="U56" s="41" t="s">
        <v>41</v>
      </c>
      <c r="V56" s="42"/>
      <c r="W56" s="46"/>
      <c r="X56" s="47"/>
      <c r="Y56" s="41" t="s">
        <v>42</v>
      </c>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3"/>
      <c r="BK56" s="4"/>
      <c r="BM56" t="str">
        <f>"CREATE TRIGGER `"&amp;G15&amp;"_UP_Date_Time` BEFORE UPDATE ON `"&amp;G15&amp;"` FOR EACH ROW SET NEW.record_update_date = CURRENT_DATE, NEW.record_update_time = CURRENT_TIME;"</f>
        <v>CREATE TRIGGER `_UP_Date_Time` BEFORE UPDATE ON `` FOR EACH ROW SET NEW.record_update_date = CURRENT_DATE, NEW.record_update_time = CURRENT_TIME;</v>
      </c>
    </row>
    <row r="57" spans="1:68" ht="15" customHeight="1">
      <c r="A57" s="1"/>
      <c r="BK57" s="4"/>
    </row>
    <row r="58" spans="1:68" ht="15" customHeight="1">
      <c r="A58" s="1"/>
      <c r="BK58" s="4"/>
    </row>
    <row r="59" spans="1:68" ht="15" customHeight="1">
      <c r="A59" s="1"/>
      <c r="BK59" s="4"/>
    </row>
    <row r="60" spans="1:68" ht="15" customHeight="1">
      <c r="A60" s="1"/>
      <c r="BK60" s="4"/>
    </row>
    <row r="61" spans="1:68" ht="15" customHeight="1">
      <c r="A61" s="1"/>
      <c r="BK61" s="4"/>
    </row>
    <row r="62" spans="1:68" ht="15" customHeight="1">
      <c r="A62" s="1"/>
      <c r="BK62" s="4"/>
    </row>
    <row r="63" spans="1:68" ht="15" customHeight="1">
      <c r="A63" s="1"/>
      <c r="BK63" s="4"/>
      <c r="BM63" t="s">
        <v>858</v>
      </c>
      <c r="BN63" t="str">
        <f>BM63</f>
        <v xml:space="preserve"> , PRIMARY KEY (`CompanyCode`,`StoreCode`,`ReceiptCouponCode`,`PrintFrom`,`MessagePosition`,`MessageLineNo`),</v>
      </c>
      <c r="BO63" t="str">
        <f t="shared" si="1"/>
        <v>,A.`` = B.``</v>
      </c>
      <c r="BP63" t="str">
        <f t="shared" si="2"/>
        <v>,``</v>
      </c>
    </row>
    <row r="64" spans="1:68" ht="15" customHeight="1">
      <c r="A64" s="1"/>
      <c r="BK64" s="4"/>
      <c r="BM64" t="s">
        <v>452</v>
      </c>
      <c r="BO64" t="str">
        <f t="shared" si="1"/>
        <v>,A.`` = B.``</v>
      </c>
      <c r="BP64" t="str">
        <f t="shared" si="2"/>
        <v>,``</v>
      </c>
    </row>
    <row r="65" spans="1:68" ht="15" customHeight="1">
      <c r="A65" s="1"/>
      <c r="BK65" s="4"/>
      <c r="BM65" t="s">
        <v>639</v>
      </c>
      <c r="BN65" t="str">
        <f>BM65</f>
        <v>) ENGINE=InnoDB DEFAULT CHARSET=utf8;</v>
      </c>
      <c r="BO65" t="str">
        <f t="shared" si="1"/>
        <v>,A.`` = B.``</v>
      </c>
      <c r="BP65" t="str">
        <f t="shared" si="2"/>
        <v>,``</v>
      </c>
    </row>
    <row r="66" spans="1:68" ht="15" customHeight="1">
      <c r="A66" s="1"/>
      <c r="BK66" s="4"/>
      <c r="BM66" t="str">
        <f>"CREATE TRIGGER `"&amp;G10&amp;"_CR_Date_Time` BEFORE INSERT ON `"&amp;G10&amp;"` FOR EACH ROW SET NEW.record_create_date = CURRENT_DATE, NEW.record_create_time = CURRENT_TIME, NEW.record_update_date = CURRENT_DATE, NEW.record_update_time = CURRENT_TIME;"</f>
        <v>CREATE TRIGGER `sales_details_CR_Date_Time` BEFORE INSERT ON `sales_details` FOR EACH ROW SET NEW.record_create_date = CURRENT_DATE, NEW.record_create_time = CURRENT_TIME, NEW.record_update_date = CURRENT_DATE, NEW.record_update_time = CURRENT_TIME;</v>
      </c>
    </row>
    <row r="67" spans="1:68" ht="15" customHeight="1">
      <c r="A67" s="1"/>
      <c r="BK67" s="4"/>
      <c r="BM67" t="str">
        <f>"CREATE TRIGGER `"&amp;G10&amp;"_UP_Date_Time` BEFORE UPDATE ON `"&amp;G10&amp;"` FOR EACH ROW SET NEW.record_update_date = CURRENT_DATE, NEW.record_update_time = CURRENT_TIME;"</f>
        <v>CREATE TRIGGER `sales_details_UP_Date_Time` BEFORE UPDATE ON `sales_details` FOR EACH ROW SET NEW.record_update_date = CURRENT_DATE, NEW.record_update_time = CURRENT_TIME;</v>
      </c>
    </row>
    <row r="68" spans="1:68" ht="15" customHeight="1">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5"/>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AB332-CADB-4220-8469-2945905BF1D9}">
  <dimension ref="A1:BP68"/>
  <sheetViews>
    <sheetView view="pageBreakPreview" topLeftCell="A7" zoomScale="80" zoomScaleNormal="75" zoomScaleSheetLayoutView="80" workbookViewId="0">
      <selection activeCell="BP19" sqref="BP19:BP51"/>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19</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292" t="s">
        <v>43</v>
      </c>
      <c r="C8" s="293"/>
      <c r="D8" s="293"/>
      <c r="E8" s="293"/>
      <c r="F8" s="294"/>
      <c r="G8" s="295"/>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row>
    <row r="9" spans="1:63" ht="15" customHeight="1">
      <c r="A9" s="1"/>
      <c r="B9" s="301" t="s">
        <v>45</v>
      </c>
      <c r="C9" s="302"/>
      <c r="D9" s="302"/>
      <c r="E9" s="302"/>
      <c r="F9" s="303"/>
      <c r="G9" s="304" t="s">
        <v>211</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row>
    <row r="10" spans="1:63" ht="15" customHeight="1">
      <c r="A10" s="1"/>
      <c r="B10" s="310" t="s">
        <v>47</v>
      </c>
      <c r="C10" s="311"/>
      <c r="D10" s="311"/>
      <c r="E10" s="311"/>
      <c r="F10" s="312"/>
      <c r="G10" s="298" t="s">
        <v>210</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row>
    <row r="11" spans="1:63"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row>
    <row r="12" spans="1:63"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row>
    <row r="13" spans="1:63"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row>
    <row r="14" spans="1:63"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row>
    <row r="15" spans="1:63"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row>
    <row r="16" spans="1:63"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``.`sales_details`;</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``.`sales_details` (</v>
      </c>
      <c r="BN20" t="str">
        <f>"CREATE TABLE `TMP`.`"&amp;G10&amp;"` ("</f>
        <v>CREATE TABLE `TMP`.`sales_details`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t="s">
        <v>885</v>
      </c>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225</v>
      </c>
      <c r="E27" s="25"/>
      <c r="F27" s="25"/>
      <c r="G27" s="25"/>
      <c r="H27" s="25"/>
      <c r="I27" s="25"/>
      <c r="J27" s="25"/>
      <c r="K27" s="25"/>
      <c r="L27" s="25"/>
      <c r="M27" s="25"/>
      <c r="N27" s="25"/>
      <c r="O27" s="25"/>
      <c r="P27" s="25"/>
      <c r="Q27" s="26"/>
      <c r="R27" s="22" t="s">
        <v>212</v>
      </c>
      <c r="S27" s="25"/>
      <c r="T27" s="25"/>
      <c r="U27" s="25"/>
      <c r="V27" s="25"/>
      <c r="W27" s="25"/>
      <c r="X27" s="25"/>
      <c r="Y27" s="25"/>
      <c r="Z27" s="25"/>
      <c r="AA27" s="25"/>
      <c r="AB27" s="26"/>
      <c r="AC27" s="22" t="s">
        <v>213</v>
      </c>
      <c r="AD27" s="25"/>
      <c r="AE27" s="25"/>
      <c r="AF27" s="25"/>
      <c r="AG27" s="26"/>
      <c r="AH27" s="22"/>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c r="BM27" t="str">
        <f t="shared" si="0"/>
        <v>,`company_code` char(3)  COMMENT '企業コード'</v>
      </c>
      <c r="BN27" t="str">
        <f t="shared" ref="BN27:BN42" si="3">",`"&amp;R27&amp;"` "&amp;AC27&amp;" "&amp;IF(AJ27="Y","NOT NULL","")&amp;" COMMENT '"&amp;D27&amp;"'"</f>
        <v>,`company_code` char(3)  COMMENT '企業コード'</v>
      </c>
      <c r="BO27" t="str">
        <f t="shared" si="1"/>
        <v>,A.`company_code` = B.`company_code`</v>
      </c>
      <c r="BP27" t="str">
        <f t="shared" si="2"/>
        <v>,`company_code`</v>
      </c>
    </row>
    <row r="28" spans="1:68" ht="15" customHeight="1">
      <c r="A28" s="1"/>
      <c r="B28" s="23">
        <v>8</v>
      </c>
      <c r="C28" s="24"/>
      <c r="D28" s="22" t="s">
        <v>226</v>
      </c>
      <c r="E28" s="25"/>
      <c r="F28" s="25"/>
      <c r="G28" s="25"/>
      <c r="H28" s="25"/>
      <c r="I28" s="25"/>
      <c r="J28" s="25"/>
      <c r="K28" s="25"/>
      <c r="L28" s="25"/>
      <c r="M28" s="25"/>
      <c r="N28" s="25"/>
      <c r="O28" s="25"/>
      <c r="P28" s="25"/>
      <c r="Q28" s="26"/>
      <c r="R28" s="22" t="s">
        <v>214</v>
      </c>
      <c r="S28" s="25"/>
      <c r="T28" s="25"/>
      <c r="U28" s="25"/>
      <c r="V28" s="25"/>
      <c r="W28" s="25"/>
      <c r="X28" s="25"/>
      <c r="Y28" s="25"/>
      <c r="Z28" s="25"/>
      <c r="AA28" s="25"/>
      <c r="AB28" s="26"/>
      <c r="AC28" s="22" t="s">
        <v>215</v>
      </c>
      <c r="AD28" s="25"/>
      <c r="AE28" s="25"/>
      <c r="AF28" s="25"/>
      <c r="AG28" s="26"/>
      <c r="AH28" s="22"/>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,`store_code` char(5)  COMMENT '店舗コード'</v>
      </c>
      <c r="BN28" t="str">
        <f t="shared" si="3"/>
        <v>,`store_code` char(5)  COMMENT '店舗コード'</v>
      </c>
      <c r="BO28" t="str">
        <f t="shared" si="1"/>
        <v>,A.`store_code` = B.`store_code`</v>
      </c>
      <c r="BP28" t="str">
        <f t="shared" si="2"/>
        <v>,`store_code`</v>
      </c>
    </row>
    <row r="29" spans="1:68" ht="15" customHeight="1">
      <c r="A29" s="1"/>
      <c r="B29" s="23">
        <v>9</v>
      </c>
      <c r="C29" s="24"/>
      <c r="D29" s="22" t="s">
        <v>227</v>
      </c>
      <c r="E29" s="25"/>
      <c r="F29" s="25"/>
      <c r="G29" s="25"/>
      <c r="H29" s="25"/>
      <c r="I29" s="25"/>
      <c r="J29" s="25"/>
      <c r="K29" s="25"/>
      <c r="L29" s="25"/>
      <c r="M29" s="25"/>
      <c r="N29" s="25"/>
      <c r="O29" s="25"/>
      <c r="P29" s="25"/>
      <c r="Q29" s="26"/>
      <c r="R29" s="22" t="s">
        <v>216</v>
      </c>
      <c r="S29" s="25"/>
      <c r="T29" s="25"/>
      <c r="U29" s="25"/>
      <c r="V29" s="25"/>
      <c r="W29" s="25"/>
      <c r="X29" s="25"/>
      <c r="Y29" s="25"/>
      <c r="Z29" s="25"/>
      <c r="AA29" s="25"/>
      <c r="AB29" s="26"/>
      <c r="AC29" s="22" t="s">
        <v>215</v>
      </c>
      <c r="AD29" s="25"/>
      <c r="AE29" s="25"/>
      <c r="AF29" s="25"/>
      <c r="AG29" s="26"/>
      <c r="AH29" s="22"/>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,`instore_code` char(5)  COMMENT 'レジ番号'</v>
      </c>
      <c r="BN29" t="str">
        <f t="shared" si="3"/>
        <v>,`instore_code` char(5)  COMMENT 'レジ番号'</v>
      </c>
      <c r="BO29" t="str">
        <f t="shared" si="1"/>
        <v>,A.`instore_code` = B.`instore_code`</v>
      </c>
      <c r="BP29" t="str">
        <f t="shared" si="2"/>
        <v>,`instore_code`</v>
      </c>
    </row>
    <row r="30" spans="1:68" ht="15" customHeight="1">
      <c r="A30" s="1"/>
      <c r="B30" s="23">
        <v>13</v>
      </c>
      <c r="C30" s="24"/>
      <c r="D30" s="22" t="s">
        <v>231</v>
      </c>
      <c r="E30" s="25"/>
      <c r="F30" s="25"/>
      <c r="G30" s="25"/>
      <c r="H30" s="25"/>
      <c r="I30" s="25"/>
      <c r="J30" s="25"/>
      <c r="K30" s="25"/>
      <c r="L30" s="25"/>
      <c r="M30" s="25"/>
      <c r="N30" s="25"/>
      <c r="O30" s="25"/>
      <c r="P30" s="25"/>
      <c r="Q30" s="26"/>
      <c r="R30" s="22" t="s">
        <v>224</v>
      </c>
      <c r="S30" s="25"/>
      <c r="T30" s="25"/>
      <c r="U30" s="25"/>
      <c r="V30" s="25"/>
      <c r="W30" s="25"/>
      <c r="X30" s="25"/>
      <c r="Y30" s="25"/>
      <c r="Z30" s="25"/>
      <c r="AA30" s="25"/>
      <c r="AB30" s="26"/>
      <c r="AC30" s="22" t="s">
        <v>234</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,`record_datetime` char(16)  COMMENT '取引確定日時&lt;取引確定後&gt;'</v>
      </c>
      <c r="BN30" t="str">
        <f t="shared" si="3"/>
        <v>,`record_datetime` char(16)  COMMENT '取引確定日時&lt;取引確定後&gt;'</v>
      </c>
      <c r="BO30" t="str">
        <f t="shared" si="1"/>
        <v>,A.`record_datetime` = B.`record_datetime`</v>
      </c>
      <c r="BP30" t="str">
        <f t="shared" si="2"/>
        <v>,`record_datetime`</v>
      </c>
    </row>
    <row r="31" spans="1:68" ht="15" customHeight="1">
      <c r="A31" s="1"/>
      <c r="B31" s="23">
        <v>14</v>
      </c>
      <c r="C31" s="24"/>
      <c r="D31" s="22" t="s">
        <v>219</v>
      </c>
      <c r="E31" s="25"/>
      <c r="F31" s="25"/>
      <c r="G31" s="25"/>
      <c r="H31" s="25"/>
      <c r="I31" s="25"/>
      <c r="J31" s="25"/>
      <c r="K31" s="25"/>
      <c r="L31" s="25"/>
      <c r="M31" s="25"/>
      <c r="N31" s="25"/>
      <c r="O31" s="25"/>
      <c r="P31" s="25"/>
      <c r="Q31" s="26"/>
      <c r="R31" s="22" t="s">
        <v>217</v>
      </c>
      <c r="S31" s="25"/>
      <c r="T31" s="25"/>
      <c r="U31" s="25"/>
      <c r="V31" s="25"/>
      <c r="W31" s="25"/>
      <c r="X31" s="25"/>
      <c r="Y31" s="25"/>
      <c r="Z31" s="25"/>
      <c r="AA31" s="25"/>
      <c r="AB31" s="26"/>
      <c r="AC31" s="22" t="s">
        <v>233</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,`journal_no` char(10)  COMMENT 'ジャーナルNO&lt;取引確定後&gt;'</v>
      </c>
      <c r="BN31" t="str">
        <f t="shared" si="3"/>
        <v>,`journal_no` char(10)  COMMENT 'ジャーナルNO&lt;取引確定後&gt;'</v>
      </c>
      <c r="BO31" t="str">
        <f t="shared" si="1"/>
        <v>,A.`journal_no` = B.`journal_no`</v>
      </c>
      <c r="BP31" t="str">
        <f t="shared" si="2"/>
        <v>,`journal_no`</v>
      </c>
    </row>
    <row r="32" spans="1:68" ht="15" customHeight="1">
      <c r="A32" s="1"/>
      <c r="B32" s="23">
        <v>15</v>
      </c>
      <c r="C32" s="24"/>
      <c r="D32" s="22" t="s">
        <v>220</v>
      </c>
      <c r="E32" s="25"/>
      <c r="F32" s="25"/>
      <c r="G32" s="25"/>
      <c r="H32" s="25"/>
      <c r="I32" s="25"/>
      <c r="J32" s="25"/>
      <c r="K32" s="25"/>
      <c r="L32" s="25"/>
      <c r="M32" s="25"/>
      <c r="N32" s="25"/>
      <c r="O32" s="25"/>
      <c r="P32" s="25"/>
      <c r="Q32" s="26"/>
      <c r="R32" s="22" t="s">
        <v>218</v>
      </c>
      <c r="S32" s="25"/>
      <c r="T32" s="25"/>
      <c r="U32" s="25"/>
      <c r="V32" s="25"/>
      <c r="W32" s="25"/>
      <c r="X32" s="25"/>
      <c r="Y32" s="25"/>
      <c r="Z32" s="25"/>
      <c r="AA32" s="25"/>
      <c r="AB32" s="26"/>
      <c r="AC32" s="22" t="s">
        <v>233</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,`receipt_no` char(10)  COMMENT 'レシートNO&lt;取引確定後&gt;'</v>
      </c>
      <c r="BN32" t="str">
        <f t="shared" si="3"/>
        <v>,`receipt_no` char(10)  COMMENT 'レシートNO&lt;取引確定後&gt;'</v>
      </c>
      <c r="BO32" t="str">
        <f t="shared" si="1"/>
        <v>,A.`receipt_no` = B.`receipt_no`</v>
      </c>
      <c r="BP32" t="str">
        <f t="shared" si="2"/>
        <v>,`receipt_no`</v>
      </c>
    </row>
    <row r="33" spans="1:68" ht="15" customHeight="1">
      <c r="A33" s="1"/>
      <c r="B33" s="23">
        <v>16</v>
      </c>
      <c r="C33" s="24"/>
      <c r="D33" s="22" t="s">
        <v>248</v>
      </c>
      <c r="E33" s="25"/>
      <c r="F33" s="25"/>
      <c r="G33" s="25"/>
      <c r="H33" s="25"/>
      <c r="I33" s="25"/>
      <c r="J33" s="25"/>
      <c r="K33" s="25"/>
      <c r="L33" s="25"/>
      <c r="M33" s="25"/>
      <c r="N33" s="25"/>
      <c r="O33" s="25"/>
      <c r="P33" s="25"/>
      <c r="Q33" s="26"/>
      <c r="R33" s="22" t="s">
        <v>235</v>
      </c>
      <c r="S33" s="25"/>
      <c r="T33" s="25"/>
      <c r="U33" s="25"/>
      <c r="V33" s="25"/>
      <c r="W33" s="25"/>
      <c r="X33" s="25"/>
      <c r="Y33" s="25"/>
      <c r="Z33" s="25"/>
      <c r="AA33" s="25"/>
      <c r="AB33" s="26"/>
      <c r="AC33" s="22" t="s">
        <v>246</v>
      </c>
      <c r="AD33" s="25"/>
      <c r="AE33" s="25"/>
      <c r="AF33" s="25"/>
      <c r="AG33" s="26"/>
      <c r="AH33" s="22"/>
      <c r="AI33" s="26"/>
      <c r="AJ33" s="22"/>
      <c r="AK33" s="25"/>
      <c r="AL33" s="26"/>
      <c r="AM33" s="22"/>
      <c r="AN33" s="25"/>
      <c r="AO33" s="25"/>
      <c r="AP33" s="25"/>
      <c r="AQ33" s="25"/>
      <c r="AR33" s="25"/>
      <c r="AS33" s="26"/>
      <c r="AT33" s="22" t="s">
        <v>261</v>
      </c>
      <c r="AU33" s="25"/>
      <c r="AV33" s="25"/>
      <c r="AW33" s="25"/>
      <c r="AX33" s="25"/>
      <c r="AY33" s="25"/>
      <c r="AZ33" s="25"/>
      <c r="BA33" s="25"/>
      <c r="BB33" s="25"/>
      <c r="BC33" s="25"/>
      <c r="BD33" s="25"/>
      <c r="BE33" s="25"/>
      <c r="BF33" s="25"/>
      <c r="BG33" s="25"/>
      <c r="BH33" s="25"/>
      <c r="BI33" s="25"/>
      <c r="BJ33" s="26"/>
      <c r="BK33" s="4"/>
      <c r="BM33" t="str">
        <f t="shared" si="0"/>
        <v>,`item_no` string  COMMENT '明細行番号/true : 確認済み'</v>
      </c>
      <c r="BN33" t="str">
        <f t="shared" si="3"/>
        <v>,`item_no` string  COMMENT '明細行番号'</v>
      </c>
      <c r="BO33" t="str">
        <f t="shared" si="1"/>
        <v>,A.`item_no` = B.`item_no`</v>
      </c>
      <c r="BP33" t="str">
        <f t="shared" si="2"/>
        <v>,`item_no`</v>
      </c>
    </row>
    <row r="34" spans="1:68" ht="15" customHeight="1">
      <c r="A34" s="1"/>
      <c r="B34" s="23">
        <v>17</v>
      </c>
      <c r="C34" s="24"/>
      <c r="D34" s="22"/>
      <c r="E34" s="25"/>
      <c r="F34" s="25"/>
      <c r="G34" s="25"/>
      <c r="H34" s="25"/>
      <c r="I34" s="25"/>
      <c r="J34" s="25"/>
      <c r="K34" s="25"/>
      <c r="L34" s="25"/>
      <c r="M34" s="25"/>
      <c r="N34" s="25"/>
      <c r="O34" s="25"/>
      <c r="P34" s="25"/>
      <c r="Q34" s="26"/>
      <c r="R34" s="22"/>
      <c r="S34" s="25"/>
      <c r="T34" s="25"/>
      <c r="U34" s="25"/>
      <c r="V34" s="25"/>
      <c r="W34" s="25"/>
      <c r="X34" s="25"/>
      <c r="Y34" s="25"/>
      <c r="Z34" s="25"/>
      <c r="AA34" s="25"/>
      <c r="AB34" s="26"/>
      <c r="AC34" s="22"/>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   COMMENT ''</v>
      </c>
      <c r="BN34" t="str">
        <f t="shared" si="3"/>
        <v>,``   COMMENT ''</v>
      </c>
      <c r="BO34" t="str">
        <f t="shared" si="1"/>
        <v>,A.`` = B.``</v>
      </c>
      <c r="BP34" t="str">
        <f t="shared" si="2"/>
        <v>,``</v>
      </c>
    </row>
    <row r="35" spans="1:68" ht="15" customHeight="1">
      <c r="A35" s="1"/>
      <c r="B35" s="23">
        <v>18</v>
      </c>
      <c r="C35" s="24"/>
      <c r="D35" s="22"/>
      <c r="E35" s="25"/>
      <c r="F35" s="25"/>
      <c r="G35" s="25"/>
      <c r="H35" s="25"/>
      <c r="I35" s="25"/>
      <c r="J35" s="25"/>
      <c r="K35" s="25"/>
      <c r="L35" s="25"/>
      <c r="M35" s="25"/>
      <c r="N35" s="25"/>
      <c r="O35" s="25"/>
      <c r="P35" s="25"/>
      <c r="Q35" s="26"/>
      <c r="R35" s="22"/>
      <c r="S35" s="25"/>
      <c r="T35" s="25"/>
      <c r="U35" s="25"/>
      <c r="V35" s="25"/>
      <c r="W35" s="25"/>
      <c r="X35" s="25"/>
      <c r="Y35" s="25"/>
      <c r="Z35" s="25"/>
      <c r="AA35" s="25"/>
      <c r="AB35" s="26"/>
      <c r="AC35" s="22"/>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   COMMENT ''</v>
      </c>
      <c r="BN35" t="str">
        <f t="shared" si="3"/>
        <v>,``   COMMENT ''</v>
      </c>
      <c r="BO35" t="str">
        <f t="shared" si="1"/>
        <v>,A.`` = B.``</v>
      </c>
      <c r="BP35" t="str">
        <f t="shared" si="2"/>
        <v>,``</v>
      </c>
    </row>
    <row r="36" spans="1:68" ht="15" customHeight="1">
      <c r="A36" s="1"/>
      <c r="B36" s="23">
        <v>19</v>
      </c>
      <c r="C36" s="24"/>
      <c r="D36" s="22"/>
      <c r="E36" s="25"/>
      <c r="F36" s="25"/>
      <c r="G36" s="25"/>
      <c r="H36" s="25"/>
      <c r="I36" s="25"/>
      <c r="J36" s="25"/>
      <c r="K36" s="25"/>
      <c r="L36" s="25"/>
      <c r="M36" s="25"/>
      <c r="N36" s="25"/>
      <c r="O36" s="25"/>
      <c r="P36" s="25"/>
      <c r="Q36" s="26"/>
      <c r="R36" s="22"/>
      <c r="S36" s="25"/>
      <c r="T36" s="25"/>
      <c r="U36" s="25"/>
      <c r="V36" s="25"/>
      <c r="W36" s="25"/>
      <c r="X36" s="25"/>
      <c r="Y36" s="25"/>
      <c r="Z36" s="25"/>
      <c r="AA36" s="25"/>
      <c r="AB36" s="26"/>
      <c r="AC36" s="22"/>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   COMMENT ''</v>
      </c>
      <c r="BN36" t="str">
        <f t="shared" si="3"/>
        <v>,``   COMMENT ''</v>
      </c>
      <c r="BO36" t="str">
        <f t="shared" si="1"/>
        <v>,A.`` = B.``</v>
      </c>
      <c r="BP36" t="str">
        <f t="shared" si="2"/>
        <v>,``</v>
      </c>
    </row>
    <row r="37" spans="1:68" ht="15" customHeight="1">
      <c r="A37" s="1"/>
      <c r="B37" s="23">
        <v>20</v>
      </c>
      <c r="C37" s="24"/>
      <c r="D37" s="22"/>
      <c r="E37" s="25"/>
      <c r="F37" s="25"/>
      <c r="G37" s="25"/>
      <c r="H37" s="25"/>
      <c r="I37" s="25"/>
      <c r="J37" s="25"/>
      <c r="K37" s="25"/>
      <c r="L37" s="25"/>
      <c r="M37" s="25"/>
      <c r="N37" s="25"/>
      <c r="O37" s="25"/>
      <c r="P37" s="25"/>
      <c r="Q37" s="26"/>
      <c r="R37" s="22"/>
      <c r="S37" s="25"/>
      <c r="T37" s="25"/>
      <c r="U37" s="25"/>
      <c r="V37" s="25"/>
      <c r="W37" s="25"/>
      <c r="X37" s="25"/>
      <c r="Y37" s="25"/>
      <c r="Z37" s="25"/>
      <c r="AA37" s="25"/>
      <c r="AB37" s="26"/>
      <c r="AC37" s="22"/>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   COMMENT ''</v>
      </c>
      <c r="BN37" t="str">
        <f t="shared" si="3"/>
        <v>,``   COMMENT ''</v>
      </c>
      <c r="BO37" t="str">
        <f t="shared" si="1"/>
        <v>,A.`` = B.``</v>
      </c>
      <c r="BP37" t="str">
        <f t="shared" si="2"/>
        <v>,``</v>
      </c>
    </row>
    <row r="38" spans="1:68" ht="15" customHeight="1">
      <c r="A38" s="1"/>
      <c r="B38" s="23">
        <v>21</v>
      </c>
      <c r="C38" s="24"/>
      <c r="D38" s="22"/>
      <c r="E38" s="25"/>
      <c r="F38" s="25"/>
      <c r="G38" s="25"/>
      <c r="H38" s="25"/>
      <c r="I38" s="25"/>
      <c r="J38" s="25"/>
      <c r="K38" s="25"/>
      <c r="L38" s="25"/>
      <c r="M38" s="25"/>
      <c r="N38" s="25"/>
      <c r="O38" s="25"/>
      <c r="P38" s="25"/>
      <c r="Q38" s="26"/>
      <c r="R38" s="22"/>
      <c r="S38" s="25"/>
      <c r="T38" s="25"/>
      <c r="U38" s="25"/>
      <c r="V38" s="25"/>
      <c r="W38" s="25"/>
      <c r="X38" s="25"/>
      <c r="Y38" s="25"/>
      <c r="Z38" s="25"/>
      <c r="AA38" s="25"/>
      <c r="AB38" s="26"/>
      <c r="AC38" s="22"/>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   COMMENT ''</v>
      </c>
      <c r="BN38" t="str">
        <f t="shared" si="3"/>
        <v>,``   COMMENT ''</v>
      </c>
      <c r="BO38" t="str">
        <f t="shared" si="1"/>
        <v>,A.`` = B.``</v>
      </c>
      <c r="BP38" t="str">
        <f t="shared" si="2"/>
        <v>,``</v>
      </c>
    </row>
    <row r="39" spans="1:68" ht="15" customHeight="1">
      <c r="A39" s="1"/>
      <c r="B39" s="23">
        <v>22</v>
      </c>
      <c r="C39" s="24"/>
      <c r="D39" s="22"/>
      <c r="E39" s="25"/>
      <c r="F39" s="25"/>
      <c r="G39" s="25"/>
      <c r="H39" s="25"/>
      <c r="I39" s="25"/>
      <c r="J39" s="25"/>
      <c r="K39" s="25"/>
      <c r="L39" s="25"/>
      <c r="M39" s="25"/>
      <c r="N39" s="25"/>
      <c r="O39" s="25"/>
      <c r="P39" s="25"/>
      <c r="Q39" s="26"/>
      <c r="R39" s="22"/>
      <c r="S39" s="25"/>
      <c r="T39" s="25"/>
      <c r="U39" s="25"/>
      <c r="V39" s="25"/>
      <c r="W39" s="25"/>
      <c r="X39" s="25"/>
      <c r="Y39" s="25"/>
      <c r="Z39" s="25"/>
      <c r="AA39" s="25"/>
      <c r="AB39" s="26"/>
      <c r="AC39" s="22"/>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   COMMENT ''</v>
      </c>
      <c r="BN39" t="str">
        <f t="shared" si="3"/>
        <v>,``   COMMENT ''</v>
      </c>
      <c r="BO39" t="str">
        <f t="shared" si="1"/>
        <v>,A.`` = B.``</v>
      </c>
      <c r="BP39" t="str">
        <f t="shared" si="2"/>
        <v>,``</v>
      </c>
    </row>
    <row r="40" spans="1:68" ht="15" customHeight="1">
      <c r="A40" s="1"/>
      <c r="B40" s="23">
        <v>23</v>
      </c>
      <c r="C40" s="24"/>
      <c r="D40" s="22"/>
      <c r="E40" s="25"/>
      <c r="F40" s="25"/>
      <c r="G40" s="25"/>
      <c r="H40" s="25"/>
      <c r="I40" s="25"/>
      <c r="J40" s="25"/>
      <c r="K40" s="25"/>
      <c r="L40" s="25"/>
      <c r="M40" s="25"/>
      <c r="N40" s="25"/>
      <c r="O40" s="25"/>
      <c r="P40" s="25"/>
      <c r="Q40" s="26"/>
      <c r="R40" s="22"/>
      <c r="S40" s="25"/>
      <c r="T40" s="25"/>
      <c r="U40" s="25"/>
      <c r="V40" s="25"/>
      <c r="W40" s="25"/>
      <c r="X40" s="25"/>
      <c r="Y40" s="25"/>
      <c r="Z40" s="25"/>
      <c r="AA40" s="25"/>
      <c r="AB40" s="26"/>
      <c r="AC40" s="22"/>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   COMMENT ''</v>
      </c>
      <c r="BN40" t="str">
        <f t="shared" si="3"/>
        <v>,``   COMMENT ''</v>
      </c>
      <c r="BO40" t="str">
        <f t="shared" si="1"/>
        <v>,A.`` = B.``</v>
      </c>
      <c r="BP40" t="str">
        <f t="shared" si="2"/>
        <v>,``</v>
      </c>
    </row>
    <row r="41" spans="1:68" ht="15" customHeight="1">
      <c r="A41" s="1"/>
      <c r="B41" s="23">
        <v>24</v>
      </c>
      <c r="C41" s="24"/>
      <c r="D41" s="22"/>
      <c r="E41" s="25"/>
      <c r="F41" s="25"/>
      <c r="G41" s="25"/>
      <c r="H41" s="25"/>
      <c r="I41" s="25"/>
      <c r="J41" s="25"/>
      <c r="K41" s="25"/>
      <c r="L41" s="25"/>
      <c r="M41" s="25"/>
      <c r="N41" s="25"/>
      <c r="O41" s="25"/>
      <c r="P41" s="25"/>
      <c r="Q41" s="26"/>
      <c r="R41" s="22"/>
      <c r="S41" s="25"/>
      <c r="T41" s="25"/>
      <c r="U41" s="25"/>
      <c r="V41" s="25"/>
      <c r="W41" s="25"/>
      <c r="X41" s="25"/>
      <c r="Y41" s="25"/>
      <c r="Z41" s="25"/>
      <c r="AA41" s="25"/>
      <c r="AB41" s="26"/>
      <c r="AC41" s="22"/>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   COMMENT ''</v>
      </c>
      <c r="BN41" t="str">
        <f t="shared" si="3"/>
        <v>,``   COMMENT ''</v>
      </c>
      <c r="BO41" t="str">
        <f t="shared" si="1"/>
        <v>,A.`` = B.``</v>
      </c>
      <c r="BP41" t="str">
        <f t="shared" si="2"/>
        <v>,``</v>
      </c>
    </row>
    <row r="42" spans="1:68" ht="15" customHeight="1">
      <c r="A42" s="1"/>
      <c r="B42" s="23">
        <v>25</v>
      </c>
      <c r="C42" s="24"/>
      <c r="D42" s="22"/>
      <c r="E42" s="25"/>
      <c r="F42" s="25"/>
      <c r="G42" s="25"/>
      <c r="H42" s="25"/>
      <c r="I42" s="25"/>
      <c r="J42" s="25"/>
      <c r="K42" s="25"/>
      <c r="L42" s="25"/>
      <c r="M42" s="25"/>
      <c r="N42" s="25"/>
      <c r="O42" s="25"/>
      <c r="P42" s="25"/>
      <c r="Q42" s="26"/>
      <c r="R42" s="22"/>
      <c r="S42" s="25"/>
      <c r="T42" s="25"/>
      <c r="U42" s="25"/>
      <c r="V42" s="25"/>
      <c r="W42" s="25"/>
      <c r="X42" s="25"/>
      <c r="Y42" s="25"/>
      <c r="Z42" s="25"/>
      <c r="AA42" s="25"/>
      <c r="AB42" s="26"/>
      <c r="AC42" s="22"/>
      <c r="AD42" s="25"/>
      <c r="AE42" s="25"/>
      <c r="AF42" s="25"/>
      <c r="AG42" s="26"/>
      <c r="AH42" s="22"/>
      <c r="AI42" s="26"/>
      <c r="AJ42" s="22"/>
      <c r="AK42" s="25"/>
      <c r="AL42" s="26"/>
      <c r="AM42" s="22"/>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M42" t="str">
        <f t="shared" si="0"/>
        <v>,``   COMMENT ''</v>
      </c>
      <c r="BN42" t="str">
        <f t="shared" si="3"/>
        <v>,``   COMMENT ''</v>
      </c>
      <c r="BO42" t="str">
        <f t="shared" si="1"/>
        <v>,A.`` = B.``</v>
      </c>
      <c r="BP42" t="str">
        <f t="shared" si="2"/>
        <v>,``</v>
      </c>
    </row>
    <row r="43" spans="1:68" ht="15" customHeight="1">
      <c r="A43" s="1"/>
      <c r="B43" s="23">
        <v>26</v>
      </c>
      <c r="C43" s="24"/>
      <c r="D43" s="22"/>
      <c r="E43" s="25"/>
      <c r="F43" s="25"/>
      <c r="G43" s="25"/>
      <c r="H43" s="25"/>
      <c r="I43" s="25"/>
      <c r="J43" s="25"/>
      <c r="K43" s="25"/>
      <c r="L43" s="25"/>
      <c r="M43" s="25"/>
      <c r="N43" s="25"/>
      <c r="O43" s="25"/>
      <c r="P43" s="25"/>
      <c r="Q43" s="26"/>
      <c r="R43" s="22"/>
      <c r="S43" s="25"/>
      <c r="T43" s="25"/>
      <c r="U43" s="25"/>
      <c r="V43" s="25"/>
      <c r="W43" s="25"/>
      <c r="X43" s="25"/>
      <c r="Y43" s="25"/>
      <c r="Z43" s="25"/>
      <c r="AA43" s="25"/>
      <c r="AB43" s="26"/>
      <c r="AC43" s="22"/>
      <c r="AD43" s="25"/>
      <c r="AE43" s="25"/>
      <c r="AF43" s="25"/>
      <c r="AG43" s="26"/>
      <c r="AH43" s="22"/>
      <c r="AI43" s="26"/>
      <c r="AJ43" s="22"/>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row>
    <row r="44" spans="1:68" ht="15" customHeight="1">
      <c r="A44" s="1"/>
      <c r="B44" s="23">
        <v>27</v>
      </c>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v>28</v>
      </c>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8">
        <v>29</v>
      </c>
      <c r="C46" s="29"/>
      <c r="D46" s="30"/>
      <c r="E46" s="31"/>
      <c r="F46" s="31"/>
      <c r="G46" s="31"/>
      <c r="H46" s="31"/>
      <c r="I46" s="31"/>
      <c r="J46" s="31"/>
      <c r="K46" s="31"/>
      <c r="L46" s="31"/>
      <c r="M46" s="31"/>
      <c r="N46" s="31"/>
      <c r="O46" s="31"/>
      <c r="P46" s="31"/>
      <c r="Q46" s="32"/>
      <c r="R46" s="30"/>
      <c r="S46" s="31"/>
      <c r="T46" s="31"/>
      <c r="U46" s="31"/>
      <c r="V46" s="31"/>
      <c r="W46" s="31"/>
      <c r="X46" s="31"/>
      <c r="Y46" s="31"/>
      <c r="Z46" s="31"/>
      <c r="AA46" s="31"/>
      <c r="AB46" s="32"/>
      <c r="AC46" s="30"/>
      <c r="AD46" s="31"/>
      <c r="AE46" s="31"/>
      <c r="AF46" s="31"/>
      <c r="AG46" s="32"/>
      <c r="AH46" s="30"/>
      <c r="AI46" s="32"/>
      <c r="AJ46" s="30"/>
      <c r="AK46" s="31"/>
      <c r="AL46" s="32"/>
      <c r="AM46" s="30"/>
      <c r="AN46" s="31"/>
      <c r="AO46" s="31"/>
      <c r="AP46" s="31"/>
      <c r="AQ46" s="31"/>
      <c r="AR46" s="31"/>
      <c r="AS46" s="32"/>
      <c r="AT46" s="30"/>
      <c r="AU46" s="31"/>
      <c r="AV46" s="31"/>
      <c r="AW46" s="31"/>
      <c r="AX46" s="31"/>
      <c r="AY46" s="31"/>
      <c r="AZ46" s="31"/>
      <c r="BA46" s="31"/>
      <c r="BB46" s="31"/>
      <c r="BC46" s="31"/>
      <c r="BD46" s="31"/>
      <c r="BE46" s="31"/>
      <c r="BF46" s="31"/>
      <c r="BG46" s="31"/>
      <c r="BH46" s="31"/>
      <c r="BI46" s="31"/>
      <c r="BJ46" s="32"/>
      <c r="BK46" s="4"/>
    </row>
    <row r="47" spans="1:68" ht="15" customHeight="1">
      <c r="A47" s="1"/>
      <c r="BK47" s="4"/>
    </row>
    <row r="48" spans="1:68" ht="15" customHeight="1">
      <c r="A48" s="1"/>
      <c r="BK48" s="4"/>
    </row>
    <row r="49" spans="1:68" ht="15" customHeight="1">
      <c r="A49" s="1"/>
      <c r="B49" s="37" t="s">
        <v>49</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row>
    <row r="50" spans="1:68" ht="15" customHeight="1">
      <c r="A50" s="1"/>
      <c r="B50" s="34" t="s">
        <v>50</v>
      </c>
      <c r="C50" s="35"/>
      <c r="D50" s="34" t="s">
        <v>51</v>
      </c>
      <c r="E50" s="44"/>
      <c r="F50" s="36"/>
      <c r="G50" s="36"/>
      <c r="H50" s="36"/>
      <c r="I50" s="36"/>
      <c r="J50" s="36"/>
      <c r="K50" s="36"/>
      <c r="L50" s="36"/>
      <c r="M50" s="36"/>
      <c r="N50" s="36"/>
      <c r="O50" s="36"/>
      <c r="P50" s="36"/>
      <c r="Q50" s="35"/>
      <c r="R50" s="34" t="s">
        <v>52</v>
      </c>
      <c r="S50" s="44"/>
      <c r="T50" s="36"/>
      <c r="U50" s="36"/>
      <c r="V50" s="36"/>
      <c r="W50" s="36"/>
      <c r="X50" s="36"/>
      <c r="Y50" s="36"/>
      <c r="Z50" s="36"/>
      <c r="AA50" s="36"/>
      <c r="AB50" s="36"/>
      <c r="AC50" s="36"/>
      <c r="AD50" s="36"/>
      <c r="AE50" s="36"/>
      <c r="AF50" s="36"/>
      <c r="AG50" s="36"/>
      <c r="AH50" s="36"/>
      <c r="AI50" s="36"/>
      <c r="AJ50" s="36"/>
      <c r="AK50" s="35"/>
      <c r="AL50" s="34" t="s">
        <v>53</v>
      </c>
      <c r="AM50" s="36"/>
      <c r="AN50" s="36"/>
      <c r="AO50" s="45"/>
      <c r="AP50" s="34" t="s">
        <v>54</v>
      </c>
      <c r="AQ50" s="36"/>
      <c r="AR50" s="36"/>
      <c r="AS50" s="35"/>
      <c r="AT50" s="34" t="s">
        <v>48</v>
      </c>
      <c r="AU50" s="44"/>
      <c r="AV50" s="44"/>
      <c r="AW50" s="36"/>
      <c r="AX50" s="36"/>
      <c r="AY50" s="44"/>
      <c r="AZ50" s="36"/>
      <c r="BA50" s="36"/>
      <c r="BB50" s="36"/>
      <c r="BC50" s="36"/>
      <c r="BD50" s="36"/>
      <c r="BE50" s="36"/>
      <c r="BF50" s="36"/>
      <c r="BG50" s="36"/>
      <c r="BH50" s="36"/>
      <c r="BI50" s="44"/>
      <c r="BJ50" s="35"/>
      <c r="BK50" s="4"/>
    </row>
    <row r="51" spans="1:68" ht="15" customHeight="1">
      <c r="A51" s="1"/>
      <c r="B51" s="38">
        <v>1</v>
      </c>
      <c r="C51" s="39"/>
      <c r="D51" s="38" t="s">
        <v>55</v>
      </c>
      <c r="E51" s="46"/>
      <c r="F51" s="40"/>
      <c r="G51" s="40"/>
      <c r="H51" s="40"/>
      <c r="I51" s="40"/>
      <c r="J51" s="40"/>
      <c r="K51" s="40"/>
      <c r="L51" s="40"/>
      <c r="M51" s="40"/>
      <c r="N51" s="40"/>
      <c r="O51" s="40"/>
      <c r="P51" s="40"/>
      <c r="Q51" s="39"/>
      <c r="R51"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
      </c>
      <c r="S51" s="46"/>
      <c r="T51" s="40"/>
      <c r="U51" s="40"/>
      <c r="V51" s="40"/>
      <c r="W51" s="40"/>
      <c r="X51" s="40"/>
      <c r="Y51" s="40"/>
      <c r="Z51" s="40"/>
      <c r="AA51" s="40"/>
      <c r="AB51" s="40"/>
      <c r="AC51" s="40"/>
      <c r="AD51" s="40"/>
      <c r="AE51" s="40"/>
      <c r="AF51" s="40"/>
      <c r="AG51" s="40"/>
      <c r="AH51" s="40"/>
      <c r="AI51" s="40"/>
      <c r="AJ51" s="40"/>
      <c r="AK51" s="39"/>
      <c r="AL51" s="38" t="s">
        <v>885</v>
      </c>
      <c r="AM51" s="40"/>
      <c r="AN51" s="40"/>
      <c r="AO51" s="47"/>
      <c r="AP51" s="38" t="s">
        <v>885</v>
      </c>
      <c r="AQ51" s="40"/>
      <c r="AR51" s="40"/>
      <c r="AS51" s="39"/>
      <c r="AT51" s="38"/>
      <c r="AU51" s="46"/>
      <c r="AV51" s="46"/>
      <c r="AW51" s="40"/>
      <c r="AX51" s="40"/>
      <c r="AY51" s="46"/>
      <c r="AZ51" s="40"/>
      <c r="BA51" s="40"/>
      <c r="BB51" s="40"/>
      <c r="BC51" s="40"/>
      <c r="BD51" s="40"/>
      <c r="BE51" s="40"/>
      <c r="BF51" s="40"/>
      <c r="BG51" s="40"/>
      <c r="BH51" s="40"/>
      <c r="BI51" s="46"/>
      <c r="BJ51" s="39"/>
      <c r="BK51" s="4"/>
      <c r="BM51"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N51" t="str">
        <f>BM51</f>
        <v xml:space="preserve"> , PRIMARY KEY (),</v>
      </c>
    </row>
    <row r="52" spans="1:68" ht="15" customHeight="1">
      <c r="A52" s="1"/>
      <c r="BK52" s="4"/>
      <c r="BM52" t="s">
        <v>452</v>
      </c>
    </row>
    <row r="53" spans="1:68" ht="15" customHeight="1">
      <c r="A53" s="1"/>
      <c r="BK53" s="4"/>
      <c r="BM53" t="str">
        <f>") ENGINE=InnoDB DEFAULT CHARSET=utf8 COMMENT = '"&amp;$G$9&amp;"';"</f>
        <v>) ENGINE=InnoDB DEFAULT CHARSET=utf8 COMMENT = '売上情報明細';</v>
      </c>
      <c r="BN53" t="str">
        <f>") ENGINE=InnoDB DEFAULT CHARSET=utf8 COMMENT = '"&amp;$G$9&amp;"_TMP';"</f>
        <v>) ENGINE=InnoDB DEFAULT CHARSET=utf8 COMMENT = '売上情報明細_TMP';</v>
      </c>
    </row>
    <row r="54" spans="1:68" ht="15" customHeight="1">
      <c r="A54" s="1"/>
      <c r="B54" s="37" t="s">
        <v>34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4"/>
    </row>
    <row r="55" spans="1:68" ht="15" customHeight="1">
      <c r="A55" s="1"/>
      <c r="B55" s="34" t="s">
        <v>35</v>
      </c>
      <c r="C55" s="45"/>
      <c r="D55" s="34" t="s">
        <v>36</v>
      </c>
      <c r="E55" s="44"/>
      <c r="F55" s="44"/>
      <c r="G55" s="44"/>
      <c r="H55" s="44"/>
      <c r="I55" s="44"/>
      <c r="J55" s="44"/>
      <c r="K55" s="44"/>
      <c r="L55" s="36"/>
      <c r="M55" s="36"/>
      <c r="N55" s="36"/>
      <c r="O55" s="36"/>
      <c r="P55" s="36"/>
      <c r="Q55" s="35"/>
      <c r="R55" s="34" t="s">
        <v>37</v>
      </c>
      <c r="S55" s="36"/>
      <c r="T55" s="45"/>
      <c r="U55" s="34" t="s">
        <v>38</v>
      </c>
      <c r="V55" s="36"/>
      <c r="W55" s="44"/>
      <c r="X55" s="45"/>
      <c r="Y55" s="34" t="s">
        <v>39</v>
      </c>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5"/>
      <c r="BK55" s="4"/>
      <c r="BM55" t="str">
        <f>"CREATE TRIGGER `"&amp;G15&amp;"_CR_Date_Time` BEFORE INSERT ON `"&amp;G15&amp;"`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56" spans="1:68" ht="15" customHeight="1">
      <c r="A56" s="1"/>
      <c r="B56" s="41">
        <v>1</v>
      </c>
      <c r="C56" s="47"/>
      <c r="D56" s="41" t="str">
        <f>G10&amp;"_"&amp;R56&amp;"_"&amp;"trg"</f>
        <v>sales_details_update_trg</v>
      </c>
      <c r="E56" s="46"/>
      <c r="F56" s="46"/>
      <c r="G56" s="46"/>
      <c r="H56" s="46"/>
      <c r="I56" s="46"/>
      <c r="J56" s="46"/>
      <c r="K56" s="46"/>
      <c r="L56" s="42"/>
      <c r="M56" s="42"/>
      <c r="N56" s="42"/>
      <c r="O56" s="42"/>
      <c r="P56" s="42"/>
      <c r="Q56" s="43"/>
      <c r="R56" s="41" t="s">
        <v>40</v>
      </c>
      <c r="S56" s="42"/>
      <c r="T56" s="47"/>
      <c r="U56" s="41" t="s">
        <v>41</v>
      </c>
      <c r="V56" s="42"/>
      <c r="W56" s="46"/>
      <c r="X56" s="47"/>
      <c r="Y56" s="41" t="s">
        <v>42</v>
      </c>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3"/>
      <c r="BK56" s="4"/>
      <c r="BM56" t="str">
        <f>"CREATE TRIGGER `"&amp;G15&amp;"_UP_Date_Time` BEFORE UPDATE ON `"&amp;G15&amp;"` FOR EACH ROW SET NEW.record_update_date = CURRENT_DATE, NEW.record_update_time = CURRENT_TIME;"</f>
        <v>CREATE TRIGGER `_UP_Date_Time` BEFORE UPDATE ON `` FOR EACH ROW SET NEW.record_update_date = CURRENT_DATE, NEW.record_update_time = CURRENT_TIME;</v>
      </c>
    </row>
    <row r="57" spans="1:68" ht="15" customHeight="1">
      <c r="A57" s="1"/>
      <c r="BK57" s="4"/>
    </row>
    <row r="58" spans="1:68" ht="15" customHeight="1">
      <c r="A58" s="1"/>
      <c r="BK58" s="4"/>
    </row>
    <row r="59" spans="1:68" ht="15" customHeight="1">
      <c r="A59" s="1"/>
      <c r="BK59" s="4"/>
    </row>
    <row r="60" spans="1:68" ht="15" customHeight="1">
      <c r="A60" s="1"/>
      <c r="BK60" s="4"/>
    </row>
    <row r="61" spans="1:68" ht="15" customHeight="1">
      <c r="A61" s="1"/>
      <c r="BK61" s="4"/>
    </row>
    <row r="62" spans="1:68" ht="15" customHeight="1">
      <c r="A62" s="1"/>
      <c r="BK62" s="4"/>
    </row>
    <row r="63" spans="1:68" ht="15" customHeight="1">
      <c r="A63" s="1"/>
      <c r="BK63" s="4"/>
      <c r="BM63" t="s">
        <v>858</v>
      </c>
      <c r="BN63" t="str">
        <f>BM63</f>
        <v xml:space="preserve"> , PRIMARY KEY (`CompanyCode`,`StoreCode`,`ReceiptCouponCode`,`PrintFrom`,`MessagePosition`,`MessageLineNo`),</v>
      </c>
      <c r="BO63" t="str">
        <f t="shared" si="1"/>
        <v>,A.`` = B.``</v>
      </c>
      <c r="BP63" t="str">
        <f t="shared" si="2"/>
        <v>,``</v>
      </c>
    </row>
    <row r="64" spans="1:68" ht="15" customHeight="1">
      <c r="A64" s="1"/>
      <c r="BK64" s="4"/>
      <c r="BM64" t="s">
        <v>452</v>
      </c>
      <c r="BO64" t="str">
        <f t="shared" si="1"/>
        <v>,A.`` = B.``</v>
      </c>
      <c r="BP64" t="str">
        <f t="shared" si="2"/>
        <v>,``</v>
      </c>
    </row>
    <row r="65" spans="1:68" ht="15" customHeight="1">
      <c r="A65" s="1"/>
      <c r="BK65" s="4"/>
      <c r="BM65" t="s">
        <v>639</v>
      </c>
      <c r="BN65" t="str">
        <f>BM65</f>
        <v>) ENGINE=InnoDB DEFAULT CHARSET=utf8;</v>
      </c>
      <c r="BO65" t="str">
        <f t="shared" si="1"/>
        <v>,A.`` = B.``</v>
      </c>
      <c r="BP65" t="str">
        <f t="shared" si="2"/>
        <v>,``</v>
      </c>
    </row>
    <row r="66" spans="1:68" ht="15" customHeight="1">
      <c r="A66" s="1"/>
      <c r="BK66" s="4"/>
      <c r="BM66" t="str">
        <f>"CREATE TRIGGER `"&amp;G10&amp;"_CR_Date_Time` BEFORE INSERT ON `"&amp;G10&amp;"` FOR EACH ROW SET NEW.record_create_date = CURRENT_DATE, NEW.record_create_time = CURRENT_TIME, NEW.record_update_date = CURRENT_DATE, NEW.record_update_time = CURRENT_TIME;"</f>
        <v>CREATE TRIGGER `sales_details_CR_Date_Time` BEFORE INSERT ON `sales_details` FOR EACH ROW SET NEW.record_create_date = CURRENT_DATE, NEW.record_create_time = CURRENT_TIME, NEW.record_update_date = CURRENT_DATE, NEW.record_update_time = CURRENT_TIME;</v>
      </c>
    </row>
    <row r="67" spans="1:68" ht="15" customHeight="1">
      <c r="A67" s="1"/>
      <c r="BK67" s="4"/>
      <c r="BM67" t="str">
        <f>"CREATE TRIGGER `"&amp;G10&amp;"_UP_Date_Time` BEFORE UPDATE ON `"&amp;G10&amp;"` FOR EACH ROW SET NEW.record_update_date = CURRENT_DATE, NEW.record_update_time = CURRENT_TIME;"</f>
        <v>CREATE TRIGGER `sales_details_UP_Date_Time` BEFORE UPDATE ON `sales_details` FOR EACH ROW SET NEW.record_update_date = CURRENT_DATE, NEW.record_update_time = CURRENT_TIME;</v>
      </c>
    </row>
    <row r="68" spans="1:68" ht="15" customHeight="1">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5"/>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76C60-F123-4A69-B8EE-786AAF8623E4}">
  <dimension ref="A1:BP68"/>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19</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292" t="s">
        <v>43</v>
      </c>
      <c r="C8" s="293"/>
      <c r="D8" s="293"/>
      <c r="E8" s="293"/>
      <c r="F8" s="294"/>
      <c r="G8" s="295"/>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row>
    <row r="9" spans="1:63" ht="15" customHeight="1">
      <c r="A9" s="1"/>
      <c r="B9" s="301" t="s">
        <v>45</v>
      </c>
      <c r="C9" s="302"/>
      <c r="D9" s="302"/>
      <c r="E9" s="302"/>
      <c r="F9" s="303"/>
      <c r="G9" s="304" t="s">
        <v>211</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row>
    <row r="10" spans="1:63" ht="15" customHeight="1">
      <c r="A10" s="1"/>
      <c r="B10" s="310" t="s">
        <v>47</v>
      </c>
      <c r="C10" s="311"/>
      <c r="D10" s="311"/>
      <c r="E10" s="311"/>
      <c r="F10" s="312"/>
      <c r="G10" s="298" t="s">
        <v>210</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row>
    <row r="11" spans="1:63"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row>
    <row r="12" spans="1:63"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row>
    <row r="13" spans="1:63"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row>
    <row r="14" spans="1:63"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row>
    <row r="15" spans="1:63"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row>
    <row r="16" spans="1:63"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``.`sales_details`;</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``.`sales_details` (</v>
      </c>
      <c r="BN20" t="str">
        <f>"CREATE TABLE `TMP`.`"&amp;G10&amp;"` ("</f>
        <v>CREATE TABLE `TMP`.`sales_details`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t="s">
        <v>885</v>
      </c>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225</v>
      </c>
      <c r="E27" s="25"/>
      <c r="F27" s="25"/>
      <c r="G27" s="25"/>
      <c r="H27" s="25"/>
      <c r="I27" s="25"/>
      <c r="J27" s="25"/>
      <c r="K27" s="25"/>
      <c r="L27" s="25"/>
      <c r="M27" s="25"/>
      <c r="N27" s="25"/>
      <c r="O27" s="25"/>
      <c r="P27" s="25"/>
      <c r="Q27" s="26"/>
      <c r="R27" s="22" t="s">
        <v>212</v>
      </c>
      <c r="S27" s="25"/>
      <c r="T27" s="25"/>
      <c r="U27" s="25"/>
      <c r="V27" s="25"/>
      <c r="W27" s="25"/>
      <c r="X27" s="25"/>
      <c r="Y27" s="25"/>
      <c r="Z27" s="25"/>
      <c r="AA27" s="25"/>
      <c r="AB27" s="26"/>
      <c r="AC27" s="22" t="s">
        <v>213</v>
      </c>
      <c r="AD27" s="25"/>
      <c r="AE27" s="25"/>
      <c r="AF27" s="25"/>
      <c r="AG27" s="26"/>
      <c r="AH27" s="22"/>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c r="BM27" t="str">
        <f t="shared" si="0"/>
        <v>,`company_code` char(3)  COMMENT '企業コード'</v>
      </c>
      <c r="BN27" t="str">
        <f t="shared" ref="BN27:BN42" si="3">",`"&amp;R27&amp;"` "&amp;AC27&amp;" "&amp;IF(AJ27="Y","NOT NULL","")&amp;" COMMENT '"&amp;D27&amp;"'"</f>
        <v>,`company_code` char(3)  COMMENT '企業コード'</v>
      </c>
      <c r="BO27" t="str">
        <f t="shared" si="1"/>
        <v>,A.`company_code` = B.`company_code`</v>
      </c>
      <c r="BP27" t="str">
        <f t="shared" si="2"/>
        <v>,`company_code`</v>
      </c>
    </row>
    <row r="28" spans="1:68" ht="15" customHeight="1">
      <c r="A28" s="1"/>
      <c r="B28" s="23">
        <v>8</v>
      </c>
      <c r="C28" s="24"/>
      <c r="D28" s="22" t="s">
        <v>226</v>
      </c>
      <c r="E28" s="25"/>
      <c r="F28" s="25"/>
      <c r="G28" s="25"/>
      <c r="H28" s="25"/>
      <c r="I28" s="25"/>
      <c r="J28" s="25"/>
      <c r="K28" s="25"/>
      <c r="L28" s="25"/>
      <c r="M28" s="25"/>
      <c r="N28" s="25"/>
      <c r="O28" s="25"/>
      <c r="P28" s="25"/>
      <c r="Q28" s="26"/>
      <c r="R28" s="22" t="s">
        <v>214</v>
      </c>
      <c r="S28" s="25"/>
      <c r="T28" s="25"/>
      <c r="U28" s="25"/>
      <c r="V28" s="25"/>
      <c r="W28" s="25"/>
      <c r="X28" s="25"/>
      <c r="Y28" s="25"/>
      <c r="Z28" s="25"/>
      <c r="AA28" s="25"/>
      <c r="AB28" s="26"/>
      <c r="AC28" s="22" t="s">
        <v>215</v>
      </c>
      <c r="AD28" s="25"/>
      <c r="AE28" s="25"/>
      <c r="AF28" s="25"/>
      <c r="AG28" s="26"/>
      <c r="AH28" s="22"/>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,`store_code` char(5)  COMMENT '店舗コード'</v>
      </c>
      <c r="BN28" t="str">
        <f t="shared" si="3"/>
        <v>,`store_code` char(5)  COMMENT '店舗コード'</v>
      </c>
      <c r="BO28" t="str">
        <f t="shared" si="1"/>
        <v>,A.`store_code` = B.`store_code`</v>
      </c>
      <c r="BP28" t="str">
        <f t="shared" si="2"/>
        <v>,`store_code`</v>
      </c>
    </row>
    <row r="29" spans="1:68" ht="15" customHeight="1">
      <c r="A29" s="1"/>
      <c r="B29" s="23">
        <v>9</v>
      </c>
      <c r="C29" s="24"/>
      <c r="D29" s="22" t="s">
        <v>227</v>
      </c>
      <c r="E29" s="25"/>
      <c r="F29" s="25"/>
      <c r="G29" s="25"/>
      <c r="H29" s="25"/>
      <c r="I29" s="25"/>
      <c r="J29" s="25"/>
      <c r="K29" s="25"/>
      <c r="L29" s="25"/>
      <c r="M29" s="25"/>
      <c r="N29" s="25"/>
      <c r="O29" s="25"/>
      <c r="P29" s="25"/>
      <c r="Q29" s="26"/>
      <c r="R29" s="22" t="s">
        <v>216</v>
      </c>
      <c r="S29" s="25"/>
      <c r="T29" s="25"/>
      <c r="U29" s="25"/>
      <c r="V29" s="25"/>
      <c r="W29" s="25"/>
      <c r="X29" s="25"/>
      <c r="Y29" s="25"/>
      <c r="Z29" s="25"/>
      <c r="AA29" s="25"/>
      <c r="AB29" s="26"/>
      <c r="AC29" s="22" t="s">
        <v>215</v>
      </c>
      <c r="AD29" s="25"/>
      <c r="AE29" s="25"/>
      <c r="AF29" s="25"/>
      <c r="AG29" s="26"/>
      <c r="AH29" s="22"/>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,`instore_code` char(5)  COMMENT 'レジ番号'</v>
      </c>
      <c r="BN29" t="str">
        <f t="shared" si="3"/>
        <v>,`instore_code` char(5)  COMMENT 'レジ番号'</v>
      </c>
      <c r="BO29" t="str">
        <f t="shared" si="1"/>
        <v>,A.`instore_code` = B.`instore_code`</v>
      </c>
      <c r="BP29" t="str">
        <f t="shared" si="2"/>
        <v>,`instore_code`</v>
      </c>
    </row>
    <row r="30" spans="1:68" ht="15" customHeight="1">
      <c r="A30" s="1"/>
      <c r="B30" s="23">
        <v>13</v>
      </c>
      <c r="C30" s="24"/>
      <c r="D30" s="22" t="s">
        <v>231</v>
      </c>
      <c r="E30" s="25"/>
      <c r="F30" s="25"/>
      <c r="G30" s="25"/>
      <c r="H30" s="25"/>
      <c r="I30" s="25"/>
      <c r="J30" s="25"/>
      <c r="K30" s="25"/>
      <c r="L30" s="25"/>
      <c r="M30" s="25"/>
      <c r="N30" s="25"/>
      <c r="O30" s="25"/>
      <c r="P30" s="25"/>
      <c r="Q30" s="26"/>
      <c r="R30" s="22" t="s">
        <v>224</v>
      </c>
      <c r="S30" s="25"/>
      <c r="T30" s="25"/>
      <c r="U30" s="25"/>
      <c r="V30" s="25"/>
      <c r="W30" s="25"/>
      <c r="X30" s="25"/>
      <c r="Y30" s="25"/>
      <c r="Z30" s="25"/>
      <c r="AA30" s="25"/>
      <c r="AB30" s="26"/>
      <c r="AC30" s="22" t="s">
        <v>234</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,`record_datetime` char(16)  COMMENT '取引確定日時&lt;取引確定後&gt;'</v>
      </c>
      <c r="BN30" t="str">
        <f t="shared" si="3"/>
        <v>,`record_datetime` char(16)  COMMENT '取引確定日時&lt;取引確定後&gt;'</v>
      </c>
      <c r="BO30" t="str">
        <f t="shared" si="1"/>
        <v>,A.`record_datetime` = B.`record_datetime`</v>
      </c>
      <c r="BP30" t="str">
        <f t="shared" si="2"/>
        <v>,`record_datetime`</v>
      </c>
    </row>
    <row r="31" spans="1:68" ht="15" customHeight="1">
      <c r="A31" s="1"/>
      <c r="B31" s="23">
        <v>14</v>
      </c>
      <c r="C31" s="24"/>
      <c r="D31" s="22" t="s">
        <v>219</v>
      </c>
      <c r="E31" s="25"/>
      <c r="F31" s="25"/>
      <c r="G31" s="25"/>
      <c r="H31" s="25"/>
      <c r="I31" s="25"/>
      <c r="J31" s="25"/>
      <c r="K31" s="25"/>
      <c r="L31" s="25"/>
      <c r="M31" s="25"/>
      <c r="N31" s="25"/>
      <c r="O31" s="25"/>
      <c r="P31" s="25"/>
      <c r="Q31" s="26"/>
      <c r="R31" s="22" t="s">
        <v>217</v>
      </c>
      <c r="S31" s="25"/>
      <c r="T31" s="25"/>
      <c r="U31" s="25"/>
      <c r="V31" s="25"/>
      <c r="W31" s="25"/>
      <c r="X31" s="25"/>
      <c r="Y31" s="25"/>
      <c r="Z31" s="25"/>
      <c r="AA31" s="25"/>
      <c r="AB31" s="26"/>
      <c r="AC31" s="22" t="s">
        <v>233</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,`journal_no` char(10)  COMMENT 'ジャーナルNO&lt;取引確定後&gt;'</v>
      </c>
      <c r="BN31" t="str">
        <f t="shared" si="3"/>
        <v>,`journal_no` char(10)  COMMENT 'ジャーナルNO&lt;取引確定後&gt;'</v>
      </c>
      <c r="BO31" t="str">
        <f t="shared" si="1"/>
        <v>,A.`journal_no` = B.`journal_no`</v>
      </c>
      <c r="BP31" t="str">
        <f t="shared" si="2"/>
        <v>,`journal_no`</v>
      </c>
    </row>
    <row r="32" spans="1:68" ht="15" customHeight="1">
      <c r="A32" s="1"/>
      <c r="B32" s="23">
        <v>15</v>
      </c>
      <c r="C32" s="24"/>
      <c r="D32" s="22" t="s">
        <v>220</v>
      </c>
      <c r="E32" s="25"/>
      <c r="F32" s="25"/>
      <c r="G32" s="25"/>
      <c r="H32" s="25"/>
      <c r="I32" s="25"/>
      <c r="J32" s="25"/>
      <c r="K32" s="25"/>
      <c r="L32" s="25"/>
      <c r="M32" s="25"/>
      <c r="N32" s="25"/>
      <c r="O32" s="25"/>
      <c r="P32" s="25"/>
      <c r="Q32" s="26"/>
      <c r="R32" s="22" t="s">
        <v>218</v>
      </c>
      <c r="S32" s="25"/>
      <c r="T32" s="25"/>
      <c r="U32" s="25"/>
      <c r="V32" s="25"/>
      <c r="W32" s="25"/>
      <c r="X32" s="25"/>
      <c r="Y32" s="25"/>
      <c r="Z32" s="25"/>
      <c r="AA32" s="25"/>
      <c r="AB32" s="26"/>
      <c r="AC32" s="22" t="s">
        <v>325</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,`receipt_no` char(10)  COMMENT 'レシートNO&lt;取引確定後&gt;'</v>
      </c>
      <c r="BN32" t="str">
        <f t="shared" si="3"/>
        <v>,`receipt_no` char(10)  COMMENT 'レシートNO&lt;取引確定後&gt;'</v>
      </c>
      <c r="BO32" t="str">
        <f t="shared" si="1"/>
        <v>,A.`receipt_no` = B.`receipt_no`</v>
      </c>
      <c r="BP32" t="str">
        <f t="shared" si="2"/>
        <v>,`receipt_no`</v>
      </c>
    </row>
    <row r="33" spans="1:68" ht="15" customHeight="1">
      <c r="A33" s="1"/>
      <c r="B33" s="23">
        <v>16</v>
      </c>
      <c r="C33" s="24"/>
      <c r="D33" s="22" t="s">
        <v>248</v>
      </c>
      <c r="E33" s="25"/>
      <c r="F33" s="25"/>
      <c r="G33" s="25"/>
      <c r="H33" s="25"/>
      <c r="I33" s="25"/>
      <c r="J33" s="25"/>
      <c r="K33" s="25"/>
      <c r="L33" s="25"/>
      <c r="M33" s="25"/>
      <c r="N33" s="25"/>
      <c r="O33" s="25"/>
      <c r="P33" s="25"/>
      <c r="Q33" s="26"/>
      <c r="R33" s="22" t="s">
        <v>235</v>
      </c>
      <c r="S33" s="25"/>
      <c r="T33" s="25"/>
      <c r="U33" s="25"/>
      <c r="V33" s="25"/>
      <c r="W33" s="25"/>
      <c r="X33" s="25"/>
      <c r="Y33" s="25"/>
      <c r="Z33" s="25"/>
      <c r="AA33" s="25"/>
      <c r="AB33" s="26"/>
      <c r="AC33" s="22" t="s">
        <v>246</v>
      </c>
      <c r="AD33" s="25"/>
      <c r="AE33" s="25"/>
      <c r="AF33" s="25"/>
      <c r="AG33" s="26"/>
      <c r="AH33" s="22"/>
      <c r="AI33" s="26"/>
      <c r="AJ33" s="22"/>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M33" t="str">
        <f t="shared" si="0"/>
        <v>,`item_no` string  COMMENT '明細行番号'</v>
      </c>
      <c r="BN33" t="str">
        <f t="shared" si="3"/>
        <v>,`item_no` string  COMMENT '明細行番号'</v>
      </c>
      <c r="BO33" t="str">
        <f t="shared" si="1"/>
        <v>,A.`item_no` = B.`item_no`</v>
      </c>
      <c r="BP33" t="str">
        <f t="shared" si="2"/>
        <v>,`item_no`</v>
      </c>
    </row>
    <row r="34" spans="1:68" ht="15" customHeight="1">
      <c r="A34" s="1"/>
      <c r="B34" s="23">
        <v>17</v>
      </c>
      <c r="C34" s="24"/>
      <c r="D34" s="22" t="s">
        <v>249</v>
      </c>
      <c r="E34" s="25"/>
      <c r="F34" s="25"/>
      <c r="G34" s="25"/>
      <c r="H34" s="25"/>
      <c r="I34" s="25"/>
      <c r="J34" s="25"/>
      <c r="K34" s="25"/>
      <c r="L34" s="25"/>
      <c r="M34" s="25"/>
      <c r="N34" s="25"/>
      <c r="O34" s="25"/>
      <c r="P34" s="25"/>
      <c r="Q34" s="26"/>
      <c r="R34" s="22" t="s">
        <v>236</v>
      </c>
      <c r="S34" s="25"/>
      <c r="T34" s="25"/>
      <c r="U34" s="25"/>
      <c r="V34" s="25"/>
      <c r="W34" s="25"/>
      <c r="X34" s="25"/>
      <c r="Y34" s="25"/>
      <c r="Z34" s="25"/>
      <c r="AA34" s="25"/>
      <c r="AB34" s="26"/>
      <c r="AC34" s="22" t="s">
        <v>232</v>
      </c>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,`item_cancel_line` bool  COMMENT '明細訂正取消線有無'</v>
      </c>
      <c r="BN34" t="str">
        <f t="shared" si="3"/>
        <v>,`item_cancel_line` bool  COMMENT '明細訂正取消線有無'</v>
      </c>
      <c r="BO34" t="str">
        <f t="shared" si="1"/>
        <v>,A.`item_cancel_line` = B.`item_cancel_line`</v>
      </c>
      <c r="BP34" t="str">
        <f t="shared" si="2"/>
        <v>,`item_cancel_line`</v>
      </c>
    </row>
    <row r="35" spans="1:68" ht="15" customHeight="1">
      <c r="A35" s="1"/>
      <c r="B35" s="23">
        <v>18</v>
      </c>
      <c r="C35" s="24"/>
      <c r="D35" s="22" t="s">
        <v>250</v>
      </c>
      <c r="E35" s="25"/>
      <c r="F35" s="25"/>
      <c r="G35" s="25"/>
      <c r="H35" s="25"/>
      <c r="I35" s="25"/>
      <c r="J35" s="25"/>
      <c r="K35" s="25"/>
      <c r="L35" s="25"/>
      <c r="M35" s="25"/>
      <c r="N35" s="25"/>
      <c r="O35" s="25"/>
      <c r="P35" s="25"/>
      <c r="Q35" s="26"/>
      <c r="R35" s="22" t="s">
        <v>237</v>
      </c>
      <c r="S35" s="25"/>
      <c r="T35" s="25"/>
      <c r="U35" s="25"/>
      <c r="V35" s="25"/>
      <c r="W35" s="25"/>
      <c r="X35" s="25"/>
      <c r="Y35" s="25"/>
      <c r="Z35" s="25"/>
      <c r="AA35" s="25"/>
      <c r="AB35" s="26"/>
      <c r="AC35" s="22" t="s">
        <v>246</v>
      </c>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,`item_scan_code` string  COMMENT 'スキャンコード'</v>
      </c>
      <c r="BN35" t="str">
        <f t="shared" si="3"/>
        <v>,`item_scan_code` string  COMMENT 'スキャンコード'</v>
      </c>
      <c r="BO35" t="str">
        <f t="shared" si="1"/>
        <v>,A.`item_scan_code` = B.`item_scan_code`</v>
      </c>
      <c r="BP35" t="str">
        <f t="shared" si="2"/>
        <v>,`item_scan_code`</v>
      </c>
    </row>
    <row r="36" spans="1:68" ht="15" customHeight="1">
      <c r="A36" s="1"/>
      <c r="B36" s="23">
        <v>19</v>
      </c>
      <c r="C36" s="24"/>
      <c r="D36" s="22" t="s">
        <v>251</v>
      </c>
      <c r="E36" s="25"/>
      <c r="F36" s="25"/>
      <c r="G36" s="25"/>
      <c r="H36" s="25"/>
      <c r="I36" s="25"/>
      <c r="J36" s="25"/>
      <c r="K36" s="25"/>
      <c r="L36" s="25"/>
      <c r="M36" s="25"/>
      <c r="N36" s="25"/>
      <c r="O36" s="25"/>
      <c r="P36" s="25"/>
      <c r="Q36" s="26"/>
      <c r="R36" s="22" t="s">
        <v>238</v>
      </c>
      <c r="S36" s="25"/>
      <c r="T36" s="25"/>
      <c r="U36" s="25"/>
      <c r="V36" s="25"/>
      <c r="W36" s="25"/>
      <c r="X36" s="25"/>
      <c r="Y36" s="25"/>
      <c r="Z36" s="25"/>
      <c r="AA36" s="25"/>
      <c r="AB36" s="26"/>
      <c r="AC36" s="22" t="s">
        <v>246</v>
      </c>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,`item_name` string  COMMENT '商品名'</v>
      </c>
      <c r="BN36" t="str">
        <f t="shared" si="3"/>
        <v>,`item_name` string  COMMENT '商品名'</v>
      </c>
      <c r="BO36" t="str">
        <f t="shared" si="1"/>
        <v>,A.`item_name` = B.`item_name`</v>
      </c>
      <c r="BP36" t="str">
        <f t="shared" si="2"/>
        <v>,`item_name`</v>
      </c>
    </row>
    <row r="37" spans="1:68" ht="15" customHeight="1">
      <c r="A37" s="1"/>
      <c r="B37" s="23">
        <v>20</v>
      </c>
      <c r="C37" s="24"/>
      <c r="D37" s="22" t="s">
        <v>252</v>
      </c>
      <c r="E37" s="25"/>
      <c r="F37" s="25"/>
      <c r="G37" s="25"/>
      <c r="H37" s="25"/>
      <c r="I37" s="25"/>
      <c r="J37" s="25"/>
      <c r="K37" s="25"/>
      <c r="L37" s="25"/>
      <c r="M37" s="25"/>
      <c r="N37" s="25"/>
      <c r="O37" s="25"/>
      <c r="P37" s="25"/>
      <c r="Q37" s="26"/>
      <c r="R37" s="22" t="s">
        <v>239</v>
      </c>
      <c r="S37" s="25"/>
      <c r="T37" s="25"/>
      <c r="U37" s="25"/>
      <c r="V37" s="25"/>
      <c r="W37" s="25"/>
      <c r="X37" s="25"/>
      <c r="Y37" s="25"/>
      <c r="Z37" s="25"/>
      <c r="AA37" s="25"/>
      <c r="AB37" s="26"/>
      <c r="AC37" s="22" t="s">
        <v>247</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,`item_unit_price` decimal  COMMENT '採用単価'</v>
      </c>
      <c r="BN37" t="str">
        <f t="shared" si="3"/>
        <v>,`item_unit_price` decimal  COMMENT '採用単価'</v>
      </c>
      <c r="BO37" t="str">
        <f t="shared" si="1"/>
        <v>,A.`item_unit_price` = B.`item_unit_price`</v>
      </c>
      <c r="BP37" t="str">
        <f t="shared" si="2"/>
        <v>,`item_unit_price`</v>
      </c>
    </row>
    <row r="38" spans="1:68" ht="15" customHeight="1">
      <c r="A38" s="1"/>
      <c r="B38" s="23">
        <v>21</v>
      </c>
      <c r="C38" s="24"/>
      <c r="D38" s="22" t="s">
        <v>253</v>
      </c>
      <c r="E38" s="25"/>
      <c r="F38" s="25"/>
      <c r="G38" s="25"/>
      <c r="H38" s="25"/>
      <c r="I38" s="25"/>
      <c r="J38" s="25"/>
      <c r="K38" s="25"/>
      <c r="L38" s="25"/>
      <c r="M38" s="25"/>
      <c r="N38" s="25"/>
      <c r="O38" s="25"/>
      <c r="P38" s="25"/>
      <c r="Q38" s="26"/>
      <c r="R38" s="22" t="s">
        <v>240</v>
      </c>
      <c r="S38" s="25"/>
      <c r="T38" s="25"/>
      <c r="U38" s="25"/>
      <c r="V38" s="25"/>
      <c r="W38" s="25"/>
      <c r="X38" s="25"/>
      <c r="Y38" s="25"/>
      <c r="Z38" s="25"/>
      <c r="AA38" s="25"/>
      <c r="AB38" s="26"/>
      <c r="AC38" s="22" t="s">
        <v>324</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,`item_quantity` string  COMMENT '点数'</v>
      </c>
      <c r="BN38" t="str">
        <f t="shared" si="3"/>
        <v>,`item_quantity` string  COMMENT '点数'</v>
      </c>
      <c r="BO38" t="str">
        <f t="shared" si="1"/>
        <v>,A.`item_quantity` = B.`item_quantity`</v>
      </c>
      <c r="BP38" t="str">
        <f t="shared" si="2"/>
        <v>,`item_quantity`</v>
      </c>
    </row>
    <row r="39" spans="1:68" ht="15" customHeight="1">
      <c r="A39" s="1"/>
      <c r="B39" s="23">
        <v>22</v>
      </c>
      <c r="C39" s="24"/>
      <c r="D39" s="22" t="s">
        <v>254</v>
      </c>
      <c r="E39" s="25"/>
      <c r="F39" s="25"/>
      <c r="G39" s="25"/>
      <c r="H39" s="25"/>
      <c r="I39" s="25"/>
      <c r="J39" s="25"/>
      <c r="K39" s="25"/>
      <c r="L39" s="25"/>
      <c r="M39" s="25"/>
      <c r="N39" s="25"/>
      <c r="O39" s="25"/>
      <c r="P39" s="25"/>
      <c r="Q39" s="26"/>
      <c r="R39" s="22" t="s">
        <v>241</v>
      </c>
      <c r="S39" s="25"/>
      <c r="T39" s="25"/>
      <c r="U39" s="25"/>
      <c r="V39" s="25"/>
      <c r="W39" s="25"/>
      <c r="X39" s="25"/>
      <c r="Y39" s="25"/>
      <c r="Z39" s="25"/>
      <c r="AA39" s="25"/>
      <c r="AB39" s="26"/>
      <c r="AC39" s="22" t="s">
        <v>247</v>
      </c>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,`item_discount` decimal  COMMENT '明細値引'</v>
      </c>
      <c r="BN39" t="str">
        <f t="shared" si="3"/>
        <v>,`item_discount` decimal  COMMENT '明細値引'</v>
      </c>
      <c r="BO39" t="str">
        <f t="shared" si="1"/>
        <v>,A.`item_discount` = B.`item_discount`</v>
      </c>
      <c r="BP39" t="str">
        <f t="shared" si="2"/>
        <v>,`item_discount`</v>
      </c>
    </row>
    <row r="40" spans="1:68" ht="15" customHeight="1">
      <c r="A40" s="1"/>
      <c r="B40" s="23">
        <v>23</v>
      </c>
      <c r="C40" s="24"/>
      <c r="D40" s="22" t="s">
        <v>255</v>
      </c>
      <c r="E40" s="25"/>
      <c r="F40" s="25"/>
      <c r="G40" s="25"/>
      <c r="H40" s="25"/>
      <c r="I40" s="25"/>
      <c r="J40" s="25"/>
      <c r="K40" s="25"/>
      <c r="L40" s="25"/>
      <c r="M40" s="25"/>
      <c r="N40" s="25"/>
      <c r="O40" s="25"/>
      <c r="P40" s="25"/>
      <c r="Q40" s="26"/>
      <c r="R40" s="22" t="s">
        <v>242</v>
      </c>
      <c r="S40" s="25"/>
      <c r="T40" s="25"/>
      <c r="U40" s="25"/>
      <c r="V40" s="25"/>
      <c r="W40" s="25"/>
      <c r="X40" s="25"/>
      <c r="Y40" s="25"/>
      <c r="Z40" s="25"/>
      <c r="AA40" s="25"/>
      <c r="AB40" s="26"/>
      <c r="AC40" s="22" t="s">
        <v>246</v>
      </c>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,`item_price` string  COMMENT '明細合計'</v>
      </c>
      <c r="BN40" t="str">
        <f t="shared" si="3"/>
        <v>,`item_price` string  COMMENT '明細合計'</v>
      </c>
      <c r="BO40" t="str">
        <f t="shared" si="1"/>
        <v>,A.`item_price` = B.`item_price`</v>
      </c>
      <c r="BP40" t="str">
        <f t="shared" si="2"/>
        <v>,`item_price`</v>
      </c>
    </row>
    <row r="41" spans="1:68" ht="15" customHeight="1">
      <c r="A41" s="1"/>
      <c r="B41" s="23">
        <v>24</v>
      </c>
      <c r="C41" s="24"/>
      <c r="D41" s="22" t="s">
        <v>256</v>
      </c>
      <c r="E41" s="25"/>
      <c r="F41" s="25"/>
      <c r="G41" s="25"/>
      <c r="H41" s="25"/>
      <c r="I41" s="25"/>
      <c r="J41" s="25"/>
      <c r="K41" s="25"/>
      <c r="L41" s="25"/>
      <c r="M41" s="25"/>
      <c r="N41" s="25"/>
      <c r="O41" s="25"/>
      <c r="P41" s="25"/>
      <c r="Q41" s="26"/>
      <c r="R41" s="22" t="s">
        <v>243</v>
      </c>
      <c r="S41" s="25"/>
      <c r="T41" s="25"/>
      <c r="U41" s="25"/>
      <c r="V41" s="25"/>
      <c r="W41" s="25"/>
      <c r="X41" s="25"/>
      <c r="Y41" s="25"/>
      <c r="Z41" s="25"/>
      <c r="AA41" s="25"/>
      <c r="AB41" s="26"/>
      <c r="AC41" s="22" t="s">
        <v>246</v>
      </c>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,`item_tax_fmt` string  COMMENT '税 ("外税 8%")'</v>
      </c>
      <c r="BN41" t="str">
        <f t="shared" si="3"/>
        <v>,`item_tax_fmt` string  COMMENT '税 ("外税 8%")'</v>
      </c>
      <c r="BO41" t="str">
        <f t="shared" si="1"/>
        <v>,A.`item_tax_fmt` = B.`item_tax_fmt`</v>
      </c>
      <c r="BP41" t="str">
        <f t="shared" si="2"/>
        <v>,`item_tax_fmt`</v>
      </c>
    </row>
    <row r="42" spans="1:68" ht="15" customHeight="1">
      <c r="A42" s="1"/>
      <c r="B42" s="23">
        <v>25</v>
      </c>
      <c r="C42" s="24"/>
      <c r="D42" s="22" t="s">
        <v>257</v>
      </c>
      <c r="E42" s="25"/>
      <c r="F42" s="25"/>
      <c r="G42" s="25"/>
      <c r="H42" s="25"/>
      <c r="I42" s="25"/>
      <c r="J42" s="25"/>
      <c r="K42" s="25"/>
      <c r="L42" s="25"/>
      <c r="M42" s="25"/>
      <c r="N42" s="25"/>
      <c r="O42" s="25"/>
      <c r="P42" s="25"/>
      <c r="Q42" s="26"/>
      <c r="R42" s="22" t="s">
        <v>244</v>
      </c>
      <c r="S42" s="25"/>
      <c r="T42" s="25"/>
      <c r="U42" s="25"/>
      <c r="V42" s="25"/>
      <c r="W42" s="25"/>
      <c r="X42" s="25"/>
      <c r="Y42" s="25"/>
      <c r="Z42" s="25"/>
      <c r="AA42" s="25"/>
      <c r="AB42" s="26"/>
      <c r="AC42" s="22" t="s">
        <v>232</v>
      </c>
      <c r="AD42" s="25"/>
      <c r="AE42" s="25"/>
      <c r="AF42" s="25"/>
      <c r="AG42" s="26"/>
      <c r="AH42" s="22"/>
      <c r="AI42" s="26"/>
      <c r="AJ42" s="22"/>
      <c r="AK42" s="25"/>
      <c r="AL42" s="26"/>
      <c r="AM42" s="22"/>
      <c r="AN42" s="25"/>
      <c r="AO42" s="25"/>
      <c r="AP42" s="25"/>
      <c r="AQ42" s="25"/>
      <c r="AR42" s="25"/>
      <c r="AS42" s="26"/>
      <c r="AT42" s="22" t="s">
        <v>260</v>
      </c>
      <c r="AU42" s="25"/>
      <c r="AV42" s="25"/>
      <c r="AW42" s="25"/>
      <c r="AX42" s="25"/>
      <c r="AY42" s="25"/>
      <c r="AZ42" s="25"/>
      <c r="BA42" s="25"/>
      <c r="BB42" s="25"/>
      <c r="BC42" s="25"/>
      <c r="BD42" s="25"/>
      <c r="BE42" s="25"/>
      <c r="BF42" s="25"/>
      <c r="BG42" s="25"/>
      <c r="BH42" s="25"/>
      <c r="BI42" s="25"/>
      <c r="BJ42" s="26"/>
      <c r="BK42" s="4"/>
      <c r="BM42" t="str">
        <f t="shared" si="0"/>
        <v>,`item_eatin` bool  COMMENT 'イートイン対象有無/true : Eat in / false：Take out'</v>
      </c>
      <c r="BN42" t="str">
        <f t="shared" si="3"/>
        <v>,`item_eatin` bool  COMMENT 'イートイン対象有無'</v>
      </c>
      <c r="BO42" t="str">
        <f t="shared" si="1"/>
        <v>,A.`item_eatin` = B.`item_eatin`</v>
      </c>
      <c r="BP42" t="str">
        <f t="shared" si="2"/>
        <v>,`item_eatin`</v>
      </c>
    </row>
    <row r="43" spans="1:68" ht="15" customHeight="1">
      <c r="A43" s="1"/>
      <c r="B43" s="23">
        <v>26</v>
      </c>
      <c r="C43" s="24"/>
      <c r="D43" s="22" t="s">
        <v>258</v>
      </c>
      <c r="E43" s="25"/>
      <c r="F43" s="25"/>
      <c r="G43" s="25"/>
      <c r="H43" s="25"/>
      <c r="I43" s="25"/>
      <c r="J43" s="25"/>
      <c r="K43" s="25"/>
      <c r="L43" s="25"/>
      <c r="M43" s="25"/>
      <c r="N43" s="25"/>
      <c r="O43" s="25"/>
      <c r="P43" s="25"/>
      <c r="Q43" s="26"/>
      <c r="R43" s="22" t="s">
        <v>245</v>
      </c>
      <c r="S43" s="25"/>
      <c r="T43" s="25"/>
      <c r="U43" s="25"/>
      <c r="V43" s="25"/>
      <c r="W43" s="25"/>
      <c r="X43" s="25"/>
      <c r="Y43" s="25"/>
      <c r="Z43" s="25"/>
      <c r="AA43" s="25"/>
      <c r="AB43" s="26"/>
      <c r="AC43" s="22" t="s">
        <v>232</v>
      </c>
      <c r="AD43" s="25"/>
      <c r="AE43" s="25"/>
      <c r="AF43" s="25"/>
      <c r="AG43" s="26"/>
      <c r="AH43" s="22"/>
      <c r="AI43" s="26"/>
      <c r="AJ43" s="22"/>
      <c r="AK43" s="25"/>
      <c r="AL43" s="26"/>
      <c r="AM43" s="22"/>
      <c r="AN43" s="25"/>
      <c r="AO43" s="25"/>
      <c r="AP43" s="25"/>
      <c r="AQ43" s="25"/>
      <c r="AR43" s="25"/>
      <c r="AS43" s="26"/>
      <c r="AT43" s="22" t="s">
        <v>259</v>
      </c>
      <c r="AU43" s="25"/>
      <c r="AV43" s="25"/>
      <c r="AW43" s="25"/>
      <c r="AX43" s="25"/>
      <c r="AY43" s="25"/>
      <c r="AZ43" s="25"/>
      <c r="BA43" s="25"/>
      <c r="BB43" s="25"/>
      <c r="BC43" s="25"/>
      <c r="BD43" s="25"/>
      <c r="BE43" s="25"/>
      <c r="BF43" s="25"/>
      <c r="BG43" s="25"/>
      <c r="BH43" s="25"/>
      <c r="BI43" s="25"/>
      <c r="BJ43" s="26"/>
      <c r="BK43" s="4"/>
    </row>
    <row r="44" spans="1:68" ht="15" customHeight="1">
      <c r="A44" s="1"/>
      <c r="B44" s="23">
        <v>27</v>
      </c>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v>28</v>
      </c>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8">
        <v>29</v>
      </c>
      <c r="C46" s="29"/>
      <c r="D46" s="30"/>
      <c r="E46" s="31"/>
      <c r="F46" s="31"/>
      <c r="G46" s="31"/>
      <c r="H46" s="31"/>
      <c r="I46" s="31"/>
      <c r="J46" s="31"/>
      <c r="K46" s="31"/>
      <c r="L46" s="31"/>
      <c r="M46" s="31"/>
      <c r="N46" s="31"/>
      <c r="O46" s="31"/>
      <c r="P46" s="31"/>
      <c r="Q46" s="32"/>
      <c r="R46" s="30"/>
      <c r="S46" s="31"/>
      <c r="T46" s="31"/>
      <c r="U46" s="31"/>
      <c r="V46" s="31"/>
      <c r="W46" s="31"/>
      <c r="X46" s="31"/>
      <c r="Y46" s="31"/>
      <c r="Z46" s="31"/>
      <c r="AA46" s="31"/>
      <c r="AB46" s="32"/>
      <c r="AC46" s="30"/>
      <c r="AD46" s="31"/>
      <c r="AE46" s="31"/>
      <c r="AF46" s="31"/>
      <c r="AG46" s="32"/>
      <c r="AH46" s="30"/>
      <c r="AI46" s="32"/>
      <c r="AJ46" s="30"/>
      <c r="AK46" s="31"/>
      <c r="AL46" s="32"/>
      <c r="AM46" s="30"/>
      <c r="AN46" s="31"/>
      <c r="AO46" s="31"/>
      <c r="AP46" s="31"/>
      <c r="AQ46" s="31"/>
      <c r="AR46" s="31"/>
      <c r="AS46" s="32"/>
      <c r="AT46" s="30"/>
      <c r="AU46" s="31"/>
      <c r="AV46" s="31"/>
      <c r="AW46" s="31"/>
      <c r="AX46" s="31"/>
      <c r="AY46" s="31"/>
      <c r="AZ46" s="31"/>
      <c r="BA46" s="31"/>
      <c r="BB46" s="31"/>
      <c r="BC46" s="31"/>
      <c r="BD46" s="31"/>
      <c r="BE46" s="31"/>
      <c r="BF46" s="31"/>
      <c r="BG46" s="31"/>
      <c r="BH46" s="31"/>
      <c r="BI46" s="31"/>
      <c r="BJ46" s="32"/>
      <c r="BK46" s="4"/>
    </row>
    <row r="47" spans="1:68" ht="15" customHeight="1">
      <c r="A47" s="1"/>
      <c r="BK47" s="4"/>
    </row>
    <row r="48" spans="1:68" ht="15" customHeight="1">
      <c r="A48" s="1"/>
      <c r="BK48" s="4"/>
    </row>
    <row r="49" spans="1:68" ht="15" customHeight="1">
      <c r="A49" s="1"/>
      <c r="B49" s="37" t="s">
        <v>49</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row>
    <row r="50" spans="1:68" ht="15" customHeight="1">
      <c r="A50" s="1"/>
      <c r="B50" s="34" t="s">
        <v>50</v>
      </c>
      <c r="C50" s="35"/>
      <c r="D50" s="34" t="s">
        <v>51</v>
      </c>
      <c r="E50" s="44"/>
      <c r="F50" s="36"/>
      <c r="G50" s="36"/>
      <c r="H50" s="36"/>
      <c r="I50" s="36"/>
      <c r="J50" s="36"/>
      <c r="K50" s="36"/>
      <c r="L50" s="36"/>
      <c r="M50" s="36"/>
      <c r="N50" s="36"/>
      <c r="O50" s="36"/>
      <c r="P50" s="36"/>
      <c r="Q50" s="35"/>
      <c r="R50" s="34" t="s">
        <v>52</v>
      </c>
      <c r="S50" s="44"/>
      <c r="T50" s="36"/>
      <c r="U50" s="36"/>
      <c r="V50" s="36"/>
      <c r="W50" s="36"/>
      <c r="X50" s="36"/>
      <c r="Y50" s="36"/>
      <c r="Z50" s="36"/>
      <c r="AA50" s="36"/>
      <c r="AB50" s="36"/>
      <c r="AC50" s="36"/>
      <c r="AD50" s="36"/>
      <c r="AE50" s="36"/>
      <c r="AF50" s="36"/>
      <c r="AG50" s="36"/>
      <c r="AH50" s="36"/>
      <c r="AI50" s="36"/>
      <c r="AJ50" s="36"/>
      <c r="AK50" s="35"/>
      <c r="AL50" s="34" t="s">
        <v>53</v>
      </c>
      <c r="AM50" s="36"/>
      <c r="AN50" s="36"/>
      <c r="AO50" s="45"/>
      <c r="AP50" s="34" t="s">
        <v>54</v>
      </c>
      <c r="AQ50" s="36"/>
      <c r="AR50" s="36"/>
      <c r="AS50" s="35"/>
      <c r="AT50" s="34" t="s">
        <v>48</v>
      </c>
      <c r="AU50" s="44"/>
      <c r="AV50" s="44"/>
      <c r="AW50" s="36"/>
      <c r="AX50" s="36"/>
      <c r="AY50" s="44"/>
      <c r="AZ50" s="36"/>
      <c r="BA50" s="36"/>
      <c r="BB50" s="36"/>
      <c r="BC50" s="36"/>
      <c r="BD50" s="36"/>
      <c r="BE50" s="36"/>
      <c r="BF50" s="36"/>
      <c r="BG50" s="36"/>
      <c r="BH50" s="36"/>
      <c r="BI50" s="44"/>
      <c r="BJ50" s="35"/>
      <c r="BK50" s="4"/>
    </row>
    <row r="51" spans="1:68" ht="15" customHeight="1">
      <c r="A51" s="1"/>
      <c r="B51" s="38">
        <v>1</v>
      </c>
      <c r="C51" s="39"/>
      <c r="D51" s="38" t="s">
        <v>55</v>
      </c>
      <c r="E51" s="46"/>
      <c r="F51" s="40"/>
      <c r="G51" s="40"/>
      <c r="H51" s="40"/>
      <c r="I51" s="40"/>
      <c r="J51" s="40"/>
      <c r="K51" s="40"/>
      <c r="L51" s="40"/>
      <c r="M51" s="40"/>
      <c r="N51" s="40"/>
      <c r="O51" s="40"/>
      <c r="P51" s="40"/>
      <c r="Q51" s="39"/>
      <c r="R51"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
      </c>
      <c r="S51" s="46"/>
      <c r="T51" s="40"/>
      <c r="U51" s="40"/>
      <c r="V51" s="40"/>
      <c r="W51" s="40"/>
      <c r="X51" s="40"/>
      <c r="Y51" s="40"/>
      <c r="Z51" s="40"/>
      <c r="AA51" s="40"/>
      <c r="AB51" s="40"/>
      <c r="AC51" s="40"/>
      <c r="AD51" s="40"/>
      <c r="AE51" s="40"/>
      <c r="AF51" s="40"/>
      <c r="AG51" s="40"/>
      <c r="AH51" s="40"/>
      <c r="AI51" s="40"/>
      <c r="AJ51" s="40"/>
      <c r="AK51" s="39"/>
      <c r="AL51" s="38" t="s">
        <v>885</v>
      </c>
      <c r="AM51" s="40"/>
      <c r="AN51" s="40"/>
      <c r="AO51" s="47"/>
      <c r="AP51" s="38" t="s">
        <v>885</v>
      </c>
      <c r="AQ51" s="40"/>
      <c r="AR51" s="40"/>
      <c r="AS51" s="39"/>
      <c r="AT51" s="38"/>
      <c r="AU51" s="46"/>
      <c r="AV51" s="46"/>
      <c r="AW51" s="40"/>
      <c r="AX51" s="40"/>
      <c r="AY51" s="46"/>
      <c r="AZ51" s="40"/>
      <c r="BA51" s="40"/>
      <c r="BB51" s="40"/>
      <c r="BC51" s="40"/>
      <c r="BD51" s="40"/>
      <c r="BE51" s="40"/>
      <c r="BF51" s="40"/>
      <c r="BG51" s="40"/>
      <c r="BH51" s="40"/>
      <c r="BI51" s="46"/>
      <c r="BJ51" s="39"/>
      <c r="BK51" s="4"/>
      <c r="BM51"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N51" t="str">
        <f>BM51</f>
        <v xml:space="preserve"> , PRIMARY KEY (),</v>
      </c>
    </row>
    <row r="52" spans="1:68" ht="15" customHeight="1">
      <c r="A52" s="1"/>
      <c r="BK52" s="4"/>
      <c r="BM52" t="s">
        <v>452</v>
      </c>
    </row>
    <row r="53" spans="1:68" ht="15" customHeight="1">
      <c r="A53" s="1"/>
      <c r="BK53" s="4"/>
      <c r="BM53" t="str">
        <f>") ENGINE=InnoDB DEFAULT CHARSET=utf8 COMMENT = '"&amp;$G$9&amp;"';"</f>
        <v>) ENGINE=InnoDB DEFAULT CHARSET=utf8 COMMENT = '売上情報明細';</v>
      </c>
      <c r="BN53" t="str">
        <f>") ENGINE=InnoDB DEFAULT CHARSET=utf8 COMMENT = '"&amp;$G$9&amp;"_TMP';"</f>
        <v>) ENGINE=InnoDB DEFAULT CHARSET=utf8 COMMENT = '売上情報明細_TMP';</v>
      </c>
    </row>
    <row r="54" spans="1:68" ht="15" customHeight="1">
      <c r="A54" s="1"/>
      <c r="B54" s="37" t="s">
        <v>34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4"/>
    </row>
    <row r="55" spans="1:68" ht="15" customHeight="1">
      <c r="A55" s="1"/>
      <c r="B55" s="34" t="s">
        <v>35</v>
      </c>
      <c r="C55" s="45"/>
      <c r="D55" s="34" t="s">
        <v>36</v>
      </c>
      <c r="E55" s="44"/>
      <c r="F55" s="44"/>
      <c r="G55" s="44"/>
      <c r="H55" s="44"/>
      <c r="I55" s="44"/>
      <c r="J55" s="44"/>
      <c r="K55" s="44"/>
      <c r="L55" s="36"/>
      <c r="M55" s="36"/>
      <c r="N55" s="36"/>
      <c r="O55" s="36"/>
      <c r="P55" s="36"/>
      <c r="Q55" s="35"/>
      <c r="R55" s="34" t="s">
        <v>37</v>
      </c>
      <c r="S55" s="36"/>
      <c r="T55" s="45"/>
      <c r="U55" s="34" t="s">
        <v>38</v>
      </c>
      <c r="V55" s="36"/>
      <c r="W55" s="44"/>
      <c r="X55" s="45"/>
      <c r="Y55" s="34" t="s">
        <v>39</v>
      </c>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5"/>
      <c r="BK55" s="4"/>
      <c r="BM55" t="str">
        <f>"CREATE TRIGGER `"&amp;G15&amp;"_CR_Date_Time` BEFORE INSERT ON `"&amp;G15&amp;"`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56" spans="1:68" ht="15" customHeight="1">
      <c r="A56" s="1"/>
      <c r="B56" s="41">
        <v>1</v>
      </c>
      <c r="C56" s="47"/>
      <c r="D56" s="41" t="str">
        <f>G10&amp;"_"&amp;R56&amp;"_"&amp;"trg"</f>
        <v>sales_details_update_trg</v>
      </c>
      <c r="E56" s="46"/>
      <c r="F56" s="46"/>
      <c r="G56" s="46"/>
      <c r="H56" s="46"/>
      <c r="I56" s="46"/>
      <c r="J56" s="46"/>
      <c r="K56" s="46"/>
      <c r="L56" s="42"/>
      <c r="M56" s="42"/>
      <c r="N56" s="42"/>
      <c r="O56" s="42"/>
      <c r="P56" s="42"/>
      <c r="Q56" s="43"/>
      <c r="R56" s="41" t="s">
        <v>40</v>
      </c>
      <c r="S56" s="42"/>
      <c r="T56" s="47"/>
      <c r="U56" s="41" t="s">
        <v>41</v>
      </c>
      <c r="V56" s="42"/>
      <c r="W56" s="46"/>
      <c r="X56" s="47"/>
      <c r="Y56" s="41" t="s">
        <v>42</v>
      </c>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3"/>
      <c r="BK56" s="4"/>
      <c r="BM56" t="str">
        <f>"CREATE TRIGGER `"&amp;G15&amp;"_UP_Date_Time` BEFORE UPDATE ON `"&amp;G15&amp;"` FOR EACH ROW SET NEW.record_update_date = CURRENT_DATE, NEW.record_update_time = CURRENT_TIME;"</f>
        <v>CREATE TRIGGER `_UP_Date_Time` BEFORE UPDATE ON `` FOR EACH ROW SET NEW.record_update_date = CURRENT_DATE, NEW.record_update_time = CURRENT_TIME;</v>
      </c>
    </row>
    <row r="57" spans="1:68" ht="15" customHeight="1">
      <c r="A57" s="1"/>
      <c r="BK57" s="4"/>
    </row>
    <row r="58" spans="1:68" ht="15" customHeight="1">
      <c r="A58" s="1"/>
      <c r="BK58" s="4"/>
    </row>
    <row r="59" spans="1:68" ht="15" customHeight="1">
      <c r="A59" s="1"/>
      <c r="BK59" s="4"/>
    </row>
    <row r="60" spans="1:68" ht="15" customHeight="1">
      <c r="A60" s="1"/>
      <c r="BK60" s="4"/>
    </row>
    <row r="61" spans="1:68" ht="15" customHeight="1">
      <c r="A61" s="1"/>
      <c r="BK61" s="4"/>
    </row>
    <row r="62" spans="1:68" ht="15" customHeight="1">
      <c r="A62" s="1"/>
      <c r="BK62" s="4"/>
    </row>
    <row r="63" spans="1:68" ht="15" customHeight="1">
      <c r="A63" s="1"/>
      <c r="BK63" s="4"/>
      <c r="BM63" t="s">
        <v>858</v>
      </c>
      <c r="BN63" t="str">
        <f>BM63</f>
        <v xml:space="preserve"> , PRIMARY KEY (`CompanyCode`,`StoreCode`,`ReceiptCouponCode`,`PrintFrom`,`MessagePosition`,`MessageLineNo`),</v>
      </c>
      <c r="BO63" t="str">
        <f t="shared" si="1"/>
        <v>,A.`` = B.``</v>
      </c>
      <c r="BP63" t="str">
        <f t="shared" si="2"/>
        <v>,``</v>
      </c>
    </row>
    <row r="64" spans="1:68" ht="15" customHeight="1">
      <c r="A64" s="1"/>
      <c r="BK64" s="4"/>
      <c r="BM64" t="s">
        <v>452</v>
      </c>
      <c r="BO64" t="str">
        <f t="shared" si="1"/>
        <v>,A.`` = B.``</v>
      </c>
      <c r="BP64" t="str">
        <f t="shared" si="2"/>
        <v>,``</v>
      </c>
    </row>
    <row r="65" spans="1:68" ht="15" customHeight="1">
      <c r="A65" s="1"/>
      <c r="BK65" s="4"/>
      <c r="BM65" t="s">
        <v>639</v>
      </c>
      <c r="BN65" t="str">
        <f>BM65</f>
        <v>) ENGINE=InnoDB DEFAULT CHARSET=utf8;</v>
      </c>
      <c r="BO65" t="str">
        <f t="shared" si="1"/>
        <v>,A.`` = B.``</v>
      </c>
      <c r="BP65" t="str">
        <f t="shared" si="2"/>
        <v>,``</v>
      </c>
    </row>
    <row r="66" spans="1:68" ht="15" customHeight="1">
      <c r="A66" s="1"/>
      <c r="BK66" s="4"/>
      <c r="BM66" t="str">
        <f>"CREATE TRIGGER `"&amp;G10&amp;"_CR_Date_Time` BEFORE INSERT ON `"&amp;G10&amp;"` FOR EACH ROW SET NEW.record_create_date = CURRENT_DATE, NEW.record_create_time = CURRENT_TIME, NEW.record_update_date = CURRENT_DATE, NEW.record_update_time = CURRENT_TIME;"</f>
        <v>CREATE TRIGGER `sales_details_CR_Date_Time` BEFORE INSERT ON `sales_details` FOR EACH ROW SET NEW.record_create_date = CURRENT_DATE, NEW.record_create_time = CURRENT_TIME, NEW.record_update_date = CURRENT_DATE, NEW.record_update_time = CURRENT_TIME;</v>
      </c>
    </row>
    <row r="67" spans="1:68" ht="15" customHeight="1">
      <c r="A67" s="1"/>
      <c r="BK67" s="4"/>
      <c r="BM67" t="str">
        <f>"CREATE TRIGGER `"&amp;G10&amp;"_UP_Date_Time` BEFORE UPDATE ON `"&amp;G10&amp;"` FOR EACH ROW SET NEW.record_update_date = CURRENT_DATE, NEW.record_update_time = CURRENT_TIME;"</f>
        <v>CREATE TRIGGER `sales_details_UP_Date_Time` BEFORE UPDATE ON `sales_details` FOR EACH ROW SET NEW.record_update_date = CURRENT_DATE, NEW.record_update_time = CURRENT_TIME;</v>
      </c>
    </row>
    <row r="68" spans="1:68" ht="15" customHeight="1">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5"/>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EB40B-7653-4C16-B4F8-F826A50A7A5C}">
  <dimension ref="A1:BP79"/>
  <sheetViews>
    <sheetView view="pageBreakPreview" topLeftCell="A10" zoomScale="80" zoomScaleNormal="75" zoomScaleSheetLayoutView="80" workbookViewId="0">
      <selection activeCell="BN27" sqref="BN27"/>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19</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292" t="s">
        <v>43</v>
      </c>
      <c r="C8" s="293"/>
      <c r="D8" s="293"/>
      <c r="E8" s="293"/>
      <c r="F8" s="294"/>
      <c r="G8" s="295"/>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row>
    <row r="9" spans="1:63" ht="15" customHeight="1">
      <c r="A9" s="1"/>
      <c r="B9" s="301" t="s">
        <v>45</v>
      </c>
      <c r="C9" s="302"/>
      <c r="D9" s="302"/>
      <c r="E9" s="302"/>
      <c r="F9" s="303"/>
      <c r="G9" s="304" t="s">
        <v>950</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row>
    <row r="10" spans="1:63" ht="15" customHeight="1">
      <c r="A10" s="1"/>
      <c r="B10" s="310" t="s">
        <v>47</v>
      </c>
      <c r="C10" s="311"/>
      <c r="D10" s="311"/>
      <c r="E10" s="311"/>
      <c r="F10" s="312"/>
      <c r="G10" s="298"/>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row>
    <row r="11" spans="1:63"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row>
    <row r="12" spans="1:63"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row>
    <row r="13" spans="1:63"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row>
    <row r="14" spans="1:63"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row>
    <row r="15" spans="1:63"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row>
    <row r="16" spans="1:63"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 (</v>
      </c>
      <c r="BN20" t="str">
        <f>"CREATE TABLE `TMP`.`"&amp;G10&amp;"` ("</f>
        <v>CREATE TABLE `TMP`.``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t="s">
        <v>885</v>
      </c>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307</v>
      </c>
      <c r="E27" s="25"/>
      <c r="F27" s="25"/>
      <c r="G27" s="25"/>
      <c r="H27" s="25"/>
      <c r="I27" s="25"/>
      <c r="J27" s="25"/>
      <c r="K27" s="25"/>
      <c r="L27" s="25"/>
      <c r="M27" s="25"/>
      <c r="N27" s="25"/>
      <c r="O27" s="25"/>
      <c r="P27" s="25"/>
      <c r="Q27" s="26"/>
      <c r="R27" s="22" t="s">
        <v>306</v>
      </c>
      <c r="S27" s="25"/>
      <c r="T27" s="25"/>
      <c r="U27" s="25"/>
      <c r="V27" s="25"/>
      <c r="W27" s="25"/>
      <c r="X27" s="25"/>
      <c r="Y27" s="25"/>
      <c r="Z27" s="25"/>
      <c r="AA27" s="25"/>
      <c r="AB27" s="26"/>
      <c r="AC27" s="22" t="s">
        <v>323</v>
      </c>
      <c r="AD27" s="25"/>
      <c r="AE27" s="25"/>
      <c r="AF27" s="25"/>
      <c r="AG27" s="26"/>
      <c r="AH27" s="22"/>
      <c r="AI27" s="26"/>
      <c r="AJ27" s="22"/>
      <c r="AK27" s="25"/>
      <c r="AL27" s="26"/>
      <c r="AM27" s="22"/>
      <c r="AN27" s="25"/>
      <c r="AO27" s="25"/>
      <c r="AP27" s="25"/>
      <c r="AQ27" s="25"/>
      <c r="AR27" s="25"/>
      <c r="AS27" s="26"/>
      <c r="AT27" s="22" t="s">
        <v>330</v>
      </c>
      <c r="AU27" s="25"/>
      <c r="AV27" s="25"/>
      <c r="AW27" s="25"/>
      <c r="AX27" s="25"/>
      <c r="AY27" s="25"/>
      <c r="AZ27" s="25"/>
      <c r="BA27" s="25"/>
      <c r="BB27" s="25"/>
      <c r="BC27" s="25"/>
      <c r="BD27" s="25"/>
      <c r="BE27" s="25"/>
      <c r="BF27" s="25"/>
      <c r="BG27" s="25"/>
      <c r="BH27" s="25"/>
      <c r="BI27" s="25"/>
      <c r="BJ27" s="26"/>
      <c r="BK27" s="4"/>
      <c r="BM27" t="str">
        <f t="shared" si="0"/>
        <v>,`class` INT  COMMENT '区分/1:フル 2:ニアフル 3:ニアエンプティ 4:エンプティ 5:残置 6:釣銭準備金'</v>
      </c>
      <c r="BN27" t="str">
        <f t="shared" ref="BN27:BN42" si="3">",`"&amp;R27&amp;"` "&amp;AC27&amp;" "&amp;IF(AJ27="Y","NOT NULL","")&amp;" COMMENT '"&amp;D27&amp;"'"</f>
        <v>,`class` INT  COMMENT '区分'</v>
      </c>
      <c r="BO27" t="str">
        <f t="shared" si="1"/>
        <v>,A.`class` = B.`class`</v>
      </c>
      <c r="BP27" t="str">
        <f t="shared" si="2"/>
        <v>,`class`</v>
      </c>
    </row>
    <row r="28" spans="1:68" ht="15" customHeight="1">
      <c r="A28" s="1"/>
      <c r="B28" s="23">
        <v>8</v>
      </c>
      <c r="C28" s="24"/>
      <c r="D28" s="22" t="s">
        <v>291</v>
      </c>
      <c r="E28" s="25"/>
      <c r="F28" s="25"/>
      <c r="G28" s="25"/>
      <c r="H28" s="25"/>
      <c r="I28" s="25"/>
      <c r="J28" s="25"/>
      <c r="K28" s="25"/>
      <c r="L28" s="25"/>
      <c r="M28" s="25"/>
      <c r="N28" s="25"/>
      <c r="O28" s="25"/>
      <c r="P28" s="25"/>
      <c r="Q28" s="26"/>
      <c r="R28" s="22" t="s">
        <v>308</v>
      </c>
      <c r="S28" s="25"/>
      <c r="T28" s="25"/>
      <c r="U28" s="25"/>
      <c r="V28" s="25"/>
      <c r="W28" s="25"/>
      <c r="X28" s="25"/>
      <c r="Y28" s="25"/>
      <c r="Z28" s="25"/>
      <c r="AA28" s="25"/>
      <c r="AB28" s="26"/>
      <c r="AC28" s="22" t="s">
        <v>322</v>
      </c>
      <c r="AD28" s="25"/>
      <c r="AE28" s="25"/>
      <c r="AF28" s="25"/>
      <c r="AG28" s="26"/>
      <c r="AH28" s="22"/>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,`10000yen` INT  COMMENT '10000円札'</v>
      </c>
      <c r="BN28" t="str">
        <f t="shared" si="3"/>
        <v>,`10000yen` INT  COMMENT '10000円札'</v>
      </c>
      <c r="BO28" t="str">
        <f t="shared" si="1"/>
        <v>,A.`10000yen` = B.`10000yen`</v>
      </c>
      <c r="BP28" t="str">
        <f t="shared" si="2"/>
        <v>,`10000yen`</v>
      </c>
    </row>
    <row r="29" spans="1:68" ht="15" customHeight="1">
      <c r="A29" s="1"/>
      <c r="B29" s="23">
        <v>9</v>
      </c>
      <c r="C29" s="24"/>
      <c r="D29" s="22" t="s">
        <v>292</v>
      </c>
      <c r="E29" s="25"/>
      <c r="F29" s="25"/>
      <c r="G29" s="25"/>
      <c r="H29" s="25"/>
      <c r="I29" s="25"/>
      <c r="J29" s="25"/>
      <c r="K29" s="25"/>
      <c r="L29" s="25"/>
      <c r="M29" s="25"/>
      <c r="N29" s="25"/>
      <c r="O29" s="25"/>
      <c r="P29" s="25"/>
      <c r="Q29" s="26"/>
      <c r="R29" s="22" t="s">
        <v>310</v>
      </c>
      <c r="S29" s="25"/>
      <c r="T29" s="25"/>
      <c r="U29" s="25"/>
      <c r="V29" s="25"/>
      <c r="W29" s="25"/>
      <c r="X29" s="25"/>
      <c r="Y29" s="25"/>
      <c r="Z29" s="25"/>
      <c r="AA29" s="25"/>
      <c r="AB29" s="26"/>
      <c r="AC29" s="22" t="s">
        <v>322</v>
      </c>
      <c r="AD29" s="25"/>
      <c r="AE29" s="25"/>
      <c r="AF29" s="25"/>
      <c r="AG29" s="26"/>
      <c r="AH29" s="22"/>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,`5000yen` INT  COMMENT '5000円札'</v>
      </c>
      <c r="BN29" t="str">
        <f t="shared" si="3"/>
        <v>,`5000yen` INT  COMMENT '5000円札'</v>
      </c>
      <c r="BO29" t="str">
        <f t="shared" si="1"/>
        <v>,A.`5000yen` = B.`5000yen`</v>
      </c>
      <c r="BP29" t="str">
        <f t="shared" si="2"/>
        <v>,`5000yen`</v>
      </c>
    </row>
    <row r="30" spans="1:68" ht="15" customHeight="1">
      <c r="A30" s="1"/>
      <c r="B30" s="23">
        <v>10</v>
      </c>
      <c r="C30" s="24"/>
      <c r="D30" s="22" t="s">
        <v>293</v>
      </c>
      <c r="E30" s="25"/>
      <c r="F30" s="25"/>
      <c r="G30" s="25"/>
      <c r="H30" s="25"/>
      <c r="I30" s="25"/>
      <c r="J30" s="25"/>
      <c r="K30" s="25"/>
      <c r="L30" s="25"/>
      <c r="M30" s="25"/>
      <c r="N30" s="25"/>
      <c r="O30" s="25"/>
      <c r="P30" s="25"/>
      <c r="Q30" s="26"/>
      <c r="R30" s="22" t="s">
        <v>311</v>
      </c>
      <c r="S30" s="25"/>
      <c r="T30" s="25"/>
      <c r="U30" s="25"/>
      <c r="V30" s="25"/>
      <c r="W30" s="25"/>
      <c r="X30" s="25"/>
      <c r="Y30" s="25"/>
      <c r="Z30" s="25"/>
      <c r="AA30" s="25"/>
      <c r="AB30" s="26"/>
      <c r="AC30" s="22" t="s">
        <v>322</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,`2000yen` INT  COMMENT '2000円札'</v>
      </c>
      <c r="BN30" t="str">
        <f t="shared" si="3"/>
        <v>,`2000yen` INT  COMMENT '2000円札'</v>
      </c>
      <c r="BO30" t="str">
        <f t="shared" si="1"/>
        <v>,A.`2000yen` = B.`2000yen`</v>
      </c>
      <c r="BP30" t="str">
        <f t="shared" si="2"/>
        <v>,`2000yen`</v>
      </c>
    </row>
    <row r="31" spans="1:68" ht="15" customHeight="1">
      <c r="A31" s="1"/>
      <c r="B31" s="23">
        <v>11</v>
      </c>
      <c r="C31" s="24"/>
      <c r="D31" s="22" t="s">
        <v>294</v>
      </c>
      <c r="E31" s="25"/>
      <c r="F31" s="25"/>
      <c r="G31" s="25"/>
      <c r="H31" s="25"/>
      <c r="I31" s="25"/>
      <c r="J31" s="25"/>
      <c r="K31" s="25"/>
      <c r="L31" s="25"/>
      <c r="M31" s="25"/>
      <c r="N31" s="25"/>
      <c r="O31" s="25"/>
      <c r="P31" s="25"/>
      <c r="Q31" s="26"/>
      <c r="R31" s="22" t="s">
        <v>312</v>
      </c>
      <c r="S31" s="25"/>
      <c r="T31" s="25"/>
      <c r="U31" s="25"/>
      <c r="V31" s="25"/>
      <c r="W31" s="25"/>
      <c r="X31" s="25"/>
      <c r="Y31" s="25"/>
      <c r="Z31" s="25"/>
      <c r="AA31" s="25"/>
      <c r="AB31" s="26"/>
      <c r="AC31" s="22" t="s">
        <v>322</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,`1000yen` INT  COMMENT '1000円札'</v>
      </c>
      <c r="BN31" t="str">
        <f t="shared" si="3"/>
        <v>,`1000yen` INT  COMMENT '1000円札'</v>
      </c>
      <c r="BO31" t="str">
        <f t="shared" si="1"/>
        <v>,A.`1000yen` = B.`1000yen`</v>
      </c>
      <c r="BP31" t="str">
        <f t="shared" si="2"/>
        <v>,`1000yen`</v>
      </c>
    </row>
    <row r="32" spans="1:68" ht="15" customHeight="1">
      <c r="A32" s="1"/>
      <c r="B32" s="23">
        <v>12</v>
      </c>
      <c r="C32" s="24"/>
      <c r="D32" s="22" t="s">
        <v>295</v>
      </c>
      <c r="E32" s="25"/>
      <c r="F32" s="25"/>
      <c r="G32" s="25"/>
      <c r="H32" s="25"/>
      <c r="I32" s="25"/>
      <c r="J32" s="25"/>
      <c r="K32" s="25"/>
      <c r="L32" s="25"/>
      <c r="M32" s="25"/>
      <c r="N32" s="25"/>
      <c r="O32" s="25"/>
      <c r="P32" s="25"/>
      <c r="Q32" s="26"/>
      <c r="R32" s="22" t="s">
        <v>309</v>
      </c>
      <c r="S32" s="25"/>
      <c r="T32" s="25"/>
      <c r="U32" s="25"/>
      <c r="V32" s="25"/>
      <c r="W32" s="25"/>
      <c r="X32" s="25"/>
      <c r="Y32" s="25"/>
      <c r="Z32" s="25"/>
      <c r="AA32" s="25"/>
      <c r="AB32" s="26"/>
      <c r="AC32" s="22" t="s">
        <v>322</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,`500yen` INT  COMMENT '500円玉'</v>
      </c>
      <c r="BN32" t="str">
        <f t="shared" si="3"/>
        <v>,`500yen` INT  COMMENT '500円玉'</v>
      </c>
      <c r="BO32" t="str">
        <f t="shared" si="1"/>
        <v>,A.`500yen` = B.`500yen`</v>
      </c>
      <c r="BP32" t="str">
        <f t="shared" si="2"/>
        <v>,`500yen`</v>
      </c>
    </row>
    <row r="33" spans="1:68" ht="15" customHeight="1">
      <c r="A33" s="1"/>
      <c r="B33" s="23">
        <v>13</v>
      </c>
      <c r="C33" s="24"/>
      <c r="D33" s="22" t="s">
        <v>296</v>
      </c>
      <c r="E33" s="25"/>
      <c r="F33" s="25"/>
      <c r="G33" s="25"/>
      <c r="H33" s="25"/>
      <c r="I33" s="25"/>
      <c r="J33" s="25"/>
      <c r="K33" s="25"/>
      <c r="L33" s="25"/>
      <c r="M33" s="25"/>
      <c r="N33" s="25"/>
      <c r="O33" s="25"/>
      <c r="P33" s="25"/>
      <c r="Q33" s="26"/>
      <c r="R33" s="22" t="s">
        <v>313</v>
      </c>
      <c r="S33" s="25"/>
      <c r="T33" s="25"/>
      <c r="U33" s="25"/>
      <c r="V33" s="25"/>
      <c r="W33" s="25"/>
      <c r="X33" s="25"/>
      <c r="Y33" s="25"/>
      <c r="Z33" s="25"/>
      <c r="AA33" s="25"/>
      <c r="AB33" s="26"/>
      <c r="AC33" s="22" t="s">
        <v>322</v>
      </c>
      <c r="AD33" s="25"/>
      <c r="AE33" s="25"/>
      <c r="AF33" s="25"/>
      <c r="AG33" s="26"/>
      <c r="AH33" s="22"/>
      <c r="AI33" s="26"/>
      <c r="AJ33" s="22"/>
      <c r="AK33" s="25"/>
      <c r="AL33" s="26"/>
      <c r="AM33" s="22"/>
      <c r="AN33" s="25"/>
      <c r="AO33" s="25"/>
      <c r="AP33" s="25"/>
      <c r="AQ33" s="25"/>
      <c r="AR33" s="25"/>
      <c r="AS33" s="26"/>
      <c r="AT33" s="67"/>
      <c r="AU33" s="25"/>
      <c r="AV33" s="25"/>
      <c r="AW33" s="25"/>
      <c r="AX33" s="25"/>
      <c r="AY33" s="25"/>
      <c r="AZ33" s="25"/>
      <c r="BA33" s="25"/>
      <c r="BB33" s="25"/>
      <c r="BC33" s="25"/>
      <c r="BD33" s="25"/>
      <c r="BE33" s="25"/>
      <c r="BF33" s="25"/>
      <c r="BG33" s="25"/>
      <c r="BH33" s="25"/>
      <c r="BI33" s="25"/>
      <c r="BJ33" s="26"/>
      <c r="BK33" s="4"/>
      <c r="BM33" t="str">
        <f t="shared" si="0"/>
        <v>,`100yen` INT  COMMENT '100円玉'</v>
      </c>
      <c r="BN33" t="str">
        <f t="shared" si="3"/>
        <v>,`100yen` INT  COMMENT '100円玉'</v>
      </c>
      <c r="BO33" t="str">
        <f t="shared" si="1"/>
        <v>,A.`100yen` = B.`100yen`</v>
      </c>
      <c r="BP33" t="str">
        <f t="shared" si="2"/>
        <v>,`100yen`</v>
      </c>
    </row>
    <row r="34" spans="1:68" ht="15" customHeight="1">
      <c r="A34" s="1"/>
      <c r="B34" s="23">
        <v>14</v>
      </c>
      <c r="C34" s="24"/>
      <c r="D34" s="22" t="s">
        <v>297</v>
      </c>
      <c r="E34" s="25"/>
      <c r="F34" s="25"/>
      <c r="G34" s="25"/>
      <c r="H34" s="25"/>
      <c r="I34" s="25"/>
      <c r="J34" s="25"/>
      <c r="K34" s="25"/>
      <c r="L34" s="25"/>
      <c r="M34" s="25"/>
      <c r="N34" s="25"/>
      <c r="O34" s="25"/>
      <c r="P34" s="25"/>
      <c r="Q34" s="26"/>
      <c r="R34" s="22" t="s">
        <v>314</v>
      </c>
      <c r="S34" s="25"/>
      <c r="T34" s="25"/>
      <c r="U34" s="25"/>
      <c r="V34" s="25"/>
      <c r="W34" s="25"/>
      <c r="X34" s="25"/>
      <c r="Y34" s="25"/>
      <c r="Z34" s="25"/>
      <c r="AA34" s="25"/>
      <c r="AB34" s="26"/>
      <c r="AC34" s="22" t="s">
        <v>322</v>
      </c>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,`50yen` INT  COMMENT '50円玉'</v>
      </c>
      <c r="BN34" t="str">
        <f t="shared" si="3"/>
        <v>,`50yen` INT  COMMENT '50円玉'</v>
      </c>
      <c r="BO34" t="str">
        <f t="shared" si="1"/>
        <v>,A.`50yen` = B.`50yen`</v>
      </c>
      <c r="BP34" t="str">
        <f t="shared" si="2"/>
        <v>,`50yen`</v>
      </c>
    </row>
    <row r="35" spans="1:68" ht="15" customHeight="1">
      <c r="A35" s="1"/>
      <c r="B35" s="23">
        <v>15</v>
      </c>
      <c r="C35" s="24"/>
      <c r="D35" s="22" t="s">
        <v>298</v>
      </c>
      <c r="E35" s="25"/>
      <c r="F35" s="25"/>
      <c r="G35" s="25"/>
      <c r="H35" s="25"/>
      <c r="I35" s="25"/>
      <c r="J35" s="25"/>
      <c r="K35" s="25"/>
      <c r="L35" s="25"/>
      <c r="M35" s="25"/>
      <c r="N35" s="25"/>
      <c r="O35" s="25"/>
      <c r="P35" s="25"/>
      <c r="Q35" s="26"/>
      <c r="R35" s="22" t="s">
        <v>315</v>
      </c>
      <c r="S35" s="25"/>
      <c r="T35" s="25"/>
      <c r="U35" s="25"/>
      <c r="V35" s="25"/>
      <c r="W35" s="25"/>
      <c r="X35" s="25"/>
      <c r="Y35" s="25"/>
      <c r="Z35" s="25"/>
      <c r="AA35" s="25"/>
      <c r="AB35" s="26"/>
      <c r="AC35" s="22" t="s">
        <v>322</v>
      </c>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,`10yen` INT  COMMENT '10円玉'</v>
      </c>
      <c r="BN35" t="str">
        <f t="shared" si="3"/>
        <v>,`10yen` INT  COMMENT '10円玉'</v>
      </c>
      <c r="BO35" t="str">
        <f t="shared" si="1"/>
        <v>,A.`10yen` = B.`10yen`</v>
      </c>
      <c r="BP35" t="str">
        <f t="shared" si="2"/>
        <v>,`10yen`</v>
      </c>
    </row>
    <row r="36" spans="1:68" ht="15" customHeight="1">
      <c r="A36" s="1"/>
      <c r="B36" s="23">
        <v>16</v>
      </c>
      <c r="C36" s="24"/>
      <c r="D36" s="22" t="s">
        <v>299</v>
      </c>
      <c r="E36" s="25"/>
      <c r="F36" s="25"/>
      <c r="G36" s="25"/>
      <c r="H36" s="25"/>
      <c r="I36" s="25"/>
      <c r="J36" s="25"/>
      <c r="K36" s="25"/>
      <c r="L36" s="25"/>
      <c r="M36" s="25"/>
      <c r="N36" s="25"/>
      <c r="O36" s="25"/>
      <c r="P36" s="25"/>
      <c r="Q36" s="26"/>
      <c r="R36" s="22" t="s">
        <v>316</v>
      </c>
      <c r="S36" s="25"/>
      <c r="T36" s="25"/>
      <c r="U36" s="25"/>
      <c r="V36" s="25"/>
      <c r="W36" s="25"/>
      <c r="X36" s="25"/>
      <c r="Y36" s="25"/>
      <c r="Z36" s="25"/>
      <c r="AA36" s="25"/>
      <c r="AB36" s="26"/>
      <c r="AC36" s="22" t="s">
        <v>322</v>
      </c>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,`5yen` INT  COMMENT '5円玉'</v>
      </c>
      <c r="BN36" t="str">
        <f t="shared" si="3"/>
        <v>,`5yen` INT  COMMENT '5円玉'</v>
      </c>
      <c r="BO36" t="str">
        <f t="shared" si="1"/>
        <v>,A.`5yen` = B.`5yen`</v>
      </c>
      <c r="BP36" t="str">
        <f t="shared" si="2"/>
        <v>,`5yen`</v>
      </c>
    </row>
    <row r="37" spans="1:68" ht="15" customHeight="1">
      <c r="A37" s="1"/>
      <c r="B37" s="23">
        <v>17</v>
      </c>
      <c r="C37" s="24"/>
      <c r="D37" s="22" t="s">
        <v>300</v>
      </c>
      <c r="E37" s="25"/>
      <c r="F37" s="25"/>
      <c r="G37" s="25"/>
      <c r="H37" s="25"/>
      <c r="I37" s="25"/>
      <c r="J37" s="25"/>
      <c r="K37" s="25"/>
      <c r="L37" s="25"/>
      <c r="M37" s="25"/>
      <c r="N37" s="25"/>
      <c r="O37" s="25"/>
      <c r="P37" s="25"/>
      <c r="Q37" s="26"/>
      <c r="R37" s="22" t="s">
        <v>317</v>
      </c>
      <c r="S37" s="25"/>
      <c r="T37" s="25"/>
      <c r="U37" s="25"/>
      <c r="V37" s="25"/>
      <c r="W37" s="25"/>
      <c r="X37" s="25"/>
      <c r="Y37" s="25"/>
      <c r="Z37" s="25"/>
      <c r="AA37" s="25"/>
      <c r="AB37" s="26"/>
      <c r="AC37" s="22" t="s">
        <v>322</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,`1yen` INT  COMMENT '1円玉'</v>
      </c>
      <c r="BN37" t="str">
        <f t="shared" si="3"/>
        <v>,`1yen` INT  COMMENT '1円玉'</v>
      </c>
      <c r="BO37" t="str">
        <f t="shared" si="1"/>
        <v>,A.`1yen` = B.`1yen`</v>
      </c>
      <c r="BP37" t="str">
        <f t="shared" si="2"/>
        <v>,`1yen`</v>
      </c>
    </row>
    <row r="38" spans="1:68" ht="15" customHeight="1">
      <c r="A38" s="1"/>
      <c r="B38" s="23">
        <v>18</v>
      </c>
      <c r="C38" s="24"/>
      <c r="D38" s="22" t="s">
        <v>326</v>
      </c>
      <c r="E38" s="25"/>
      <c r="F38" s="25"/>
      <c r="G38" s="25"/>
      <c r="H38" s="25"/>
      <c r="I38" s="25"/>
      <c r="J38" s="25"/>
      <c r="K38" s="25"/>
      <c r="L38" s="25"/>
      <c r="M38" s="25"/>
      <c r="N38" s="25"/>
      <c r="O38" s="25"/>
      <c r="P38" s="25"/>
      <c r="Q38" s="26"/>
      <c r="R38" s="22" t="s">
        <v>318</v>
      </c>
      <c r="S38" s="25"/>
      <c r="T38" s="25"/>
      <c r="U38" s="25"/>
      <c r="V38" s="25"/>
      <c r="W38" s="25"/>
      <c r="X38" s="25"/>
      <c r="Y38" s="25"/>
      <c r="Z38" s="25"/>
      <c r="AA38" s="25"/>
      <c r="AB38" s="26"/>
      <c r="AC38" s="22" t="s">
        <v>322</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,`cassette` INT  COMMENT 'カセット'</v>
      </c>
      <c r="BN38" t="str">
        <f t="shared" si="3"/>
        <v>,`cassette` INT  COMMENT 'カセット'</v>
      </c>
      <c r="BO38" t="str">
        <f t="shared" si="1"/>
        <v>,A.`cassette` = B.`cassette`</v>
      </c>
      <c r="BP38" t="str">
        <f t="shared" si="2"/>
        <v>,`cassette`</v>
      </c>
    </row>
    <row r="39" spans="1:68" ht="15" customHeight="1">
      <c r="A39" s="1"/>
      <c r="B39" s="23">
        <v>19</v>
      </c>
      <c r="C39" s="24"/>
      <c r="D39" s="22" t="s">
        <v>327</v>
      </c>
      <c r="E39" s="25"/>
      <c r="F39" s="25"/>
      <c r="G39" s="25"/>
      <c r="H39" s="25"/>
      <c r="I39" s="25"/>
      <c r="J39" s="25"/>
      <c r="K39" s="25"/>
      <c r="L39" s="25"/>
      <c r="M39" s="25"/>
      <c r="N39" s="25"/>
      <c r="O39" s="25"/>
      <c r="P39" s="25"/>
      <c r="Q39" s="26"/>
      <c r="R39" s="22" t="s">
        <v>319</v>
      </c>
      <c r="S39" s="25"/>
      <c r="T39" s="25"/>
      <c r="U39" s="25"/>
      <c r="V39" s="25"/>
      <c r="W39" s="25"/>
      <c r="X39" s="25"/>
      <c r="Y39" s="25"/>
      <c r="Z39" s="25"/>
      <c r="AA39" s="25"/>
      <c r="AB39" s="26"/>
      <c r="AC39" s="22" t="s">
        <v>213</v>
      </c>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,`company_code` char(3)  COMMENT '会社コード'</v>
      </c>
      <c r="BN39" t="str">
        <f t="shared" si="3"/>
        <v>,`company_code` char(3)  COMMENT '会社コード'</v>
      </c>
      <c r="BO39" t="str">
        <f t="shared" si="1"/>
        <v>,A.`company_code` = B.`company_code`</v>
      </c>
      <c r="BP39" t="str">
        <f t="shared" si="2"/>
        <v>,`company_code`</v>
      </c>
    </row>
    <row r="40" spans="1:68" ht="15" customHeight="1">
      <c r="A40" s="1"/>
      <c r="B40" s="23">
        <v>20</v>
      </c>
      <c r="C40" s="24"/>
      <c r="D40" s="22" t="s">
        <v>328</v>
      </c>
      <c r="E40" s="25"/>
      <c r="F40" s="25"/>
      <c r="G40" s="25"/>
      <c r="H40" s="25"/>
      <c r="I40" s="25"/>
      <c r="J40" s="25"/>
      <c r="K40" s="25"/>
      <c r="L40" s="25"/>
      <c r="M40" s="25"/>
      <c r="N40" s="25"/>
      <c r="O40" s="25"/>
      <c r="P40" s="25"/>
      <c r="Q40" s="26"/>
      <c r="R40" s="22" t="s">
        <v>320</v>
      </c>
      <c r="S40" s="25"/>
      <c r="T40" s="25"/>
      <c r="U40" s="25"/>
      <c r="V40" s="25"/>
      <c r="W40" s="25"/>
      <c r="X40" s="25"/>
      <c r="Y40" s="25"/>
      <c r="Z40" s="25"/>
      <c r="AA40" s="25"/>
      <c r="AB40" s="26"/>
      <c r="AC40" s="22" t="s">
        <v>233</v>
      </c>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,`store_code` char(10)  COMMENT '店舗コード'</v>
      </c>
      <c r="BN40" t="str">
        <f t="shared" si="3"/>
        <v>,`store_code` char(10)  COMMENT '店舗コード'</v>
      </c>
      <c r="BO40" t="str">
        <f t="shared" si="1"/>
        <v>,A.`store_code` = B.`store_code`</v>
      </c>
      <c r="BP40" t="str">
        <f t="shared" si="2"/>
        <v>,`store_code`</v>
      </c>
    </row>
    <row r="41" spans="1:68" ht="15" customHeight="1">
      <c r="A41" s="1"/>
      <c r="B41" s="23">
        <v>21</v>
      </c>
      <c r="C41" s="24"/>
      <c r="D41" s="22" t="s">
        <v>329</v>
      </c>
      <c r="E41" s="25"/>
      <c r="F41" s="25"/>
      <c r="G41" s="25"/>
      <c r="H41" s="25"/>
      <c r="I41" s="25"/>
      <c r="J41" s="25"/>
      <c r="K41" s="25"/>
      <c r="L41" s="25"/>
      <c r="M41" s="25"/>
      <c r="N41" s="25"/>
      <c r="O41" s="25"/>
      <c r="P41" s="25"/>
      <c r="Q41" s="26"/>
      <c r="R41" s="22" t="s">
        <v>321</v>
      </c>
      <c r="S41" s="25"/>
      <c r="T41" s="25"/>
      <c r="U41" s="25"/>
      <c r="V41" s="25"/>
      <c r="W41" s="25"/>
      <c r="X41" s="25"/>
      <c r="Y41" s="25"/>
      <c r="Z41" s="25"/>
      <c r="AA41" s="25"/>
      <c r="AB41" s="26"/>
      <c r="AC41" s="22" t="s">
        <v>233</v>
      </c>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,`instore_code` char(10)  COMMENT '端末番号'</v>
      </c>
      <c r="BN41" t="str">
        <f t="shared" si="3"/>
        <v>,`instore_code` char(10)  COMMENT '端末番号'</v>
      </c>
      <c r="BO41" t="str">
        <f t="shared" si="1"/>
        <v>,A.`instore_code` = B.`instore_code`</v>
      </c>
      <c r="BP41" t="str">
        <f t="shared" si="2"/>
        <v>,`instore_code`</v>
      </c>
    </row>
    <row r="42" spans="1:68" ht="15" customHeight="1">
      <c r="A42" s="1"/>
      <c r="B42" s="23"/>
      <c r="C42" s="24"/>
      <c r="D42" s="22"/>
      <c r="E42" s="25"/>
      <c r="F42" s="25"/>
      <c r="G42" s="25"/>
      <c r="H42" s="25"/>
      <c r="I42" s="25"/>
      <c r="J42" s="25"/>
      <c r="K42" s="25"/>
      <c r="L42" s="25"/>
      <c r="M42" s="25"/>
      <c r="N42" s="25"/>
      <c r="O42" s="25"/>
      <c r="P42" s="25"/>
      <c r="Q42" s="26"/>
      <c r="R42" s="22"/>
      <c r="S42" s="25"/>
      <c r="T42" s="25"/>
      <c r="U42" s="25"/>
      <c r="V42" s="25"/>
      <c r="W42" s="25"/>
      <c r="X42" s="25"/>
      <c r="Y42" s="25"/>
      <c r="Z42" s="25"/>
      <c r="AA42" s="25"/>
      <c r="AB42" s="26"/>
      <c r="AC42" s="22"/>
      <c r="AD42" s="25"/>
      <c r="AE42" s="25"/>
      <c r="AF42" s="25"/>
      <c r="AG42" s="26"/>
      <c r="AH42" s="22"/>
      <c r="AI42" s="26"/>
      <c r="AJ42" s="22"/>
      <c r="AK42" s="25"/>
      <c r="AL42" s="26"/>
      <c r="AM42" s="22"/>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M42" t="str">
        <f t="shared" si="0"/>
        <v>,``   COMMENT ''</v>
      </c>
      <c r="BN42" t="str">
        <f t="shared" si="3"/>
        <v>,``   COMMENT ''</v>
      </c>
      <c r="BO42" t="str">
        <f t="shared" si="1"/>
        <v>,A.`` = B.``</v>
      </c>
      <c r="BP42" t="str">
        <f t="shared" si="2"/>
        <v>,``</v>
      </c>
    </row>
    <row r="43" spans="1:68" ht="15" customHeight="1">
      <c r="A43" s="1"/>
      <c r="B43" s="23"/>
      <c r="C43" s="24"/>
      <c r="D43" s="22"/>
      <c r="E43" s="25"/>
      <c r="F43" s="25"/>
      <c r="G43" s="25"/>
      <c r="H43" s="25"/>
      <c r="I43" s="25"/>
      <c r="J43" s="25"/>
      <c r="K43" s="25"/>
      <c r="L43" s="25"/>
      <c r="M43" s="25"/>
      <c r="N43" s="25"/>
      <c r="O43" s="25"/>
      <c r="P43" s="25"/>
      <c r="Q43" s="26"/>
      <c r="R43" s="22"/>
      <c r="S43" s="25"/>
      <c r="T43" s="25"/>
      <c r="U43" s="25"/>
      <c r="V43" s="25"/>
      <c r="W43" s="25"/>
      <c r="X43" s="25"/>
      <c r="Y43" s="25"/>
      <c r="Z43" s="25"/>
      <c r="AA43" s="25"/>
      <c r="AB43" s="26"/>
      <c r="AC43" s="22"/>
      <c r="AD43" s="25"/>
      <c r="AE43" s="25"/>
      <c r="AF43" s="25"/>
      <c r="AG43" s="26"/>
      <c r="AH43" s="22"/>
      <c r="AI43" s="26"/>
      <c r="AJ43" s="22"/>
      <c r="AK43" s="25"/>
      <c r="AL43" s="26"/>
      <c r="AM43" s="22"/>
      <c r="AN43" s="25"/>
      <c r="AO43" s="25"/>
      <c r="AP43" s="25"/>
      <c r="AQ43" s="25"/>
      <c r="AR43" s="25"/>
      <c r="AS43" s="26"/>
      <c r="AT43" s="67"/>
      <c r="AU43" s="25"/>
      <c r="AV43" s="25"/>
      <c r="AW43" s="25"/>
      <c r="AX43" s="25"/>
      <c r="AY43" s="25"/>
      <c r="AZ43" s="25"/>
      <c r="BA43" s="25"/>
      <c r="BB43" s="25"/>
      <c r="BC43" s="25"/>
      <c r="BD43" s="25"/>
      <c r="BE43" s="25"/>
      <c r="BF43" s="25"/>
      <c r="BG43" s="25"/>
      <c r="BH43" s="25"/>
      <c r="BI43" s="25"/>
      <c r="BJ43" s="26"/>
      <c r="BK43" s="4"/>
    </row>
    <row r="44" spans="1:68" ht="15" customHeight="1">
      <c r="A44" s="1"/>
      <c r="B44" s="23"/>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3"/>
      <c r="C46" s="24"/>
      <c r="D46" s="22"/>
      <c r="E46" s="25"/>
      <c r="F46" s="25"/>
      <c r="G46" s="25"/>
      <c r="H46" s="25"/>
      <c r="I46" s="25"/>
      <c r="J46" s="25"/>
      <c r="K46" s="25"/>
      <c r="L46" s="25"/>
      <c r="M46" s="25"/>
      <c r="N46" s="25"/>
      <c r="O46" s="25"/>
      <c r="P46" s="25"/>
      <c r="Q46" s="26"/>
      <c r="R46" s="22"/>
      <c r="S46" s="25"/>
      <c r="T46" s="25"/>
      <c r="U46" s="25"/>
      <c r="V46" s="25"/>
      <c r="W46" s="25"/>
      <c r="X46" s="25"/>
      <c r="Y46" s="25"/>
      <c r="Z46" s="25"/>
      <c r="AA46" s="25"/>
      <c r="AB46" s="26"/>
      <c r="AC46" s="22"/>
      <c r="AD46" s="25"/>
      <c r="AE46" s="25"/>
      <c r="AF46" s="25"/>
      <c r="AG46" s="26"/>
      <c r="AH46" s="22"/>
      <c r="AI46" s="26"/>
      <c r="AJ46" s="22"/>
      <c r="AK46" s="25"/>
      <c r="AL46" s="26"/>
      <c r="AM46" s="22"/>
      <c r="AN46" s="25"/>
      <c r="AO46" s="25"/>
      <c r="AP46" s="25"/>
      <c r="AQ46" s="25"/>
      <c r="AR46" s="25"/>
      <c r="AS46" s="26"/>
      <c r="AT46" s="22"/>
      <c r="AU46" s="25"/>
      <c r="AV46" s="25"/>
      <c r="AW46" s="25"/>
      <c r="AX46" s="25"/>
      <c r="AY46" s="25"/>
      <c r="AZ46" s="25"/>
      <c r="BA46" s="25"/>
      <c r="BB46" s="25"/>
      <c r="BC46" s="25"/>
      <c r="BD46" s="25"/>
      <c r="BE46" s="25"/>
      <c r="BF46" s="25"/>
      <c r="BG46" s="25"/>
      <c r="BH46" s="25"/>
      <c r="BI46" s="25"/>
      <c r="BJ46" s="26"/>
      <c r="BK46" s="4"/>
    </row>
    <row r="47" spans="1:68" ht="15" customHeight="1">
      <c r="A47" s="1"/>
      <c r="B47" s="28"/>
      <c r="C47" s="29"/>
      <c r="D47" s="30"/>
      <c r="E47" s="31"/>
      <c r="F47" s="31"/>
      <c r="G47" s="31"/>
      <c r="H47" s="31"/>
      <c r="I47" s="31"/>
      <c r="J47" s="31"/>
      <c r="K47" s="31"/>
      <c r="L47" s="31"/>
      <c r="M47" s="31"/>
      <c r="N47" s="31"/>
      <c r="O47" s="31"/>
      <c r="P47" s="31"/>
      <c r="Q47" s="32"/>
      <c r="R47" s="30"/>
      <c r="S47" s="31"/>
      <c r="T47" s="31"/>
      <c r="U47" s="31"/>
      <c r="V47" s="31"/>
      <c r="W47" s="31"/>
      <c r="X47" s="31"/>
      <c r="Y47" s="31"/>
      <c r="Z47" s="31"/>
      <c r="AA47" s="31"/>
      <c r="AB47" s="32"/>
      <c r="AC47" s="30"/>
      <c r="AD47" s="31"/>
      <c r="AE47" s="31"/>
      <c r="AF47" s="31"/>
      <c r="AG47" s="32"/>
      <c r="AH47" s="30"/>
      <c r="AI47" s="32"/>
      <c r="AJ47" s="30"/>
      <c r="AK47" s="31"/>
      <c r="AL47" s="32"/>
      <c r="AM47" s="30"/>
      <c r="AN47" s="31"/>
      <c r="AO47" s="31"/>
      <c r="AP47" s="31"/>
      <c r="AQ47" s="31"/>
      <c r="AR47" s="31"/>
      <c r="AS47" s="32"/>
      <c r="AT47" s="30"/>
      <c r="AU47" s="31"/>
      <c r="AV47" s="31"/>
      <c r="AW47" s="31"/>
      <c r="AX47" s="31"/>
      <c r="AY47" s="31"/>
      <c r="AZ47" s="31"/>
      <c r="BA47" s="31"/>
      <c r="BB47" s="31"/>
      <c r="BC47" s="31"/>
      <c r="BD47" s="31"/>
      <c r="BE47" s="31"/>
      <c r="BF47" s="31"/>
      <c r="BG47" s="31"/>
      <c r="BH47" s="31"/>
      <c r="BI47" s="31"/>
      <c r="BJ47" s="32"/>
      <c r="BK47" s="4"/>
    </row>
    <row r="48" spans="1:68" ht="15" customHeight="1">
      <c r="A48" s="1"/>
      <c r="B48" s="16"/>
      <c r="C48" s="17"/>
      <c r="D48" s="22"/>
      <c r="E48" s="19"/>
      <c r="F48" s="19"/>
      <c r="G48" s="19"/>
      <c r="H48" s="19"/>
      <c r="I48" s="19"/>
      <c r="J48" s="19"/>
      <c r="K48" s="19"/>
      <c r="L48" s="19"/>
      <c r="M48" s="19"/>
      <c r="N48" s="19"/>
      <c r="O48" s="19"/>
      <c r="P48" s="19"/>
      <c r="Q48" s="20"/>
      <c r="R48" s="18"/>
      <c r="S48" s="19"/>
      <c r="T48" s="19"/>
      <c r="U48" s="19"/>
      <c r="V48" s="19"/>
      <c r="W48" s="19"/>
      <c r="X48" s="19"/>
      <c r="Y48" s="19"/>
      <c r="Z48" s="19"/>
      <c r="AA48" s="19"/>
      <c r="AB48" s="20"/>
      <c r="AC48" s="18"/>
      <c r="AD48" s="19"/>
      <c r="AE48" s="19"/>
      <c r="AF48" s="19"/>
      <c r="AG48" s="20"/>
      <c r="AH48" s="18"/>
      <c r="AI48" s="20"/>
      <c r="AJ48" s="18"/>
      <c r="AK48" s="19"/>
      <c r="AL48" s="20"/>
      <c r="AM48" s="18"/>
      <c r="AN48" s="19"/>
      <c r="AO48" s="19"/>
      <c r="AP48" s="19"/>
      <c r="AQ48" s="19"/>
      <c r="AR48" s="19"/>
      <c r="AS48" s="20"/>
      <c r="AT48" s="18"/>
      <c r="AU48" s="19"/>
      <c r="AV48" s="19"/>
      <c r="AW48" s="19"/>
      <c r="AX48" s="19"/>
      <c r="AY48" s="19"/>
      <c r="AZ48" s="19"/>
      <c r="BA48" s="19"/>
      <c r="BB48" s="19"/>
      <c r="BC48" s="19"/>
      <c r="BD48" s="19"/>
      <c r="BE48" s="19"/>
      <c r="BF48" s="19"/>
      <c r="BG48" s="19"/>
      <c r="BH48" s="19"/>
      <c r="BI48" s="19"/>
      <c r="BJ48" s="20"/>
      <c r="BK48" s="4"/>
    </row>
    <row r="49" spans="1:68" ht="15" customHeight="1">
      <c r="A49" s="1"/>
      <c r="B49" s="16"/>
      <c r="C49" s="17"/>
      <c r="D49" s="22"/>
      <c r="E49" s="19"/>
      <c r="F49" s="19"/>
      <c r="G49" s="19"/>
      <c r="H49" s="19"/>
      <c r="I49" s="19"/>
      <c r="J49" s="19"/>
      <c r="K49" s="19"/>
      <c r="L49" s="19"/>
      <c r="M49" s="19"/>
      <c r="N49" s="19"/>
      <c r="O49" s="19"/>
      <c r="P49" s="19"/>
      <c r="Q49" s="20"/>
      <c r="R49" s="18"/>
      <c r="S49" s="19"/>
      <c r="T49" s="19"/>
      <c r="U49" s="19"/>
      <c r="V49" s="19"/>
      <c r="W49" s="19"/>
      <c r="X49" s="19"/>
      <c r="Y49" s="19"/>
      <c r="Z49" s="19"/>
      <c r="AA49" s="19"/>
      <c r="AB49" s="20"/>
      <c r="AC49" s="18"/>
      <c r="AD49" s="19"/>
      <c r="AE49" s="19"/>
      <c r="AF49" s="19"/>
      <c r="AG49" s="20"/>
      <c r="AH49" s="18"/>
      <c r="AI49" s="20"/>
      <c r="AJ49" s="18"/>
      <c r="AK49" s="19"/>
      <c r="AL49" s="20"/>
      <c r="AM49" s="18"/>
      <c r="AN49" s="19"/>
      <c r="AO49" s="19"/>
      <c r="AP49" s="19"/>
      <c r="AQ49" s="19"/>
      <c r="AR49" s="19"/>
      <c r="AS49" s="20"/>
      <c r="AT49" s="18"/>
      <c r="AU49" s="19"/>
      <c r="AV49" s="19"/>
      <c r="AW49" s="19"/>
      <c r="AX49" s="19"/>
      <c r="AY49" s="19"/>
      <c r="AZ49" s="19"/>
      <c r="BA49" s="19"/>
      <c r="BB49" s="19"/>
      <c r="BC49" s="19"/>
      <c r="BD49" s="19"/>
      <c r="BE49" s="19"/>
      <c r="BF49" s="19"/>
      <c r="BG49" s="19"/>
      <c r="BH49" s="19"/>
      <c r="BI49" s="19"/>
      <c r="BJ49" s="20"/>
      <c r="BK49" s="4"/>
    </row>
    <row r="50" spans="1:68" ht="15" customHeight="1">
      <c r="A50" s="1"/>
      <c r="B50" s="16"/>
      <c r="C50" s="24"/>
      <c r="D50" s="22"/>
      <c r="E50" s="19"/>
      <c r="F50" s="19"/>
      <c r="G50" s="19"/>
      <c r="H50" s="19"/>
      <c r="I50" s="19"/>
      <c r="J50" s="19"/>
      <c r="K50" s="19"/>
      <c r="L50" s="19"/>
      <c r="M50" s="19"/>
      <c r="N50" s="19"/>
      <c r="O50" s="19"/>
      <c r="P50" s="19"/>
      <c r="Q50" s="20"/>
      <c r="R50" s="18"/>
      <c r="S50" s="19"/>
      <c r="T50" s="19"/>
      <c r="U50" s="19"/>
      <c r="V50" s="19"/>
      <c r="W50" s="19"/>
      <c r="X50" s="19"/>
      <c r="Y50" s="19"/>
      <c r="Z50" s="19"/>
      <c r="AA50" s="19"/>
      <c r="AB50" s="20"/>
      <c r="AC50" s="18"/>
      <c r="AD50" s="19"/>
      <c r="AE50" s="19"/>
      <c r="AF50" s="19"/>
      <c r="AG50" s="20"/>
      <c r="AH50" s="18"/>
      <c r="AI50" s="20"/>
      <c r="AJ50" s="22"/>
      <c r="AK50" s="19"/>
      <c r="AL50" s="20"/>
      <c r="AM50" s="22"/>
      <c r="AN50" s="19"/>
      <c r="AO50" s="19"/>
      <c r="AP50" s="19"/>
      <c r="AQ50" s="19"/>
      <c r="AR50" s="19"/>
      <c r="AS50" s="20"/>
      <c r="AT50" s="22"/>
      <c r="AU50" s="19"/>
      <c r="AV50" s="19"/>
      <c r="AW50" s="19"/>
      <c r="AX50" s="19"/>
      <c r="AY50" s="19"/>
      <c r="AZ50" s="19"/>
      <c r="BA50" s="19"/>
      <c r="BB50" s="19"/>
      <c r="BC50" s="19"/>
      <c r="BD50" s="19"/>
      <c r="BE50" s="19"/>
      <c r="BF50" s="19"/>
      <c r="BG50" s="19"/>
      <c r="BH50" s="19"/>
      <c r="BI50" s="19"/>
      <c r="BJ50" s="20"/>
      <c r="BK50" s="4"/>
    </row>
    <row r="51" spans="1:68" ht="15" customHeight="1">
      <c r="A51" s="1"/>
      <c r="B51" s="23"/>
      <c r="C51" s="24"/>
      <c r="D51" s="22"/>
      <c r="E51" s="25"/>
      <c r="F51" s="25"/>
      <c r="G51" s="25"/>
      <c r="H51" s="25"/>
      <c r="I51" s="25"/>
      <c r="J51" s="25"/>
      <c r="K51" s="25"/>
      <c r="L51" s="25"/>
      <c r="M51" s="25"/>
      <c r="N51" s="25"/>
      <c r="O51" s="25"/>
      <c r="P51" s="25"/>
      <c r="Q51" s="26"/>
      <c r="R51" s="22"/>
      <c r="S51" s="25"/>
      <c r="T51" s="25"/>
      <c r="U51" s="25"/>
      <c r="V51" s="25"/>
      <c r="W51" s="25"/>
      <c r="X51" s="25"/>
      <c r="Y51" s="25"/>
      <c r="Z51" s="25"/>
      <c r="AA51" s="25"/>
      <c r="AB51" s="26"/>
      <c r="AC51" s="22"/>
      <c r="AD51" s="25"/>
      <c r="AE51" s="25"/>
      <c r="AF51" s="25"/>
      <c r="AG51" s="26"/>
      <c r="AH51" s="22"/>
      <c r="AI51" s="26"/>
      <c r="AJ51" s="22"/>
      <c r="AK51" s="25"/>
      <c r="AL51" s="26"/>
      <c r="AM51" s="22"/>
      <c r="AN51" s="25"/>
      <c r="AO51" s="25"/>
      <c r="AP51" s="25"/>
      <c r="AQ51" s="25"/>
      <c r="AR51" s="25"/>
      <c r="AS51" s="26"/>
      <c r="AT51" s="22"/>
      <c r="AU51" s="25"/>
      <c r="AV51" s="25"/>
      <c r="AW51" s="25"/>
      <c r="AX51" s="25"/>
      <c r="AY51" s="25"/>
      <c r="AZ51" s="25"/>
      <c r="BA51" s="25"/>
      <c r="BB51" s="25"/>
      <c r="BC51" s="25"/>
      <c r="BD51" s="25"/>
      <c r="BE51" s="25"/>
      <c r="BF51" s="25"/>
      <c r="BG51" s="25"/>
      <c r="BH51" s="25"/>
      <c r="BI51" s="25"/>
      <c r="BJ51" s="26"/>
      <c r="BK51" s="4"/>
    </row>
    <row r="52" spans="1:68" ht="15" customHeight="1">
      <c r="A52" s="1"/>
      <c r="B52" s="23"/>
      <c r="C52" s="24"/>
      <c r="D52" s="22"/>
      <c r="E52" s="25"/>
      <c r="F52" s="25"/>
      <c r="G52" s="25"/>
      <c r="H52" s="25"/>
      <c r="I52" s="25"/>
      <c r="J52" s="25"/>
      <c r="K52" s="25"/>
      <c r="L52" s="25"/>
      <c r="M52" s="25"/>
      <c r="N52" s="25"/>
      <c r="O52" s="25"/>
      <c r="P52" s="25"/>
      <c r="Q52" s="26"/>
      <c r="R52" s="22"/>
      <c r="S52" s="25"/>
      <c r="T52" s="25"/>
      <c r="U52" s="25"/>
      <c r="V52" s="25"/>
      <c r="W52" s="25"/>
      <c r="X52" s="25"/>
      <c r="Y52" s="25"/>
      <c r="Z52" s="25"/>
      <c r="AA52" s="25"/>
      <c r="AB52" s="26"/>
      <c r="AC52" s="22"/>
      <c r="AD52" s="25"/>
      <c r="AE52" s="25"/>
      <c r="AF52" s="25"/>
      <c r="AG52" s="26"/>
      <c r="AH52" s="22"/>
      <c r="AI52" s="26"/>
      <c r="AJ52" s="22"/>
      <c r="AK52" s="25"/>
      <c r="AL52" s="26"/>
      <c r="AM52" s="22"/>
      <c r="AN52" s="25"/>
      <c r="AO52" s="25"/>
      <c r="AP52" s="25"/>
      <c r="AQ52" s="25"/>
      <c r="AR52" s="25"/>
      <c r="AS52" s="26"/>
      <c r="AT52" s="22"/>
      <c r="AU52" s="25"/>
      <c r="AV52" s="25"/>
      <c r="AW52" s="25"/>
      <c r="AX52" s="25"/>
      <c r="AY52" s="25"/>
      <c r="AZ52" s="25"/>
      <c r="BA52" s="25"/>
      <c r="BB52" s="25"/>
      <c r="BC52" s="25"/>
      <c r="BD52" s="25"/>
      <c r="BE52" s="25"/>
      <c r="BF52" s="25"/>
      <c r="BG52" s="25"/>
      <c r="BH52" s="25"/>
      <c r="BI52" s="25"/>
      <c r="BJ52" s="26"/>
      <c r="BK52" s="4"/>
    </row>
    <row r="53" spans="1:68" ht="15" customHeight="1">
      <c r="A53" s="1"/>
      <c r="B53" s="23"/>
      <c r="C53" s="24"/>
      <c r="D53" s="22"/>
      <c r="E53" s="25"/>
      <c r="F53" s="25"/>
      <c r="G53" s="25"/>
      <c r="H53" s="25"/>
      <c r="I53" s="25"/>
      <c r="J53" s="25"/>
      <c r="K53" s="25"/>
      <c r="L53" s="25"/>
      <c r="M53" s="25"/>
      <c r="N53" s="25"/>
      <c r="O53" s="25"/>
      <c r="P53" s="25"/>
      <c r="Q53" s="26"/>
      <c r="R53" s="22"/>
      <c r="S53" s="25"/>
      <c r="T53" s="25"/>
      <c r="U53" s="25"/>
      <c r="V53" s="25"/>
      <c r="W53" s="25"/>
      <c r="X53" s="25"/>
      <c r="Y53" s="25"/>
      <c r="Z53" s="25"/>
      <c r="AA53" s="25"/>
      <c r="AB53" s="26"/>
      <c r="AC53" s="22"/>
      <c r="AD53" s="25"/>
      <c r="AE53" s="25"/>
      <c r="AF53" s="25"/>
      <c r="AG53" s="26"/>
      <c r="AH53" s="22"/>
      <c r="AI53" s="26"/>
      <c r="AJ53" s="22"/>
      <c r="AK53" s="25"/>
      <c r="AL53" s="26"/>
      <c r="AM53" s="22"/>
      <c r="AN53" s="25"/>
      <c r="AO53" s="25"/>
      <c r="AP53" s="25"/>
      <c r="AQ53" s="25"/>
      <c r="AR53" s="25"/>
      <c r="AS53" s="26"/>
      <c r="AT53" s="67"/>
      <c r="AU53" s="25"/>
      <c r="AV53" s="25"/>
      <c r="AW53" s="25"/>
      <c r="AX53" s="25"/>
      <c r="AY53" s="25"/>
      <c r="AZ53" s="25"/>
      <c r="BA53" s="25"/>
      <c r="BB53" s="25"/>
      <c r="BC53" s="25"/>
      <c r="BD53" s="25"/>
      <c r="BE53" s="25"/>
      <c r="BF53" s="25"/>
      <c r="BG53" s="25"/>
      <c r="BH53" s="25"/>
      <c r="BI53" s="25"/>
      <c r="BJ53" s="26"/>
      <c r="BK53" s="4"/>
    </row>
    <row r="54" spans="1:68" ht="15" customHeight="1">
      <c r="A54" s="1"/>
      <c r="B54" s="23"/>
      <c r="C54" s="24"/>
      <c r="D54" s="22"/>
      <c r="E54" s="25"/>
      <c r="F54" s="25"/>
      <c r="G54" s="25"/>
      <c r="H54" s="25"/>
      <c r="I54" s="25"/>
      <c r="J54" s="25"/>
      <c r="K54" s="25"/>
      <c r="L54" s="25"/>
      <c r="M54" s="25"/>
      <c r="N54" s="25"/>
      <c r="O54" s="25"/>
      <c r="P54" s="25"/>
      <c r="Q54" s="26"/>
      <c r="R54" s="22"/>
      <c r="S54" s="25"/>
      <c r="T54" s="25"/>
      <c r="U54" s="25"/>
      <c r="V54" s="25"/>
      <c r="W54" s="25"/>
      <c r="X54" s="25"/>
      <c r="Y54" s="25"/>
      <c r="Z54" s="25"/>
      <c r="AA54" s="25"/>
      <c r="AB54" s="26"/>
      <c r="AC54" s="22"/>
      <c r="AD54" s="25"/>
      <c r="AE54" s="25"/>
      <c r="AF54" s="25"/>
      <c r="AG54" s="26"/>
      <c r="AH54" s="22"/>
      <c r="AI54" s="26"/>
      <c r="AJ54" s="22"/>
      <c r="AK54" s="25"/>
      <c r="AL54" s="26"/>
      <c r="AM54" s="22"/>
      <c r="AN54" s="25"/>
      <c r="AO54" s="25"/>
      <c r="AP54" s="25"/>
      <c r="AQ54" s="25"/>
      <c r="AR54" s="25"/>
      <c r="AS54" s="26"/>
      <c r="AT54" s="22"/>
      <c r="AU54" s="25"/>
      <c r="AV54" s="25"/>
      <c r="AW54" s="25"/>
      <c r="AX54" s="25"/>
      <c r="AY54" s="25"/>
      <c r="AZ54" s="25"/>
      <c r="BA54" s="25"/>
      <c r="BB54" s="25"/>
      <c r="BC54" s="25"/>
      <c r="BD54" s="25"/>
      <c r="BE54" s="25"/>
      <c r="BF54" s="25"/>
      <c r="BG54" s="25"/>
      <c r="BH54" s="25"/>
      <c r="BI54" s="25"/>
      <c r="BJ54" s="26"/>
      <c r="BK54" s="4"/>
    </row>
    <row r="55" spans="1:68" ht="15" customHeight="1">
      <c r="A55" s="1"/>
      <c r="B55" s="23"/>
      <c r="C55" s="24"/>
      <c r="D55" s="22"/>
      <c r="E55" s="25"/>
      <c r="F55" s="25"/>
      <c r="G55" s="25"/>
      <c r="H55" s="25"/>
      <c r="I55" s="25"/>
      <c r="J55" s="25"/>
      <c r="K55" s="25"/>
      <c r="L55" s="25"/>
      <c r="M55" s="25"/>
      <c r="N55" s="25"/>
      <c r="O55" s="25"/>
      <c r="P55" s="25"/>
      <c r="Q55" s="26"/>
      <c r="R55" s="22"/>
      <c r="S55" s="25"/>
      <c r="T55" s="25"/>
      <c r="U55" s="25"/>
      <c r="V55" s="25"/>
      <c r="W55" s="25"/>
      <c r="X55" s="25"/>
      <c r="Y55" s="25"/>
      <c r="Z55" s="25"/>
      <c r="AA55" s="25"/>
      <c r="AB55" s="26"/>
      <c r="AC55" s="22"/>
      <c r="AD55" s="25"/>
      <c r="AE55" s="25"/>
      <c r="AF55" s="25"/>
      <c r="AG55" s="26"/>
      <c r="AH55" s="22"/>
      <c r="AI55" s="26"/>
      <c r="AJ55" s="22"/>
      <c r="AK55" s="25"/>
      <c r="AL55" s="26"/>
      <c r="AM55" s="22"/>
      <c r="AN55" s="25"/>
      <c r="AO55" s="25"/>
      <c r="AP55" s="25"/>
      <c r="AQ55" s="25"/>
      <c r="AR55" s="25"/>
      <c r="AS55" s="26"/>
      <c r="AT55" s="22"/>
      <c r="AU55" s="25"/>
      <c r="AV55" s="25"/>
      <c r="AW55" s="25"/>
      <c r="AX55" s="25"/>
      <c r="AY55" s="25"/>
      <c r="AZ55" s="25"/>
      <c r="BA55" s="25"/>
      <c r="BB55" s="25"/>
      <c r="BC55" s="25"/>
      <c r="BD55" s="25"/>
      <c r="BE55" s="25"/>
      <c r="BF55" s="25"/>
      <c r="BG55" s="25"/>
      <c r="BH55" s="25"/>
      <c r="BI55" s="25"/>
      <c r="BJ55" s="26"/>
      <c r="BK55" s="4"/>
    </row>
    <row r="56" spans="1:68" ht="15" customHeight="1">
      <c r="A56" s="1"/>
      <c r="B56" s="23"/>
      <c r="C56" s="24"/>
      <c r="D56" s="22"/>
      <c r="E56" s="25"/>
      <c r="F56" s="25"/>
      <c r="G56" s="25"/>
      <c r="H56" s="25"/>
      <c r="I56" s="25"/>
      <c r="J56" s="25"/>
      <c r="K56" s="25"/>
      <c r="L56" s="25"/>
      <c r="M56" s="25"/>
      <c r="N56" s="25"/>
      <c r="O56" s="25"/>
      <c r="P56" s="25"/>
      <c r="Q56" s="26"/>
      <c r="R56" s="22"/>
      <c r="S56" s="25"/>
      <c r="T56" s="25"/>
      <c r="U56" s="25"/>
      <c r="V56" s="25"/>
      <c r="W56" s="25"/>
      <c r="X56" s="25"/>
      <c r="Y56" s="25"/>
      <c r="Z56" s="25"/>
      <c r="AA56" s="25"/>
      <c r="AB56" s="26"/>
      <c r="AC56" s="22"/>
      <c r="AD56" s="25"/>
      <c r="AE56" s="25"/>
      <c r="AF56" s="25"/>
      <c r="AG56" s="26"/>
      <c r="AH56" s="22"/>
      <c r="AI56" s="26"/>
      <c r="AJ56" s="22"/>
      <c r="AK56" s="25"/>
      <c r="AL56" s="26"/>
      <c r="AM56" s="22"/>
      <c r="AN56" s="25"/>
      <c r="AO56" s="25"/>
      <c r="AP56" s="25"/>
      <c r="AQ56" s="25"/>
      <c r="AR56" s="25"/>
      <c r="AS56" s="26"/>
      <c r="AT56" s="22"/>
      <c r="AU56" s="25"/>
      <c r="AV56" s="25"/>
      <c r="AW56" s="25"/>
      <c r="AX56" s="25"/>
      <c r="AY56" s="25"/>
      <c r="AZ56" s="25"/>
      <c r="BA56" s="25"/>
      <c r="BB56" s="25"/>
      <c r="BC56" s="25"/>
      <c r="BD56" s="25"/>
      <c r="BE56" s="25"/>
      <c r="BF56" s="25"/>
      <c r="BG56" s="25"/>
      <c r="BH56" s="25"/>
      <c r="BI56" s="25"/>
      <c r="BJ56" s="26"/>
      <c r="BK56" s="4"/>
    </row>
    <row r="57" spans="1:68" ht="15" customHeight="1">
      <c r="A57" s="1"/>
      <c r="B57" s="28"/>
      <c r="C57" s="29"/>
      <c r="D57" s="30"/>
      <c r="E57" s="31"/>
      <c r="F57" s="31"/>
      <c r="G57" s="31"/>
      <c r="H57" s="31"/>
      <c r="I57" s="31"/>
      <c r="J57" s="31"/>
      <c r="K57" s="31"/>
      <c r="L57" s="31"/>
      <c r="M57" s="31"/>
      <c r="N57" s="31"/>
      <c r="O57" s="31"/>
      <c r="P57" s="31"/>
      <c r="Q57" s="32"/>
      <c r="R57" s="30"/>
      <c r="S57" s="31"/>
      <c r="T57" s="31"/>
      <c r="U57" s="31"/>
      <c r="V57" s="31"/>
      <c r="W57" s="31"/>
      <c r="X57" s="31"/>
      <c r="Y57" s="31"/>
      <c r="Z57" s="31"/>
      <c r="AA57" s="31"/>
      <c r="AB57" s="32"/>
      <c r="AC57" s="30"/>
      <c r="AD57" s="31"/>
      <c r="AE57" s="31"/>
      <c r="AF57" s="31"/>
      <c r="AG57" s="32"/>
      <c r="AH57" s="30"/>
      <c r="AI57" s="32"/>
      <c r="AJ57" s="30"/>
      <c r="AK57" s="31"/>
      <c r="AL57" s="32"/>
      <c r="AM57" s="30"/>
      <c r="AN57" s="31"/>
      <c r="AO57" s="31"/>
      <c r="AP57" s="31"/>
      <c r="AQ57" s="31"/>
      <c r="AR57" s="31"/>
      <c r="AS57" s="32"/>
      <c r="AT57" s="30"/>
      <c r="AU57" s="31"/>
      <c r="AV57" s="31"/>
      <c r="AW57" s="31"/>
      <c r="AX57" s="31"/>
      <c r="AY57" s="31"/>
      <c r="AZ57" s="31"/>
      <c r="BA57" s="31"/>
      <c r="BB57" s="31"/>
      <c r="BC57" s="31"/>
      <c r="BD57" s="31"/>
      <c r="BE57" s="31"/>
      <c r="BF57" s="31"/>
      <c r="BG57" s="31"/>
      <c r="BH57" s="31"/>
      <c r="BI57" s="31"/>
      <c r="BJ57" s="32"/>
      <c r="BK57" s="4"/>
    </row>
    <row r="58" spans="1:68" ht="15" customHeight="1">
      <c r="A58" s="1"/>
      <c r="BK58" s="4"/>
    </row>
    <row r="59" spans="1:68" ht="15" customHeight="1">
      <c r="A59" s="1"/>
      <c r="BK59" s="4"/>
    </row>
    <row r="60" spans="1:68" ht="15" customHeight="1">
      <c r="A60" s="1"/>
      <c r="B60" s="37" t="s">
        <v>49</v>
      </c>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4"/>
    </row>
    <row r="61" spans="1:68" ht="15" customHeight="1">
      <c r="A61" s="1"/>
      <c r="B61" s="34" t="s">
        <v>50</v>
      </c>
      <c r="C61" s="35"/>
      <c r="D61" s="34" t="s">
        <v>51</v>
      </c>
      <c r="E61" s="44"/>
      <c r="F61" s="36"/>
      <c r="G61" s="36"/>
      <c r="H61" s="36"/>
      <c r="I61" s="36"/>
      <c r="J61" s="36"/>
      <c r="K61" s="36"/>
      <c r="L61" s="36"/>
      <c r="M61" s="36"/>
      <c r="N61" s="36"/>
      <c r="O61" s="36"/>
      <c r="P61" s="36"/>
      <c r="Q61" s="35"/>
      <c r="R61" s="34" t="s">
        <v>52</v>
      </c>
      <c r="S61" s="44"/>
      <c r="T61" s="36"/>
      <c r="U61" s="36"/>
      <c r="V61" s="36"/>
      <c r="W61" s="36"/>
      <c r="X61" s="36"/>
      <c r="Y61" s="36"/>
      <c r="Z61" s="36"/>
      <c r="AA61" s="36"/>
      <c r="AB61" s="36"/>
      <c r="AC61" s="36"/>
      <c r="AD61" s="36"/>
      <c r="AE61" s="36"/>
      <c r="AF61" s="36"/>
      <c r="AG61" s="36"/>
      <c r="AH61" s="36"/>
      <c r="AI61" s="36"/>
      <c r="AJ61" s="36"/>
      <c r="AK61" s="35"/>
      <c r="AL61" s="34" t="s">
        <v>53</v>
      </c>
      <c r="AM61" s="36"/>
      <c r="AN61" s="36"/>
      <c r="AO61" s="45"/>
      <c r="AP61" s="34" t="s">
        <v>54</v>
      </c>
      <c r="AQ61" s="36"/>
      <c r="AR61" s="36"/>
      <c r="AS61" s="35"/>
      <c r="AT61" s="34" t="s">
        <v>48</v>
      </c>
      <c r="AU61" s="44"/>
      <c r="AV61" s="44"/>
      <c r="AW61" s="36"/>
      <c r="AX61" s="36"/>
      <c r="AY61" s="44"/>
      <c r="AZ61" s="36"/>
      <c r="BA61" s="36"/>
      <c r="BB61" s="36"/>
      <c r="BC61" s="36"/>
      <c r="BD61" s="36"/>
      <c r="BE61" s="36"/>
      <c r="BF61" s="36"/>
      <c r="BG61" s="36"/>
      <c r="BH61" s="36"/>
      <c r="BI61" s="44"/>
      <c r="BJ61" s="35"/>
      <c r="BK61" s="4"/>
    </row>
    <row r="62" spans="1:68" ht="15" customHeight="1">
      <c r="A62" s="1"/>
      <c r="B62" s="38">
        <v>1</v>
      </c>
      <c r="C62" s="39"/>
      <c r="D62" s="38" t="s">
        <v>55</v>
      </c>
      <c r="E62" s="46"/>
      <c r="F62" s="40"/>
      <c r="G62" s="40"/>
      <c r="H62" s="40"/>
      <c r="I62" s="40"/>
      <c r="J62" s="40"/>
      <c r="K62" s="40"/>
      <c r="L62" s="40"/>
      <c r="M62" s="40"/>
      <c r="N62" s="40"/>
      <c r="O62" s="40"/>
      <c r="P62" s="40"/>
      <c r="Q62" s="39"/>
      <c r="R62"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
      </c>
      <c r="S62" s="46"/>
      <c r="T62" s="40"/>
      <c r="U62" s="40"/>
      <c r="V62" s="40"/>
      <c r="W62" s="40"/>
      <c r="X62" s="40"/>
      <c r="Y62" s="40"/>
      <c r="Z62" s="40"/>
      <c r="AA62" s="40"/>
      <c r="AB62" s="40"/>
      <c r="AC62" s="40"/>
      <c r="AD62" s="40"/>
      <c r="AE62" s="40"/>
      <c r="AF62" s="40"/>
      <c r="AG62" s="40"/>
      <c r="AH62" s="40"/>
      <c r="AI62" s="40"/>
      <c r="AJ62" s="40"/>
      <c r="AK62" s="39"/>
      <c r="AL62" s="38" t="s">
        <v>885</v>
      </c>
      <c r="AM62" s="40"/>
      <c r="AN62" s="40"/>
      <c r="AO62" s="47"/>
      <c r="AP62" s="38" t="s">
        <v>885</v>
      </c>
      <c r="AQ62" s="40"/>
      <c r="AR62" s="40"/>
      <c r="AS62" s="39"/>
      <c r="AT62" s="38"/>
      <c r="AU62" s="46"/>
      <c r="AV62" s="46"/>
      <c r="AW62" s="40"/>
      <c r="AX62" s="40"/>
      <c r="AY62" s="46"/>
      <c r="AZ62" s="40"/>
      <c r="BA62" s="40"/>
      <c r="BB62" s="40"/>
      <c r="BC62" s="40"/>
      <c r="BD62" s="40"/>
      <c r="BE62" s="40"/>
      <c r="BF62" s="40"/>
      <c r="BG62" s="40"/>
      <c r="BH62" s="40"/>
      <c r="BI62" s="46"/>
      <c r="BJ62" s="39"/>
      <c r="BK62" s="4"/>
      <c r="BM62"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N62" t="str">
        <f>BM62</f>
        <v xml:space="preserve"> , PRIMARY KEY (),</v>
      </c>
    </row>
    <row r="63" spans="1:68" ht="15" customHeight="1">
      <c r="A63" s="1"/>
      <c r="BK63" s="4"/>
      <c r="BM63" t="s">
        <v>452</v>
      </c>
      <c r="BO63" t="str">
        <f t="shared" si="1"/>
        <v>,A.`` = B.``</v>
      </c>
      <c r="BP63" t="str">
        <f t="shared" si="2"/>
        <v>,``</v>
      </c>
    </row>
    <row r="64" spans="1:68" ht="15" customHeight="1">
      <c r="A64" s="1"/>
      <c r="BK64" s="4"/>
      <c r="BM64" t="str">
        <f>") ENGINE=InnoDB DEFAULT CHARSET=utf8 COMMENT = '"&amp;$G$9&amp;"';"</f>
        <v>) ENGINE=InnoDB DEFAULT CHARSET=utf8 COMMENT = '【釣銭機】在高情報';</v>
      </c>
      <c r="BN64" t="str">
        <f>") ENGINE=InnoDB DEFAULT CHARSET=utf8 COMMENT = '"&amp;$G$9&amp;"_TMP';"</f>
        <v>) ENGINE=InnoDB DEFAULT CHARSET=utf8 COMMENT = '【釣銭機】在高情報_TMP';</v>
      </c>
      <c r="BO64" t="str">
        <f t="shared" si="1"/>
        <v>,A.`` = B.``</v>
      </c>
      <c r="BP64" t="str">
        <f t="shared" si="2"/>
        <v>,``</v>
      </c>
    </row>
    <row r="65" spans="1:68" ht="15" customHeight="1">
      <c r="A65" s="1"/>
      <c r="B65" s="37" t="s">
        <v>34</v>
      </c>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4"/>
      <c r="BO65" t="str">
        <f t="shared" si="1"/>
        <v>,A.`` = B.``</v>
      </c>
      <c r="BP65" t="str">
        <f t="shared" si="2"/>
        <v>,``</v>
      </c>
    </row>
    <row r="66" spans="1:68" ht="15" customHeight="1">
      <c r="A66" s="1"/>
      <c r="B66" s="34" t="s">
        <v>35</v>
      </c>
      <c r="C66" s="45"/>
      <c r="D66" s="34" t="s">
        <v>36</v>
      </c>
      <c r="E66" s="44"/>
      <c r="F66" s="44"/>
      <c r="G66" s="44"/>
      <c r="H66" s="44"/>
      <c r="I66" s="44"/>
      <c r="J66" s="44"/>
      <c r="K66" s="44"/>
      <c r="L66" s="36"/>
      <c r="M66" s="36"/>
      <c r="N66" s="36"/>
      <c r="O66" s="36"/>
      <c r="P66" s="36"/>
      <c r="Q66" s="35"/>
      <c r="R66" s="34" t="s">
        <v>37</v>
      </c>
      <c r="S66" s="36"/>
      <c r="T66" s="45"/>
      <c r="U66" s="34" t="s">
        <v>38</v>
      </c>
      <c r="V66" s="36"/>
      <c r="W66" s="44"/>
      <c r="X66" s="45"/>
      <c r="Y66" s="34" t="s">
        <v>39</v>
      </c>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5"/>
      <c r="BK66" s="4"/>
      <c r="BM66" t="str">
        <f>"CREATE TRIGGER `"&amp;G26&amp;"_CR_Date_Time` BEFORE INSERT ON `"&amp;G26&amp;"`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67" spans="1:68" ht="15" customHeight="1">
      <c r="A67" s="1"/>
      <c r="B67" s="41">
        <v>1</v>
      </c>
      <c r="C67" s="47"/>
      <c r="D67" s="41" t="str">
        <f>G10&amp;"_"&amp;R67&amp;"_"&amp;"trg"</f>
        <v>_update_trg</v>
      </c>
      <c r="E67" s="46"/>
      <c r="F67" s="46"/>
      <c r="G67" s="46"/>
      <c r="H67" s="46"/>
      <c r="I67" s="46"/>
      <c r="J67" s="46"/>
      <c r="K67" s="46"/>
      <c r="L67" s="42"/>
      <c r="M67" s="42"/>
      <c r="N67" s="42"/>
      <c r="O67" s="42"/>
      <c r="P67" s="42"/>
      <c r="Q67" s="43"/>
      <c r="R67" s="41" t="s">
        <v>40</v>
      </c>
      <c r="S67" s="42"/>
      <c r="T67" s="47"/>
      <c r="U67" s="41" t="s">
        <v>41</v>
      </c>
      <c r="V67" s="42"/>
      <c r="W67" s="46"/>
      <c r="X67" s="47"/>
      <c r="Y67" s="41" t="s">
        <v>42</v>
      </c>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3"/>
      <c r="BK67" s="4"/>
      <c r="BM67" t="str">
        <f>"CREATE TRIGGER `"&amp;G26&amp;"_UP_Date_Time` BEFORE UPDATE ON `"&amp;G26&amp;"` FOR EACH ROW SET NEW.record_update_date = CURRENT_DATE, NEW.record_update_time = CURRENT_TIME;"</f>
        <v>CREATE TRIGGER `_UP_Date_Time` BEFORE UPDATE ON `` FOR EACH ROW SET NEW.record_update_date = CURRENT_DATE, NEW.record_update_time = CURRENT_TIME;</v>
      </c>
    </row>
    <row r="68" spans="1:68" ht="15" customHeight="1">
      <c r="A68" s="1"/>
      <c r="BK68" s="4"/>
    </row>
    <row r="69" spans="1:68" ht="15" customHeight="1">
      <c r="A69" s="1"/>
      <c r="BK69" s="4"/>
    </row>
    <row r="70" spans="1:68" ht="15" customHeight="1">
      <c r="A70" s="1"/>
      <c r="BK70" s="4"/>
    </row>
    <row r="71" spans="1:68" ht="15" customHeight="1">
      <c r="A71" s="1"/>
      <c r="BK71" s="4"/>
    </row>
    <row r="72" spans="1:68" ht="15" customHeight="1">
      <c r="A72" s="1"/>
      <c r="BK72" s="4"/>
    </row>
    <row r="73" spans="1:68" ht="15" customHeight="1">
      <c r="A73" s="1"/>
      <c r="BK73" s="4"/>
    </row>
    <row r="74" spans="1:68" ht="15" customHeight="1">
      <c r="A74" s="1"/>
      <c r="BK74" s="4"/>
    </row>
    <row r="75" spans="1:68" ht="15" customHeight="1">
      <c r="A75" s="1"/>
      <c r="BK75" s="4"/>
    </row>
    <row r="76" spans="1:68" ht="15" customHeight="1">
      <c r="A76" s="1"/>
      <c r="BK76" s="4"/>
    </row>
    <row r="77" spans="1:68" ht="15" customHeight="1">
      <c r="A77" s="1"/>
      <c r="BK77" s="4"/>
    </row>
    <row r="78" spans="1:68" ht="15" customHeight="1">
      <c r="A78" s="1"/>
      <c r="BK78" s="4"/>
    </row>
    <row r="79" spans="1:68" ht="15" customHeight="1">
      <c r="A79" s="2"/>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5"/>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896C0-10BA-4A65-A1A3-1061C8B10A8A}">
  <dimension ref="A1:CA84"/>
  <sheetViews>
    <sheetView tabSelected="1" view="pageBreakPreview" zoomScale="80" zoomScaleNormal="75" zoomScaleSheetLayoutView="80" workbookViewId="0">
      <selection activeCell="BR47" sqref="BR47"/>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333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439</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438</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T16" s="319" t="str">
        <f>"if(nullif( @"&amp;B27-5&amp;",'') &gt; '', @"&amp;B27-5&amp;", null )"</f>
        <v>if(nullif( @2,'') &gt; '', @2, null )</v>
      </c>
      <c r="BU16" s="319"/>
      <c r="BV16" s="319"/>
      <c r="BW16" s="319"/>
      <c r="BX16" s="319"/>
      <c r="BY16" s="319"/>
      <c r="BZ16" s="319"/>
      <c r="CA16" t="s">
        <v>626</v>
      </c>
    </row>
    <row r="17" spans="1:79" ht="15" customHeight="1">
      <c r="A17" s="1"/>
      <c r="BK17" s="4"/>
      <c r="BQ17" t="s">
        <v>626</v>
      </c>
      <c r="BS17" t="s">
        <v>626</v>
      </c>
      <c r="BT17" s="319" t="str">
        <f xml:space="preserve"> "if(@"&amp;B27-5&amp;" &gt; '0000-00-00 00:00:00', @"&amp;B27-5&amp;", null)"</f>
        <v>if(@2 &gt; '0000-00-00 00:00:00', @2, null)</v>
      </c>
      <c r="BU17" s="319"/>
      <c r="BV17" s="319"/>
      <c r="BW17" s="319"/>
      <c r="BX17" s="319"/>
      <c r="BY17" s="319"/>
      <c r="BZ17" s="319"/>
      <c r="CA17" t="s">
        <v>626</v>
      </c>
    </row>
    <row r="18" spans="1:79" ht="15" customHeight="1">
      <c r="A18" s="1"/>
      <c r="BK18" s="4"/>
      <c r="BQ18" t="s">
        <v>626</v>
      </c>
      <c r="BS18" t="s">
        <v>626</v>
      </c>
      <c r="BT18" s="319" t="str">
        <f>IF(LEFT(AC27,4)="DATA", "if(@"&amp;B27-5&amp;" &gt; '0000-00-00 00:00:00', @"&amp;B27-5&amp;", null)","if(nullif( @"&amp;B27-5&amp;",'') &gt; '', @"&amp;B27-5&amp;", null )")</f>
        <v>if(nullif( @2,'') &gt; '', @2, null )</v>
      </c>
      <c r="BU18" s="319"/>
      <c r="BV18" s="319"/>
      <c r="BW18" s="319"/>
      <c r="BX18" s="319"/>
      <c r="BY18" s="319"/>
      <c r="BZ18" s="319"/>
      <c r="CA18" t="s">
        <v>626</v>
      </c>
    </row>
    <row r="19" spans="1:79" ht="15" customHeight="1">
      <c r="A19" s="1"/>
      <c r="B19" t="s">
        <v>21</v>
      </c>
      <c r="BK19" s="4"/>
      <c r="BP19" s="97" t="str">
        <f>"DROP TABLE IF EXISTS `"&amp;$G$8&amp;"`.`"&amp;$G$10&amp;"`;"</f>
        <v>DROP TABLE IF EXISTS `POS_MASTER`.`ItemMaster`;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`POS_MASTER`.`ItemMaster`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62"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U24" t="s">
        <v>626</v>
      </c>
      <c r="BV24" s="97" t="str">
        <f>"UPDATE `POS_MASTER`.`"&amp;$G$10&amp;"` A,`TMP`.`"&amp;$G$10&amp;"` B"</f>
        <v>UPDATE `POS_MASTER`.`ItemMaster` A,`TMP`.`ItemMaster`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`TMP`.`ItemMaster`;</v>
      </c>
      <c r="BS25" t="s">
        <v>626</v>
      </c>
      <c r="BT25" s="97" t="str">
        <f>"LOAD DATA INFILE 'C:/04_DATAFILE/"&amp;$G$10&amp;"/TMP/"&amp;$G$10&amp;".CSV' "</f>
        <v xml:space="preserve">LOAD DATA INFILE 'C:/04_DATAFILE/ItemMaster/TMP/ItemMaster.CSV' </v>
      </c>
      <c r="BU25" t="s">
        <v>626</v>
      </c>
      <c r="BV25" s="97" t="s">
        <v>930</v>
      </c>
      <c r="BW25" t="s">
        <v>626</v>
      </c>
      <c r="BY25" t="s">
        <v>626</v>
      </c>
      <c r="CA25" t="s">
        <v>626</v>
      </c>
    </row>
    <row r="26" spans="1:79" ht="15" customHeight="1">
      <c r="A26" s="100" t="s">
        <v>963</v>
      </c>
      <c r="B26" s="83">
        <f t="shared" si="0"/>
        <v>6</v>
      </c>
      <c r="C26" s="84"/>
      <c r="D26" s="85" t="s">
        <v>286</v>
      </c>
      <c r="E26" s="86"/>
      <c r="F26" s="86"/>
      <c r="G26" s="86"/>
      <c r="H26" s="86"/>
      <c r="I26" s="86"/>
      <c r="J26" s="86"/>
      <c r="K26" s="86"/>
      <c r="L26" s="86"/>
      <c r="M26" s="86"/>
      <c r="N26" s="86"/>
      <c r="O26" s="86"/>
      <c r="P26" s="86"/>
      <c r="Q26" s="87"/>
      <c r="R26" s="85" t="s">
        <v>339</v>
      </c>
      <c r="S26" s="86"/>
      <c r="T26" s="86"/>
      <c r="U26" s="86"/>
      <c r="V26" s="86"/>
      <c r="W26" s="86"/>
      <c r="X26" s="86"/>
      <c r="Y26" s="86"/>
      <c r="Z26" s="86"/>
      <c r="AA26" s="86"/>
      <c r="AB26" s="87"/>
      <c r="AC26" s="85" t="s">
        <v>360</v>
      </c>
      <c r="AD26" s="86"/>
      <c r="AE26" s="86"/>
      <c r="AF26" s="86"/>
      <c r="AG26" s="87"/>
      <c r="AH26" s="85"/>
      <c r="AI26" s="87"/>
      <c r="AJ26" s="85" t="s">
        <v>885</v>
      </c>
      <c r="AK26" s="86"/>
      <c r="AL26" s="87"/>
      <c r="AM26" s="85" t="s">
        <v>84</v>
      </c>
      <c r="AN26" s="86"/>
      <c r="AO26" s="86"/>
      <c r="AP26" s="86"/>
      <c r="AQ26" s="86"/>
      <c r="AR26" s="86"/>
      <c r="AS26" s="87"/>
      <c r="AT26" s="85" t="s">
        <v>364</v>
      </c>
      <c r="AU26" s="86"/>
      <c r="AV26" s="86"/>
      <c r="AW26" s="86"/>
      <c r="AX26" s="86"/>
      <c r="AY26" s="86"/>
      <c r="AZ26" s="86"/>
      <c r="BA26" s="86"/>
      <c r="BB26" s="86"/>
      <c r="BC26" s="86"/>
      <c r="BD26" s="86"/>
      <c r="BE26" s="86"/>
      <c r="BF26" s="86"/>
      <c r="BG26" s="86"/>
      <c r="BH26" s="86"/>
      <c r="BI26" s="86"/>
      <c r="BJ26" s="87"/>
      <c r="BK26" s="4"/>
      <c r="BP26" s="97" t="s">
        <v>952</v>
      </c>
      <c r="BQ26" t="s">
        <v>626</v>
      </c>
      <c r="BR26" s="97" t="str">
        <f>"CREATE TABLE `TMP`.`"&amp;G10&amp;"` ("</f>
        <v>CREATE TABLE `TMP`.`ItemMaster` (</v>
      </c>
      <c r="BS26" t="s">
        <v>626</v>
      </c>
      <c r="BT26" s="97" t="str">
        <f>"REPLACE INTO TABLE TMP.`"&amp;$G$10&amp;"` FIELDS TERMINATED BY ',' ENCLOSED BY '\""' LINES TERMINATED BY '\r\n' ("</f>
        <v>REPLACE INTO TABLE TMP.`ItemMaster` FIELDS TERMINATED BY ',' ENCLOSED BY '\"' LINES TERMINATED BY '\r\n' (</v>
      </c>
      <c r="BU26" t="s">
        <v>626</v>
      </c>
      <c r="BV26" s="97"/>
      <c r="BW26" t="s">
        <v>626</v>
      </c>
      <c r="BX26" s="97" t="str">
        <f>"INSERT INTO `POS_MASTER`.`"&amp;$G$10&amp;"` ("</f>
        <v>INSERT INTO `POS_MASTER`.`ItemMaster` (</v>
      </c>
      <c r="BY26" t="s">
        <v>626</v>
      </c>
      <c r="BZ26" s="97" t="s">
        <v>931</v>
      </c>
      <c r="CA26" t="s">
        <v>626</v>
      </c>
    </row>
    <row r="27" spans="1:79" ht="15" customHeight="1">
      <c r="A27" s="100" t="s">
        <v>964</v>
      </c>
      <c r="B27" s="23">
        <f t="shared" si="0"/>
        <v>7</v>
      </c>
      <c r="C27" s="24"/>
      <c r="D27" s="22" t="s">
        <v>365</v>
      </c>
      <c r="E27" s="25"/>
      <c r="F27" s="25"/>
      <c r="G27" s="25"/>
      <c r="H27" s="25"/>
      <c r="I27" s="25"/>
      <c r="J27" s="25"/>
      <c r="K27" s="25"/>
      <c r="L27" s="25"/>
      <c r="M27" s="25"/>
      <c r="N27" s="25"/>
      <c r="O27" s="25"/>
      <c r="P27" s="25"/>
      <c r="Q27" s="26"/>
      <c r="R27" s="22" t="s">
        <v>401</v>
      </c>
      <c r="S27" s="25"/>
      <c r="T27" s="25"/>
      <c r="U27" s="25"/>
      <c r="V27" s="25"/>
      <c r="W27" s="25"/>
      <c r="X27" s="25"/>
      <c r="Y27" s="25"/>
      <c r="Z27" s="25"/>
      <c r="AA27" s="25"/>
      <c r="AB27" s="26"/>
      <c r="AC27" s="22" t="str" cm="1">
        <f t="array" ref="AC27">_xlfn.SWITCH(BM27,"nvarchar","varchar("&amp;BN27&amp;")","smallint","smallint","date","date","money","decimal(19,4)","numeric","numeric("&amp;BN27&amp;")","int","int","bit","char(1)","datetime2","datetime","time","time")</f>
        <v>varchar(10)</v>
      </c>
      <c r="AD27" s="25"/>
      <c r="AE27" s="25"/>
      <c r="AF27" s="25"/>
      <c r="AG27" s="26"/>
      <c r="AH27" s="22">
        <v>1</v>
      </c>
      <c r="AI27" s="26"/>
      <c r="AJ27" s="22"/>
      <c r="AK27" s="25"/>
      <c r="AL27" s="26"/>
      <c r="AM27" s="22"/>
      <c r="AN27" s="25"/>
      <c r="AO27" s="25"/>
      <c r="AP27" s="25"/>
      <c r="AQ27" s="25"/>
      <c r="AR27" s="25"/>
      <c r="AS27" s="26"/>
      <c r="AT27" s="22" t="s">
        <v>468</v>
      </c>
      <c r="AU27" s="25"/>
      <c r="AV27" s="25"/>
      <c r="AW27" s="25"/>
      <c r="AX27" s="25"/>
      <c r="AY27" s="25"/>
      <c r="AZ27" s="25"/>
      <c r="BA27" s="25"/>
      <c r="BB27" s="25"/>
      <c r="BC27" s="25"/>
      <c r="BD27" s="25"/>
      <c r="BE27" s="25"/>
      <c r="BF27" s="25"/>
      <c r="BG27" s="25"/>
      <c r="BH27" s="25"/>
      <c r="BI27" s="25"/>
      <c r="BJ27" s="26"/>
      <c r="BK27" s="4"/>
      <c r="BM27" t="s">
        <v>888</v>
      </c>
      <c r="BN27">
        <v>10</v>
      </c>
      <c r="BP27" t="str">
        <f>",`"&amp;R27&amp;"` "&amp;AC27&amp;" "&amp;IF(AJ27="Y","NOT NULL","")&amp;" COMMENT '"&amp;D27&amp;"'"</f>
        <v>,`CompanyCode` varchar(10)  COMMENT '企業コード'</v>
      </c>
      <c r="BQ27" t="s">
        <v>626</v>
      </c>
      <c r="BR27" s="97" t="str">
        <f>"`"&amp;R27&amp;"` "&amp;AC27&amp;" "&amp;IF(AJ27="Y","NOT NULL","")</f>
        <v xml:space="preserve">`CompanyCode` varchar(10) </v>
      </c>
      <c r="BS27" t="s">
        <v>626</v>
      </c>
      <c r="BT27" s="97" t="str">
        <f>"`"&amp;R27&amp;"`"</f>
        <v>`CompanyCode`</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62" si="1">",`"&amp;R28&amp;"` "&amp;AC28&amp;" "&amp;IF(AJ28="Y","NOT NULL","")&amp;" COMMENT '"&amp;D28&amp;"'"</f>
        <v>,`StoreCode` varchar(10)  COMMENT '店舗コード'</v>
      </c>
      <c r="BQ28" t="s">
        <v>626</v>
      </c>
      <c r="BR28" s="97" t="str">
        <f>",`"&amp;R28&amp;"` "&amp;AC28&amp;" "&amp;IF(AJ28="Y","NOT NULL","")</f>
        <v xml:space="preserve">,`StoreCode` varchar(10) </v>
      </c>
      <c r="BS28" t="s">
        <v>626</v>
      </c>
      <c r="BT28" s="97" t="str">
        <f>",`"&amp;R28&amp;"`"</f>
        <v>,`StoreCode`</v>
      </c>
      <c r="BU28" t="s">
        <v>626</v>
      </c>
      <c r="BV28" s="97" t="str">
        <f t="shared" ref="BV28:BV62" si="2">",A.`"&amp;R28&amp;"` = B.`"&amp;R28&amp;"`"</f>
        <v>,A.`StoreCode` = B.`StoreCode`</v>
      </c>
      <c r="BW28" t="s">
        <v>626</v>
      </c>
      <c r="BX28" s="97" t="str">
        <f>",`"&amp;R28&amp;"`"</f>
        <v>,`StoreCode`</v>
      </c>
      <c r="BY28" t="s">
        <v>626</v>
      </c>
      <c r="BZ28" s="97" t="str">
        <f t="shared" ref="BZ28:BZ62" si="3">",`"&amp;R28&amp;"`"</f>
        <v>,`StoreCode`</v>
      </c>
      <c r="CA28" t="s">
        <v>626</v>
      </c>
    </row>
    <row r="29" spans="1:79" ht="15" customHeight="1">
      <c r="A29" s="100" t="s">
        <v>966</v>
      </c>
      <c r="B29" s="23">
        <f t="shared" si="0"/>
        <v>9</v>
      </c>
      <c r="C29" s="24"/>
      <c r="D29" s="22" t="s">
        <v>367</v>
      </c>
      <c r="E29" s="25"/>
      <c r="F29" s="25"/>
      <c r="G29" s="25"/>
      <c r="H29" s="25"/>
      <c r="I29" s="25"/>
      <c r="J29" s="25"/>
      <c r="K29" s="25"/>
      <c r="L29" s="25"/>
      <c r="M29" s="25"/>
      <c r="N29" s="25"/>
      <c r="O29" s="25"/>
      <c r="P29" s="25"/>
      <c r="Q29" s="26"/>
      <c r="R29" s="22" t="s">
        <v>440</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varchar(26)</v>
      </c>
      <c r="AD29" s="25"/>
      <c r="AE29" s="25"/>
      <c r="AF29" s="25"/>
      <c r="AG29" s="26"/>
      <c r="AH29" s="22">
        <v>3</v>
      </c>
      <c r="AI29" s="26"/>
      <c r="AJ29" s="22"/>
      <c r="AK29" s="25"/>
      <c r="AL29" s="26"/>
      <c r="AM29" s="22"/>
      <c r="AN29" s="25"/>
      <c r="AO29" s="25"/>
      <c r="AP29" s="25"/>
      <c r="AQ29" s="25"/>
      <c r="AR29" s="25"/>
      <c r="AS29" s="26"/>
      <c r="AT29" s="22" t="s">
        <v>900</v>
      </c>
      <c r="AU29" s="25"/>
      <c r="AV29" s="25"/>
      <c r="AW29" s="25"/>
      <c r="AX29" s="25"/>
      <c r="AY29" s="25"/>
      <c r="AZ29" s="25"/>
      <c r="BA29" s="25"/>
      <c r="BB29" s="25"/>
      <c r="BC29" s="25"/>
      <c r="BD29" s="25"/>
      <c r="BE29" s="25"/>
      <c r="BF29" s="25"/>
      <c r="BG29" s="25"/>
      <c r="BH29" s="25"/>
      <c r="BI29" s="25"/>
      <c r="BJ29" s="26"/>
      <c r="BK29" s="4"/>
      <c r="BM29" t="s">
        <v>888</v>
      </c>
      <c r="BN29">
        <v>26</v>
      </c>
      <c r="BP29" t="str">
        <f t="shared" si="1"/>
        <v>,`ItemCode` varchar(26)  COMMENT '単品コード'</v>
      </c>
      <c r="BQ29" t="s">
        <v>626</v>
      </c>
      <c r="BR29" t="str">
        <f t="shared" ref="BR29:BR62" si="4">",`"&amp;R29&amp;"` "&amp;AC29&amp;" "&amp;IF(AJ29="Y","NOT NULL","")</f>
        <v xml:space="preserve">,`ItemCode` varchar(26) </v>
      </c>
      <c r="BS29" t="s">
        <v>626</v>
      </c>
      <c r="BT29" s="97" t="str">
        <f t="shared" ref="BT29:BT62" si="5">",`"&amp;R29&amp;"`"</f>
        <v>,`ItemCode`</v>
      </c>
      <c r="BU29" t="s">
        <v>626</v>
      </c>
      <c r="BV29" s="97" t="str">
        <f t="shared" si="2"/>
        <v>,A.`ItemCode` = B.`ItemCode`</v>
      </c>
      <c r="BW29" t="s">
        <v>626</v>
      </c>
      <c r="BX29" s="97" t="str">
        <f>",`"&amp;R29&amp;"`"</f>
        <v>,`ItemCode`</v>
      </c>
      <c r="BY29" t="s">
        <v>626</v>
      </c>
      <c r="BZ29" s="97" t="str">
        <f t="shared" si="3"/>
        <v>,`ItemCode`</v>
      </c>
      <c r="CA29" t="s">
        <v>626</v>
      </c>
    </row>
    <row r="30" spans="1:79" ht="15" customHeight="1">
      <c r="A30" s="100" t="s">
        <v>967</v>
      </c>
      <c r="B30" s="23">
        <f t="shared" si="0"/>
        <v>10</v>
      </c>
      <c r="C30" s="24"/>
      <c r="D30" s="22" t="s">
        <v>368</v>
      </c>
      <c r="E30" s="25"/>
      <c r="F30" s="25"/>
      <c r="G30" s="25"/>
      <c r="H30" s="25"/>
      <c r="I30" s="25"/>
      <c r="J30" s="25"/>
      <c r="K30" s="25"/>
      <c r="L30" s="25"/>
      <c r="M30" s="25"/>
      <c r="N30" s="25"/>
      <c r="O30" s="25"/>
      <c r="P30" s="25"/>
      <c r="Q30" s="26"/>
      <c r="R30" s="22" t="s">
        <v>355</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date</v>
      </c>
      <c r="AD30" s="25"/>
      <c r="AE30" s="25"/>
      <c r="AF30" s="25"/>
      <c r="AG30" s="26"/>
      <c r="AH30" s="22">
        <v>4</v>
      </c>
      <c r="AI30" s="26"/>
      <c r="AJ30" s="22"/>
      <c r="AK30" s="25"/>
      <c r="AL30" s="26"/>
      <c r="AM30" s="22"/>
      <c r="AN30" s="25"/>
      <c r="AO30" s="25"/>
      <c r="AP30" s="25"/>
      <c r="AQ30" s="25"/>
      <c r="AR30" s="25"/>
      <c r="AS30" s="26"/>
      <c r="AT30" s="22" t="s">
        <v>901</v>
      </c>
      <c r="AU30" s="25"/>
      <c r="AV30" s="25"/>
      <c r="AW30" s="25"/>
      <c r="AX30" s="25"/>
      <c r="AY30" s="25"/>
      <c r="AZ30" s="25"/>
      <c r="BA30" s="25"/>
      <c r="BB30" s="25"/>
      <c r="BC30" s="25"/>
      <c r="BD30" s="25"/>
      <c r="BE30" s="25"/>
      <c r="BF30" s="25"/>
      <c r="BG30" s="25"/>
      <c r="BH30" s="25"/>
      <c r="BI30" s="25"/>
      <c r="BJ30" s="26"/>
      <c r="BK30" s="4"/>
      <c r="BM30" t="s">
        <v>436</v>
      </c>
      <c r="BP30" t="str">
        <f t="shared" si="1"/>
        <v>,`ApplyDate` date  COMMENT '適用日'</v>
      </c>
      <c r="BQ30" t="s">
        <v>626</v>
      </c>
      <c r="BR30" t="str">
        <f t="shared" si="4"/>
        <v xml:space="preserve">,`ApplyDate` date </v>
      </c>
      <c r="BS30" t="s">
        <v>626</v>
      </c>
      <c r="BT30" s="97" t="str">
        <f t="shared" si="5"/>
        <v>,`ApplyDate`</v>
      </c>
      <c r="BU30" t="s">
        <v>626</v>
      </c>
      <c r="BV30" s="97" t="str">
        <f t="shared" si="2"/>
        <v>,A.`ApplyDate` = B.`ApplyDate`</v>
      </c>
      <c r="BW30" t="s">
        <v>626</v>
      </c>
      <c r="BX30" s="97" t="str">
        <f t="shared" ref="BX28:BX62" si="6">",`"&amp;R30&amp;"`"</f>
        <v>,`ApplyDate`</v>
      </c>
      <c r="BY30" t="s">
        <v>626</v>
      </c>
      <c r="BZ30" s="97" t="str">
        <f t="shared" si="3"/>
        <v>,`ApplyDate`</v>
      </c>
      <c r="CA30" t="s">
        <v>626</v>
      </c>
    </row>
    <row r="31" spans="1:79" ht="15" customHeight="1">
      <c r="A31" s="100" t="s">
        <v>968</v>
      </c>
      <c r="B31" s="23">
        <f t="shared" si="0"/>
        <v>11</v>
      </c>
      <c r="C31" s="24"/>
      <c r="D31" s="22" t="s">
        <v>369</v>
      </c>
      <c r="E31" s="25"/>
      <c r="F31" s="25"/>
      <c r="G31" s="25"/>
      <c r="H31" s="25"/>
      <c r="I31" s="25"/>
      <c r="J31" s="25"/>
      <c r="K31" s="25"/>
      <c r="L31" s="25"/>
      <c r="M31" s="25"/>
      <c r="N31" s="25"/>
      <c r="O31" s="25"/>
      <c r="P31" s="25"/>
      <c r="Q31" s="26"/>
      <c r="R31" s="22" t="s">
        <v>404</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varchar(10)</v>
      </c>
      <c r="AD31" s="25"/>
      <c r="AE31" s="25"/>
      <c r="AF31" s="25"/>
      <c r="AG31" s="26"/>
      <c r="AH31" s="22"/>
      <c r="AI31" s="26"/>
      <c r="AJ31" s="22"/>
      <c r="AK31" s="25"/>
      <c r="AL31" s="26"/>
      <c r="AM31" s="22"/>
      <c r="AN31" s="25"/>
      <c r="AO31" s="25"/>
      <c r="AP31" s="25"/>
      <c r="AQ31" s="25"/>
      <c r="AR31" s="25"/>
      <c r="AS31" s="26"/>
      <c r="AT31" s="22" t="s">
        <v>902</v>
      </c>
      <c r="AU31" s="25"/>
      <c r="AV31" s="25"/>
      <c r="AW31" s="25"/>
      <c r="AX31" s="25"/>
      <c r="AY31" s="25"/>
      <c r="AZ31" s="25"/>
      <c r="BA31" s="25"/>
      <c r="BB31" s="25"/>
      <c r="BC31" s="25"/>
      <c r="BD31" s="25"/>
      <c r="BE31" s="25"/>
      <c r="BF31" s="25"/>
      <c r="BG31" s="25"/>
      <c r="BH31" s="25"/>
      <c r="BI31" s="25"/>
      <c r="BJ31" s="26"/>
      <c r="BK31" s="4"/>
      <c r="BM31" t="s">
        <v>888</v>
      </c>
      <c r="BN31">
        <v>10</v>
      </c>
      <c r="BP31" t="str">
        <f t="shared" si="1"/>
        <v>,`ParentCode` varchar(10)  COMMENT '親分類コード'</v>
      </c>
      <c r="BQ31" t="s">
        <v>626</v>
      </c>
      <c r="BR31" t="str">
        <f t="shared" si="4"/>
        <v xml:space="preserve">,`ParentCode` varchar(10) </v>
      </c>
      <c r="BS31" t="s">
        <v>626</v>
      </c>
      <c r="BT31" s="97" t="str">
        <f t="shared" si="5"/>
        <v>,`ParentCode`</v>
      </c>
      <c r="BU31" t="s">
        <v>626</v>
      </c>
      <c r="BV31" s="97" t="str">
        <f t="shared" si="2"/>
        <v>,A.`ParentCode` = B.`ParentCode`</v>
      </c>
      <c r="BW31" t="s">
        <v>626</v>
      </c>
      <c r="BX31" s="97" t="str">
        <f t="shared" si="6"/>
        <v>,`ParentCode`</v>
      </c>
      <c r="BY31" t="s">
        <v>626</v>
      </c>
      <c r="BZ31" s="97" t="str">
        <f t="shared" si="3"/>
        <v>,`ParentCode`</v>
      </c>
      <c r="CA31" t="s">
        <v>626</v>
      </c>
    </row>
    <row r="32" spans="1:79" ht="15" customHeight="1">
      <c r="A32" s="100" t="s">
        <v>969</v>
      </c>
      <c r="B32" s="23">
        <f t="shared" si="0"/>
        <v>12</v>
      </c>
      <c r="C32" s="24"/>
      <c r="D32" s="22" t="s">
        <v>370</v>
      </c>
      <c r="E32" s="25"/>
      <c r="F32" s="25"/>
      <c r="G32" s="25"/>
      <c r="H32" s="25"/>
      <c r="I32" s="25"/>
      <c r="J32" s="25"/>
      <c r="K32" s="25"/>
      <c r="L32" s="25"/>
      <c r="M32" s="25"/>
      <c r="N32" s="25"/>
      <c r="O32" s="25"/>
      <c r="P32" s="25"/>
      <c r="Q32" s="26"/>
      <c r="R32" s="22" t="s">
        <v>405</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varchar(26)</v>
      </c>
      <c r="AD32" s="25"/>
      <c r="AE32" s="25"/>
      <c r="AF32" s="25"/>
      <c r="AG32" s="26"/>
      <c r="AH32" s="22"/>
      <c r="AI32" s="26"/>
      <c r="AJ32" s="22"/>
      <c r="AK32" s="25"/>
      <c r="AL32" s="26"/>
      <c r="AM32" s="22"/>
      <c r="AN32" s="25"/>
      <c r="AO32" s="25"/>
      <c r="AP32" s="25"/>
      <c r="AQ32" s="25"/>
      <c r="AR32" s="25"/>
      <c r="AS32" s="26"/>
      <c r="AT32" s="22" t="s">
        <v>903</v>
      </c>
      <c r="AU32" s="25"/>
      <c r="AV32" s="25"/>
      <c r="AW32" s="25"/>
      <c r="AX32" s="25"/>
      <c r="AY32" s="25"/>
      <c r="AZ32" s="25"/>
      <c r="BA32" s="25"/>
      <c r="BB32" s="25"/>
      <c r="BC32" s="25"/>
      <c r="BD32" s="25"/>
      <c r="BE32" s="25"/>
      <c r="BF32" s="25"/>
      <c r="BG32" s="25"/>
      <c r="BH32" s="25"/>
      <c r="BI32" s="25"/>
      <c r="BJ32" s="26"/>
      <c r="BK32" s="4"/>
      <c r="BM32" t="s">
        <v>888</v>
      </c>
      <c r="BN32">
        <v>26</v>
      </c>
      <c r="BP32" t="str">
        <f t="shared" si="1"/>
        <v>,`MyCompanyCode` varchar(26)  COMMENT '商品コード'</v>
      </c>
      <c r="BQ32" t="s">
        <v>626</v>
      </c>
      <c r="BR32" t="str">
        <f t="shared" si="4"/>
        <v xml:space="preserve">,`MyCompanyCode` varchar(26) </v>
      </c>
      <c r="BS32" t="s">
        <v>626</v>
      </c>
      <c r="BT32" s="97" t="str">
        <f t="shared" si="5"/>
        <v>,`MyCompanyCode`</v>
      </c>
      <c r="BU32" t="s">
        <v>626</v>
      </c>
      <c r="BV32" s="97" t="str">
        <f t="shared" si="2"/>
        <v>,A.`MyCompanyCode` = B.`MyCompanyCode`</v>
      </c>
      <c r="BW32" t="s">
        <v>626</v>
      </c>
      <c r="BX32" s="97" t="str">
        <f t="shared" si="6"/>
        <v>,`MyCompanyCode`</v>
      </c>
      <c r="BY32" t="s">
        <v>626</v>
      </c>
      <c r="BZ32" s="97" t="str">
        <f t="shared" si="3"/>
        <v>,`MyCompanyCode`</v>
      </c>
      <c r="CA32" t="s">
        <v>626</v>
      </c>
    </row>
    <row r="33" spans="1:79" ht="15" customHeight="1">
      <c r="A33" s="100" t="s">
        <v>970</v>
      </c>
      <c r="B33" s="23">
        <f t="shared" si="0"/>
        <v>13</v>
      </c>
      <c r="C33" s="24"/>
      <c r="D33" s="22" t="s">
        <v>371</v>
      </c>
      <c r="E33" s="25"/>
      <c r="F33" s="25"/>
      <c r="G33" s="25"/>
      <c r="H33" s="25"/>
      <c r="I33" s="25"/>
      <c r="J33" s="25"/>
      <c r="K33" s="25"/>
      <c r="L33" s="25"/>
      <c r="M33" s="25"/>
      <c r="N33" s="25"/>
      <c r="O33" s="25"/>
      <c r="P33" s="25"/>
      <c r="Q33" s="26"/>
      <c r="R33" s="22" t="s">
        <v>406</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varchar(26)</v>
      </c>
      <c r="AD33" s="25"/>
      <c r="AE33" s="25"/>
      <c r="AF33" s="25"/>
      <c r="AG33" s="26"/>
      <c r="AH33" s="22"/>
      <c r="AI33" s="26"/>
      <c r="AJ33" s="22"/>
      <c r="AK33" s="25"/>
      <c r="AL33" s="26"/>
      <c r="AM33" s="22"/>
      <c r="AN33" s="25"/>
      <c r="AO33" s="25"/>
      <c r="AP33" s="25"/>
      <c r="AQ33" s="25"/>
      <c r="AR33" s="25"/>
      <c r="AS33" s="26"/>
      <c r="AT33" s="22" t="s">
        <v>904</v>
      </c>
      <c r="AU33" s="25"/>
      <c r="AV33" s="25"/>
      <c r="AW33" s="25"/>
      <c r="AX33" s="25"/>
      <c r="AY33" s="25"/>
      <c r="AZ33" s="25"/>
      <c r="BA33" s="25"/>
      <c r="BB33" s="25"/>
      <c r="BC33" s="25"/>
      <c r="BD33" s="25"/>
      <c r="BE33" s="25"/>
      <c r="BF33" s="25"/>
      <c r="BG33" s="25"/>
      <c r="BH33" s="25"/>
      <c r="BI33" s="25"/>
      <c r="BJ33" s="26"/>
      <c r="BK33" s="4"/>
      <c r="BM33" t="s">
        <v>888</v>
      </c>
      <c r="BN33">
        <v>26</v>
      </c>
      <c r="BP33" t="str">
        <f t="shared" si="1"/>
        <v>,`ParentItemCode` varchar(26)  COMMENT '親JANコード'</v>
      </c>
      <c r="BQ33" t="s">
        <v>626</v>
      </c>
      <c r="BR33" t="str">
        <f t="shared" si="4"/>
        <v xml:space="preserve">,`ParentItemCode` varchar(26) </v>
      </c>
      <c r="BS33" t="s">
        <v>626</v>
      </c>
      <c r="BT33" s="97" t="str">
        <f t="shared" si="5"/>
        <v>,`ParentItemCode`</v>
      </c>
      <c r="BU33" t="s">
        <v>626</v>
      </c>
      <c r="BV33" s="97" t="str">
        <f t="shared" si="2"/>
        <v>,A.`ParentItemCode` = B.`ParentItemCode`</v>
      </c>
      <c r="BW33" t="s">
        <v>626</v>
      </c>
      <c r="BX33" s="97" t="str">
        <f t="shared" si="6"/>
        <v>,`ParentItemCode`</v>
      </c>
      <c r="BY33" t="s">
        <v>626</v>
      </c>
      <c r="BZ33" s="97" t="str">
        <f t="shared" si="3"/>
        <v>,`ParentItemCode`</v>
      </c>
      <c r="CA33" t="s">
        <v>626</v>
      </c>
    </row>
    <row r="34" spans="1:79" ht="15" customHeight="1">
      <c r="A34" s="100" t="s">
        <v>971</v>
      </c>
      <c r="B34" s="23">
        <f t="shared" si="0"/>
        <v>14</v>
      </c>
      <c r="C34" s="24"/>
      <c r="D34" s="22" t="s">
        <v>372</v>
      </c>
      <c r="E34" s="25"/>
      <c r="F34" s="25"/>
      <c r="G34" s="25"/>
      <c r="H34" s="25"/>
      <c r="I34" s="25"/>
      <c r="J34" s="25"/>
      <c r="K34" s="25"/>
      <c r="L34" s="25"/>
      <c r="M34" s="25"/>
      <c r="N34" s="25"/>
      <c r="O34" s="25"/>
      <c r="P34" s="25"/>
      <c r="Q34" s="26"/>
      <c r="R34" s="22" t="s">
        <v>407</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varchar(50)</v>
      </c>
      <c r="AD34" s="25"/>
      <c r="AE34" s="25"/>
      <c r="AF34" s="25"/>
      <c r="AG34" s="26"/>
      <c r="AH34" s="22"/>
      <c r="AI34" s="26"/>
      <c r="AJ34" s="22"/>
      <c r="AK34" s="25"/>
      <c r="AL34" s="26"/>
      <c r="AM34" s="22"/>
      <c r="AN34" s="25"/>
      <c r="AO34" s="25"/>
      <c r="AP34" s="25"/>
      <c r="AQ34" s="25"/>
      <c r="AR34" s="25"/>
      <c r="AS34" s="26"/>
      <c r="AT34" s="22" t="s">
        <v>905</v>
      </c>
      <c r="AU34" s="25"/>
      <c r="AV34" s="25"/>
      <c r="AW34" s="25"/>
      <c r="AX34" s="25"/>
      <c r="AY34" s="25"/>
      <c r="AZ34" s="25"/>
      <c r="BA34" s="25"/>
      <c r="BB34" s="25"/>
      <c r="BC34" s="25"/>
      <c r="BD34" s="25"/>
      <c r="BE34" s="25"/>
      <c r="BF34" s="25"/>
      <c r="BG34" s="25"/>
      <c r="BH34" s="25"/>
      <c r="BI34" s="25"/>
      <c r="BJ34" s="26"/>
      <c r="BK34" s="4"/>
      <c r="BM34" t="s">
        <v>888</v>
      </c>
      <c r="BN34">
        <v>50</v>
      </c>
      <c r="BP34" t="str">
        <f t="shared" si="1"/>
        <v>,`Description` varchar(50)  COMMENT '説明　（画面、レシート、ラインディスプレイにて使用）'</v>
      </c>
      <c r="BQ34" t="s">
        <v>626</v>
      </c>
      <c r="BR34" t="str">
        <f t="shared" si="4"/>
        <v xml:space="preserve">,`Description` varchar(50) </v>
      </c>
      <c r="BS34" t="s">
        <v>626</v>
      </c>
      <c r="BT34" s="97" t="str">
        <f t="shared" si="5"/>
        <v>,`Description`</v>
      </c>
      <c r="BU34" t="s">
        <v>626</v>
      </c>
      <c r="BV34" s="97" t="str">
        <f t="shared" si="2"/>
        <v>,A.`Description` = B.`Description`</v>
      </c>
      <c r="BW34" t="s">
        <v>626</v>
      </c>
      <c r="BX34" s="97" t="str">
        <f t="shared" si="6"/>
        <v>,`Description`</v>
      </c>
      <c r="BY34" t="s">
        <v>626</v>
      </c>
      <c r="BZ34" s="97" t="str">
        <f t="shared" si="3"/>
        <v>,`Description`</v>
      </c>
      <c r="CA34" t="s">
        <v>626</v>
      </c>
    </row>
    <row r="35" spans="1:79" ht="15" customHeight="1">
      <c r="A35" s="100" t="s">
        <v>972</v>
      </c>
      <c r="B35" s="23">
        <f t="shared" si="0"/>
        <v>15</v>
      </c>
      <c r="C35" s="24"/>
      <c r="D35" s="22" t="s">
        <v>373</v>
      </c>
      <c r="E35" s="25"/>
      <c r="F35" s="25"/>
      <c r="G35" s="25"/>
      <c r="H35" s="25"/>
      <c r="I35" s="25"/>
      <c r="J35" s="25"/>
      <c r="K35" s="25"/>
      <c r="L35" s="25"/>
      <c r="M35" s="25"/>
      <c r="N35" s="25"/>
      <c r="O35" s="25"/>
      <c r="P35" s="25"/>
      <c r="Q35" s="26"/>
      <c r="R35" s="22" t="s">
        <v>408</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varchar(30)</v>
      </c>
      <c r="AD35" s="25"/>
      <c r="AE35" s="25"/>
      <c r="AF35" s="25"/>
      <c r="AG35" s="26"/>
      <c r="AH35" s="22"/>
      <c r="AI35" s="26"/>
      <c r="AJ35" s="22"/>
      <c r="AK35" s="25"/>
      <c r="AL35" s="26"/>
      <c r="AM35" s="22"/>
      <c r="AN35" s="25"/>
      <c r="AO35" s="25"/>
      <c r="AP35" s="25"/>
      <c r="AQ35" s="25"/>
      <c r="AR35" s="25"/>
      <c r="AS35" s="26"/>
      <c r="AT35" s="22" t="s">
        <v>906</v>
      </c>
      <c r="AU35" s="25"/>
      <c r="AV35" s="25"/>
      <c r="AW35" s="25"/>
      <c r="AX35" s="25"/>
      <c r="AY35" s="25"/>
      <c r="AZ35" s="25"/>
      <c r="BA35" s="25"/>
      <c r="BB35" s="25"/>
      <c r="BC35" s="25"/>
      <c r="BD35" s="25"/>
      <c r="BE35" s="25"/>
      <c r="BF35" s="25"/>
      <c r="BG35" s="25"/>
      <c r="BH35" s="25"/>
      <c r="BI35" s="25"/>
      <c r="BJ35" s="26"/>
      <c r="BK35" s="4"/>
      <c r="BM35" t="s">
        <v>888</v>
      </c>
      <c r="BN35">
        <v>30</v>
      </c>
      <c r="BP35" t="str">
        <f t="shared" si="1"/>
        <v>,`DescriptionShort` varchar(30)  COMMENT '簡略説明　（ラインディスプレイ（半角カナ用）にて使用）'</v>
      </c>
      <c r="BQ35" t="s">
        <v>626</v>
      </c>
      <c r="BR35" t="str">
        <f t="shared" si="4"/>
        <v xml:space="preserve">,`DescriptionShort` varchar(30) </v>
      </c>
      <c r="BS35" t="s">
        <v>626</v>
      </c>
      <c r="BT35" s="97" t="str">
        <f t="shared" si="5"/>
        <v>,`DescriptionShort`</v>
      </c>
      <c r="BU35" t="s">
        <v>626</v>
      </c>
      <c r="BV35" s="97" t="str">
        <f t="shared" si="2"/>
        <v>,A.`DescriptionShort` = B.`DescriptionShort`</v>
      </c>
      <c r="BW35" t="s">
        <v>626</v>
      </c>
      <c r="BX35" s="97" t="str">
        <f t="shared" si="6"/>
        <v>,`DescriptionShort`</v>
      </c>
      <c r="BY35" t="s">
        <v>626</v>
      </c>
      <c r="BZ35" s="97" t="str">
        <f t="shared" si="3"/>
        <v>,`DescriptionShort`</v>
      </c>
      <c r="CA35" t="s">
        <v>626</v>
      </c>
    </row>
    <row r="36" spans="1:79" ht="15" customHeight="1">
      <c r="A36" s="100" t="s">
        <v>973</v>
      </c>
      <c r="B36" s="23">
        <f t="shared" si="0"/>
        <v>16</v>
      </c>
      <c r="C36" s="24"/>
      <c r="D36" s="22" t="s">
        <v>374</v>
      </c>
      <c r="E36" s="25"/>
      <c r="F36" s="25"/>
      <c r="G36" s="25"/>
      <c r="H36" s="25"/>
      <c r="I36" s="25"/>
      <c r="J36" s="25"/>
      <c r="K36" s="25"/>
      <c r="L36" s="25"/>
      <c r="M36" s="25"/>
      <c r="N36" s="25"/>
      <c r="O36" s="25"/>
      <c r="P36" s="25"/>
      <c r="Q36" s="26"/>
      <c r="R36" s="22" t="s">
        <v>409</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varchar(100)</v>
      </c>
      <c r="AD36" s="25"/>
      <c r="AE36" s="25"/>
      <c r="AF36" s="25"/>
      <c r="AG36" s="26"/>
      <c r="AH36" s="22"/>
      <c r="AI36" s="26"/>
      <c r="AJ36" s="22"/>
      <c r="AK36" s="25"/>
      <c r="AL36" s="26"/>
      <c r="AM36" s="22"/>
      <c r="AN36" s="25"/>
      <c r="AO36" s="25"/>
      <c r="AP36" s="25"/>
      <c r="AQ36" s="25"/>
      <c r="AR36" s="25"/>
      <c r="AS36" s="26"/>
      <c r="AT36" s="22" t="s">
        <v>907</v>
      </c>
      <c r="AU36" s="25"/>
      <c r="AV36" s="25"/>
      <c r="AW36" s="25"/>
      <c r="AX36" s="25"/>
      <c r="AY36" s="25"/>
      <c r="AZ36" s="25"/>
      <c r="BA36" s="25"/>
      <c r="BB36" s="25"/>
      <c r="BC36" s="25"/>
      <c r="BD36" s="25"/>
      <c r="BE36" s="25"/>
      <c r="BF36" s="25"/>
      <c r="BG36" s="25"/>
      <c r="BH36" s="25"/>
      <c r="BI36" s="25"/>
      <c r="BJ36" s="26"/>
      <c r="BK36" s="4"/>
      <c r="BM36" t="s">
        <v>888</v>
      </c>
      <c r="BN36">
        <v>100</v>
      </c>
      <c r="BP36" t="str">
        <f t="shared" si="1"/>
        <v>,`DescriptionLong` varchar(100)  COMMENT '詳細説明　（レポートにて使用）'</v>
      </c>
      <c r="BQ36" t="s">
        <v>626</v>
      </c>
      <c r="BR36" t="str">
        <f t="shared" si="4"/>
        <v xml:space="preserve">,`DescriptionLong` varchar(100) </v>
      </c>
      <c r="BS36" t="s">
        <v>626</v>
      </c>
      <c r="BT36" s="97" t="str">
        <f t="shared" si="5"/>
        <v>,`DescriptionLong`</v>
      </c>
      <c r="BU36" t="s">
        <v>626</v>
      </c>
      <c r="BV36" s="97" t="str">
        <f t="shared" si="2"/>
        <v>,A.`DescriptionLong` = B.`DescriptionLong`</v>
      </c>
      <c r="BW36" t="s">
        <v>626</v>
      </c>
      <c r="BX36" s="97" t="str">
        <f t="shared" si="6"/>
        <v>,`DescriptionLong`</v>
      </c>
      <c r="BY36" t="s">
        <v>626</v>
      </c>
      <c r="BZ36" s="97" t="str">
        <f t="shared" si="3"/>
        <v>,`DescriptionLong`</v>
      </c>
      <c r="CA36" t="s">
        <v>626</v>
      </c>
    </row>
    <row r="37" spans="1:79" ht="15" customHeight="1">
      <c r="A37" s="100" t="s">
        <v>974</v>
      </c>
      <c r="B37" s="23">
        <f t="shared" si="0"/>
        <v>17</v>
      </c>
      <c r="C37" s="24"/>
      <c r="D37" s="22" t="s">
        <v>375</v>
      </c>
      <c r="E37" s="25"/>
      <c r="F37" s="25"/>
      <c r="G37" s="25"/>
      <c r="H37" s="25"/>
      <c r="I37" s="25"/>
      <c r="J37" s="25"/>
      <c r="K37" s="25"/>
      <c r="L37" s="25"/>
      <c r="M37" s="25"/>
      <c r="N37" s="25"/>
      <c r="O37" s="25"/>
      <c r="P37" s="25"/>
      <c r="Q37" s="26"/>
      <c r="R37" s="22" t="s">
        <v>410</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varchar(5)</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
        <v>888</v>
      </c>
      <c r="BN37">
        <v>5</v>
      </c>
      <c r="BP37" t="str">
        <f t="shared" si="1"/>
        <v>,`SubDescription` varchar(5)  COMMENT '補足説明　(規格)'</v>
      </c>
      <c r="BQ37" t="s">
        <v>626</v>
      </c>
      <c r="BR37" t="str">
        <f t="shared" si="4"/>
        <v xml:space="preserve">,`SubDescription` varchar(5) </v>
      </c>
      <c r="BS37" t="s">
        <v>626</v>
      </c>
      <c r="BT37" s="97" t="str">
        <f t="shared" si="5"/>
        <v>,`SubDescription`</v>
      </c>
      <c r="BU37" t="s">
        <v>626</v>
      </c>
      <c r="BV37" s="97" t="str">
        <f t="shared" si="2"/>
        <v>,A.`SubDescription` = B.`SubDescription`</v>
      </c>
      <c r="BW37" t="s">
        <v>626</v>
      </c>
      <c r="BX37" s="97" t="str">
        <f t="shared" si="6"/>
        <v>,`SubDescription`</v>
      </c>
      <c r="BY37" t="s">
        <v>626</v>
      </c>
      <c r="BZ37" s="97" t="str">
        <f t="shared" si="3"/>
        <v>,`SubDescription`</v>
      </c>
      <c r="CA37" t="s">
        <v>626</v>
      </c>
    </row>
    <row r="38" spans="1:79" ht="15" customHeight="1">
      <c r="A38" s="100" t="s">
        <v>975</v>
      </c>
      <c r="B38" s="23">
        <f t="shared" si="0"/>
        <v>18</v>
      </c>
      <c r="C38" s="24"/>
      <c r="D38" s="22" t="s">
        <v>376</v>
      </c>
      <c r="E38" s="25"/>
      <c r="F38" s="25"/>
      <c r="G38" s="25"/>
      <c r="H38" s="25"/>
      <c r="I38" s="25"/>
      <c r="J38" s="25"/>
      <c r="K38" s="25"/>
      <c r="L38" s="25"/>
      <c r="M38" s="25"/>
      <c r="N38" s="25"/>
      <c r="O38" s="25"/>
      <c r="P38" s="25"/>
      <c r="Q38" s="26"/>
      <c r="R38" s="22" t="s">
        <v>411</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varchar(50)</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
        <v>888</v>
      </c>
      <c r="BN38">
        <v>50</v>
      </c>
      <c r="BP38" t="str">
        <f t="shared" si="1"/>
        <v>,`Manufacturer` varchar(50)  COMMENT 'メーカー'</v>
      </c>
      <c r="BQ38" t="s">
        <v>626</v>
      </c>
      <c r="BR38" t="str">
        <f t="shared" si="4"/>
        <v xml:space="preserve">,`Manufacturer` varchar(50) </v>
      </c>
      <c r="BS38" t="s">
        <v>626</v>
      </c>
      <c r="BT38" s="97" t="str">
        <f t="shared" si="5"/>
        <v>,`Manufacturer`</v>
      </c>
      <c r="BU38" t="s">
        <v>626</v>
      </c>
      <c r="BV38" s="97" t="str">
        <f t="shared" si="2"/>
        <v>,A.`Manufacturer` = B.`Manufacturer`</v>
      </c>
      <c r="BW38" t="s">
        <v>626</v>
      </c>
      <c r="BX38" s="97" t="str">
        <f t="shared" si="6"/>
        <v>,`Manufacturer`</v>
      </c>
      <c r="BY38" t="s">
        <v>626</v>
      </c>
      <c r="BZ38" s="97" t="str">
        <f t="shared" si="3"/>
        <v>,`Manufacturer`</v>
      </c>
      <c r="CA38" t="s">
        <v>626</v>
      </c>
    </row>
    <row r="39" spans="1:79" ht="15" customHeight="1">
      <c r="A39" s="100" t="s">
        <v>976</v>
      </c>
      <c r="B39" s="23">
        <f t="shared" si="0"/>
        <v>19</v>
      </c>
      <c r="C39" s="24"/>
      <c r="D39" s="22" t="s">
        <v>377</v>
      </c>
      <c r="E39" s="25"/>
      <c r="F39" s="25"/>
      <c r="G39" s="25"/>
      <c r="H39" s="25"/>
      <c r="I39" s="25"/>
      <c r="J39" s="25"/>
      <c r="K39" s="25"/>
      <c r="L39" s="25"/>
      <c r="M39" s="25"/>
      <c r="N39" s="25"/>
      <c r="O39" s="25"/>
      <c r="P39" s="25"/>
      <c r="Q39" s="26"/>
      <c r="R39" s="22" t="s">
        <v>412</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decimal(19,4)</v>
      </c>
      <c r="AD39" s="25"/>
      <c r="AE39" s="25"/>
      <c r="AF39" s="25"/>
      <c r="AG39" s="26"/>
      <c r="AH39" s="22"/>
      <c r="AI39" s="26"/>
      <c r="AJ39" s="22"/>
      <c r="AK39" s="25"/>
      <c r="AL39" s="26"/>
      <c r="AM39" s="22"/>
      <c r="AN39" s="25"/>
      <c r="AO39" s="25"/>
      <c r="AP39" s="25"/>
      <c r="AQ39" s="25"/>
      <c r="AR39" s="25"/>
      <c r="AS39" s="26"/>
      <c r="AT39" s="22" t="s">
        <v>908</v>
      </c>
      <c r="AU39" s="25"/>
      <c r="AV39" s="25"/>
      <c r="AW39" s="25"/>
      <c r="AX39" s="25"/>
      <c r="AY39" s="25"/>
      <c r="AZ39" s="25"/>
      <c r="BA39" s="25"/>
      <c r="BB39" s="25"/>
      <c r="BC39" s="25"/>
      <c r="BD39" s="25"/>
      <c r="BE39" s="25"/>
      <c r="BF39" s="25"/>
      <c r="BG39" s="25"/>
      <c r="BH39" s="25"/>
      <c r="BI39" s="25"/>
      <c r="BJ39" s="26"/>
      <c r="BK39" s="4"/>
      <c r="BM39" t="s">
        <v>891</v>
      </c>
      <c r="BP39" t="str">
        <f t="shared" si="1"/>
        <v>,`UnitPrice` decimal(19,4)  COMMENT '単価'</v>
      </c>
      <c r="BQ39" t="s">
        <v>626</v>
      </c>
      <c r="BR39" t="str">
        <f t="shared" si="4"/>
        <v xml:space="preserve">,`UnitPrice` decimal(19,4) </v>
      </c>
      <c r="BS39" t="s">
        <v>626</v>
      </c>
      <c r="BT39" s="97" t="str">
        <f t="shared" si="5"/>
        <v>,`UnitPrice`</v>
      </c>
      <c r="BU39" t="s">
        <v>626</v>
      </c>
      <c r="BV39" s="97" t="str">
        <f t="shared" si="2"/>
        <v>,A.`UnitPrice` = B.`UnitPrice`</v>
      </c>
      <c r="BW39" t="s">
        <v>626</v>
      </c>
      <c r="BX39" s="97" t="str">
        <f t="shared" si="6"/>
        <v>,`UnitPrice`</v>
      </c>
      <c r="BY39" t="s">
        <v>626</v>
      </c>
      <c r="BZ39" s="97" t="str">
        <f t="shared" si="3"/>
        <v>,`UnitPrice`</v>
      </c>
      <c r="CA39" t="s">
        <v>626</v>
      </c>
    </row>
    <row r="40" spans="1:79" ht="15" customHeight="1">
      <c r="A40" s="100" t="s">
        <v>977</v>
      </c>
      <c r="B40" s="23">
        <f t="shared" si="0"/>
        <v>20</v>
      </c>
      <c r="C40" s="24"/>
      <c r="D40" s="22" t="s">
        <v>378</v>
      </c>
      <c r="E40" s="25"/>
      <c r="F40" s="25"/>
      <c r="G40" s="25"/>
      <c r="H40" s="25"/>
      <c r="I40" s="25"/>
      <c r="J40" s="25"/>
      <c r="K40" s="25"/>
      <c r="L40" s="25"/>
      <c r="M40" s="25"/>
      <c r="N40" s="25"/>
      <c r="O40" s="25"/>
      <c r="P40" s="25"/>
      <c r="Q40" s="26"/>
      <c r="R40" s="22" t="s">
        <v>413</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decimal(19,4)</v>
      </c>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
        <v>899</v>
      </c>
      <c r="BP40" t="str">
        <f t="shared" si="1"/>
        <v>,`HeadquartersIndicationPrice` decimal(19,4)  COMMENT '本部指示売価'</v>
      </c>
      <c r="BQ40" t="s">
        <v>626</v>
      </c>
      <c r="BR40" t="str">
        <f t="shared" si="4"/>
        <v xml:space="preserve">,`HeadquartersIndicationPrice` decimal(19,4) </v>
      </c>
      <c r="BS40" t="s">
        <v>626</v>
      </c>
      <c r="BT40" s="97" t="str">
        <f t="shared" si="5"/>
        <v>,`HeadquartersIndicationPrice`</v>
      </c>
      <c r="BU40" t="s">
        <v>626</v>
      </c>
      <c r="BV40" s="97" t="str">
        <f t="shared" si="2"/>
        <v>,A.`HeadquartersIndicationPrice` = B.`HeadquartersIndicationPrice`</v>
      </c>
      <c r="BW40" t="s">
        <v>626</v>
      </c>
      <c r="BX40" s="97" t="str">
        <f t="shared" si="6"/>
        <v>,`HeadquartersIndicationPrice`</v>
      </c>
      <c r="BY40" t="s">
        <v>626</v>
      </c>
      <c r="BZ40" s="97" t="str">
        <f t="shared" si="3"/>
        <v>,`HeadquartersIndicationPrice`</v>
      </c>
      <c r="CA40" t="s">
        <v>626</v>
      </c>
    </row>
    <row r="41" spans="1:79" ht="15" customHeight="1">
      <c r="A41" s="100" t="s">
        <v>978</v>
      </c>
      <c r="B41" s="23">
        <f t="shared" si="0"/>
        <v>21</v>
      </c>
      <c r="C41" s="24"/>
      <c r="D41" s="22" t="s">
        <v>379</v>
      </c>
      <c r="E41" s="25"/>
      <c r="F41" s="25"/>
      <c r="G41" s="25"/>
      <c r="H41" s="25"/>
      <c r="I41" s="25"/>
      <c r="J41" s="25"/>
      <c r="K41" s="25"/>
      <c r="L41" s="25"/>
      <c r="M41" s="25"/>
      <c r="N41" s="25"/>
      <c r="O41" s="25"/>
      <c r="P41" s="25"/>
      <c r="Q41" s="26"/>
      <c r="R41" s="22" t="s">
        <v>414</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decimal(19,4)</v>
      </c>
      <c r="AD41" s="25"/>
      <c r="AE41" s="25"/>
      <c r="AF41" s="25"/>
      <c r="AG41" s="26"/>
      <c r="AH41" s="22"/>
      <c r="AI41" s="26"/>
      <c r="AJ41" s="22"/>
      <c r="AK41" s="25"/>
      <c r="AL41" s="26"/>
      <c r="AM41" s="22"/>
      <c r="AN41" s="25"/>
      <c r="AO41" s="25"/>
      <c r="AP41" s="25"/>
      <c r="AQ41" s="25"/>
      <c r="AR41" s="25"/>
      <c r="AS41" s="26"/>
      <c r="AT41" s="22" t="s">
        <v>909</v>
      </c>
      <c r="AU41" s="25"/>
      <c r="AV41" s="25"/>
      <c r="AW41" s="25"/>
      <c r="AX41" s="25"/>
      <c r="AY41" s="25"/>
      <c r="AZ41" s="25"/>
      <c r="BA41" s="25"/>
      <c r="BB41" s="25"/>
      <c r="BC41" s="25"/>
      <c r="BD41" s="25"/>
      <c r="BE41" s="25"/>
      <c r="BF41" s="25"/>
      <c r="BG41" s="25"/>
      <c r="BH41" s="25"/>
      <c r="BI41" s="25"/>
      <c r="BJ41" s="26"/>
      <c r="BK41" s="4"/>
      <c r="BM41" t="s">
        <v>891</v>
      </c>
      <c r="BP41" t="str">
        <f t="shared" si="1"/>
        <v>,`CostPrice` decimal(19,4)  COMMENT '原価'</v>
      </c>
      <c r="BQ41" t="s">
        <v>626</v>
      </c>
      <c r="BR41" t="str">
        <f t="shared" si="4"/>
        <v xml:space="preserve">,`CostPrice` decimal(19,4) </v>
      </c>
      <c r="BS41" t="s">
        <v>626</v>
      </c>
      <c r="BT41" s="97" t="str">
        <f t="shared" si="5"/>
        <v>,`CostPrice`</v>
      </c>
      <c r="BU41" t="s">
        <v>626</v>
      </c>
      <c r="BV41" s="97" t="str">
        <f t="shared" si="2"/>
        <v>,A.`CostPrice` = B.`CostPrice`</v>
      </c>
      <c r="BW41" t="s">
        <v>626</v>
      </c>
      <c r="BX41" s="97" t="str">
        <f t="shared" si="6"/>
        <v>,`CostPrice`</v>
      </c>
      <c r="BY41" t="s">
        <v>626</v>
      </c>
      <c r="BZ41" s="97" t="str">
        <f t="shared" si="3"/>
        <v>,`CostPrice`</v>
      </c>
      <c r="CA41" t="s">
        <v>626</v>
      </c>
    </row>
    <row r="42" spans="1:79" ht="15" customHeight="1">
      <c r="A42" s="100" t="s">
        <v>979</v>
      </c>
      <c r="B42" s="23">
        <f t="shared" si="0"/>
        <v>22</v>
      </c>
      <c r="C42" s="24"/>
      <c r="D42" s="22" t="s">
        <v>380</v>
      </c>
      <c r="E42" s="25"/>
      <c r="F42" s="25"/>
      <c r="G42" s="25"/>
      <c r="H42" s="25"/>
      <c r="I42" s="25"/>
      <c r="J42" s="25"/>
      <c r="K42" s="25"/>
      <c r="L42" s="25"/>
      <c r="M42" s="25"/>
      <c r="N42" s="25"/>
      <c r="O42" s="25"/>
      <c r="P42" s="25"/>
      <c r="Q42" s="26"/>
      <c r="R42" s="22" t="s">
        <v>415</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numeric(5, 2)</v>
      </c>
      <c r="AD42" s="25"/>
      <c r="AE42" s="25"/>
      <c r="AF42" s="25"/>
      <c r="AG42" s="26"/>
      <c r="AH42" s="22"/>
      <c r="AI42" s="26"/>
      <c r="AJ42" s="22"/>
      <c r="AK42" s="25"/>
      <c r="AL42" s="26"/>
      <c r="AM42" s="22"/>
      <c r="AN42" s="25"/>
      <c r="AO42" s="25"/>
      <c r="AP42" s="25"/>
      <c r="AQ42" s="25"/>
      <c r="AR42" s="25"/>
      <c r="AS42" s="26"/>
      <c r="AT42" s="22" t="s">
        <v>910</v>
      </c>
      <c r="AU42" s="25"/>
      <c r="AV42" s="25"/>
      <c r="AW42" s="25"/>
      <c r="AX42" s="25"/>
      <c r="AY42" s="25"/>
      <c r="AZ42" s="25"/>
      <c r="BA42" s="25"/>
      <c r="BB42" s="25"/>
      <c r="BC42" s="25"/>
      <c r="BD42" s="25"/>
      <c r="BE42" s="25"/>
      <c r="BF42" s="25"/>
      <c r="BG42" s="25"/>
      <c r="BH42" s="25"/>
      <c r="BI42" s="25"/>
      <c r="BJ42" s="26"/>
      <c r="BK42" s="4"/>
      <c r="BM42" t="s">
        <v>892</v>
      </c>
      <c r="BN42" t="s">
        <v>893</v>
      </c>
      <c r="BP42" t="str">
        <f t="shared" si="1"/>
        <v>,`MarkupRatio` numeric(5, 2)  COMMENT '値入率'</v>
      </c>
      <c r="BQ42" t="s">
        <v>626</v>
      </c>
      <c r="BR42" t="str">
        <f t="shared" si="4"/>
        <v xml:space="preserve">,`MarkupRatio` numeric(5, 2) </v>
      </c>
      <c r="BS42" t="s">
        <v>626</v>
      </c>
      <c r="BT42" s="97" t="str">
        <f t="shared" si="5"/>
        <v>,`MarkupRatio`</v>
      </c>
      <c r="BU42" t="s">
        <v>626</v>
      </c>
      <c r="BV42" s="97" t="str">
        <f t="shared" si="2"/>
        <v>,A.`MarkupRatio` = B.`MarkupRatio`</v>
      </c>
      <c r="BW42" t="s">
        <v>626</v>
      </c>
      <c r="BX42" s="97" t="str">
        <f t="shared" si="6"/>
        <v>,`MarkupRatio`</v>
      </c>
      <c r="BY42" t="s">
        <v>626</v>
      </c>
      <c r="BZ42" s="97" t="str">
        <f t="shared" si="3"/>
        <v>,`MarkupRatio`</v>
      </c>
      <c r="CA42" t="s">
        <v>626</v>
      </c>
    </row>
    <row r="43" spans="1:79" ht="15" customHeight="1">
      <c r="A43" s="100" t="s">
        <v>980</v>
      </c>
      <c r="B43" s="23">
        <f t="shared" si="0"/>
        <v>23</v>
      </c>
      <c r="C43" s="24"/>
      <c r="D43" s="22" t="s">
        <v>381</v>
      </c>
      <c r="E43" s="25"/>
      <c r="F43" s="25"/>
      <c r="G43" s="25"/>
      <c r="H43" s="25"/>
      <c r="I43" s="25"/>
      <c r="J43" s="25"/>
      <c r="K43" s="25"/>
      <c r="L43" s="25"/>
      <c r="M43" s="25"/>
      <c r="N43" s="25"/>
      <c r="O43" s="25"/>
      <c r="P43" s="25"/>
      <c r="Q43" s="26"/>
      <c r="R43" s="22" t="s">
        <v>416</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varchar(2)</v>
      </c>
      <c r="AD43" s="25"/>
      <c r="AE43" s="25"/>
      <c r="AF43" s="25"/>
      <c r="AG43" s="26"/>
      <c r="AH43" s="22"/>
      <c r="AI43" s="26"/>
      <c r="AJ43" s="22"/>
      <c r="AK43" s="25"/>
      <c r="AL43" s="26"/>
      <c r="AM43" s="22"/>
      <c r="AN43" s="25"/>
      <c r="AO43" s="25"/>
      <c r="AP43" s="25"/>
      <c r="AQ43" s="25"/>
      <c r="AR43" s="25"/>
      <c r="AS43" s="26"/>
      <c r="AT43" s="22" t="s">
        <v>477</v>
      </c>
      <c r="AU43" s="25"/>
      <c r="AV43" s="25"/>
      <c r="AW43" s="25"/>
      <c r="AX43" s="25"/>
      <c r="AY43" s="25"/>
      <c r="AZ43" s="25"/>
      <c r="BA43" s="25"/>
      <c r="BB43" s="25"/>
      <c r="BC43" s="25"/>
      <c r="BD43" s="25"/>
      <c r="BE43" s="25"/>
      <c r="BF43" s="25"/>
      <c r="BG43" s="25"/>
      <c r="BH43" s="25"/>
      <c r="BI43" s="25"/>
      <c r="BJ43" s="26"/>
      <c r="BK43" s="4"/>
      <c r="BM43" t="s">
        <v>888</v>
      </c>
      <c r="BN43">
        <v>2</v>
      </c>
      <c r="BP43" t="str">
        <f t="shared" si="1"/>
        <v>,`TaxGroupCode` varchar(2)  COMMENT '税グループコード'</v>
      </c>
      <c r="BQ43" t="s">
        <v>626</v>
      </c>
      <c r="BR43" t="str">
        <f t="shared" si="4"/>
        <v xml:space="preserve">,`TaxGroupCode` varchar(2) </v>
      </c>
      <c r="BS43" t="s">
        <v>626</v>
      </c>
      <c r="BT43" s="97" t="str">
        <f t="shared" si="5"/>
        <v>,`TaxGroupCode`</v>
      </c>
      <c r="BU43" t="s">
        <v>626</v>
      </c>
      <c r="BV43" s="97" t="str">
        <f t="shared" si="2"/>
        <v>,A.`TaxGroupCode` = B.`TaxGroupCode`</v>
      </c>
      <c r="BW43" t="s">
        <v>626</v>
      </c>
      <c r="BX43" s="97" t="str">
        <f t="shared" si="6"/>
        <v>,`TaxGroupCode`</v>
      </c>
      <c r="BY43" t="s">
        <v>626</v>
      </c>
      <c r="BZ43" s="97" t="str">
        <f t="shared" si="3"/>
        <v>,`TaxGroupCode`</v>
      </c>
      <c r="CA43" t="s">
        <v>626</v>
      </c>
    </row>
    <row r="44" spans="1:79" ht="15" customHeight="1">
      <c r="A44" s="100" t="s">
        <v>981</v>
      </c>
      <c r="B44" s="23">
        <f t="shared" si="0"/>
        <v>24</v>
      </c>
      <c r="C44" s="24"/>
      <c r="D44" s="22" t="s">
        <v>382</v>
      </c>
      <c r="E44" s="25"/>
      <c r="F44" s="25"/>
      <c r="G44" s="25"/>
      <c r="H44" s="25"/>
      <c r="I44" s="25"/>
      <c r="J44" s="25"/>
      <c r="K44" s="25"/>
      <c r="L44" s="25"/>
      <c r="M44" s="25"/>
      <c r="N44" s="25"/>
      <c r="O44" s="25"/>
      <c r="P44" s="25"/>
      <c r="Q44" s="26"/>
      <c r="R44" s="22" t="s">
        <v>417</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int</v>
      </c>
      <c r="AD44" s="25"/>
      <c r="AE44" s="25"/>
      <c r="AF44" s="25"/>
      <c r="AG44" s="26"/>
      <c r="AH44" s="22"/>
      <c r="AI44" s="26"/>
      <c r="AJ44" s="22"/>
      <c r="AK44" s="25"/>
      <c r="AL44" s="26"/>
      <c r="AM44" s="22"/>
      <c r="AN44" s="25"/>
      <c r="AO44" s="25"/>
      <c r="AP44" s="25"/>
      <c r="AQ44" s="25"/>
      <c r="AR44" s="25"/>
      <c r="AS44" s="26"/>
      <c r="AT44" s="22" t="s">
        <v>911</v>
      </c>
      <c r="AU44" s="25"/>
      <c r="AV44" s="25"/>
      <c r="AW44" s="25"/>
      <c r="AX44" s="25"/>
      <c r="AY44" s="25"/>
      <c r="AZ44" s="25"/>
      <c r="BA44" s="25"/>
      <c r="BB44" s="25"/>
      <c r="BC44" s="25"/>
      <c r="BD44" s="25"/>
      <c r="BE44" s="25"/>
      <c r="BF44" s="25"/>
      <c r="BG44" s="25"/>
      <c r="BH44" s="25"/>
      <c r="BI44" s="25"/>
      <c r="BJ44" s="26"/>
      <c r="BK44" s="4"/>
      <c r="BM44" t="s">
        <v>437</v>
      </c>
      <c r="BP44" t="str">
        <f t="shared" si="1"/>
        <v>,`TaxConvertType` int  COMMENT '税変換種別'</v>
      </c>
      <c r="BQ44" t="s">
        <v>626</v>
      </c>
      <c r="BR44" t="str">
        <f t="shared" si="4"/>
        <v xml:space="preserve">,`TaxConvertType` int </v>
      </c>
      <c r="BS44" t="s">
        <v>626</v>
      </c>
      <c r="BT44" s="97" t="str">
        <f t="shared" si="5"/>
        <v>,`TaxConvertType`</v>
      </c>
      <c r="BU44" t="s">
        <v>626</v>
      </c>
      <c r="BV44" s="97" t="str">
        <f t="shared" si="2"/>
        <v>,A.`TaxConvertType` = B.`TaxConvertType`</v>
      </c>
      <c r="BW44" t="s">
        <v>626</v>
      </c>
      <c r="BX44" s="97" t="str">
        <f t="shared" si="6"/>
        <v>,`TaxConvertType`</v>
      </c>
      <c r="BY44" t="s">
        <v>626</v>
      </c>
      <c r="BZ44" s="97" t="str">
        <f t="shared" si="3"/>
        <v>,`TaxConvertType`</v>
      </c>
      <c r="CA44" t="s">
        <v>626</v>
      </c>
    </row>
    <row r="45" spans="1:79" ht="15" customHeight="1">
      <c r="A45" s="100" t="s">
        <v>982</v>
      </c>
      <c r="B45" s="23">
        <f t="shared" si="0"/>
        <v>25</v>
      </c>
      <c r="C45" s="24"/>
      <c r="D45" s="22" t="s">
        <v>383</v>
      </c>
      <c r="E45" s="25"/>
      <c r="F45" s="25"/>
      <c r="G45" s="25"/>
      <c r="H45" s="25"/>
      <c r="I45" s="25"/>
      <c r="J45" s="25"/>
      <c r="K45" s="25"/>
      <c r="L45" s="25"/>
      <c r="M45" s="25"/>
      <c r="N45" s="25"/>
      <c r="O45" s="25"/>
      <c r="P45" s="25"/>
      <c r="Q45" s="26"/>
      <c r="R45" s="22" t="s">
        <v>418</v>
      </c>
      <c r="S45" s="25"/>
      <c r="T45" s="25"/>
      <c r="U45" s="25"/>
      <c r="V45" s="25"/>
      <c r="W45" s="25"/>
      <c r="X45" s="25"/>
      <c r="Y45" s="25"/>
      <c r="Z45" s="25"/>
      <c r="AA45" s="25"/>
      <c r="AB45" s="26"/>
      <c r="AC45" s="22" t="str" cm="1">
        <f t="array" ref="AC45">_xlfn.SWITCH(BM45,"nvarchar","varchar("&amp;BN45&amp;")","smallint","smallint","date","date","money","decimal(19,4)","numeric","numeric("&amp;BN45&amp;")","int","int","bit","char(1)","datetime2","datetime","time","time")</f>
        <v>numeric(7, 0)</v>
      </c>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c r="BM45" t="s">
        <v>892</v>
      </c>
      <c r="BN45" t="s">
        <v>894</v>
      </c>
      <c r="BP45" t="str">
        <f t="shared" si="1"/>
        <v>,`Volume` numeric(7, 0)  COMMENT '容量'</v>
      </c>
      <c r="BQ45" t="s">
        <v>626</v>
      </c>
      <c r="BR45" t="str">
        <f t="shared" si="4"/>
        <v xml:space="preserve">,`Volume` numeric(7, 0) </v>
      </c>
      <c r="BS45" t="s">
        <v>626</v>
      </c>
      <c r="BT45" s="97" t="str">
        <f t="shared" si="5"/>
        <v>,`Volume`</v>
      </c>
      <c r="BU45" t="s">
        <v>626</v>
      </c>
      <c r="BV45" s="97" t="str">
        <f t="shared" si="2"/>
        <v>,A.`Volume` = B.`Volume`</v>
      </c>
      <c r="BW45" t="s">
        <v>626</v>
      </c>
      <c r="BX45" s="97" t="str">
        <f t="shared" si="6"/>
        <v>,`Volume`</v>
      </c>
      <c r="BY45" t="s">
        <v>626</v>
      </c>
      <c r="BZ45" s="97" t="str">
        <f t="shared" si="3"/>
        <v>,`Volume`</v>
      </c>
      <c r="CA45" t="s">
        <v>626</v>
      </c>
    </row>
    <row r="46" spans="1:79" ht="15" customHeight="1">
      <c r="A46" s="100" t="s">
        <v>983</v>
      </c>
      <c r="B46" s="23">
        <f t="shared" si="0"/>
        <v>26</v>
      </c>
      <c r="C46" s="24"/>
      <c r="D46" s="22" t="s">
        <v>384</v>
      </c>
      <c r="E46" s="25"/>
      <c r="F46" s="25"/>
      <c r="G46" s="25"/>
      <c r="H46" s="25"/>
      <c r="I46" s="25"/>
      <c r="J46" s="25"/>
      <c r="K46" s="25"/>
      <c r="L46" s="25"/>
      <c r="M46" s="25"/>
      <c r="N46" s="25"/>
      <c r="O46" s="25"/>
      <c r="P46" s="25"/>
      <c r="Q46" s="26"/>
      <c r="R46" s="22" t="s">
        <v>419</v>
      </c>
      <c r="S46" s="25"/>
      <c r="T46" s="25"/>
      <c r="U46" s="25"/>
      <c r="V46" s="25"/>
      <c r="W46" s="25"/>
      <c r="X46" s="25"/>
      <c r="Y46" s="25"/>
      <c r="Z46" s="25"/>
      <c r="AA46" s="25"/>
      <c r="AB46" s="26"/>
      <c r="AC46" s="22" t="str" cm="1">
        <f t="array" ref="AC46">_xlfn.SWITCH(BM46,"nvarchar","varchar("&amp;BN46&amp;")","smallint","smallint","date","date","money","decimal(19,4)","numeric","numeric("&amp;BN46&amp;")","int","int","bit","char(1)","datetime2","datetime","time","time")</f>
        <v>numeric(5, 0)</v>
      </c>
      <c r="AD46" s="25"/>
      <c r="AE46" s="25"/>
      <c r="AF46" s="25"/>
      <c r="AG46" s="26"/>
      <c r="AH46" s="22"/>
      <c r="AI46" s="26"/>
      <c r="AJ46" s="22"/>
      <c r="AK46" s="25"/>
      <c r="AL46" s="26"/>
      <c r="AM46" s="22"/>
      <c r="AN46" s="25"/>
      <c r="AO46" s="25"/>
      <c r="AP46" s="25"/>
      <c r="AQ46" s="25"/>
      <c r="AR46" s="25"/>
      <c r="AS46" s="26"/>
      <c r="AT46" s="22"/>
      <c r="AU46" s="25"/>
      <c r="AV46" s="25"/>
      <c r="AW46" s="25"/>
      <c r="AX46" s="25"/>
      <c r="AY46" s="25"/>
      <c r="AZ46" s="25"/>
      <c r="BA46" s="25"/>
      <c r="BB46" s="25"/>
      <c r="BC46" s="25"/>
      <c r="BD46" s="25"/>
      <c r="BE46" s="25"/>
      <c r="BF46" s="25"/>
      <c r="BG46" s="25"/>
      <c r="BH46" s="25"/>
      <c r="BI46" s="25"/>
      <c r="BJ46" s="26"/>
      <c r="BK46" s="4"/>
      <c r="BM46" t="s">
        <v>892</v>
      </c>
      <c r="BN46" t="s">
        <v>895</v>
      </c>
      <c r="BP46" t="str">
        <f t="shared" si="1"/>
        <v>,`NumberOfPiecesPerBox` numeric(5, 0)  COMMENT '入数'</v>
      </c>
      <c r="BQ46" t="s">
        <v>626</v>
      </c>
      <c r="BR46" t="str">
        <f t="shared" si="4"/>
        <v xml:space="preserve">,`NumberOfPiecesPerBox` numeric(5, 0) </v>
      </c>
      <c r="BS46" t="s">
        <v>626</v>
      </c>
      <c r="BT46" s="97" t="str">
        <f t="shared" si="5"/>
        <v>,`NumberOfPiecesPerBox`</v>
      </c>
      <c r="BU46" t="s">
        <v>626</v>
      </c>
      <c r="BV46" s="97" t="str">
        <f t="shared" si="2"/>
        <v>,A.`NumberOfPiecesPerBox` = B.`NumberOfPiecesPerBox`</v>
      </c>
      <c r="BW46" t="s">
        <v>626</v>
      </c>
      <c r="BX46" s="97" t="str">
        <f t="shared" si="6"/>
        <v>,`NumberOfPiecesPerBox`</v>
      </c>
      <c r="BY46" t="s">
        <v>626</v>
      </c>
      <c r="BZ46" s="97" t="str">
        <f t="shared" si="3"/>
        <v>,`NumberOfPiecesPerBox`</v>
      </c>
      <c r="CA46" t="s">
        <v>626</v>
      </c>
    </row>
    <row r="47" spans="1:79" ht="15" customHeight="1">
      <c r="A47" s="100" t="s">
        <v>984</v>
      </c>
      <c r="B47" s="23">
        <f t="shared" si="0"/>
        <v>27</v>
      </c>
      <c r="C47" s="24"/>
      <c r="D47" s="22" t="s">
        <v>385</v>
      </c>
      <c r="E47" s="25"/>
      <c r="F47" s="25"/>
      <c r="G47" s="25"/>
      <c r="H47" s="25"/>
      <c r="I47" s="25"/>
      <c r="J47" s="25"/>
      <c r="K47" s="25"/>
      <c r="L47" s="25"/>
      <c r="M47" s="25"/>
      <c r="N47" s="25"/>
      <c r="O47" s="25"/>
      <c r="P47" s="25"/>
      <c r="Q47" s="26"/>
      <c r="R47" s="22" t="s">
        <v>420</v>
      </c>
      <c r="S47" s="25"/>
      <c r="T47" s="25"/>
      <c r="U47" s="25"/>
      <c r="V47" s="25"/>
      <c r="W47" s="25"/>
      <c r="X47" s="25"/>
      <c r="Y47" s="25"/>
      <c r="Z47" s="25"/>
      <c r="AA47" s="25"/>
      <c r="AB47" s="26"/>
      <c r="AC47" s="22" t="str" cm="1">
        <f t="array" ref="AC47">_xlfn.SWITCH(BM47,"nvarchar","varchar("&amp;BN47&amp;")","smallint","smallint","date","date","money","decimal(19,4)","numeric","numeric("&amp;BN47&amp;")","int","int","bit","char(1)","datetime2","datetime","time","time")</f>
        <v>char(1)</v>
      </c>
      <c r="AD47" s="25"/>
      <c r="AE47" s="25"/>
      <c r="AF47" s="25"/>
      <c r="AG47" s="26"/>
      <c r="AH47" s="22"/>
      <c r="AI47" s="26"/>
      <c r="AJ47" s="22"/>
      <c r="AK47" s="25"/>
      <c r="AL47" s="26"/>
      <c r="AM47" s="22"/>
      <c r="AN47" s="25"/>
      <c r="AO47" s="25"/>
      <c r="AP47" s="25"/>
      <c r="AQ47" s="25"/>
      <c r="AR47" s="25"/>
      <c r="AS47" s="26"/>
      <c r="AT47" s="22" t="s">
        <v>912</v>
      </c>
      <c r="AU47" s="25"/>
      <c r="AV47" s="25"/>
      <c r="AW47" s="25"/>
      <c r="AX47" s="25"/>
      <c r="AY47" s="25"/>
      <c r="AZ47" s="25"/>
      <c r="BA47" s="25"/>
      <c r="BB47" s="25"/>
      <c r="BC47" s="25"/>
      <c r="BD47" s="25"/>
      <c r="BE47" s="25"/>
      <c r="BF47" s="25"/>
      <c r="BG47" s="25"/>
      <c r="BH47" s="25"/>
      <c r="BI47" s="25"/>
      <c r="BJ47" s="26"/>
      <c r="BK47" s="4"/>
      <c r="BM47" t="s">
        <v>896</v>
      </c>
      <c r="BP47" t="str">
        <f t="shared" si="1"/>
        <v>,`IsCashOnly` char(1)  COMMENT '現金以外決済不可フラグ'</v>
      </c>
      <c r="BQ47" t="s">
        <v>626</v>
      </c>
      <c r="BR47" t="str">
        <f t="shared" si="4"/>
        <v xml:space="preserve">,`IsCashOnly` char(1) </v>
      </c>
      <c r="BS47" t="s">
        <v>626</v>
      </c>
      <c r="BT47" s="97" t="str">
        <f t="shared" si="5"/>
        <v>,`IsCashOnly`</v>
      </c>
      <c r="BU47" t="s">
        <v>626</v>
      </c>
      <c r="BV47" s="97" t="str">
        <f t="shared" si="2"/>
        <v>,A.`IsCashOnly` = B.`IsCashOnly`</v>
      </c>
      <c r="BW47" t="s">
        <v>626</v>
      </c>
      <c r="BX47" s="97" t="str">
        <f t="shared" si="6"/>
        <v>,`IsCashOnly`</v>
      </c>
      <c r="BY47" t="s">
        <v>626</v>
      </c>
      <c r="BZ47" s="97" t="str">
        <f t="shared" si="3"/>
        <v>,`IsCashOnly`</v>
      </c>
      <c r="CA47" t="s">
        <v>626</v>
      </c>
    </row>
    <row r="48" spans="1:79" ht="15" customHeight="1">
      <c r="A48" s="100" t="s">
        <v>985</v>
      </c>
      <c r="B48" s="23">
        <f t="shared" si="0"/>
        <v>28</v>
      </c>
      <c r="C48" s="24"/>
      <c r="D48" s="22" t="s">
        <v>386</v>
      </c>
      <c r="E48" s="25"/>
      <c r="F48" s="25"/>
      <c r="G48" s="25"/>
      <c r="H48" s="25"/>
      <c r="I48" s="25"/>
      <c r="J48" s="25"/>
      <c r="K48" s="25"/>
      <c r="L48" s="25"/>
      <c r="M48" s="25"/>
      <c r="N48" s="25"/>
      <c r="O48" s="25"/>
      <c r="P48" s="25"/>
      <c r="Q48" s="26"/>
      <c r="R48" s="22" t="s">
        <v>421</v>
      </c>
      <c r="S48" s="25"/>
      <c r="T48" s="25"/>
      <c r="U48" s="25"/>
      <c r="V48" s="25"/>
      <c r="W48" s="25"/>
      <c r="X48" s="25"/>
      <c r="Y48" s="25"/>
      <c r="Z48" s="25"/>
      <c r="AA48" s="25"/>
      <c r="AB48" s="26"/>
      <c r="AC48" s="22" t="str" cm="1">
        <f t="array" ref="AC48">_xlfn.SWITCH(BM48,"nvarchar","varchar("&amp;BN48&amp;")","smallint","smallint","date","date","money","decimal(19,4)","numeric","numeric("&amp;BN48&amp;")","int","int","bit","char(1)","datetime2","datetime","time","time")</f>
        <v>char(1)</v>
      </c>
      <c r="AD48" s="25"/>
      <c r="AE48" s="25"/>
      <c r="AF48" s="25"/>
      <c r="AG48" s="26"/>
      <c r="AH48" s="22"/>
      <c r="AI48" s="26"/>
      <c r="AJ48" s="22"/>
      <c r="AK48" s="25"/>
      <c r="AL48" s="26"/>
      <c r="AM48" s="22"/>
      <c r="AN48" s="25"/>
      <c r="AO48" s="25"/>
      <c r="AP48" s="25"/>
      <c r="AQ48" s="25"/>
      <c r="AR48" s="25"/>
      <c r="AS48" s="26"/>
      <c r="AT48" s="22" t="s">
        <v>913</v>
      </c>
      <c r="AU48" s="25"/>
      <c r="AV48" s="25"/>
      <c r="AW48" s="25"/>
      <c r="AX48" s="25"/>
      <c r="AY48" s="25"/>
      <c r="AZ48" s="25"/>
      <c r="BA48" s="25"/>
      <c r="BB48" s="25"/>
      <c r="BC48" s="25"/>
      <c r="BD48" s="25"/>
      <c r="BE48" s="25"/>
      <c r="BF48" s="25"/>
      <c r="BG48" s="25"/>
      <c r="BH48" s="25"/>
      <c r="BI48" s="25"/>
      <c r="BJ48" s="26"/>
      <c r="BK48" s="4"/>
      <c r="BM48" t="s">
        <v>896</v>
      </c>
      <c r="BP48" t="str">
        <f t="shared" si="1"/>
        <v>,`IsItemManualDiscountProhibition` char(1)  COMMENT '手動アイテム値引禁止フラグ'</v>
      </c>
      <c r="BQ48" t="s">
        <v>626</v>
      </c>
      <c r="BR48" t="str">
        <f t="shared" si="4"/>
        <v xml:space="preserve">,`IsItemManualDiscountProhibition` char(1) </v>
      </c>
      <c r="BS48" t="s">
        <v>626</v>
      </c>
      <c r="BT48" s="97" t="str">
        <f t="shared" si="5"/>
        <v>,`IsItemManualDiscountProhibition`</v>
      </c>
      <c r="BU48" t="s">
        <v>626</v>
      </c>
      <c r="BV48" s="97" t="str">
        <f t="shared" si="2"/>
        <v>,A.`IsItemManualDiscountProhibition` = B.`IsItemManualDiscountProhibition`</v>
      </c>
      <c r="BW48" t="s">
        <v>626</v>
      </c>
      <c r="BX48" s="97" t="str">
        <f t="shared" si="6"/>
        <v>,`IsItemManualDiscountProhibition`</v>
      </c>
      <c r="BY48" t="s">
        <v>626</v>
      </c>
      <c r="BZ48" s="97" t="str">
        <f t="shared" si="3"/>
        <v>,`IsItemManualDiscountProhibition`</v>
      </c>
      <c r="CA48" t="s">
        <v>626</v>
      </c>
    </row>
    <row r="49" spans="1:79" ht="15" customHeight="1">
      <c r="A49" s="100" t="s">
        <v>986</v>
      </c>
      <c r="B49" s="23">
        <f t="shared" si="0"/>
        <v>29</v>
      </c>
      <c r="C49" s="24"/>
      <c r="D49" s="22" t="s">
        <v>387</v>
      </c>
      <c r="E49" s="25"/>
      <c r="F49" s="25"/>
      <c r="G49" s="25"/>
      <c r="H49" s="25"/>
      <c r="I49" s="25"/>
      <c r="J49" s="25"/>
      <c r="K49" s="25"/>
      <c r="L49" s="25"/>
      <c r="M49" s="25"/>
      <c r="N49" s="25"/>
      <c r="O49" s="25"/>
      <c r="P49" s="25"/>
      <c r="Q49" s="26"/>
      <c r="R49" s="22" t="s">
        <v>422</v>
      </c>
      <c r="S49" s="25"/>
      <c r="T49" s="25"/>
      <c r="U49" s="25"/>
      <c r="V49" s="25"/>
      <c r="W49" s="25"/>
      <c r="X49" s="25"/>
      <c r="Y49" s="25"/>
      <c r="Z49" s="25"/>
      <c r="AA49" s="25"/>
      <c r="AB49" s="26"/>
      <c r="AC49" s="22" t="str" cm="1">
        <f t="array" ref="AC49">_xlfn.SWITCH(BM49,"nvarchar","varchar("&amp;BN49&amp;")","smallint","smallint","date","date","money","decimal(19,4)","numeric","numeric("&amp;BN49&amp;")","int","int","bit","char(1)","datetime2","datetime","time","time")</f>
        <v>char(1)</v>
      </c>
      <c r="AD49" s="25"/>
      <c r="AE49" s="25"/>
      <c r="AF49" s="25"/>
      <c r="AG49" s="26"/>
      <c r="AH49" s="22"/>
      <c r="AI49" s="26"/>
      <c r="AJ49" s="22"/>
      <c r="AK49" s="25"/>
      <c r="AL49" s="26"/>
      <c r="AM49" s="22"/>
      <c r="AN49" s="25"/>
      <c r="AO49" s="25"/>
      <c r="AP49" s="25"/>
      <c r="AQ49" s="25"/>
      <c r="AR49" s="25"/>
      <c r="AS49" s="26"/>
      <c r="AT49" s="22" t="s">
        <v>914</v>
      </c>
      <c r="AU49" s="25"/>
      <c r="AV49" s="25"/>
      <c r="AW49" s="25"/>
      <c r="AX49" s="25"/>
      <c r="AY49" s="25"/>
      <c r="AZ49" s="25"/>
      <c r="BA49" s="25"/>
      <c r="BB49" s="25"/>
      <c r="BC49" s="25"/>
      <c r="BD49" s="25"/>
      <c r="BE49" s="25"/>
      <c r="BF49" s="25"/>
      <c r="BG49" s="25"/>
      <c r="BH49" s="25"/>
      <c r="BI49" s="25"/>
      <c r="BJ49" s="26"/>
      <c r="BK49" s="4"/>
      <c r="BM49" t="s">
        <v>896</v>
      </c>
      <c r="BP49" t="str">
        <f t="shared" si="1"/>
        <v>,`IsSubTotalDiscountProhibition` char(1)  COMMENT '小計値引禁止フラグ'</v>
      </c>
      <c r="BQ49" t="s">
        <v>626</v>
      </c>
      <c r="BR49" t="str">
        <f t="shared" si="4"/>
        <v xml:space="preserve">,`IsSubTotalDiscountProhibition` char(1) </v>
      </c>
      <c r="BS49" t="s">
        <v>626</v>
      </c>
      <c r="BT49" s="97" t="str">
        <f t="shared" si="5"/>
        <v>,`IsSubTotalDiscountProhibition`</v>
      </c>
      <c r="BU49" t="s">
        <v>626</v>
      </c>
      <c r="BV49" s="97" t="str">
        <f t="shared" si="2"/>
        <v>,A.`IsSubTotalDiscountProhibition` = B.`IsSubTotalDiscountProhibition`</v>
      </c>
      <c r="BW49" t="s">
        <v>626</v>
      </c>
      <c r="BX49" s="97" t="str">
        <f t="shared" si="6"/>
        <v>,`IsSubTotalDiscountProhibition`</v>
      </c>
      <c r="BY49" t="s">
        <v>626</v>
      </c>
      <c r="BZ49" s="97" t="str">
        <f t="shared" si="3"/>
        <v>,`IsSubTotalDiscountProhibition`</v>
      </c>
      <c r="CA49" t="s">
        <v>626</v>
      </c>
    </row>
    <row r="50" spans="1:79" ht="15" customHeight="1">
      <c r="A50" s="100" t="s">
        <v>987</v>
      </c>
      <c r="B50" s="23">
        <f t="shared" si="0"/>
        <v>30</v>
      </c>
      <c r="C50" s="24"/>
      <c r="D50" s="22" t="s">
        <v>388</v>
      </c>
      <c r="E50" s="25"/>
      <c r="F50" s="25"/>
      <c r="G50" s="25"/>
      <c r="H50" s="25"/>
      <c r="I50" s="25"/>
      <c r="J50" s="25"/>
      <c r="K50" s="25"/>
      <c r="L50" s="25"/>
      <c r="M50" s="25"/>
      <c r="N50" s="25"/>
      <c r="O50" s="25"/>
      <c r="P50" s="25"/>
      <c r="Q50" s="26"/>
      <c r="R50" s="22" t="s">
        <v>423</v>
      </c>
      <c r="S50" s="25"/>
      <c r="T50" s="25"/>
      <c r="U50" s="25"/>
      <c r="V50" s="25"/>
      <c r="W50" s="25"/>
      <c r="X50" s="25"/>
      <c r="Y50" s="25"/>
      <c r="Z50" s="25"/>
      <c r="AA50" s="25"/>
      <c r="AB50" s="26"/>
      <c r="AC50" s="22" t="str" cm="1">
        <f t="array" ref="AC50">_xlfn.SWITCH(BM50,"nvarchar","varchar("&amp;BN50&amp;")","smallint","smallint","date","date","money","decimal(19,4)","numeric","numeric("&amp;BN50&amp;")","int","int","bit","char(1)","datetime2","datetime","time","time")</f>
        <v>char(1)</v>
      </c>
      <c r="AD50" s="25"/>
      <c r="AE50" s="25"/>
      <c r="AF50" s="25"/>
      <c r="AG50" s="26"/>
      <c r="AH50" s="22"/>
      <c r="AI50" s="26"/>
      <c r="AJ50" s="22"/>
      <c r="AK50" s="25"/>
      <c r="AL50" s="26"/>
      <c r="AM50" s="22"/>
      <c r="AN50" s="25"/>
      <c r="AO50" s="25"/>
      <c r="AP50" s="25"/>
      <c r="AQ50" s="25"/>
      <c r="AR50" s="25"/>
      <c r="AS50" s="26"/>
      <c r="AT50" s="22" t="s">
        <v>915</v>
      </c>
      <c r="AU50" s="25"/>
      <c r="AV50" s="25"/>
      <c r="AW50" s="25"/>
      <c r="AX50" s="25"/>
      <c r="AY50" s="25"/>
      <c r="AZ50" s="25"/>
      <c r="BA50" s="25"/>
      <c r="BB50" s="25"/>
      <c r="BC50" s="25"/>
      <c r="BD50" s="25"/>
      <c r="BE50" s="25"/>
      <c r="BF50" s="25"/>
      <c r="BG50" s="25"/>
      <c r="BH50" s="25"/>
      <c r="BI50" s="25"/>
      <c r="BJ50" s="26"/>
      <c r="BK50" s="4"/>
      <c r="BM50" t="s">
        <v>896</v>
      </c>
      <c r="BP50" t="str">
        <f t="shared" si="1"/>
        <v>,`IsChangePriceProhibition` char(1)  COMMENT '売価変更禁止フラグ'</v>
      </c>
      <c r="BQ50" t="s">
        <v>626</v>
      </c>
      <c r="BR50" t="str">
        <f t="shared" si="4"/>
        <v xml:space="preserve">,`IsChangePriceProhibition` char(1) </v>
      </c>
      <c r="BS50" t="s">
        <v>626</v>
      </c>
      <c r="BT50" s="97" t="str">
        <f t="shared" si="5"/>
        <v>,`IsChangePriceProhibition`</v>
      </c>
      <c r="BU50" t="s">
        <v>626</v>
      </c>
      <c r="BV50" s="97" t="str">
        <f t="shared" si="2"/>
        <v>,A.`IsChangePriceProhibition` = B.`IsChangePriceProhibition`</v>
      </c>
      <c r="BW50" t="s">
        <v>626</v>
      </c>
      <c r="BX50" s="97" t="str">
        <f t="shared" si="6"/>
        <v>,`IsChangePriceProhibition`</v>
      </c>
      <c r="BY50" t="s">
        <v>626</v>
      </c>
      <c r="BZ50" s="97" t="str">
        <f t="shared" si="3"/>
        <v>,`IsChangePriceProhibition`</v>
      </c>
      <c r="CA50" t="s">
        <v>626</v>
      </c>
    </row>
    <row r="51" spans="1:79" ht="15" customHeight="1">
      <c r="A51" s="100" t="s">
        <v>988</v>
      </c>
      <c r="B51" s="23">
        <f t="shared" si="0"/>
        <v>31</v>
      </c>
      <c r="C51" s="24"/>
      <c r="D51" s="22" t="s">
        <v>389</v>
      </c>
      <c r="E51" s="25"/>
      <c r="F51" s="25"/>
      <c r="G51" s="25"/>
      <c r="H51" s="25"/>
      <c r="I51" s="25"/>
      <c r="J51" s="25"/>
      <c r="K51" s="25"/>
      <c r="L51" s="25"/>
      <c r="M51" s="25"/>
      <c r="N51" s="25"/>
      <c r="O51" s="25"/>
      <c r="P51" s="25"/>
      <c r="Q51" s="26"/>
      <c r="R51" s="22" t="s">
        <v>424</v>
      </c>
      <c r="S51" s="25"/>
      <c r="T51" s="25"/>
      <c r="U51" s="25"/>
      <c r="V51" s="25"/>
      <c r="W51" s="25"/>
      <c r="X51" s="25"/>
      <c r="Y51" s="25"/>
      <c r="Z51" s="25"/>
      <c r="AA51" s="25"/>
      <c r="AB51" s="26"/>
      <c r="AC51" s="22" t="str" cm="1">
        <f t="array" ref="AC51">_xlfn.SWITCH(BM51,"nvarchar","varchar("&amp;BN51&amp;")","smallint","smallint","date","date","money","decimal(19,4)","numeric","numeric("&amp;BN51&amp;")","int","int","bit","char(1)","datetime2","datetime","time","time")</f>
        <v>char(1)</v>
      </c>
      <c r="AD51" s="25"/>
      <c r="AE51" s="25"/>
      <c r="AF51" s="25"/>
      <c r="AG51" s="26"/>
      <c r="AH51" s="22"/>
      <c r="AI51" s="26"/>
      <c r="AJ51" s="22"/>
      <c r="AK51" s="25"/>
      <c r="AL51" s="26"/>
      <c r="AM51" s="22"/>
      <c r="AN51" s="25"/>
      <c r="AO51" s="25"/>
      <c r="AP51" s="25"/>
      <c r="AQ51" s="25"/>
      <c r="AR51" s="25"/>
      <c r="AS51" s="26"/>
      <c r="AT51" s="22" t="s">
        <v>916</v>
      </c>
      <c r="AU51" s="25"/>
      <c r="AV51" s="25"/>
      <c r="AW51" s="25"/>
      <c r="AX51" s="25"/>
      <c r="AY51" s="25"/>
      <c r="AZ51" s="25"/>
      <c r="BA51" s="25"/>
      <c r="BB51" s="25"/>
      <c r="BC51" s="25"/>
      <c r="BD51" s="25"/>
      <c r="BE51" s="25"/>
      <c r="BF51" s="25"/>
      <c r="BG51" s="25"/>
      <c r="BH51" s="25"/>
      <c r="BI51" s="25"/>
      <c r="BJ51" s="26"/>
      <c r="BK51" s="4"/>
      <c r="BM51" t="s">
        <v>896</v>
      </c>
      <c r="BP51" t="str">
        <f t="shared" si="1"/>
        <v>,`IsAutoDiscountProhibition` char(1)  COMMENT '自動値引き不可フラグ'</v>
      </c>
      <c r="BQ51" t="s">
        <v>626</v>
      </c>
      <c r="BR51" t="str">
        <f t="shared" si="4"/>
        <v xml:space="preserve">,`IsAutoDiscountProhibition` char(1) </v>
      </c>
      <c r="BS51" t="s">
        <v>626</v>
      </c>
      <c r="BT51" s="97" t="str">
        <f t="shared" si="5"/>
        <v>,`IsAutoDiscountProhibition`</v>
      </c>
      <c r="BU51" t="s">
        <v>626</v>
      </c>
      <c r="BV51" s="97" t="str">
        <f t="shared" si="2"/>
        <v>,A.`IsAutoDiscountProhibition` = B.`IsAutoDiscountProhibition`</v>
      </c>
      <c r="BW51" t="s">
        <v>626</v>
      </c>
      <c r="BX51" s="97" t="str">
        <f t="shared" si="6"/>
        <v>,`IsAutoDiscountProhibition`</v>
      </c>
      <c r="BY51" t="s">
        <v>626</v>
      </c>
      <c r="BZ51" s="97" t="str">
        <f t="shared" si="3"/>
        <v>,`IsAutoDiscountProhibition`</v>
      </c>
      <c r="CA51" t="s">
        <v>626</v>
      </c>
    </row>
    <row r="52" spans="1:79" ht="15" customHeight="1">
      <c r="A52" s="100" t="s">
        <v>989</v>
      </c>
      <c r="B52" s="23">
        <f t="shared" si="0"/>
        <v>32</v>
      </c>
      <c r="C52" s="24"/>
      <c r="D52" s="22" t="s">
        <v>390</v>
      </c>
      <c r="E52" s="25"/>
      <c r="F52" s="25"/>
      <c r="G52" s="25"/>
      <c r="H52" s="25"/>
      <c r="I52" s="25"/>
      <c r="J52" s="25"/>
      <c r="K52" s="25"/>
      <c r="L52" s="25"/>
      <c r="M52" s="25"/>
      <c r="N52" s="25"/>
      <c r="O52" s="25"/>
      <c r="P52" s="25"/>
      <c r="Q52" s="26"/>
      <c r="R52" s="22" t="s">
        <v>425</v>
      </c>
      <c r="S52" s="25"/>
      <c r="T52" s="25"/>
      <c r="U52" s="25"/>
      <c r="V52" s="25"/>
      <c r="W52" s="25"/>
      <c r="X52" s="25"/>
      <c r="Y52" s="25"/>
      <c r="Z52" s="25"/>
      <c r="AA52" s="25"/>
      <c r="AB52" s="26"/>
      <c r="AC52" s="22" t="str" cm="1">
        <f t="array" ref="AC52">_xlfn.SWITCH(BM52,"nvarchar","varchar("&amp;BN52&amp;")","smallint","smallint","date","date","money","decimal(19,4)","numeric","numeric("&amp;BN52&amp;")","int","int","bit","char(1)","datetime2","datetime","time","time")</f>
        <v>char(1)</v>
      </c>
      <c r="AD52" s="25"/>
      <c r="AE52" s="25"/>
      <c r="AF52" s="25"/>
      <c r="AG52" s="26"/>
      <c r="AH52" s="22"/>
      <c r="AI52" s="26"/>
      <c r="AJ52" s="22"/>
      <c r="AK52" s="25"/>
      <c r="AL52" s="26"/>
      <c r="AM52" s="22"/>
      <c r="AN52" s="25"/>
      <c r="AO52" s="25"/>
      <c r="AP52" s="25"/>
      <c r="AQ52" s="25"/>
      <c r="AR52" s="25"/>
      <c r="AS52" s="26"/>
      <c r="AT52" s="22" t="s">
        <v>917</v>
      </c>
      <c r="AU52" s="25"/>
      <c r="AV52" s="25"/>
      <c r="AW52" s="25"/>
      <c r="AX52" s="25"/>
      <c r="AY52" s="25"/>
      <c r="AZ52" s="25"/>
      <c r="BA52" s="25"/>
      <c r="BB52" s="25"/>
      <c r="BC52" s="25"/>
      <c r="BD52" s="25"/>
      <c r="BE52" s="25"/>
      <c r="BF52" s="25"/>
      <c r="BG52" s="25"/>
      <c r="BH52" s="25"/>
      <c r="BI52" s="25"/>
      <c r="BJ52" s="26"/>
      <c r="BK52" s="4"/>
      <c r="BM52" t="s">
        <v>896</v>
      </c>
      <c r="BP52" t="str">
        <f t="shared" si="1"/>
        <v>,`IsUnitPriceForced` char(1)  COMMENT '単価強制入力フラグ'</v>
      </c>
      <c r="BQ52" t="s">
        <v>626</v>
      </c>
      <c r="BR52" t="str">
        <f t="shared" si="4"/>
        <v xml:space="preserve">,`IsUnitPriceForced` char(1) </v>
      </c>
      <c r="BS52" t="s">
        <v>626</v>
      </c>
      <c r="BT52" s="97" t="str">
        <f t="shared" si="5"/>
        <v>,`IsUnitPriceForced`</v>
      </c>
      <c r="BU52" t="s">
        <v>626</v>
      </c>
      <c r="BV52" s="97" t="str">
        <f t="shared" si="2"/>
        <v>,A.`IsUnitPriceForced` = B.`IsUnitPriceForced`</v>
      </c>
      <c r="BW52" t="s">
        <v>626</v>
      </c>
      <c r="BX52" s="97" t="str">
        <f t="shared" si="6"/>
        <v>,`IsUnitPriceForced`</v>
      </c>
      <c r="BY52" t="s">
        <v>626</v>
      </c>
      <c r="BZ52" s="97" t="str">
        <f t="shared" si="3"/>
        <v>,`IsUnitPriceForced`</v>
      </c>
      <c r="CA52" t="s">
        <v>626</v>
      </c>
    </row>
    <row r="53" spans="1:79" ht="15" customHeight="1">
      <c r="A53" s="100" t="s">
        <v>990</v>
      </c>
      <c r="B53" s="23">
        <f t="shared" si="0"/>
        <v>33</v>
      </c>
      <c r="C53" s="24"/>
      <c r="D53" s="22" t="s">
        <v>391</v>
      </c>
      <c r="E53" s="25"/>
      <c r="F53" s="25"/>
      <c r="G53" s="25"/>
      <c r="H53" s="25"/>
      <c r="I53" s="25"/>
      <c r="J53" s="25"/>
      <c r="K53" s="25"/>
      <c r="L53" s="25"/>
      <c r="M53" s="25"/>
      <c r="N53" s="25"/>
      <c r="O53" s="25"/>
      <c r="P53" s="25"/>
      <c r="Q53" s="26"/>
      <c r="R53" s="22" t="s">
        <v>426</v>
      </c>
      <c r="S53" s="25"/>
      <c r="T53" s="25"/>
      <c r="U53" s="25"/>
      <c r="V53" s="25"/>
      <c r="W53" s="25"/>
      <c r="X53" s="25"/>
      <c r="Y53" s="25"/>
      <c r="Z53" s="25"/>
      <c r="AA53" s="25"/>
      <c r="AB53" s="26"/>
      <c r="AC53" s="22" t="str" cm="1">
        <f t="array" ref="AC53">_xlfn.SWITCH(BM53,"nvarchar","varchar("&amp;BN53&amp;")","smallint","smallint","date","date","money","decimal(19,4)","numeric","numeric("&amp;BN53&amp;")","int","int","bit","char(1)","datetime2","datetime","time","time")</f>
        <v>char(1)</v>
      </c>
      <c r="AD53" s="25"/>
      <c r="AE53" s="25"/>
      <c r="AF53" s="25"/>
      <c r="AG53" s="26"/>
      <c r="AH53" s="22"/>
      <c r="AI53" s="26"/>
      <c r="AJ53" s="22"/>
      <c r="AK53" s="25"/>
      <c r="AL53" s="26"/>
      <c r="AM53" s="22"/>
      <c r="AN53" s="25"/>
      <c r="AO53" s="25"/>
      <c r="AP53" s="25"/>
      <c r="AQ53" s="25"/>
      <c r="AR53" s="25"/>
      <c r="AS53" s="26"/>
      <c r="AT53" s="22" t="s">
        <v>918</v>
      </c>
      <c r="AU53" s="25"/>
      <c r="AV53" s="25"/>
      <c r="AW53" s="25"/>
      <c r="AX53" s="25"/>
      <c r="AY53" s="25"/>
      <c r="AZ53" s="25"/>
      <c r="BA53" s="25"/>
      <c r="BB53" s="25"/>
      <c r="BC53" s="25"/>
      <c r="BD53" s="25"/>
      <c r="BE53" s="25"/>
      <c r="BF53" s="25"/>
      <c r="BG53" s="25"/>
      <c r="BH53" s="25"/>
      <c r="BI53" s="25"/>
      <c r="BJ53" s="26"/>
      <c r="BK53" s="4"/>
      <c r="BM53" t="s">
        <v>896</v>
      </c>
      <c r="BP53" t="str">
        <f t="shared" si="1"/>
        <v>,`IsPointProhibition` char(1)  COMMENT 'ポイント除外フラグ'</v>
      </c>
      <c r="BQ53" t="s">
        <v>626</v>
      </c>
      <c r="BR53" t="str">
        <f t="shared" si="4"/>
        <v xml:space="preserve">,`IsPointProhibition` char(1) </v>
      </c>
      <c r="BS53" t="s">
        <v>626</v>
      </c>
      <c r="BT53" s="97" t="str">
        <f t="shared" si="5"/>
        <v>,`IsPointProhibition`</v>
      </c>
      <c r="BU53" t="s">
        <v>626</v>
      </c>
      <c r="BV53" s="97" t="str">
        <f t="shared" si="2"/>
        <v>,A.`IsPointProhibition` = B.`IsPointProhibition`</v>
      </c>
      <c r="BW53" t="s">
        <v>626</v>
      </c>
      <c r="BX53" s="97" t="str">
        <f t="shared" si="6"/>
        <v>,`IsPointProhibition`</v>
      </c>
      <c r="BY53" t="s">
        <v>626</v>
      </c>
      <c r="BZ53" s="97" t="str">
        <f t="shared" si="3"/>
        <v>,`IsPointProhibition`</v>
      </c>
      <c r="CA53" t="s">
        <v>626</v>
      </c>
    </row>
    <row r="54" spans="1:79" ht="15" customHeight="1">
      <c r="A54" s="100" t="s">
        <v>991</v>
      </c>
      <c r="B54" s="23">
        <f t="shared" si="0"/>
        <v>34</v>
      </c>
      <c r="C54" s="24"/>
      <c r="D54" s="22" t="s">
        <v>392</v>
      </c>
      <c r="E54" s="25"/>
      <c r="F54" s="25"/>
      <c r="G54" s="25"/>
      <c r="H54" s="25"/>
      <c r="I54" s="25"/>
      <c r="J54" s="25"/>
      <c r="K54" s="25"/>
      <c r="L54" s="25"/>
      <c r="M54" s="25"/>
      <c r="N54" s="25"/>
      <c r="O54" s="25"/>
      <c r="P54" s="25"/>
      <c r="Q54" s="26"/>
      <c r="R54" s="22" t="s">
        <v>427</v>
      </c>
      <c r="S54" s="25"/>
      <c r="T54" s="25"/>
      <c r="U54" s="25"/>
      <c r="V54" s="25"/>
      <c r="W54" s="25"/>
      <c r="X54" s="25"/>
      <c r="Y54" s="25"/>
      <c r="Z54" s="25"/>
      <c r="AA54" s="25"/>
      <c r="AB54" s="26"/>
      <c r="AC54" s="22" t="str" cm="1">
        <f t="array" ref="AC54">_xlfn.SWITCH(BM54,"nvarchar","varchar("&amp;BN54&amp;")","smallint","smallint","date","date","money","decimal(19,4)","numeric","numeric("&amp;BN54&amp;")","int","int","bit","char(1)","datetime2","datetime","time","time")</f>
        <v>varchar(2)</v>
      </c>
      <c r="AD54" s="25"/>
      <c r="AE54" s="25"/>
      <c r="AF54" s="25"/>
      <c r="AG54" s="26"/>
      <c r="AH54" s="22"/>
      <c r="AI54" s="26"/>
      <c r="AJ54" s="22"/>
      <c r="AK54" s="25"/>
      <c r="AL54" s="26"/>
      <c r="AM54" s="22"/>
      <c r="AN54" s="25"/>
      <c r="AO54" s="25"/>
      <c r="AP54" s="25"/>
      <c r="AQ54" s="25"/>
      <c r="AR54" s="25"/>
      <c r="AS54" s="26"/>
      <c r="AT54" s="22" t="s">
        <v>919</v>
      </c>
      <c r="AU54" s="25"/>
      <c r="AV54" s="25"/>
      <c r="AW54" s="25"/>
      <c r="AX54" s="25"/>
      <c r="AY54" s="25"/>
      <c r="AZ54" s="25"/>
      <c r="BA54" s="25"/>
      <c r="BB54" s="25"/>
      <c r="BC54" s="25"/>
      <c r="BD54" s="25"/>
      <c r="BE54" s="25"/>
      <c r="BF54" s="25"/>
      <c r="BG54" s="25"/>
      <c r="BH54" s="25"/>
      <c r="BI54" s="25"/>
      <c r="BJ54" s="26"/>
      <c r="BK54" s="4"/>
      <c r="BM54" t="s">
        <v>888</v>
      </c>
      <c r="BN54">
        <v>2</v>
      </c>
      <c r="BP54" t="str">
        <f t="shared" si="1"/>
        <v>,`SalesRestrictionItemArea` varchar(2)  COMMENT '販売制限商品区分'</v>
      </c>
      <c r="BQ54" t="s">
        <v>626</v>
      </c>
      <c r="BR54" t="str">
        <f t="shared" si="4"/>
        <v xml:space="preserve">,`SalesRestrictionItemArea` varchar(2) </v>
      </c>
      <c r="BS54" t="s">
        <v>626</v>
      </c>
      <c r="BT54" s="97" t="str">
        <f t="shared" si="5"/>
        <v>,`SalesRestrictionItemArea`</v>
      </c>
      <c r="BU54" t="s">
        <v>626</v>
      </c>
      <c r="BV54" s="97" t="str">
        <f t="shared" si="2"/>
        <v>,A.`SalesRestrictionItemArea` = B.`SalesRestrictionItemArea`</v>
      </c>
      <c r="BW54" t="s">
        <v>626</v>
      </c>
      <c r="BX54" s="97" t="str">
        <f t="shared" si="6"/>
        <v>,`SalesRestrictionItemArea`</v>
      </c>
      <c r="BY54" t="s">
        <v>626</v>
      </c>
      <c r="BZ54" s="97" t="str">
        <f t="shared" si="3"/>
        <v>,`SalesRestrictionItemArea`</v>
      </c>
      <c r="CA54" t="s">
        <v>626</v>
      </c>
    </row>
    <row r="55" spans="1:79" ht="15" customHeight="1">
      <c r="A55" s="100" t="s">
        <v>992</v>
      </c>
      <c r="B55" s="23">
        <f t="shared" si="0"/>
        <v>35</v>
      </c>
      <c r="C55" s="24"/>
      <c r="D55" s="22" t="s">
        <v>393</v>
      </c>
      <c r="E55" s="25"/>
      <c r="F55" s="25"/>
      <c r="G55" s="25"/>
      <c r="H55" s="25"/>
      <c r="I55" s="25"/>
      <c r="J55" s="25"/>
      <c r="K55" s="25"/>
      <c r="L55" s="25"/>
      <c r="M55" s="25"/>
      <c r="N55" s="25"/>
      <c r="O55" s="25"/>
      <c r="P55" s="25"/>
      <c r="Q55" s="26"/>
      <c r="R55" s="22" t="s">
        <v>428</v>
      </c>
      <c r="S55" s="25"/>
      <c r="T55" s="25"/>
      <c r="U55" s="25"/>
      <c r="V55" s="25"/>
      <c r="W55" s="25"/>
      <c r="X55" s="25"/>
      <c r="Y55" s="25"/>
      <c r="Z55" s="25"/>
      <c r="AA55" s="25"/>
      <c r="AB55" s="26"/>
      <c r="AC55" s="22" t="str" cm="1">
        <f t="array" ref="AC55">_xlfn.SWITCH(BM55,"nvarchar","varchar("&amp;BN55&amp;")","smallint","smallint","date","date","money","decimal(19,4)","numeric","numeric("&amp;BN55&amp;")","int","int","bit","char(1)","datetime2","datetime","time","time")</f>
        <v>numeric(3,0)</v>
      </c>
      <c r="AD55" s="25"/>
      <c r="AE55" s="25"/>
      <c r="AF55" s="25"/>
      <c r="AG55" s="26"/>
      <c r="AH55" s="22"/>
      <c r="AI55" s="26"/>
      <c r="AJ55" s="22"/>
      <c r="AK55" s="25"/>
      <c r="AL55" s="26"/>
      <c r="AM55" s="22"/>
      <c r="AN55" s="25"/>
      <c r="AO55" s="25"/>
      <c r="AP55" s="25"/>
      <c r="AQ55" s="25"/>
      <c r="AR55" s="25"/>
      <c r="AS55" s="26"/>
      <c r="AT55" s="22" t="s">
        <v>484</v>
      </c>
      <c r="AU55" s="25"/>
      <c r="AV55" s="25"/>
      <c r="AW55" s="25"/>
      <c r="AX55" s="25"/>
      <c r="AY55" s="25"/>
      <c r="AZ55" s="25"/>
      <c r="BA55" s="25"/>
      <c r="BB55" s="25"/>
      <c r="BC55" s="25"/>
      <c r="BD55" s="25"/>
      <c r="BE55" s="25"/>
      <c r="BF55" s="25"/>
      <c r="BG55" s="25"/>
      <c r="BH55" s="25"/>
      <c r="BI55" s="25"/>
      <c r="BJ55" s="26"/>
      <c r="BK55" s="4"/>
      <c r="BM55" t="s">
        <v>892</v>
      </c>
      <c r="BN55" t="s">
        <v>897</v>
      </c>
      <c r="BP55" t="str">
        <f t="shared" si="1"/>
        <v>,`SalesAlertAge` numeric(3,0)  COMMENT '販売制限年齢区分'</v>
      </c>
      <c r="BQ55" t="s">
        <v>626</v>
      </c>
      <c r="BR55" t="str">
        <f t="shared" si="4"/>
        <v xml:space="preserve">,`SalesAlertAge` numeric(3,0) </v>
      </c>
      <c r="BS55" t="s">
        <v>626</v>
      </c>
      <c r="BT55" s="97" t="str">
        <f t="shared" si="5"/>
        <v>,`SalesAlertAge`</v>
      </c>
      <c r="BU55" t="s">
        <v>626</v>
      </c>
      <c r="BV55" s="97" t="str">
        <f t="shared" si="2"/>
        <v>,A.`SalesAlertAge` = B.`SalesAlertAge`</v>
      </c>
      <c r="BW55" t="s">
        <v>626</v>
      </c>
      <c r="BX55" s="97" t="str">
        <f t="shared" si="6"/>
        <v>,`SalesAlertAge`</v>
      </c>
      <c r="BY55" t="s">
        <v>626</v>
      </c>
      <c r="BZ55" s="97" t="str">
        <f t="shared" si="3"/>
        <v>,`SalesAlertAge`</v>
      </c>
      <c r="CA55" t="s">
        <v>626</v>
      </c>
    </row>
    <row r="56" spans="1:79" ht="15" customHeight="1">
      <c r="A56" s="100" t="s">
        <v>993</v>
      </c>
      <c r="B56" s="23">
        <f t="shared" si="0"/>
        <v>36</v>
      </c>
      <c r="C56" s="24"/>
      <c r="D56" s="22" t="s">
        <v>394</v>
      </c>
      <c r="E56" s="25"/>
      <c r="F56" s="25"/>
      <c r="G56" s="25"/>
      <c r="H56" s="25"/>
      <c r="I56" s="25"/>
      <c r="J56" s="25"/>
      <c r="K56" s="25"/>
      <c r="L56" s="25"/>
      <c r="M56" s="25"/>
      <c r="N56" s="25"/>
      <c r="O56" s="25"/>
      <c r="P56" s="25"/>
      <c r="Q56" s="26"/>
      <c r="R56" s="22" t="s">
        <v>429</v>
      </c>
      <c r="S56" s="25"/>
      <c r="T56" s="25"/>
      <c r="U56" s="25"/>
      <c r="V56" s="25"/>
      <c r="W56" s="25"/>
      <c r="X56" s="25"/>
      <c r="Y56" s="25"/>
      <c r="Z56" s="25"/>
      <c r="AA56" s="25"/>
      <c r="AB56" s="26"/>
      <c r="AC56" s="22" t="str" cm="1">
        <f t="array" ref="AC56">_xlfn.SWITCH(BM56,"nvarchar","varchar("&amp;BN56&amp;")","smallint","smallint","date","date","money","decimal(19,4)","numeric","numeric("&amp;BN56&amp;")","int","int","bit","char(1)","datetime2","datetime","time","time")</f>
        <v>char(1)</v>
      </c>
      <c r="AD56" s="25"/>
      <c r="AE56" s="25"/>
      <c r="AF56" s="25"/>
      <c r="AG56" s="26"/>
      <c r="AH56" s="22"/>
      <c r="AI56" s="26"/>
      <c r="AJ56" s="22"/>
      <c r="AK56" s="25"/>
      <c r="AL56" s="26"/>
      <c r="AM56" s="22"/>
      <c r="AN56" s="25"/>
      <c r="AO56" s="25"/>
      <c r="AP56" s="25"/>
      <c r="AQ56" s="25"/>
      <c r="AR56" s="25"/>
      <c r="AS56" s="26"/>
      <c r="AT56" s="22" t="s">
        <v>920</v>
      </c>
      <c r="AU56" s="25"/>
      <c r="AV56" s="25"/>
      <c r="AW56" s="25"/>
      <c r="AX56" s="25"/>
      <c r="AY56" s="25"/>
      <c r="AZ56" s="25"/>
      <c r="BA56" s="25"/>
      <c r="BB56" s="25"/>
      <c r="BC56" s="25"/>
      <c r="BD56" s="25"/>
      <c r="BE56" s="25"/>
      <c r="BF56" s="25"/>
      <c r="BG56" s="25"/>
      <c r="BH56" s="25"/>
      <c r="BI56" s="25"/>
      <c r="BJ56" s="26"/>
      <c r="BK56" s="4"/>
      <c r="BM56" t="s">
        <v>896</v>
      </c>
      <c r="BP56" t="str">
        <f t="shared" si="1"/>
        <v>,`IsWarrantyReceiptPrint` char(1)  COMMENT '保証書発行フラグ'</v>
      </c>
      <c r="BQ56" t="s">
        <v>626</v>
      </c>
      <c r="BR56" t="str">
        <f t="shared" si="4"/>
        <v xml:space="preserve">,`IsWarrantyReceiptPrint` char(1) </v>
      </c>
      <c r="BS56" t="s">
        <v>626</v>
      </c>
      <c r="BT56" s="97" t="str">
        <f t="shared" si="5"/>
        <v>,`IsWarrantyReceiptPrint`</v>
      </c>
      <c r="BU56" t="s">
        <v>626</v>
      </c>
      <c r="BV56" s="97" t="str">
        <f t="shared" si="2"/>
        <v>,A.`IsWarrantyReceiptPrint` = B.`IsWarrantyReceiptPrint`</v>
      </c>
      <c r="BW56" t="s">
        <v>626</v>
      </c>
      <c r="BX56" s="97" t="str">
        <f t="shared" si="6"/>
        <v>,`IsWarrantyReceiptPrint`</v>
      </c>
      <c r="BY56" t="s">
        <v>626</v>
      </c>
      <c r="BZ56" s="97" t="str">
        <f t="shared" si="3"/>
        <v>,`IsWarrantyReceiptPrint`</v>
      </c>
      <c r="CA56" t="s">
        <v>626</v>
      </c>
    </row>
    <row r="57" spans="1:79" ht="15" customHeight="1">
      <c r="A57" s="100" t="s">
        <v>994</v>
      </c>
      <c r="B57" s="23">
        <f t="shared" si="0"/>
        <v>37</v>
      </c>
      <c r="C57" s="24"/>
      <c r="D57" s="22" t="s">
        <v>395</v>
      </c>
      <c r="E57" s="25"/>
      <c r="F57" s="25"/>
      <c r="G57" s="25"/>
      <c r="H57" s="25"/>
      <c r="I57" s="25"/>
      <c r="J57" s="25"/>
      <c r="K57" s="25"/>
      <c r="L57" s="25"/>
      <c r="M57" s="25"/>
      <c r="N57" s="25"/>
      <c r="O57" s="25"/>
      <c r="P57" s="25"/>
      <c r="Q57" s="26"/>
      <c r="R57" s="22" t="s">
        <v>430</v>
      </c>
      <c r="S57" s="25"/>
      <c r="T57" s="25"/>
      <c r="U57" s="25"/>
      <c r="V57" s="25"/>
      <c r="W57" s="25"/>
      <c r="X57" s="25"/>
      <c r="Y57" s="25"/>
      <c r="Z57" s="25"/>
      <c r="AA57" s="25"/>
      <c r="AB57" s="26"/>
      <c r="AC57" s="22" t="str" cm="1">
        <f t="array" ref="AC57">_xlfn.SWITCH(BM57,"nvarchar","varchar("&amp;BN57&amp;")","smallint","smallint","date","date","money","decimal(19,4)","numeric","numeric("&amp;BN57&amp;")","int","int","bit","char(1)","datetime2","datetime","time","time")</f>
        <v>smallint</v>
      </c>
      <c r="AD57" s="25"/>
      <c r="AE57" s="25"/>
      <c r="AF57" s="25"/>
      <c r="AG57" s="26"/>
      <c r="AH57" s="22"/>
      <c r="AI57" s="26"/>
      <c r="AJ57" s="22"/>
      <c r="AK57" s="25"/>
      <c r="AL57" s="26"/>
      <c r="AM57" s="22"/>
      <c r="AN57" s="25"/>
      <c r="AO57" s="25"/>
      <c r="AP57" s="25"/>
      <c r="AQ57" s="25"/>
      <c r="AR57" s="25"/>
      <c r="AS57" s="26"/>
      <c r="AT57" s="22" t="s">
        <v>921</v>
      </c>
      <c r="AU57" s="25"/>
      <c r="AV57" s="25"/>
      <c r="AW57" s="25"/>
      <c r="AX57" s="25"/>
      <c r="AY57" s="25"/>
      <c r="AZ57" s="25"/>
      <c r="BA57" s="25"/>
      <c r="BB57" s="25"/>
      <c r="BC57" s="25"/>
      <c r="BD57" s="25"/>
      <c r="BE57" s="25"/>
      <c r="BF57" s="25"/>
      <c r="BG57" s="25"/>
      <c r="BH57" s="25"/>
      <c r="BI57" s="25"/>
      <c r="BJ57" s="26"/>
      <c r="BK57" s="4"/>
      <c r="BM57" t="s">
        <v>623</v>
      </c>
      <c r="BP57" t="str">
        <f t="shared" si="1"/>
        <v>,`PriorityType` smallint  COMMENT '重点区分'</v>
      </c>
      <c r="BQ57" t="s">
        <v>626</v>
      </c>
      <c r="BR57" t="str">
        <f t="shared" si="4"/>
        <v xml:space="preserve">,`PriorityType` smallint </v>
      </c>
      <c r="BS57" t="s">
        <v>626</v>
      </c>
      <c r="BT57" s="97" t="str">
        <f t="shared" si="5"/>
        <v>,`PriorityType`</v>
      </c>
      <c r="BU57" t="s">
        <v>626</v>
      </c>
      <c r="BV57" s="97" t="str">
        <f t="shared" si="2"/>
        <v>,A.`PriorityType` = B.`PriorityType`</v>
      </c>
      <c r="BW57" t="s">
        <v>626</v>
      </c>
      <c r="BX57" s="97" t="str">
        <f t="shared" si="6"/>
        <v>,`PriorityType`</v>
      </c>
      <c r="BY57" t="s">
        <v>626</v>
      </c>
      <c r="BZ57" s="97" t="str">
        <f t="shared" si="3"/>
        <v>,`PriorityType`</v>
      </c>
      <c r="CA57" t="s">
        <v>626</v>
      </c>
    </row>
    <row r="58" spans="1:79" ht="15" customHeight="1">
      <c r="A58" s="100" t="s">
        <v>995</v>
      </c>
      <c r="B58" s="23">
        <f t="shared" si="0"/>
        <v>38</v>
      </c>
      <c r="C58" s="24"/>
      <c r="D58" s="22" t="s">
        <v>396</v>
      </c>
      <c r="E58" s="25"/>
      <c r="F58" s="25"/>
      <c r="G58" s="25"/>
      <c r="H58" s="25"/>
      <c r="I58" s="25"/>
      <c r="J58" s="25"/>
      <c r="K58" s="25"/>
      <c r="L58" s="25"/>
      <c r="M58" s="25"/>
      <c r="N58" s="25"/>
      <c r="O58" s="25"/>
      <c r="P58" s="25"/>
      <c r="Q58" s="26"/>
      <c r="R58" s="22" t="s">
        <v>431</v>
      </c>
      <c r="S58" s="25"/>
      <c r="T58" s="25"/>
      <c r="U58" s="25"/>
      <c r="V58" s="25"/>
      <c r="W58" s="25"/>
      <c r="X58" s="25"/>
      <c r="Y58" s="25"/>
      <c r="Z58" s="25"/>
      <c r="AA58" s="25"/>
      <c r="AB58" s="26"/>
      <c r="AC58" s="22" t="str" cm="1">
        <f t="array" ref="AC58">_xlfn.SWITCH(BM58,"nvarchar","varchar("&amp;BN58&amp;")","smallint","smallint","date","date","money","decimal(19,4)","numeric","numeric("&amp;BN58&amp;")","int","int","bit","char(1)","datetime2","datetime","time","time")</f>
        <v>int</v>
      </c>
      <c r="AD58" s="25"/>
      <c r="AE58" s="25"/>
      <c r="AF58" s="25"/>
      <c r="AG58" s="26"/>
      <c r="AH58" s="22"/>
      <c r="AI58" s="26"/>
      <c r="AJ58" s="22"/>
      <c r="AK58" s="25"/>
      <c r="AL58" s="26"/>
      <c r="AM58" s="22"/>
      <c r="AN58" s="25"/>
      <c r="AO58" s="25"/>
      <c r="AP58" s="25"/>
      <c r="AQ58" s="25"/>
      <c r="AR58" s="25"/>
      <c r="AS58" s="26"/>
      <c r="AT58" s="22" t="s">
        <v>922</v>
      </c>
      <c r="AU58" s="25"/>
      <c r="AV58" s="25"/>
      <c r="AW58" s="25"/>
      <c r="AX58" s="25"/>
      <c r="AY58" s="25"/>
      <c r="AZ58" s="25"/>
      <c r="BA58" s="25"/>
      <c r="BB58" s="25"/>
      <c r="BC58" s="25"/>
      <c r="BD58" s="25"/>
      <c r="BE58" s="25"/>
      <c r="BF58" s="25"/>
      <c r="BG58" s="25"/>
      <c r="BH58" s="25"/>
      <c r="BI58" s="25"/>
      <c r="BJ58" s="26"/>
      <c r="BK58" s="4"/>
      <c r="BM58" t="s">
        <v>437</v>
      </c>
      <c r="BP58" t="str">
        <f t="shared" si="1"/>
        <v>,`TaxFreeType` int  COMMENT '消費税免税タイプ'</v>
      </c>
      <c r="BQ58" t="s">
        <v>626</v>
      </c>
      <c r="BR58" t="str">
        <f t="shared" si="4"/>
        <v xml:space="preserve">,`TaxFreeType` int </v>
      </c>
      <c r="BS58" t="s">
        <v>626</v>
      </c>
      <c r="BT58" s="97" t="str">
        <f t="shared" si="5"/>
        <v>,`TaxFreeType`</v>
      </c>
      <c r="BU58" t="s">
        <v>626</v>
      </c>
      <c r="BV58" s="97" t="str">
        <f t="shared" si="2"/>
        <v>,A.`TaxFreeType` = B.`TaxFreeType`</v>
      </c>
      <c r="BW58" t="s">
        <v>626</v>
      </c>
      <c r="BX58" s="97" t="str">
        <f t="shared" si="6"/>
        <v>,`TaxFreeType`</v>
      </c>
      <c r="BY58" t="s">
        <v>626</v>
      </c>
      <c r="BZ58" s="97" t="str">
        <f t="shared" si="3"/>
        <v>,`TaxFreeType`</v>
      </c>
      <c r="CA58" t="s">
        <v>626</v>
      </c>
    </row>
    <row r="59" spans="1:79" ht="15" customHeight="1">
      <c r="A59" s="100" t="s">
        <v>996</v>
      </c>
      <c r="B59" s="23">
        <f t="shared" si="0"/>
        <v>39</v>
      </c>
      <c r="C59" s="24"/>
      <c r="D59" s="22" t="s">
        <v>397</v>
      </c>
      <c r="E59" s="25"/>
      <c r="F59" s="25"/>
      <c r="G59" s="25"/>
      <c r="H59" s="25"/>
      <c r="I59" s="25"/>
      <c r="J59" s="25"/>
      <c r="K59" s="25"/>
      <c r="L59" s="25"/>
      <c r="M59" s="25"/>
      <c r="N59" s="25"/>
      <c r="O59" s="25"/>
      <c r="P59" s="25"/>
      <c r="Q59" s="26"/>
      <c r="R59" s="22" t="s">
        <v>432</v>
      </c>
      <c r="S59" s="25"/>
      <c r="T59" s="25"/>
      <c r="U59" s="25"/>
      <c r="V59" s="25"/>
      <c r="W59" s="25"/>
      <c r="X59" s="25"/>
      <c r="Y59" s="25"/>
      <c r="Z59" s="25"/>
      <c r="AA59" s="25"/>
      <c r="AB59" s="26"/>
      <c r="AC59" s="22" t="str" cm="1">
        <f t="array" ref="AC59">_xlfn.SWITCH(BM59,"nvarchar","varchar("&amp;BN59&amp;")","smallint","smallint","date","date","money","decimal(19,4)","numeric","numeric("&amp;BN59&amp;")","int","int","bit","char(1)","datetime2","datetime","time","time")</f>
        <v>char(1)</v>
      </c>
      <c r="AD59" s="25"/>
      <c r="AE59" s="25"/>
      <c r="AF59" s="25"/>
      <c r="AG59" s="26"/>
      <c r="AH59" s="22"/>
      <c r="AI59" s="26"/>
      <c r="AJ59" s="22"/>
      <c r="AK59" s="25"/>
      <c r="AL59" s="26"/>
      <c r="AM59" s="22"/>
      <c r="AN59" s="25"/>
      <c r="AO59" s="25"/>
      <c r="AP59" s="25"/>
      <c r="AQ59" s="25"/>
      <c r="AR59" s="25"/>
      <c r="AS59" s="26"/>
      <c r="AT59" s="22" t="s">
        <v>923</v>
      </c>
      <c r="AU59" s="25"/>
      <c r="AV59" s="25"/>
      <c r="AW59" s="25"/>
      <c r="AX59" s="25"/>
      <c r="AY59" s="25"/>
      <c r="AZ59" s="25"/>
      <c r="BA59" s="25"/>
      <c r="BB59" s="25"/>
      <c r="BC59" s="25"/>
      <c r="BD59" s="25"/>
      <c r="BE59" s="25"/>
      <c r="BF59" s="25"/>
      <c r="BG59" s="25"/>
      <c r="BH59" s="25"/>
      <c r="BI59" s="25"/>
      <c r="BJ59" s="26"/>
      <c r="BK59" s="4"/>
      <c r="BM59" t="s">
        <v>896</v>
      </c>
      <c r="BP59" t="str">
        <f t="shared" si="1"/>
        <v>,`EmergencyFlag` char(1)  COMMENT '緊急登録フラグ'</v>
      </c>
      <c r="BQ59" t="s">
        <v>626</v>
      </c>
      <c r="BR59" t="str">
        <f t="shared" si="4"/>
        <v xml:space="preserve">,`EmergencyFlag` char(1) </v>
      </c>
      <c r="BS59" t="s">
        <v>626</v>
      </c>
      <c r="BT59" s="97" t="str">
        <f t="shared" si="5"/>
        <v>,`EmergencyFlag`</v>
      </c>
      <c r="BU59" t="s">
        <v>626</v>
      </c>
      <c r="BV59" s="97" t="str">
        <f t="shared" si="2"/>
        <v>,A.`EmergencyFlag` = B.`EmergencyFlag`</v>
      </c>
      <c r="BW59" t="s">
        <v>626</v>
      </c>
      <c r="BX59" s="97" t="str">
        <f t="shared" si="6"/>
        <v>,`EmergencyFlag`</v>
      </c>
      <c r="BY59" t="s">
        <v>626</v>
      </c>
      <c r="BZ59" s="97" t="str">
        <f t="shared" si="3"/>
        <v>,`EmergencyFlag`</v>
      </c>
      <c r="CA59" t="s">
        <v>626</v>
      </c>
    </row>
    <row r="60" spans="1:79" ht="15" customHeight="1">
      <c r="A60" s="100" t="s">
        <v>997</v>
      </c>
      <c r="B60" s="23">
        <f t="shared" si="0"/>
        <v>40</v>
      </c>
      <c r="C60" s="24"/>
      <c r="D60" s="22" t="s">
        <v>398</v>
      </c>
      <c r="E60" s="25"/>
      <c r="F60" s="25"/>
      <c r="G60" s="25"/>
      <c r="H60" s="25"/>
      <c r="I60" s="25"/>
      <c r="J60" s="25"/>
      <c r="K60" s="25"/>
      <c r="L60" s="25"/>
      <c r="M60" s="25"/>
      <c r="N60" s="25"/>
      <c r="O60" s="25"/>
      <c r="P60" s="25"/>
      <c r="Q60" s="26"/>
      <c r="R60" s="22" t="s">
        <v>433</v>
      </c>
      <c r="S60" s="25"/>
      <c r="T60" s="25"/>
      <c r="U60" s="25"/>
      <c r="V60" s="25"/>
      <c r="W60" s="25"/>
      <c r="X60" s="25"/>
      <c r="Y60" s="25"/>
      <c r="Z60" s="25"/>
      <c r="AA60" s="25"/>
      <c r="AB60" s="26"/>
      <c r="AC60" s="22" t="str" cm="1">
        <f t="array" ref="AC60">_xlfn.SWITCH(BM60,"nvarchar","varchar("&amp;BN60&amp;")","smallint","smallint","date","date","money","decimal(19,4)","numeric","numeric("&amp;BN60&amp;")","int","int","bit","char(1)","datetime2","datetime","time","time")</f>
        <v>char(1)</v>
      </c>
      <c r="AD60" s="25"/>
      <c r="AE60" s="25"/>
      <c r="AF60" s="25"/>
      <c r="AG60" s="26"/>
      <c r="AH60" s="22"/>
      <c r="AI60" s="26"/>
      <c r="AJ60" s="22"/>
      <c r="AK60" s="25"/>
      <c r="AL60" s="26"/>
      <c r="AM60" s="22"/>
      <c r="AN60" s="25"/>
      <c r="AO60" s="25"/>
      <c r="AP60" s="25"/>
      <c r="AQ60" s="25"/>
      <c r="AR60" s="25"/>
      <c r="AS60" s="26"/>
      <c r="AT60" s="22" t="s">
        <v>924</v>
      </c>
      <c r="AU60" s="25"/>
      <c r="AV60" s="25"/>
      <c r="AW60" s="25"/>
      <c r="AX60" s="25"/>
      <c r="AY60" s="25"/>
      <c r="AZ60" s="25"/>
      <c r="BA60" s="25"/>
      <c r="BB60" s="25"/>
      <c r="BC60" s="25"/>
      <c r="BD60" s="25"/>
      <c r="BE60" s="25"/>
      <c r="BF60" s="25"/>
      <c r="BG60" s="25"/>
      <c r="BH60" s="25"/>
      <c r="BI60" s="25"/>
      <c r="BJ60" s="26"/>
      <c r="BK60" s="4"/>
      <c r="BM60" t="s">
        <v>896</v>
      </c>
      <c r="BP60" t="str">
        <f t="shared" si="1"/>
        <v>,`IsSelfMedication` char(1)  COMMENT 'セルフメディケーションフラグ'</v>
      </c>
      <c r="BQ60" t="s">
        <v>626</v>
      </c>
      <c r="BR60" t="str">
        <f t="shared" si="4"/>
        <v xml:space="preserve">,`IsSelfMedication` char(1) </v>
      </c>
      <c r="BS60" t="s">
        <v>626</v>
      </c>
      <c r="BT60" s="97" t="str">
        <f t="shared" si="5"/>
        <v>,`IsSelfMedication`</v>
      </c>
      <c r="BU60" t="s">
        <v>626</v>
      </c>
      <c r="BV60" s="97" t="str">
        <f t="shared" si="2"/>
        <v>,A.`IsSelfMedication` = B.`IsSelfMedication`</v>
      </c>
      <c r="BW60" t="s">
        <v>626</v>
      </c>
      <c r="BX60" s="97" t="str">
        <f t="shared" si="6"/>
        <v>,`IsSelfMedication`</v>
      </c>
      <c r="BY60" t="s">
        <v>626</v>
      </c>
      <c r="BZ60" s="97" t="str">
        <f t="shared" si="3"/>
        <v>,`IsSelfMedication`</v>
      </c>
      <c r="CA60" t="s">
        <v>626</v>
      </c>
    </row>
    <row r="61" spans="1:79" ht="15" customHeight="1">
      <c r="A61" s="100" t="s">
        <v>998</v>
      </c>
      <c r="B61" s="23">
        <f t="shared" si="0"/>
        <v>41</v>
      </c>
      <c r="C61" s="24"/>
      <c r="D61" s="22" t="s">
        <v>399</v>
      </c>
      <c r="E61" s="25"/>
      <c r="F61" s="25"/>
      <c r="G61" s="25"/>
      <c r="H61" s="25"/>
      <c r="I61" s="25"/>
      <c r="J61" s="25"/>
      <c r="K61" s="25"/>
      <c r="L61" s="25"/>
      <c r="M61" s="25"/>
      <c r="N61" s="25"/>
      <c r="O61" s="25"/>
      <c r="P61" s="25"/>
      <c r="Q61" s="26"/>
      <c r="R61" s="22" t="s">
        <v>434</v>
      </c>
      <c r="S61" s="25"/>
      <c r="T61" s="25"/>
      <c r="U61" s="25"/>
      <c r="V61" s="25"/>
      <c r="W61" s="25"/>
      <c r="X61" s="25"/>
      <c r="Y61" s="25"/>
      <c r="Z61" s="25"/>
      <c r="AA61" s="25"/>
      <c r="AB61" s="26"/>
      <c r="AC61" s="22" t="str" cm="1">
        <f t="array" ref="AC61">_xlfn.SWITCH(BM61,"nvarchar","varchar("&amp;BN61&amp;")","smallint","smallint","date","date","money","decimal(19,4)","numeric","numeric("&amp;BN61&amp;")","int","int","bit","char(1)","datetime2","datetime","time","time")</f>
        <v>char(1)</v>
      </c>
      <c r="AD61" s="25"/>
      <c r="AE61" s="25"/>
      <c r="AF61" s="25"/>
      <c r="AG61" s="26"/>
      <c r="AH61" s="22"/>
      <c r="AI61" s="26"/>
      <c r="AJ61" s="22"/>
      <c r="AK61" s="25"/>
      <c r="AL61" s="26"/>
      <c r="AM61" s="22"/>
      <c r="AN61" s="25"/>
      <c r="AO61" s="25"/>
      <c r="AP61" s="25"/>
      <c r="AQ61" s="25"/>
      <c r="AR61" s="25"/>
      <c r="AS61" s="26"/>
      <c r="AT61" s="22" t="s">
        <v>925</v>
      </c>
      <c r="AU61" s="25"/>
      <c r="AV61" s="25"/>
      <c r="AW61" s="25"/>
      <c r="AX61" s="25"/>
      <c r="AY61" s="25"/>
      <c r="AZ61" s="25"/>
      <c r="BA61" s="25"/>
      <c r="BB61" s="25"/>
      <c r="BC61" s="25"/>
      <c r="BD61" s="25"/>
      <c r="BE61" s="25"/>
      <c r="BF61" s="25"/>
      <c r="BG61" s="25"/>
      <c r="BH61" s="25"/>
      <c r="BI61" s="25"/>
      <c r="BJ61" s="26"/>
      <c r="BK61" s="4"/>
      <c r="BM61" t="s">
        <v>896</v>
      </c>
      <c r="BP61" t="str">
        <f t="shared" si="1"/>
        <v>,`IsChangePriceBulk` char(1)  COMMENT '売価一括変更フラグ'</v>
      </c>
      <c r="BQ61" t="s">
        <v>626</v>
      </c>
      <c r="BR61" t="str">
        <f t="shared" si="4"/>
        <v xml:space="preserve">,`IsChangePriceBulk` char(1) </v>
      </c>
      <c r="BS61" t="s">
        <v>626</v>
      </c>
      <c r="BT61" s="97" t="str">
        <f t="shared" si="5"/>
        <v>,`IsChangePriceBulk`</v>
      </c>
      <c r="BU61" t="s">
        <v>626</v>
      </c>
      <c r="BV61" s="97" t="str">
        <f t="shared" si="2"/>
        <v>,A.`IsChangePriceBulk` = B.`IsChangePriceBulk`</v>
      </c>
      <c r="BW61" t="s">
        <v>626</v>
      </c>
      <c r="BX61" s="97" t="str">
        <f t="shared" si="6"/>
        <v>,`IsChangePriceBulk`</v>
      </c>
      <c r="BY61" t="s">
        <v>626</v>
      </c>
      <c r="BZ61" s="97" t="str">
        <f t="shared" si="3"/>
        <v>,`IsChangePriceBulk`</v>
      </c>
      <c r="CA61" t="s">
        <v>626</v>
      </c>
    </row>
    <row r="62" spans="1:79" ht="15" customHeight="1">
      <c r="A62" s="98" t="s">
        <v>999</v>
      </c>
      <c r="B62" s="28">
        <f t="shared" si="0"/>
        <v>42</v>
      </c>
      <c r="C62" s="29"/>
      <c r="D62" s="30" t="s">
        <v>400</v>
      </c>
      <c r="E62" s="31"/>
      <c r="F62" s="31"/>
      <c r="G62" s="31"/>
      <c r="H62" s="31"/>
      <c r="I62" s="31"/>
      <c r="J62" s="31"/>
      <c r="K62" s="31"/>
      <c r="L62" s="31"/>
      <c r="M62" s="31"/>
      <c r="N62" s="31"/>
      <c r="O62" s="31"/>
      <c r="P62" s="31"/>
      <c r="Q62" s="32"/>
      <c r="R62" s="30" t="s">
        <v>435</v>
      </c>
      <c r="S62" s="31"/>
      <c r="T62" s="31"/>
      <c r="U62" s="31"/>
      <c r="V62" s="31"/>
      <c r="W62" s="31"/>
      <c r="X62" s="31"/>
      <c r="Y62" s="31"/>
      <c r="Z62" s="31"/>
      <c r="AA62" s="31"/>
      <c r="AB62" s="32"/>
      <c r="AC62" s="30" t="str" cm="1">
        <f t="array" ref="AC62">_xlfn.SWITCH(BM62,"nvarchar","varchar("&amp;BN62&amp;")","smallint","smallint","date","date","money","decimal(19,4)","numeric","numeric("&amp;BN62&amp;")","int","int","bit","char(1)","datetime2","datetime","time","time")</f>
        <v>datetime</v>
      </c>
      <c r="AD62" s="31"/>
      <c r="AE62" s="31"/>
      <c r="AF62" s="31"/>
      <c r="AG62" s="32"/>
      <c r="AH62" s="30"/>
      <c r="AI62" s="32"/>
      <c r="AJ62" s="30"/>
      <c r="AK62" s="31"/>
      <c r="AL62" s="32"/>
      <c r="AM62" s="30"/>
      <c r="AN62" s="31"/>
      <c r="AO62" s="31"/>
      <c r="AP62" s="31"/>
      <c r="AQ62" s="31"/>
      <c r="AR62" s="31"/>
      <c r="AS62" s="32"/>
      <c r="AT62" s="30" t="s">
        <v>926</v>
      </c>
      <c r="AU62" s="31"/>
      <c r="AV62" s="31"/>
      <c r="AW62" s="31"/>
      <c r="AX62" s="31"/>
      <c r="AY62" s="31"/>
      <c r="AZ62" s="31"/>
      <c r="BA62" s="31"/>
      <c r="BB62" s="31"/>
      <c r="BC62" s="31"/>
      <c r="BD62" s="31"/>
      <c r="BE62" s="31"/>
      <c r="BF62" s="31"/>
      <c r="BG62" s="31"/>
      <c r="BH62" s="31"/>
      <c r="BI62" s="31"/>
      <c r="BJ62" s="32"/>
      <c r="BK62" s="4"/>
      <c r="BM62" t="s">
        <v>898</v>
      </c>
      <c r="BN62">
        <v>7</v>
      </c>
      <c r="BP62" t="str">
        <f t="shared" si="1"/>
        <v>,`HeadquartersLastUpdateDateTime` datetime  COMMENT '本部配信データとしての最終更新日時'</v>
      </c>
      <c r="BQ62" t="s">
        <v>626</v>
      </c>
      <c r="BR62" t="str">
        <f t="shared" si="4"/>
        <v xml:space="preserve">,`HeadquartersLastUpdateDateTime` datetime </v>
      </c>
      <c r="BS62" t="s">
        <v>626</v>
      </c>
      <c r="BT62" s="97" t="str">
        <f t="shared" si="5"/>
        <v>,`HeadquartersLastUpdateDateTime`</v>
      </c>
      <c r="BU62" t="s">
        <v>626</v>
      </c>
      <c r="BV62" s="97" t="str">
        <f t="shared" si="2"/>
        <v>,A.`HeadquartersLastUpdateDateTime` = B.`HeadquartersLastUpdateDateTime`</v>
      </c>
      <c r="BW62" t="s">
        <v>626</v>
      </c>
      <c r="BX62" s="97" t="str">
        <f t="shared" si="6"/>
        <v>,`HeadquartersLastUpdateDateTime`</v>
      </c>
      <c r="BY62" t="s">
        <v>626</v>
      </c>
      <c r="BZ62" s="97" t="str">
        <f t="shared" si="3"/>
        <v>,`HeadquartersLastUpdateDateTime`</v>
      </c>
      <c r="CA62" t="s">
        <v>626</v>
      </c>
    </row>
    <row r="63" spans="1:79" ht="15" customHeight="1">
      <c r="A63" s="1"/>
      <c r="BK63" s="4"/>
      <c r="BP6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(`CompanyCode`,`StoreCode`,`ItemCode`,`ApplyDate`),</v>
      </c>
      <c r="BQ63" t="s">
        <v>626</v>
      </c>
      <c r="BR6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(`CompanyCode`,`StoreCode`,`ItemCode`,`ApplyDate`)</v>
      </c>
      <c r="BS63" t="s">
        <v>626</v>
      </c>
      <c r="BT63" s="97" t="s">
        <v>936</v>
      </c>
      <c r="BU63" t="s">
        <v>626</v>
      </c>
      <c r="BV63" s="97" t="s">
        <v>934</v>
      </c>
      <c r="BW63" t="s">
        <v>626</v>
      </c>
      <c r="BY63" t="s">
        <v>626</v>
      </c>
      <c r="BZ63" s="97" t="str">
        <f>"FROM `TMP`.`"&amp;$G$10&amp;"` A"</f>
        <v>FROM `TMP`.`ItemMaster` A</v>
      </c>
      <c r="CA63" t="s">
        <v>626</v>
      </c>
    </row>
    <row r="64" spans="1:79" ht="15" customHeight="1">
      <c r="A64" s="1"/>
      <c r="BK64" s="4"/>
      <c r="BP64" s="97" t="s">
        <v>452</v>
      </c>
      <c r="BQ64" t="s">
        <v>626</v>
      </c>
      <c r="BR64" s="97" t="str">
        <f>") ENGINE=InnoDB DEFAULT CHARSET=utf8mb4 COLLATE=utf8mb4_0900_ai_ci COMMENT = '"&amp;$G$9&amp;"_TMP';"</f>
        <v>) ENGINE=InnoDB DEFAULT CHARSET=utf8mb4 COLLATE=utf8mb4_0900_ai_ci COMMENT = '商品マスタ_TMP';</v>
      </c>
      <c r="BS64" t="s">
        <v>626</v>
      </c>
      <c r="BU64" t="s">
        <v>626</v>
      </c>
      <c r="BV64" s="97" t="str">
        <f>IF(_xlfn.XLOOKUP(1,$AH:$AH,$R:$R,"",0)="","","A.`"&amp;_xlfn.XLOOKUP(1,$AH:$AH,$R:$R,"",0)&amp;"` = B.`"&amp;_xlfn.XLOOKUP(1,$AH:$AH,$R:$R,"",0)&amp;"`")</f>
        <v>A.`CompanyCode` = B.`CompanyCode`</v>
      </c>
      <c r="BW64" t="s">
        <v>626</v>
      </c>
      <c r="BY64" t="s">
        <v>626</v>
      </c>
      <c r="BZ64" s="97" t="s">
        <v>935</v>
      </c>
      <c r="CA64" t="s">
        <v>626</v>
      </c>
    </row>
    <row r="65" spans="1:79" ht="15" customHeight="1">
      <c r="A65" s="1"/>
      <c r="B65" s="37" t="s">
        <v>49</v>
      </c>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4"/>
      <c r="BP65" s="97" t="str">
        <f>") ENGINE=InnoDB DEFAULT CHARSET=utf8mb4 COLLATE=utf8mb4_0900_ai_ci COMMENT = '"&amp;$G$9&amp;"';"</f>
        <v>) ENGINE=InnoDB DEFAULT CHARSET=utf8mb4 COLLATE=utf8mb4_0900_ai_ci COMMENT = '商品マスタ';</v>
      </c>
      <c r="BQ65" t="s">
        <v>626</v>
      </c>
      <c r="BS65" t="s">
        <v>626</v>
      </c>
      <c r="BU65" t="s">
        <v>626</v>
      </c>
      <c r="BV65" s="97" t="str">
        <f>IF(_xlfn.XLOOKUP(2,$AH:$AH,$R:$R,"",0)="","","AND A.`"&amp;_xlfn.XLOOKUP(2,$AH:$AH,$R:$R,"",0)&amp;"` = B.`"&amp;_xlfn.XLOOKUP(2,$AH:$AH,$R:$R,"",0)&amp;"`")</f>
        <v>AND A.`StoreCode` = B.`StoreCode`</v>
      </c>
      <c r="BW65" t="s">
        <v>626</v>
      </c>
      <c r="BY65" t="s">
        <v>626</v>
      </c>
      <c r="BZ65" s="97" t="str">
        <f>"FROM `POS_MASTER`.`"&amp;$G$10&amp;"` B"</f>
        <v>FROM `POS_MASTER`.`ItemMaster` B</v>
      </c>
      <c r="CA65" t="s">
        <v>626</v>
      </c>
    </row>
    <row r="66" spans="1:79" ht="15" customHeight="1">
      <c r="A66" s="1"/>
      <c r="B66" s="34" t="s">
        <v>50</v>
      </c>
      <c r="C66" s="35"/>
      <c r="D66" s="34" t="s">
        <v>51</v>
      </c>
      <c r="E66" s="44"/>
      <c r="F66" s="36"/>
      <c r="G66" s="36"/>
      <c r="H66" s="36"/>
      <c r="I66" s="36"/>
      <c r="J66" s="36"/>
      <c r="K66" s="36"/>
      <c r="L66" s="36"/>
      <c r="M66" s="36"/>
      <c r="N66" s="36"/>
      <c r="O66" s="36"/>
      <c r="P66" s="36"/>
      <c r="Q66" s="35"/>
      <c r="R66" s="34" t="s">
        <v>52</v>
      </c>
      <c r="S66" s="44"/>
      <c r="T66" s="36"/>
      <c r="U66" s="36"/>
      <c r="V66" s="36"/>
      <c r="W66" s="36"/>
      <c r="X66" s="36"/>
      <c r="Y66" s="36"/>
      <c r="Z66" s="36"/>
      <c r="AA66" s="36"/>
      <c r="AB66" s="36"/>
      <c r="AC66" s="36"/>
      <c r="AD66" s="36"/>
      <c r="AE66" s="36"/>
      <c r="AF66" s="36"/>
      <c r="AG66" s="36"/>
      <c r="AH66" s="36"/>
      <c r="AI66" s="36"/>
      <c r="AJ66" s="36"/>
      <c r="AK66" s="35"/>
      <c r="AL66" s="34" t="s">
        <v>53</v>
      </c>
      <c r="AM66" s="36"/>
      <c r="AN66" s="36"/>
      <c r="AO66" s="45"/>
      <c r="AP66" s="34" t="s">
        <v>54</v>
      </c>
      <c r="AQ66" s="36"/>
      <c r="AR66" s="36"/>
      <c r="AS66" s="35"/>
      <c r="AT66" s="34" t="s">
        <v>48</v>
      </c>
      <c r="AU66" s="44"/>
      <c r="AV66" s="44"/>
      <c r="AW66" s="36"/>
      <c r="AX66" s="36"/>
      <c r="AY66" s="44"/>
      <c r="AZ66" s="36"/>
      <c r="BA66" s="36"/>
      <c r="BB66" s="36"/>
      <c r="BC66" s="36"/>
      <c r="BD66" s="36"/>
      <c r="BE66" s="36"/>
      <c r="BF66" s="36"/>
      <c r="BG66" s="36"/>
      <c r="BH66" s="36"/>
      <c r="BI66" s="44"/>
      <c r="BJ66" s="35"/>
      <c r="BK66" s="4"/>
      <c r="BP66" s="97"/>
      <c r="BQ66" t="s">
        <v>626</v>
      </c>
      <c r="BS66" t="s">
        <v>626</v>
      </c>
      <c r="BU66" t="s">
        <v>626</v>
      </c>
      <c r="BV66" s="97" t="str">
        <f>IF(_xlfn.XLOOKUP(3,$AH:$AH,$R:$R,"",0)="","","AND A.`"&amp;_xlfn.XLOOKUP(3,$AH:$AH,$R:$R,"",0)&amp;"` = B.`"&amp;_xlfn.XLOOKUP(3,$AH:$AH,$R:$R,"",0)&amp;"`")</f>
        <v>AND A.`ItemCode` = B.`ItemCode`</v>
      </c>
      <c r="BW66" t="s">
        <v>626</v>
      </c>
      <c r="BY66" t="s">
        <v>626</v>
      </c>
      <c r="BZ66" s="97" t="s">
        <v>932</v>
      </c>
      <c r="CA66" t="s">
        <v>626</v>
      </c>
    </row>
    <row r="67" spans="1:79" ht="15" customHeight="1">
      <c r="A67" s="1"/>
      <c r="B67" s="38">
        <v>1</v>
      </c>
      <c r="C67" s="39"/>
      <c r="D67" s="38" t="s">
        <v>55</v>
      </c>
      <c r="E67" s="46"/>
      <c r="F67" s="40"/>
      <c r="G67" s="40"/>
      <c r="H67" s="40"/>
      <c r="I67" s="40"/>
      <c r="J67" s="40"/>
      <c r="K67" s="40"/>
      <c r="L67" s="40"/>
      <c r="M67" s="40"/>
      <c r="N67" s="40"/>
      <c r="O67" s="40"/>
      <c r="P67" s="40"/>
      <c r="Q67" s="39"/>
      <c r="R67"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`CompanyCode`,`StoreCode`,`ItemCode`,`ApplyDate`</v>
      </c>
      <c r="S67" s="46"/>
      <c r="T67" s="40"/>
      <c r="U67" s="40"/>
      <c r="V67" s="40"/>
      <c r="W67" s="40"/>
      <c r="X67" s="40"/>
      <c r="Y67" s="40"/>
      <c r="Z67" s="40"/>
      <c r="AA67" s="40"/>
      <c r="AB67" s="40"/>
      <c r="AC67" s="40"/>
      <c r="AD67" s="40"/>
      <c r="AE67" s="40"/>
      <c r="AF67" s="40"/>
      <c r="AG67" s="40"/>
      <c r="AH67" s="40"/>
      <c r="AI67" s="40"/>
      <c r="AJ67" s="40"/>
      <c r="AK67" s="39"/>
      <c r="AL67" s="38" t="s">
        <v>885</v>
      </c>
      <c r="AM67" s="40"/>
      <c r="AN67" s="40"/>
      <c r="AO67" s="47"/>
      <c r="AP67" s="38" t="s">
        <v>885</v>
      </c>
      <c r="AQ67" s="40"/>
      <c r="AR67" s="40"/>
      <c r="AS67" s="39"/>
      <c r="AT67" s="38"/>
      <c r="AU67" s="46"/>
      <c r="AV67" s="46"/>
      <c r="AW67" s="40"/>
      <c r="AX67" s="40"/>
      <c r="AY67" s="46"/>
      <c r="AZ67" s="40"/>
      <c r="BA67" s="40"/>
      <c r="BB67" s="40"/>
      <c r="BC67" s="40"/>
      <c r="BD67" s="40"/>
      <c r="BE67" s="40"/>
      <c r="BF67" s="40"/>
      <c r="BG67" s="40"/>
      <c r="BH67" s="40"/>
      <c r="BI67" s="46"/>
      <c r="BJ67" s="39"/>
      <c r="BK67" s="4"/>
      <c r="BP67" s="97" t="str">
        <f>"CREATE TRIGGER `"&amp;$G$10&amp;"_CR_Date_Time` BEFORE INSERT ON `"&amp;$G$10&amp;"` FOR EACH ROW SET NEW.record_create_date = CURRENT_DATE, NEW.record_create_time = CURRENT_TIME, NEW.record_update_date = CURRENT_DATE, NEW.record_update_time = CURRENT_TIME;"</f>
        <v>CREATE TRIGGER `ItemMaster_CR_Date_Time` BEFORE INSERT ON `ItemMaster` FOR EACH ROW SET NEW.record_create_date = CURRENT_DATE, NEW.record_create_time = CURRENT_TIME, NEW.record_update_date = CURRENT_DATE, NEW.record_update_time = CURRENT_TIME;</v>
      </c>
      <c r="BQ67" t="s">
        <v>626</v>
      </c>
      <c r="BS67" t="s">
        <v>626</v>
      </c>
      <c r="BU67" t="s">
        <v>626</v>
      </c>
      <c r="BV67" s="97" t="str">
        <f>IF(_xlfn.XLOOKUP(4,$AH:$AH,$R:$R,"",0)="","","AND A.`"&amp;_xlfn.XLOOKUP(4,$AH:$AH,$R:$R,"",0)&amp;"` = B.`"&amp;_xlfn.XLOOKUP(4,$AH:$AH,$R:$R,"",0)&amp;"`")</f>
        <v>AND A.`ApplyDate` = B.`ApplyDate`</v>
      </c>
      <c r="BW67" t="s">
        <v>626</v>
      </c>
      <c r="BY67" t="s">
        <v>626</v>
      </c>
      <c r="BZ67" s="97" t="str">
        <f>IF(_xlfn.XLOOKUP(1,$AH:$AH,$R:$R,"",0)="","","A.`"&amp;_xlfn.XLOOKUP(1,$AH:$AH,$R:$R,"",0)&amp;"` = B.`"&amp;_xlfn.XLOOKUP(1,$AH:$AH,$R:$R,"",0)&amp;"`")</f>
        <v>A.`CompanyCode` = B.`CompanyCode`</v>
      </c>
      <c r="CA67" t="s">
        <v>626</v>
      </c>
    </row>
    <row r="68" spans="1:79" ht="15" customHeight="1">
      <c r="A68" s="1"/>
      <c r="BK68" s="4"/>
      <c r="BP68" s="97" t="str">
        <f>"CREATE TRIGGER `"&amp;$G$10&amp;"_UP_Date_Time` BEFORE UPDATE ON `"&amp;$G$10&amp;"` FOR EACH ROW SET NEW.record_update_date = CURRENT_DATE, NEW.record_update_time = CURRENT_TIME;"</f>
        <v>CREATE TRIGGER `ItemMaster_UP_Date_Time` BEFORE UPDATE ON `ItemMaster` FOR EACH ROW SET NEW.record_update_date = CURRENT_DATE, NEW.record_update_time = CURRENT_TIME;</v>
      </c>
      <c r="BQ68" t="s">
        <v>626</v>
      </c>
      <c r="BS68" t="s">
        <v>626</v>
      </c>
      <c r="BU68" t="s">
        <v>626</v>
      </c>
      <c r="BV68" s="97" t="str">
        <f>IF(_xlfn.XLOOKUP(5,$AH:$AH,$R:$R,"",0)="","","AND A.`"&amp;_xlfn.XLOOKUP(5,$AH:$AH,$R:$R,"",0)&amp;"` = B.`"&amp;_xlfn.XLOOKUP(5,$AH:$AH,$R:$R,"",0)&amp;"`")</f>
        <v/>
      </c>
      <c r="BW68" t="s">
        <v>626</v>
      </c>
      <c r="BY68" t="s">
        <v>626</v>
      </c>
      <c r="BZ68" s="97" t="str">
        <f>IF(_xlfn.XLOOKUP(2,$AH:$AH,$R:$R,"",0)="","","AND A.`"&amp;_xlfn.XLOOKUP(2,$AH:$AH,$R:$R,"",0)&amp;"` = B.`"&amp;_xlfn.XLOOKUP(2,$AH:$AH,$R:$R,"",0)&amp;"`")</f>
        <v>AND A.`StoreCode` = B.`StoreCode`</v>
      </c>
      <c r="CA68" t="s">
        <v>626</v>
      </c>
    </row>
    <row r="69" spans="1:79" ht="15" customHeight="1">
      <c r="A69" s="1"/>
      <c r="BK69" s="4"/>
      <c r="BQ69" t="s">
        <v>626</v>
      </c>
      <c r="BS69" t="s">
        <v>626</v>
      </c>
      <c r="BU69" t="s">
        <v>626</v>
      </c>
      <c r="BV69" s="97" t="str">
        <f>IF(_xlfn.XLOOKUP(6,$AH:$AH,$R:$R,"",0)="","","AND A.`"&amp;_xlfn.XLOOKUP(6,$AH:$AH,$R:$R,"",0)&amp;"` = B.`"&amp;_xlfn.XLOOKUP(6,$AH:$AH,$R:$R,"",0)&amp;"`")</f>
        <v/>
      </c>
      <c r="BW69" t="s">
        <v>626</v>
      </c>
      <c r="BY69" t="s">
        <v>626</v>
      </c>
      <c r="BZ69" s="97" t="str">
        <f>IF(_xlfn.XLOOKUP(3,$AH:$AH,$R:$R,"",0)="","","AND A.`"&amp;_xlfn.XLOOKUP(3,$AH:$AH,$R:$R,"",0)&amp;"` = B.`"&amp;_xlfn.XLOOKUP(3,$AH:$AH,$R:$R,"",0)&amp;"`")</f>
        <v>AND A.`ItemCode` = B.`ItemCode`</v>
      </c>
      <c r="CA69" t="s">
        <v>626</v>
      </c>
    </row>
    <row r="70" spans="1:79">
      <c r="A70" s="1"/>
      <c r="B70" s="37" t="s">
        <v>34</v>
      </c>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4"/>
      <c r="BQ70" t="s">
        <v>626</v>
      </c>
      <c r="BS70" t="s">
        <v>626</v>
      </c>
      <c r="BU70" t="s">
        <v>626</v>
      </c>
      <c r="BV70" s="97" t="str">
        <f>IF(_xlfn.XLOOKUP(7,$AH:$AH,$R:$R,"",0)="","","AND A.`"&amp;_xlfn.XLOOKUP(7,$AH:$AH,$R:$R,"",0)&amp;"` = B.`"&amp;_xlfn.XLOOKUP(7,$AH:$AH,$R:$R,"",0)&amp;"`")</f>
        <v/>
      </c>
      <c r="BW70" t="s">
        <v>626</v>
      </c>
      <c r="BY70" t="s">
        <v>626</v>
      </c>
      <c r="BZ70" s="97" t="str">
        <f>IF(_xlfn.XLOOKUP(4,$AH:$AH,$R:$R,"",0)="","","AND A.`"&amp;_xlfn.XLOOKUP(4,$AH:$AH,$R:$R,"",0)&amp;"` = B.`"&amp;_xlfn.XLOOKUP(4,$AH:$AH,$R:$R,"",0)&amp;"`")</f>
        <v>AND A.`ApplyDate` = B.`ApplyDate`</v>
      </c>
      <c r="CA70" t="s">
        <v>626</v>
      </c>
    </row>
    <row r="71" spans="1:79">
      <c r="A71" s="1"/>
      <c r="B71" s="34" t="s">
        <v>35</v>
      </c>
      <c r="C71" s="45"/>
      <c r="D71" s="34" t="s">
        <v>36</v>
      </c>
      <c r="E71" s="44"/>
      <c r="F71" s="44"/>
      <c r="G71" s="44"/>
      <c r="H71" s="44"/>
      <c r="I71" s="44"/>
      <c r="J71" s="44"/>
      <c r="K71" s="44"/>
      <c r="L71" s="36"/>
      <c r="M71" s="36"/>
      <c r="N71" s="36"/>
      <c r="O71" s="36"/>
      <c r="P71" s="36"/>
      <c r="Q71" s="35"/>
      <c r="R71" s="34" t="s">
        <v>37</v>
      </c>
      <c r="S71" s="36"/>
      <c r="T71" s="45"/>
      <c r="U71" s="34" t="s">
        <v>38</v>
      </c>
      <c r="V71" s="36"/>
      <c r="W71" s="44"/>
      <c r="X71" s="45"/>
      <c r="Y71" s="34" t="s">
        <v>39</v>
      </c>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5"/>
      <c r="BK71" s="4"/>
      <c r="BQ71" t="s">
        <v>626</v>
      </c>
      <c r="BS71" t="s">
        <v>626</v>
      </c>
      <c r="BU71" t="s">
        <v>626</v>
      </c>
      <c r="BV71" s="97" t="str">
        <f>IF(_xlfn.XLOOKUP(8,$AH:$AH,$R:$R,"",0)="","","AND A.`"&amp;_xlfn.XLOOKUP(8,$AH:$AH,$R:$R,"",0)&amp;"` = B.`"&amp;_xlfn.XLOOKUP(8,$AH:$AH,$R:$R,"",0)&amp;"`")</f>
        <v/>
      </c>
      <c r="BW71" t="s">
        <v>626</v>
      </c>
      <c r="BY71" t="s">
        <v>626</v>
      </c>
      <c r="BZ71" s="97" t="str">
        <f>IF(_xlfn.XLOOKUP(5,$AH:$AH,$R:$R,"",0)="","","AND A.`"&amp;_xlfn.XLOOKUP(5,$AH:$AH,$R:$R,"",0)&amp;"` = B.`"&amp;_xlfn.XLOOKUP(5,$AH:$AH,$R:$R,"",0)&amp;"`")</f>
        <v/>
      </c>
      <c r="CA71" t="s">
        <v>626</v>
      </c>
    </row>
    <row r="72" spans="1:79">
      <c r="A72" s="1"/>
      <c r="B72" s="41">
        <v>1</v>
      </c>
      <c r="C72" s="47"/>
      <c r="D72" s="41" t="str">
        <f>G10&amp;"_"&amp;R72&amp;"_"&amp;"trg"</f>
        <v>ItemMaster_update_trg</v>
      </c>
      <c r="E72" s="46"/>
      <c r="F72" s="46"/>
      <c r="G72" s="46"/>
      <c r="H72" s="46"/>
      <c r="I72" s="46"/>
      <c r="J72" s="46"/>
      <c r="K72" s="46"/>
      <c r="L72" s="42"/>
      <c r="M72" s="42"/>
      <c r="N72" s="42"/>
      <c r="O72" s="42"/>
      <c r="P72" s="42"/>
      <c r="Q72" s="43"/>
      <c r="R72" s="41" t="s">
        <v>40</v>
      </c>
      <c r="S72" s="42"/>
      <c r="T72" s="47"/>
      <c r="U72" s="41" t="s">
        <v>41</v>
      </c>
      <c r="V72" s="42"/>
      <c r="W72" s="46"/>
      <c r="X72" s="47"/>
      <c r="Y72" s="41" t="s">
        <v>42</v>
      </c>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c r="BD72" s="42"/>
      <c r="BE72" s="42"/>
      <c r="BF72" s="42"/>
      <c r="BG72" s="42"/>
      <c r="BH72" s="42"/>
      <c r="BI72" s="42"/>
      <c r="BJ72" s="43"/>
      <c r="BK72" s="4"/>
      <c r="BQ72" t="s">
        <v>626</v>
      </c>
      <c r="BS72" t="s">
        <v>626</v>
      </c>
      <c r="BU72" t="s">
        <v>626</v>
      </c>
      <c r="BV72" s="97" t="s">
        <v>936</v>
      </c>
      <c r="BW72" t="s">
        <v>626</v>
      </c>
      <c r="BY72" t="s">
        <v>626</v>
      </c>
      <c r="BZ72" s="97" t="str">
        <f>IF(_xlfn.XLOOKUP(6,$AH:$AH,$R:$R,"",0)="","","AND A.`"&amp;_xlfn.XLOOKUP(6,$AH:$AH,$R:$R,"",0)&amp;"` = B.`"&amp;_xlfn.XLOOKUP(6,$AH:$AH,$R:$R,"",0)&amp;"`")</f>
        <v/>
      </c>
      <c r="CA72" t="s">
        <v>626</v>
      </c>
    </row>
    <row r="73" spans="1:79">
      <c r="A73" s="1"/>
      <c r="BK73" s="4"/>
      <c r="BQ73" t="s">
        <v>626</v>
      </c>
      <c r="BS73" t="s">
        <v>626</v>
      </c>
      <c r="BU73" t="s">
        <v>626</v>
      </c>
      <c r="BW73" t="s">
        <v>626</v>
      </c>
      <c r="BY73" t="s">
        <v>626</v>
      </c>
      <c r="BZ73" s="97" t="str">
        <f>IF(_xlfn.XLOOKUP(7,$AH:$AH,$R:$R,"",0)="","","AND A.`"&amp;_xlfn.XLOOKUP(7,$AH:$AH,$R:$R,"",0)&amp;"` = B.`"&amp;_xlfn.XLOOKUP(7,$AH:$AH,$R:$R,"",0)&amp;"`")</f>
        <v/>
      </c>
      <c r="CA73" t="s">
        <v>626</v>
      </c>
    </row>
    <row r="74" spans="1:79">
      <c r="A74" s="1"/>
      <c r="BK74" s="4"/>
      <c r="BQ74" t="s">
        <v>626</v>
      </c>
      <c r="BS74" t="s">
        <v>626</v>
      </c>
      <c r="BU74" t="s">
        <v>626</v>
      </c>
      <c r="BW74" t="s">
        <v>626</v>
      </c>
      <c r="BY74" t="s">
        <v>626</v>
      </c>
      <c r="BZ74" s="97" t="str">
        <f>IF(_xlfn.XLOOKUP(8,$AH:$AH,$R:$R,"",0)="","","AND A.`"&amp;_xlfn.XLOOKUP(8,$AH:$AH,$R:$R,"",0)&amp;"` = B.`"&amp;_xlfn.XLOOKUP(8,$AH:$AH,$R:$R,"",0)&amp;"`")</f>
        <v/>
      </c>
      <c r="CA74" t="s">
        <v>626</v>
      </c>
    </row>
    <row r="75" spans="1:79">
      <c r="A75" s="1"/>
      <c r="BK75" s="4"/>
      <c r="BQ75" t="s">
        <v>626</v>
      </c>
      <c r="BS75" t="s">
        <v>626</v>
      </c>
      <c r="BU75" t="s">
        <v>626</v>
      </c>
      <c r="BW75" t="s">
        <v>626</v>
      </c>
      <c r="BY75" t="s">
        <v>626</v>
      </c>
      <c r="BZ75" s="97" t="s">
        <v>929</v>
      </c>
      <c r="CA75" t="s">
        <v>626</v>
      </c>
    </row>
    <row r="76" spans="1:79">
      <c r="A76" s="1"/>
      <c r="BK76" s="4"/>
      <c r="BQ76" t="s">
        <v>626</v>
      </c>
      <c r="BS76" t="s">
        <v>626</v>
      </c>
      <c r="BU76" t="s">
        <v>626</v>
      </c>
      <c r="BW76" t="s">
        <v>626</v>
      </c>
      <c r="BY76" t="s">
        <v>626</v>
      </c>
      <c r="CA76" t="s">
        <v>626</v>
      </c>
    </row>
    <row r="77" spans="1:79">
      <c r="A77" s="1"/>
      <c r="BK77" s="4"/>
      <c r="BQ77" t="s">
        <v>626</v>
      </c>
      <c r="BS77" t="s">
        <v>626</v>
      </c>
      <c r="BU77" t="s">
        <v>626</v>
      </c>
      <c r="BW77" t="s">
        <v>626</v>
      </c>
      <c r="BY77" t="s">
        <v>626</v>
      </c>
      <c r="BZ77" s="98"/>
      <c r="CA77" t="s">
        <v>626</v>
      </c>
    </row>
    <row r="78" spans="1:79">
      <c r="A78" s="1"/>
      <c r="BK78" s="4"/>
      <c r="BQ78" t="s">
        <v>626</v>
      </c>
      <c r="BS78" t="s">
        <v>626</v>
      </c>
      <c r="BU78" t="s">
        <v>626</v>
      </c>
      <c r="BW78" t="s">
        <v>626</v>
      </c>
      <c r="BY78" t="s">
        <v>626</v>
      </c>
      <c r="BZ78" s="97" t="str">
        <f>"DROP TABLE IF EXISTS `TMP`.`"&amp;$G$10&amp;"`;"</f>
        <v>DROP TABLE IF EXISTS `TMP`.`ItemMaster`;</v>
      </c>
      <c r="CA78" t="s">
        <v>626</v>
      </c>
    </row>
    <row r="79" spans="1:79">
      <c r="A79" s="1"/>
      <c r="BK79" s="4"/>
      <c r="BQ79" t="s">
        <v>626</v>
      </c>
      <c r="BS79" t="s">
        <v>626</v>
      </c>
      <c r="BU79" t="s">
        <v>626</v>
      </c>
      <c r="BW79" t="s">
        <v>626</v>
      </c>
      <c r="BY79" t="s">
        <v>626</v>
      </c>
      <c r="BZ79" s="97" t="s">
        <v>937</v>
      </c>
      <c r="CA79" t="s">
        <v>626</v>
      </c>
    </row>
    <row r="80" spans="1:79">
      <c r="A80" s="1"/>
      <c r="BK80" s="4"/>
      <c r="BQ80" t="s">
        <v>626</v>
      </c>
      <c r="BS80" t="s">
        <v>626</v>
      </c>
      <c r="BU80" t="s">
        <v>626</v>
      </c>
      <c r="BW80" t="s">
        <v>626</v>
      </c>
      <c r="BY80" t="s">
        <v>626</v>
      </c>
      <c r="CA80" t="s">
        <v>626</v>
      </c>
    </row>
    <row r="81" spans="1:79">
      <c r="A81" s="1"/>
      <c r="BK81" s="4"/>
      <c r="BQ81" t="s">
        <v>626</v>
      </c>
      <c r="BS81" t="s">
        <v>626</v>
      </c>
      <c r="BU81" t="s">
        <v>626</v>
      </c>
      <c r="BW81" t="s">
        <v>626</v>
      </c>
      <c r="BY81" t="s">
        <v>626</v>
      </c>
      <c r="CA81" t="s">
        <v>626</v>
      </c>
    </row>
    <row r="82" spans="1:79">
      <c r="A82" s="1"/>
      <c r="BK82" s="4"/>
      <c r="BQ82" t="s">
        <v>626</v>
      </c>
      <c r="BS82" t="s">
        <v>626</v>
      </c>
      <c r="BU82" t="s">
        <v>626</v>
      </c>
      <c r="BW82" t="s">
        <v>626</v>
      </c>
      <c r="BY82" t="s">
        <v>626</v>
      </c>
      <c r="CA82" t="s">
        <v>626</v>
      </c>
    </row>
    <row r="83" spans="1:79">
      <c r="A83" s="1"/>
      <c r="BK83" s="4"/>
      <c r="BQ83" t="s">
        <v>626</v>
      </c>
      <c r="BS83" t="s">
        <v>626</v>
      </c>
      <c r="BU83" t="s">
        <v>626</v>
      </c>
      <c r="BW83" t="s">
        <v>626</v>
      </c>
      <c r="BY83" t="s">
        <v>626</v>
      </c>
      <c r="CA83" t="s">
        <v>626</v>
      </c>
    </row>
    <row r="84" spans="1:79">
      <c r="A84" s="2"/>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5"/>
      <c r="BQ84" t="s">
        <v>626</v>
      </c>
      <c r="BS84" t="s">
        <v>626</v>
      </c>
      <c r="BU84" t="s">
        <v>626</v>
      </c>
      <c r="BW84" t="s">
        <v>626</v>
      </c>
      <c r="BY84" t="s">
        <v>626</v>
      </c>
      <c r="CA84" t="s">
        <v>626</v>
      </c>
    </row>
  </sheetData>
  <mergeCells count="41">
    <mergeCell ref="BT16:BZ16"/>
    <mergeCell ref="BT17:BZ17"/>
    <mergeCell ref="BT18:BZ1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BC1:BG1"/>
    <mergeCell ref="A4:G4"/>
    <mergeCell ref="H4:T4"/>
    <mergeCell ref="U4:Y4"/>
    <mergeCell ref="Z4:AO4"/>
    <mergeCell ref="AP4:BK4"/>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65CB7-8C3A-4002-A661-582C04785D67}">
  <dimension ref="A1:CA62"/>
  <sheetViews>
    <sheetView view="pageBreakPreview" topLeftCell="A12" zoomScale="80" zoomScaleNormal="75" zoomScaleSheetLayoutView="80" workbookViewId="0">
      <selection activeCell="BT24" sqref="BT24:BT35"/>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453</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441</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`POS_MASTER`.`ItemExMvkMaster`;</v>
      </c>
      <c r="BQ19" t="s">
        <v>626</v>
      </c>
      <c r="BS19" t="s">
        <v>626</v>
      </c>
      <c r="BU19" t="s">
        <v>626</v>
      </c>
      <c r="BW19" t="s">
        <v>626</v>
      </c>
      <c r="BY19" t="s">
        <v>626</v>
      </c>
      <c r="CA19" t="s">
        <v>626</v>
      </c>
    </row>
    <row r="20" spans="1:79" ht="15" customHeight="1">
      <c r="A20" s="1"/>
      <c r="B20" s="94" t="s">
        <v>22</v>
      </c>
      <c r="C20" s="95"/>
      <c r="D20" s="94" t="s">
        <v>23</v>
      </c>
      <c r="E20" s="96"/>
      <c r="F20" s="96"/>
      <c r="G20" s="96"/>
      <c r="H20" s="96"/>
      <c r="I20" s="96"/>
      <c r="J20" s="96"/>
      <c r="K20" s="96"/>
      <c r="L20" s="96"/>
      <c r="M20" s="96"/>
      <c r="N20" s="96"/>
      <c r="O20" s="96"/>
      <c r="P20" s="96"/>
      <c r="Q20" s="95"/>
      <c r="R20" s="94" t="s">
        <v>24</v>
      </c>
      <c r="S20" s="96"/>
      <c r="T20" s="96"/>
      <c r="U20" s="96"/>
      <c r="V20" s="96"/>
      <c r="W20" s="96"/>
      <c r="X20" s="96"/>
      <c r="Y20" s="96"/>
      <c r="Z20" s="96"/>
      <c r="AA20" s="96"/>
      <c r="AB20" s="95"/>
      <c r="AC20" s="94" t="s">
        <v>25</v>
      </c>
      <c r="AD20" s="96"/>
      <c r="AE20" s="96"/>
      <c r="AF20" s="96"/>
      <c r="AG20" s="95"/>
      <c r="AH20" s="94" t="s">
        <v>26</v>
      </c>
      <c r="AI20" s="95"/>
      <c r="AJ20" s="94" t="s">
        <v>27</v>
      </c>
      <c r="AK20" s="96"/>
      <c r="AL20" s="95"/>
      <c r="AM20" s="94" t="s">
        <v>28</v>
      </c>
      <c r="AN20" s="96"/>
      <c r="AO20" s="96"/>
      <c r="AP20" s="96"/>
      <c r="AQ20" s="96"/>
      <c r="AR20" s="96"/>
      <c r="AS20" s="95"/>
      <c r="AT20" s="94" t="s">
        <v>29</v>
      </c>
      <c r="AU20" s="96"/>
      <c r="AV20" s="96"/>
      <c r="AW20" s="96"/>
      <c r="AX20" s="96"/>
      <c r="AY20" s="96"/>
      <c r="AZ20" s="96"/>
      <c r="BA20" s="96"/>
      <c r="BB20" s="96"/>
      <c r="BC20" s="96"/>
      <c r="BD20" s="96"/>
      <c r="BE20" s="96"/>
      <c r="BF20" s="96"/>
      <c r="BG20" s="96"/>
      <c r="BH20" s="96"/>
      <c r="BI20" s="96"/>
      <c r="BJ20" s="95"/>
      <c r="BK20" s="4"/>
      <c r="BP20" s="97" t="str">
        <f>"CREATE TABLE `"&amp;$G$8&amp;"`.`"&amp;$G$10&amp;"` ("</f>
        <v>CREATE TABLE `POS_MASTER`.`ItemExMvkMaster`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4"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'C:/04_DATAFILE/ItemExMvkMaster/TMP/ItemExMvkMaster.CSV' </v>
      </c>
      <c r="BU24" t="s">
        <v>626</v>
      </c>
      <c r="BV24" s="97" t="str">
        <f>"UPDATE `POS_MASTER`.`"&amp;$G$10&amp;"` A,`TMP`.`"&amp;$G$10&amp;"` B"</f>
        <v>UPDATE `POS_MASTER`.`ItemExMvkMaster` A,`TMP`.`ItemExMvkMaster`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`TMP`.`ItemExMvkMaster`;</v>
      </c>
      <c r="BS25" t="s">
        <v>626</v>
      </c>
      <c r="BT25" s="97" t="str">
        <f>"REPLACE INTO TABLE TMP.`"&amp;$G$10&amp;"` CHARACTER SET 'UTF8'"</f>
        <v>REPLACE INTO TABLE TMP.`ItemExMvkMaster`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M26" t="s">
        <v>888</v>
      </c>
      <c r="BN26">
        <v>1</v>
      </c>
      <c r="BP26" s="97" t="s">
        <v>952</v>
      </c>
      <c r="BQ26" t="s">
        <v>626</v>
      </c>
      <c r="BR26" s="97" t="str">
        <f>"CREATE TABLE `TMP`.`"&amp;G10&amp;"` ("</f>
        <v>CREATE TABLE `TMP`.`ItemExMvkMaster`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v>
      </c>
      <c r="BU26" t="s">
        <v>626</v>
      </c>
      <c r="BV26" s="97"/>
      <c r="BW26" t="s">
        <v>626</v>
      </c>
      <c r="BX26" s="97" t="str">
        <f>"INSERT INTO `POS_MASTER`.`"&amp;$G$10&amp;"` ("</f>
        <v>INSERT INTO `POS_MASTER`.`ItemExMvkMaster`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448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449</v>
      </c>
      <c r="AU28" s="25"/>
      <c r="AV28" s="25"/>
      <c r="AW28" s="25"/>
      <c r="AX28" s="25"/>
      <c r="AY28" s="25"/>
      <c r="AZ28" s="25"/>
      <c r="BA28" s="25"/>
      <c r="BB28" s="25"/>
      <c r="BC28" s="25"/>
      <c r="BD28" s="25"/>
      <c r="BE28" s="25"/>
      <c r="BF28" s="25"/>
      <c r="BG28" s="25"/>
      <c r="BH28" s="25"/>
      <c r="BI28" s="25"/>
      <c r="BJ28" s="26"/>
      <c r="BK28" s="4"/>
      <c r="BM28" t="s">
        <v>888</v>
      </c>
      <c r="BN28">
        <v>10</v>
      </c>
      <c r="BP28" t="str">
        <f t="shared" ref="BP28:BP34"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4" si="2">",A.`"&amp;R28&amp;"` = B.`"&amp;R28&amp;"`"</f>
        <v>,A.`StoreCode` = B.`StoreCode`</v>
      </c>
      <c r="BW28" t="s">
        <v>626</v>
      </c>
      <c r="BX28" s="97" t="str">
        <f t="shared" ref="BX28:BX34" si="3">",`"&amp;R28&amp;"`"</f>
        <v>,`StoreCode`</v>
      </c>
      <c r="BY28" t="s">
        <v>626</v>
      </c>
      <c r="BZ28" s="97" t="str">
        <f t="shared" ref="BZ28:BZ34" si="4">",`"&amp;R28&amp;"`"</f>
        <v>,`StoreCode`</v>
      </c>
      <c r="CA28" t="s">
        <v>626</v>
      </c>
    </row>
    <row r="29" spans="1:79" ht="15" customHeight="1">
      <c r="A29" s="100" t="s">
        <v>966</v>
      </c>
      <c r="B29" s="23">
        <f t="shared" si="0"/>
        <v>9</v>
      </c>
      <c r="C29" s="24"/>
      <c r="D29" s="22" t="s">
        <v>367</v>
      </c>
      <c r="E29" s="25"/>
      <c r="F29" s="25"/>
      <c r="G29" s="25"/>
      <c r="H29" s="25"/>
      <c r="I29" s="25"/>
      <c r="J29" s="25"/>
      <c r="K29" s="25"/>
      <c r="L29" s="25"/>
      <c r="M29" s="25"/>
      <c r="N29" s="25"/>
      <c r="O29" s="25"/>
      <c r="P29" s="25"/>
      <c r="Q29" s="26"/>
      <c r="R29" s="22" t="s">
        <v>440</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varchar(26)</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26</v>
      </c>
      <c r="BP29" t="str">
        <f t="shared" si="1"/>
        <v>,`ItemCode` varchar(26) NOT NULL COMMENT '単品コード'</v>
      </c>
      <c r="BQ29" t="s">
        <v>626</v>
      </c>
      <c r="BR29" t="str">
        <f t="shared" ref="BR29:BR34" si="5">",`"&amp;R29&amp;"` "&amp;AC29&amp;" "&amp;IF(AJ29="Y","NOT NULL","")</f>
        <v>,`ItemCode` varchar(26) NOT NULL</v>
      </c>
      <c r="BS29" t="s">
        <v>626</v>
      </c>
      <c r="BT29" t="str">
        <f t="shared" ref="BT29:BT34" si="6">",`"&amp;R29&amp;"` = "&amp;IF(LEFT(AC29,4)="date", "if(@"&amp;B29-5&amp;" &gt; '0000-00-00 00:00:00', if(@"&amp;B29-5&amp;" &gt; '2999-12-31 23:59:59', '2999-12-31 23:59:59', @"&amp;B29-5&amp;"), null)","if(nullif( @"&amp;B29-5&amp;",'') &gt; '', @"&amp;B29-5&amp;", null )")</f>
        <v>,`ItemCode` = if(nullif( @4,'') &gt; '', @4, null )</v>
      </c>
      <c r="BU29" t="s">
        <v>626</v>
      </c>
      <c r="BV29" s="97" t="str">
        <f t="shared" si="2"/>
        <v>,A.`ItemCode` = B.`ItemCode`</v>
      </c>
      <c r="BW29" t="s">
        <v>626</v>
      </c>
      <c r="BX29" s="97" t="str">
        <f t="shared" si="3"/>
        <v>,`ItemCode`</v>
      </c>
      <c r="BY29" t="s">
        <v>626</v>
      </c>
      <c r="BZ29" s="97" t="str">
        <f t="shared" si="4"/>
        <v>,`ItemCode`</v>
      </c>
      <c r="CA29" t="s">
        <v>626</v>
      </c>
    </row>
    <row r="30" spans="1:79" ht="15" customHeight="1">
      <c r="A30" s="100" t="s">
        <v>967</v>
      </c>
      <c r="B30" s="23">
        <f t="shared" si="0"/>
        <v>10</v>
      </c>
      <c r="C30" s="24"/>
      <c r="D30" s="22" t="s">
        <v>368</v>
      </c>
      <c r="E30" s="25"/>
      <c r="F30" s="25"/>
      <c r="G30" s="25"/>
      <c r="H30" s="25"/>
      <c r="I30" s="25"/>
      <c r="J30" s="25"/>
      <c r="K30" s="25"/>
      <c r="L30" s="25"/>
      <c r="M30" s="25"/>
      <c r="N30" s="25"/>
      <c r="O30" s="25"/>
      <c r="P30" s="25"/>
      <c r="Q30" s="26"/>
      <c r="R30" s="22" t="s">
        <v>355</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date</v>
      </c>
      <c r="AD30" s="25"/>
      <c r="AE30" s="25"/>
      <c r="AF30" s="25"/>
      <c r="AG30" s="26"/>
      <c r="AH30" s="22">
        <v>4</v>
      </c>
      <c r="AI30" s="26"/>
      <c r="AJ30" s="22" t="s">
        <v>885</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
        <v>436</v>
      </c>
      <c r="BP30" t="str">
        <f t="shared" si="1"/>
        <v>,`ApplyDate` date NOT NULL COMMENT '適用日'</v>
      </c>
      <c r="BQ30" t="s">
        <v>626</v>
      </c>
      <c r="BR30" t="str">
        <f t="shared" si="5"/>
        <v>,`ApplyDate` date NOT NULL</v>
      </c>
      <c r="BS30" t="s">
        <v>626</v>
      </c>
      <c r="BT30" t="str">
        <f t="shared" si="6"/>
        <v>,`ApplyDate` = if(@5 &gt; '0000-00-00 00:00:00', if(@5 &gt; '2999-12-31 23:59:59', '2999-12-31 23:59:59', @5), null)</v>
      </c>
      <c r="BU30" t="s">
        <v>626</v>
      </c>
      <c r="BV30" s="97" t="str">
        <f t="shared" si="2"/>
        <v>,A.`ApplyDate` = B.`ApplyDate`</v>
      </c>
      <c r="BW30" t="s">
        <v>626</v>
      </c>
      <c r="BX30" s="97" t="str">
        <f t="shared" si="3"/>
        <v>,`ApplyDate`</v>
      </c>
      <c r="BY30" t="s">
        <v>626</v>
      </c>
      <c r="BZ30" s="97" t="str">
        <f t="shared" si="4"/>
        <v>,`ApplyDate`</v>
      </c>
      <c r="CA30" t="s">
        <v>626</v>
      </c>
    </row>
    <row r="31" spans="1:79" ht="15" customHeight="1">
      <c r="A31" s="100" t="s">
        <v>968</v>
      </c>
      <c r="B31" s="23">
        <f t="shared" si="0"/>
        <v>11</v>
      </c>
      <c r="C31" s="24"/>
      <c r="D31" s="22" t="s">
        <v>445</v>
      </c>
      <c r="E31" s="25"/>
      <c r="F31" s="25"/>
      <c r="G31" s="25"/>
      <c r="H31" s="25"/>
      <c r="I31" s="25"/>
      <c r="J31" s="25"/>
      <c r="K31" s="25"/>
      <c r="L31" s="25"/>
      <c r="M31" s="25"/>
      <c r="N31" s="25"/>
      <c r="O31" s="25"/>
      <c r="P31" s="25"/>
      <c r="Q31" s="26"/>
      <c r="R31" s="22" t="s">
        <v>442</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numeric(5, 0)</v>
      </c>
      <c r="AD31" s="25"/>
      <c r="AE31" s="25"/>
      <c r="AF31" s="25"/>
      <c r="AG31" s="26"/>
      <c r="AH31" s="22"/>
      <c r="AI31" s="26"/>
      <c r="AJ31" s="22"/>
      <c r="AK31" s="25"/>
      <c r="AL31" s="26"/>
      <c r="AM31" s="22"/>
      <c r="AN31" s="25"/>
      <c r="AO31" s="25"/>
      <c r="AP31" s="25"/>
      <c r="AQ31" s="25"/>
      <c r="AR31" s="25"/>
      <c r="AS31" s="26"/>
      <c r="AT31" s="22" t="s">
        <v>450</v>
      </c>
      <c r="AU31" s="25"/>
      <c r="AV31" s="25"/>
      <c r="AW31" s="25"/>
      <c r="AX31" s="25"/>
      <c r="AY31" s="25"/>
      <c r="AZ31" s="25"/>
      <c r="BA31" s="25"/>
      <c r="BB31" s="25"/>
      <c r="BC31" s="25"/>
      <c r="BD31" s="25"/>
      <c r="BE31" s="25"/>
      <c r="BF31" s="25"/>
      <c r="BG31" s="25"/>
      <c r="BH31" s="25"/>
      <c r="BI31" s="25"/>
      <c r="BJ31" s="26"/>
      <c r="BK31" s="4"/>
      <c r="BM31" t="s">
        <v>892</v>
      </c>
      <c r="BN31" t="s">
        <v>895</v>
      </c>
      <c r="BP31" t="str">
        <f t="shared" si="1"/>
        <v>,`WaonPoint` numeric(5, 0)  COMMENT 'WAONポイント付与数'</v>
      </c>
      <c r="BQ31" t="s">
        <v>626</v>
      </c>
      <c r="BR31" t="str">
        <f t="shared" si="5"/>
        <v xml:space="preserve">,`WaonPoint` numeric(5, 0) </v>
      </c>
      <c r="BS31" t="s">
        <v>626</v>
      </c>
      <c r="BT31" t="str">
        <f t="shared" si="6"/>
        <v>,`WaonPoint` = if(nullif( @6,'') &gt; '', @6, null )</v>
      </c>
      <c r="BU31" t="s">
        <v>626</v>
      </c>
      <c r="BV31" s="97" t="str">
        <f t="shared" si="2"/>
        <v>,A.`WaonPoint` = B.`WaonPoint`</v>
      </c>
      <c r="BW31" t="s">
        <v>626</v>
      </c>
      <c r="BX31" s="97" t="str">
        <f t="shared" si="3"/>
        <v>,`WaonPoint`</v>
      </c>
      <c r="BY31" t="s">
        <v>626</v>
      </c>
      <c r="BZ31" s="97" t="str">
        <f t="shared" si="4"/>
        <v>,`WaonPoint`</v>
      </c>
      <c r="CA31" t="s">
        <v>626</v>
      </c>
    </row>
    <row r="32" spans="1:79" ht="15" customHeight="1">
      <c r="A32" s="100" t="s">
        <v>969</v>
      </c>
      <c r="B32" s="23">
        <f t="shared" si="0"/>
        <v>12</v>
      </c>
      <c r="C32" s="24"/>
      <c r="D32" s="22" t="s">
        <v>446</v>
      </c>
      <c r="E32" s="25"/>
      <c r="F32" s="25"/>
      <c r="G32" s="25"/>
      <c r="H32" s="25"/>
      <c r="I32" s="25"/>
      <c r="J32" s="25"/>
      <c r="K32" s="25"/>
      <c r="L32" s="25"/>
      <c r="M32" s="25"/>
      <c r="N32" s="25"/>
      <c r="O32" s="25"/>
      <c r="P32" s="25"/>
      <c r="Q32" s="26"/>
      <c r="R32" s="22" t="s">
        <v>443</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varchar(1)</v>
      </c>
      <c r="AD32" s="25"/>
      <c r="AE32" s="25"/>
      <c r="AF32" s="25"/>
      <c r="AG32" s="26"/>
      <c r="AH32" s="22"/>
      <c r="AI32" s="26"/>
      <c r="AJ32" s="22"/>
      <c r="AK32" s="25"/>
      <c r="AL32" s="26"/>
      <c r="AM32" s="22"/>
      <c r="AN32" s="25"/>
      <c r="AO32" s="25"/>
      <c r="AP32" s="25"/>
      <c r="AQ32" s="25"/>
      <c r="AR32" s="25"/>
      <c r="AS32" s="26"/>
      <c r="AT32" s="22" t="s">
        <v>451</v>
      </c>
      <c r="AU32" s="25"/>
      <c r="AV32" s="25"/>
      <c r="AW32" s="25"/>
      <c r="AX32" s="25"/>
      <c r="AY32" s="25"/>
      <c r="AZ32" s="25"/>
      <c r="BA32" s="25"/>
      <c r="BB32" s="25"/>
      <c r="BC32" s="25"/>
      <c r="BD32" s="25"/>
      <c r="BE32" s="25"/>
      <c r="BF32" s="25"/>
      <c r="BG32" s="25"/>
      <c r="BH32" s="25"/>
      <c r="BI32" s="25"/>
      <c r="BJ32" s="26"/>
      <c r="BK32" s="4"/>
      <c r="BM32" t="s">
        <v>888</v>
      </c>
      <c r="BN32">
        <v>1</v>
      </c>
      <c r="BP32" t="str">
        <f t="shared" si="1"/>
        <v>,`WaonPointMediaType` varchar(1)  COMMENT '取り扱いメディア区分'</v>
      </c>
      <c r="BQ32" t="s">
        <v>626</v>
      </c>
      <c r="BR32" t="str">
        <f t="shared" si="5"/>
        <v xml:space="preserve">,`WaonPointMediaType` varchar(1) </v>
      </c>
      <c r="BS32" t="s">
        <v>626</v>
      </c>
      <c r="BT32" t="str">
        <f t="shared" si="6"/>
        <v>,`WaonPointMediaType` = if(nullif( @7,'') &gt; '', @7, null )</v>
      </c>
      <c r="BU32" t="s">
        <v>626</v>
      </c>
      <c r="BV32" s="97" t="str">
        <f t="shared" si="2"/>
        <v>,A.`WaonPointMediaType` = B.`WaonPointMediaType`</v>
      </c>
      <c r="BW32" t="s">
        <v>626</v>
      </c>
      <c r="BX32" s="97" t="str">
        <f t="shared" si="3"/>
        <v>,`WaonPointMediaType`</v>
      </c>
      <c r="BY32" t="s">
        <v>626</v>
      </c>
      <c r="BZ32" s="97" t="str">
        <f t="shared" si="4"/>
        <v>,`WaonPointMediaType`</v>
      </c>
      <c r="CA32" t="s">
        <v>626</v>
      </c>
    </row>
    <row r="33" spans="1:79" ht="15" customHeight="1">
      <c r="A33" s="100" t="s">
        <v>970</v>
      </c>
      <c r="B33" s="23">
        <f t="shared" si="0"/>
        <v>13</v>
      </c>
      <c r="C33" s="24"/>
      <c r="D33" s="22" t="s">
        <v>447</v>
      </c>
      <c r="E33" s="25"/>
      <c r="F33" s="25"/>
      <c r="G33" s="25"/>
      <c r="H33" s="25"/>
      <c r="I33" s="25"/>
      <c r="J33" s="25"/>
      <c r="K33" s="25"/>
      <c r="L33" s="25"/>
      <c r="M33" s="25"/>
      <c r="N33" s="25"/>
      <c r="O33" s="25"/>
      <c r="P33" s="25"/>
      <c r="Q33" s="26"/>
      <c r="R33" s="22" t="s">
        <v>444</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char(1)</v>
      </c>
      <c r="AD33" s="25"/>
      <c r="AE33" s="25"/>
      <c r="AF33" s="25"/>
      <c r="AG33" s="26"/>
      <c r="AH33" s="22"/>
      <c r="AI33" s="26"/>
      <c r="AJ33" s="22" t="s">
        <v>885</v>
      </c>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M33" t="s">
        <v>896</v>
      </c>
      <c r="BP33" t="str">
        <f t="shared" si="1"/>
        <v>,`IsTBPDiscountProhibition` char(1) NOT NULL COMMENT 'TBP値引禁止フラグ'</v>
      </c>
      <c r="BQ33" t="s">
        <v>626</v>
      </c>
      <c r="BR33" t="str">
        <f t="shared" si="5"/>
        <v>,`IsTBPDiscountProhibition` char(1) NOT NULL</v>
      </c>
      <c r="BS33" t="s">
        <v>626</v>
      </c>
      <c r="BT33" t="str">
        <f t="shared" si="6"/>
        <v>,`IsTBPDiscountProhibition` = if(nullif( @8,'') &gt; '', @8, null )</v>
      </c>
      <c r="BU33" t="s">
        <v>626</v>
      </c>
      <c r="BV33" s="97" t="str">
        <f t="shared" si="2"/>
        <v>,A.`IsTBPDiscountProhibition` = B.`IsTBPDiscountProhibition`</v>
      </c>
      <c r="BW33" t="s">
        <v>626</v>
      </c>
      <c r="BX33" s="97" t="str">
        <f t="shared" si="3"/>
        <v>,`IsTBPDiscountProhibition`</v>
      </c>
      <c r="BY33" t="s">
        <v>626</v>
      </c>
      <c r="BZ33" s="97" t="str">
        <f t="shared" si="4"/>
        <v>,`IsTBPDiscountProhibition`</v>
      </c>
      <c r="CA33" t="s">
        <v>626</v>
      </c>
    </row>
    <row r="34" spans="1:79" ht="15" customHeight="1">
      <c r="A34" s="100" t="s">
        <v>971</v>
      </c>
      <c r="B34" s="28">
        <f t="shared" si="0"/>
        <v>14</v>
      </c>
      <c r="C34" s="29"/>
      <c r="D34" s="30" t="s">
        <v>400</v>
      </c>
      <c r="E34" s="31"/>
      <c r="F34" s="31"/>
      <c r="G34" s="31"/>
      <c r="H34" s="31"/>
      <c r="I34" s="31"/>
      <c r="J34" s="31"/>
      <c r="K34" s="31"/>
      <c r="L34" s="31"/>
      <c r="M34" s="31"/>
      <c r="N34" s="31"/>
      <c r="O34" s="31"/>
      <c r="P34" s="31"/>
      <c r="Q34" s="32"/>
      <c r="R34" s="30" t="s">
        <v>435</v>
      </c>
      <c r="S34" s="31"/>
      <c r="T34" s="31"/>
      <c r="U34" s="31"/>
      <c r="V34" s="31"/>
      <c r="W34" s="31"/>
      <c r="X34" s="31"/>
      <c r="Y34" s="31"/>
      <c r="Z34" s="31"/>
      <c r="AA34" s="31"/>
      <c r="AB34" s="32"/>
      <c r="AC34" s="30" t="str" cm="1">
        <f t="array" ref="AC34">_xlfn.SWITCH(BM34,"nvarchar","varchar("&amp;BN34&amp;")","smallint","smallint","date","date","money","decimal(19,4)","numeric","numeric("&amp;BN34&amp;")","int","int","bit","char(1)","datetime2","datetime","time","time")</f>
        <v>datetime</v>
      </c>
      <c r="AD34" s="31"/>
      <c r="AE34" s="31"/>
      <c r="AF34" s="31"/>
      <c r="AG34" s="32"/>
      <c r="AH34" s="30"/>
      <c r="AI34" s="32"/>
      <c r="AJ34" s="30"/>
      <c r="AK34" s="31"/>
      <c r="AL34" s="32"/>
      <c r="AM34" s="30"/>
      <c r="AN34" s="31"/>
      <c r="AO34" s="31"/>
      <c r="AP34" s="31"/>
      <c r="AQ34" s="31"/>
      <c r="AR34" s="31"/>
      <c r="AS34" s="32"/>
      <c r="AT34" s="30"/>
      <c r="AU34" s="31"/>
      <c r="AV34" s="31"/>
      <c r="AW34" s="31"/>
      <c r="AX34" s="31"/>
      <c r="AY34" s="31"/>
      <c r="AZ34" s="31"/>
      <c r="BA34" s="31"/>
      <c r="BB34" s="31"/>
      <c r="BC34" s="31"/>
      <c r="BD34" s="31"/>
      <c r="BE34" s="31"/>
      <c r="BF34" s="31"/>
      <c r="BG34" s="31"/>
      <c r="BH34" s="31"/>
      <c r="BI34" s="31"/>
      <c r="BJ34" s="32"/>
      <c r="BK34" s="4"/>
      <c r="BM34" t="s">
        <v>898</v>
      </c>
      <c r="BN34">
        <v>7</v>
      </c>
      <c r="BP34" t="str">
        <f t="shared" si="1"/>
        <v>,`HeadquartersLastUpdateDateTime` datetime  COMMENT '本部配信データとしての最終更新日時'</v>
      </c>
      <c r="BQ34" t="s">
        <v>626</v>
      </c>
      <c r="BR34" t="str">
        <f t="shared" si="5"/>
        <v xml:space="preserve">,`HeadquartersLastUpdateDateTime` datetime </v>
      </c>
      <c r="BS34" t="s">
        <v>626</v>
      </c>
      <c r="BT34" t="str">
        <f t="shared" si="6"/>
        <v>,`HeadquartersLastUpdateDateTime` = if(@9 &gt; '0000-00-00 00:00:00', if(@9 &gt; '2999-12-31 23:59:59', '2999-12-31 23:59:59', @9), null)</v>
      </c>
      <c r="BU34" t="s">
        <v>626</v>
      </c>
      <c r="BV34" s="97" t="str">
        <f t="shared" si="2"/>
        <v>,A.`HeadquartersLastUpdateDateTime` = B.`HeadquartersLastUpdateDateTime`</v>
      </c>
      <c r="BW34" t="s">
        <v>626</v>
      </c>
      <c r="BX34" s="97" t="str">
        <f t="shared" si="3"/>
        <v>,`HeadquartersLastUpdateDateTime`</v>
      </c>
      <c r="BY34" t="s">
        <v>626</v>
      </c>
      <c r="BZ34" s="97" t="str">
        <f t="shared" si="4"/>
        <v>,`HeadquartersLastUpdateDateTime`</v>
      </c>
      <c r="CA34" t="s">
        <v>626</v>
      </c>
    </row>
    <row r="35" spans="1:79" ht="15" customHeight="1">
      <c r="A35" s="100"/>
      <c r="BK35" s="4"/>
      <c r="BP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(`CompanyCode`,`StoreCode`,`ItemCode`,`ApplyDate`),</v>
      </c>
      <c r="BQ35" t="s">
        <v>626</v>
      </c>
      <c r="BR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(`CompanyCode`,`StoreCode`,`ItemCode`,`ApplyDate`)</v>
      </c>
      <c r="BS35" t="s">
        <v>626</v>
      </c>
      <c r="BT35" s="97" t="s">
        <v>936</v>
      </c>
      <c r="BU35" t="s">
        <v>626</v>
      </c>
      <c r="BV35" s="97" t="s">
        <v>934</v>
      </c>
      <c r="BW35" t="s">
        <v>626</v>
      </c>
      <c r="BY35" t="s">
        <v>626</v>
      </c>
      <c r="BZ35" s="97" t="str">
        <f>"FROM `TMP`.`"&amp;$G$10&amp;"` A"</f>
        <v>FROM `TMP`.`ItemExMvkMaster` A</v>
      </c>
      <c r="CA35" t="s">
        <v>626</v>
      </c>
    </row>
    <row r="36" spans="1:79" ht="15" customHeight="1">
      <c r="A36" s="100"/>
      <c r="BK36" s="4"/>
      <c r="BP36" s="97" t="s">
        <v>452</v>
      </c>
      <c r="BQ36" t="s">
        <v>626</v>
      </c>
      <c r="BR36" s="97" t="str">
        <f>") ENGINE=InnoDB DEFAULT CHARSET=utf8mb4 COLLATE=utf8mb4_0900_ai_ci COMMENT = '"&amp;$G$9&amp;"_TMP';"</f>
        <v>) ENGINE=InnoDB DEFAULT CHARSET=utf8mb4 COLLATE=utf8mb4_0900_ai_ci COMMENT = '商品拡張マスタ_TMP';</v>
      </c>
      <c r="BS36" t="s">
        <v>626</v>
      </c>
      <c r="BU36" t="s">
        <v>626</v>
      </c>
      <c r="BV36" s="97" t="str">
        <f>IF(_xlfn.XLOOKUP(1,$AH:$AH,$R:$R,"",0)="","","A.`"&amp;_xlfn.XLOOKUP(1,$AH:$AH,$R:$R,"",0)&amp;"` = B.`"&amp;_xlfn.XLOOKUP(1,$AH:$AH,$R:$R,"",0)&amp;"`")</f>
        <v>A.`CompanyCode` = B.`CompanyCode`</v>
      </c>
      <c r="BW36" t="s">
        <v>626</v>
      </c>
      <c r="BY36" t="s">
        <v>626</v>
      </c>
      <c r="BZ36" s="97" t="s">
        <v>935</v>
      </c>
      <c r="CA36" t="s">
        <v>626</v>
      </c>
    </row>
    <row r="37" spans="1:79" ht="15" customHeight="1">
      <c r="A37" s="100"/>
      <c r="B37" s="37" t="s">
        <v>49</v>
      </c>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4"/>
      <c r="BP37" s="97" t="str">
        <f>") ENGINE=InnoDB DEFAULT CHARSET=utf8mb4 COLLATE=utf8mb4_0900_ai_ci COMMENT = '"&amp;$G$9&amp;"';"</f>
        <v>) ENGINE=InnoDB DEFAULT CHARSET=utf8mb4 COLLATE=utf8mb4_0900_ai_ci COMMENT = '商品拡張マスタ';</v>
      </c>
      <c r="BQ37" t="s">
        <v>626</v>
      </c>
      <c r="BS37" t="s">
        <v>626</v>
      </c>
      <c r="BU37" t="s">
        <v>626</v>
      </c>
      <c r="BV37" s="97" t="str">
        <f>IF(_xlfn.XLOOKUP(2,$AH:$AH,$R:$R,"",0)="","","AND A.`"&amp;_xlfn.XLOOKUP(2,$AH:$AH,$R:$R,"",0)&amp;"` = B.`"&amp;_xlfn.XLOOKUP(2,$AH:$AH,$R:$R,"",0)&amp;"`")</f>
        <v>AND A.`StoreCode` = B.`StoreCode`</v>
      </c>
      <c r="BW37" t="s">
        <v>626</v>
      </c>
      <c r="BY37" t="s">
        <v>626</v>
      </c>
      <c r="BZ37" s="97" t="str">
        <f>"FROM `POS_MASTER`.`"&amp;$G$10&amp;"` B"</f>
        <v>FROM `POS_MASTER`.`ItemExMvkMaster` B</v>
      </c>
      <c r="CA37" t="s">
        <v>626</v>
      </c>
    </row>
    <row r="38" spans="1:79" ht="15" customHeight="1">
      <c r="A38" s="100"/>
      <c r="B38" s="34" t="s">
        <v>50</v>
      </c>
      <c r="C38" s="35"/>
      <c r="D38" s="34" t="s">
        <v>51</v>
      </c>
      <c r="E38" s="44"/>
      <c r="F38" s="36"/>
      <c r="G38" s="36"/>
      <c r="H38" s="36"/>
      <c r="I38" s="36"/>
      <c r="J38" s="36"/>
      <c r="K38" s="36"/>
      <c r="L38" s="36"/>
      <c r="M38" s="36"/>
      <c r="N38" s="36"/>
      <c r="O38" s="36"/>
      <c r="P38" s="36"/>
      <c r="Q38" s="35"/>
      <c r="R38" s="34" t="s">
        <v>52</v>
      </c>
      <c r="S38" s="44"/>
      <c r="T38" s="36"/>
      <c r="U38" s="36"/>
      <c r="V38" s="36"/>
      <c r="W38" s="36"/>
      <c r="X38" s="36"/>
      <c r="Y38" s="36"/>
      <c r="Z38" s="36"/>
      <c r="AA38" s="36"/>
      <c r="AB38" s="36"/>
      <c r="AC38" s="36"/>
      <c r="AD38" s="36"/>
      <c r="AE38" s="36"/>
      <c r="AF38" s="36"/>
      <c r="AG38" s="36"/>
      <c r="AH38" s="36"/>
      <c r="AI38" s="36"/>
      <c r="AJ38" s="36"/>
      <c r="AK38" s="35"/>
      <c r="AL38" s="34" t="s">
        <v>53</v>
      </c>
      <c r="AM38" s="36"/>
      <c r="AN38" s="36"/>
      <c r="AO38" s="45"/>
      <c r="AP38" s="34" t="s">
        <v>54</v>
      </c>
      <c r="AQ38" s="36"/>
      <c r="AR38" s="36"/>
      <c r="AS38" s="35"/>
      <c r="AT38" s="34" t="s">
        <v>48</v>
      </c>
      <c r="AU38" s="44"/>
      <c r="AV38" s="44"/>
      <c r="AW38" s="36"/>
      <c r="AX38" s="36"/>
      <c r="AY38" s="44"/>
      <c r="AZ38" s="36"/>
      <c r="BA38" s="36"/>
      <c r="BB38" s="36"/>
      <c r="BC38" s="36"/>
      <c r="BD38" s="36"/>
      <c r="BE38" s="36"/>
      <c r="BF38" s="36"/>
      <c r="BG38" s="36"/>
      <c r="BH38" s="36"/>
      <c r="BI38" s="44"/>
      <c r="BJ38" s="35"/>
      <c r="BK38" s="4"/>
      <c r="BP38" s="97"/>
      <c r="BQ38" t="s">
        <v>626</v>
      </c>
      <c r="BS38" t="s">
        <v>626</v>
      </c>
      <c r="BU38" t="s">
        <v>626</v>
      </c>
      <c r="BV38" s="97" t="str">
        <f>IF(_xlfn.XLOOKUP(3,$AH:$AH,$R:$R,"",0)="","","AND A.`"&amp;_xlfn.XLOOKUP(3,$AH:$AH,$R:$R,"",0)&amp;"` = B.`"&amp;_xlfn.XLOOKUP(3,$AH:$AH,$R:$R,"",0)&amp;"`")</f>
        <v>AND A.`ItemCode` = B.`ItemCode`</v>
      </c>
      <c r="BW38" t="s">
        <v>626</v>
      </c>
      <c r="BY38" t="s">
        <v>626</v>
      </c>
      <c r="BZ38" s="97" t="s">
        <v>932</v>
      </c>
      <c r="CA38" t="s">
        <v>626</v>
      </c>
    </row>
    <row r="39" spans="1:79" ht="15" customHeight="1">
      <c r="A39" s="100"/>
      <c r="B39" s="38">
        <v>1</v>
      </c>
      <c r="C39" s="39"/>
      <c r="D39" s="38" t="s">
        <v>55</v>
      </c>
      <c r="E39" s="46"/>
      <c r="F39" s="40"/>
      <c r="G39" s="40"/>
      <c r="H39" s="40"/>
      <c r="I39" s="40"/>
      <c r="J39" s="40"/>
      <c r="K39" s="40"/>
      <c r="L39" s="40"/>
      <c r="M39" s="40"/>
      <c r="N39" s="40"/>
      <c r="O39" s="40"/>
      <c r="P39" s="40"/>
      <c r="Q39" s="39"/>
      <c r="R39"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`CompanyCode`,`StoreCode`,`ItemCode`,`ApplyDate`</v>
      </c>
      <c r="S39" s="46"/>
      <c r="T39" s="40"/>
      <c r="U39" s="40"/>
      <c r="V39" s="40"/>
      <c r="W39" s="40"/>
      <c r="X39" s="40"/>
      <c r="Y39" s="40"/>
      <c r="Z39" s="40"/>
      <c r="AA39" s="40"/>
      <c r="AB39" s="40"/>
      <c r="AC39" s="40"/>
      <c r="AD39" s="40"/>
      <c r="AE39" s="40"/>
      <c r="AF39" s="40"/>
      <c r="AG39" s="40"/>
      <c r="AH39" s="40"/>
      <c r="AI39" s="40"/>
      <c r="AJ39" s="40"/>
      <c r="AK39" s="39"/>
      <c r="AL39" s="38" t="s">
        <v>885</v>
      </c>
      <c r="AM39" s="40"/>
      <c r="AN39" s="40"/>
      <c r="AO39" s="47"/>
      <c r="AP39" s="38" t="s">
        <v>885</v>
      </c>
      <c r="AQ39" s="40"/>
      <c r="AR39" s="40"/>
      <c r="AS39" s="39"/>
      <c r="AT39" s="38"/>
      <c r="AU39" s="46"/>
      <c r="AV39" s="46"/>
      <c r="AW39" s="40"/>
      <c r="AX39" s="40"/>
      <c r="AY39" s="46"/>
      <c r="AZ39" s="40"/>
      <c r="BA39" s="40"/>
      <c r="BB39" s="40"/>
      <c r="BC39" s="40"/>
      <c r="BD39" s="40"/>
      <c r="BE39" s="40"/>
      <c r="BF39" s="40"/>
      <c r="BG39" s="40"/>
      <c r="BH39" s="40"/>
      <c r="BI39" s="46"/>
      <c r="BJ39" s="39"/>
      <c r="BK39" s="4"/>
      <c r="BP39" s="97" t="str">
        <f>"CREATE TRIGGER `"&amp;$G$10&amp;"_CR_Date_Time` BEFORE INSERT ON `"&amp;$G$10&amp;"` FOR EACH ROW SET NEW.record_create_date = CURRENT_DATE, NEW.record_create_time = CURRENT_TIME, NEW.record_update_date = CURRENT_DATE, NEW.record_update_time = CURRENT_TIME;"</f>
        <v>CREATE TRIGGER `ItemExMvkMaster_CR_Date_Time` BEFORE INSERT ON `ItemExMvkMaster` FOR EACH ROW SET NEW.record_create_date = CURRENT_DATE, NEW.record_create_time = CURRENT_TIME, NEW.record_update_date = CURRENT_DATE, NEW.record_update_time = CURRENT_TIME;</v>
      </c>
      <c r="BQ39" t="s">
        <v>626</v>
      </c>
      <c r="BS39" t="s">
        <v>626</v>
      </c>
      <c r="BU39" t="s">
        <v>626</v>
      </c>
      <c r="BV39" s="97" t="str">
        <f>IF(_xlfn.XLOOKUP(4,$AH:$AH,$R:$R,"",0)="","","AND A.`"&amp;_xlfn.XLOOKUP(4,$AH:$AH,$R:$R,"",0)&amp;"` = B.`"&amp;_xlfn.XLOOKUP(4,$AH:$AH,$R:$R,"",0)&amp;"`")</f>
        <v>AND A.`ApplyDate` = B.`ApplyDate`</v>
      </c>
      <c r="BW39" t="s">
        <v>626</v>
      </c>
      <c r="BY39" t="s">
        <v>626</v>
      </c>
      <c r="BZ39" s="97" t="str">
        <f>IF(_xlfn.XLOOKUP(1,$AH:$AH,$R:$R,"",0)="","","A.`"&amp;_xlfn.XLOOKUP(1,$AH:$AH,$R:$R,"",0)&amp;"` = B.`"&amp;_xlfn.XLOOKUP(1,$AH:$AH,$R:$R,"",0)&amp;"`")</f>
        <v>A.`CompanyCode` = B.`CompanyCode`</v>
      </c>
      <c r="CA39" t="s">
        <v>626</v>
      </c>
    </row>
    <row r="40" spans="1:79" ht="15" customHeight="1">
      <c r="A40" s="100"/>
      <c r="BK40" s="4"/>
      <c r="BP40" s="97" t="str">
        <f>"CREATE TRIGGER `"&amp;$G$10&amp;"_UP_Date_Time` BEFORE UPDATE ON `"&amp;$G$10&amp;"` FOR EACH ROW SET NEW.record_update_date = CURRENT_DATE, NEW.record_update_time = CURRENT_TIME;"</f>
        <v>CREATE TRIGGER `ItemExMvkMaster_UP_Date_Time` BEFORE UPDATE ON `ItemExMvkMaster` FOR EACH ROW SET NEW.record_update_date = CURRENT_DATE, NEW.record_update_time = CURRENT_TIME;</v>
      </c>
      <c r="BQ40" t="s">
        <v>626</v>
      </c>
      <c r="BS40" t="s">
        <v>626</v>
      </c>
      <c r="BU40" t="s">
        <v>626</v>
      </c>
      <c r="BV40" s="97" t="str">
        <f>IF(_xlfn.XLOOKUP(5,$AH:$AH,$R:$R,"",0)="","","AND A.`"&amp;_xlfn.XLOOKUP(5,$AH:$AH,$R:$R,"",0)&amp;"` = B.`"&amp;_xlfn.XLOOKUP(5,$AH:$AH,$R:$R,"",0)&amp;"`")</f>
        <v/>
      </c>
      <c r="BW40" t="s">
        <v>626</v>
      </c>
      <c r="BY40" t="s">
        <v>626</v>
      </c>
      <c r="BZ40" s="97" t="str">
        <f>IF(_xlfn.XLOOKUP(2,$AH:$AH,$R:$R,"",0)="","","AND A.`"&amp;_xlfn.XLOOKUP(2,$AH:$AH,$R:$R,"",0)&amp;"` = B.`"&amp;_xlfn.XLOOKUP(2,$AH:$AH,$R:$R,"",0)&amp;"`")</f>
        <v>AND A.`StoreCode` = B.`StoreCode`</v>
      </c>
      <c r="CA40" t="s">
        <v>626</v>
      </c>
    </row>
    <row r="41" spans="1:79" ht="15" customHeight="1">
      <c r="A41" s="100"/>
      <c r="BK41" s="4"/>
      <c r="BQ41" t="s">
        <v>626</v>
      </c>
      <c r="BS41" t="s">
        <v>626</v>
      </c>
      <c r="BU41" t="s">
        <v>626</v>
      </c>
      <c r="BV41" s="97" t="str">
        <f>IF(_xlfn.XLOOKUP(6,$AH:$AH,$R:$R,"",0)="","","AND A.`"&amp;_xlfn.XLOOKUP(6,$AH:$AH,$R:$R,"",0)&amp;"` = B.`"&amp;_xlfn.XLOOKUP(6,$AH:$AH,$R:$R,"",0)&amp;"`")</f>
        <v/>
      </c>
      <c r="BW41" t="s">
        <v>626</v>
      </c>
      <c r="BY41" t="s">
        <v>626</v>
      </c>
      <c r="BZ41" s="97" t="str">
        <f>IF(_xlfn.XLOOKUP(3,$AH:$AH,$R:$R,"",0)="","","AND A.`"&amp;_xlfn.XLOOKUP(3,$AH:$AH,$R:$R,"",0)&amp;"` = B.`"&amp;_xlfn.XLOOKUP(3,$AH:$AH,$R:$R,"",0)&amp;"`")</f>
        <v>AND A.`ItemCode` = B.`ItemCode`</v>
      </c>
      <c r="CA41" t="s">
        <v>626</v>
      </c>
    </row>
    <row r="42" spans="1:79">
      <c r="A42" s="100"/>
      <c r="B42" s="37" t="s">
        <v>34</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4"/>
      <c r="BQ42" t="s">
        <v>626</v>
      </c>
      <c r="BS42" t="s">
        <v>626</v>
      </c>
      <c r="BU42" t="s">
        <v>626</v>
      </c>
      <c r="BV42" s="97" t="str">
        <f>IF(_xlfn.XLOOKUP(7,$AH:$AH,$R:$R,"",0)="","","AND A.`"&amp;_xlfn.XLOOKUP(7,$AH:$AH,$R:$R,"",0)&amp;"` = B.`"&amp;_xlfn.XLOOKUP(7,$AH:$AH,$R:$R,"",0)&amp;"`")</f>
        <v/>
      </c>
      <c r="BW42" t="s">
        <v>626</v>
      </c>
      <c r="BY42" t="s">
        <v>626</v>
      </c>
      <c r="BZ42" s="97" t="str">
        <f>IF(_xlfn.XLOOKUP(4,$AH:$AH,$R:$R,"",0)="","","AND A.`"&amp;_xlfn.XLOOKUP(4,$AH:$AH,$R:$R,"",0)&amp;"` = B.`"&amp;_xlfn.XLOOKUP(4,$AH:$AH,$R:$R,"",0)&amp;"`")</f>
        <v>AND A.`ApplyDate` = B.`ApplyDate`</v>
      </c>
      <c r="CA42" t="s">
        <v>626</v>
      </c>
    </row>
    <row r="43" spans="1:79">
      <c r="A43" s="100"/>
      <c r="B43" s="34" t="s">
        <v>35</v>
      </c>
      <c r="C43" s="45"/>
      <c r="D43" s="34" t="s">
        <v>36</v>
      </c>
      <c r="E43" s="44"/>
      <c r="F43" s="44"/>
      <c r="G43" s="44"/>
      <c r="H43" s="44"/>
      <c r="I43" s="44"/>
      <c r="J43" s="44"/>
      <c r="K43" s="44"/>
      <c r="L43" s="36"/>
      <c r="M43" s="36"/>
      <c r="N43" s="36"/>
      <c r="O43" s="36"/>
      <c r="P43" s="36"/>
      <c r="Q43" s="35"/>
      <c r="R43" s="34" t="s">
        <v>37</v>
      </c>
      <c r="S43" s="36"/>
      <c r="T43" s="45"/>
      <c r="U43" s="34" t="s">
        <v>38</v>
      </c>
      <c r="V43" s="36"/>
      <c r="W43" s="44"/>
      <c r="X43" s="45"/>
      <c r="Y43" s="34" t="s">
        <v>39</v>
      </c>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5"/>
      <c r="BK43" s="4"/>
      <c r="BQ43" t="s">
        <v>626</v>
      </c>
      <c r="BS43" t="s">
        <v>626</v>
      </c>
      <c r="BU43" t="s">
        <v>626</v>
      </c>
      <c r="BV43" s="97" t="str">
        <f>IF(_xlfn.XLOOKUP(8,$AH:$AH,$R:$R,"",0)="","","AND A.`"&amp;_xlfn.XLOOKUP(8,$AH:$AH,$R:$R,"",0)&amp;"` = B.`"&amp;_xlfn.XLOOKUP(8,$AH:$AH,$R:$R,"",0)&amp;"`")</f>
        <v/>
      </c>
      <c r="BW43" t="s">
        <v>626</v>
      </c>
      <c r="BY43" t="s">
        <v>626</v>
      </c>
      <c r="BZ43" s="97" t="str">
        <f>IF(_xlfn.XLOOKUP(5,$AH:$AH,$R:$R,"",0)="","","AND A.`"&amp;_xlfn.XLOOKUP(5,$AH:$AH,$R:$R,"",0)&amp;"` = B.`"&amp;_xlfn.XLOOKUP(5,$AH:$AH,$R:$R,"",0)&amp;"`")</f>
        <v/>
      </c>
      <c r="CA43" t="s">
        <v>626</v>
      </c>
    </row>
    <row r="44" spans="1:79">
      <c r="A44" s="100"/>
      <c r="B44" s="41">
        <v>1</v>
      </c>
      <c r="C44" s="47"/>
      <c r="D44" s="41" t="str">
        <f>G10&amp;"_"&amp;R44&amp;"_"&amp;"trg"</f>
        <v>ItemExMvkMaster_update_trg</v>
      </c>
      <c r="E44" s="46"/>
      <c r="F44" s="46"/>
      <c r="G44" s="46"/>
      <c r="H44" s="46"/>
      <c r="I44" s="46"/>
      <c r="J44" s="46"/>
      <c r="K44" s="46"/>
      <c r="L44" s="42"/>
      <c r="M44" s="42"/>
      <c r="N44" s="42"/>
      <c r="O44" s="42"/>
      <c r="P44" s="42"/>
      <c r="Q44" s="43"/>
      <c r="R44" s="41" t="s">
        <v>40</v>
      </c>
      <c r="S44" s="42"/>
      <c r="T44" s="47"/>
      <c r="U44" s="41" t="s">
        <v>41</v>
      </c>
      <c r="V44" s="42"/>
      <c r="W44" s="46"/>
      <c r="X44" s="47"/>
      <c r="Y44" s="41" t="s">
        <v>42</v>
      </c>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3"/>
      <c r="BK44" s="4"/>
      <c r="BQ44" t="s">
        <v>626</v>
      </c>
      <c r="BS44" t="s">
        <v>626</v>
      </c>
      <c r="BU44" t="s">
        <v>626</v>
      </c>
      <c r="BV44" s="97" t="s">
        <v>936</v>
      </c>
      <c r="BW44" t="s">
        <v>626</v>
      </c>
      <c r="BY44" t="s">
        <v>626</v>
      </c>
      <c r="BZ44" s="97" t="str">
        <f>IF(_xlfn.XLOOKUP(6,$AH:$AH,$R:$R,"",0)="","","AND A.`"&amp;_xlfn.XLOOKUP(6,$AH:$AH,$R:$R,"",0)&amp;"` = B.`"&amp;_xlfn.XLOOKUP(6,$AH:$AH,$R:$R,"",0)&amp;"`")</f>
        <v/>
      </c>
      <c r="CA44" t="s">
        <v>626</v>
      </c>
    </row>
    <row r="45" spans="1:79">
      <c r="A45" s="100"/>
      <c r="BK45" s="4"/>
      <c r="BQ45" t="s">
        <v>626</v>
      </c>
      <c r="BS45" t="s">
        <v>626</v>
      </c>
      <c r="BU45" t="s">
        <v>626</v>
      </c>
      <c r="BW45" t="s">
        <v>626</v>
      </c>
      <c r="BY45" t="s">
        <v>626</v>
      </c>
      <c r="BZ45" s="97" t="str">
        <f>IF(_xlfn.XLOOKUP(7,$AH:$AH,$R:$R,"",0)="","","AND A.`"&amp;_xlfn.XLOOKUP(7,$AH:$AH,$R:$R,"",0)&amp;"` = B.`"&amp;_xlfn.XLOOKUP(7,$AH:$AH,$R:$R,"",0)&amp;"`")</f>
        <v/>
      </c>
      <c r="CA45" t="s">
        <v>626</v>
      </c>
    </row>
    <row r="46" spans="1:79">
      <c r="A46" s="100"/>
      <c r="BK46" s="4"/>
      <c r="BQ46" t="s">
        <v>626</v>
      </c>
      <c r="BS46" t="s">
        <v>626</v>
      </c>
      <c r="BU46" t="s">
        <v>626</v>
      </c>
      <c r="BW46" t="s">
        <v>626</v>
      </c>
      <c r="BY46" t="s">
        <v>626</v>
      </c>
      <c r="BZ46" s="97" t="str">
        <f>IF(_xlfn.XLOOKUP(8,$AH:$AH,$R:$R,"",0)="","","AND A.`"&amp;_xlfn.XLOOKUP(8,$AH:$AH,$R:$R,"",0)&amp;"` = B.`"&amp;_xlfn.XLOOKUP(8,$AH:$AH,$R:$R,"",0)&amp;"`")</f>
        <v/>
      </c>
      <c r="CA46" t="s">
        <v>626</v>
      </c>
    </row>
    <row r="47" spans="1:79">
      <c r="A47" s="100"/>
      <c r="BK47" s="4"/>
      <c r="BQ47" t="s">
        <v>626</v>
      </c>
      <c r="BS47" t="s">
        <v>626</v>
      </c>
      <c r="BU47" t="s">
        <v>626</v>
      </c>
      <c r="BW47" t="s">
        <v>626</v>
      </c>
      <c r="BY47" t="s">
        <v>626</v>
      </c>
      <c r="BZ47" s="97" t="s">
        <v>929</v>
      </c>
      <c r="CA47" t="s">
        <v>626</v>
      </c>
    </row>
    <row r="48" spans="1:79">
      <c r="A48" s="100"/>
      <c r="BK48" s="4"/>
      <c r="BQ48" t="s">
        <v>626</v>
      </c>
      <c r="BS48" t="s">
        <v>626</v>
      </c>
      <c r="BU48" t="s">
        <v>626</v>
      </c>
      <c r="BW48" t="s">
        <v>626</v>
      </c>
      <c r="BY48" t="s">
        <v>626</v>
      </c>
      <c r="CA48" t="s">
        <v>626</v>
      </c>
    </row>
    <row r="49" spans="1:79">
      <c r="A49" s="100"/>
      <c r="BK49" s="4"/>
      <c r="BQ49" t="s">
        <v>626</v>
      </c>
      <c r="BS49" t="s">
        <v>626</v>
      </c>
      <c r="BU49" t="s">
        <v>626</v>
      </c>
      <c r="BW49" t="s">
        <v>626</v>
      </c>
      <c r="BY49" t="s">
        <v>626</v>
      </c>
      <c r="BZ49" s="98"/>
      <c r="CA49" t="s">
        <v>626</v>
      </c>
    </row>
    <row r="50" spans="1:79">
      <c r="A50" s="100"/>
      <c r="BK50" s="4"/>
      <c r="BQ50" t="s">
        <v>626</v>
      </c>
      <c r="BS50" t="s">
        <v>626</v>
      </c>
      <c r="BU50" t="s">
        <v>626</v>
      </c>
      <c r="BW50" t="s">
        <v>626</v>
      </c>
      <c r="BY50" t="s">
        <v>626</v>
      </c>
      <c r="BZ50" t="str">
        <f>"DROP TABLE IF EXISTS `TMP`.`"&amp;$G$10&amp;"`;"</f>
        <v>DROP TABLE IF EXISTS `TMP`.`ItemExMvkMaster`;</v>
      </c>
      <c r="CA50" t="s">
        <v>626</v>
      </c>
    </row>
    <row r="51" spans="1:79">
      <c r="A51" s="100"/>
      <c r="BK51" s="4"/>
      <c r="BQ51" t="s">
        <v>626</v>
      </c>
      <c r="BS51" t="s">
        <v>626</v>
      </c>
      <c r="BU51" t="s">
        <v>626</v>
      </c>
      <c r="BW51" t="s">
        <v>626</v>
      </c>
      <c r="BY51" t="s">
        <v>626</v>
      </c>
      <c r="BZ51" t="s">
        <v>937</v>
      </c>
      <c r="CA51" t="s">
        <v>626</v>
      </c>
    </row>
    <row r="52" spans="1:79">
      <c r="A52" s="100"/>
    </row>
    <row r="53" spans="1:79">
      <c r="A53" s="100"/>
    </row>
    <row r="54" spans="1:79">
      <c r="A54" s="100"/>
    </row>
    <row r="55" spans="1:79">
      <c r="A55" s="100"/>
    </row>
    <row r="56" spans="1:79">
      <c r="A56" s="100"/>
    </row>
    <row r="57" spans="1:79">
      <c r="A57" s="100"/>
    </row>
    <row r="58" spans="1:79">
      <c r="A58" s="100"/>
    </row>
    <row r="59" spans="1:79">
      <c r="A59" s="100"/>
    </row>
    <row r="60" spans="1:79">
      <c r="A60" s="100"/>
    </row>
    <row r="61" spans="1:79">
      <c r="A61" s="100"/>
    </row>
    <row r="62" spans="1:79">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D1ED-FFBB-444C-A319-07227FED4D53}">
  <dimension ref="A1:CA66"/>
  <sheetViews>
    <sheetView view="pageBreakPreview" zoomScale="80" zoomScaleNormal="75" zoomScaleSheetLayoutView="80" workbookViewId="0">
      <selection activeCell="AT26" sqref="AT26"/>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1000</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454</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`POS_MASTER`.`MDHierarchyMaster`;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`POS_MASTER`.`MDHierarchyMaster`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49"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'C:/04_DATAFILE/MDHierarchyMaster/TMP/MDHierarchyMaster.CSV' </v>
      </c>
      <c r="BU24" t="s">
        <v>626</v>
      </c>
      <c r="BV24" s="97" t="str">
        <f>"UPDATE `POS_MASTER`.`"&amp;$G$10&amp;"` A,`TMP`.`"&amp;$G$10&amp;"` B"</f>
        <v>UPDATE `POS_MASTER`.`MDHierarchyMaster` A,`TMP`.`MDHierarchyMaster`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`TMP`.`MDHierarchyMaster`;</v>
      </c>
      <c r="BS25" t="s">
        <v>626</v>
      </c>
      <c r="BT25" s="97" t="str">
        <f>"REPLACE INTO TABLE TMP.`"&amp;$G$10&amp;"` CHARACTER SET 'UTF8'"</f>
        <v>REPLACE INTO TABLE TMP.`MDHierarchyMaster`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`TMP`.`MDHierarchyMaster`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(@1,@2,@3,@4,@5,@6,@7,@8,@9,@10,@11,@12,@13,@14,@15,@16,@17,@18,@19,@20,@21,@22,@23,@24)</v>
      </c>
      <c r="BU26" t="s">
        <v>626</v>
      </c>
      <c r="BV26" s="97"/>
      <c r="BW26" t="s">
        <v>626</v>
      </c>
      <c r="BX26" s="97" t="str">
        <f>"INSERT INTO `POS_MASTER`.`"&amp;$G$10&amp;"` ("</f>
        <v>INSERT INTO `POS_MASTER`.`MDHierarchyMaster`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49"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9" si="2">",A.`"&amp;R28&amp;"` = B.`"&amp;R28&amp;"`"</f>
        <v>,A.`StoreCode` = B.`StoreCode`</v>
      </c>
      <c r="BW28" t="s">
        <v>626</v>
      </c>
      <c r="BX28" s="97" t="str">
        <f t="shared" ref="BX28:BX49" si="3">",`"&amp;R28&amp;"`"</f>
        <v>,`StoreCode`</v>
      </c>
      <c r="BY28" t="s">
        <v>626</v>
      </c>
      <c r="BZ28" s="97" t="str">
        <f t="shared" ref="BZ28:BZ49" si="4">",`"&amp;R28&amp;"`"</f>
        <v>,`StoreCode`</v>
      </c>
      <c r="CA28" t="s">
        <v>626</v>
      </c>
    </row>
    <row r="29" spans="1:79" ht="15" customHeight="1">
      <c r="A29" s="100" t="s">
        <v>966</v>
      </c>
      <c r="B29" s="23">
        <f t="shared" si="0"/>
        <v>9</v>
      </c>
      <c r="C29" s="24"/>
      <c r="D29" s="22" t="s">
        <v>455</v>
      </c>
      <c r="E29" s="25"/>
      <c r="F29" s="25"/>
      <c r="G29" s="25"/>
      <c r="H29" s="25"/>
      <c r="I29" s="25"/>
      <c r="J29" s="25"/>
      <c r="K29" s="25"/>
      <c r="L29" s="25"/>
      <c r="M29" s="25"/>
      <c r="N29" s="25"/>
      <c r="O29" s="25"/>
      <c r="P29" s="25"/>
      <c r="Q29" s="26"/>
      <c r="R29" s="22" t="s">
        <v>490</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varchar(10)</v>
      </c>
      <c r="AD29" s="25"/>
      <c r="AE29" s="25"/>
      <c r="AF29" s="25"/>
      <c r="AG29" s="26"/>
      <c r="AH29" s="22">
        <v>3</v>
      </c>
      <c r="AI29" s="26"/>
      <c r="AJ29" s="22" t="s">
        <v>885</v>
      </c>
      <c r="AK29" s="25"/>
      <c r="AL29" s="26"/>
      <c r="AM29" s="22"/>
      <c r="AN29" s="25"/>
      <c r="AO29" s="25"/>
      <c r="AP29" s="25"/>
      <c r="AQ29" s="25"/>
      <c r="AR29" s="25"/>
      <c r="AS29" s="26"/>
      <c r="AT29" s="22" t="s">
        <v>470</v>
      </c>
      <c r="AU29" s="25"/>
      <c r="AV29" s="25"/>
      <c r="AW29" s="25"/>
      <c r="AX29" s="25"/>
      <c r="AY29" s="25"/>
      <c r="AZ29" s="25"/>
      <c r="BA29" s="25"/>
      <c r="BB29" s="25"/>
      <c r="BC29" s="25"/>
      <c r="BD29" s="25"/>
      <c r="BE29" s="25"/>
      <c r="BF29" s="25"/>
      <c r="BG29" s="25"/>
      <c r="BH29" s="25"/>
      <c r="BI29" s="25"/>
      <c r="BJ29" s="26"/>
      <c r="BK29" s="4"/>
      <c r="BM29" t="s">
        <v>888</v>
      </c>
      <c r="BN29">
        <v>10</v>
      </c>
      <c r="BP29" t="str">
        <f t="shared" si="1"/>
        <v>,`MDHierarchyCode` varchar(10) NOT NULL COMMENT '分類コード'</v>
      </c>
      <c r="BQ29" t="s">
        <v>626</v>
      </c>
      <c r="BR29" t="str">
        <f t="shared" ref="BR29:BR49" si="5">",`"&amp;R29&amp;"` "&amp;AC29&amp;" "&amp;IF(AJ29="Y","NOT NULL","")</f>
        <v>,`MDHierarchyCode` varchar(10) NOT NULL</v>
      </c>
      <c r="BS29" t="s">
        <v>626</v>
      </c>
      <c r="BT29" t="str">
        <f t="shared" ref="BT29:BT49" si="6">",`"&amp;R29&amp;"` = "&amp;IF(LEFT(AC29,4)="date", "if(@"&amp;B29-5&amp;" &gt; '0000-00-00 00:00:00', if(@"&amp;B29-5&amp;" &gt; '2999-12-31 23:59:59', '2999-12-31 23:59:59', @"&amp;B29-5&amp;"), null)","if(nullif( @"&amp;B29-5&amp;",'') &gt; '', @"&amp;B29-5&amp;", null )")</f>
        <v>,`MDHierarchyCode` = if(nullif( @4,'') &gt; '', @4, null )</v>
      </c>
      <c r="BU29" t="s">
        <v>626</v>
      </c>
      <c r="BV29" s="97" t="str">
        <f t="shared" si="2"/>
        <v>,A.`MDHierarchyCode` = B.`MDHierarchyCode`</v>
      </c>
      <c r="BW29" t="s">
        <v>626</v>
      </c>
      <c r="BX29" s="97" t="str">
        <f t="shared" si="3"/>
        <v>,`MDHierarchyCode`</v>
      </c>
      <c r="BY29" t="s">
        <v>626</v>
      </c>
      <c r="BZ29" s="97" t="str">
        <f t="shared" si="4"/>
        <v>,`MDHierarchyCode`</v>
      </c>
      <c r="CA29" t="s">
        <v>626</v>
      </c>
    </row>
    <row r="30" spans="1:79" ht="15" customHeight="1">
      <c r="A30" s="100" t="s">
        <v>967</v>
      </c>
      <c r="B30" s="23">
        <f t="shared" si="0"/>
        <v>10</v>
      </c>
      <c r="C30" s="24"/>
      <c r="D30" s="22" t="s">
        <v>456</v>
      </c>
      <c r="E30" s="25"/>
      <c r="F30" s="25"/>
      <c r="G30" s="25"/>
      <c r="H30" s="25"/>
      <c r="I30" s="25"/>
      <c r="J30" s="25"/>
      <c r="K30" s="25"/>
      <c r="L30" s="25"/>
      <c r="M30" s="25"/>
      <c r="N30" s="25"/>
      <c r="O30" s="25"/>
      <c r="P30" s="25"/>
      <c r="Q30" s="26"/>
      <c r="R30" s="22" t="s">
        <v>491</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int</v>
      </c>
      <c r="AD30" s="25"/>
      <c r="AE30" s="25"/>
      <c r="AF30" s="25"/>
      <c r="AG30" s="26"/>
      <c r="AH30" s="22">
        <v>4</v>
      </c>
      <c r="AI30" s="26"/>
      <c r="AJ30" s="22" t="s">
        <v>885</v>
      </c>
      <c r="AK30" s="25"/>
      <c r="AL30" s="26"/>
      <c r="AM30" s="22"/>
      <c r="AN30" s="25"/>
      <c r="AO30" s="25"/>
      <c r="AP30" s="25"/>
      <c r="AQ30" s="25"/>
      <c r="AR30" s="25"/>
      <c r="AS30" s="26"/>
      <c r="AT30" s="22" t="s">
        <v>471</v>
      </c>
      <c r="AU30" s="25"/>
      <c r="AV30" s="25"/>
      <c r="AW30" s="25"/>
      <c r="AX30" s="25"/>
      <c r="AY30" s="25"/>
      <c r="AZ30" s="25"/>
      <c r="BA30" s="25"/>
      <c r="BB30" s="25"/>
      <c r="BC30" s="25"/>
      <c r="BD30" s="25"/>
      <c r="BE30" s="25"/>
      <c r="BF30" s="25"/>
      <c r="BG30" s="25"/>
      <c r="BH30" s="25"/>
      <c r="BI30" s="25"/>
      <c r="BJ30" s="26"/>
      <c r="BK30" s="4"/>
      <c r="BM30" t="s">
        <v>437</v>
      </c>
      <c r="BP30" t="str">
        <f t="shared" si="1"/>
        <v>,`MDHierarchyLevel` int NOT NULL COMMENT '分類レベル'</v>
      </c>
      <c r="BQ30" t="s">
        <v>626</v>
      </c>
      <c r="BR30" t="str">
        <f t="shared" si="5"/>
        <v>,`MDHierarchyLevel` int NOT NULL</v>
      </c>
      <c r="BS30" t="s">
        <v>626</v>
      </c>
      <c r="BT30" t="str">
        <f t="shared" si="6"/>
        <v>,`MDHierarchyLevel` = if(nullif( @5,'') &gt; '', @5, null )</v>
      </c>
      <c r="BU30" t="s">
        <v>626</v>
      </c>
      <c r="BV30" s="97" t="str">
        <f t="shared" si="2"/>
        <v>,A.`MDHierarchyLevel` = B.`MDHierarchyLevel`</v>
      </c>
      <c r="BW30" t="s">
        <v>626</v>
      </c>
      <c r="BX30" s="97" t="str">
        <f t="shared" si="3"/>
        <v>,`MDHierarchyLevel`</v>
      </c>
      <c r="BY30" t="s">
        <v>626</v>
      </c>
      <c r="BZ30" s="97" t="str">
        <f t="shared" si="4"/>
        <v>,`MDHierarchyLevel`</v>
      </c>
      <c r="CA30" t="s">
        <v>626</v>
      </c>
    </row>
    <row r="31" spans="1:79" ht="15" customHeight="1">
      <c r="A31" s="100" t="s">
        <v>968</v>
      </c>
      <c r="B31" s="23">
        <f t="shared" si="0"/>
        <v>11</v>
      </c>
      <c r="C31" s="24"/>
      <c r="D31" s="22" t="s">
        <v>368</v>
      </c>
      <c r="E31" s="25"/>
      <c r="F31" s="25"/>
      <c r="G31" s="25"/>
      <c r="H31" s="25"/>
      <c r="I31" s="25"/>
      <c r="J31" s="25"/>
      <c r="K31" s="25"/>
      <c r="L31" s="25"/>
      <c r="M31" s="25"/>
      <c r="N31" s="25"/>
      <c r="O31" s="25"/>
      <c r="P31" s="25"/>
      <c r="Q31" s="26"/>
      <c r="R31" s="22" t="s">
        <v>355</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date</v>
      </c>
      <c r="AD31" s="25"/>
      <c r="AE31" s="25"/>
      <c r="AF31" s="25"/>
      <c r="AG31" s="26"/>
      <c r="AH31" s="22">
        <v>5</v>
      </c>
      <c r="AI31" s="26"/>
      <c r="AJ31" s="22" t="s">
        <v>885</v>
      </c>
      <c r="AK31" s="25"/>
      <c r="AL31" s="26"/>
      <c r="AM31" s="22"/>
      <c r="AN31" s="25"/>
      <c r="AO31" s="25"/>
      <c r="AP31" s="25"/>
      <c r="AQ31" s="25"/>
      <c r="AR31" s="25"/>
      <c r="AS31" s="26"/>
      <c r="AT31" s="22" t="s">
        <v>472</v>
      </c>
      <c r="AU31" s="25"/>
      <c r="AV31" s="25"/>
      <c r="AW31" s="25"/>
      <c r="AX31" s="25"/>
      <c r="AY31" s="25"/>
      <c r="AZ31" s="25"/>
      <c r="BA31" s="25"/>
      <c r="BB31" s="25"/>
      <c r="BC31" s="25"/>
      <c r="BD31" s="25"/>
      <c r="BE31" s="25"/>
      <c r="BF31" s="25"/>
      <c r="BG31" s="25"/>
      <c r="BH31" s="25"/>
      <c r="BI31" s="25"/>
      <c r="BJ31" s="26"/>
      <c r="BK31" s="4"/>
      <c r="BM31" t="s">
        <v>436</v>
      </c>
      <c r="BP31" t="str">
        <f t="shared" si="1"/>
        <v>,`ApplyDate` date NOT NULL COMMENT '適用日'</v>
      </c>
      <c r="BQ31" t="s">
        <v>626</v>
      </c>
      <c r="BR31" t="str">
        <f t="shared" si="5"/>
        <v>,`ApplyDate` date NOT NULL</v>
      </c>
      <c r="BS31" t="s">
        <v>626</v>
      </c>
      <c r="BT31" t="str">
        <f t="shared" si="6"/>
        <v>,`ApplyDate` = if(@6 &gt; '0000-00-00 00:00:00', if(@6 &gt; '2999-12-31 23:59:59', '2999-12-31 23:59:59', @6), null)</v>
      </c>
      <c r="BU31" t="s">
        <v>626</v>
      </c>
      <c r="BV31" s="97" t="str">
        <f t="shared" si="2"/>
        <v>,A.`ApplyDate` = B.`ApplyDate`</v>
      </c>
      <c r="BW31" t="s">
        <v>626</v>
      </c>
      <c r="BX31" s="97" t="str">
        <f t="shared" si="3"/>
        <v>,`ApplyDate`</v>
      </c>
      <c r="BY31" t="s">
        <v>626</v>
      </c>
      <c r="BZ31" s="97" t="str">
        <f t="shared" si="4"/>
        <v>,`ApplyDate`</v>
      </c>
      <c r="CA31" t="s">
        <v>626</v>
      </c>
    </row>
    <row r="32" spans="1:79" ht="15" customHeight="1">
      <c r="A32" s="100" t="s">
        <v>969</v>
      </c>
      <c r="B32" s="23">
        <f t="shared" si="0"/>
        <v>12</v>
      </c>
      <c r="C32" s="24"/>
      <c r="D32" s="22" t="s">
        <v>369</v>
      </c>
      <c r="E32" s="25"/>
      <c r="F32" s="25"/>
      <c r="G32" s="25"/>
      <c r="H32" s="25"/>
      <c r="I32" s="25"/>
      <c r="J32" s="25"/>
      <c r="K32" s="25"/>
      <c r="L32" s="25"/>
      <c r="M32" s="25"/>
      <c r="N32" s="25"/>
      <c r="O32" s="25"/>
      <c r="P32" s="25"/>
      <c r="Q32" s="26"/>
      <c r="R32" s="22" t="s">
        <v>404</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varchar(10)</v>
      </c>
      <c r="AD32" s="25"/>
      <c r="AE32" s="25"/>
      <c r="AF32" s="25"/>
      <c r="AG32" s="26"/>
      <c r="AH32" s="22"/>
      <c r="AI32" s="26"/>
      <c r="AJ32" s="22"/>
      <c r="AK32" s="25"/>
      <c r="AL32" s="26"/>
      <c r="AM32" s="22"/>
      <c r="AN32" s="25"/>
      <c r="AO32" s="25"/>
      <c r="AP32" s="25"/>
      <c r="AQ32" s="25"/>
      <c r="AR32" s="25"/>
      <c r="AS32" s="26"/>
      <c r="AT32" s="22" t="s">
        <v>473</v>
      </c>
      <c r="AU32" s="25"/>
      <c r="AV32" s="25"/>
      <c r="AW32" s="25"/>
      <c r="AX32" s="25"/>
      <c r="AY32" s="25"/>
      <c r="AZ32" s="25"/>
      <c r="BA32" s="25"/>
      <c r="BB32" s="25"/>
      <c r="BC32" s="25"/>
      <c r="BD32" s="25"/>
      <c r="BE32" s="25"/>
      <c r="BF32" s="25"/>
      <c r="BG32" s="25"/>
      <c r="BH32" s="25"/>
      <c r="BI32" s="25"/>
      <c r="BJ32" s="26"/>
      <c r="BK32" s="4"/>
      <c r="BM32" t="s">
        <v>888</v>
      </c>
      <c r="BN32">
        <v>10</v>
      </c>
      <c r="BP32" t="str">
        <f t="shared" si="1"/>
        <v>,`ParentCode` varchar(10)  COMMENT '親分類コード'</v>
      </c>
      <c r="BQ32" t="s">
        <v>626</v>
      </c>
      <c r="BR32" t="str">
        <f t="shared" si="5"/>
        <v xml:space="preserve">,`ParentCode` varchar(10) </v>
      </c>
      <c r="BS32" t="s">
        <v>626</v>
      </c>
      <c r="BT32" t="str">
        <f t="shared" si="6"/>
        <v>,`ParentCode` = if(nullif( @7,'') &gt; '', @7, null )</v>
      </c>
      <c r="BU32" t="s">
        <v>626</v>
      </c>
      <c r="BV32" s="97" t="str">
        <f t="shared" si="2"/>
        <v>,A.`ParentCode` = B.`ParentCode`</v>
      </c>
      <c r="BW32" t="s">
        <v>626</v>
      </c>
      <c r="BX32" s="97" t="str">
        <f t="shared" si="3"/>
        <v>,`ParentCode`</v>
      </c>
      <c r="BY32" t="s">
        <v>626</v>
      </c>
      <c r="BZ32" s="97" t="str">
        <f t="shared" si="4"/>
        <v>,`ParentCode`</v>
      </c>
      <c r="CA32" t="s">
        <v>626</v>
      </c>
    </row>
    <row r="33" spans="1:79" ht="15" customHeight="1">
      <c r="A33" s="100" t="s">
        <v>970</v>
      </c>
      <c r="B33" s="23">
        <f t="shared" si="0"/>
        <v>13</v>
      </c>
      <c r="C33" s="24"/>
      <c r="D33" s="22" t="s">
        <v>457</v>
      </c>
      <c r="E33" s="25"/>
      <c r="F33" s="25"/>
      <c r="G33" s="25"/>
      <c r="H33" s="25"/>
      <c r="I33" s="25"/>
      <c r="J33" s="25"/>
      <c r="K33" s="25"/>
      <c r="L33" s="25"/>
      <c r="M33" s="25"/>
      <c r="N33" s="25"/>
      <c r="O33" s="25"/>
      <c r="P33" s="25"/>
      <c r="Q33" s="26"/>
      <c r="R33" s="22" t="s">
        <v>464</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int</v>
      </c>
      <c r="AD33" s="25"/>
      <c r="AE33" s="25"/>
      <c r="AF33" s="25"/>
      <c r="AG33" s="26"/>
      <c r="AH33" s="22"/>
      <c r="AI33" s="26"/>
      <c r="AJ33" s="22"/>
      <c r="AK33" s="25"/>
      <c r="AL33" s="26"/>
      <c r="AM33" s="22"/>
      <c r="AN33" s="25"/>
      <c r="AO33" s="25"/>
      <c r="AP33" s="25"/>
      <c r="AQ33" s="25"/>
      <c r="AR33" s="25"/>
      <c r="AS33" s="26"/>
      <c r="AT33" s="22" t="s">
        <v>474</v>
      </c>
      <c r="AU33" s="25"/>
      <c r="AV33" s="25"/>
      <c r="AW33" s="25"/>
      <c r="AX33" s="25"/>
      <c r="AY33" s="25"/>
      <c r="AZ33" s="25"/>
      <c r="BA33" s="25"/>
      <c r="BB33" s="25"/>
      <c r="BC33" s="25"/>
      <c r="BD33" s="25"/>
      <c r="BE33" s="25"/>
      <c r="BF33" s="25"/>
      <c r="BG33" s="25"/>
      <c r="BH33" s="25"/>
      <c r="BI33" s="25"/>
      <c r="BJ33" s="26"/>
      <c r="BK33" s="4"/>
      <c r="BM33" t="s">
        <v>437</v>
      </c>
      <c r="BP33" t="str">
        <f t="shared" si="1"/>
        <v>,`ParentHierarchyLevel` int  COMMENT '親分類レベルコード'</v>
      </c>
      <c r="BQ33" t="s">
        <v>626</v>
      </c>
      <c r="BR33" t="str">
        <f t="shared" si="5"/>
        <v xml:space="preserve">,`ParentHierarchyLevel` int </v>
      </c>
      <c r="BS33" t="s">
        <v>626</v>
      </c>
      <c r="BT33" t="str">
        <f t="shared" si="6"/>
        <v>,`ParentHierarchyLevel` = if(nullif( @8,'') &gt; '', @8, null )</v>
      </c>
      <c r="BU33" t="s">
        <v>626</v>
      </c>
      <c r="BV33" s="97" t="str">
        <f t="shared" si="2"/>
        <v>,A.`ParentHierarchyLevel` = B.`ParentHierarchyLevel`</v>
      </c>
      <c r="BW33" t="s">
        <v>626</v>
      </c>
      <c r="BX33" s="97" t="str">
        <f t="shared" si="3"/>
        <v>,`ParentHierarchyLevel`</v>
      </c>
      <c r="BY33" t="s">
        <v>626</v>
      </c>
      <c r="BZ33" s="97" t="str">
        <f t="shared" si="4"/>
        <v>,`ParentHierarchyLevel`</v>
      </c>
      <c r="CA33" t="s">
        <v>626</v>
      </c>
    </row>
    <row r="34" spans="1:79" ht="15" customHeight="1">
      <c r="A34" s="100" t="s">
        <v>971</v>
      </c>
      <c r="B34" s="23">
        <f t="shared" si="0"/>
        <v>14</v>
      </c>
      <c r="C34" s="24"/>
      <c r="D34" s="22" t="s">
        <v>372</v>
      </c>
      <c r="E34" s="25"/>
      <c r="F34" s="25"/>
      <c r="G34" s="25"/>
      <c r="H34" s="25"/>
      <c r="I34" s="25"/>
      <c r="J34" s="25"/>
      <c r="K34" s="25"/>
      <c r="L34" s="25"/>
      <c r="M34" s="25"/>
      <c r="N34" s="25"/>
      <c r="O34" s="25"/>
      <c r="P34" s="25"/>
      <c r="Q34" s="26"/>
      <c r="R34" s="22" t="s">
        <v>407</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varchar(50)</v>
      </c>
      <c r="AD34" s="25"/>
      <c r="AE34" s="25"/>
      <c r="AF34" s="25"/>
      <c r="AG34" s="26"/>
      <c r="AH34" s="22"/>
      <c r="AI34" s="26"/>
      <c r="AJ34" s="22"/>
      <c r="AK34" s="25"/>
      <c r="AL34" s="26"/>
      <c r="AM34" s="22"/>
      <c r="AN34" s="25"/>
      <c r="AO34" s="25"/>
      <c r="AP34" s="25"/>
      <c r="AQ34" s="25"/>
      <c r="AR34" s="25"/>
      <c r="AS34" s="26"/>
      <c r="AT34" s="22" t="s">
        <v>475</v>
      </c>
      <c r="AU34" s="25"/>
      <c r="AV34" s="25"/>
      <c r="AW34" s="25"/>
      <c r="AX34" s="25"/>
      <c r="AY34" s="25"/>
      <c r="AZ34" s="25"/>
      <c r="BA34" s="25"/>
      <c r="BB34" s="25"/>
      <c r="BC34" s="25"/>
      <c r="BD34" s="25"/>
      <c r="BE34" s="25"/>
      <c r="BF34" s="25"/>
      <c r="BG34" s="25"/>
      <c r="BH34" s="25"/>
      <c r="BI34" s="25"/>
      <c r="BJ34" s="26"/>
      <c r="BK34" s="4"/>
      <c r="BM34" t="s">
        <v>888</v>
      </c>
      <c r="BN34">
        <v>50</v>
      </c>
      <c r="BP34" t="str">
        <f t="shared" si="1"/>
        <v>,`Description` varchar(50)  COMMENT '説明　（画面、レシート、ラインディスプレイにて使用）'</v>
      </c>
      <c r="BQ34" t="s">
        <v>626</v>
      </c>
      <c r="BR34" t="str">
        <f t="shared" si="5"/>
        <v xml:space="preserve">,`Description` varchar(50) </v>
      </c>
      <c r="BS34" t="s">
        <v>626</v>
      </c>
      <c r="BT34" t="str">
        <f t="shared" si="6"/>
        <v>,`Description` = if(nullif( @9,'') &gt; '', @9, null )</v>
      </c>
      <c r="BU34" t="s">
        <v>626</v>
      </c>
      <c r="BV34" s="97" t="str">
        <f t="shared" si="2"/>
        <v>,A.`Description` = B.`Description`</v>
      </c>
      <c r="BW34" t="s">
        <v>626</v>
      </c>
      <c r="BX34" s="97" t="str">
        <f t="shared" si="3"/>
        <v>,`Description`</v>
      </c>
      <c r="BY34" t="s">
        <v>626</v>
      </c>
      <c r="BZ34" s="97" t="str">
        <f t="shared" si="4"/>
        <v>,`Description`</v>
      </c>
      <c r="CA34" t="s">
        <v>626</v>
      </c>
    </row>
    <row r="35" spans="1:79" ht="15" customHeight="1">
      <c r="A35" s="100" t="s">
        <v>972</v>
      </c>
      <c r="B35" s="23">
        <f t="shared" si="0"/>
        <v>15</v>
      </c>
      <c r="C35" s="24"/>
      <c r="D35" s="22" t="s">
        <v>373</v>
      </c>
      <c r="E35" s="25"/>
      <c r="F35" s="25"/>
      <c r="G35" s="25"/>
      <c r="H35" s="25"/>
      <c r="I35" s="25"/>
      <c r="J35" s="25"/>
      <c r="K35" s="25"/>
      <c r="L35" s="25"/>
      <c r="M35" s="25"/>
      <c r="N35" s="25"/>
      <c r="O35" s="25"/>
      <c r="P35" s="25"/>
      <c r="Q35" s="26"/>
      <c r="R35" s="22" t="s">
        <v>408</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varchar(25)</v>
      </c>
      <c r="AD35" s="25"/>
      <c r="AE35" s="25"/>
      <c r="AF35" s="25"/>
      <c r="AG35" s="26"/>
      <c r="AH35" s="22"/>
      <c r="AI35" s="26"/>
      <c r="AJ35" s="22"/>
      <c r="AK35" s="25"/>
      <c r="AL35" s="26"/>
      <c r="AM35" s="22"/>
      <c r="AN35" s="25"/>
      <c r="AO35" s="25"/>
      <c r="AP35" s="25"/>
      <c r="AQ35" s="25"/>
      <c r="AR35" s="25"/>
      <c r="AS35" s="26"/>
      <c r="AT35" s="22" t="s">
        <v>476</v>
      </c>
      <c r="AU35" s="25"/>
      <c r="AV35" s="25"/>
      <c r="AW35" s="25"/>
      <c r="AX35" s="25"/>
      <c r="AY35" s="25"/>
      <c r="AZ35" s="25"/>
      <c r="BA35" s="25"/>
      <c r="BB35" s="25"/>
      <c r="BC35" s="25"/>
      <c r="BD35" s="25"/>
      <c r="BE35" s="25"/>
      <c r="BF35" s="25"/>
      <c r="BG35" s="25"/>
      <c r="BH35" s="25"/>
      <c r="BI35" s="25"/>
      <c r="BJ35" s="26"/>
      <c r="BK35" s="4"/>
      <c r="BM35" t="s">
        <v>888</v>
      </c>
      <c r="BN35">
        <v>25</v>
      </c>
      <c r="BP35" t="str">
        <f t="shared" si="1"/>
        <v>,`DescriptionShort` varchar(25)  COMMENT '簡略説明　（ラインディスプレイ（半角カナ用）にて使用）'</v>
      </c>
      <c r="BQ35" t="s">
        <v>626</v>
      </c>
      <c r="BR35" t="str">
        <f t="shared" si="5"/>
        <v xml:space="preserve">,`DescriptionShort` varchar(25) </v>
      </c>
      <c r="BS35" t="s">
        <v>626</v>
      </c>
      <c r="BT35" t="str">
        <f t="shared" si="6"/>
        <v>,`DescriptionShort` = if(nullif( @10,'') &gt; '', @10, null )</v>
      </c>
      <c r="BU35" t="s">
        <v>626</v>
      </c>
      <c r="BV35" s="97" t="str">
        <f t="shared" si="2"/>
        <v>,A.`DescriptionShort` = B.`DescriptionShort`</v>
      </c>
      <c r="BW35" t="s">
        <v>626</v>
      </c>
      <c r="BX35" s="97" t="str">
        <f t="shared" si="3"/>
        <v>,`DescriptionShort`</v>
      </c>
      <c r="BY35" t="s">
        <v>626</v>
      </c>
      <c r="BZ35" s="97" t="str">
        <f t="shared" si="4"/>
        <v>,`DescriptionShort`</v>
      </c>
      <c r="CA35" t="s">
        <v>626</v>
      </c>
    </row>
    <row r="36" spans="1:79" ht="15" customHeight="1">
      <c r="A36" s="100" t="s">
        <v>973</v>
      </c>
      <c r="B36" s="23">
        <f t="shared" si="0"/>
        <v>16</v>
      </c>
      <c r="C36" s="24"/>
      <c r="D36" s="22" t="s">
        <v>381</v>
      </c>
      <c r="E36" s="25"/>
      <c r="F36" s="25"/>
      <c r="G36" s="25"/>
      <c r="H36" s="25"/>
      <c r="I36" s="25"/>
      <c r="J36" s="25"/>
      <c r="K36" s="25"/>
      <c r="L36" s="25"/>
      <c r="M36" s="25"/>
      <c r="N36" s="25"/>
      <c r="O36" s="25"/>
      <c r="P36" s="25"/>
      <c r="Q36" s="26"/>
      <c r="R36" s="22" t="s">
        <v>416</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varchar(2)</v>
      </c>
      <c r="AD36" s="25"/>
      <c r="AE36" s="25"/>
      <c r="AF36" s="25"/>
      <c r="AG36" s="26"/>
      <c r="AH36" s="22"/>
      <c r="AI36" s="26"/>
      <c r="AJ36" s="22"/>
      <c r="AK36" s="25"/>
      <c r="AL36" s="26"/>
      <c r="AM36" s="22"/>
      <c r="AN36" s="25"/>
      <c r="AO36" s="25"/>
      <c r="AP36" s="25"/>
      <c r="AQ36" s="25"/>
      <c r="AR36" s="25"/>
      <c r="AS36" s="26"/>
      <c r="AT36" s="22" t="s">
        <v>477</v>
      </c>
      <c r="AU36" s="25"/>
      <c r="AV36" s="25"/>
      <c r="AW36" s="25"/>
      <c r="AX36" s="25"/>
      <c r="AY36" s="25"/>
      <c r="AZ36" s="25"/>
      <c r="BA36" s="25"/>
      <c r="BB36" s="25"/>
      <c r="BC36" s="25"/>
      <c r="BD36" s="25"/>
      <c r="BE36" s="25"/>
      <c r="BF36" s="25"/>
      <c r="BG36" s="25"/>
      <c r="BH36" s="25"/>
      <c r="BI36" s="25"/>
      <c r="BJ36" s="26"/>
      <c r="BK36" s="4"/>
      <c r="BM36" t="s">
        <v>888</v>
      </c>
      <c r="BN36">
        <v>2</v>
      </c>
      <c r="BP36" t="str">
        <f t="shared" si="1"/>
        <v>,`TaxGroupCode` varchar(2)  COMMENT '税グループコード'</v>
      </c>
      <c r="BQ36" t="s">
        <v>626</v>
      </c>
      <c r="BR36" t="str">
        <f t="shared" si="5"/>
        <v xml:space="preserve">,`TaxGroupCode` varchar(2) </v>
      </c>
      <c r="BS36" t="s">
        <v>626</v>
      </c>
      <c r="BT36" t="str">
        <f t="shared" si="6"/>
        <v>,`TaxGroupCode` = if(nullif( @11,'') &gt; '', @11, null )</v>
      </c>
      <c r="BU36" t="s">
        <v>626</v>
      </c>
      <c r="BV36" s="97" t="str">
        <f t="shared" si="2"/>
        <v>,A.`TaxGroupCode` = B.`TaxGroupCode`</v>
      </c>
      <c r="BW36" t="s">
        <v>626</v>
      </c>
      <c r="BX36" s="97" t="str">
        <f t="shared" si="3"/>
        <v>,`TaxGroupCode`</v>
      </c>
      <c r="BY36" t="s">
        <v>626</v>
      </c>
      <c r="BZ36" s="97" t="str">
        <f t="shared" si="4"/>
        <v>,`TaxGroupCode`</v>
      </c>
      <c r="CA36" t="s">
        <v>626</v>
      </c>
    </row>
    <row r="37" spans="1:79" ht="15" customHeight="1">
      <c r="A37" s="100" t="s">
        <v>974</v>
      </c>
      <c r="B37" s="23">
        <f t="shared" si="0"/>
        <v>17</v>
      </c>
      <c r="C37" s="24"/>
      <c r="D37" s="22" t="s">
        <v>380</v>
      </c>
      <c r="E37" s="25"/>
      <c r="F37" s="25"/>
      <c r="G37" s="25"/>
      <c r="H37" s="25"/>
      <c r="I37" s="25"/>
      <c r="J37" s="25"/>
      <c r="K37" s="25"/>
      <c r="L37" s="25"/>
      <c r="M37" s="25"/>
      <c r="N37" s="25"/>
      <c r="O37" s="25"/>
      <c r="P37" s="25"/>
      <c r="Q37" s="26"/>
      <c r="R37" s="22" t="s">
        <v>415</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numeric(5, 2)</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
        <v>892</v>
      </c>
      <c r="BN37" t="s">
        <v>893</v>
      </c>
      <c r="BP37" t="str">
        <f t="shared" si="1"/>
        <v>,`MarkupRatio` numeric(5, 2)  COMMENT '値入率'</v>
      </c>
      <c r="BQ37" t="s">
        <v>626</v>
      </c>
      <c r="BR37" t="str">
        <f t="shared" si="5"/>
        <v xml:space="preserve">,`MarkupRatio` numeric(5, 2) </v>
      </c>
      <c r="BS37" t="s">
        <v>626</v>
      </c>
      <c r="BT37" t="str">
        <f t="shared" si="6"/>
        <v>,`MarkupRatio` = if(nullif( @12,'') &gt; '', @12, null )</v>
      </c>
      <c r="BU37" t="s">
        <v>626</v>
      </c>
      <c r="BV37" s="97" t="str">
        <f t="shared" si="2"/>
        <v>,A.`MarkupRatio` = B.`MarkupRatio`</v>
      </c>
      <c r="BW37" t="s">
        <v>626</v>
      </c>
      <c r="BX37" s="97" t="str">
        <f t="shared" si="3"/>
        <v>,`MarkupRatio`</v>
      </c>
      <c r="BY37" t="s">
        <v>626</v>
      </c>
      <c r="BZ37" s="97" t="str">
        <f t="shared" si="4"/>
        <v>,`MarkupRatio`</v>
      </c>
      <c r="CA37" t="s">
        <v>626</v>
      </c>
    </row>
    <row r="38" spans="1:79" ht="15" customHeight="1">
      <c r="A38" s="100" t="s">
        <v>975</v>
      </c>
      <c r="B38" s="23">
        <f t="shared" si="0"/>
        <v>18</v>
      </c>
      <c r="C38" s="24"/>
      <c r="D38" s="22" t="s">
        <v>458</v>
      </c>
      <c r="E38" s="25"/>
      <c r="F38" s="25"/>
      <c r="G38" s="25"/>
      <c r="H38" s="25"/>
      <c r="I38" s="25"/>
      <c r="J38" s="25"/>
      <c r="K38" s="25"/>
      <c r="L38" s="25"/>
      <c r="M38" s="25"/>
      <c r="N38" s="25"/>
      <c r="O38" s="25"/>
      <c r="P38" s="25"/>
      <c r="Q38" s="26"/>
      <c r="R38" s="22" t="s">
        <v>465</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varchar(2)</v>
      </c>
      <c r="AD38" s="25"/>
      <c r="AE38" s="25"/>
      <c r="AF38" s="25"/>
      <c r="AG38" s="26"/>
      <c r="AH38" s="22"/>
      <c r="AI38" s="26"/>
      <c r="AJ38" s="22"/>
      <c r="AK38" s="25"/>
      <c r="AL38" s="26"/>
      <c r="AM38" s="22"/>
      <c r="AN38" s="25"/>
      <c r="AO38" s="25"/>
      <c r="AP38" s="25"/>
      <c r="AQ38" s="25"/>
      <c r="AR38" s="25"/>
      <c r="AS38" s="26"/>
      <c r="AT38" s="22" t="s">
        <v>478</v>
      </c>
      <c r="AU38" s="25"/>
      <c r="AV38" s="25"/>
      <c r="AW38" s="25"/>
      <c r="AX38" s="25"/>
      <c r="AY38" s="25"/>
      <c r="AZ38" s="25"/>
      <c r="BA38" s="25"/>
      <c r="BB38" s="25"/>
      <c r="BC38" s="25"/>
      <c r="BD38" s="25"/>
      <c r="BE38" s="25"/>
      <c r="BF38" s="25"/>
      <c r="BG38" s="25"/>
      <c r="BH38" s="25"/>
      <c r="BI38" s="25"/>
      <c r="BJ38" s="26"/>
      <c r="BK38" s="4"/>
      <c r="BM38" t="s">
        <v>888</v>
      </c>
      <c r="BN38">
        <v>2</v>
      </c>
      <c r="BP38" t="str">
        <f t="shared" si="1"/>
        <v>,`DepartmentTypeCode` varchar(2)  COMMENT '部門区分コード'</v>
      </c>
      <c r="BQ38" t="s">
        <v>626</v>
      </c>
      <c r="BR38" t="str">
        <f t="shared" si="5"/>
        <v xml:space="preserve">,`DepartmentTypeCode` varchar(2) </v>
      </c>
      <c r="BS38" t="s">
        <v>626</v>
      </c>
      <c r="BT38" t="str">
        <f t="shared" si="6"/>
        <v>,`DepartmentTypeCode` = if(nullif( @13,'') &gt; '', @13, null )</v>
      </c>
      <c r="BU38" t="s">
        <v>626</v>
      </c>
      <c r="BV38" s="97" t="str">
        <f t="shared" si="2"/>
        <v>,A.`DepartmentTypeCode` = B.`DepartmentTypeCode`</v>
      </c>
      <c r="BW38" t="s">
        <v>626</v>
      </c>
      <c r="BX38" s="97" t="str">
        <f t="shared" si="3"/>
        <v>,`DepartmentTypeCode`</v>
      </c>
      <c r="BY38" t="s">
        <v>626</v>
      </c>
      <c r="BZ38" s="97" t="str">
        <f t="shared" si="4"/>
        <v>,`DepartmentTypeCode`</v>
      </c>
      <c r="CA38" t="s">
        <v>626</v>
      </c>
    </row>
    <row r="39" spans="1:79" ht="15" customHeight="1">
      <c r="A39" s="100" t="s">
        <v>976</v>
      </c>
      <c r="B39" s="23">
        <f t="shared" si="0"/>
        <v>19</v>
      </c>
      <c r="C39" s="24"/>
      <c r="D39" s="22" t="s">
        <v>385</v>
      </c>
      <c r="E39" s="25"/>
      <c r="F39" s="25"/>
      <c r="G39" s="25"/>
      <c r="H39" s="25"/>
      <c r="I39" s="25"/>
      <c r="J39" s="25"/>
      <c r="K39" s="25"/>
      <c r="L39" s="25"/>
      <c r="M39" s="25"/>
      <c r="N39" s="25"/>
      <c r="O39" s="25"/>
      <c r="P39" s="25"/>
      <c r="Q39" s="26"/>
      <c r="R39" s="22" t="s">
        <v>420</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char(1)</v>
      </c>
      <c r="AD39" s="25"/>
      <c r="AE39" s="25"/>
      <c r="AF39" s="25"/>
      <c r="AG39" s="26"/>
      <c r="AH39" s="22"/>
      <c r="AI39" s="26"/>
      <c r="AJ39" s="22"/>
      <c r="AK39" s="25"/>
      <c r="AL39" s="26"/>
      <c r="AM39" s="22"/>
      <c r="AN39" s="25"/>
      <c r="AO39" s="25"/>
      <c r="AP39" s="25"/>
      <c r="AQ39" s="25"/>
      <c r="AR39" s="25"/>
      <c r="AS39" s="26"/>
      <c r="AT39" s="22" t="s">
        <v>479</v>
      </c>
      <c r="AU39" s="25"/>
      <c r="AV39" s="25"/>
      <c r="AW39" s="25"/>
      <c r="AX39" s="25"/>
      <c r="AY39" s="25"/>
      <c r="AZ39" s="25"/>
      <c r="BA39" s="25"/>
      <c r="BB39" s="25"/>
      <c r="BC39" s="25"/>
      <c r="BD39" s="25"/>
      <c r="BE39" s="25"/>
      <c r="BF39" s="25"/>
      <c r="BG39" s="25"/>
      <c r="BH39" s="25"/>
      <c r="BI39" s="25"/>
      <c r="BJ39" s="26"/>
      <c r="BK39" s="4"/>
      <c r="BM39" t="s">
        <v>896</v>
      </c>
      <c r="BP39" t="str">
        <f t="shared" si="1"/>
        <v>,`IsCashOnly` char(1)  COMMENT '現金以外決済不可フラグ'</v>
      </c>
      <c r="BQ39" t="s">
        <v>626</v>
      </c>
      <c r="BR39" t="str">
        <f t="shared" si="5"/>
        <v xml:space="preserve">,`IsCashOnly` char(1) </v>
      </c>
      <c r="BS39" t="s">
        <v>626</v>
      </c>
      <c r="BT39" t="str">
        <f t="shared" si="6"/>
        <v>,`IsCashOnly` = if(nullif( @14,'') &gt; '', @14, null )</v>
      </c>
      <c r="BU39" t="s">
        <v>626</v>
      </c>
      <c r="BV39" s="97" t="str">
        <f t="shared" si="2"/>
        <v>,A.`IsCashOnly` = B.`IsCashOnly`</v>
      </c>
      <c r="BW39" t="s">
        <v>626</v>
      </c>
      <c r="BX39" s="97" t="str">
        <f t="shared" si="3"/>
        <v>,`IsCashOnly`</v>
      </c>
      <c r="BY39" t="s">
        <v>626</v>
      </c>
      <c r="BZ39" s="97" t="str">
        <f t="shared" si="4"/>
        <v>,`IsCashOnly`</v>
      </c>
      <c r="CA39" t="s">
        <v>626</v>
      </c>
    </row>
    <row r="40" spans="1:79" ht="15" customHeight="1">
      <c r="A40" s="100" t="s">
        <v>977</v>
      </c>
      <c r="B40" s="23">
        <f t="shared" si="0"/>
        <v>20</v>
      </c>
      <c r="C40" s="24"/>
      <c r="D40" s="22" t="s">
        <v>386</v>
      </c>
      <c r="E40" s="25"/>
      <c r="F40" s="25"/>
      <c r="G40" s="25"/>
      <c r="H40" s="25"/>
      <c r="I40" s="25"/>
      <c r="J40" s="25"/>
      <c r="K40" s="25"/>
      <c r="L40" s="25"/>
      <c r="M40" s="25"/>
      <c r="N40" s="25"/>
      <c r="O40" s="25"/>
      <c r="P40" s="25"/>
      <c r="Q40" s="26"/>
      <c r="R40" s="22" t="s">
        <v>421</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char(1)</v>
      </c>
      <c r="AD40" s="25"/>
      <c r="AE40" s="25"/>
      <c r="AF40" s="25"/>
      <c r="AG40" s="26"/>
      <c r="AH40" s="22"/>
      <c r="AI40" s="26"/>
      <c r="AJ40" s="22"/>
      <c r="AK40" s="25"/>
      <c r="AL40" s="26"/>
      <c r="AM40" s="22"/>
      <c r="AN40" s="25"/>
      <c r="AO40" s="25"/>
      <c r="AP40" s="25"/>
      <c r="AQ40" s="25"/>
      <c r="AR40" s="25"/>
      <c r="AS40" s="26"/>
      <c r="AT40" s="22" t="s">
        <v>480</v>
      </c>
      <c r="AU40" s="25"/>
      <c r="AV40" s="25"/>
      <c r="AW40" s="25"/>
      <c r="AX40" s="25"/>
      <c r="AY40" s="25"/>
      <c r="AZ40" s="25"/>
      <c r="BA40" s="25"/>
      <c r="BB40" s="25"/>
      <c r="BC40" s="25"/>
      <c r="BD40" s="25"/>
      <c r="BE40" s="25"/>
      <c r="BF40" s="25"/>
      <c r="BG40" s="25"/>
      <c r="BH40" s="25"/>
      <c r="BI40" s="25"/>
      <c r="BJ40" s="26"/>
      <c r="BK40" s="4"/>
      <c r="BM40" t="s">
        <v>896</v>
      </c>
      <c r="BP40" t="str">
        <f t="shared" si="1"/>
        <v>,`IsItemManualDiscountProhibition` char(1)  COMMENT '手動アイテム値引禁止フラグ'</v>
      </c>
      <c r="BQ40" t="s">
        <v>626</v>
      </c>
      <c r="BR40" t="str">
        <f t="shared" si="5"/>
        <v xml:space="preserve">,`IsItemManualDiscountProhibition` char(1) </v>
      </c>
      <c r="BS40" t="s">
        <v>626</v>
      </c>
      <c r="BT40" t="str">
        <f t="shared" si="6"/>
        <v>,`IsItemManualDiscountProhibition` = if(nullif( @15,'') &gt; '', @15, null )</v>
      </c>
      <c r="BU40" t="s">
        <v>626</v>
      </c>
      <c r="BV40" s="97" t="str">
        <f t="shared" si="2"/>
        <v>,A.`IsItemManualDiscountProhibition` = B.`IsItemManualDiscountProhibition`</v>
      </c>
      <c r="BW40" t="s">
        <v>626</v>
      </c>
      <c r="BX40" s="97" t="str">
        <f t="shared" si="3"/>
        <v>,`IsItemManualDiscountProhibition`</v>
      </c>
      <c r="BY40" t="s">
        <v>626</v>
      </c>
      <c r="BZ40" s="97" t="str">
        <f t="shared" si="4"/>
        <v>,`IsItemManualDiscountProhibition`</v>
      </c>
      <c r="CA40" t="s">
        <v>626</v>
      </c>
    </row>
    <row r="41" spans="1:79" ht="15" customHeight="1">
      <c r="A41" s="100" t="s">
        <v>978</v>
      </c>
      <c r="B41" s="23">
        <f t="shared" si="0"/>
        <v>21</v>
      </c>
      <c r="C41" s="24"/>
      <c r="D41" s="22" t="s">
        <v>387</v>
      </c>
      <c r="E41" s="25"/>
      <c r="F41" s="25"/>
      <c r="G41" s="25"/>
      <c r="H41" s="25"/>
      <c r="I41" s="25"/>
      <c r="J41" s="25"/>
      <c r="K41" s="25"/>
      <c r="L41" s="25"/>
      <c r="M41" s="25"/>
      <c r="N41" s="25"/>
      <c r="O41" s="25"/>
      <c r="P41" s="25"/>
      <c r="Q41" s="26"/>
      <c r="R41" s="22" t="s">
        <v>422</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char(1)</v>
      </c>
      <c r="AD41" s="25"/>
      <c r="AE41" s="25"/>
      <c r="AF41" s="25"/>
      <c r="AG41" s="26"/>
      <c r="AH41" s="22"/>
      <c r="AI41" s="26"/>
      <c r="AJ41" s="22"/>
      <c r="AK41" s="25"/>
      <c r="AL41" s="26"/>
      <c r="AM41" s="22"/>
      <c r="AN41" s="25"/>
      <c r="AO41" s="25"/>
      <c r="AP41" s="25"/>
      <c r="AQ41" s="25"/>
      <c r="AR41" s="25"/>
      <c r="AS41" s="26"/>
      <c r="AT41" s="99" t="s">
        <v>481</v>
      </c>
      <c r="AU41" s="25"/>
      <c r="AV41" s="25"/>
      <c r="AW41" s="25"/>
      <c r="AX41" s="25"/>
      <c r="AY41" s="25"/>
      <c r="AZ41" s="25"/>
      <c r="BA41" s="25"/>
      <c r="BB41" s="25"/>
      <c r="BC41" s="25"/>
      <c r="BD41" s="25"/>
      <c r="BE41" s="25"/>
      <c r="BF41" s="25"/>
      <c r="BG41" s="25"/>
      <c r="BH41" s="25"/>
      <c r="BI41" s="25"/>
      <c r="BJ41" s="26"/>
      <c r="BK41" s="4"/>
      <c r="BM41" t="s">
        <v>896</v>
      </c>
      <c r="BP41" t="str">
        <f t="shared" si="1"/>
        <v>,`IsSubTotalDiscountProhibition` char(1)  COMMENT '小計値引禁止フラグ'</v>
      </c>
      <c r="BQ41" t="s">
        <v>626</v>
      </c>
      <c r="BR41" t="str">
        <f t="shared" si="5"/>
        <v xml:space="preserve">,`IsSubTotalDiscountProhibition` char(1) </v>
      </c>
      <c r="BS41" t="s">
        <v>626</v>
      </c>
      <c r="BT41" t="str">
        <f t="shared" si="6"/>
        <v>,`IsSubTotalDiscountProhibition` = if(nullif( @16,'') &gt; '', @16, null )</v>
      </c>
      <c r="BU41" t="s">
        <v>626</v>
      </c>
      <c r="BV41" s="97" t="str">
        <f t="shared" si="2"/>
        <v>,A.`IsSubTotalDiscountProhibition` = B.`IsSubTotalDiscountProhibition`</v>
      </c>
      <c r="BW41" t="s">
        <v>626</v>
      </c>
      <c r="BX41" s="97" t="str">
        <f t="shared" si="3"/>
        <v>,`IsSubTotalDiscountProhibition`</v>
      </c>
      <c r="BY41" t="s">
        <v>626</v>
      </c>
      <c r="BZ41" s="97" t="str">
        <f t="shared" si="4"/>
        <v>,`IsSubTotalDiscountProhibition`</v>
      </c>
      <c r="CA41" t="s">
        <v>626</v>
      </c>
    </row>
    <row r="42" spans="1:79" ht="15" customHeight="1">
      <c r="A42" s="100" t="s">
        <v>979</v>
      </c>
      <c r="B42" s="23">
        <f t="shared" si="0"/>
        <v>22</v>
      </c>
      <c r="C42" s="24"/>
      <c r="D42" s="22" t="s">
        <v>388</v>
      </c>
      <c r="E42" s="25"/>
      <c r="F42" s="25"/>
      <c r="G42" s="25"/>
      <c r="H42" s="25"/>
      <c r="I42" s="25"/>
      <c r="J42" s="25"/>
      <c r="K42" s="25"/>
      <c r="L42" s="25"/>
      <c r="M42" s="25"/>
      <c r="N42" s="25"/>
      <c r="O42" s="25"/>
      <c r="P42" s="25"/>
      <c r="Q42" s="26"/>
      <c r="R42" s="22" t="s">
        <v>423</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char(1)</v>
      </c>
      <c r="AD42" s="25"/>
      <c r="AE42" s="25"/>
      <c r="AF42" s="25"/>
      <c r="AG42" s="26"/>
      <c r="AH42" s="22"/>
      <c r="AI42" s="26"/>
      <c r="AJ42" s="22"/>
      <c r="AK42" s="25"/>
      <c r="AL42" s="26"/>
      <c r="AM42" s="22"/>
      <c r="AN42" s="25"/>
      <c r="AO42" s="25"/>
      <c r="AP42" s="25"/>
      <c r="AQ42" s="25"/>
      <c r="AR42" s="25"/>
      <c r="AS42" s="26"/>
      <c r="AT42" s="22" t="s">
        <v>482</v>
      </c>
      <c r="AU42" s="25"/>
      <c r="AV42" s="25"/>
      <c r="AW42" s="25"/>
      <c r="AX42" s="25"/>
      <c r="AY42" s="25"/>
      <c r="AZ42" s="25"/>
      <c r="BA42" s="25"/>
      <c r="BB42" s="25"/>
      <c r="BC42" s="25"/>
      <c r="BD42" s="25"/>
      <c r="BE42" s="25"/>
      <c r="BF42" s="25"/>
      <c r="BG42" s="25"/>
      <c r="BH42" s="25"/>
      <c r="BI42" s="25"/>
      <c r="BJ42" s="26"/>
      <c r="BK42" s="4"/>
      <c r="BM42" t="s">
        <v>896</v>
      </c>
      <c r="BP42" t="str">
        <f t="shared" si="1"/>
        <v>,`IsChangePriceProhibition` char(1)  COMMENT '売価変更禁止フラグ'</v>
      </c>
      <c r="BQ42" t="s">
        <v>626</v>
      </c>
      <c r="BR42" t="str">
        <f t="shared" si="5"/>
        <v xml:space="preserve">,`IsChangePriceProhibition` char(1) </v>
      </c>
      <c r="BS42" t="s">
        <v>626</v>
      </c>
      <c r="BT42" t="str">
        <f t="shared" si="6"/>
        <v>,`IsChangePriceProhibition` = if(nullif( @17,'') &gt; '', @17, null )</v>
      </c>
      <c r="BU42" t="s">
        <v>626</v>
      </c>
      <c r="BV42" s="97" t="str">
        <f t="shared" si="2"/>
        <v>,A.`IsChangePriceProhibition` = B.`IsChangePriceProhibition`</v>
      </c>
      <c r="BW42" t="s">
        <v>626</v>
      </c>
      <c r="BX42" s="97" t="str">
        <f t="shared" si="3"/>
        <v>,`IsChangePriceProhibition`</v>
      </c>
      <c r="BY42" t="s">
        <v>626</v>
      </c>
      <c r="BZ42" s="97" t="str">
        <f t="shared" si="4"/>
        <v>,`IsChangePriceProhibition`</v>
      </c>
      <c r="CA42" t="s">
        <v>626</v>
      </c>
    </row>
    <row r="43" spans="1:79" ht="15" customHeight="1">
      <c r="A43" s="100" t="s">
        <v>980</v>
      </c>
      <c r="B43" s="23">
        <f t="shared" si="0"/>
        <v>23</v>
      </c>
      <c r="C43" s="24"/>
      <c r="D43" s="22" t="s">
        <v>392</v>
      </c>
      <c r="E43" s="25"/>
      <c r="F43" s="25"/>
      <c r="G43" s="25"/>
      <c r="H43" s="25"/>
      <c r="I43" s="25"/>
      <c r="J43" s="25"/>
      <c r="K43" s="25"/>
      <c r="L43" s="25"/>
      <c r="M43" s="25"/>
      <c r="N43" s="25"/>
      <c r="O43" s="25"/>
      <c r="P43" s="25"/>
      <c r="Q43" s="26"/>
      <c r="R43" s="22" t="s">
        <v>427</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varchar(2)</v>
      </c>
      <c r="AD43" s="25"/>
      <c r="AE43" s="25"/>
      <c r="AF43" s="25"/>
      <c r="AG43" s="26"/>
      <c r="AH43" s="22"/>
      <c r="AI43" s="26"/>
      <c r="AJ43" s="22"/>
      <c r="AK43" s="25"/>
      <c r="AL43" s="26"/>
      <c r="AM43" s="22"/>
      <c r="AN43" s="25"/>
      <c r="AO43" s="25"/>
      <c r="AP43" s="25"/>
      <c r="AQ43" s="25"/>
      <c r="AR43" s="25"/>
      <c r="AS43" s="26"/>
      <c r="AT43" s="22" t="s">
        <v>483</v>
      </c>
      <c r="AU43" s="25"/>
      <c r="AV43" s="25"/>
      <c r="AW43" s="25"/>
      <c r="AX43" s="25"/>
      <c r="AY43" s="25"/>
      <c r="AZ43" s="25"/>
      <c r="BA43" s="25"/>
      <c r="BB43" s="25"/>
      <c r="BC43" s="25"/>
      <c r="BD43" s="25"/>
      <c r="BE43" s="25"/>
      <c r="BF43" s="25"/>
      <c r="BG43" s="25"/>
      <c r="BH43" s="25"/>
      <c r="BI43" s="25"/>
      <c r="BJ43" s="26"/>
      <c r="BK43" s="4"/>
      <c r="BM43" t="s">
        <v>888</v>
      </c>
      <c r="BN43">
        <v>2</v>
      </c>
      <c r="BP43" t="str">
        <f t="shared" si="1"/>
        <v>,`SalesRestrictionItemArea` varchar(2)  COMMENT '販売制限商品区分'</v>
      </c>
      <c r="BQ43" t="s">
        <v>626</v>
      </c>
      <c r="BR43" t="str">
        <f t="shared" si="5"/>
        <v xml:space="preserve">,`SalesRestrictionItemArea` varchar(2) </v>
      </c>
      <c r="BS43" t="s">
        <v>626</v>
      </c>
      <c r="BT43" t="str">
        <f t="shared" si="6"/>
        <v>,`SalesRestrictionItemArea` = if(nullif( @18,'') &gt; '', @18, null )</v>
      </c>
      <c r="BU43" t="s">
        <v>626</v>
      </c>
      <c r="BV43" s="97" t="str">
        <f t="shared" si="2"/>
        <v>,A.`SalesRestrictionItemArea` = B.`SalesRestrictionItemArea`</v>
      </c>
      <c r="BW43" t="s">
        <v>626</v>
      </c>
      <c r="BX43" s="97" t="str">
        <f t="shared" si="3"/>
        <v>,`SalesRestrictionItemArea`</v>
      </c>
      <c r="BY43" t="s">
        <v>626</v>
      </c>
      <c r="BZ43" s="97" t="str">
        <f t="shared" si="4"/>
        <v>,`SalesRestrictionItemArea`</v>
      </c>
      <c r="CA43" t="s">
        <v>626</v>
      </c>
    </row>
    <row r="44" spans="1:79" ht="15" customHeight="1">
      <c r="A44" s="100" t="s">
        <v>981</v>
      </c>
      <c r="B44" s="23">
        <f t="shared" si="0"/>
        <v>24</v>
      </c>
      <c r="C44" s="24"/>
      <c r="D44" s="22" t="s">
        <v>459</v>
      </c>
      <c r="E44" s="25"/>
      <c r="F44" s="25"/>
      <c r="G44" s="25"/>
      <c r="H44" s="25"/>
      <c r="I44" s="25"/>
      <c r="J44" s="25"/>
      <c r="K44" s="25"/>
      <c r="L44" s="25"/>
      <c r="M44" s="25"/>
      <c r="N44" s="25"/>
      <c r="O44" s="25"/>
      <c r="P44" s="25"/>
      <c r="Q44" s="26"/>
      <c r="R44" s="22" t="s">
        <v>428</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int</v>
      </c>
      <c r="AD44" s="25"/>
      <c r="AE44" s="25"/>
      <c r="AF44" s="25"/>
      <c r="AG44" s="26"/>
      <c r="AH44" s="22"/>
      <c r="AI44" s="26"/>
      <c r="AJ44" s="22"/>
      <c r="AK44" s="25"/>
      <c r="AL44" s="26"/>
      <c r="AM44" s="22"/>
      <c r="AN44" s="25"/>
      <c r="AO44" s="25"/>
      <c r="AP44" s="25"/>
      <c r="AQ44" s="25"/>
      <c r="AR44" s="25"/>
      <c r="AS44" s="26"/>
      <c r="AT44" s="22" t="s">
        <v>484</v>
      </c>
      <c r="AU44" s="25"/>
      <c r="AV44" s="25"/>
      <c r="AW44" s="25"/>
      <c r="AX44" s="25"/>
      <c r="AY44" s="25"/>
      <c r="AZ44" s="25"/>
      <c r="BA44" s="25"/>
      <c r="BB44" s="25"/>
      <c r="BC44" s="25"/>
      <c r="BD44" s="25"/>
      <c r="BE44" s="25"/>
      <c r="BF44" s="25"/>
      <c r="BG44" s="25"/>
      <c r="BH44" s="25"/>
      <c r="BI44" s="25"/>
      <c r="BJ44" s="26"/>
      <c r="BK44" s="4"/>
      <c r="BM44" t="s">
        <v>437</v>
      </c>
      <c r="BP44" t="str">
        <f t="shared" si="1"/>
        <v>,`SalesAlertAge` int  COMMENT '販売制限年齢'</v>
      </c>
      <c r="BQ44" t="s">
        <v>626</v>
      </c>
      <c r="BR44" t="str">
        <f t="shared" si="5"/>
        <v xml:space="preserve">,`SalesAlertAge` int </v>
      </c>
      <c r="BS44" t="s">
        <v>626</v>
      </c>
      <c r="BT44" t="str">
        <f t="shared" si="6"/>
        <v>,`SalesAlertAge` = if(nullif( @19,'') &gt; '', @19, null )</v>
      </c>
      <c r="BU44" t="s">
        <v>626</v>
      </c>
      <c r="BV44" s="97" t="str">
        <f t="shared" si="2"/>
        <v>,A.`SalesAlertAge` = B.`SalesAlertAge`</v>
      </c>
      <c r="BW44" t="s">
        <v>626</v>
      </c>
      <c r="BX44" s="97" t="str">
        <f t="shared" si="3"/>
        <v>,`SalesAlertAge`</v>
      </c>
      <c r="BY44" t="s">
        <v>626</v>
      </c>
      <c r="BZ44" s="97" t="str">
        <f t="shared" si="4"/>
        <v>,`SalesAlertAge`</v>
      </c>
      <c r="CA44" t="s">
        <v>626</v>
      </c>
    </row>
    <row r="45" spans="1:79" ht="15" customHeight="1">
      <c r="A45" s="100" t="s">
        <v>982</v>
      </c>
      <c r="B45" s="23">
        <f t="shared" si="0"/>
        <v>25</v>
      </c>
      <c r="C45" s="24"/>
      <c r="D45" s="22" t="s">
        <v>394</v>
      </c>
      <c r="E45" s="25"/>
      <c r="F45" s="25"/>
      <c r="G45" s="25"/>
      <c r="H45" s="25"/>
      <c r="I45" s="25"/>
      <c r="J45" s="25"/>
      <c r="K45" s="25"/>
      <c r="L45" s="25"/>
      <c r="M45" s="25"/>
      <c r="N45" s="25"/>
      <c r="O45" s="25"/>
      <c r="P45" s="25"/>
      <c r="Q45" s="26"/>
      <c r="R45" s="22" t="s">
        <v>429</v>
      </c>
      <c r="S45" s="25"/>
      <c r="T45" s="25"/>
      <c r="U45" s="25"/>
      <c r="V45" s="25"/>
      <c r="W45" s="25"/>
      <c r="X45" s="25"/>
      <c r="Y45" s="25"/>
      <c r="Z45" s="25"/>
      <c r="AA45" s="25"/>
      <c r="AB45" s="26"/>
      <c r="AC45" s="22" t="str" cm="1">
        <f t="array" ref="AC45">_xlfn.SWITCH(BM45,"nvarchar","varchar("&amp;BN45&amp;")","smallint","smallint","date","date","money","decimal(19,4)","numeric","numeric("&amp;BN45&amp;")","int","int","bit","char(1)","datetime2","datetime","time","time")</f>
        <v>char(1)</v>
      </c>
      <c r="AD45" s="25"/>
      <c r="AE45" s="25"/>
      <c r="AF45" s="25"/>
      <c r="AG45" s="26"/>
      <c r="AH45" s="22"/>
      <c r="AI45" s="26"/>
      <c r="AJ45" s="22"/>
      <c r="AK45" s="25"/>
      <c r="AL45" s="26"/>
      <c r="AM45" s="22"/>
      <c r="AN45" s="25"/>
      <c r="AO45" s="25"/>
      <c r="AP45" s="25"/>
      <c r="AQ45" s="25"/>
      <c r="AR45" s="25"/>
      <c r="AS45" s="26"/>
      <c r="AT45" s="22" t="s">
        <v>485</v>
      </c>
      <c r="AU45" s="25"/>
      <c r="AV45" s="25"/>
      <c r="AW45" s="25"/>
      <c r="AX45" s="25"/>
      <c r="AY45" s="25"/>
      <c r="AZ45" s="25"/>
      <c r="BA45" s="25"/>
      <c r="BB45" s="25"/>
      <c r="BC45" s="25"/>
      <c r="BD45" s="25"/>
      <c r="BE45" s="25"/>
      <c r="BF45" s="25"/>
      <c r="BG45" s="25"/>
      <c r="BH45" s="25"/>
      <c r="BI45" s="25"/>
      <c r="BJ45" s="26"/>
      <c r="BK45" s="4"/>
      <c r="BM45" t="s">
        <v>896</v>
      </c>
      <c r="BP45" t="str">
        <f t="shared" si="1"/>
        <v>,`IsWarrantyReceiptPrint` char(1)  COMMENT '保証書発行フラグ'</v>
      </c>
      <c r="BQ45" t="s">
        <v>626</v>
      </c>
      <c r="BR45" t="str">
        <f t="shared" si="5"/>
        <v xml:space="preserve">,`IsWarrantyReceiptPrint` char(1) </v>
      </c>
      <c r="BS45" t="s">
        <v>626</v>
      </c>
      <c r="BT45" t="str">
        <f t="shared" si="6"/>
        <v>,`IsWarrantyReceiptPrint` = if(nullif( @20,'') &gt; '', @20, null )</v>
      </c>
      <c r="BU45" t="s">
        <v>626</v>
      </c>
      <c r="BV45" s="97" t="str">
        <f t="shared" si="2"/>
        <v>,A.`IsWarrantyReceiptPrint` = B.`IsWarrantyReceiptPrint`</v>
      </c>
      <c r="BW45" t="s">
        <v>626</v>
      </c>
      <c r="BX45" s="97" t="str">
        <f t="shared" si="3"/>
        <v>,`IsWarrantyReceiptPrint`</v>
      </c>
      <c r="BY45" t="s">
        <v>626</v>
      </c>
      <c r="BZ45" s="97" t="str">
        <f t="shared" si="4"/>
        <v>,`IsWarrantyReceiptPrint`</v>
      </c>
      <c r="CA45" t="s">
        <v>626</v>
      </c>
    </row>
    <row r="46" spans="1:79" ht="15" customHeight="1">
      <c r="A46" s="100" t="s">
        <v>983</v>
      </c>
      <c r="B46" s="23">
        <f t="shared" si="0"/>
        <v>26</v>
      </c>
      <c r="C46" s="24"/>
      <c r="D46" s="22" t="s">
        <v>391</v>
      </c>
      <c r="E46" s="25"/>
      <c r="F46" s="25"/>
      <c r="G46" s="25"/>
      <c r="H46" s="25"/>
      <c r="I46" s="25"/>
      <c r="J46" s="25"/>
      <c r="K46" s="25"/>
      <c r="L46" s="25"/>
      <c r="M46" s="25"/>
      <c r="N46" s="25"/>
      <c r="O46" s="25"/>
      <c r="P46" s="25"/>
      <c r="Q46" s="26"/>
      <c r="R46" s="22" t="s">
        <v>426</v>
      </c>
      <c r="S46" s="25"/>
      <c r="T46" s="25"/>
      <c r="U46" s="25"/>
      <c r="V46" s="25"/>
      <c r="W46" s="25"/>
      <c r="X46" s="25"/>
      <c r="Y46" s="25"/>
      <c r="Z46" s="25"/>
      <c r="AA46" s="25"/>
      <c r="AB46" s="26"/>
      <c r="AC46" s="22" t="str" cm="1">
        <f t="array" ref="AC46">_xlfn.SWITCH(BM46,"nvarchar","varchar("&amp;BN46&amp;")","smallint","smallint","date","date","money","decimal(19,4)","numeric","numeric("&amp;BN46&amp;")","int","int","bit","char(1)","datetime2","datetime","time","time")</f>
        <v>char(1)</v>
      </c>
      <c r="AD46" s="25"/>
      <c r="AE46" s="25"/>
      <c r="AF46" s="25"/>
      <c r="AG46" s="26"/>
      <c r="AH46" s="22"/>
      <c r="AI46" s="26"/>
      <c r="AJ46" s="22"/>
      <c r="AK46" s="25"/>
      <c r="AL46" s="26"/>
      <c r="AM46" s="22"/>
      <c r="AN46" s="25"/>
      <c r="AO46" s="25"/>
      <c r="AP46" s="25"/>
      <c r="AQ46" s="25"/>
      <c r="AR46" s="25"/>
      <c r="AS46" s="26"/>
      <c r="AT46" s="22" t="s">
        <v>486</v>
      </c>
      <c r="AU46" s="25"/>
      <c r="AV46" s="25"/>
      <c r="AW46" s="25"/>
      <c r="AX46" s="25"/>
      <c r="AY46" s="25"/>
      <c r="AZ46" s="25"/>
      <c r="BA46" s="25"/>
      <c r="BB46" s="25"/>
      <c r="BC46" s="25"/>
      <c r="BD46" s="25"/>
      <c r="BE46" s="25"/>
      <c r="BF46" s="25"/>
      <c r="BG46" s="25"/>
      <c r="BH46" s="25"/>
      <c r="BI46" s="25"/>
      <c r="BJ46" s="26"/>
      <c r="BK46" s="4"/>
      <c r="BM46" t="s">
        <v>896</v>
      </c>
      <c r="BP46" t="str">
        <f t="shared" si="1"/>
        <v>,`IsPointProhibition` char(1)  COMMENT 'ポイント除外フラグ'</v>
      </c>
      <c r="BQ46" t="s">
        <v>626</v>
      </c>
      <c r="BR46" t="str">
        <f t="shared" si="5"/>
        <v xml:space="preserve">,`IsPointProhibition` char(1) </v>
      </c>
      <c r="BS46" t="s">
        <v>626</v>
      </c>
      <c r="BT46" t="str">
        <f t="shared" si="6"/>
        <v>,`IsPointProhibition` = if(nullif( @21,'') &gt; '', @21, null )</v>
      </c>
      <c r="BU46" t="s">
        <v>626</v>
      </c>
      <c r="BV46" s="97" t="str">
        <f t="shared" si="2"/>
        <v>,A.`IsPointProhibition` = B.`IsPointProhibition`</v>
      </c>
      <c r="BW46" t="s">
        <v>626</v>
      </c>
      <c r="BX46" s="97" t="str">
        <f t="shared" si="3"/>
        <v>,`IsPointProhibition`</v>
      </c>
      <c r="BY46" t="s">
        <v>626</v>
      </c>
      <c r="BZ46" s="97" t="str">
        <f t="shared" si="4"/>
        <v>,`IsPointProhibition`</v>
      </c>
      <c r="CA46" t="s">
        <v>626</v>
      </c>
    </row>
    <row r="47" spans="1:79" ht="15" customHeight="1">
      <c r="A47" s="100" t="s">
        <v>984</v>
      </c>
      <c r="B47" s="23">
        <f t="shared" si="0"/>
        <v>27</v>
      </c>
      <c r="C47" s="24"/>
      <c r="D47" s="22" t="s">
        <v>460</v>
      </c>
      <c r="E47" s="25"/>
      <c r="F47" s="25"/>
      <c r="G47" s="25"/>
      <c r="H47" s="25"/>
      <c r="I47" s="25"/>
      <c r="J47" s="25"/>
      <c r="K47" s="25"/>
      <c r="L47" s="25"/>
      <c r="M47" s="25"/>
      <c r="N47" s="25"/>
      <c r="O47" s="25"/>
      <c r="P47" s="25"/>
      <c r="Q47" s="26"/>
      <c r="R47" s="22" t="s">
        <v>466</v>
      </c>
      <c r="S47" s="25"/>
      <c r="T47" s="25"/>
      <c r="U47" s="25"/>
      <c r="V47" s="25"/>
      <c r="W47" s="25"/>
      <c r="X47" s="25"/>
      <c r="Y47" s="25"/>
      <c r="Z47" s="25"/>
      <c r="AA47" s="25"/>
      <c r="AB47" s="26"/>
      <c r="AC47" s="22" t="str" cm="1">
        <f t="array" ref="AC47">_xlfn.SWITCH(BM47,"nvarchar","varchar("&amp;BN47&amp;")","smallint","smallint","date","date","money","decimal(19,4)","numeric","numeric("&amp;BN47&amp;")","int","int","bit","char(1)","datetime2","datetime","time","time")</f>
        <v>numeric(5, 2)</v>
      </c>
      <c r="AD47" s="25"/>
      <c r="AE47" s="25"/>
      <c r="AF47" s="25"/>
      <c r="AG47" s="26"/>
      <c r="AH47" s="22"/>
      <c r="AI47" s="26"/>
      <c r="AJ47" s="22" t="s">
        <v>885</v>
      </c>
      <c r="AK47" s="25"/>
      <c r="AL47" s="26"/>
      <c r="AM47" s="22"/>
      <c r="AN47" s="25"/>
      <c r="AO47" s="25"/>
      <c r="AP47" s="25"/>
      <c r="AQ47" s="25"/>
      <c r="AR47" s="25"/>
      <c r="AS47" s="26"/>
      <c r="AT47" s="22" t="s">
        <v>487</v>
      </c>
      <c r="AU47" s="25"/>
      <c r="AV47" s="25"/>
      <c r="AW47" s="25"/>
      <c r="AX47" s="25"/>
      <c r="AY47" s="25"/>
      <c r="AZ47" s="25"/>
      <c r="BA47" s="25"/>
      <c r="BB47" s="25"/>
      <c r="BC47" s="25"/>
      <c r="BD47" s="25"/>
      <c r="BE47" s="25"/>
      <c r="BF47" s="25"/>
      <c r="BG47" s="25"/>
      <c r="BH47" s="25"/>
      <c r="BI47" s="25"/>
      <c r="BJ47" s="26"/>
      <c r="BK47" s="4"/>
      <c r="BM47" t="s">
        <v>892</v>
      </c>
      <c r="BN47" t="s">
        <v>893</v>
      </c>
      <c r="BP47" t="str">
        <f t="shared" si="1"/>
        <v>,`PointRate` numeric(5, 2) NOT NULL COMMENT 'ポイント率'</v>
      </c>
      <c r="BQ47" t="s">
        <v>626</v>
      </c>
      <c r="BR47" t="str">
        <f t="shared" si="5"/>
        <v>,`PointRate` numeric(5, 2) NOT NULL</v>
      </c>
      <c r="BS47" t="s">
        <v>626</v>
      </c>
      <c r="BT47" t="str">
        <f t="shared" si="6"/>
        <v>,`PointRate` = if(nullif( @22,'') &gt; '', @22, null )</v>
      </c>
      <c r="BU47" t="s">
        <v>626</v>
      </c>
      <c r="BV47" s="97" t="str">
        <f t="shared" si="2"/>
        <v>,A.`PointRate` = B.`PointRate`</v>
      </c>
      <c r="BW47" t="s">
        <v>626</v>
      </c>
      <c r="BX47" s="97" t="str">
        <f t="shared" si="3"/>
        <v>,`PointRate`</v>
      </c>
      <c r="BY47" t="s">
        <v>626</v>
      </c>
      <c r="BZ47" s="97" t="str">
        <f t="shared" si="4"/>
        <v>,`PointRate`</v>
      </c>
      <c r="CA47" t="s">
        <v>626</v>
      </c>
    </row>
    <row r="48" spans="1:79" ht="15" customHeight="1">
      <c r="A48" s="100" t="s">
        <v>985</v>
      </c>
      <c r="B48" s="23">
        <f t="shared" si="0"/>
        <v>28</v>
      </c>
      <c r="C48" s="24"/>
      <c r="D48" s="22" t="s">
        <v>461</v>
      </c>
      <c r="E48" s="25"/>
      <c r="F48" s="25"/>
      <c r="G48" s="25"/>
      <c r="H48" s="25"/>
      <c r="I48" s="25"/>
      <c r="J48" s="25"/>
      <c r="K48" s="25"/>
      <c r="L48" s="25"/>
      <c r="M48" s="25"/>
      <c r="N48" s="25"/>
      <c r="O48" s="25"/>
      <c r="P48" s="25"/>
      <c r="Q48" s="26"/>
      <c r="R48" s="22" t="s">
        <v>467</v>
      </c>
      <c r="S48" s="25"/>
      <c r="T48" s="25"/>
      <c r="U48" s="25"/>
      <c r="V48" s="25"/>
      <c r="W48" s="25"/>
      <c r="X48" s="25"/>
      <c r="Y48" s="25"/>
      <c r="Z48" s="25"/>
      <c r="AA48" s="25"/>
      <c r="AB48" s="26"/>
      <c r="AC48" s="22" t="str" cm="1">
        <f t="array" ref="AC48">_xlfn.SWITCH(BM48,"nvarchar","varchar("&amp;BN48&amp;")","smallint","smallint","date","date","money","decimal(19,4)","numeric","numeric("&amp;BN48&amp;")","int","int","bit","char(1)","datetime2","datetime","time","time")</f>
        <v>numeric(5, 2)</v>
      </c>
      <c r="AD48" s="25"/>
      <c r="AE48" s="25"/>
      <c r="AF48" s="25"/>
      <c r="AG48" s="26"/>
      <c r="AH48" s="22"/>
      <c r="AI48" s="26"/>
      <c r="AJ48" s="22" t="s">
        <v>885</v>
      </c>
      <c r="AK48" s="25"/>
      <c r="AL48" s="26"/>
      <c r="AM48" s="22"/>
      <c r="AN48" s="25"/>
      <c r="AO48" s="25"/>
      <c r="AP48" s="25"/>
      <c r="AQ48" s="25"/>
      <c r="AR48" s="25"/>
      <c r="AS48" s="26"/>
      <c r="AT48" s="22" t="s">
        <v>488</v>
      </c>
      <c r="AU48" s="25"/>
      <c r="AV48" s="25"/>
      <c r="AW48" s="25"/>
      <c r="AX48" s="25"/>
      <c r="AY48" s="25"/>
      <c r="AZ48" s="25"/>
      <c r="BA48" s="25"/>
      <c r="BB48" s="25"/>
      <c r="BC48" s="25"/>
      <c r="BD48" s="25"/>
      <c r="BE48" s="25"/>
      <c r="BF48" s="25"/>
      <c r="BG48" s="25"/>
      <c r="BH48" s="25"/>
      <c r="BI48" s="25"/>
      <c r="BJ48" s="26"/>
      <c r="BK48" s="4"/>
      <c r="BM48" t="s">
        <v>892</v>
      </c>
      <c r="BN48" t="s">
        <v>893</v>
      </c>
      <c r="BP48" t="str">
        <f t="shared" si="1"/>
        <v>,`CostRate` numeric(5, 2) NOT NULL COMMENT '原価率'</v>
      </c>
      <c r="BQ48" t="s">
        <v>626</v>
      </c>
      <c r="BR48" t="str">
        <f t="shared" si="5"/>
        <v>,`CostRate` numeric(5, 2) NOT NULL</v>
      </c>
      <c r="BS48" t="s">
        <v>626</v>
      </c>
      <c r="BT48" t="str">
        <f t="shared" si="6"/>
        <v>,`CostRate` = if(nullif( @23,'') &gt; '', @23, null )</v>
      </c>
      <c r="BU48" t="s">
        <v>626</v>
      </c>
      <c r="BV48" s="97" t="str">
        <f t="shared" si="2"/>
        <v>,A.`CostRate` = B.`CostRate`</v>
      </c>
      <c r="BW48" t="s">
        <v>626</v>
      </c>
      <c r="BX48" s="97" t="str">
        <f t="shared" si="3"/>
        <v>,`CostRate`</v>
      </c>
      <c r="BY48" t="s">
        <v>626</v>
      </c>
      <c r="BZ48" s="97" t="str">
        <f t="shared" si="4"/>
        <v>,`CostRate`</v>
      </c>
      <c r="CA48" t="s">
        <v>626</v>
      </c>
    </row>
    <row r="49" spans="1:79" ht="15" customHeight="1">
      <c r="A49" s="100" t="s">
        <v>986</v>
      </c>
      <c r="B49" s="28">
        <f t="shared" si="0"/>
        <v>29</v>
      </c>
      <c r="C49" s="29"/>
      <c r="D49" s="30" t="s">
        <v>396</v>
      </c>
      <c r="E49" s="31"/>
      <c r="F49" s="31"/>
      <c r="G49" s="31"/>
      <c r="H49" s="31"/>
      <c r="I49" s="31"/>
      <c r="J49" s="31"/>
      <c r="K49" s="31"/>
      <c r="L49" s="31"/>
      <c r="M49" s="31"/>
      <c r="N49" s="31"/>
      <c r="O49" s="31"/>
      <c r="P49" s="31"/>
      <c r="Q49" s="32"/>
      <c r="R49" s="30" t="s">
        <v>431</v>
      </c>
      <c r="S49" s="31"/>
      <c r="T49" s="31"/>
      <c r="U49" s="31"/>
      <c r="V49" s="31"/>
      <c r="W49" s="31"/>
      <c r="X49" s="31"/>
      <c r="Y49" s="31"/>
      <c r="Z49" s="31"/>
      <c r="AA49" s="31"/>
      <c r="AB49" s="32"/>
      <c r="AC49" s="30" t="str" cm="1">
        <f t="array" ref="AC49">_xlfn.SWITCH(BM49,"nvarchar","varchar("&amp;BN49&amp;")","smallint","smallint","date","date","money","decimal(19,4)","numeric","numeric("&amp;BN49&amp;")","int","int","bit","char(1)","datetime2","datetime","time","time")</f>
        <v>int</v>
      </c>
      <c r="AD49" s="31"/>
      <c r="AE49" s="31"/>
      <c r="AF49" s="31"/>
      <c r="AG49" s="32"/>
      <c r="AH49" s="30"/>
      <c r="AI49" s="32"/>
      <c r="AJ49" s="30"/>
      <c r="AK49" s="31"/>
      <c r="AL49" s="32"/>
      <c r="AM49" s="30"/>
      <c r="AN49" s="31"/>
      <c r="AO49" s="31"/>
      <c r="AP49" s="31"/>
      <c r="AQ49" s="31"/>
      <c r="AR49" s="31"/>
      <c r="AS49" s="32"/>
      <c r="AT49" s="30" t="s">
        <v>489</v>
      </c>
      <c r="AU49" s="31"/>
      <c r="AV49" s="31"/>
      <c r="AW49" s="31"/>
      <c r="AX49" s="31"/>
      <c r="AY49" s="31"/>
      <c r="AZ49" s="31"/>
      <c r="BA49" s="31"/>
      <c r="BB49" s="31"/>
      <c r="BC49" s="31"/>
      <c r="BD49" s="31"/>
      <c r="BE49" s="31"/>
      <c r="BF49" s="31"/>
      <c r="BG49" s="31"/>
      <c r="BH49" s="31"/>
      <c r="BI49" s="31"/>
      <c r="BJ49" s="32"/>
      <c r="BK49" s="4"/>
      <c r="BM49" t="s">
        <v>437</v>
      </c>
      <c r="BP49" t="str">
        <f t="shared" si="1"/>
        <v>,`TaxFreeType` int  COMMENT '消費税免税タイプ'</v>
      </c>
      <c r="BQ49" t="s">
        <v>626</v>
      </c>
      <c r="BR49" t="str">
        <f t="shared" si="5"/>
        <v xml:space="preserve">,`TaxFreeType` int </v>
      </c>
      <c r="BS49" t="s">
        <v>626</v>
      </c>
      <c r="BT49" t="str">
        <f t="shared" si="6"/>
        <v>,`TaxFreeType` = if(nullif( @24,'') &gt; '', @24, null )</v>
      </c>
      <c r="BU49" t="s">
        <v>626</v>
      </c>
      <c r="BV49" s="97" t="str">
        <f t="shared" si="2"/>
        <v>,A.`TaxFreeType` = B.`TaxFreeType`</v>
      </c>
      <c r="BW49" t="s">
        <v>626</v>
      </c>
      <c r="BX49" s="97" t="str">
        <f t="shared" si="3"/>
        <v>,`TaxFreeType`</v>
      </c>
      <c r="BY49" t="s">
        <v>626</v>
      </c>
      <c r="BZ49" s="97" t="str">
        <f t="shared" si="4"/>
        <v>,`TaxFreeType`</v>
      </c>
      <c r="CA49" t="s">
        <v>626</v>
      </c>
    </row>
    <row r="50" spans="1:79" ht="15" customHeight="1">
      <c r="A50" s="100"/>
      <c r="BK50" s="4"/>
      <c r="BP50"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(`CompanyCode`,`StoreCode`,`MDHierarchyCode`,`MDHierarchyLevel`,`ApplyDate`),</v>
      </c>
      <c r="BQ50" t="s">
        <v>626</v>
      </c>
      <c r="BR50"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(`CompanyCode`,`StoreCode`,`MDHierarchyCode`,`MDHierarchyLevel`,`ApplyDate`)</v>
      </c>
      <c r="BS50" t="s">
        <v>626</v>
      </c>
      <c r="BT50" s="97" t="s">
        <v>936</v>
      </c>
      <c r="BU50" t="s">
        <v>626</v>
      </c>
      <c r="BV50" s="97" t="s">
        <v>934</v>
      </c>
      <c r="BW50" t="s">
        <v>626</v>
      </c>
      <c r="BY50" t="s">
        <v>626</v>
      </c>
      <c r="BZ50" s="97" t="str">
        <f>"FROM `TMP`.`"&amp;$G$10&amp;"` A"</f>
        <v>FROM `TMP`.`MDHierarchyMaster` A</v>
      </c>
      <c r="CA50" t="s">
        <v>626</v>
      </c>
    </row>
    <row r="51" spans="1:79" ht="15" customHeight="1">
      <c r="A51" s="100"/>
      <c r="BK51" s="4"/>
      <c r="BP51" s="97" t="s">
        <v>452</v>
      </c>
      <c r="BQ51" t="s">
        <v>626</v>
      </c>
      <c r="BR51" s="97" t="str">
        <f>") ENGINE=InnoDB DEFAULT CHARSET=utf8mb4 COLLATE=utf8mb4_0900_ai_ci COMMENT = '"&amp;$G$9&amp;"_TMP';"</f>
        <v>) ENGINE=InnoDB DEFAULT CHARSET=utf8mb4 COLLATE=utf8mb4_0900_ai_ci COMMENT = '分類マスタ_TMP';</v>
      </c>
      <c r="BS51" t="s">
        <v>626</v>
      </c>
      <c r="BU51" t="s">
        <v>626</v>
      </c>
      <c r="BV51" s="97" t="str">
        <f>IF(_xlfn.XLOOKUP(1,$AH:$AH,$R:$R,"",0)="","","A.`"&amp;_xlfn.XLOOKUP(1,$AH:$AH,$R:$R,"",0)&amp;"` = B.`"&amp;_xlfn.XLOOKUP(1,$AH:$AH,$R:$R,"",0)&amp;"`")</f>
        <v>A.`CompanyCode` = B.`CompanyCode`</v>
      </c>
      <c r="BW51" t="s">
        <v>626</v>
      </c>
      <c r="BY51" t="s">
        <v>626</v>
      </c>
      <c r="BZ51" s="97" t="s">
        <v>935</v>
      </c>
      <c r="CA51" t="s">
        <v>626</v>
      </c>
    </row>
    <row r="52" spans="1:79" ht="15" customHeight="1">
      <c r="A52" s="100"/>
      <c r="B52" s="37" t="s">
        <v>49</v>
      </c>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4"/>
      <c r="BP52" s="97" t="str">
        <f>") ENGINE=InnoDB DEFAULT CHARSET=utf8mb4 COLLATE=utf8mb4_0900_ai_ci COMMENT = '"&amp;$G$9&amp;"';"</f>
        <v>) ENGINE=InnoDB DEFAULT CHARSET=utf8mb4 COLLATE=utf8mb4_0900_ai_ci COMMENT = '分類マスタ';</v>
      </c>
      <c r="BQ52" t="s">
        <v>626</v>
      </c>
      <c r="BS52" t="s">
        <v>626</v>
      </c>
      <c r="BU52" t="s">
        <v>626</v>
      </c>
      <c r="BV52" s="97" t="str">
        <f>IF(_xlfn.XLOOKUP(2,$AH:$AH,$R:$R,"",0)="","","AND A.`"&amp;_xlfn.XLOOKUP(2,$AH:$AH,$R:$R,"",0)&amp;"` = B.`"&amp;_xlfn.XLOOKUP(2,$AH:$AH,$R:$R,"",0)&amp;"`")</f>
        <v>AND A.`StoreCode` = B.`StoreCode`</v>
      </c>
      <c r="BW52" t="s">
        <v>626</v>
      </c>
      <c r="BY52" t="s">
        <v>626</v>
      </c>
      <c r="BZ52" s="97" t="str">
        <f>"FROM `POS_MASTER`.`"&amp;$G$10&amp;"` B"</f>
        <v>FROM `POS_MASTER`.`MDHierarchyMaster` B</v>
      </c>
      <c r="CA52" t="s">
        <v>626</v>
      </c>
    </row>
    <row r="53" spans="1:79" ht="15" customHeight="1">
      <c r="A53" s="100"/>
      <c r="B53" s="34" t="s">
        <v>50</v>
      </c>
      <c r="C53" s="35"/>
      <c r="D53" s="34" t="s">
        <v>51</v>
      </c>
      <c r="E53" s="44"/>
      <c r="F53" s="36"/>
      <c r="G53" s="36"/>
      <c r="H53" s="36"/>
      <c r="I53" s="36"/>
      <c r="J53" s="36"/>
      <c r="K53" s="36"/>
      <c r="L53" s="36"/>
      <c r="M53" s="36"/>
      <c r="N53" s="36"/>
      <c r="O53" s="36"/>
      <c r="P53" s="36"/>
      <c r="Q53" s="35"/>
      <c r="R53" s="34" t="s">
        <v>52</v>
      </c>
      <c r="S53" s="44"/>
      <c r="T53" s="36"/>
      <c r="U53" s="36"/>
      <c r="V53" s="36"/>
      <c r="W53" s="36"/>
      <c r="X53" s="36"/>
      <c r="Y53" s="36"/>
      <c r="Z53" s="36"/>
      <c r="AA53" s="36"/>
      <c r="AB53" s="36"/>
      <c r="AC53" s="36"/>
      <c r="AD53" s="36"/>
      <c r="AE53" s="36"/>
      <c r="AF53" s="36"/>
      <c r="AG53" s="36"/>
      <c r="AH53" s="36"/>
      <c r="AI53" s="36"/>
      <c r="AJ53" s="36"/>
      <c r="AK53" s="35"/>
      <c r="AL53" s="34" t="s">
        <v>53</v>
      </c>
      <c r="AM53" s="36"/>
      <c r="AN53" s="36"/>
      <c r="AO53" s="45"/>
      <c r="AP53" s="34" t="s">
        <v>54</v>
      </c>
      <c r="AQ53" s="36"/>
      <c r="AR53" s="36"/>
      <c r="AS53" s="35"/>
      <c r="AT53" s="34" t="s">
        <v>48</v>
      </c>
      <c r="AU53" s="44"/>
      <c r="AV53" s="44"/>
      <c r="AW53" s="36"/>
      <c r="AX53" s="36"/>
      <c r="AY53" s="44"/>
      <c r="AZ53" s="36"/>
      <c r="BA53" s="36"/>
      <c r="BB53" s="36"/>
      <c r="BC53" s="36"/>
      <c r="BD53" s="36"/>
      <c r="BE53" s="36"/>
      <c r="BF53" s="36"/>
      <c r="BG53" s="36"/>
      <c r="BH53" s="36"/>
      <c r="BI53" s="44"/>
      <c r="BJ53" s="35"/>
      <c r="BK53" s="4"/>
      <c r="BP53" s="97"/>
      <c r="BQ53" t="s">
        <v>626</v>
      </c>
      <c r="BS53" t="s">
        <v>626</v>
      </c>
      <c r="BU53" t="s">
        <v>626</v>
      </c>
      <c r="BV53" s="97" t="str">
        <f>IF(_xlfn.XLOOKUP(3,$AH:$AH,$R:$R,"",0)="","","AND A.`"&amp;_xlfn.XLOOKUP(3,$AH:$AH,$R:$R,"",0)&amp;"` = B.`"&amp;_xlfn.XLOOKUP(3,$AH:$AH,$R:$R,"",0)&amp;"`")</f>
        <v>AND A.`MDHierarchyCode` = B.`MDHierarchyCode`</v>
      </c>
      <c r="BW53" t="s">
        <v>626</v>
      </c>
      <c r="BY53" t="s">
        <v>626</v>
      </c>
      <c r="BZ53" s="97" t="s">
        <v>932</v>
      </c>
      <c r="CA53" t="s">
        <v>626</v>
      </c>
    </row>
    <row r="54" spans="1:79" ht="15" customHeight="1">
      <c r="A54" s="100"/>
      <c r="B54" s="38">
        <v>1</v>
      </c>
      <c r="C54" s="39"/>
      <c r="D54" s="38" t="s">
        <v>55</v>
      </c>
      <c r="E54" s="46"/>
      <c r="F54" s="40"/>
      <c r="G54" s="40"/>
      <c r="H54" s="40"/>
      <c r="I54" s="40"/>
      <c r="J54" s="40"/>
      <c r="K54" s="40"/>
      <c r="L54" s="40"/>
      <c r="M54" s="40"/>
      <c r="N54" s="40"/>
      <c r="O54" s="40"/>
      <c r="P54" s="40"/>
      <c r="Q54" s="39"/>
      <c r="R54"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`CompanyCode`,`StoreCode`,`MDHierarchyCode`,`MDHierarchyLevel`,`ApplyDate`</v>
      </c>
      <c r="S54" s="46"/>
      <c r="T54" s="40"/>
      <c r="U54" s="40"/>
      <c r="V54" s="40"/>
      <c r="W54" s="40"/>
      <c r="X54" s="40"/>
      <c r="Y54" s="40"/>
      <c r="Z54" s="40"/>
      <c r="AA54" s="40"/>
      <c r="AB54" s="40"/>
      <c r="AC54" s="40"/>
      <c r="AD54" s="40"/>
      <c r="AE54" s="40"/>
      <c r="AF54" s="40"/>
      <c r="AG54" s="40"/>
      <c r="AH54" s="40"/>
      <c r="AI54" s="40"/>
      <c r="AJ54" s="40"/>
      <c r="AK54" s="39"/>
      <c r="AL54" s="38" t="s">
        <v>885</v>
      </c>
      <c r="AM54" s="40"/>
      <c r="AN54" s="40"/>
      <c r="AO54" s="47"/>
      <c r="AP54" s="38" t="s">
        <v>885</v>
      </c>
      <c r="AQ54" s="40"/>
      <c r="AR54" s="40"/>
      <c r="AS54" s="39"/>
      <c r="AT54" s="38"/>
      <c r="AU54" s="46"/>
      <c r="AV54" s="46"/>
      <c r="AW54" s="40"/>
      <c r="AX54" s="40"/>
      <c r="AY54" s="46"/>
      <c r="AZ54" s="40"/>
      <c r="BA54" s="40"/>
      <c r="BB54" s="40"/>
      <c r="BC54" s="40"/>
      <c r="BD54" s="40"/>
      <c r="BE54" s="40"/>
      <c r="BF54" s="40"/>
      <c r="BG54" s="40"/>
      <c r="BH54" s="40"/>
      <c r="BI54" s="46"/>
      <c r="BJ54" s="39"/>
      <c r="BK54" s="4"/>
      <c r="BP54" s="97" t="str">
        <f>"CREATE TRIGGER `"&amp;$G$10&amp;"_CR_Date_Time` BEFORE INSERT ON `"&amp;$G$10&amp;"` FOR EACH ROW SET NEW.record_create_date = CURRENT_DATE, NEW.record_create_time = CURRENT_TIME, NEW.record_update_date = CURRENT_DATE, NEW.record_update_time = CURRENT_TIME;"</f>
        <v>CREATE TRIGGER `MDHierarchyMaster_CR_Date_Time` BEFORE INSERT ON `MDHierarchyMaster` FOR EACH ROW SET NEW.record_create_date = CURRENT_DATE, NEW.record_create_time = CURRENT_TIME, NEW.record_update_date = CURRENT_DATE, NEW.record_update_time = CURRENT_TIME;</v>
      </c>
      <c r="BQ54" t="s">
        <v>626</v>
      </c>
      <c r="BS54" t="s">
        <v>626</v>
      </c>
      <c r="BU54" t="s">
        <v>626</v>
      </c>
      <c r="BV54" s="97" t="str">
        <f>IF(_xlfn.XLOOKUP(4,$AH:$AH,$R:$R,"",0)="","","AND A.`"&amp;_xlfn.XLOOKUP(4,$AH:$AH,$R:$R,"",0)&amp;"` = B.`"&amp;_xlfn.XLOOKUP(4,$AH:$AH,$R:$R,"",0)&amp;"`")</f>
        <v>AND A.`MDHierarchyLevel` = B.`MDHierarchyLevel`</v>
      </c>
      <c r="BW54" t="s">
        <v>626</v>
      </c>
      <c r="BY54" t="s">
        <v>626</v>
      </c>
      <c r="BZ54" s="97" t="str">
        <f>IF(_xlfn.XLOOKUP(1,$AH:$AH,$R:$R,"",0)="","","A.`"&amp;_xlfn.XLOOKUP(1,$AH:$AH,$R:$R,"",0)&amp;"` = B.`"&amp;_xlfn.XLOOKUP(1,$AH:$AH,$R:$R,"",0)&amp;"`")</f>
        <v>A.`CompanyCode` = B.`CompanyCode`</v>
      </c>
      <c r="CA54" t="s">
        <v>626</v>
      </c>
    </row>
    <row r="55" spans="1:79" ht="15" customHeight="1">
      <c r="A55" s="100"/>
      <c r="BK55" s="4"/>
      <c r="BP55" s="97" t="str">
        <f>"CREATE TRIGGER `"&amp;$G$10&amp;"_UP_Date_Time` BEFORE UPDATE ON `"&amp;$G$10&amp;"` FOR EACH ROW SET NEW.record_update_date = CURRENT_DATE, NEW.record_update_time = CURRENT_TIME;"</f>
        <v>CREATE TRIGGER `MDHierarchyMaster_UP_Date_Time` BEFORE UPDATE ON `MDHierarchyMaster` FOR EACH ROW SET NEW.record_update_date = CURRENT_DATE, NEW.record_update_time = CURRENT_TIME;</v>
      </c>
      <c r="BQ55" t="s">
        <v>626</v>
      </c>
      <c r="BS55" t="s">
        <v>626</v>
      </c>
      <c r="BU55" t="s">
        <v>626</v>
      </c>
      <c r="BV55" s="97" t="str">
        <f>IF(_xlfn.XLOOKUP(5,$AH:$AH,$R:$R,"",0)="","","AND A.`"&amp;_xlfn.XLOOKUP(5,$AH:$AH,$R:$R,"",0)&amp;"` = B.`"&amp;_xlfn.XLOOKUP(5,$AH:$AH,$R:$R,"",0)&amp;"`")</f>
        <v>AND A.`ApplyDate` = B.`ApplyDate`</v>
      </c>
      <c r="BW55" t="s">
        <v>626</v>
      </c>
      <c r="BY55" t="s">
        <v>626</v>
      </c>
      <c r="BZ55" s="97" t="str">
        <f>IF(_xlfn.XLOOKUP(2,$AH:$AH,$R:$R,"",0)="","","AND A.`"&amp;_xlfn.XLOOKUP(2,$AH:$AH,$R:$R,"",0)&amp;"` = B.`"&amp;_xlfn.XLOOKUP(2,$AH:$AH,$R:$R,"",0)&amp;"`")</f>
        <v>AND A.`StoreCode` = B.`StoreCode`</v>
      </c>
      <c r="CA55" t="s">
        <v>626</v>
      </c>
    </row>
    <row r="56" spans="1:79" ht="15" customHeight="1">
      <c r="A56" s="100"/>
      <c r="BK56" s="4"/>
      <c r="BQ56" t="s">
        <v>626</v>
      </c>
      <c r="BS56" t="s">
        <v>626</v>
      </c>
      <c r="BU56" t="s">
        <v>626</v>
      </c>
      <c r="BV56" s="97" t="str">
        <f>IF(_xlfn.XLOOKUP(6,$AH:$AH,$R:$R,"",0)="","","AND A.`"&amp;_xlfn.XLOOKUP(6,$AH:$AH,$R:$R,"",0)&amp;"` = B.`"&amp;_xlfn.XLOOKUP(6,$AH:$AH,$R:$R,"",0)&amp;"`")</f>
        <v/>
      </c>
      <c r="BW56" t="s">
        <v>626</v>
      </c>
      <c r="BY56" t="s">
        <v>626</v>
      </c>
      <c r="BZ56" s="97" t="str">
        <f>IF(_xlfn.XLOOKUP(3,$AH:$AH,$R:$R,"",0)="","","AND A.`"&amp;_xlfn.XLOOKUP(3,$AH:$AH,$R:$R,"",0)&amp;"` = B.`"&amp;_xlfn.XLOOKUP(3,$AH:$AH,$R:$R,"",0)&amp;"`")</f>
        <v>AND A.`MDHierarchyCode` = B.`MDHierarchyCode`</v>
      </c>
      <c r="CA56" t="s">
        <v>626</v>
      </c>
    </row>
    <row r="57" spans="1:79">
      <c r="A57" s="100"/>
      <c r="B57" s="37" t="s">
        <v>34</v>
      </c>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4"/>
      <c r="BQ57" t="s">
        <v>626</v>
      </c>
      <c r="BS57" t="s">
        <v>626</v>
      </c>
      <c r="BU57" t="s">
        <v>626</v>
      </c>
      <c r="BV57" s="97" t="str">
        <f>IF(_xlfn.XLOOKUP(7,$AH:$AH,$R:$R,"",0)="","","AND A.`"&amp;_xlfn.XLOOKUP(7,$AH:$AH,$R:$R,"",0)&amp;"` = B.`"&amp;_xlfn.XLOOKUP(7,$AH:$AH,$R:$R,"",0)&amp;"`")</f>
        <v/>
      </c>
      <c r="BW57" t="s">
        <v>626</v>
      </c>
      <c r="BY57" t="s">
        <v>626</v>
      </c>
      <c r="BZ57" s="97" t="str">
        <f>IF(_xlfn.XLOOKUP(4,$AH:$AH,$R:$R,"",0)="","","AND A.`"&amp;_xlfn.XLOOKUP(4,$AH:$AH,$R:$R,"",0)&amp;"` = B.`"&amp;_xlfn.XLOOKUP(4,$AH:$AH,$R:$R,"",0)&amp;"`")</f>
        <v>AND A.`MDHierarchyLevel` = B.`MDHierarchyLevel`</v>
      </c>
      <c r="CA57" t="s">
        <v>626</v>
      </c>
    </row>
    <row r="58" spans="1:79">
      <c r="A58" s="100"/>
      <c r="B58" s="34" t="s">
        <v>35</v>
      </c>
      <c r="C58" s="45"/>
      <c r="D58" s="34" t="s">
        <v>36</v>
      </c>
      <c r="E58" s="44"/>
      <c r="F58" s="44"/>
      <c r="G58" s="44"/>
      <c r="H58" s="44"/>
      <c r="I58" s="44"/>
      <c r="J58" s="44"/>
      <c r="K58" s="44"/>
      <c r="L58" s="36"/>
      <c r="M58" s="36"/>
      <c r="N58" s="36"/>
      <c r="O58" s="36"/>
      <c r="P58" s="36"/>
      <c r="Q58" s="35"/>
      <c r="R58" s="34" t="s">
        <v>37</v>
      </c>
      <c r="S58" s="36"/>
      <c r="T58" s="45"/>
      <c r="U58" s="34" t="s">
        <v>38</v>
      </c>
      <c r="V58" s="36"/>
      <c r="W58" s="44"/>
      <c r="X58" s="45"/>
      <c r="Y58" s="34" t="s">
        <v>39</v>
      </c>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5"/>
      <c r="BK58" s="4"/>
      <c r="BQ58" t="s">
        <v>626</v>
      </c>
      <c r="BS58" t="s">
        <v>626</v>
      </c>
      <c r="BU58" t="s">
        <v>626</v>
      </c>
      <c r="BV58" s="97" t="str">
        <f>IF(_xlfn.XLOOKUP(8,$AH:$AH,$R:$R,"",0)="","","AND A.`"&amp;_xlfn.XLOOKUP(8,$AH:$AH,$R:$R,"",0)&amp;"` = B.`"&amp;_xlfn.XLOOKUP(8,$AH:$AH,$R:$R,"",0)&amp;"`")</f>
        <v/>
      </c>
      <c r="BW58" t="s">
        <v>626</v>
      </c>
      <c r="BY58" t="s">
        <v>626</v>
      </c>
      <c r="BZ58" s="97" t="str">
        <f>IF(_xlfn.XLOOKUP(5,$AH:$AH,$R:$R,"",0)="","","AND A.`"&amp;_xlfn.XLOOKUP(5,$AH:$AH,$R:$R,"",0)&amp;"` = B.`"&amp;_xlfn.XLOOKUP(5,$AH:$AH,$R:$R,"",0)&amp;"`")</f>
        <v>AND A.`ApplyDate` = B.`ApplyDate`</v>
      </c>
      <c r="CA58" t="s">
        <v>626</v>
      </c>
    </row>
    <row r="59" spans="1:79">
      <c r="A59" s="100"/>
      <c r="B59" s="41">
        <v>1</v>
      </c>
      <c r="C59" s="47"/>
      <c r="D59" s="41" t="str">
        <f>G10&amp;"_"&amp;R59&amp;"_"&amp;"trg"</f>
        <v>MDHierarchyMaster_update_trg</v>
      </c>
      <c r="E59" s="46"/>
      <c r="F59" s="46"/>
      <c r="G59" s="46"/>
      <c r="H59" s="46"/>
      <c r="I59" s="46"/>
      <c r="J59" s="46"/>
      <c r="K59" s="46"/>
      <c r="L59" s="42"/>
      <c r="M59" s="42"/>
      <c r="N59" s="42"/>
      <c r="O59" s="42"/>
      <c r="P59" s="42"/>
      <c r="Q59" s="43"/>
      <c r="R59" s="41" t="s">
        <v>40</v>
      </c>
      <c r="S59" s="42"/>
      <c r="T59" s="47"/>
      <c r="U59" s="41" t="s">
        <v>41</v>
      </c>
      <c r="V59" s="42"/>
      <c r="W59" s="46"/>
      <c r="X59" s="47"/>
      <c r="Y59" s="41" t="s">
        <v>42</v>
      </c>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c r="BD59" s="42"/>
      <c r="BE59" s="42"/>
      <c r="BF59" s="42"/>
      <c r="BG59" s="42"/>
      <c r="BH59" s="42"/>
      <c r="BI59" s="42"/>
      <c r="BJ59" s="43"/>
      <c r="BK59" s="4"/>
      <c r="BQ59" t="s">
        <v>626</v>
      </c>
      <c r="BS59" t="s">
        <v>626</v>
      </c>
      <c r="BU59" t="s">
        <v>626</v>
      </c>
      <c r="BV59" s="97" t="s">
        <v>936</v>
      </c>
      <c r="BW59" t="s">
        <v>626</v>
      </c>
      <c r="BY59" t="s">
        <v>626</v>
      </c>
      <c r="BZ59" s="97" t="str">
        <f>IF(_xlfn.XLOOKUP(6,$AH:$AH,$R:$R,"",0)="","","AND A.`"&amp;_xlfn.XLOOKUP(6,$AH:$AH,$R:$R,"",0)&amp;"` = B.`"&amp;_xlfn.XLOOKUP(6,$AH:$AH,$R:$R,"",0)&amp;"`")</f>
        <v/>
      </c>
      <c r="CA59" t="s">
        <v>626</v>
      </c>
    </row>
    <row r="60" spans="1:79">
      <c r="A60" s="100"/>
      <c r="BK60" s="4"/>
      <c r="BQ60" t="s">
        <v>626</v>
      </c>
      <c r="BS60" t="s">
        <v>626</v>
      </c>
      <c r="BU60" t="s">
        <v>626</v>
      </c>
      <c r="BW60" t="s">
        <v>626</v>
      </c>
      <c r="BY60" t="s">
        <v>626</v>
      </c>
      <c r="BZ60" s="97" t="str">
        <f>IF(_xlfn.XLOOKUP(7,$AH:$AH,$R:$R,"",0)="","","AND A.`"&amp;_xlfn.XLOOKUP(7,$AH:$AH,$R:$R,"",0)&amp;"` = B.`"&amp;_xlfn.XLOOKUP(7,$AH:$AH,$R:$R,"",0)&amp;"`")</f>
        <v/>
      </c>
      <c r="CA60" t="s">
        <v>626</v>
      </c>
    </row>
    <row r="61" spans="1:79">
      <c r="A61" s="100"/>
      <c r="BK61" s="4"/>
      <c r="BQ61" t="s">
        <v>626</v>
      </c>
      <c r="BS61" t="s">
        <v>626</v>
      </c>
      <c r="BU61" t="s">
        <v>626</v>
      </c>
      <c r="BW61" t="s">
        <v>626</v>
      </c>
      <c r="BY61" t="s">
        <v>626</v>
      </c>
      <c r="BZ61" s="97" t="str">
        <f>IF(_xlfn.XLOOKUP(8,$AH:$AH,$R:$R,"",0)="","","AND A.`"&amp;_xlfn.XLOOKUP(8,$AH:$AH,$R:$R,"",0)&amp;"` = B.`"&amp;_xlfn.XLOOKUP(8,$AH:$AH,$R:$R,"",0)&amp;"`")</f>
        <v/>
      </c>
      <c r="CA61" t="s">
        <v>626</v>
      </c>
    </row>
    <row r="62" spans="1:79">
      <c r="A62" s="98"/>
      <c r="BK62" s="4"/>
      <c r="BQ62" t="s">
        <v>626</v>
      </c>
      <c r="BS62" t="s">
        <v>626</v>
      </c>
      <c r="BU62" t="s">
        <v>626</v>
      </c>
      <c r="BW62" t="s">
        <v>626</v>
      </c>
      <c r="BY62" t="s">
        <v>626</v>
      </c>
      <c r="BZ62" s="97" t="s">
        <v>929</v>
      </c>
      <c r="CA62" t="s">
        <v>626</v>
      </c>
    </row>
    <row r="63" spans="1:79">
      <c r="A63" s="1"/>
      <c r="BK63" s="4"/>
      <c r="BQ63" t="s">
        <v>626</v>
      </c>
      <c r="BS63" t="s">
        <v>626</v>
      </c>
      <c r="BU63" t="s">
        <v>626</v>
      </c>
      <c r="BW63" t="s">
        <v>626</v>
      </c>
      <c r="BY63" t="s">
        <v>626</v>
      </c>
      <c r="CA63" t="s">
        <v>626</v>
      </c>
    </row>
    <row r="64" spans="1:79">
      <c r="A64" s="1"/>
      <c r="BK64" s="4"/>
      <c r="BQ64" t="s">
        <v>626</v>
      </c>
      <c r="BS64" t="s">
        <v>626</v>
      </c>
      <c r="BU64" t="s">
        <v>626</v>
      </c>
      <c r="BW64" t="s">
        <v>626</v>
      </c>
      <c r="BY64" t="s">
        <v>626</v>
      </c>
      <c r="BZ64" s="98"/>
      <c r="CA64" t="s">
        <v>626</v>
      </c>
    </row>
    <row r="65" spans="1:79">
      <c r="A65" s="1"/>
      <c r="BK65" s="4"/>
      <c r="BQ65" t="s">
        <v>626</v>
      </c>
      <c r="BS65" t="s">
        <v>626</v>
      </c>
      <c r="BU65" t="s">
        <v>626</v>
      </c>
      <c r="BW65" t="s">
        <v>626</v>
      </c>
      <c r="BY65" t="s">
        <v>626</v>
      </c>
      <c r="BZ65" t="str">
        <f>"DROP TABLE IF EXISTS `TMP`.`"&amp;$G$10&amp;"`;"</f>
        <v>DROP TABLE IF EXISTS `TMP`.`MDHierarchyMaster`;</v>
      </c>
      <c r="CA65" t="s">
        <v>626</v>
      </c>
    </row>
    <row r="66" spans="1:79">
      <c r="A66" s="1"/>
      <c r="BK66" s="4"/>
      <c r="BQ66" t="s">
        <v>626</v>
      </c>
      <c r="BS66" t="s">
        <v>626</v>
      </c>
      <c r="BU66" t="s">
        <v>626</v>
      </c>
      <c r="BW66" t="s">
        <v>626</v>
      </c>
      <c r="BY66" t="s">
        <v>626</v>
      </c>
      <c r="BZ66" t="s">
        <v>937</v>
      </c>
      <c r="CA66" t="s">
        <v>626</v>
      </c>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B692-03D0-404C-BBBD-2518E758A482}">
  <dimension ref="A1:CA62"/>
  <sheetViews>
    <sheetView view="pageBreakPreview" topLeftCell="A4" zoomScale="80" zoomScaleNormal="75" zoomScaleSheetLayoutView="80" workbookViewId="0">
      <selection activeCell="BT24" sqref="BT24:BT35"/>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941</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942</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`POS_MASTER`.`MDHierarchyExMvkMaster`;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`POS_MASTER`.`MDHierarchyExMvkMaster`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4"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'C:/04_DATAFILE/MDHierarchyExMvkMaster/TMP/MDHierarchyExMvkMaster.CSV' </v>
      </c>
      <c r="BU24" t="s">
        <v>626</v>
      </c>
      <c r="BV24" s="97" t="str">
        <f>"UPDATE `POS_MASTER`.`"&amp;$G$10&amp;"` A,`TMP`.`"&amp;$G$10&amp;"` B"</f>
        <v>UPDATE `POS_MASTER`.`MDHierarchyExMvkMaster` A,`TMP`.`MDHierarchyExMvkMaster`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`TMP`.`MDHierarchyExMvkMaster`;</v>
      </c>
      <c r="BS25" t="s">
        <v>626</v>
      </c>
      <c r="BT25" s="97" t="str">
        <f>"REPLACE INTO TABLE TMP.`"&amp;$G$10&amp;"` CHARACTER SET 'UTF8'"</f>
        <v>REPLACE INTO TABLE TMP.`MDHierarchyExMvkMaster`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M26" t="s">
        <v>888</v>
      </c>
      <c r="BN26">
        <v>1</v>
      </c>
      <c r="BP26" s="97" t="s">
        <v>952</v>
      </c>
      <c r="BQ26" t="s">
        <v>626</v>
      </c>
      <c r="BR26" s="97" t="str">
        <f>"CREATE TABLE `TMP`.`"&amp;G10&amp;"` ("</f>
        <v>CREATE TABLE `TMP`.`MDHierarchyExMvkMaster`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v>
      </c>
      <c r="BU26" t="s">
        <v>626</v>
      </c>
      <c r="BV26" s="97"/>
      <c r="BW26" t="s">
        <v>626</v>
      </c>
      <c r="BX26" s="97" t="str">
        <f>"INSERT INTO `POS_MASTER`.`"&amp;$G$10&amp;"` ("</f>
        <v>INSERT INTO `POS_MASTER`.`MDHierarchyExMvkMaster`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4"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4" si="2">",A.`"&amp;R28&amp;"` = B.`"&amp;R28&amp;"`"</f>
        <v>,A.`StoreCode` = B.`StoreCode`</v>
      </c>
      <c r="BW28" t="s">
        <v>626</v>
      </c>
      <c r="BX28" s="97" t="str">
        <f t="shared" ref="BX28:BX34" si="3">",`"&amp;R28&amp;"`"</f>
        <v>,`StoreCode`</v>
      </c>
      <c r="BY28" t="s">
        <v>626</v>
      </c>
      <c r="BZ28" s="97" t="str">
        <f t="shared" ref="BZ28:BZ34" si="4">",`"&amp;R28&amp;"`"</f>
        <v>,`StoreCode`</v>
      </c>
      <c r="CA28" t="s">
        <v>626</v>
      </c>
    </row>
    <row r="29" spans="1:79" ht="15" customHeight="1">
      <c r="A29" s="100" t="s">
        <v>966</v>
      </c>
      <c r="B29" s="23">
        <f t="shared" si="0"/>
        <v>9</v>
      </c>
      <c r="C29" s="24"/>
      <c r="D29" s="22" t="s">
        <v>644</v>
      </c>
      <c r="E29" s="25"/>
      <c r="F29" s="25"/>
      <c r="G29" s="25"/>
      <c r="H29" s="25"/>
      <c r="I29" s="25"/>
      <c r="J29" s="25"/>
      <c r="K29" s="25"/>
      <c r="L29" s="25"/>
      <c r="M29" s="25"/>
      <c r="N29" s="25"/>
      <c r="O29" s="25"/>
      <c r="P29" s="25"/>
      <c r="Q29" s="26"/>
      <c r="R29" s="22" t="s">
        <v>462</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varchar(10)</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10</v>
      </c>
      <c r="BP29" t="str">
        <f t="shared" si="1"/>
        <v>,`MDHierarchyCode` varchar(10) NOT NULL COMMENT 'MD階層コード'</v>
      </c>
      <c r="BQ29" t="s">
        <v>626</v>
      </c>
      <c r="BR29" t="str">
        <f t="shared" ref="BR29:BR34" si="5">",`"&amp;R29&amp;"` "&amp;AC29&amp;" "&amp;IF(AJ29="Y","NOT NULL","")</f>
        <v>,`MDHierarchyCode` varchar(10) NOT NULL</v>
      </c>
      <c r="BS29" t="s">
        <v>626</v>
      </c>
      <c r="BT29" t="str">
        <f t="shared" ref="BT29:BT34" si="6">",`"&amp;R29&amp;"` = "&amp;IF(LEFT(AC29,4)="date", "if(@"&amp;B29-5&amp;" &gt; '0000-00-00 00:00:00', if(@"&amp;B29-5&amp;" &gt; '2999-12-31 23:59:59', '2999-12-31 23:59:59', @"&amp;B29-5&amp;"), null)","if(nullif( @"&amp;B29-5&amp;",'') &gt; '', @"&amp;B29-5&amp;", null )")</f>
        <v>,`MDHierarchyCode` = if(nullif( @4,'') &gt; '', @4, null )</v>
      </c>
      <c r="BU29" t="s">
        <v>626</v>
      </c>
      <c r="BV29" s="97" t="str">
        <f t="shared" si="2"/>
        <v>,A.`MDHierarchyCode` = B.`MDHierarchyCode`</v>
      </c>
      <c r="BW29" t="s">
        <v>626</v>
      </c>
      <c r="BX29" s="97" t="str">
        <f t="shared" si="3"/>
        <v>,`MDHierarchyCode`</v>
      </c>
      <c r="BY29" t="s">
        <v>626</v>
      </c>
      <c r="BZ29" s="97" t="str">
        <f t="shared" si="4"/>
        <v>,`MDHierarchyCode`</v>
      </c>
      <c r="CA29" t="s">
        <v>626</v>
      </c>
    </row>
    <row r="30" spans="1:79" ht="15" customHeight="1">
      <c r="A30" s="100" t="s">
        <v>967</v>
      </c>
      <c r="B30" s="23">
        <f t="shared" si="0"/>
        <v>10</v>
      </c>
      <c r="C30" s="24"/>
      <c r="D30" s="22" t="s">
        <v>645</v>
      </c>
      <c r="E30" s="25"/>
      <c r="F30" s="25"/>
      <c r="G30" s="25"/>
      <c r="H30" s="25"/>
      <c r="I30" s="25"/>
      <c r="J30" s="25"/>
      <c r="K30" s="25"/>
      <c r="L30" s="25"/>
      <c r="M30" s="25"/>
      <c r="N30" s="25"/>
      <c r="O30" s="25"/>
      <c r="P30" s="25"/>
      <c r="Q30" s="26"/>
      <c r="R30" s="22" t="s">
        <v>463</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int</v>
      </c>
      <c r="AD30" s="25"/>
      <c r="AE30" s="25"/>
      <c r="AF30" s="25"/>
      <c r="AG30" s="26"/>
      <c r="AH30" s="22">
        <v>4</v>
      </c>
      <c r="AI30" s="26"/>
      <c r="AJ30" s="22" t="s">
        <v>885</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
        <v>437</v>
      </c>
      <c r="BP30" t="str">
        <f t="shared" si="1"/>
        <v>,`MDHierarchyLevel` int NOT NULL COMMENT 'MD階層レベル'</v>
      </c>
      <c r="BQ30" t="s">
        <v>626</v>
      </c>
      <c r="BR30" t="str">
        <f t="shared" si="5"/>
        <v>,`MDHierarchyLevel` int NOT NULL</v>
      </c>
      <c r="BS30" t="s">
        <v>626</v>
      </c>
      <c r="BT30" t="str">
        <f t="shared" si="6"/>
        <v>,`MDHierarchyLevel` = if(nullif( @5,'') &gt; '', @5, null )</v>
      </c>
      <c r="BU30" t="s">
        <v>626</v>
      </c>
      <c r="BV30" s="97" t="str">
        <f t="shared" si="2"/>
        <v>,A.`MDHierarchyLevel` = B.`MDHierarchyLevel`</v>
      </c>
      <c r="BW30" t="s">
        <v>626</v>
      </c>
      <c r="BX30" s="97" t="str">
        <f t="shared" si="3"/>
        <v>,`MDHierarchyLevel`</v>
      </c>
      <c r="BY30" t="s">
        <v>626</v>
      </c>
      <c r="BZ30" s="97" t="str">
        <f t="shared" si="4"/>
        <v>,`MDHierarchyLevel`</v>
      </c>
      <c r="CA30" t="s">
        <v>626</v>
      </c>
    </row>
    <row r="31" spans="1:79" ht="15" customHeight="1">
      <c r="A31" s="100" t="s">
        <v>968</v>
      </c>
      <c r="B31" s="23">
        <f t="shared" si="0"/>
        <v>11</v>
      </c>
      <c r="C31" s="24"/>
      <c r="D31" s="22" t="s">
        <v>368</v>
      </c>
      <c r="E31" s="25"/>
      <c r="F31" s="25"/>
      <c r="G31" s="25"/>
      <c r="H31" s="25"/>
      <c r="I31" s="25"/>
      <c r="J31" s="25"/>
      <c r="K31" s="25"/>
      <c r="L31" s="25"/>
      <c r="M31" s="25"/>
      <c r="N31" s="25"/>
      <c r="O31" s="25"/>
      <c r="P31" s="25"/>
      <c r="Q31" s="26"/>
      <c r="R31" s="22" t="s">
        <v>403</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date</v>
      </c>
      <c r="AD31" s="25"/>
      <c r="AE31" s="25"/>
      <c r="AF31" s="25"/>
      <c r="AG31" s="26"/>
      <c r="AH31" s="22">
        <v>5</v>
      </c>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436</v>
      </c>
      <c r="BP31" t="str">
        <f t="shared" si="1"/>
        <v>,`ApplyDate` date NOT NULL COMMENT '適用日'</v>
      </c>
      <c r="BQ31" t="s">
        <v>626</v>
      </c>
      <c r="BR31" t="str">
        <f t="shared" si="5"/>
        <v>,`ApplyDate` date NOT NULL</v>
      </c>
      <c r="BS31" t="s">
        <v>626</v>
      </c>
      <c r="BT31" t="str">
        <f t="shared" si="6"/>
        <v>,`ApplyDate` = if(@6 &gt; '0000-00-00 00:00:00', if(@6 &gt; '2999-12-31 23:59:59', '2999-12-31 23:59:59', @6), null)</v>
      </c>
      <c r="BU31" t="s">
        <v>626</v>
      </c>
      <c r="BV31" s="97" t="str">
        <f t="shared" si="2"/>
        <v>,A.`ApplyDate` = B.`ApplyDate`</v>
      </c>
      <c r="BW31" t="s">
        <v>626</v>
      </c>
      <c r="BX31" s="97" t="str">
        <f t="shared" si="3"/>
        <v>,`ApplyDate`</v>
      </c>
      <c r="BY31" t="s">
        <v>626</v>
      </c>
      <c r="BZ31" s="97" t="str">
        <f t="shared" si="4"/>
        <v>,`ApplyDate`</v>
      </c>
      <c r="CA31" t="s">
        <v>626</v>
      </c>
    </row>
    <row r="32" spans="1:79" ht="15" customHeight="1">
      <c r="A32" s="100" t="s">
        <v>969</v>
      </c>
      <c r="B32" s="23">
        <f t="shared" si="0"/>
        <v>12</v>
      </c>
      <c r="C32" s="24"/>
      <c r="D32" s="22" t="s">
        <v>938</v>
      </c>
      <c r="E32" s="25"/>
      <c r="F32" s="25"/>
      <c r="G32" s="25"/>
      <c r="H32" s="25"/>
      <c r="I32" s="25"/>
      <c r="J32" s="25"/>
      <c r="K32" s="25"/>
      <c r="L32" s="25"/>
      <c r="M32" s="25"/>
      <c r="N32" s="25"/>
      <c r="O32" s="25"/>
      <c r="P32" s="25"/>
      <c r="Q32" s="26"/>
      <c r="R32" s="22" t="s">
        <v>943</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numeric(3, 0)</v>
      </c>
      <c r="AD32" s="25"/>
      <c r="AE32" s="25"/>
      <c r="AF32" s="25"/>
      <c r="AG32" s="26"/>
      <c r="AH32" s="22"/>
      <c r="AI32" s="26"/>
      <c r="AJ32" s="22"/>
      <c r="AK32" s="25"/>
      <c r="AL32" s="26"/>
      <c r="AM32" s="22"/>
      <c r="AN32" s="25"/>
      <c r="AO32" s="25"/>
      <c r="AP32" s="25"/>
      <c r="AQ32" s="25"/>
      <c r="AR32" s="25"/>
      <c r="AS32" s="26"/>
      <c r="AT32" s="22" t="s">
        <v>947</v>
      </c>
      <c r="AU32" s="25"/>
      <c r="AV32" s="25"/>
      <c r="AW32" s="25"/>
      <c r="AX32" s="25"/>
      <c r="AY32" s="25"/>
      <c r="AZ32" s="25"/>
      <c r="BA32" s="25"/>
      <c r="BB32" s="25"/>
      <c r="BC32" s="25"/>
      <c r="BD32" s="25"/>
      <c r="BE32" s="25"/>
      <c r="BF32" s="25"/>
      <c r="BG32" s="25"/>
      <c r="BH32" s="25"/>
      <c r="BI32" s="25"/>
      <c r="BJ32" s="26"/>
      <c r="BK32" s="4"/>
      <c r="BM32" t="s">
        <v>892</v>
      </c>
      <c r="BN32" t="s">
        <v>946</v>
      </c>
      <c r="BP32" t="str">
        <f t="shared" si="1"/>
        <v>,`WaonPointRate` numeric(3, 0)  COMMENT 'WAONポイント倍率'</v>
      </c>
      <c r="BQ32" t="s">
        <v>626</v>
      </c>
      <c r="BR32" t="str">
        <f t="shared" si="5"/>
        <v xml:space="preserve">,`WaonPointRate` numeric(3, 0) </v>
      </c>
      <c r="BS32" t="s">
        <v>626</v>
      </c>
      <c r="BT32" t="str">
        <f t="shared" si="6"/>
        <v>,`WaonPointRate` = if(nullif( @7,'') &gt; '', @7, null )</v>
      </c>
      <c r="BU32" t="s">
        <v>626</v>
      </c>
      <c r="BV32" s="97" t="str">
        <f t="shared" si="2"/>
        <v>,A.`WaonPointRate` = B.`WaonPointRate`</v>
      </c>
      <c r="BW32" t="s">
        <v>626</v>
      </c>
      <c r="BX32" s="97" t="str">
        <f t="shared" si="3"/>
        <v>,`WaonPointRate`</v>
      </c>
      <c r="BY32" t="s">
        <v>626</v>
      </c>
      <c r="BZ32" s="97" t="str">
        <f t="shared" si="4"/>
        <v>,`WaonPointRate`</v>
      </c>
      <c r="CA32" t="s">
        <v>626</v>
      </c>
    </row>
    <row r="33" spans="1:79" ht="15" customHeight="1">
      <c r="A33" s="100" t="s">
        <v>970</v>
      </c>
      <c r="B33" s="23">
        <f t="shared" si="0"/>
        <v>13</v>
      </c>
      <c r="C33" s="24"/>
      <c r="D33" s="22" t="s">
        <v>939</v>
      </c>
      <c r="E33" s="25"/>
      <c r="F33" s="25"/>
      <c r="G33" s="25"/>
      <c r="H33" s="25"/>
      <c r="I33" s="25"/>
      <c r="J33" s="25"/>
      <c r="K33" s="25"/>
      <c r="L33" s="25"/>
      <c r="M33" s="25"/>
      <c r="N33" s="25"/>
      <c r="O33" s="25"/>
      <c r="P33" s="25"/>
      <c r="Q33" s="26"/>
      <c r="R33" s="22" t="s">
        <v>944</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datetime</v>
      </c>
      <c r="AD33" s="25"/>
      <c r="AE33" s="25"/>
      <c r="AF33" s="25"/>
      <c r="AG33" s="26"/>
      <c r="AH33" s="22"/>
      <c r="AI33" s="26"/>
      <c r="AJ33" s="22"/>
      <c r="AK33" s="25"/>
      <c r="AL33" s="26"/>
      <c r="AM33" s="22"/>
      <c r="AN33" s="25"/>
      <c r="AO33" s="25"/>
      <c r="AP33" s="25"/>
      <c r="AQ33" s="25"/>
      <c r="AR33" s="25"/>
      <c r="AS33" s="26"/>
      <c r="AT33" s="22" t="s">
        <v>948</v>
      </c>
      <c r="AU33" s="25"/>
      <c r="AV33" s="25"/>
      <c r="AW33" s="25"/>
      <c r="AX33" s="25"/>
      <c r="AY33" s="25"/>
      <c r="AZ33" s="25"/>
      <c r="BA33" s="25"/>
      <c r="BB33" s="25"/>
      <c r="BC33" s="25"/>
      <c r="BD33" s="25"/>
      <c r="BE33" s="25"/>
      <c r="BF33" s="25"/>
      <c r="BG33" s="25"/>
      <c r="BH33" s="25"/>
      <c r="BI33" s="25"/>
      <c r="BJ33" s="26"/>
      <c r="BK33" s="4"/>
      <c r="BM33" t="s">
        <v>898</v>
      </c>
      <c r="BN33">
        <v>7</v>
      </c>
      <c r="BP33" t="str">
        <f t="shared" si="1"/>
        <v>,`WaonPointStartDateTime` datetime  COMMENT 'WAONポイント付与開始日時'</v>
      </c>
      <c r="BQ33" t="s">
        <v>626</v>
      </c>
      <c r="BR33" t="str">
        <f t="shared" si="5"/>
        <v xml:space="preserve">,`WaonPointStartDateTime` datetime </v>
      </c>
      <c r="BS33" t="s">
        <v>626</v>
      </c>
      <c r="BT33" t="str">
        <f t="shared" si="6"/>
        <v>,`WaonPointStartDateTime` = if(@8 &gt; '0000-00-00 00:00:00', if(@8 &gt; '2999-12-31 23:59:59', '2999-12-31 23:59:59', @8), null)</v>
      </c>
      <c r="BU33" t="s">
        <v>626</v>
      </c>
      <c r="BV33" s="97" t="str">
        <f t="shared" si="2"/>
        <v>,A.`WaonPointStartDateTime` = B.`WaonPointStartDateTime`</v>
      </c>
      <c r="BW33" t="s">
        <v>626</v>
      </c>
      <c r="BX33" s="97" t="str">
        <f t="shared" si="3"/>
        <v>,`WaonPointStartDateTime`</v>
      </c>
      <c r="BY33" t="s">
        <v>626</v>
      </c>
      <c r="BZ33" s="97" t="str">
        <f t="shared" si="4"/>
        <v>,`WaonPointStartDateTime`</v>
      </c>
      <c r="CA33" t="s">
        <v>626</v>
      </c>
    </row>
    <row r="34" spans="1:79" ht="15" customHeight="1">
      <c r="A34" s="100" t="s">
        <v>971</v>
      </c>
      <c r="B34" s="28">
        <f t="shared" si="0"/>
        <v>14</v>
      </c>
      <c r="C34" s="29"/>
      <c r="D34" s="30" t="s">
        <v>940</v>
      </c>
      <c r="E34" s="31"/>
      <c r="F34" s="31"/>
      <c r="G34" s="31"/>
      <c r="H34" s="31"/>
      <c r="I34" s="31"/>
      <c r="J34" s="31"/>
      <c r="K34" s="31"/>
      <c r="L34" s="31"/>
      <c r="M34" s="31"/>
      <c r="N34" s="31"/>
      <c r="O34" s="31"/>
      <c r="P34" s="31"/>
      <c r="Q34" s="32"/>
      <c r="R34" s="30" t="s">
        <v>945</v>
      </c>
      <c r="S34" s="31"/>
      <c r="T34" s="31"/>
      <c r="U34" s="31"/>
      <c r="V34" s="31"/>
      <c r="W34" s="31"/>
      <c r="X34" s="31"/>
      <c r="Y34" s="31"/>
      <c r="Z34" s="31"/>
      <c r="AA34" s="31"/>
      <c r="AB34" s="32"/>
      <c r="AC34" s="30" t="str" cm="1">
        <f t="array" ref="AC34">_xlfn.SWITCH(BM34,"nvarchar","varchar("&amp;BN34&amp;")","smallint","smallint","date","date","money","decimal(19,4)","numeric","numeric("&amp;BN34&amp;")","int","int","bit","char(1)","datetime2","datetime","time","time")</f>
        <v>datetime</v>
      </c>
      <c r="AD34" s="31"/>
      <c r="AE34" s="31"/>
      <c r="AF34" s="31"/>
      <c r="AG34" s="32"/>
      <c r="AH34" s="30"/>
      <c r="AI34" s="32"/>
      <c r="AJ34" s="30"/>
      <c r="AK34" s="31"/>
      <c r="AL34" s="32"/>
      <c r="AM34" s="30"/>
      <c r="AN34" s="31"/>
      <c r="AO34" s="31"/>
      <c r="AP34" s="31"/>
      <c r="AQ34" s="31"/>
      <c r="AR34" s="31"/>
      <c r="AS34" s="32"/>
      <c r="AT34" s="30" t="s">
        <v>949</v>
      </c>
      <c r="AU34" s="31"/>
      <c r="AV34" s="31"/>
      <c r="AW34" s="31"/>
      <c r="AX34" s="31"/>
      <c r="AY34" s="31"/>
      <c r="AZ34" s="31"/>
      <c r="BA34" s="31"/>
      <c r="BB34" s="31"/>
      <c r="BC34" s="31"/>
      <c r="BD34" s="31"/>
      <c r="BE34" s="31"/>
      <c r="BF34" s="31"/>
      <c r="BG34" s="31"/>
      <c r="BH34" s="31"/>
      <c r="BI34" s="31"/>
      <c r="BJ34" s="32"/>
      <c r="BK34" s="4"/>
      <c r="BM34" t="s">
        <v>898</v>
      </c>
      <c r="BN34">
        <v>7</v>
      </c>
      <c r="BP34" t="str">
        <f t="shared" si="1"/>
        <v>,`WaonPointEndDateTime` datetime  COMMENT 'WAONポイント付与終了日時'</v>
      </c>
      <c r="BQ34" t="s">
        <v>626</v>
      </c>
      <c r="BR34" t="str">
        <f t="shared" si="5"/>
        <v xml:space="preserve">,`WaonPointEndDateTime` datetime </v>
      </c>
      <c r="BS34" t="s">
        <v>626</v>
      </c>
      <c r="BT34" t="str">
        <f t="shared" si="6"/>
        <v>,`WaonPointEndDateTime` = if(@9 &gt; '0000-00-00 00:00:00', if(@9 &gt; '2999-12-31 23:59:59', '2999-12-31 23:59:59', @9), null)</v>
      </c>
      <c r="BU34" t="s">
        <v>626</v>
      </c>
      <c r="BV34" s="97" t="str">
        <f t="shared" si="2"/>
        <v>,A.`WaonPointEndDateTime` = B.`WaonPointEndDateTime`</v>
      </c>
      <c r="BW34" t="s">
        <v>626</v>
      </c>
      <c r="BX34" s="97" t="str">
        <f t="shared" si="3"/>
        <v>,`WaonPointEndDateTime`</v>
      </c>
      <c r="BY34" t="s">
        <v>626</v>
      </c>
      <c r="BZ34" s="97" t="str">
        <f t="shared" si="4"/>
        <v>,`WaonPointEndDateTime`</v>
      </c>
      <c r="CA34" t="s">
        <v>626</v>
      </c>
    </row>
    <row r="35" spans="1:79" ht="15" customHeight="1">
      <c r="A35" s="100"/>
      <c r="BK35" s="4"/>
      <c r="BP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(`CompanyCode`,`StoreCode`,`MDHierarchyCode`,`MDHierarchyLevel`,`ApplyDate`),</v>
      </c>
      <c r="BQ35" t="s">
        <v>626</v>
      </c>
      <c r="BR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(`CompanyCode`,`StoreCode`,`MDHierarchyCode`,`MDHierarchyLevel`,`ApplyDate`)</v>
      </c>
      <c r="BS35" t="s">
        <v>626</v>
      </c>
      <c r="BT35" s="97" t="s">
        <v>936</v>
      </c>
      <c r="BU35" t="s">
        <v>626</v>
      </c>
      <c r="BV35" s="97" t="s">
        <v>934</v>
      </c>
      <c r="BW35" t="s">
        <v>626</v>
      </c>
      <c r="BY35" t="s">
        <v>626</v>
      </c>
      <c r="BZ35" s="97" t="str">
        <f>"FROM `TMP`.`"&amp;$G$10&amp;"` A"</f>
        <v>FROM `TMP`.`MDHierarchyExMvkMaster` A</v>
      </c>
      <c r="CA35" t="s">
        <v>626</v>
      </c>
    </row>
    <row r="36" spans="1:79" ht="15" customHeight="1">
      <c r="A36" s="100"/>
      <c r="BK36" s="4"/>
      <c r="BP36" s="97" t="s">
        <v>452</v>
      </c>
      <c r="BQ36" t="s">
        <v>626</v>
      </c>
      <c r="BR36" s="97" t="str">
        <f>") ENGINE=InnoDB DEFAULT CHARSET=utf8mb4 COLLATE=utf8mb4_0900_ai_ci COMMENT = '"&amp;$G$9&amp;"_TMP';"</f>
        <v>) ENGINE=InnoDB DEFAULT CHARSET=utf8mb4 COLLATE=utf8mb4_0900_ai_ci COMMENT = '分類拡張マスタ_TMP';</v>
      </c>
      <c r="BS36" t="s">
        <v>626</v>
      </c>
      <c r="BU36" t="s">
        <v>626</v>
      </c>
      <c r="BV36" s="97" t="str">
        <f>IF(_xlfn.XLOOKUP(1,$AH:$AH,$R:$R,"",0)="","","A.`"&amp;_xlfn.XLOOKUP(1,$AH:$AH,$R:$R,"",0)&amp;"` = B.`"&amp;_xlfn.XLOOKUP(1,$AH:$AH,$R:$R,"",0)&amp;"`")</f>
        <v>A.`CompanyCode` = B.`CompanyCode`</v>
      </c>
      <c r="BW36" t="s">
        <v>626</v>
      </c>
      <c r="BY36" t="s">
        <v>626</v>
      </c>
      <c r="BZ36" s="97" t="s">
        <v>935</v>
      </c>
      <c r="CA36" t="s">
        <v>626</v>
      </c>
    </row>
    <row r="37" spans="1:79" ht="15" customHeight="1">
      <c r="A37" s="100"/>
      <c r="B37" s="37" t="s">
        <v>49</v>
      </c>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4"/>
      <c r="BP37" s="97" t="str">
        <f>") ENGINE=InnoDB DEFAULT CHARSET=utf8mb4 COLLATE=utf8mb4_0900_ai_ci COMMENT = '"&amp;$G$9&amp;"';"</f>
        <v>) ENGINE=InnoDB DEFAULT CHARSET=utf8mb4 COLLATE=utf8mb4_0900_ai_ci COMMENT = '分類拡張マスタ';</v>
      </c>
      <c r="BQ37" t="s">
        <v>626</v>
      </c>
      <c r="BS37" t="s">
        <v>626</v>
      </c>
      <c r="BU37" t="s">
        <v>626</v>
      </c>
      <c r="BV37" s="97" t="str">
        <f>IF(_xlfn.XLOOKUP(2,$AH:$AH,$R:$R,"",0)="","","AND A.`"&amp;_xlfn.XLOOKUP(2,$AH:$AH,$R:$R,"",0)&amp;"` = B.`"&amp;_xlfn.XLOOKUP(2,$AH:$AH,$R:$R,"",0)&amp;"`")</f>
        <v>AND A.`StoreCode` = B.`StoreCode`</v>
      </c>
      <c r="BW37" t="s">
        <v>626</v>
      </c>
      <c r="BY37" t="s">
        <v>626</v>
      </c>
      <c r="BZ37" s="97" t="str">
        <f>"FROM `POS_MASTER`.`"&amp;$G$10&amp;"` B"</f>
        <v>FROM `POS_MASTER`.`MDHierarchyExMvkMaster` B</v>
      </c>
      <c r="CA37" t="s">
        <v>626</v>
      </c>
    </row>
    <row r="38" spans="1:79" ht="15" customHeight="1">
      <c r="A38" s="100"/>
      <c r="B38" s="34" t="s">
        <v>50</v>
      </c>
      <c r="C38" s="35"/>
      <c r="D38" s="34" t="s">
        <v>51</v>
      </c>
      <c r="E38" s="44"/>
      <c r="F38" s="36"/>
      <c r="G38" s="36"/>
      <c r="H38" s="36"/>
      <c r="I38" s="36"/>
      <c r="J38" s="36"/>
      <c r="K38" s="36"/>
      <c r="L38" s="36"/>
      <c r="M38" s="36"/>
      <c r="N38" s="36"/>
      <c r="O38" s="36"/>
      <c r="P38" s="36"/>
      <c r="Q38" s="35"/>
      <c r="R38" s="34" t="s">
        <v>52</v>
      </c>
      <c r="S38" s="44"/>
      <c r="T38" s="36"/>
      <c r="U38" s="36"/>
      <c r="V38" s="36"/>
      <c r="W38" s="36"/>
      <c r="X38" s="36"/>
      <c r="Y38" s="36"/>
      <c r="Z38" s="36"/>
      <c r="AA38" s="36"/>
      <c r="AB38" s="36"/>
      <c r="AC38" s="36"/>
      <c r="AD38" s="36"/>
      <c r="AE38" s="36"/>
      <c r="AF38" s="36"/>
      <c r="AG38" s="36"/>
      <c r="AH38" s="36"/>
      <c r="AI38" s="36"/>
      <c r="AJ38" s="36"/>
      <c r="AK38" s="35"/>
      <c r="AL38" s="34" t="s">
        <v>53</v>
      </c>
      <c r="AM38" s="36"/>
      <c r="AN38" s="36"/>
      <c r="AO38" s="45"/>
      <c r="AP38" s="34" t="s">
        <v>54</v>
      </c>
      <c r="AQ38" s="36"/>
      <c r="AR38" s="36"/>
      <c r="AS38" s="35"/>
      <c r="AT38" s="34" t="s">
        <v>48</v>
      </c>
      <c r="AU38" s="44"/>
      <c r="AV38" s="44"/>
      <c r="AW38" s="36"/>
      <c r="AX38" s="36"/>
      <c r="AY38" s="44"/>
      <c r="AZ38" s="36"/>
      <c r="BA38" s="36"/>
      <c r="BB38" s="36"/>
      <c r="BC38" s="36"/>
      <c r="BD38" s="36"/>
      <c r="BE38" s="36"/>
      <c r="BF38" s="36"/>
      <c r="BG38" s="36"/>
      <c r="BH38" s="36"/>
      <c r="BI38" s="44"/>
      <c r="BJ38" s="35"/>
      <c r="BK38" s="4"/>
      <c r="BP38" s="97"/>
      <c r="BQ38" t="s">
        <v>626</v>
      </c>
      <c r="BS38" t="s">
        <v>626</v>
      </c>
      <c r="BU38" t="s">
        <v>626</v>
      </c>
      <c r="BV38" s="97" t="str">
        <f>IF(_xlfn.XLOOKUP(3,$AH:$AH,$R:$R,"",0)="","","AND A.`"&amp;_xlfn.XLOOKUP(3,$AH:$AH,$R:$R,"",0)&amp;"` = B.`"&amp;_xlfn.XLOOKUP(3,$AH:$AH,$R:$R,"",0)&amp;"`")</f>
        <v>AND A.`MDHierarchyCode` = B.`MDHierarchyCode`</v>
      </c>
      <c r="BW38" t="s">
        <v>626</v>
      </c>
      <c r="BY38" t="s">
        <v>626</v>
      </c>
      <c r="BZ38" s="97" t="s">
        <v>932</v>
      </c>
      <c r="CA38" t="s">
        <v>626</v>
      </c>
    </row>
    <row r="39" spans="1:79" ht="15" customHeight="1">
      <c r="A39" s="100"/>
      <c r="B39" s="38">
        <v>1</v>
      </c>
      <c r="C39" s="39"/>
      <c r="D39" s="38" t="s">
        <v>55</v>
      </c>
      <c r="E39" s="46"/>
      <c r="F39" s="40"/>
      <c r="G39" s="40"/>
      <c r="H39" s="40"/>
      <c r="I39" s="40"/>
      <c r="J39" s="40"/>
      <c r="K39" s="40"/>
      <c r="L39" s="40"/>
      <c r="M39" s="40"/>
      <c r="N39" s="40"/>
      <c r="O39" s="40"/>
      <c r="P39" s="40"/>
      <c r="Q39" s="39"/>
      <c r="R39"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`CompanyCode`,`StoreCode`,`MDHierarchyCode`,`MDHierarchyLevel`,`ApplyDate`</v>
      </c>
      <c r="S39" s="46"/>
      <c r="T39" s="40"/>
      <c r="U39" s="40"/>
      <c r="V39" s="40"/>
      <c r="W39" s="40"/>
      <c r="X39" s="40"/>
      <c r="Y39" s="40"/>
      <c r="Z39" s="40"/>
      <c r="AA39" s="40"/>
      <c r="AB39" s="40"/>
      <c r="AC39" s="40"/>
      <c r="AD39" s="40"/>
      <c r="AE39" s="40"/>
      <c r="AF39" s="40"/>
      <c r="AG39" s="40"/>
      <c r="AH39" s="40"/>
      <c r="AI39" s="40"/>
      <c r="AJ39" s="40"/>
      <c r="AK39" s="39"/>
      <c r="AL39" s="38" t="s">
        <v>885</v>
      </c>
      <c r="AM39" s="40"/>
      <c r="AN39" s="40"/>
      <c r="AO39" s="47"/>
      <c r="AP39" s="38" t="s">
        <v>885</v>
      </c>
      <c r="AQ39" s="40"/>
      <c r="AR39" s="40"/>
      <c r="AS39" s="39"/>
      <c r="AT39" s="38"/>
      <c r="AU39" s="46"/>
      <c r="AV39" s="46"/>
      <c r="AW39" s="40"/>
      <c r="AX39" s="40"/>
      <c r="AY39" s="46"/>
      <c r="AZ39" s="40"/>
      <c r="BA39" s="40"/>
      <c r="BB39" s="40"/>
      <c r="BC39" s="40"/>
      <c r="BD39" s="40"/>
      <c r="BE39" s="40"/>
      <c r="BF39" s="40"/>
      <c r="BG39" s="40"/>
      <c r="BH39" s="40"/>
      <c r="BI39" s="46"/>
      <c r="BJ39" s="39"/>
      <c r="BK39" s="4"/>
      <c r="BP39" s="97" t="str">
        <f>"CREATE TRIGGER `"&amp;$G$10&amp;"_CR_Date_Time` BEFORE INSERT ON `"&amp;$G$10&amp;"` FOR EACH ROW SET NEW.record_create_date = CURRENT_DATE, NEW.record_create_time = CURRENT_TIME, NEW.record_update_date = CURRENT_DATE, NEW.record_update_time = CURRENT_TIME;"</f>
        <v>CREATE TRIGGER `MDHierarchyExMvkMaster_CR_Date_Time` BEFORE INSERT ON `MDHierarchyExMvkMaster` FOR EACH ROW SET NEW.record_create_date = CURRENT_DATE, NEW.record_create_time = CURRENT_TIME, NEW.record_update_date = CURRENT_DATE, NEW.record_update_time = CURRENT_TIME;</v>
      </c>
      <c r="BQ39" t="s">
        <v>626</v>
      </c>
      <c r="BS39" t="s">
        <v>626</v>
      </c>
      <c r="BU39" t="s">
        <v>626</v>
      </c>
      <c r="BV39" s="97" t="str">
        <f>IF(_xlfn.XLOOKUP(4,$AH:$AH,$R:$R,"",0)="","","AND A.`"&amp;_xlfn.XLOOKUP(4,$AH:$AH,$R:$R,"",0)&amp;"` = B.`"&amp;_xlfn.XLOOKUP(4,$AH:$AH,$R:$R,"",0)&amp;"`")</f>
        <v>AND A.`MDHierarchyLevel` = B.`MDHierarchyLevel`</v>
      </c>
      <c r="BW39" t="s">
        <v>626</v>
      </c>
      <c r="BY39" t="s">
        <v>626</v>
      </c>
      <c r="BZ39" s="97" t="str">
        <f>IF(_xlfn.XLOOKUP(1,$AH:$AH,$R:$R,"",0)="","","A.`"&amp;_xlfn.XLOOKUP(1,$AH:$AH,$R:$R,"",0)&amp;"` = B.`"&amp;_xlfn.XLOOKUP(1,$AH:$AH,$R:$R,"",0)&amp;"`")</f>
        <v>A.`CompanyCode` = B.`CompanyCode`</v>
      </c>
      <c r="CA39" t="s">
        <v>626</v>
      </c>
    </row>
    <row r="40" spans="1:79" ht="15" customHeight="1">
      <c r="A40" s="100"/>
      <c r="BK40" s="4"/>
      <c r="BP40" s="97" t="str">
        <f>"CREATE TRIGGER `"&amp;$G$10&amp;"_UP_Date_Time` BEFORE UPDATE ON `"&amp;$G$10&amp;"` FOR EACH ROW SET NEW.record_update_date = CURRENT_DATE, NEW.record_update_time = CURRENT_TIME;"</f>
        <v>CREATE TRIGGER `MDHierarchyExMvkMaster_UP_Date_Time` BEFORE UPDATE ON `MDHierarchyExMvkMaster` FOR EACH ROW SET NEW.record_update_date = CURRENT_DATE, NEW.record_update_time = CURRENT_TIME;</v>
      </c>
      <c r="BQ40" t="s">
        <v>626</v>
      </c>
      <c r="BS40" t="s">
        <v>626</v>
      </c>
      <c r="BU40" t="s">
        <v>626</v>
      </c>
      <c r="BV40" s="97" t="str">
        <f>IF(_xlfn.XLOOKUP(5,$AH:$AH,$R:$R,"",0)="","","AND A.`"&amp;_xlfn.XLOOKUP(5,$AH:$AH,$R:$R,"",0)&amp;"` = B.`"&amp;_xlfn.XLOOKUP(5,$AH:$AH,$R:$R,"",0)&amp;"`")</f>
        <v>AND A.`ApplyDate` = B.`ApplyDate`</v>
      </c>
      <c r="BW40" t="s">
        <v>626</v>
      </c>
      <c r="BY40" t="s">
        <v>626</v>
      </c>
      <c r="BZ40" s="97" t="str">
        <f>IF(_xlfn.XLOOKUP(2,$AH:$AH,$R:$R,"",0)="","","AND A.`"&amp;_xlfn.XLOOKUP(2,$AH:$AH,$R:$R,"",0)&amp;"` = B.`"&amp;_xlfn.XLOOKUP(2,$AH:$AH,$R:$R,"",0)&amp;"`")</f>
        <v>AND A.`StoreCode` = B.`StoreCode`</v>
      </c>
      <c r="CA40" t="s">
        <v>626</v>
      </c>
    </row>
    <row r="41" spans="1:79" ht="15" customHeight="1">
      <c r="A41" s="100"/>
      <c r="BK41" s="4"/>
      <c r="BQ41" t="s">
        <v>626</v>
      </c>
      <c r="BS41" t="s">
        <v>626</v>
      </c>
      <c r="BU41" t="s">
        <v>626</v>
      </c>
      <c r="BV41" s="97" t="str">
        <f>IF(_xlfn.XLOOKUP(6,$AH:$AH,$R:$R,"",0)="","","AND A.`"&amp;_xlfn.XLOOKUP(6,$AH:$AH,$R:$R,"",0)&amp;"` = B.`"&amp;_xlfn.XLOOKUP(6,$AH:$AH,$R:$R,"",0)&amp;"`")</f>
        <v/>
      </c>
      <c r="BW41" t="s">
        <v>626</v>
      </c>
      <c r="BY41" t="s">
        <v>626</v>
      </c>
      <c r="BZ41" s="97" t="str">
        <f>IF(_xlfn.XLOOKUP(3,$AH:$AH,$R:$R,"",0)="","","AND A.`"&amp;_xlfn.XLOOKUP(3,$AH:$AH,$R:$R,"",0)&amp;"` = B.`"&amp;_xlfn.XLOOKUP(3,$AH:$AH,$R:$R,"",0)&amp;"`")</f>
        <v>AND A.`MDHierarchyCode` = B.`MDHierarchyCode`</v>
      </c>
      <c r="CA41" t="s">
        <v>626</v>
      </c>
    </row>
    <row r="42" spans="1:79">
      <c r="A42" s="100"/>
      <c r="B42" s="37" t="s">
        <v>34</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4"/>
      <c r="BQ42" t="s">
        <v>626</v>
      </c>
      <c r="BS42" t="s">
        <v>626</v>
      </c>
      <c r="BU42" t="s">
        <v>626</v>
      </c>
      <c r="BV42" s="97" t="str">
        <f>IF(_xlfn.XLOOKUP(7,$AH:$AH,$R:$R,"",0)="","","AND A.`"&amp;_xlfn.XLOOKUP(7,$AH:$AH,$R:$R,"",0)&amp;"` = B.`"&amp;_xlfn.XLOOKUP(7,$AH:$AH,$R:$R,"",0)&amp;"`")</f>
        <v/>
      </c>
      <c r="BW42" t="s">
        <v>626</v>
      </c>
      <c r="BY42" t="s">
        <v>626</v>
      </c>
      <c r="BZ42" s="97" t="str">
        <f>IF(_xlfn.XLOOKUP(4,$AH:$AH,$R:$R,"",0)="","","AND A.`"&amp;_xlfn.XLOOKUP(4,$AH:$AH,$R:$R,"",0)&amp;"` = B.`"&amp;_xlfn.XLOOKUP(4,$AH:$AH,$R:$R,"",0)&amp;"`")</f>
        <v>AND A.`MDHierarchyLevel` = B.`MDHierarchyLevel`</v>
      </c>
      <c r="CA42" t="s">
        <v>626</v>
      </c>
    </row>
    <row r="43" spans="1:79">
      <c r="A43" s="100"/>
      <c r="B43" s="34" t="s">
        <v>35</v>
      </c>
      <c r="C43" s="45"/>
      <c r="D43" s="34" t="s">
        <v>36</v>
      </c>
      <c r="E43" s="44"/>
      <c r="F43" s="44"/>
      <c r="G43" s="44"/>
      <c r="H43" s="44"/>
      <c r="I43" s="44"/>
      <c r="J43" s="44"/>
      <c r="K43" s="44"/>
      <c r="L43" s="36"/>
      <c r="M43" s="36"/>
      <c r="N43" s="36"/>
      <c r="O43" s="36"/>
      <c r="P43" s="36"/>
      <c r="Q43" s="35"/>
      <c r="R43" s="34" t="s">
        <v>37</v>
      </c>
      <c r="S43" s="36"/>
      <c r="T43" s="45"/>
      <c r="U43" s="34" t="s">
        <v>38</v>
      </c>
      <c r="V43" s="36"/>
      <c r="W43" s="44"/>
      <c r="X43" s="45"/>
      <c r="Y43" s="34" t="s">
        <v>39</v>
      </c>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5"/>
      <c r="BK43" s="4"/>
      <c r="BQ43" t="s">
        <v>626</v>
      </c>
      <c r="BS43" t="s">
        <v>626</v>
      </c>
      <c r="BU43" t="s">
        <v>626</v>
      </c>
      <c r="BV43" s="97" t="str">
        <f>IF(_xlfn.XLOOKUP(8,$AH:$AH,$R:$R,"",0)="","","AND A.`"&amp;_xlfn.XLOOKUP(8,$AH:$AH,$R:$R,"",0)&amp;"` = B.`"&amp;_xlfn.XLOOKUP(8,$AH:$AH,$R:$R,"",0)&amp;"`")</f>
        <v/>
      </c>
      <c r="BW43" t="s">
        <v>626</v>
      </c>
      <c r="BY43" t="s">
        <v>626</v>
      </c>
      <c r="BZ43" s="97" t="str">
        <f>IF(_xlfn.XLOOKUP(5,$AH:$AH,$R:$R,"",0)="","","AND A.`"&amp;_xlfn.XLOOKUP(5,$AH:$AH,$R:$R,"",0)&amp;"` = B.`"&amp;_xlfn.XLOOKUP(5,$AH:$AH,$R:$R,"",0)&amp;"`")</f>
        <v>AND A.`ApplyDate` = B.`ApplyDate`</v>
      </c>
      <c r="CA43" t="s">
        <v>626</v>
      </c>
    </row>
    <row r="44" spans="1:79">
      <c r="A44" s="100"/>
      <c r="B44" s="41">
        <v>1</v>
      </c>
      <c r="C44" s="47"/>
      <c r="D44" s="41" t="str">
        <f>G10&amp;"_"&amp;R44&amp;"_"&amp;"trg"</f>
        <v>MDHierarchyExMvkMaster_update_trg</v>
      </c>
      <c r="E44" s="46"/>
      <c r="F44" s="46"/>
      <c r="G44" s="46"/>
      <c r="H44" s="46"/>
      <c r="I44" s="46"/>
      <c r="J44" s="46"/>
      <c r="K44" s="46"/>
      <c r="L44" s="42"/>
      <c r="M44" s="42"/>
      <c r="N44" s="42"/>
      <c r="O44" s="42"/>
      <c r="P44" s="42"/>
      <c r="Q44" s="43"/>
      <c r="R44" s="41" t="s">
        <v>40</v>
      </c>
      <c r="S44" s="42"/>
      <c r="T44" s="47"/>
      <c r="U44" s="41" t="s">
        <v>41</v>
      </c>
      <c r="V44" s="42"/>
      <c r="W44" s="46"/>
      <c r="X44" s="47"/>
      <c r="Y44" s="41" t="s">
        <v>42</v>
      </c>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3"/>
      <c r="BK44" s="4"/>
      <c r="BQ44" t="s">
        <v>626</v>
      </c>
      <c r="BS44" t="s">
        <v>626</v>
      </c>
      <c r="BU44" t="s">
        <v>626</v>
      </c>
      <c r="BV44" s="97" t="s">
        <v>936</v>
      </c>
      <c r="BW44" t="s">
        <v>626</v>
      </c>
      <c r="BY44" t="s">
        <v>626</v>
      </c>
      <c r="BZ44" s="97" t="str">
        <f>IF(_xlfn.XLOOKUP(6,$AH:$AH,$R:$R,"",0)="","","AND A.`"&amp;_xlfn.XLOOKUP(6,$AH:$AH,$R:$R,"",0)&amp;"` = B.`"&amp;_xlfn.XLOOKUP(6,$AH:$AH,$R:$R,"",0)&amp;"`")</f>
        <v/>
      </c>
      <c r="CA44" t="s">
        <v>626</v>
      </c>
    </row>
    <row r="45" spans="1:79">
      <c r="A45" s="100"/>
      <c r="BK45" s="4"/>
      <c r="BQ45" t="s">
        <v>626</v>
      </c>
      <c r="BS45" t="s">
        <v>626</v>
      </c>
      <c r="BU45" t="s">
        <v>626</v>
      </c>
      <c r="BW45" t="s">
        <v>626</v>
      </c>
      <c r="BY45" t="s">
        <v>626</v>
      </c>
      <c r="BZ45" s="97" t="str">
        <f>IF(_xlfn.XLOOKUP(7,$AH:$AH,$R:$R,"",0)="","","AND A.`"&amp;_xlfn.XLOOKUP(7,$AH:$AH,$R:$R,"",0)&amp;"` = B.`"&amp;_xlfn.XLOOKUP(7,$AH:$AH,$R:$R,"",0)&amp;"`")</f>
        <v/>
      </c>
      <c r="CA45" t="s">
        <v>626</v>
      </c>
    </row>
    <row r="46" spans="1:79">
      <c r="A46" s="100"/>
      <c r="BK46" s="4"/>
      <c r="BQ46" t="s">
        <v>626</v>
      </c>
      <c r="BS46" t="s">
        <v>626</v>
      </c>
      <c r="BU46" t="s">
        <v>626</v>
      </c>
      <c r="BW46" t="s">
        <v>626</v>
      </c>
      <c r="BY46" t="s">
        <v>626</v>
      </c>
      <c r="BZ46" s="97" t="str">
        <f>IF(_xlfn.XLOOKUP(8,$AH:$AH,$R:$R,"",0)="","","AND A.`"&amp;_xlfn.XLOOKUP(8,$AH:$AH,$R:$R,"",0)&amp;"` = B.`"&amp;_xlfn.XLOOKUP(8,$AH:$AH,$R:$R,"",0)&amp;"`")</f>
        <v/>
      </c>
      <c r="CA46" t="s">
        <v>626</v>
      </c>
    </row>
    <row r="47" spans="1:79">
      <c r="A47" s="100"/>
      <c r="BK47" s="4"/>
      <c r="BQ47" t="s">
        <v>626</v>
      </c>
      <c r="BS47" t="s">
        <v>626</v>
      </c>
      <c r="BU47" t="s">
        <v>626</v>
      </c>
      <c r="BW47" t="s">
        <v>626</v>
      </c>
      <c r="BY47" t="s">
        <v>626</v>
      </c>
      <c r="BZ47" s="97" t="s">
        <v>929</v>
      </c>
      <c r="CA47" t="s">
        <v>626</v>
      </c>
    </row>
    <row r="48" spans="1:79">
      <c r="A48" s="100"/>
      <c r="BK48" s="4"/>
      <c r="BQ48" t="s">
        <v>626</v>
      </c>
      <c r="BS48" t="s">
        <v>626</v>
      </c>
      <c r="BU48" t="s">
        <v>626</v>
      </c>
      <c r="BW48" t="s">
        <v>626</v>
      </c>
      <c r="BY48" t="s">
        <v>626</v>
      </c>
      <c r="CA48" t="s">
        <v>626</v>
      </c>
    </row>
    <row r="49" spans="1:79">
      <c r="A49" s="100"/>
      <c r="BK49" s="4"/>
      <c r="BQ49" t="s">
        <v>626</v>
      </c>
      <c r="BS49" t="s">
        <v>626</v>
      </c>
      <c r="BU49" t="s">
        <v>626</v>
      </c>
      <c r="BW49" t="s">
        <v>626</v>
      </c>
      <c r="BY49" t="s">
        <v>626</v>
      </c>
      <c r="BZ49" s="98"/>
      <c r="CA49" t="s">
        <v>626</v>
      </c>
    </row>
    <row r="50" spans="1:79">
      <c r="A50" s="100"/>
      <c r="BK50" s="4"/>
      <c r="BQ50" t="s">
        <v>626</v>
      </c>
      <c r="BS50" t="s">
        <v>626</v>
      </c>
      <c r="BU50" t="s">
        <v>626</v>
      </c>
      <c r="BW50" t="s">
        <v>626</v>
      </c>
      <c r="BY50" t="s">
        <v>626</v>
      </c>
      <c r="BZ50" t="str">
        <f>"DROP TABLE IF EXISTS `TMP`.`"&amp;$G$10&amp;"`;"</f>
        <v>DROP TABLE IF EXISTS `TMP`.`MDHierarchyExMvkMaster`;</v>
      </c>
      <c r="CA50" t="s">
        <v>626</v>
      </c>
    </row>
    <row r="51" spans="1:79">
      <c r="A51" s="100"/>
      <c r="BK51" s="4"/>
      <c r="BQ51" t="s">
        <v>626</v>
      </c>
      <c r="BS51" t="s">
        <v>626</v>
      </c>
      <c r="BU51" t="s">
        <v>626</v>
      </c>
      <c r="BW51" t="s">
        <v>626</v>
      </c>
      <c r="BY51" t="s">
        <v>626</v>
      </c>
      <c r="BZ51" t="s">
        <v>937</v>
      </c>
      <c r="CA51" t="s">
        <v>626</v>
      </c>
    </row>
    <row r="52" spans="1:79">
      <c r="A52" s="100"/>
    </row>
    <row r="53" spans="1:79">
      <c r="A53" s="100"/>
    </row>
    <row r="54" spans="1:79">
      <c r="A54" s="100"/>
    </row>
    <row r="55" spans="1:79">
      <c r="A55" s="100"/>
    </row>
    <row r="56" spans="1:79">
      <c r="A56" s="100"/>
    </row>
    <row r="57" spans="1:79">
      <c r="A57" s="100"/>
    </row>
    <row r="58" spans="1:79">
      <c r="A58" s="100"/>
    </row>
    <row r="59" spans="1:79">
      <c r="A59" s="100"/>
    </row>
    <row r="60" spans="1:79">
      <c r="A60" s="100"/>
    </row>
    <row r="61" spans="1:79">
      <c r="A61" s="100"/>
    </row>
    <row r="62" spans="1:79">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C3A6D-381F-40D3-8422-CE7FAA237CB5}">
  <dimension ref="A1:CA65"/>
  <sheetViews>
    <sheetView view="pageBreakPreview" topLeftCell="A19" zoomScale="80" zoomScaleNormal="75" zoomScaleSheetLayoutView="80" workbookViewId="0">
      <selection activeCell="BT24" sqref="BT24:BT49"/>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492</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493</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`POS_MASTER`.`SpecialPriceKsmMaster`;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`POS_MASTER`.`SpecialPriceKsmMaster`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48"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'C:/04_DATAFILE/SpecialPriceKsmMaster/TMP/SpecialPriceKsmMaster.CSV' </v>
      </c>
      <c r="BU24" t="s">
        <v>626</v>
      </c>
      <c r="BV24" s="97" t="str">
        <f>"UPDATE `POS_MASTER`.`"&amp;$G$10&amp;"` A,`TMP`.`"&amp;$G$10&amp;"` B"</f>
        <v>UPDATE `POS_MASTER`.`SpecialPriceKsmMaster` A,`TMP`.`SpecialPriceKsmMaster`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`TMP`.`SpecialPriceKsmMaster`;</v>
      </c>
      <c r="BS25" t="s">
        <v>626</v>
      </c>
      <c r="BT25" s="97" t="str">
        <f>"REPLACE INTO TABLE TMP.`"&amp;$G$10&amp;"` CHARACTER SET 'UTF8'"</f>
        <v>REPLACE INTO TABLE TMP.`SpecialPriceKsmMaster`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`TMP`.`SpecialPriceKsmMaster`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(@1,@2,@3,@4,@5,@6,@7,@8,@9,@10,@11,@12,@13,@14,@15,@16,@17,@18,@19,@20,@21,@22,@23)</v>
      </c>
      <c r="BU26" t="s">
        <v>626</v>
      </c>
      <c r="BV26" s="97"/>
      <c r="BW26" t="s">
        <v>626</v>
      </c>
      <c r="BX26" s="97" t="str">
        <f>"INSERT INTO `POS_MASTER`.`"&amp;$G$10&amp;"` ("</f>
        <v>INSERT INTO `POS_MASTER`.`SpecialPriceKsmMaster`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448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449</v>
      </c>
      <c r="AU28" s="25"/>
      <c r="AV28" s="25"/>
      <c r="AW28" s="25"/>
      <c r="AX28" s="25"/>
      <c r="AY28" s="25"/>
      <c r="AZ28" s="25"/>
      <c r="BA28" s="25"/>
      <c r="BB28" s="25"/>
      <c r="BC28" s="25"/>
      <c r="BD28" s="25"/>
      <c r="BE28" s="25"/>
      <c r="BF28" s="25"/>
      <c r="BG28" s="25"/>
      <c r="BH28" s="25"/>
      <c r="BI28" s="25"/>
      <c r="BJ28" s="26"/>
      <c r="BK28" s="4"/>
      <c r="BM28" t="s">
        <v>888</v>
      </c>
      <c r="BN28">
        <v>10</v>
      </c>
      <c r="BP28" t="str">
        <f t="shared" ref="BP28:BP48"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8" si="2">",A.`"&amp;R28&amp;"` = B.`"&amp;R28&amp;"`"</f>
        <v>,A.`StoreCode` = B.`StoreCode`</v>
      </c>
      <c r="BW28" t="s">
        <v>626</v>
      </c>
      <c r="BX28" s="97" t="str">
        <f t="shared" ref="BX28:BX48" si="3">",`"&amp;R28&amp;"`"</f>
        <v>,`StoreCode`</v>
      </c>
      <c r="BY28" t="s">
        <v>626</v>
      </c>
      <c r="BZ28" s="97" t="str">
        <f t="shared" ref="BZ28:BZ48" si="4">",`"&amp;R28&amp;"`"</f>
        <v>,`StoreCode`</v>
      </c>
      <c r="CA28" t="s">
        <v>626</v>
      </c>
    </row>
    <row r="29" spans="1:79" ht="15" customHeight="1">
      <c r="A29" s="100" t="s">
        <v>966</v>
      </c>
      <c r="B29" s="23">
        <f t="shared" si="0"/>
        <v>9</v>
      </c>
      <c r="C29" s="24"/>
      <c r="D29" s="22" t="s">
        <v>494</v>
      </c>
      <c r="E29" s="25"/>
      <c r="F29" s="25"/>
      <c r="G29" s="25"/>
      <c r="H29" s="25"/>
      <c r="I29" s="25"/>
      <c r="J29" s="25"/>
      <c r="K29" s="25"/>
      <c r="L29" s="25"/>
      <c r="M29" s="25"/>
      <c r="N29" s="25"/>
      <c r="O29" s="25"/>
      <c r="P29" s="25"/>
      <c r="Q29" s="26"/>
      <c r="R29" s="22" t="s">
        <v>551</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varchar(20)</v>
      </c>
      <c r="AD29" s="25"/>
      <c r="AE29" s="25"/>
      <c r="AF29" s="25"/>
      <c r="AG29" s="26"/>
      <c r="AH29" s="22">
        <v>3</v>
      </c>
      <c r="AI29" s="26"/>
      <c r="AJ29" s="22" t="s">
        <v>885</v>
      </c>
      <c r="AK29" s="25"/>
      <c r="AL29" s="26"/>
      <c r="AM29" s="22"/>
      <c r="AN29" s="25"/>
      <c r="AO29" s="25"/>
      <c r="AP29" s="25"/>
      <c r="AQ29" s="25"/>
      <c r="AR29" s="25"/>
      <c r="AS29" s="26"/>
      <c r="AT29" s="22" t="s">
        <v>531</v>
      </c>
      <c r="AU29" s="25"/>
      <c r="AV29" s="25"/>
      <c r="AW29" s="25"/>
      <c r="AX29" s="25"/>
      <c r="AY29" s="25"/>
      <c r="AZ29" s="25"/>
      <c r="BA29" s="25"/>
      <c r="BB29" s="25"/>
      <c r="BC29" s="25"/>
      <c r="BD29" s="25"/>
      <c r="BE29" s="25"/>
      <c r="BF29" s="25"/>
      <c r="BG29" s="25"/>
      <c r="BH29" s="25"/>
      <c r="BI29" s="25"/>
      <c r="BJ29" s="26"/>
      <c r="BK29" s="4"/>
      <c r="BM29" t="s">
        <v>888</v>
      </c>
      <c r="BN29">
        <v>20</v>
      </c>
      <c r="BP29" t="str">
        <f t="shared" si="1"/>
        <v>,`ScheduleNo` varchar(20) NOT NULL COMMENT 'スケジュール番号'</v>
      </c>
      <c r="BQ29" t="s">
        <v>626</v>
      </c>
      <c r="BR29" t="str">
        <f t="shared" ref="BR29:BR48" si="5">",`"&amp;R29&amp;"` "&amp;AC29&amp;" "&amp;IF(AJ29="Y","NOT NULL","")</f>
        <v>,`ScheduleNo` varchar(20) NOT NULL</v>
      </c>
      <c r="BS29" t="s">
        <v>626</v>
      </c>
      <c r="BT29" t="str">
        <f t="shared" ref="BT29:BT48" si="6">",`"&amp;R29&amp;"` = "&amp;IF(LEFT(AC29,4)="date", "if(@"&amp;B29-5&amp;" &gt; '0000-00-00 00:00:00', if(@"&amp;B29-5&amp;" &gt; '2999-12-31 23:59:59', '2999-12-31 23:59:59', @"&amp;B29-5&amp;"), null)","if(nullif( @"&amp;B29-5&amp;",'') &gt; '', @"&amp;B29-5&amp;", null )")</f>
        <v>,`ScheduleNo` = if(nullif( @4,'') &gt; '', @4, null )</v>
      </c>
      <c r="BU29" t="s">
        <v>626</v>
      </c>
      <c r="BV29" s="97" t="str">
        <f t="shared" si="2"/>
        <v>,A.`ScheduleNo` = B.`ScheduleNo`</v>
      </c>
      <c r="BW29" t="s">
        <v>626</v>
      </c>
      <c r="BX29" s="97" t="str">
        <f t="shared" si="3"/>
        <v>,`ScheduleNo`</v>
      </c>
      <c r="BY29" t="s">
        <v>626</v>
      </c>
      <c r="BZ29" s="97" t="str">
        <f t="shared" si="4"/>
        <v>,`ScheduleNo`</v>
      </c>
      <c r="CA29" t="s">
        <v>626</v>
      </c>
    </row>
    <row r="30" spans="1:79" ht="15" customHeight="1">
      <c r="A30" s="100" t="s">
        <v>967</v>
      </c>
      <c r="B30" s="23">
        <f t="shared" si="0"/>
        <v>10</v>
      </c>
      <c r="C30" s="24"/>
      <c r="D30" s="22" t="s">
        <v>495</v>
      </c>
      <c r="E30" s="25"/>
      <c r="F30" s="25"/>
      <c r="G30" s="25"/>
      <c r="H30" s="25"/>
      <c r="I30" s="25"/>
      <c r="J30" s="25"/>
      <c r="K30" s="25"/>
      <c r="L30" s="25"/>
      <c r="M30" s="25"/>
      <c r="N30" s="25"/>
      <c r="O30" s="25"/>
      <c r="P30" s="25"/>
      <c r="Q30" s="26"/>
      <c r="R30" s="22" t="s">
        <v>514</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varchar(10)</v>
      </c>
      <c r="AD30" s="25"/>
      <c r="AE30" s="25"/>
      <c r="AF30" s="25"/>
      <c r="AG30" s="26"/>
      <c r="AH30" s="22"/>
      <c r="AI30" s="26"/>
      <c r="AJ30" s="22" t="s">
        <v>885</v>
      </c>
      <c r="AK30" s="25"/>
      <c r="AL30" s="26"/>
      <c r="AM30" s="22"/>
      <c r="AN30" s="25"/>
      <c r="AO30" s="25"/>
      <c r="AP30" s="25"/>
      <c r="AQ30" s="25"/>
      <c r="AR30" s="25"/>
      <c r="AS30" s="26"/>
      <c r="AT30" s="22" t="s">
        <v>532</v>
      </c>
      <c r="AU30" s="25"/>
      <c r="AV30" s="25"/>
      <c r="AW30" s="25"/>
      <c r="AX30" s="25"/>
      <c r="AY30" s="25"/>
      <c r="AZ30" s="25"/>
      <c r="BA30" s="25"/>
      <c r="BB30" s="25"/>
      <c r="BC30" s="25"/>
      <c r="BD30" s="25"/>
      <c r="BE30" s="25"/>
      <c r="BF30" s="25"/>
      <c r="BG30" s="25"/>
      <c r="BH30" s="25"/>
      <c r="BI30" s="25"/>
      <c r="BJ30" s="26"/>
      <c r="BK30" s="4"/>
      <c r="BM30" t="s">
        <v>888</v>
      </c>
      <c r="BN30">
        <v>10</v>
      </c>
      <c r="BP30" t="str">
        <f t="shared" si="1"/>
        <v>,`PromotionCode` varchar(10) NOT NULL COMMENT '販促コード'</v>
      </c>
      <c r="BQ30" t="s">
        <v>626</v>
      </c>
      <c r="BR30" t="str">
        <f t="shared" si="5"/>
        <v>,`PromotionCode` varchar(10) NOT NULL</v>
      </c>
      <c r="BS30" t="s">
        <v>626</v>
      </c>
      <c r="BT30" t="str">
        <f t="shared" si="6"/>
        <v>,`PromotionCode` = if(nullif( @5,'') &gt; '', @5, null )</v>
      </c>
      <c r="BU30" t="s">
        <v>626</v>
      </c>
      <c r="BV30" s="97" t="str">
        <f t="shared" si="2"/>
        <v>,A.`PromotionCode` = B.`PromotionCode`</v>
      </c>
      <c r="BW30" t="s">
        <v>626</v>
      </c>
      <c r="BX30" s="97" t="str">
        <f t="shared" si="3"/>
        <v>,`PromotionCode`</v>
      </c>
      <c r="BY30" t="s">
        <v>626</v>
      </c>
      <c r="BZ30" s="97" t="str">
        <f t="shared" si="4"/>
        <v>,`PromotionCode`</v>
      </c>
      <c r="CA30" t="s">
        <v>626</v>
      </c>
    </row>
    <row r="31" spans="1:79" ht="15" customHeight="1">
      <c r="A31" s="100" t="s">
        <v>968</v>
      </c>
      <c r="B31" s="23">
        <f t="shared" si="0"/>
        <v>11</v>
      </c>
      <c r="C31" s="24"/>
      <c r="D31" s="22" t="s">
        <v>496</v>
      </c>
      <c r="E31" s="25"/>
      <c r="F31" s="25"/>
      <c r="G31" s="25"/>
      <c r="H31" s="25"/>
      <c r="I31" s="25"/>
      <c r="J31" s="25"/>
      <c r="K31" s="25"/>
      <c r="L31" s="25"/>
      <c r="M31" s="25"/>
      <c r="N31" s="25"/>
      <c r="O31" s="25"/>
      <c r="P31" s="25"/>
      <c r="Q31" s="26"/>
      <c r="R31" s="22" t="s">
        <v>552</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varchar(2)</v>
      </c>
      <c r="AD31" s="25"/>
      <c r="AE31" s="25"/>
      <c r="AF31" s="25"/>
      <c r="AG31" s="26"/>
      <c r="AH31" s="22">
        <v>4</v>
      </c>
      <c r="AI31" s="26"/>
      <c r="AJ31" s="22" t="s">
        <v>885</v>
      </c>
      <c r="AK31" s="25"/>
      <c r="AL31" s="26"/>
      <c r="AM31" s="22"/>
      <c r="AN31" s="25"/>
      <c r="AO31" s="25"/>
      <c r="AP31" s="25"/>
      <c r="AQ31" s="25"/>
      <c r="AR31" s="25"/>
      <c r="AS31" s="26"/>
      <c r="AT31" s="22" t="s">
        <v>533</v>
      </c>
      <c r="AU31" s="25"/>
      <c r="AV31" s="25"/>
      <c r="AW31" s="25"/>
      <c r="AX31" s="25"/>
      <c r="AY31" s="25"/>
      <c r="AZ31" s="25"/>
      <c r="BA31" s="25"/>
      <c r="BB31" s="25"/>
      <c r="BC31" s="25"/>
      <c r="BD31" s="25"/>
      <c r="BE31" s="25"/>
      <c r="BF31" s="25"/>
      <c r="BG31" s="25"/>
      <c r="BH31" s="25"/>
      <c r="BI31" s="25"/>
      <c r="BJ31" s="26"/>
      <c r="BK31" s="4"/>
      <c r="BM31" t="s">
        <v>888</v>
      </c>
      <c r="BN31">
        <v>2</v>
      </c>
      <c r="BP31" t="str">
        <f t="shared" si="1"/>
        <v>,`SpecialPriceTypeCode` varchar(2) NOT NULL COMMENT '特売タイプコード'</v>
      </c>
      <c r="BQ31" t="s">
        <v>626</v>
      </c>
      <c r="BR31" t="str">
        <f t="shared" si="5"/>
        <v>,`SpecialPriceTypeCode` varchar(2) NOT NULL</v>
      </c>
      <c r="BS31" t="s">
        <v>626</v>
      </c>
      <c r="BT31" t="str">
        <f t="shared" si="6"/>
        <v>,`SpecialPriceTypeCode` = if(nullif( @6,'') &gt; '', @6, null )</v>
      </c>
      <c r="BU31" t="s">
        <v>626</v>
      </c>
      <c r="BV31" s="97" t="str">
        <f t="shared" si="2"/>
        <v>,A.`SpecialPriceTypeCode` = B.`SpecialPriceTypeCode`</v>
      </c>
      <c r="BW31" t="s">
        <v>626</v>
      </c>
      <c r="BX31" s="97" t="str">
        <f t="shared" si="3"/>
        <v>,`SpecialPriceTypeCode`</v>
      </c>
      <c r="BY31" t="s">
        <v>626</v>
      </c>
      <c r="BZ31" s="97" t="str">
        <f t="shared" si="4"/>
        <v>,`SpecialPriceTypeCode`</v>
      </c>
      <c r="CA31" t="s">
        <v>626</v>
      </c>
    </row>
    <row r="32" spans="1:79" ht="15" customHeight="1">
      <c r="A32" s="100" t="s">
        <v>969</v>
      </c>
      <c r="B32" s="23">
        <f t="shared" si="0"/>
        <v>12</v>
      </c>
      <c r="C32" s="24"/>
      <c r="D32" s="22" t="s">
        <v>497</v>
      </c>
      <c r="E32" s="25"/>
      <c r="F32" s="25"/>
      <c r="G32" s="25"/>
      <c r="H32" s="25"/>
      <c r="I32" s="25"/>
      <c r="J32" s="25"/>
      <c r="K32" s="25"/>
      <c r="L32" s="25"/>
      <c r="M32" s="25"/>
      <c r="N32" s="25"/>
      <c r="O32" s="25"/>
      <c r="P32" s="25"/>
      <c r="Q32" s="26"/>
      <c r="R32" s="22" t="s">
        <v>440</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varchar(26)</v>
      </c>
      <c r="AD32" s="25"/>
      <c r="AE32" s="25"/>
      <c r="AF32" s="25"/>
      <c r="AG32" s="26"/>
      <c r="AH32" s="22">
        <v>5</v>
      </c>
      <c r="AI32" s="26"/>
      <c r="AJ32" s="22" t="s">
        <v>885</v>
      </c>
      <c r="AK32" s="25"/>
      <c r="AL32" s="26"/>
      <c r="AM32" s="22"/>
      <c r="AN32" s="25"/>
      <c r="AO32" s="25"/>
      <c r="AP32" s="25"/>
      <c r="AQ32" s="25"/>
      <c r="AR32" s="25"/>
      <c r="AS32" s="26"/>
      <c r="AT32" s="22" t="s">
        <v>534</v>
      </c>
      <c r="AU32" s="25"/>
      <c r="AV32" s="25"/>
      <c r="AW32" s="25"/>
      <c r="AX32" s="25"/>
      <c r="AY32" s="25"/>
      <c r="AZ32" s="25"/>
      <c r="BA32" s="25"/>
      <c r="BB32" s="25"/>
      <c r="BC32" s="25"/>
      <c r="BD32" s="25"/>
      <c r="BE32" s="25"/>
      <c r="BF32" s="25"/>
      <c r="BG32" s="25"/>
      <c r="BH32" s="25"/>
      <c r="BI32" s="25"/>
      <c r="BJ32" s="26"/>
      <c r="BK32" s="4"/>
      <c r="BM32" t="s">
        <v>888</v>
      </c>
      <c r="BN32">
        <v>26</v>
      </c>
      <c r="BP32" t="str">
        <f t="shared" si="1"/>
        <v>,`ItemCode` varchar(26) NOT NULL COMMENT '単品コード'</v>
      </c>
      <c r="BQ32" t="s">
        <v>626</v>
      </c>
      <c r="BR32" t="str">
        <f t="shared" si="5"/>
        <v>,`ItemCode` varchar(26) NOT NULL</v>
      </c>
      <c r="BS32" t="s">
        <v>626</v>
      </c>
      <c r="BT32" t="str">
        <f t="shared" si="6"/>
        <v>,`ItemCode` = if(nullif( @7,'') &gt; '', @7, null )</v>
      </c>
      <c r="BU32" t="s">
        <v>626</v>
      </c>
      <c r="BV32" s="97" t="str">
        <f t="shared" si="2"/>
        <v>,A.`ItemCode` = B.`ItemCode`</v>
      </c>
      <c r="BW32" t="s">
        <v>626</v>
      </c>
      <c r="BX32" s="97" t="str">
        <f t="shared" si="3"/>
        <v>,`ItemCode`</v>
      </c>
      <c r="BY32" t="s">
        <v>626</v>
      </c>
      <c r="BZ32" s="97" t="str">
        <f t="shared" si="4"/>
        <v>,`ItemCode`</v>
      </c>
      <c r="CA32" t="s">
        <v>626</v>
      </c>
    </row>
    <row r="33" spans="1:79" ht="15" customHeight="1">
      <c r="A33" s="100" t="s">
        <v>970</v>
      </c>
      <c r="B33" s="23">
        <f t="shared" si="0"/>
        <v>13</v>
      </c>
      <c r="C33" s="24"/>
      <c r="D33" s="22" t="s">
        <v>498</v>
      </c>
      <c r="E33" s="25"/>
      <c r="F33" s="25"/>
      <c r="G33" s="25"/>
      <c r="H33" s="25"/>
      <c r="I33" s="25"/>
      <c r="J33" s="25"/>
      <c r="K33" s="25"/>
      <c r="L33" s="25"/>
      <c r="M33" s="25"/>
      <c r="N33" s="25"/>
      <c r="O33" s="25"/>
      <c r="P33" s="25"/>
      <c r="Q33" s="26"/>
      <c r="R33" s="22" t="s">
        <v>515</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varchar(2)</v>
      </c>
      <c r="AD33" s="25"/>
      <c r="AE33" s="25"/>
      <c r="AF33" s="25"/>
      <c r="AG33" s="26"/>
      <c r="AH33" s="22"/>
      <c r="AI33" s="26"/>
      <c r="AJ33" s="22" t="s">
        <v>885</v>
      </c>
      <c r="AK33" s="25"/>
      <c r="AL33" s="26"/>
      <c r="AM33" s="22"/>
      <c r="AN33" s="25"/>
      <c r="AO33" s="25"/>
      <c r="AP33" s="25"/>
      <c r="AQ33" s="25"/>
      <c r="AR33" s="25"/>
      <c r="AS33" s="26"/>
      <c r="AT33" s="22" t="s">
        <v>535</v>
      </c>
      <c r="AU33" s="25"/>
      <c r="AV33" s="25"/>
      <c r="AW33" s="25"/>
      <c r="AX33" s="25"/>
      <c r="AY33" s="25"/>
      <c r="AZ33" s="25"/>
      <c r="BA33" s="25"/>
      <c r="BB33" s="25"/>
      <c r="BC33" s="25"/>
      <c r="BD33" s="25"/>
      <c r="BE33" s="25"/>
      <c r="BF33" s="25"/>
      <c r="BG33" s="25"/>
      <c r="BH33" s="25"/>
      <c r="BI33" s="25"/>
      <c r="BJ33" s="26"/>
      <c r="BK33" s="4"/>
      <c r="BM33" t="s">
        <v>888</v>
      </c>
      <c r="BN33">
        <v>2</v>
      </c>
      <c r="BP33" t="str">
        <f t="shared" si="1"/>
        <v>,`DiscountMethodCode` varchar(2) NOT NULL COMMENT '値引方法コード'</v>
      </c>
      <c r="BQ33" t="s">
        <v>626</v>
      </c>
      <c r="BR33" t="str">
        <f t="shared" si="5"/>
        <v>,`DiscountMethodCode` varchar(2) NOT NULL</v>
      </c>
      <c r="BS33" t="s">
        <v>626</v>
      </c>
      <c r="BT33" t="str">
        <f t="shared" si="6"/>
        <v>,`DiscountMethodCode` = if(nullif( @8,'') &gt; '', @8, null )</v>
      </c>
      <c r="BU33" t="s">
        <v>626</v>
      </c>
      <c r="BV33" s="97" t="str">
        <f t="shared" si="2"/>
        <v>,A.`DiscountMethodCode` = B.`DiscountMethodCode`</v>
      </c>
      <c r="BW33" t="s">
        <v>626</v>
      </c>
      <c r="BX33" s="97" t="str">
        <f t="shared" si="3"/>
        <v>,`DiscountMethodCode`</v>
      </c>
      <c r="BY33" t="s">
        <v>626</v>
      </c>
      <c r="BZ33" s="97" t="str">
        <f t="shared" si="4"/>
        <v>,`DiscountMethodCode`</v>
      </c>
      <c r="CA33" t="s">
        <v>626</v>
      </c>
    </row>
    <row r="34" spans="1:79" ht="15" customHeight="1">
      <c r="A34" s="100" t="s">
        <v>971</v>
      </c>
      <c r="B34" s="23">
        <f t="shared" si="0"/>
        <v>14</v>
      </c>
      <c r="C34" s="24"/>
      <c r="D34" s="22" t="s">
        <v>499</v>
      </c>
      <c r="E34" s="25"/>
      <c r="F34" s="25"/>
      <c r="G34" s="25"/>
      <c r="H34" s="25"/>
      <c r="I34" s="25"/>
      <c r="J34" s="25"/>
      <c r="K34" s="25"/>
      <c r="L34" s="25"/>
      <c r="M34" s="25"/>
      <c r="N34" s="25"/>
      <c r="O34" s="25"/>
      <c r="P34" s="25"/>
      <c r="Q34" s="26"/>
      <c r="R34" s="22" t="s">
        <v>516</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decimal(19,4)</v>
      </c>
      <c r="AD34" s="25"/>
      <c r="AE34" s="25"/>
      <c r="AF34" s="25"/>
      <c r="AG34" s="26"/>
      <c r="AH34" s="22"/>
      <c r="AI34" s="26"/>
      <c r="AJ34" s="22" t="s">
        <v>885</v>
      </c>
      <c r="AK34" s="25"/>
      <c r="AL34" s="26"/>
      <c r="AM34" s="22"/>
      <c r="AN34" s="25"/>
      <c r="AO34" s="25"/>
      <c r="AP34" s="25"/>
      <c r="AQ34" s="25"/>
      <c r="AR34" s="25"/>
      <c r="AS34" s="26"/>
      <c r="AT34" s="22" t="s">
        <v>536</v>
      </c>
      <c r="AU34" s="25"/>
      <c r="AV34" s="25"/>
      <c r="AW34" s="25"/>
      <c r="AX34" s="25"/>
      <c r="AY34" s="25"/>
      <c r="AZ34" s="25"/>
      <c r="BA34" s="25"/>
      <c r="BB34" s="25"/>
      <c r="BC34" s="25"/>
      <c r="BD34" s="25"/>
      <c r="BE34" s="25"/>
      <c r="BF34" s="25"/>
      <c r="BG34" s="25"/>
      <c r="BH34" s="25"/>
      <c r="BI34" s="25"/>
      <c r="BJ34" s="26"/>
      <c r="BK34" s="4"/>
      <c r="BM34" t="s">
        <v>891</v>
      </c>
      <c r="BP34" t="str">
        <f t="shared" si="1"/>
        <v>,`DiscountValue` decimal(19,4) NOT NULL COMMENT '値引金額/率'</v>
      </c>
      <c r="BQ34" t="s">
        <v>626</v>
      </c>
      <c r="BR34" t="str">
        <f t="shared" si="5"/>
        <v>,`DiscountValue` decimal(19,4) NOT NULL</v>
      </c>
      <c r="BS34" t="s">
        <v>626</v>
      </c>
      <c r="BT34" t="str">
        <f t="shared" si="6"/>
        <v>,`DiscountValue` = if(nullif( @9,'') &gt; '', @9, null )</v>
      </c>
      <c r="BU34" t="s">
        <v>626</v>
      </c>
      <c r="BV34" s="97" t="str">
        <f t="shared" si="2"/>
        <v>,A.`DiscountValue` = B.`DiscountValue`</v>
      </c>
      <c r="BW34" t="s">
        <v>626</v>
      </c>
      <c r="BX34" s="97" t="str">
        <f t="shared" si="3"/>
        <v>,`DiscountValue`</v>
      </c>
      <c r="BY34" t="s">
        <v>626</v>
      </c>
      <c r="BZ34" s="97" t="str">
        <f t="shared" si="4"/>
        <v>,`DiscountValue`</v>
      </c>
      <c r="CA34" t="s">
        <v>626</v>
      </c>
    </row>
    <row r="35" spans="1:79" ht="15" customHeight="1">
      <c r="A35" s="100" t="s">
        <v>972</v>
      </c>
      <c r="B35" s="23">
        <f t="shared" si="0"/>
        <v>15</v>
      </c>
      <c r="C35" s="24"/>
      <c r="D35" s="22" t="s">
        <v>500</v>
      </c>
      <c r="E35" s="25"/>
      <c r="F35" s="25"/>
      <c r="G35" s="25"/>
      <c r="H35" s="25"/>
      <c r="I35" s="25"/>
      <c r="J35" s="25"/>
      <c r="K35" s="25"/>
      <c r="L35" s="25"/>
      <c r="M35" s="25"/>
      <c r="N35" s="25"/>
      <c r="O35" s="25"/>
      <c r="P35" s="25"/>
      <c r="Q35" s="26"/>
      <c r="R35" s="22" t="s">
        <v>517</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decimal(19,4)</v>
      </c>
      <c r="AD35" s="25"/>
      <c r="AE35" s="25"/>
      <c r="AF35" s="25"/>
      <c r="AG35" s="26"/>
      <c r="AH35" s="22"/>
      <c r="AI35" s="26"/>
      <c r="AJ35" s="22" t="s">
        <v>885</v>
      </c>
      <c r="AK35" s="25"/>
      <c r="AL35" s="26"/>
      <c r="AM35" s="22"/>
      <c r="AN35" s="25"/>
      <c r="AO35" s="25"/>
      <c r="AP35" s="25"/>
      <c r="AQ35" s="25"/>
      <c r="AR35" s="25"/>
      <c r="AS35" s="26"/>
      <c r="AT35" s="22" t="s">
        <v>537</v>
      </c>
      <c r="AU35" s="25"/>
      <c r="AV35" s="25"/>
      <c r="AW35" s="25"/>
      <c r="AX35" s="25"/>
      <c r="AY35" s="25"/>
      <c r="AZ35" s="25"/>
      <c r="BA35" s="25"/>
      <c r="BB35" s="25"/>
      <c r="BC35" s="25"/>
      <c r="BD35" s="25"/>
      <c r="BE35" s="25"/>
      <c r="BF35" s="25"/>
      <c r="BG35" s="25"/>
      <c r="BH35" s="25"/>
      <c r="BI35" s="25"/>
      <c r="BJ35" s="26"/>
      <c r="BK35" s="4"/>
      <c r="BM35" t="s">
        <v>891</v>
      </c>
      <c r="BP35" t="str">
        <f t="shared" si="1"/>
        <v>,`SpecialPrice` decimal(19,4) NOT NULL COMMENT '特売値段'</v>
      </c>
      <c r="BQ35" t="s">
        <v>626</v>
      </c>
      <c r="BR35" t="str">
        <f t="shared" si="5"/>
        <v>,`SpecialPrice` decimal(19,4) NOT NULL</v>
      </c>
      <c r="BS35" t="s">
        <v>626</v>
      </c>
      <c r="BT35" t="str">
        <f t="shared" si="6"/>
        <v>,`SpecialPrice` = if(nullif( @10,'') &gt; '', @10, null )</v>
      </c>
      <c r="BU35" t="s">
        <v>626</v>
      </c>
      <c r="BV35" s="97" t="str">
        <f t="shared" si="2"/>
        <v>,A.`SpecialPrice` = B.`SpecialPrice`</v>
      </c>
      <c r="BW35" t="s">
        <v>626</v>
      </c>
      <c r="BX35" s="97" t="str">
        <f t="shared" si="3"/>
        <v>,`SpecialPrice`</v>
      </c>
      <c r="BY35" t="s">
        <v>626</v>
      </c>
      <c r="BZ35" s="97" t="str">
        <f t="shared" si="4"/>
        <v>,`SpecialPrice`</v>
      </c>
      <c r="CA35" t="s">
        <v>626</v>
      </c>
    </row>
    <row r="36" spans="1:79" ht="15" customHeight="1">
      <c r="A36" s="100" t="s">
        <v>973</v>
      </c>
      <c r="B36" s="23">
        <f t="shared" si="0"/>
        <v>16</v>
      </c>
      <c r="C36" s="24"/>
      <c r="D36" s="22" t="s">
        <v>501</v>
      </c>
      <c r="E36" s="25"/>
      <c r="F36" s="25"/>
      <c r="G36" s="25"/>
      <c r="H36" s="25"/>
      <c r="I36" s="25"/>
      <c r="J36" s="25"/>
      <c r="K36" s="25"/>
      <c r="L36" s="25"/>
      <c r="M36" s="25"/>
      <c r="N36" s="25"/>
      <c r="O36" s="25"/>
      <c r="P36" s="25"/>
      <c r="Q36" s="26"/>
      <c r="R36" s="22" t="s">
        <v>518</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decimal(19,4)</v>
      </c>
      <c r="AD36" s="25"/>
      <c r="AE36" s="25"/>
      <c r="AF36" s="25"/>
      <c r="AG36" s="26"/>
      <c r="AH36" s="22"/>
      <c r="AI36" s="26"/>
      <c r="AJ36" s="22"/>
      <c r="AK36" s="25"/>
      <c r="AL36" s="26"/>
      <c r="AM36" s="22"/>
      <c r="AN36" s="25"/>
      <c r="AO36" s="25"/>
      <c r="AP36" s="25"/>
      <c r="AQ36" s="25"/>
      <c r="AR36" s="25"/>
      <c r="AS36" s="26"/>
      <c r="AT36" s="22" t="s">
        <v>538</v>
      </c>
      <c r="AU36" s="25"/>
      <c r="AV36" s="25"/>
      <c r="AW36" s="25"/>
      <c r="AX36" s="25"/>
      <c r="AY36" s="25"/>
      <c r="AZ36" s="25"/>
      <c r="BA36" s="25"/>
      <c r="BB36" s="25"/>
      <c r="BC36" s="25"/>
      <c r="BD36" s="25"/>
      <c r="BE36" s="25"/>
      <c r="BF36" s="25"/>
      <c r="BG36" s="25"/>
      <c r="BH36" s="25"/>
      <c r="BI36" s="25"/>
      <c r="BJ36" s="26"/>
      <c r="BK36" s="4"/>
      <c r="BM36" t="s">
        <v>891</v>
      </c>
      <c r="BP36" t="str">
        <f t="shared" si="1"/>
        <v>,`SpecialCostPrice` decimal(19,4)  COMMENT '特売原価'</v>
      </c>
      <c r="BQ36" t="s">
        <v>626</v>
      </c>
      <c r="BR36" t="str">
        <f t="shared" si="5"/>
        <v xml:space="preserve">,`SpecialCostPrice` decimal(19,4) </v>
      </c>
      <c r="BS36" t="s">
        <v>626</v>
      </c>
      <c r="BT36" t="str">
        <f t="shared" si="6"/>
        <v>,`SpecialCostPrice` = if(nullif( @11,'') &gt; '', @11, null )</v>
      </c>
      <c r="BU36" t="s">
        <v>626</v>
      </c>
      <c r="BV36" s="97" t="str">
        <f t="shared" si="2"/>
        <v>,A.`SpecialCostPrice` = B.`SpecialCostPrice`</v>
      </c>
      <c r="BW36" t="s">
        <v>626</v>
      </c>
      <c r="BX36" s="97" t="str">
        <f t="shared" si="3"/>
        <v>,`SpecialCostPrice`</v>
      </c>
      <c r="BY36" t="s">
        <v>626</v>
      </c>
      <c r="BZ36" s="97" t="str">
        <f t="shared" si="4"/>
        <v>,`SpecialCostPrice`</v>
      </c>
      <c r="CA36" t="s">
        <v>626</v>
      </c>
    </row>
    <row r="37" spans="1:79" ht="15" customHeight="1">
      <c r="A37" s="100" t="s">
        <v>974</v>
      </c>
      <c r="B37" s="23">
        <f t="shared" si="0"/>
        <v>17</v>
      </c>
      <c r="C37" s="24"/>
      <c r="D37" s="22" t="s">
        <v>502</v>
      </c>
      <c r="E37" s="25"/>
      <c r="F37" s="25"/>
      <c r="G37" s="25"/>
      <c r="H37" s="25"/>
      <c r="I37" s="25"/>
      <c r="J37" s="25"/>
      <c r="K37" s="25"/>
      <c r="L37" s="25"/>
      <c r="M37" s="25"/>
      <c r="N37" s="25"/>
      <c r="O37" s="25"/>
      <c r="P37" s="25"/>
      <c r="Q37" s="26"/>
      <c r="R37" s="22" t="s">
        <v>519</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numeric(5, 2)</v>
      </c>
      <c r="AD37" s="25"/>
      <c r="AE37" s="25"/>
      <c r="AF37" s="25"/>
      <c r="AG37" s="26"/>
      <c r="AH37" s="22"/>
      <c r="AI37" s="26"/>
      <c r="AJ37" s="22"/>
      <c r="AK37" s="25"/>
      <c r="AL37" s="26"/>
      <c r="AM37" s="22"/>
      <c r="AN37" s="25"/>
      <c r="AO37" s="25"/>
      <c r="AP37" s="25"/>
      <c r="AQ37" s="25"/>
      <c r="AR37" s="25"/>
      <c r="AS37" s="26"/>
      <c r="AT37" s="22" t="s">
        <v>539</v>
      </c>
      <c r="AU37" s="25"/>
      <c r="AV37" s="25"/>
      <c r="AW37" s="25"/>
      <c r="AX37" s="25"/>
      <c r="AY37" s="25"/>
      <c r="AZ37" s="25"/>
      <c r="BA37" s="25"/>
      <c r="BB37" s="25"/>
      <c r="BC37" s="25"/>
      <c r="BD37" s="25"/>
      <c r="BE37" s="25"/>
      <c r="BF37" s="25"/>
      <c r="BG37" s="25"/>
      <c r="BH37" s="25"/>
      <c r="BI37" s="25"/>
      <c r="BJ37" s="26"/>
      <c r="BK37" s="4"/>
      <c r="BM37" t="s">
        <v>892</v>
      </c>
      <c r="BN37" t="s">
        <v>893</v>
      </c>
      <c r="BP37" t="str">
        <f t="shared" si="1"/>
        <v>,`SpecialMarkupRatio` numeric(5, 2)  COMMENT '特売値入率'</v>
      </c>
      <c r="BQ37" t="s">
        <v>626</v>
      </c>
      <c r="BR37" t="str">
        <f t="shared" si="5"/>
        <v xml:space="preserve">,`SpecialMarkupRatio` numeric(5, 2) </v>
      </c>
      <c r="BS37" t="s">
        <v>626</v>
      </c>
      <c r="BT37" t="str">
        <f t="shared" si="6"/>
        <v>,`SpecialMarkupRatio` = if(nullif( @12,'') &gt; '', @12, null )</v>
      </c>
      <c r="BU37" t="s">
        <v>626</v>
      </c>
      <c r="BV37" s="97" t="str">
        <f t="shared" si="2"/>
        <v>,A.`SpecialMarkupRatio` = B.`SpecialMarkupRatio`</v>
      </c>
      <c r="BW37" t="s">
        <v>626</v>
      </c>
      <c r="BX37" s="97" t="str">
        <f t="shared" si="3"/>
        <v>,`SpecialMarkupRatio`</v>
      </c>
      <c r="BY37" t="s">
        <v>626</v>
      </c>
      <c r="BZ37" s="97" t="str">
        <f t="shared" si="4"/>
        <v>,`SpecialMarkupRatio`</v>
      </c>
      <c r="CA37" t="s">
        <v>626</v>
      </c>
    </row>
    <row r="38" spans="1:79" ht="15" customHeight="1">
      <c r="A38" s="100" t="s">
        <v>975</v>
      </c>
      <c r="B38" s="23">
        <f t="shared" si="0"/>
        <v>18</v>
      </c>
      <c r="C38" s="24"/>
      <c r="D38" s="22" t="s">
        <v>503</v>
      </c>
      <c r="E38" s="25"/>
      <c r="F38" s="25"/>
      <c r="G38" s="25"/>
      <c r="H38" s="25"/>
      <c r="I38" s="25"/>
      <c r="J38" s="25"/>
      <c r="K38" s="25"/>
      <c r="L38" s="25"/>
      <c r="M38" s="25"/>
      <c r="N38" s="25"/>
      <c r="O38" s="25"/>
      <c r="P38" s="25"/>
      <c r="Q38" s="26"/>
      <c r="R38" s="22" t="s">
        <v>520</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varchar(50)</v>
      </c>
      <c r="AD38" s="25"/>
      <c r="AE38" s="25"/>
      <c r="AF38" s="25"/>
      <c r="AG38" s="26"/>
      <c r="AH38" s="22"/>
      <c r="AI38" s="26"/>
      <c r="AJ38" s="22"/>
      <c r="AK38" s="25"/>
      <c r="AL38" s="26"/>
      <c r="AM38" s="22"/>
      <c r="AN38" s="25"/>
      <c r="AO38" s="25"/>
      <c r="AP38" s="25"/>
      <c r="AQ38" s="25"/>
      <c r="AR38" s="25"/>
      <c r="AS38" s="26"/>
      <c r="AT38" s="22" t="s">
        <v>540</v>
      </c>
      <c r="AU38" s="25"/>
      <c r="AV38" s="25"/>
      <c r="AW38" s="25"/>
      <c r="AX38" s="25"/>
      <c r="AY38" s="25"/>
      <c r="AZ38" s="25"/>
      <c r="BA38" s="25"/>
      <c r="BB38" s="25"/>
      <c r="BC38" s="25"/>
      <c r="BD38" s="25"/>
      <c r="BE38" s="25"/>
      <c r="BF38" s="25"/>
      <c r="BG38" s="25"/>
      <c r="BH38" s="25"/>
      <c r="BI38" s="25"/>
      <c r="BJ38" s="26"/>
      <c r="BK38" s="4"/>
      <c r="BM38" t="s">
        <v>888</v>
      </c>
      <c r="BN38">
        <v>50</v>
      </c>
      <c r="BP38" t="str">
        <f t="shared" si="1"/>
        <v>,`Name` varchar(50)  COMMENT '名称'</v>
      </c>
      <c r="BQ38" t="s">
        <v>626</v>
      </c>
      <c r="BR38" t="str">
        <f t="shared" si="5"/>
        <v xml:space="preserve">,`Name` varchar(50) </v>
      </c>
      <c r="BS38" t="s">
        <v>626</v>
      </c>
      <c r="BT38" t="str">
        <f t="shared" si="6"/>
        <v>,`Name` = if(nullif( @13,'') &gt; '', @13, null )</v>
      </c>
      <c r="BU38" t="s">
        <v>626</v>
      </c>
      <c r="BV38" s="97" t="str">
        <f t="shared" si="2"/>
        <v>,A.`Name` = B.`Name`</v>
      </c>
      <c r="BW38" t="s">
        <v>626</v>
      </c>
      <c r="BX38" s="97" t="str">
        <f t="shared" si="3"/>
        <v>,`Name`</v>
      </c>
      <c r="BY38" t="s">
        <v>626</v>
      </c>
      <c r="BZ38" s="97" t="str">
        <f t="shared" si="4"/>
        <v>,`Name`</v>
      </c>
      <c r="CA38" t="s">
        <v>626</v>
      </c>
    </row>
    <row r="39" spans="1:79" ht="15" customHeight="1">
      <c r="A39" s="100" t="s">
        <v>976</v>
      </c>
      <c r="B39" s="23">
        <f t="shared" si="0"/>
        <v>19</v>
      </c>
      <c r="C39" s="24"/>
      <c r="D39" s="22" t="s">
        <v>504</v>
      </c>
      <c r="E39" s="25"/>
      <c r="F39" s="25"/>
      <c r="G39" s="25"/>
      <c r="H39" s="25"/>
      <c r="I39" s="25"/>
      <c r="J39" s="25"/>
      <c r="K39" s="25"/>
      <c r="L39" s="25"/>
      <c r="M39" s="25"/>
      <c r="N39" s="25"/>
      <c r="O39" s="25"/>
      <c r="P39" s="25"/>
      <c r="Q39" s="26"/>
      <c r="R39" s="22" t="s">
        <v>521</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datetime</v>
      </c>
      <c r="AD39" s="25"/>
      <c r="AE39" s="25"/>
      <c r="AF39" s="25"/>
      <c r="AG39" s="26"/>
      <c r="AH39" s="22"/>
      <c r="AI39" s="26"/>
      <c r="AJ39" s="22" t="s">
        <v>885</v>
      </c>
      <c r="AK39" s="25"/>
      <c r="AL39" s="26"/>
      <c r="AM39" s="22"/>
      <c r="AN39" s="25"/>
      <c r="AO39" s="25"/>
      <c r="AP39" s="25"/>
      <c r="AQ39" s="25"/>
      <c r="AR39" s="25"/>
      <c r="AS39" s="26"/>
      <c r="AT39" s="22" t="s">
        <v>541</v>
      </c>
      <c r="AU39" s="25"/>
      <c r="AV39" s="25"/>
      <c r="AW39" s="25"/>
      <c r="AX39" s="25"/>
      <c r="AY39" s="25"/>
      <c r="AZ39" s="25"/>
      <c r="BA39" s="25"/>
      <c r="BB39" s="25"/>
      <c r="BC39" s="25"/>
      <c r="BD39" s="25"/>
      <c r="BE39" s="25"/>
      <c r="BF39" s="25"/>
      <c r="BG39" s="25"/>
      <c r="BH39" s="25"/>
      <c r="BI39" s="25"/>
      <c r="BJ39" s="26"/>
      <c r="BK39" s="4"/>
      <c r="BM39" t="s">
        <v>898</v>
      </c>
      <c r="BN39">
        <v>7</v>
      </c>
      <c r="BP39" t="str">
        <f t="shared" si="1"/>
        <v>,`StartDateTime` datetime NOT NULL COMMENT '開始日時'</v>
      </c>
      <c r="BQ39" t="s">
        <v>626</v>
      </c>
      <c r="BR39" t="str">
        <f t="shared" si="5"/>
        <v>,`StartDateTime` datetime NOT NULL</v>
      </c>
      <c r="BS39" t="s">
        <v>626</v>
      </c>
      <c r="BT39" t="str">
        <f t="shared" si="6"/>
        <v>,`StartDateTime` = if(@14 &gt; '0000-00-00 00:00:00', if(@14 &gt; '2999-12-31 23:59:59', '2999-12-31 23:59:59', @14), null)</v>
      </c>
      <c r="BU39" t="s">
        <v>626</v>
      </c>
      <c r="BV39" s="97" t="str">
        <f t="shared" si="2"/>
        <v>,A.`StartDateTime` = B.`StartDateTime`</v>
      </c>
      <c r="BW39" t="s">
        <v>626</v>
      </c>
      <c r="BX39" s="97" t="str">
        <f t="shared" si="3"/>
        <v>,`StartDateTime`</v>
      </c>
      <c r="BY39" t="s">
        <v>626</v>
      </c>
      <c r="BZ39" s="97" t="str">
        <f t="shared" si="4"/>
        <v>,`StartDateTime`</v>
      </c>
      <c r="CA39" t="s">
        <v>626</v>
      </c>
    </row>
    <row r="40" spans="1:79" ht="15" customHeight="1">
      <c r="A40" s="100" t="s">
        <v>977</v>
      </c>
      <c r="B40" s="23">
        <f t="shared" si="0"/>
        <v>20</v>
      </c>
      <c r="C40" s="24"/>
      <c r="D40" s="22" t="s">
        <v>505</v>
      </c>
      <c r="E40" s="25"/>
      <c r="F40" s="25"/>
      <c r="G40" s="25"/>
      <c r="H40" s="25"/>
      <c r="I40" s="25"/>
      <c r="J40" s="25"/>
      <c r="K40" s="25"/>
      <c r="L40" s="25"/>
      <c r="M40" s="25"/>
      <c r="N40" s="25"/>
      <c r="O40" s="25"/>
      <c r="P40" s="25"/>
      <c r="Q40" s="26"/>
      <c r="R40" s="22" t="s">
        <v>522</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datetime</v>
      </c>
      <c r="AD40" s="25"/>
      <c r="AE40" s="25"/>
      <c r="AF40" s="25"/>
      <c r="AG40" s="26"/>
      <c r="AH40" s="22"/>
      <c r="AI40" s="26"/>
      <c r="AJ40" s="22" t="s">
        <v>885</v>
      </c>
      <c r="AK40" s="25"/>
      <c r="AL40" s="26"/>
      <c r="AM40" s="22"/>
      <c r="AN40" s="25"/>
      <c r="AO40" s="25"/>
      <c r="AP40" s="25"/>
      <c r="AQ40" s="25"/>
      <c r="AR40" s="25"/>
      <c r="AS40" s="26"/>
      <c r="AT40" s="22" t="s">
        <v>542</v>
      </c>
      <c r="AU40" s="25"/>
      <c r="AV40" s="25"/>
      <c r="AW40" s="25"/>
      <c r="AX40" s="25"/>
      <c r="AY40" s="25"/>
      <c r="AZ40" s="25"/>
      <c r="BA40" s="25"/>
      <c r="BB40" s="25"/>
      <c r="BC40" s="25"/>
      <c r="BD40" s="25"/>
      <c r="BE40" s="25"/>
      <c r="BF40" s="25"/>
      <c r="BG40" s="25"/>
      <c r="BH40" s="25"/>
      <c r="BI40" s="25"/>
      <c r="BJ40" s="26"/>
      <c r="BK40" s="4"/>
      <c r="BM40" t="s">
        <v>898</v>
      </c>
      <c r="BN40">
        <v>7</v>
      </c>
      <c r="BP40" t="str">
        <f t="shared" si="1"/>
        <v>,`EndDateTime` datetime NOT NULL COMMENT '終了日時'</v>
      </c>
      <c r="BQ40" t="s">
        <v>626</v>
      </c>
      <c r="BR40" t="str">
        <f t="shared" si="5"/>
        <v>,`EndDateTime` datetime NOT NULL</v>
      </c>
      <c r="BS40" t="s">
        <v>626</v>
      </c>
      <c r="BT40" t="str">
        <f t="shared" si="6"/>
        <v>,`EndDateTime` = if(@15 &gt; '0000-00-00 00:00:00', if(@15 &gt; '2999-12-31 23:59:59', '2999-12-31 23:59:59', @15), null)</v>
      </c>
      <c r="BU40" t="s">
        <v>626</v>
      </c>
      <c r="BV40" s="97" t="str">
        <f t="shared" si="2"/>
        <v>,A.`EndDateTime` = B.`EndDateTime`</v>
      </c>
      <c r="BW40" t="s">
        <v>626</v>
      </c>
      <c r="BX40" s="97" t="str">
        <f t="shared" si="3"/>
        <v>,`EndDateTime`</v>
      </c>
      <c r="BY40" t="s">
        <v>626</v>
      </c>
      <c r="BZ40" s="97" t="str">
        <f t="shared" si="4"/>
        <v>,`EndDateTime`</v>
      </c>
      <c r="CA40" t="s">
        <v>626</v>
      </c>
    </row>
    <row r="41" spans="1:79" ht="15" customHeight="1">
      <c r="A41" s="100" t="s">
        <v>978</v>
      </c>
      <c r="B41" s="23">
        <f t="shared" si="0"/>
        <v>21</v>
      </c>
      <c r="C41" s="24"/>
      <c r="D41" s="22" t="s">
        <v>506</v>
      </c>
      <c r="E41" s="25"/>
      <c r="F41" s="25"/>
      <c r="G41" s="25"/>
      <c r="H41" s="25"/>
      <c r="I41" s="25"/>
      <c r="J41" s="25"/>
      <c r="K41" s="25"/>
      <c r="L41" s="25"/>
      <c r="M41" s="25"/>
      <c r="N41" s="25"/>
      <c r="O41" s="25"/>
      <c r="P41" s="25"/>
      <c r="Q41" s="26"/>
      <c r="R41" s="22" t="s">
        <v>523</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smallint</v>
      </c>
      <c r="AD41" s="25"/>
      <c r="AE41" s="25"/>
      <c r="AF41" s="25"/>
      <c r="AG41" s="26"/>
      <c r="AH41" s="22"/>
      <c r="AI41" s="26"/>
      <c r="AJ41" s="22" t="s">
        <v>885</v>
      </c>
      <c r="AK41" s="25"/>
      <c r="AL41" s="26"/>
      <c r="AM41" s="22"/>
      <c r="AN41" s="25"/>
      <c r="AO41" s="25"/>
      <c r="AP41" s="25"/>
      <c r="AQ41" s="25"/>
      <c r="AR41" s="25"/>
      <c r="AS41" s="26"/>
      <c r="AT41" s="22" t="s">
        <v>543</v>
      </c>
      <c r="AU41" s="25"/>
      <c r="AV41" s="25"/>
      <c r="AW41" s="25"/>
      <c r="AX41" s="25"/>
      <c r="AY41" s="25"/>
      <c r="AZ41" s="25"/>
      <c r="BA41" s="25"/>
      <c r="BB41" s="25"/>
      <c r="BC41" s="25"/>
      <c r="BD41" s="25"/>
      <c r="BE41" s="25"/>
      <c r="BF41" s="25"/>
      <c r="BG41" s="25"/>
      <c r="BH41" s="25"/>
      <c r="BI41" s="25"/>
      <c r="BJ41" s="26"/>
      <c r="BK41" s="4"/>
      <c r="BM41" t="s">
        <v>623</v>
      </c>
      <c r="BP41" t="str">
        <f t="shared" si="1"/>
        <v>,`DateCategorizeTypeCode` smallint NOT NULL COMMENT '採用曜日区分'</v>
      </c>
      <c r="BQ41" t="s">
        <v>626</v>
      </c>
      <c r="BR41" t="str">
        <f t="shared" si="5"/>
        <v>,`DateCategorizeTypeCode` smallint NOT NULL</v>
      </c>
      <c r="BS41" t="s">
        <v>626</v>
      </c>
      <c r="BT41" t="str">
        <f t="shared" si="6"/>
        <v>,`DateCategorizeTypeCode` = if(nullif( @16,'') &gt; '', @16, null )</v>
      </c>
      <c r="BU41" t="s">
        <v>626</v>
      </c>
      <c r="BV41" s="97" t="str">
        <f t="shared" si="2"/>
        <v>,A.`DateCategorizeTypeCode` = B.`DateCategorizeTypeCode`</v>
      </c>
      <c r="BW41" t="s">
        <v>626</v>
      </c>
      <c r="BX41" s="97" t="str">
        <f t="shared" si="3"/>
        <v>,`DateCategorizeTypeCode`</v>
      </c>
      <c r="BY41" t="s">
        <v>626</v>
      </c>
      <c r="BZ41" s="97" t="str">
        <f t="shared" si="4"/>
        <v>,`DateCategorizeTypeCode`</v>
      </c>
      <c r="CA41" t="s">
        <v>626</v>
      </c>
    </row>
    <row r="42" spans="1:79" ht="15" customHeight="1">
      <c r="A42" s="100" t="s">
        <v>979</v>
      </c>
      <c r="B42" s="23">
        <f t="shared" si="0"/>
        <v>22</v>
      </c>
      <c r="C42" s="24"/>
      <c r="D42" s="22" t="s">
        <v>507</v>
      </c>
      <c r="E42" s="25"/>
      <c r="F42" s="25"/>
      <c r="G42" s="25"/>
      <c r="H42" s="25"/>
      <c r="I42" s="25"/>
      <c r="J42" s="25"/>
      <c r="K42" s="25"/>
      <c r="L42" s="25"/>
      <c r="M42" s="25"/>
      <c r="N42" s="25"/>
      <c r="O42" s="25"/>
      <c r="P42" s="25"/>
      <c r="Q42" s="26"/>
      <c r="R42" s="22" t="s">
        <v>524</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char(1)</v>
      </c>
      <c r="AD42" s="25"/>
      <c r="AE42" s="25"/>
      <c r="AF42" s="25"/>
      <c r="AG42" s="26"/>
      <c r="AH42" s="22"/>
      <c r="AI42" s="26"/>
      <c r="AJ42" s="22" t="s">
        <v>885</v>
      </c>
      <c r="AK42" s="25"/>
      <c r="AL42" s="26"/>
      <c r="AM42" s="22"/>
      <c r="AN42" s="25"/>
      <c r="AO42" s="25"/>
      <c r="AP42" s="25"/>
      <c r="AQ42" s="25"/>
      <c r="AR42" s="25"/>
      <c r="AS42" s="26"/>
      <c r="AT42" s="22" t="s">
        <v>544</v>
      </c>
      <c r="AU42" s="25"/>
      <c r="AV42" s="25"/>
      <c r="AW42" s="25"/>
      <c r="AX42" s="25"/>
      <c r="AY42" s="25"/>
      <c r="AZ42" s="25"/>
      <c r="BA42" s="25"/>
      <c r="BB42" s="25"/>
      <c r="BC42" s="25"/>
      <c r="BD42" s="25"/>
      <c r="BE42" s="25"/>
      <c r="BF42" s="25"/>
      <c r="BG42" s="25"/>
      <c r="BH42" s="25"/>
      <c r="BI42" s="25"/>
      <c r="BJ42" s="26"/>
      <c r="BK42" s="4"/>
      <c r="BM42" t="s">
        <v>896</v>
      </c>
      <c r="BP42" t="str">
        <f t="shared" si="1"/>
        <v>,`IsMonday` char(1) NOT NULL COMMENT '月曜日実施フラグ'</v>
      </c>
      <c r="BQ42" t="s">
        <v>626</v>
      </c>
      <c r="BR42" t="str">
        <f t="shared" si="5"/>
        <v>,`IsMonday` char(1) NOT NULL</v>
      </c>
      <c r="BS42" t="s">
        <v>626</v>
      </c>
      <c r="BT42" t="str">
        <f t="shared" si="6"/>
        <v>,`IsMonday` = if(nullif( @17,'') &gt; '', @17, null )</v>
      </c>
      <c r="BU42" t="s">
        <v>626</v>
      </c>
      <c r="BV42" s="97" t="str">
        <f t="shared" si="2"/>
        <v>,A.`IsMonday` = B.`IsMonday`</v>
      </c>
      <c r="BW42" t="s">
        <v>626</v>
      </c>
      <c r="BX42" s="97" t="str">
        <f t="shared" si="3"/>
        <v>,`IsMonday`</v>
      </c>
      <c r="BY42" t="s">
        <v>626</v>
      </c>
      <c r="BZ42" s="97" t="str">
        <f t="shared" si="4"/>
        <v>,`IsMonday`</v>
      </c>
      <c r="CA42" t="s">
        <v>626</v>
      </c>
    </row>
    <row r="43" spans="1:79" ht="15" customHeight="1">
      <c r="A43" s="100" t="s">
        <v>980</v>
      </c>
      <c r="B43" s="23">
        <f t="shared" si="0"/>
        <v>23</v>
      </c>
      <c r="C43" s="24"/>
      <c r="D43" s="22" t="s">
        <v>508</v>
      </c>
      <c r="E43" s="25"/>
      <c r="F43" s="25"/>
      <c r="G43" s="25"/>
      <c r="H43" s="25"/>
      <c r="I43" s="25"/>
      <c r="J43" s="25"/>
      <c r="K43" s="25"/>
      <c r="L43" s="25"/>
      <c r="M43" s="25"/>
      <c r="N43" s="25"/>
      <c r="O43" s="25"/>
      <c r="P43" s="25"/>
      <c r="Q43" s="26"/>
      <c r="R43" s="22" t="s">
        <v>525</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char(1)</v>
      </c>
      <c r="AD43" s="25"/>
      <c r="AE43" s="25"/>
      <c r="AF43" s="25"/>
      <c r="AG43" s="26"/>
      <c r="AH43" s="22"/>
      <c r="AI43" s="26"/>
      <c r="AJ43" s="22" t="s">
        <v>885</v>
      </c>
      <c r="AK43" s="25"/>
      <c r="AL43" s="26"/>
      <c r="AM43" s="22"/>
      <c r="AN43" s="25"/>
      <c r="AO43" s="25"/>
      <c r="AP43" s="25"/>
      <c r="AQ43" s="25"/>
      <c r="AR43" s="25"/>
      <c r="AS43" s="26"/>
      <c r="AT43" s="22" t="s">
        <v>545</v>
      </c>
      <c r="AU43" s="25"/>
      <c r="AV43" s="25"/>
      <c r="AW43" s="25"/>
      <c r="AX43" s="25"/>
      <c r="AY43" s="25"/>
      <c r="AZ43" s="25"/>
      <c r="BA43" s="25"/>
      <c r="BB43" s="25"/>
      <c r="BC43" s="25"/>
      <c r="BD43" s="25"/>
      <c r="BE43" s="25"/>
      <c r="BF43" s="25"/>
      <c r="BG43" s="25"/>
      <c r="BH43" s="25"/>
      <c r="BI43" s="25"/>
      <c r="BJ43" s="26"/>
      <c r="BK43" s="4"/>
      <c r="BM43" t="s">
        <v>896</v>
      </c>
      <c r="BP43" t="str">
        <f t="shared" si="1"/>
        <v>,`IsTuesday` char(1) NOT NULL COMMENT '火曜日実施フラグ'</v>
      </c>
      <c r="BQ43" t="s">
        <v>626</v>
      </c>
      <c r="BR43" t="str">
        <f t="shared" si="5"/>
        <v>,`IsTuesday` char(1) NOT NULL</v>
      </c>
      <c r="BS43" t="s">
        <v>626</v>
      </c>
      <c r="BT43" t="str">
        <f t="shared" si="6"/>
        <v>,`IsTuesday` = if(nullif( @18,'') &gt; '', @18, null )</v>
      </c>
      <c r="BU43" t="s">
        <v>626</v>
      </c>
      <c r="BV43" s="97" t="str">
        <f t="shared" si="2"/>
        <v>,A.`IsTuesday` = B.`IsTuesday`</v>
      </c>
      <c r="BW43" t="s">
        <v>626</v>
      </c>
      <c r="BX43" s="97" t="str">
        <f t="shared" si="3"/>
        <v>,`IsTuesday`</v>
      </c>
      <c r="BY43" t="s">
        <v>626</v>
      </c>
      <c r="BZ43" s="97" t="str">
        <f t="shared" si="4"/>
        <v>,`IsTuesday`</v>
      </c>
      <c r="CA43" t="s">
        <v>626</v>
      </c>
    </row>
    <row r="44" spans="1:79" ht="15" customHeight="1">
      <c r="A44" s="100" t="s">
        <v>981</v>
      </c>
      <c r="B44" s="23">
        <f t="shared" si="0"/>
        <v>24</v>
      </c>
      <c r="C44" s="24"/>
      <c r="D44" s="22" t="s">
        <v>509</v>
      </c>
      <c r="E44" s="25"/>
      <c r="F44" s="25"/>
      <c r="G44" s="25"/>
      <c r="H44" s="25"/>
      <c r="I44" s="25"/>
      <c r="J44" s="25"/>
      <c r="K44" s="25"/>
      <c r="L44" s="25"/>
      <c r="M44" s="25"/>
      <c r="N44" s="25"/>
      <c r="O44" s="25"/>
      <c r="P44" s="25"/>
      <c r="Q44" s="26"/>
      <c r="R44" s="22" t="s">
        <v>526</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char(1)</v>
      </c>
      <c r="AD44" s="25"/>
      <c r="AE44" s="25"/>
      <c r="AF44" s="25"/>
      <c r="AG44" s="26"/>
      <c r="AH44" s="22"/>
      <c r="AI44" s="26"/>
      <c r="AJ44" s="22" t="s">
        <v>885</v>
      </c>
      <c r="AK44" s="25"/>
      <c r="AL44" s="26"/>
      <c r="AM44" s="22"/>
      <c r="AN44" s="25"/>
      <c r="AO44" s="25"/>
      <c r="AP44" s="25"/>
      <c r="AQ44" s="25"/>
      <c r="AR44" s="25"/>
      <c r="AS44" s="26"/>
      <c r="AT44" s="22" t="s">
        <v>546</v>
      </c>
      <c r="AU44" s="25"/>
      <c r="AV44" s="25"/>
      <c r="AW44" s="25"/>
      <c r="AX44" s="25"/>
      <c r="AY44" s="25"/>
      <c r="AZ44" s="25"/>
      <c r="BA44" s="25"/>
      <c r="BB44" s="25"/>
      <c r="BC44" s="25"/>
      <c r="BD44" s="25"/>
      <c r="BE44" s="25"/>
      <c r="BF44" s="25"/>
      <c r="BG44" s="25"/>
      <c r="BH44" s="25"/>
      <c r="BI44" s="25"/>
      <c r="BJ44" s="26"/>
      <c r="BK44" s="4"/>
      <c r="BM44" t="s">
        <v>896</v>
      </c>
      <c r="BP44" t="str">
        <f t="shared" si="1"/>
        <v>,`IsWednesday` char(1) NOT NULL COMMENT '水曜日実施フラグ'</v>
      </c>
      <c r="BQ44" t="s">
        <v>626</v>
      </c>
      <c r="BR44" t="str">
        <f t="shared" si="5"/>
        <v>,`IsWednesday` char(1) NOT NULL</v>
      </c>
      <c r="BS44" t="s">
        <v>626</v>
      </c>
      <c r="BT44" t="str">
        <f t="shared" si="6"/>
        <v>,`IsWednesday` = if(nullif( @19,'') &gt; '', @19, null )</v>
      </c>
      <c r="BU44" t="s">
        <v>626</v>
      </c>
      <c r="BV44" s="97" t="str">
        <f t="shared" si="2"/>
        <v>,A.`IsWednesday` = B.`IsWednesday`</v>
      </c>
      <c r="BW44" t="s">
        <v>626</v>
      </c>
      <c r="BX44" s="97" t="str">
        <f t="shared" si="3"/>
        <v>,`IsWednesday`</v>
      </c>
      <c r="BY44" t="s">
        <v>626</v>
      </c>
      <c r="BZ44" s="97" t="str">
        <f t="shared" si="4"/>
        <v>,`IsWednesday`</v>
      </c>
      <c r="CA44" t="s">
        <v>626</v>
      </c>
    </row>
    <row r="45" spans="1:79" ht="15" customHeight="1">
      <c r="A45" s="100" t="s">
        <v>982</v>
      </c>
      <c r="B45" s="23">
        <f t="shared" si="0"/>
        <v>25</v>
      </c>
      <c r="C45" s="24"/>
      <c r="D45" s="22" t="s">
        <v>510</v>
      </c>
      <c r="E45" s="25"/>
      <c r="F45" s="25"/>
      <c r="G45" s="25"/>
      <c r="H45" s="25"/>
      <c r="I45" s="25"/>
      <c r="J45" s="25"/>
      <c r="K45" s="25"/>
      <c r="L45" s="25"/>
      <c r="M45" s="25"/>
      <c r="N45" s="25"/>
      <c r="O45" s="25"/>
      <c r="P45" s="25"/>
      <c r="Q45" s="26"/>
      <c r="R45" s="22" t="s">
        <v>527</v>
      </c>
      <c r="S45" s="25"/>
      <c r="T45" s="25"/>
      <c r="U45" s="25"/>
      <c r="V45" s="25"/>
      <c r="W45" s="25"/>
      <c r="X45" s="25"/>
      <c r="Y45" s="25"/>
      <c r="Z45" s="25"/>
      <c r="AA45" s="25"/>
      <c r="AB45" s="26"/>
      <c r="AC45" s="22" t="str" cm="1">
        <f t="array" ref="AC45">_xlfn.SWITCH(BM45,"nvarchar","varchar("&amp;BN45&amp;")","smallint","smallint","date","date","money","decimal(19,4)","numeric","numeric("&amp;BN45&amp;")","int","int","bit","char(1)","datetime2","datetime","time","time")</f>
        <v>char(1)</v>
      </c>
      <c r="AD45" s="25"/>
      <c r="AE45" s="25"/>
      <c r="AF45" s="25"/>
      <c r="AG45" s="26"/>
      <c r="AH45" s="22"/>
      <c r="AI45" s="26"/>
      <c r="AJ45" s="22" t="s">
        <v>885</v>
      </c>
      <c r="AK45" s="25"/>
      <c r="AL45" s="26"/>
      <c r="AM45" s="22"/>
      <c r="AN45" s="25"/>
      <c r="AO45" s="25"/>
      <c r="AP45" s="25"/>
      <c r="AQ45" s="25"/>
      <c r="AR45" s="25"/>
      <c r="AS45" s="26"/>
      <c r="AT45" s="22" t="s">
        <v>547</v>
      </c>
      <c r="AU45" s="25"/>
      <c r="AV45" s="25"/>
      <c r="AW45" s="25"/>
      <c r="AX45" s="25"/>
      <c r="AY45" s="25"/>
      <c r="AZ45" s="25"/>
      <c r="BA45" s="25"/>
      <c r="BB45" s="25"/>
      <c r="BC45" s="25"/>
      <c r="BD45" s="25"/>
      <c r="BE45" s="25"/>
      <c r="BF45" s="25"/>
      <c r="BG45" s="25"/>
      <c r="BH45" s="25"/>
      <c r="BI45" s="25"/>
      <c r="BJ45" s="26"/>
      <c r="BK45" s="4"/>
      <c r="BM45" t="s">
        <v>896</v>
      </c>
      <c r="BP45" t="str">
        <f t="shared" si="1"/>
        <v>,`IsThursday` char(1) NOT NULL COMMENT '木曜日実施フラグ'</v>
      </c>
      <c r="BQ45" t="s">
        <v>626</v>
      </c>
      <c r="BR45" t="str">
        <f t="shared" si="5"/>
        <v>,`IsThursday` char(1) NOT NULL</v>
      </c>
      <c r="BS45" t="s">
        <v>626</v>
      </c>
      <c r="BT45" t="str">
        <f t="shared" si="6"/>
        <v>,`IsThursday` = if(nullif( @20,'') &gt; '', @20, null )</v>
      </c>
      <c r="BU45" t="s">
        <v>626</v>
      </c>
      <c r="BV45" s="97" t="str">
        <f t="shared" si="2"/>
        <v>,A.`IsThursday` = B.`IsThursday`</v>
      </c>
      <c r="BW45" t="s">
        <v>626</v>
      </c>
      <c r="BX45" s="97" t="str">
        <f t="shared" si="3"/>
        <v>,`IsThursday`</v>
      </c>
      <c r="BY45" t="s">
        <v>626</v>
      </c>
      <c r="BZ45" s="97" t="str">
        <f t="shared" si="4"/>
        <v>,`IsThursday`</v>
      </c>
      <c r="CA45" t="s">
        <v>626</v>
      </c>
    </row>
    <row r="46" spans="1:79" ht="15" customHeight="1">
      <c r="A46" s="100" t="s">
        <v>983</v>
      </c>
      <c r="B46" s="23">
        <f t="shared" si="0"/>
        <v>26</v>
      </c>
      <c r="C46" s="24"/>
      <c r="D46" s="22" t="s">
        <v>511</v>
      </c>
      <c r="E46" s="25"/>
      <c r="F46" s="25"/>
      <c r="G46" s="25"/>
      <c r="H46" s="25"/>
      <c r="I46" s="25"/>
      <c r="J46" s="25"/>
      <c r="K46" s="25"/>
      <c r="L46" s="25"/>
      <c r="M46" s="25"/>
      <c r="N46" s="25"/>
      <c r="O46" s="25"/>
      <c r="P46" s="25"/>
      <c r="Q46" s="26"/>
      <c r="R46" s="22" t="s">
        <v>528</v>
      </c>
      <c r="S46" s="25"/>
      <c r="T46" s="25"/>
      <c r="U46" s="25"/>
      <c r="V46" s="25"/>
      <c r="W46" s="25"/>
      <c r="X46" s="25"/>
      <c r="Y46" s="25"/>
      <c r="Z46" s="25"/>
      <c r="AA46" s="25"/>
      <c r="AB46" s="26"/>
      <c r="AC46" s="22" t="str" cm="1">
        <f t="array" ref="AC46">_xlfn.SWITCH(BM46,"nvarchar","varchar("&amp;BN46&amp;")","smallint","smallint","date","date","money","decimal(19,4)","numeric","numeric("&amp;BN46&amp;")","int","int","bit","char(1)","datetime2","datetime","time","time")</f>
        <v>char(1)</v>
      </c>
      <c r="AD46" s="25"/>
      <c r="AE46" s="25"/>
      <c r="AF46" s="25"/>
      <c r="AG46" s="26"/>
      <c r="AH46" s="22"/>
      <c r="AI46" s="26"/>
      <c r="AJ46" s="22" t="s">
        <v>885</v>
      </c>
      <c r="AK46" s="25"/>
      <c r="AL46" s="26"/>
      <c r="AM46" s="22"/>
      <c r="AN46" s="25"/>
      <c r="AO46" s="25"/>
      <c r="AP46" s="25"/>
      <c r="AQ46" s="25"/>
      <c r="AR46" s="25"/>
      <c r="AS46" s="26"/>
      <c r="AT46" s="22" t="s">
        <v>548</v>
      </c>
      <c r="AU46" s="25"/>
      <c r="AV46" s="25"/>
      <c r="AW46" s="25"/>
      <c r="AX46" s="25"/>
      <c r="AY46" s="25"/>
      <c r="AZ46" s="25"/>
      <c r="BA46" s="25"/>
      <c r="BB46" s="25"/>
      <c r="BC46" s="25"/>
      <c r="BD46" s="25"/>
      <c r="BE46" s="25"/>
      <c r="BF46" s="25"/>
      <c r="BG46" s="25"/>
      <c r="BH46" s="25"/>
      <c r="BI46" s="25"/>
      <c r="BJ46" s="26"/>
      <c r="BK46" s="4"/>
      <c r="BM46" t="s">
        <v>896</v>
      </c>
      <c r="BP46" t="str">
        <f t="shared" si="1"/>
        <v>,`IsFriday` char(1) NOT NULL COMMENT '金曜日実施フラグ'</v>
      </c>
      <c r="BQ46" t="s">
        <v>626</v>
      </c>
      <c r="BR46" t="str">
        <f t="shared" si="5"/>
        <v>,`IsFriday` char(1) NOT NULL</v>
      </c>
      <c r="BS46" t="s">
        <v>626</v>
      </c>
      <c r="BT46" t="str">
        <f t="shared" si="6"/>
        <v>,`IsFriday` = if(nullif( @21,'') &gt; '', @21, null )</v>
      </c>
      <c r="BU46" t="s">
        <v>626</v>
      </c>
      <c r="BV46" s="97" t="str">
        <f t="shared" si="2"/>
        <v>,A.`IsFriday` = B.`IsFriday`</v>
      </c>
      <c r="BW46" t="s">
        <v>626</v>
      </c>
      <c r="BX46" s="97" t="str">
        <f t="shared" si="3"/>
        <v>,`IsFriday`</v>
      </c>
      <c r="BY46" t="s">
        <v>626</v>
      </c>
      <c r="BZ46" s="97" t="str">
        <f t="shared" si="4"/>
        <v>,`IsFriday`</v>
      </c>
      <c r="CA46" t="s">
        <v>626</v>
      </c>
    </row>
    <row r="47" spans="1:79" ht="15" customHeight="1">
      <c r="A47" s="100" t="s">
        <v>984</v>
      </c>
      <c r="B47" s="23">
        <f t="shared" si="0"/>
        <v>27</v>
      </c>
      <c r="C47" s="24"/>
      <c r="D47" s="22" t="s">
        <v>512</v>
      </c>
      <c r="E47" s="25"/>
      <c r="F47" s="25"/>
      <c r="G47" s="25"/>
      <c r="H47" s="25"/>
      <c r="I47" s="25"/>
      <c r="J47" s="25"/>
      <c r="K47" s="25"/>
      <c r="L47" s="25"/>
      <c r="M47" s="25"/>
      <c r="N47" s="25"/>
      <c r="O47" s="25"/>
      <c r="P47" s="25"/>
      <c r="Q47" s="26"/>
      <c r="R47" s="22" t="s">
        <v>529</v>
      </c>
      <c r="S47" s="25"/>
      <c r="T47" s="25"/>
      <c r="U47" s="25"/>
      <c r="V47" s="25"/>
      <c r="W47" s="25"/>
      <c r="X47" s="25"/>
      <c r="Y47" s="25"/>
      <c r="Z47" s="25"/>
      <c r="AA47" s="25"/>
      <c r="AB47" s="26"/>
      <c r="AC47" s="22" t="str" cm="1">
        <f t="array" ref="AC47">_xlfn.SWITCH(BM47,"nvarchar","varchar("&amp;BN47&amp;")","smallint","smallint","date","date","money","decimal(19,4)","numeric","numeric("&amp;BN47&amp;")","int","int","bit","char(1)","datetime2","datetime","time","time")</f>
        <v>char(1)</v>
      </c>
      <c r="AD47" s="25"/>
      <c r="AE47" s="25"/>
      <c r="AF47" s="25"/>
      <c r="AG47" s="26"/>
      <c r="AH47" s="22"/>
      <c r="AI47" s="26"/>
      <c r="AJ47" s="22" t="s">
        <v>885</v>
      </c>
      <c r="AK47" s="25"/>
      <c r="AL47" s="26"/>
      <c r="AM47" s="22"/>
      <c r="AN47" s="25"/>
      <c r="AO47" s="25"/>
      <c r="AP47" s="25"/>
      <c r="AQ47" s="25"/>
      <c r="AR47" s="25"/>
      <c r="AS47" s="26"/>
      <c r="AT47" s="22" t="s">
        <v>549</v>
      </c>
      <c r="AU47" s="25"/>
      <c r="AV47" s="25"/>
      <c r="AW47" s="25"/>
      <c r="AX47" s="25"/>
      <c r="AY47" s="25"/>
      <c r="AZ47" s="25"/>
      <c r="BA47" s="25"/>
      <c r="BB47" s="25"/>
      <c r="BC47" s="25"/>
      <c r="BD47" s="25"/>
      <c r="BE47" s="25"/>
      <c r="BF47" s="25"/>
      <c r="BG47" s="25"/>
      <c r="BH47" s="25"/>
      <c r="BI47" s="25"/>
      <c r="BJ47" s="26"/>
      <c r="BK47" s="4"/>
      <c r="BM47" t="s">
        <v>896</v>
      </c>
      <c r="BP47" t="str">
        <f t="shared" si="1"/>
        <v>,`IsSaturday` char(1) NOT NULL COMMENT '土曜日実施フラグ'</v>
      </c>
      <c r="BQ47" t="s">
        <v>626</v>
      </c>
      <c r="BR47" t="str">
        <f t="shared" si="5"/>
        <v>,`IsSaturday` char(1) NOT NULL</v>
      </c>
      <c r="BS47" t="s">
        <v>626</v>
      </c>
      <c r="BT47" t="str">
        <f t="shared" si="6"/>
        <v>,`IsSaturday` = if(nullif( @22,'') &gt; '', @22, null )</v>
      </c>
      <c r="BU47" t="s">
        <v>626</v>
      </c>
      <c r="BV47" s="97" t="str">
        <f t="shared" si="2"/>
        <v>,A.`IsSaturday` = B.`IsSaturday`</v>
      </c>
      <c r="BW47" t="s">
        <v>626</v>
      </c>
      <c r="BX47" s="97" t="str">
        <f t="shared" si="3"/>
        <v>,`IsSaturday`</v>
      </c>
      <c r="BY47" t="s">
        <v>626</v>
      </c>
      <c r="BZ47" s="97" t="str">
        <f t="shared" si="4"/>
        <v>,`IsSaturday`</v>
      </c>
      <c r="CA47" t="s">
        <v>626</v>
      </c>
    </row>
    <row r="48" spans="1:79" ht="15" customHeight="1">
      <c r="A48" s="100" t="s">
        <v>985</v>
      </c>
      <c r="B48" s="28">
        <f t="shared" si="0"/>
        <v>28</v>
      </c>
      <c r="C48" s="29"/>
      <c r="D48" s="30" t="s">
        <v>513</v>
      </c>
      <c r="E48" s="31"/>
      <c r="F48" s="31"/>
      <c r="G48" s="31"/>
      <c r="H48" s="31"/>
      <c r="I48" s="31"/>
      <c r="J48" s="31"/>
      <c r="K48" s="31"/>
      <c r="L48" s="31"/>
      <c r="M48" s="31"/>
      <c r="N48" s="31"/>
      <c r="O48" s="31"/>
      <c r="P48" s="31"/>
      <c r="Q48" s="32"/>
      <c r="R48" s="30" t="s">
        <v>530</v>
      </c>
      <c r="S48" s="31"/>
      <c r="T48" s="31"/>
      <c r="U48" s="31"/>
      <c r="V48" s="31"/>
      <c r="W48" s="31"/>
      <c r="X48" s="31"/>
      <c r="Y48" s="31"/>
      <c r="Z48" s="31"/>
      <c r="AA48" s="31"/>
      <c r="AB48" s="32"/>
      <c r="AC48" s="30" t="str" cm="1">
        <f t="array" ref="AC48">_xlfn.SWITCH(BM48,"nvarchar","varchar("&amp;BN48&amp;")","smallint","smallint","date","date","money","decimal(19,4)","numeric","numeric("&amp;BN48&amp;")","int","int","bit","char(1)","datetime2","datetime","time","time")</f>
        <v>char(1)</v>
      </c>
      <c r="AD48" s="31"/>
      <c r="AE48" s="31"/>
      <c r="AF48" s="31"/>
      <c r="AG48" s="32"/>
      <c r="AH48" s="30"/>
      <c r="AI48" s="32"/>
      <c r="AJ48" s="30" t="s">
        <v>885</v>
      </c>
      <c r="AK48" s="31"/>
      <c r="AL48" s="32"/>
      <c r="AM48" s="30"/>
      <c r="AN48" s="31"/>
      <c r="AO48" s="31"/>
      <c r="AP48" s="31"/>
      <c r="AQ48" s="31"/>
      <c r="AR48" s="31"/>
      <c r="AS48" s="32"/>
      <c r="AT48" s="30" t="s">
        <v>550</v>
      </c>
      <c r="AU48" s="31"/>
      <c r="AV48" s="31"/>
      <c r="AW48" s="31"/>
      <c r="AX48" s="31"/>
      <c r="AY48" s="31"/>
      <c r="AZ48" s="31"/>
      <c r="BA48" s="31"/>
      <c r="BB48" s="31"/>
      <c r="BC48" s="31"/>
      <c r="BD48" s="31"/>
      <c r="BE48" s="31"/>
      <c r="BF48" s="31"/>
      <c r="BG48" s="31"/>
      <c r="BH48" s="31"/>
      <c r="BI48" s="31"/>
      <c r="BJ48" s="32"/>
      <c r="BK48" s="4"/>
      <c r="BM48" t="s">
        <v>896</v>
      </c>
      <c r="BP48" t="str">
        <f t="shared" si="1"/>
        <v>,`IsSunday` char(1) NOT NULL COMMENT '日曜日実施フラグ'</v>
      </c>
      <c r="BQ48" t="s">
        <v>626</v>
      </c>
      <c r="BR48" t="str">
        <f t="shared" si="5"/>
        <v>,`IsSunday` char(1) NOT NULL</v>
      </c>
      <c r="BS48" t="s">
        <v>626</v>
      </c>
      <c r="BT48" t="str">
        <f t="shared" si="6"/>
        <v>,`IsSunday` = if(nullif( @23,'') &gt; '', @23, null )</v>
      </c>
      <c r="BU48" t="s">
        <v>626</v>
      </c>
      <c r="BV48" s="97" t="str">
        <f t="shared" si="2"/>
        <v>,A.`IsSunday` = B.`IsSunday`</v>
      </c>
      <c r="BW48" t="s">
        <v>626</v>
      </c>
      <c r="BX48" s="97" t="str">
        <f t="shared" si="3"/>
        <v>,`IsSunday`</v>
      </c>
      <c r="BY48" t="s">
        <v>626</v>
      </c>
      <c r="BZ48" s="97" t="str">
        <f t="shared" si="4"/>
        <v>,`IsSunday`</v>
      </c>
      <c r="CA48" t="s">
        <v>626</v>
      </c>
    </row>
    <row r="49" spans="1:79" ht="15" customHeight="1">
      <c r="A49" s="100"/>
      <c r="BK49" s="4"/>
      <c r="BP49"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(`CompanyCode`,`StoreCode`,`ScheduleNo`,`SpecialPriceTypeCode`,`ItemCode`),</v>
      </c>
      <c r="BQ49" t="s">
        <v>626</v>
      </c>
      <c r="BR49"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(`CompanyCode`,`StoreCode`,`ScheduleNo`,`SpecialPriceTypeCode`,`ItemCode`)</v>
      </c>
      <c r="BS49" t="s">
        <v>626</v>
      </c>
      <c r="BT49" s="97" t="s">
        <v>936</v>
      </c>
      <c r="BU49" t="s">
        <v>626</v>
      </c>
      <c r="BV49" s="97" t="s">
        <v>934</v>
      </c>
      <c r="BW49" t="s">
        <v>626</v>
      </c>
      <c r="BY49" t="s">
        <v>626</v>
      </c>
      <c r="BZ49" s="97" t="str">
        <f>"FROM `TMP`.`"&amp;$G$10&amp;"` A"</f>
        <v>FROM `TMP`.`SpecialPriceKsmMaster` A</v>
      </c>
      <c r="CA49" t="s">
        <v>626</v>
      </c>
    </row>
    <row r="50" spans="1:79" ht="15" customHeight="1">
      <c r="A50" s="100"/>
      <c r="BK50" s="4"/>
      <c r="BP50" s="97" t="s">
        <v>452</v>
      </c>
      <c r="BQ50" t="s">
        <v>626</v>
      </c>
      <c r="BR50" s="97" t="str">
        <f>") ENGINE=InnoDB DEFAULT CHARSET=utf8mb4 COLLATE=utf8mb4_0900_ai_ci COMMENT = '"&amp;$G$9&amp;"_TMP';"</f>
        <v>) ENGINE=InnoDB DEFAULT CHARSET=utf8mb4 COLLATE=utf8mb4_0900_ai_ci COMMENT = '特売マスタ_TMP';</v>
      </c>
      <c r="BS50" t="s">
        <v>626</v>
      </c>
      <c r="BU50" t="s">
        <v>626</v>
      </c>
      <c r="BV50" s="97" t="str">
        <f>IF(_xlfn.XLOOKUP(1,$AH:$AH,$R:$R,"",0)="","","A.`"&amp;_xlfn.XLOOKUP(1,$AH:$AH,$R:$R,"",0)&amp;"` = B.`"&amp;_xlfn.XLOOKUP(1,$AH:$AH,$R:$R,"",0)&amp;"`")</f>
        <v>A.`CompanyCode` = B.`CompanyCode`</v>
      </c>
      <c r="BW50" t="s">
        <v>626</v>
      </c>
      <c r="BY50" t="s">
        <v>626</v>
      </c>
      <c r="BZ50" s="97" t="s">
        <v>935</v>
      </c>
      <c r="CA50" t="s">
        <v>626</v>
      </c>
    </row>
    <row r="51" spans="1:79" ht="15" customHeight="1">
      <c r="A51" s="100"/>
      <c r="B51" s="37" t="s">
        <v>49</v>
      </c>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4"/>
      <c r="BP51" s="97" t="str">
        <f>") ENGINE=InnoDB DEFAULT CHARSET=utf8mb4 COLLATE=utf8mb4_0900_ai_ci COMMENT = '"&amp;$G$9&amp;"';"</f>
        <v>) ENGINE=InnoDB DEFAULT CHARSET=utf8mb4 COLLATE=utf8mb4_0900_ai_ci COMMENT = '特売マスタ';</v>
      </c>
      <c r="BQ51" t="s">
        <v>626</v>
      </c>
      <c r="BS51" t="s">
        <v>626</v>
      </c>
      <c r="BU51" t="s">
        <v>626</v>
      </c>
      <c r="BV51" s="97" t="str">
        <f>IF(_xlfn.XLOOKUP(2,$AH:$AH,$R:$R,"",0)="","","AND A.`"&amp;_xlfn.XLOOKUP(2,$AH:$AH,$R:$R,"",0)&amp;"` = B.`"&amp;_xlfn.XLOOKUP(2,$AH:$AH,$R:$R,"",0)&amp;"`")</f>
        <v>AND A.`StoreCode` = B.`StoreCode`</v>
      </c>
      <c r="BW51" t="s">
        <v>626</v>
      </c>
      <c r="BY51" t="s">
        <v>626</v>
      </c>
      <c r="BZ51" s="97" t="str">
        <f>"FROM `POS_MASTER`.`"&amp;$G$10&amp;"` B"</f>
        <v>FROM `POS_MASTER`.`SpecialPriceKsmMaster` B</v>
      </c>
      <c r="CA51" t="s">
        <v>626</v>
      </c>
    </row>
    <row r="52" spans="1:79" ht="15" customHeight="1">
      <c r="A52" s="100"/>
      <c r="B52" s="34" t="s">
        <v>50</v>
      </c>
      <c r="C52" s="35"/>
      <c r="D52" s="34" t="s">
        <v>51</v>
      </c>
      <c r="E52" s="44"/>
      <c r="F52" s="36"/>
      <c r="G52" s="36"/>
      <c r="H52" s="36"/>
      <c r="I52" s="36"/>
      <c r="J52" s="36"/>
      <c r="K52" s="36"/>
      <c r="L52" s="36"/>
      <c r="M52" s="36"/>
      <c r="N52" s="36"/>
      <c r="O52" s="36"/>
      <c r="P52" s="36"/>
      <c r="Q52" s="35"/>
      <c r="R52" s="34" t="s">
        <v>52</v>
      </c>
      <c r="S52" s="44"/>
      <c r="T52" s="36"/>
      <c r="U52" s="36"/>
      <c r="V52" s="36"/>
      <c r="W52" s="36"/>
      <c r="X52" s="36"/>
      <c r="Y52" s="36"/>
      <c r="Z52" s="36"/>
      <c r="AA52" s="36"/>
      <c r="AB52" s="36"/>
      <c r="AC52" s="36"/>
      <c r="AD52" s="36"/>
      <c r="AE52" s="36"/>
      <c r="AF52" s="36"/>
      <c r="AG52" s="36"/>
      <c r="AH52" s="36"/>
      <c r="AI52" s="36"/>
      <c r="AJ52" s="36"/>
      <c r="AK52" s="35"/>
      <c r="AL52" s="34" t="s">
        <v>53</v>
      </c>
      <c r="AM52" s="36"/>
      <c r="AN52" s="36"/>
      <c r="AO52" s="45"/>
      <c r="AP52" s="34" t="s">
        <v>54</v>
      </c>
      <c r="AQ52" s="36"/>
      <c r="AR52" s="36"/>
      <c r="AS52" s="35"/>
      <c r="AT52" s="34" t="s">
        <v>48</v>
      </c>
      <c r="AU52" s="44"/>
      <c r="AV52" s="44"/>
      <c r="AW52" s="36"/>
      <c r="AX52" s="36"/>
      <c r="AY52" s="44"/>
      <c r="AZ52" s="36"/>
      <c r="BA52" s="36"/>
      <c r="BB52" s="36"/>
      <c r="BC52" s="36"/>
      <c r="BD52" s="36"/>
      <c r="BE52" s="36"/>
      <c r="BF52" s="36"/>
      <c r="BG52" s="36"/>
      <c r="BH52" s="36"/>
      <c r="BI52" s="44"/>
      <c r="BJ52" s="35"/>
      <c r="BK52" s="4"/>
      <c r="BP52" s="97"/>
      <c r="BQ52" t="s">
        <v>626</v>
      </c>
      <c r="BS52" t="s">
        <v>626</v>
      </c>
      <c r="BU52" t="s">
        <v>626</v>
      </c>
      <c r="BV52" s="97" t="str">
        <f>IF(_xlfn.XLOOKUP(3,$AH:$AH,$R:$R,"",0)="","","AND A.`"&amp;_xlfn.XLOOKUP(3,$AH:$AH,$R:$R,"",0)&amp;"` = B.`"&amp;_xlfn.XLOOKUP(3,$AH:$AH,$R:$R,"",0)&amp;"`")</f>
        <v>AND A.`ScheduleNo` = B.`ScheduleNo`</v>
      </c>
      <c r="BW52" t="s">
        <v>626</v>
      </c>
      <c r="BY52" t="s">
        <v>626</v>
      </c>
      <c r="BZ52" s="97" t="s">
        <v>932</v>
      </c>
      <c r="CA52" t="s">
        <v>626</v>
      </c>
    </row>
    <row r="53" spans="1:79" ht="15" customHeight="1">
      <c r="A53" s="100"/>
      <c r="B53" s="38">
        <v>1</v>
      </c>
      <c r="C53" s="39"/>
      <c r="D53" s="38" t="s">
        <v>55</v>
      </c>
      <c r="E53" s="46"/>
      <c r="F53" s="40"/>
      <c r="G53" s="40"/>
      <c r="H53" s="40"/>
      <c r="I53" s="40"/>
      <c r="J53" s="40"/>
      <c r="K53" s="40"/>
      <c r="L53" s="40"/>
      <c r="M53" s="40"/>
      <c r="N53" s="40"/>
      <c r="O53" s="40"/>
      <c r="P53" s="40"/>
      <c r="Q53" s="39"/>
      <c r="R53"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`CompanyCode`,`StoreCode`,`ScheduleNo`,`SpecialPriceTypeCode`,`ItemCode`</v>
      </c>
      <c r="S53" s="46"/>
      <c r="T53" s="40"/>
      <c r="U53" s="40"/>
      <c r="V53" s="40"/>
      <c r="W53" s="40"/>
      <c r="X53" s="40"/>
      <c r="Y53" s="40"/>
      <c r="Z53" s="40"/>
      <c r="AA53" s="40"/>
      <c r="AB53" s="40"/>
      <c r="AC53" s="40"/>
      <c r="AD53" s="40"/>
      <c r="AE53" s="40"/>
      <c r="AF53" s="40"/>
      <c r="AG53" s="40"/>
      <c r="AH53" s="40"/>
      <c r="AI53" s="40"/>
      <c r="AJ53" s="40"/>
      <c r="AK53" s="39"/>
      <c r="AL53" s="38" t="s">
        <v>885</v>
      </c>
      <c r="AM53" s="40"/>
      <c r="AN53" s="40"/>
      <c r="AO53" s="47"/>
      <c r="AP53" s="38" t="s">
        <v>885</v>
      </c>
      <c r="AQ53" s="40"/>
      <c r="AR53" s="40"/>
      <c r="AS53" s="39"/>
      <c r="AT53" s="38"/>
      <c r="AU53" s="46"/>
      <c r="AV53" s="46"/>
      <c r="AW53" s="40"/>
      <c r="AX53" s="40"/>
      <c r="AY53" s="46"/>
      <c r="AZ53" s="40"/>
      <c r="BA53" s="40"/>
      <c r="BB53" s="40"/>
      <c r="BC53" s="40"/>
      <c r="BD53" s="40"/>
      <c r="BE53" s="40"/>
      <c r="BF53" s="40"/>
      <c r="BG53" s="40"/>
      <c r="BH53" s="40"/>
      <c r="BI53" s="46"/>
      <c r="BJ53" s="39"/>
      <c r="BK53" s="4"/>
      <c r="BP53" s="97" t="str">
        <f>"CREATE TRIGGER `"&amp;$G$10&amp;"_CR_Date_Time` BEFORE INSERT ON `"&amp;$G$10&amp;"` FOR EACH ROW SET NEW.record_create_date = CURRENT_DATE, NEW.record_create_time = CURRENT_TIME, NEW.record_update_date = CURRENT_DATE, NEW.record_update_time = CURRENT_TIME;"</f>
        <v>CREATE TRIGGER `SpecialPriceKsmMaster_CR_Date_Time` BEFORE INSERT ON `SpecialPriceKsmMaster` FOR EACH ROW SET NEW.record_create_date = CURRENT_DATE, NEW.record_create_time = CURRENT_TIME, NEW.record_update_date = CURRENT_DATE, NEW.record_update_time = CURRENT_TIME;</v>
      </c>
      <c r="BQ53" t="s">
        <v>626</v>
      </c>
      <c r="BS53" t="s">
        <v>626</v>
      </c>
      <c r="BU53" t="s">
        <v>626</v>
      </c>
      <c r="BV53" s="97" t="str">
        <f>IF(_xlfn.XLOOKUP(4,$AH:$AH,$R:$R,"",0)="","","AND A.`"&amp;_xlfn.XLOOKUP(4,$AH:$AH,$R:$R,"",0)&amp;"` = B.`"&amp;_xlfn.XLOOKUP(4,$AH:$AH,$R:$R,"",0)&amp;"`")</f>
        <v>AND A.`SpecialPriceTypeCode` = B.`SpecialPriceTypeCode`</v>
      </c>
      <c r="BW53" t="s">
        <v>626</v>
      </c>
      <c r="BY53" t="s">
        <v>626</v>
      </c>
      <c r="BZ53" s="97" t="str">
        <f>IF(_xlfn.XLOOKUP(1,$AH:$AH,$R:$R,"",0)="","","A.`"&amp;_xlfn.XLOOKUP(1,$AH:$AH,$R:$R,"",0)&amp;"` = B.`"&amp;_xlfn.XLOOKUP(1,$AH:$AH,$R:$R,"",0)&amp;"`")</f>
        <v>A.`CompanyCode` = B.`CompanyCode`</v>
      </c>
      <c r="CA53" t="s">
        <v>626</v>
      </c>
    </row>
    <row r="54" spans="1:79" ht="15" customHeight="1">
      <c r="A54" s="100"/>
      <c r="BK54" s="4"/>
      <c r="BP54" s="97" t="str">
        <f>"CREATE TRIGGER `"&amp;$G$10&amp;"_UP_Date_Time` BEFORE UPDATE ON `"&amp;$G$10&amp;"` FOR EACH ROW SET NEW.record_update_date = CURRENT_DATE, NEW.record_update_time = CURRENT_TIME;"</f>
        <v>CREATE TRIGGER `SpecialPriceKsmMaster_UP_Date_Time` BEFORE UPDATE ON `SpecialPriceKsmMaster` FOR EACH ROW SET NEW.record_update_date = CURRENT_DATE, NEW.record_update_time = CURRENT_TIME;</v>
      </c>
      <c r="BQ54" t="s">
        <v>626</v>
      </c>
      <c r="BS54" t="s">
        <v>626</v>
      </c>
      <c r="BU54" t="s">
        <v>626</v>
      </c>
      <c r="BV54" s="97" t="str">
        <f>IF(_xlfn.XLOOKUP(5,$AH:$AH,$R:$R,"",0)="","","AND A.`"&amp;_xlfn.XLOOKUP(5,$AH:$AH,$R:$R,"",0)&amp;"` = B.`"&amp;_xlfn.XLOOKUP(5,$AH:$AH,$R:$R,"",0)&amp;"`")</f>
        <v>AND A.`ItemCode` = B.`ItemCode`</v>
      </c>
      <c r="BW54" t="s">
        <v>626</v>
      </c>
      <c r="BY54" t="s">
        <v>626</v>
      </c>
      <c r="BZ54" s="97" t="str">
        <f>IF(_xlfn.XLOOKUP(2,$AH:$AH,$R:$R,"",0)="","","AND A.`"&amp;_xlfn.XLOOKUP(2,$AH:$AH,$R:$R,"",0)&amp;"` = B.`"&amp;_xlfn.XLOOKUP(2,$AH:$AH,$R:$R,"",0)&amp;"`")</f>
        <v>AND A.`StoreCode` = B.`StoreCode`</v>
      </c>
      <c r="CA54" t="s">
        <v>626</v>
      </c>
    </row>
    <row r="55" spans="1:79" ht="15" customHeight="1">
      <c r="A55" s="100"/>
      <c r="BK55" s="4"/>
      <c r="BQ55" t="s">
        <v>626</v>
      </c>
      <c r="BS55" t="s">
        <v>626</v>
      </c>
      <c r="BU55" t="s">
        <v>626</v>
      </c>
      <c r="BV55" s="97" t="str">
        <f>IF(_xlfn.XLOOKUP(6,$AH:$AH,$R:$R,"",0)="","","AND A.`"&amp;_xlfn.XLOOKUP(6,$AH:$AH,$R:$R,"",0)&amp;"` = B.`"&amp;_xlfn.XLOOKUP(6,$AH:$AH,$R:$R,"",0)&amp;"`")</f>
        <v/>
      </c>
      <c r="BW55" t="s">
        <v>626</v>
      </c>
      <c r="BY55" t="s">
        <v>626</v>
      </c>
      <c r="BZ55" s="97" t="str">
        <f>IF(_xlfn.XLOOKUP(3,$AH:$AH,$R:$R,"",0)="","","AND A.`"&amp;_xlfn.XLOOKUP(3,$AH:$AH,$R:$R,"",0)&amp;"` = B.`"&amp;_xlfn.XLOOKUP(3,$AH:$AH,$R:$R,"",0)&amp;"`")</f>
        <v>AND A.`ScheduleNo` = B.`ScheduleNo`</v>
      </c>
      <c r="CA55" t="s">
        <v>626</v>
      </c>
    </row>
    <row r="56" spans="1:79">
      <c r="A56" s="100"/>
      <c r="B56" s="37" t="s">
        <v>34</v>
      </c>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4"/>
      <c r="BQ56" t="s">
        <v>626</v>
      </c>
      <c r="BS56" t="s">
        <v>626</v>
      </c>
      <c r="BU56" t="s">
        <v>626</v>
      </c>
      <c r="BV56" s="97" t="str">
        <f>IF(_xlfn.XLOOKUP(7,$AH:$AH,$R:$R,"",0)="","","AND A.`"&amp;_xlfn.XLOOKUP(7,$AH:$AH,$R:$R,"",0)&amp;"` = B.`"&amp;_xlfn.XLOOKUP(7,$AH:$AH,$R:$R,"",0)&amp;"`")</f>
        <v/>
      </c>
      <c r="BW56" t="s">
        <v>626</v>
      </c>
      <c r="BY56" t="s">
        <v>626</v>
      </c>
      <c r="BZ56" s="97" t="str">
        <f>IF(_xlfn.XLOOKUP(4,$AH:$AH,$R:$R,"",0)="","","AND A.`"&amp;_xlfn.XLOOKUP(4,$AH:$AH,$R:$R,"",0)&amp;"` = B.`"&amp;_xlfn.XLOOKUP(4,$AH:$AH,$R:$R,"",0)&amp;"`")</f>
        <v>AND A.`SpecialPriceTypeCode` = B.`SpecialPriceTypeCode`</v>
      </c>
      <c r="CA56" t="s">
        <v>626</v>
      </c>
    </row>
    <row r="57" spans="1:79">
      <c r="A57" s="100"/>
      <c r="B57" s="34" t="s">
        <v>35</v>
      </c>
      <c r="C57" s="45"/>
      <c r="D57" s="34" t="s">
        <v>36</v>
      </c>
      <c r="E57" s="44"/>
      <c r="F57" s="44"/>
      <c r="G57" s="44"/>
      <c r="H57" s="44"/>
      <c r="I57" s="44"/>
      <c r="J57" s="44"/>
      <c r="K57" s="44"/>
      <c r="L57" s="36"/>
      <c r="M57" s="36"/>
      <c r="N57" s="36"/>
      <c r="O57" s="36"/>
      <c r="P57" s="36"/>
      <c r="Q57" s="35"/>
      <c r="R57" s="34" t="s">
        <v>37</v>
      </c>
      <c r="S57" s="36"/>
      <c r="T57" s="45"/>
      <c r="U57" s="34" t="s">
        <v>38</v>
      </c>
      <c r="V57" s="36"/>
      <c r="W57" s="44"/>
      <c r="X57" s="45"/>
      <c r="Y57" s="34" t="s">
        <v>39</v>
      </c>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5"/>
      <c r="BK57" s="4"/>
      <c r="BQ57" t="s">
        <v>626</v>
      </c>
      <c r="BS57" t="s">
        <v>626</v>
      </c>
      <c r="BU57" t="s">
        <v>626</v>
      </c>
      <c r="BV57" s="97" t="str">
        <f>IF(_xlfn.XLOOKUP(8,$AH:$AH,$R:$R,"",0)="","","AND A.`"&amp;_xlfn.XLOOKUP(8,$AH:$AH,$R:$R,"",0)&amp;"` = B.`"&amp;_xlfn.XLOOKUP(8,$AH:$AH,$R:$R,"",0)&amp;"`")</f>
        <v/>
      </c>
      <c r="BW57" t="s">
        <v>626</v>
      </c>
      <c r="BY57" t="s">
        <v>626</v>
      </c>
      <c r="BZ57" s="97" t="str">
        <f>IF(_xlfn.XLOOKUP(5,$AH:$AH,$R:$R,"",0)="","","AND A.`"&amp;_xlfn.XLOOKUP(5,$AH:$AH,$R:$R,"",0)&amp;"` = B.`"&amp;_xlfn.XLOOKUP(5,$AH:$AH,$R:$R,"",0)&amp;"`")</f>
        <v>AND A.`ItemCode` = B.`ItemCode`</v>
      </c>
      <c r="CA57" t="s">
        <v>626</v>
      </c>
    </row>
    <row r="58" spans="1:79">
      <c r="A58" s="100"/>
      <c r="B58" s="41">
        <v>1</v>
      </c>
      <c r="C58" s="47"/>
      <c r="D58" s="41" t="str">
        <f>G10&amp;"_"&amp;R58&amp;"_"&amp;"trg"</f>
        <v>SpecialPriceKsmMaster_update_trg</v>
      </c>
      <c r="E58" s="46"/>
      <c r="F58" s="46"/>
      <c r="G58" s="46"/>
      <c r="H58" s="46"/>
      <c r="I58" s="46"/>
      <c r="J58" s="46"/>
      <c r="K58" s="46"/>
      <c r="L58" s="42"/>
      <c r="M58" s="42"/>
      <c r="N58" s="42"/>
      <c r="O58" s="42"/>
      <c r="P58" s="42"/>
      <c r="Q58" s="43"/>
      <c r="R58" s="41" t="s">
        <v>40</v>
      </c>
      <c r="S58" s="42"/>
      <c r="T58" s="47"/>
      <c r="U58" s="41" t="s">
        <v>41</v>
      </c>
      <c r="V58" s="42"/>
      <c r="W58" s="46"/>
      <c r="X58" s="47"/>
      <c r="Y58" s="41" t="s">
        <v>42</v>
      </c>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3"/>
      <c r="BK58" s="4"/>
      <c r="BQ58" t="s">
        <v>626</v>
      </c>
      <c r="BS58" t="s">
        <v>626</v>
      </c>
      <c r="BU58" t="s">
        <v>626</v>
      </c>
      <c r="BV58" s="97" t="s">
        <v>936</v>
      </c>
      <c r="BW58" t="s">
        <v>626</v>
      </c>
      <c r="BY58" t="s">
        <v>626</v>
      </c>
      <c r="BZ58" s="97" t="str">
        <f>IF(_xlfn.XLOOKUP(6,$AH:$AH,$R:$R,"",0)="","","AND A.`"&amp;_xlfn.XLOOKUP(6,$AH:$AH,$R:$R,"",0)&amp;"` = B.`"&amp;_xlfn.XLOOKUP(6,$AH:$AH,$R:$R,"",0)&amp;"`")</f>
        <v/>
      </c>
      <c r="CA58" t="s">
        <v>626</v>
      </c>
    </row>
    <row r="59" spans="1:79">
      <c r="A59" s="100"/>
      <c r="BK59" s="4"/>
      <c r="BQ59" t="s">
        <v>626</v>
      </c>
      <c r="BS59" t="s">
        <v>626</v>
      </c>
      <c r="BU59" t="s">
        <v>626</v>
      </c>
      <c r="BW59" t="s">
        <v>626</v>
      </c>
      <c r="BY59" t="s">
        <v>626</v>
      </c>
      <c r="BZ59" s="97" t="str">
        <f>IF(_xlfn.XLOOKUP(7,$AH:$AH,$R:$R,"",0)="","","AND A.`"&amp;_xlfn.XLOOKUP(7,$AH:$AH,$R:$R,"",0)&amp;"` = B.`"&amp;_xlfn.XLOOKUP(7,$AH:$AH,$R:$R,"",0)&amp;"`")</f>
        <v/>
      </c>
      <c r="CA59" t="s">
        <v>626</v>
      </c>
    </row>
    <row r="60" spans="1:79">
      <c r="A60" s="100"/>
      <c r="BK60" s="4"/>
      <c r="BQ60" t="s">
        <v>626</v>
      </c>
      <c r="BS60" t="s">
        <v>626</v>
      </c>
      <c r="BU60" t="s">
        <v>626</v>
      </c>
      <c r="BW60" t="s">
        <v>626</v>
      </c>
      <c r="BY60" t="s">
        <v>626</v>
      </c>
      <c r="BZ60" s="97" t="str">
        <f>IF(_xlfn.XLOOKUP(8,$AH:$AH,$R:$R,"",0)="","","AND A.`"&amp;_xlfn.XLOOKUP(8,$AH:$AH,$R:$R,"",0)&amp;"` = B.`"&amp;_xlfn.XLOOKUP(8,$AH:$AH,$R:$R,"",0)&amp;"`")</f>
        <v/>
      </c>
      <c r="CA60" t="s">
        <v>626</v>
      </c>
    </row>
    <row r="61" spans="1:79">
      <c r="A61" s="100"/>
      <c r="BK61" s="4"/>
      <c r="BQ61" t="s">
        <v>626</v>
      </c>
      <c r="BS61" t="s">
        <v>626</v>
      </c>
      <c r="BU61" t="s">
        <v>626</v>
      </c>
      <c r="BW61" t="s">
        <v>626</v>
      </c>
      <c r="BY61" t="s">
        <v>626</v>
      </c>
      <c r="BZ61" s="97" t="s">
        <v>929</v>
      </c>
      <c r="CA61" t="s">
        <v>626</v>
      </c>
    </row>
    <row r="62" spans="1:79">
      <c r="A62" s="98"/>
      <c r="BK62" s="4"/>
      <c r="BQ62" t="s">
        <v>626</v>
      </c>
      <c r="BS62" t="s">
        <v>626</v>
      </c>
      <c r="BU62" t="s">
        <v>626</v>
      </c>
      <c r="BW62" t="s">
        <v>626</v>
      </c>
      <c r="BY62" t="s">
        <v>626</v>
      </c>
      <c r="CA62" t="s">
        <v>626</v>
      </c>
    </row>
    <row r="63" spans="1:79">
      <c r="A63" s="1"/>
      <c r="BK63" s="4"/>
      <c r="BQ63" t="s">
        <v>626</v>
      </c>
      <c r="BS63" t="s">
        <v>626</v>
      </c>
      <c r="BU63" t="s">
        <v>626</v>
      </c>
      <c r="BW63" t="s">
        <v>626</v>
      </c>
      <c r="BY63" t="s">
        <v>626</v>
      </c>
      <c r="BZ63" s="98"/>
      <c r="CA63" t="s">
        <v>626</v>
      </c>
    </row>
    <row r="64" spans="1:79">
      <c r="A64" s="1"/>
      <c r="BK64" s="4"/>
      <c r="BQ64" t="s">
        <v>626</v>
      </c>
      <c r="BS64" t="s">
        <v>626</v>
      </c>
      <c r="BU64" t="s">
        <v>626</v>
      </c>
      <c r="BW64" t="s">
        <v>626</v>
      </c>
      <c r="BY64" t="s">
        <v>626</v>
      </c>
      <c r="BZ64" t="str">
        <f>"DROP TABLE IF EXISTS `TMP`.`"&amp;$G$10&amp;"`;"</f>
        <v>DROP TABLE IF EXISTS `TMP`.`SpecialPriceKsmMaster`;</v>
      </c>
      <c r="CA64" t="s">
        <v>626</v>
      </c>
    </row>
    <row r="65" spans="1:79">
      <c r="A65" s="1"/>
      <c r="BK65" s="4"/>
      <c r="BQ65" t="s">
        <v>626</v>
      </c>
      <c r="BS65" t="s">
        <v>626</v>
      </c>
      <c r="BU65" t="s">
        <v>626</v>
      </c>
      <c r="BW65" t="s">
        <v>626</v>
      </c>
      <c r="BY65" t="s">
        <v>626</v>
      </c>
      <c r="BZ65" t="s">
        <v>937</v>
      </c>
      <c r="CA65" t="s">
        <v>626</v>
      </c>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B6820-41FC-42CD-85C0-D3A2A8E1C097}">
  <dimension ref="A1:CA75"/>
  <sheetViews>
    <sheetView view="pageBreakPreview" topLeftCell="A25" zoomScale="80" zoomScaleNormal="75" zoomScaleSheetLayoutView="80" workbookViewId="0">
      <selection activeCell="BT24" sqref="BT24:BT59"/>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554</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553</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`POS_MASTER`.`CombinationKsmMaster`;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`POS_MASTER`.`CombinationKsmMaster`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58"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'C:/04_DATAFILE/CombinationKsmMaster/TMP/CombinationKsmMaster.CSV' </v>
      </c>
      <c r="BU24" t="s">
        <v>626</v>
      </c>
      <c r="BV24" s="97" t="str">
        <f>"UPDATE `POS_MASTER`.`"&amp;$G$10&amp;"` A,`TMP`.`"&amp;$G$10&amp;"` B"</f>
        <v>UPDATE `POS_MASTER`.`CombinationKsmMaster` A,`TMP`.`CombinationKsmMaster`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`TMP`.`CombinationKsmMaster`;</v>
      </c>
      <c r="BS25" t="s">
        <v>626</v>
      </c>
      <c r="BT25" s="97" t="str">
        <f>"REPLACE INTO TABLE TMP.`"&amp;$G$10&amp;"` CHARACTER SET 'UTF8'"</f>
        <v>REPLACE INTO TABLE TMP.`CombinationKsmMaster`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`TMP`.`CombinationKsmMaster`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(@1,@2,@3,@4,@5,@6,@7,@8,@9,@10,@11,@12,@13,@14,@15,@16,@17,@18,@19,@20,@21,@22,@23,@24,@25,@26,@27,@28,@29,@30,@31,@32,@33)</v>
      </c>
      <c r="BU26" t="s">
        <v>626</v>
      </c>
      <c r="BV26" s="97"/>
      <c r="BW26" t="s">
        <v>626</v>
      </c>
      <c r="BX26" s="97" t="str">
        <f>"INSERT INTO `POS_MASTER`.`"&amp;$G$10&amp;"` ("</f>
        <v>INSERT INTO `POS_MASTER`.`CombinationKsmMaster`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58"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58" si="2">",A.`"&amp;R28&amp;"` = B.`"&amp;R28&amp;"`"</f>
        <v>,A.`StoreCode` = B.`StoreCode`</v>
      </c>
      <c r="BW28" t="s">
        <v>626</v>
      </c>
      <c r="BX28" s="97" t="str">
        <f t="shared" ref="BX28:BX58" si="3">",`"&amp;R28&amp;"`"</f>
        <v>,`StoreCode`</v>
      </c>
      <c r="BY28" t="s">
        <v>626</v>
      </c>
      <c r="BZ28" s="97" t="str">
        <f t="shared" ref="BZ28:BZ58" si="4">",`"&amp;R28&amp;"`"</f>
        <v>,`StoreCode`</v>
      </c>
      <c r="CA28" t="s">
        <v>626</v>
      </c>
    </row>
    <row r="29" spans="1:79" ht="15" customHeight="1">
      <c r="A29" s="100" t="s">
        <v>966</v>
      </c>
      <c r="B29" s="23">
        <f t="shared" si="0"/>
        <v>9</v>
      </c>
      <c r="C29" s="24"/>
      <c r="D29" s="22" t="s">
        <v>555</v>
      </c>
      <c r="E29" s="25"/>
      <c r="F29" s="25"/>
      <c r="G29" s="25"/>
      <c r="H29" s="25"/>
      <c r="I29" s="25"/>
      <c r="J29" s="25"/>
      <c r="K29" s="25"/>
      <c r="L29" s="25"/>
      <c r="M29" s="25"/>
      <c r="N29" s="25"/>
      <c r="O29" s="25"/>
      <c r="P29" s="25"/>
      <c r="Q29" s="26"/>
      <c r="R29" s="22" t="s">
        <v>624</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varchar(20)</v>
      </c>
      <c r="AD29" s="25"/>
      <c r="AE29" s="25"/>
      <c r="AF29" s="25"/>
      <c r="AG29" s="26"/>
      <c r="AH29" s="22">
        <v>3</v>
      </c>
      <c r="AI29" s="26"/>
      <c r="AJ29" s="22" t="s">
        <v>885</v>
      </c>
      <c r="AK29" s="25"/>
      <c r="AL29" s="26"/>
      <c r="AM29" s="22"/>
      <c r="AN29" s="25"/>
      <c r="AO29" s="25"/>
      <c r="AP29" s="25"/>
      <c r="AQ29" s="25"/>
      <c r="AR29" s="25"/>
      <c r="AS29" s="26"/>
      <c r="AT29" s="22" t="s">
        <v>593</v>
      </c>
      <c r="AU29" s="25"/>
      <c r="AV29" s="25"/>
      <c r="AW29" s="25"/>
      <c r="AX29" s="25"/>
      <c r="AY29" s="25"/>
      <c r="AZ29" s="25"/>
      <c r="BA29" s="25"/>
      <c r="BB29" s="25"/>
      <c r="BC29" s="25"/>
      <c r="BD29" s="25"/>
      <c r="BE29" s="25"/>
      <c r="BF29" s="25"/>
      <c r="BG29" s="25"/>
      <c r="BH29" s="25"/>
      <c r="BI29" s="25"/>
      <c r="BJ29" s="26"/>
      <c r="BK29" s="4"/>
      <c r="BM29" t="s">
        <v>888</v>
      </c>
      <c r="BN29">
        <v>20</v>
      </c>
      <c r="BP29" t="str">
        <f t="shared" si="1"/>
        <v>,`CombinationCode` varchar(20) NOT NULL COMMENT 'ミックスマッチコード'</v>
      </c>
      <c r="BQ29" t="s">
        <v>626</v>
      </c>
      <c r="BR29" t="str">
        <f t="shared" ref="BR29:BR58" si="5">",`"&amp;R29&amp;"` "&amp;AC29&amp;" "&amp;IF(AJ29="Y","NOT NULL","")</f>
        <v>,`CombinationCode` varchar(20) NOT NULL</v>
      </c>
      <c r="BS29" t="s">
        <v>626</v>
      </c>
      <c r="BT29" t="str">
        <f t="shared" ref="BT29:BT58" si="6">",`"&amp;R29&amp;"` = "&amp;IF(LEFT(AC29,4)="date", "if(@"&amp;B29-5&amp;" &gt; '0000-00-00 00:00:00', if(@"&amp;B29-5&amp;" &gt; '2999-12-31 23:59:59', '2999-12-31 23:59:59', @"&amp;B29-5&amp;"), null)","if(nullif( @"&amp;B29-5&amp;",'') &gt; '', @"&amp;B29-5&amp;", null )")</f>
        <v>,`CombinationCode` = if(nullif( @4,'') &gt; '', @4, null )</v>
      </c>
      <c r="BU29" t="s">
        <v>626</v>
      </c>
      <c r="BV29" s="97" t="str">
        <f t="shared" si="2"/>
        <v>,A.`CombinationCode` = B.`CombinationCode`</v>
      </c>
      <c r="BW29" t="s">
        <v>626</v>
      </c>
      <c r="BX29" s="97" t="str">
        <f t="shared" si="3"/>
        <v>,`CombinationCode`</v>
      </c>
      <c r="BY29" t="s">
        <v>626</v>
      </c>
      <c r="BZ29" s="97" t="str">
        <f t="shared" si="4"/>
        <v>,`CombinationCode`</v>
      </c>
      <c r="CA29" t="s">
        <v>626</v>
      </c>
    </row>
    <row r="30" spans="1:79" ht="15" customHeight="1">
      <c r="A30" s="100" t="s">
        <v>967</v>
      </c>
      <c r="B30" s="23">
        <f t="shared" si="0"/>
        <v>10</v>
      </c>
      <c r="C30" s="24"/>
      <c r="D30" s="22" t="s">
        <v>556</v>
      </c>
      <c r="E30" s="25"/>
      <c r="F30" s="25"/>
      <c r="G30" s="25"/>
      <c r="H30" s="25"/>
      <c r="I30" s="25"/>
      <c r="J30" s="25"/>
      <c r="K30" s="25"/>
      <c r="L30" s="25"/>
      <c r="M30" s="25"/>
      <c r="N30" s="25"/>
      <c r="O30" s="25"/>
      <c r="P30" s="25"/>
      <c r="Q30" s="26"/>
      <c r="R30" s="22" t="s">
        <v>407</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varchar(50)</v>
      </c>
      <c r="AD30" s="25"/>
      <c r="AE30" s="25"/>
      <c r="AF30" s="25"/>
      <c r="AG30" s="26"/>
      <c r="AH30" s="22"/>
      <c r="AI30" s="26"/>
      <c r="AJ30" s="22"/>
      <c r="AK30" s="25"/>
      <c r="AL30" s="26"/>
      <c r="AM30" s="22"/>
      <c r="AN30" s="25"/>
      <c r="AO30" s="25"/>
      <c r="AP30" s="25"/>
      <c r="AQ30" s="25"/>
      <c r="AR30" s="25"/>
      <c r="AS30" s="26"/>
      <c r="AT30" s="22" t="s">
        <v>594</v>
      </c>
      <c r="AU30" s="25"/>
      <c r="AV30" s="25"/>
      <c r="AW30" s="25"/>
      <c r="AX30" s="25"/>
      <c r="AY30" s="25"/>
      <c r="AZ30" s="25"/>
      <c r="BA30" s="25"/>
      <c r="BB30" s="25"/>
      <c r="BC30" s="25"/>
      <c r="BD30" s="25"/>
      <c r="BE30" s="25"/>
      <c r="BF30" s="25"/>
      <c r="BG30" s="25"/>
      <c r="BH30" s="25"/>
      <c r="BI30" s="25"/>
      <c r="BJ30" s="26"/>
      <c r="BK30" s="4"/>
      <c r="BM30" t="s">
        <v>888</v>
      </c>
      <c r="BN30">
        <v>50</v>
      </c>
      <c r="BP30" t="str">
        <f t="shared" si="1"/>
        <v>,`Description` varchar(50)  COMMENT '説明　（企画名称）'</v>
      </c>
      <c r="BQ30" t="s">
        <v>626</v>
      </c>
      <c r="BR30" t="str">
        <f t="shared" si="5"/>
        <v xml:space="preserve">,`Description` varchar(50) </v>
      </c>
      <c r="BS30" t="s">
        <v>626</v>
      </c>
      <c r="BT30" t="str">
        <f t="shared" si="6"/>
        <v>,`Description` = if(nullif( @5,'') &gt; '', @5, null )</v>
      </c>
      <c r="BU30" t="s">
        <v>626</v>
      </c>
      <c r="BV30" s="97" t="str">
        <f t="shared" si="2"/>
        <v>,A.`Description` = B.`Description`</v>
      </c>
      <c r="BW30" t="s">
        <v>626</v>
      </c>
      <c r="BX30" s="97" t="str">
        <f t="shared" si="3"/>
        <v>,`Description`</v>
      </c>
      <c r="BY30" t="s">
        <v>626</v>
      </c>
      <c r="BZ30" s="97" t="str">
        <f t="shared" si="4"/>
        <v>,`Description`</v>
      </c>
      <c r="CA30" t="s">
        <v>626</v>
      </c>
    </row>
    <row r="31" spans="1:79" ht="15" customHeight="1">
      <c r="A31" s="100" t="s">
        <v>968</v>
      </c>
      <c r="B31" s="23">
        <f t="shared" si="0"/>
        <v>11</v>
      </c>
      <c r="C31" s="24"/>
      <c r="D31" s="22" t="s">
        <v>557</v>
      </c>
      <c r="E31" s="25"/>
      <c r="F31" s="25"/>
      <c r="G31" s="25"/>
      <c r="H31" s="25"/>
      <c r="I31" s="25"/>
      <c r="J31" s="25"/>
      <c r="K31" s="25"/>
      <c r="L31" s="25"/>
      <c r="M31" s="25"/>
      <c r="N31" s="25"/>
      <c r="O31" s="25"/>
      <c r="P31" s="25"/>
      <c r="Q31" s="26"/>
      <c r="R31" s="22" t="s">
        <v>514</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varchar(10)</v>
      </c>
      <c r="AD31" s="25"/>
      <c r="AE31" s="25"/>
      <c r="AF31" s="25"/>
      <c r="AG31" s="26"/>
      <c r="AH31" s="22"/>
      <c r="AI31" s="26"/>
      <c r="AJ31" s="22" t="s">
        <v>885</v>
      </c>
      <c r="AK31" s="25"/>
      <c r="AL31" s="26"/>
      <c r="AM31" s="22"/>
      <c r="AN31" s="25"/>
      <c r="AO31" s="25"/>
      <c r="AP31" s="25"/>
      <c r="AQ31" s="25"/>
      <c r="AR31" s="25"/>
      <c r="AS31" s="26"/>
      <c r="AT31" s="22" t="s">
        <v>595</v>
      </c>
      <c r="AU31" s="25"/>
      <c r="AV31" s="25"/>
      <c r="AW31" s="25"/>
      <c r="AX31" s="25"/>
      <c r="AY31" s="25"/>
      <c r="AZ31" s="25"/>
      <c r="BA31" s="25"/>
      <c r="BB31" s="25"/>
      <c r="BC31" s="25"/>
      <c r="BD31" s="25"/>
      <c r="BE31" s="25"/>
      <c r="BF31" s="25"/>
      <c r="BG31" s="25"/>
      <c r="BH31" s="25"/>
      <c r="BI31" s="25"/>
      <c r="BJ31" s="26"/>
      <c r="BK31" s="4"/>
      <c r="BM31" t="s">
        <v>888</v>
      </c>
      <c r="BN31">
        <v>10</v>
      </c>
      <c r="BP31" t="str">
        <f t="shared" si="1"/>
        <v>,`PromotionCode` varchar(10) NOT NULL COMMENT '企画コード'</v>
      </c>
      <c r="BQ31" t="s">
        <v>626</v>
      </c>
      <c r="BR31" t="str">
        <f t="shared" si="5"/>
        <v>,`PromotionCode` varchar(10) NOT NULL</v>
      </c>
      <c r="BS31" t="s">
        <v>626</v>
      </c>
      <c r="BT31" t="str">
        <f t="shared" si="6"/>
        <v>,`PromotionCode` = if(nullif( @6,'') &gt; '', @6, null )</v>
      </c>
      <c r="BU31" t="s">
        <v>626</v>
      </c>
      <c r="BV31" s="97" t="str">
        <f t="shared" si="2"/>
        <v>,A.`PromotionCode` = B.`PromotionCode`</v>
      </c>
      <c r="BW31" t="s">
        <v>626</v>
      </c>
      <c r="BX31" s="97" t="str">
        <f t="shared" si="3"/>
        <v>,`PromotionCode`</v>
      </c>
      <c r="BY31" t="s">
        <v>626</v>
      </c>
      <c r="BZ31" s="97" t="str">
        <f t="shared" si="4"/>
        <v>,`PromotionCode`</v>
      </c>
      <c r="CA31" t="s">
        <v>626</v>
      </c>
    </row>
    <row r="32" spans="1:79" ht="15" customHeight="1">
      <c r="A32" s="100" t="s">
        <v>969</v>
      </c>
      <c r="B32" s="23">
        <f t="shared" si="0"/>
        <v>12</v>
      </c>
      <c r="C32" s="24"/>
      <c r="D32" s="22" t="s">
        <v>558</v>
      </c>
      <c r="E32" s="25"/>
      <c r="F32" s="25"/>
      <c r="G32" s="25"/>
      <c r="H32" s="25"/>
      <c r="I32" s="25"/>
      <c r="J32" s="25"/>
      <c r="K32" s="25"/>
      <c r="L32" s="25"/>
      <c r="M32" s="25"/>
      <c r="N32" s="25"/>
      <c r="O32" s="25"/>
      <c r="P32" s="25"/>
      <c r="Q32" s="26"/>
      <c r="R32" s="22" t="s">
        <v>576</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varchar(2)</v>
      </c>
      <c r="AD32" s="25"/>
      <c r="AE32" s="25"/>
      <c r="AF32" s="25"/>
      <c r="AG32" s="26"/>
      <c r="AH32" s="22"/>
      <c r="AI32" s="26"/>
      <c r="AJ32" s="22" t="s">
        <v>885</v>
      </c>
      <c r="AK32" s="25"/>
      <c r="AL32" s="26"/>
      <c r="AM32" s="22"/>
      <c r="AN32" s="25"/>
      <c r="AO32" s="25"/>
      <c r="AP32" s="25"/>
      <c r="AQ32" s="25"/>
      <c r="AR32" s="25"/>
      <c r="AS32" s="26"/>
      <c r="AT32" s="22" t="s">
        <v>596</v>
      </c>
      <c r="AU32" s="25"/>
      <c r="AV32" s="25"/>
      <c r="AW32" s="25"/>
      <c r="AX32" s="25"/>
      <c r="AY32" s="25"/>
      <c r="AZ32" s="25"/>
      <c r="BA32" s="25"/>
      <c r="BB32" s="25"/>
      <c r="BC32" s="25"/>
      <c r="BD32" s="25"/>
      <c r="BE32" s="25"/>
      <c r="BF32" s="25"/>
      <c r="BG32" s="25"/>
      <c r="BH32" s="25"/>
      <c r="BI32" s="25"/>
      <c r="BJ32" s="26"/>
      <c r="BK32" s="4"/>
      <c r="BM32" t="s">
        <v>888</v>
      </c>
      <c r="BN32">
        <v>2</v>
      </c>
      <c r="BP32" t="str">
        <f t="shared" si="1"/>
        <v>,`CombinationType` varchar(2) NOT NULL COMMENT 'ミックスマッチタイプ'</v>
      </c>
      <c r="BQ32" t="s">
        <v>626</v>
      </c>
      <c r="BR32" t="str">
        <f t="shared" si="5"/>
        <v>,`CombinationType` varchar(2) NOT NULL</v>
      </c>
      <c r="BS32" t="s">
        <v>626</v>
      </c>
      <c r="BT32" t="str">
        <f t="shared" si="6"/>
        <v>,`CombinationType` = if(nullif( @7,'') &gt; '', @7, null )</v>
      </c>
      <c r="BU32" t="s">
        <v>626</v>
      </c>
      <c r="BV32" s="97" t="str">
        <f t="shared" si="2"/>
        <v>,A.`CombinationType` = B.`CombinationType`</v>
      </c>
      <c r="BW32" t="s">
        <v>626</v>
      </c>
      <c r="BX32" s="97" t="str">
        <f t="shared" si="3"/>
        <v>,`CombinationType`</v>
      </c>
      <c r="BY32" t="s">
        <v>626</v>
      </c>
      <c r="BZ32" s="97" t="str">
        <f t="shared" si="4"/>
        <v>,`CombinationType`</v>
      </c>
      <c r="CA32" t="s">
        <v>626</v>
      </c>
    </row>
    <row r="33" spans="1:79" ht="15" customHeight="1">
      <c r="A33" s="100" t="s">
        <v>970</v>
      </c>
      <c r="B33" s="23">
        <f t="shared" si="0"/>
        <v>13</v>
      </c>
      <c r="C33" s="24"/>
      <c r="D33" s="22" t="s">
        <v>504</v>
      </c>
      <c r="E33" s="25"/>
      <c r="F33" s="25"/>
      <c r="G33" s="25"/>
      <c r="H33" s="25"/>
      <c r="I33" s="25"/>
      <c r="J33" s="25"/>
      <c r="K33" s="25"/>
      <c r="L33" s="25"/>
      <c r="M33" s="25"/>
      <c r="N33" s="25"/>
      <c r="O33" s="25"/>
      <c r="P33" s="25"/>
      <c r="Q33" s="26"/>
      <c r="R33" s="22" t="s">
        <v>521</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datetime</v>
      </c>
      <c r="AD33" s="25"/>
      <c r="AE33" s="25"/>
      <c r="AF33" s="25"/>
      <c r="AG33" s="26"/>
      <c r="AH33" s="22"/>
      <c r="AI33" s="26"/>
      <c r="AJ33" s="22" t="s">
        <v>885</v>
      </c>
      <c r="AK33" s="25"/>
      <c r="AL33" s="26"/>
      <c r="AM33" s="22"/>
      <c r="AN33" s="25"/>
      <c r="AO33" s="25"/>
      <c r="AP33" s="25"/>
      <c r="AQ33" s="25"/>
      <c r="AR33" s="25"/>
      <c r="AS33" s="26"/>
      <c r="AT33" s="22" t="s">
        <v>597</v>
      </c>
      <c r="AU33" s="25"/>
      <c r="AV33" s="25"/>
      <c r="AW33" s="25"/>
      <c r="AX33" s="25"/>
      <c r="AY33" s="25"/>
      <c r="AZ33" s="25"/>
      <c r="BA33" s="25"/>
      <c r="BB33" s="25"/>
      <c r="BC33" s="25"/>
      <c r="BD33" s="25"/>
      <c r="BE33" s="25"/>
      <c r="BF33" s="25"/>
      <c r="BG33" s="25"/>
      <c r="BH33" s="25"/>
      <c r="BI33" s="25"/>
      <c r="BJ33" s="26"/>
      <c r="BK33" s="4"/>
      <c r="BM33" t="s">
        <v>898</v>
      </c>
      <c r="BN33">
        <v>7</v>
      </c>
      <c r="BP33" t="str">
        <f t="shared" si="1"/>
        <v>,`StartDateTime` datetime NOT NULL COMMENT '開始日時'</v>
      </c>
      <c r="BQ33" t="s">
        <v>626</v>
      </c>
      <c r="BR33" t="str">
        <f t="shared" si="5"/>
        <v>,`StartDateTime` datetime NOT NULL</v>
      </c>
      <c r="BS33" t="s">
        <v>626</v>
      </c>
      <c r="BT33" t="str">
        <f t="shared" si="6"/>
        <v>,`StartDateTime` = if(@8 &gt; '0000-00-00 00:00:00', if(@8 &gt; '2999-12-31 23:59:59', '2999-12-31 23:59:59', @8), null)</v>
      </c>
      <c r="BU33" t="s">
        <v>626</v>
      </c>
      <c r="BV33" s="97" t="str">
        <f t="shared" si="2"/>
        <v>,A.`StartDateTime` = B.`StartDateTime`</v>
      </c>
      <c r="BW33" t="s">
        <v>626</v>
      </c>
      <c r="BX33" s="97" t="str">
        <f t="shared" si="3"/>
        <v>,`StartDateTime`</v>
      </c>
      <c r="BY33" t="s">
        <v>626</v>
      </c>
      <c r="BZ33" s="97" t="str">
        <f t="shared" si="4"/>
        <v>,`StartDateTime`</v>
      </c>
      <c r="CA33" t="s">
        <v>626</v>
      </c>
    </row>
    <row r="34" spans="1:79" ht="15" customHeight="1">
      <c r="A34" s="100" t="s">
        <v>971</v>
      </c>
      <c r="B34" s="23">
        <f t="shared" si="0"/>
        <v>14</v>
      </c>
      <c r="C34" s="24"/>
      <c r="D34" s="22" t="s">
        <v>505</v>
      </c>
      <c r="E34" s="25"/>
      <c r="F34" s="25"/>
      <c r="G34" s="25"/>
      <c r="H34" s="25"/>
      <c r="I34" s="25"/>
      <c r="J34" s="25"/>
      <c r="K34" s="25"/>
      <c r="L34" s="25"/>
      <c r="M34" s="25"/>
      <c r="N34" s="25"/>
      <c r="O34" s="25"/>
      <c r="P34" s="25"/>
      <c r="Q34" s="26"/>
      <c r="R34" s="22" t="s">
        <v>522</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datetime</v>
      </c>
      <c r="AD34" s="25"/>
      <c r="AE34" s="25"/>
      <c r="AF34" s="25"/>
      <c r="AG34" s="26"/>
      <c r="AH34" s="22"/>
      <c r="AI34" s="26"/>
      <c r="AJ34" s="22" t="s">
        <v>885</v>
      </c>
      <c r="AK34" s="25"/>
      <c r="AL34" s="26"/>
      <c r="AM34" s="22"/>
      <c r="AN34" s="25"/>
      <c r="AO34" s="25"/>
      <c r="AP34" s="25"/>
      <c r="AQ34" s="25"/>
      <c r="AR34" s="25"/>
      <c r="AS34" s="26"/>
      <c r="AT34" s="22" t="s">
        <v>598</v>
      </c>
      <c r="AU34" s="25"/>
      <c r="AV34" s="25"/>
      <c r="AW34" s="25"/>
      <c r="AX34" s="25"/>
      <c r="AY34" s="25"/>
      <c r="AZ34" s="25"/>
      <c r="BA34" s="25"/>
      <c r="BB34" s="25"/>
      <c r="BC34" s="25"/>
      <c r="BD34" s="25"/>
      <c r="BE34" s="25"/>
      <c r="BF34" s="25"/>
      <c r="BG34" s="25"/>
      <c r="BH34" s="25"/>
      <c r="BI34" s="25"/>
      <c r="BJ34" s="26"/>
      <c r="BK34" s="4"/>
      <c r="BM34" t="s">
        <v>898</v>
      </c>
      <c r="BN34">
        <v>7</v>
      </c>
      <c r="BP34" t="str">
        <f t="shared" si="1"/>
        <v>,`EndDateTime` datetime NOT NULL COMMENT '終了日時'</v>
      </c>
      <c r="BQ34" t="s">
        <v>626</v>
      </c>
      <c r="BR34" t="str">
        <f t="shared" si="5"/>
        <v>,`EndDateTime` datetime NOT NULL</v>
      </c>
      <c r="BS34" t="s">
        <v>626</v>
      </c>
      <c r="BT34" t="str">
        <f t="shared" si="6"/>
        <v>,`EndDateTime` = if(@9 &gt; '0000-00-00 00:00:00', if(@9 &gt; '2999-12-31 23:59:59', '2999-12-31 23:59:59', @9), null)</v>
      </c>
      <c r="BU34" t="s">
        <v>626</v>
      </c>
      <c r="BV34" s="97" t="str">
        <f t="shared" si="2"/>
        <v>,A.`EndDateTime` = B.`EndDateTime`</v>
      </c>
      <c r="BW34" t="s">
        <v>626</v>
      </c>
      <c r="BX34" s="97" t="str">
        <f t="shared" si="3"/>
        <v>,`EndDateTime`</v>
      </c>
      <c r="BY34" t="s">
        <v>626</v>
      </c>
      <c r="BZ34" s="97" t="str">
        <f t="shared" si="4"/>
        <v>,`EndDateTime`</v>
      </c>
      <c r="CA34" t="s">
        <v>626</v>
      </c>
    </row>
    <row r="35" spans="1:79" ht="15" customHeight="1">
      <c r="A35" s="100" t="s">
        <v>972</v>
      </c>
      <c r="B35" s="23">
        <f t="shared" si="0"/>
        <v>15</v>
      </c>
      <c r="C35" s="24"/>
      <c r="D35" s="22" t="s">
        <v>559</v>
      </c>
      <c r="E35" s="25"/>
      <c r="F35" s="25"/>
      <c r="G35" s="25"/>
      <c r="H35" s="25"/>
      <c r="I35" s="25"/>
      <c r="J35" s="25"/>
      <c r="K35" s="25"/>
      <c r="L35" s="25"/>
      <c r="M35" s="25"/>
      <c r="N35" s="25"/>
      <c r="O35" s="25"/>
      <c r="P35" s="25"/>
      <c r="Q35" s="26"/>
      <c r="R35" s="22" t="s">
        <v>577</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int</v>
      </c>
      <c r="AD35" s="25"/>
      <c r="AE35" s="25"/>
      <c r="AF35" s="25"/>
      <c r="AG35" s="26"/>
      <c r="AH35" s="22"/>
      <c r="AI35" s="26"/>
      <c r="AJ35" s="22"/>
      <c r="AK35" s="25"/>
      <c r="AL35" s="26"/>
      <c r="AM35" s="22"/>
      <c r="AN35" s="25"/>
      <c r="AO35" s="25"/>
      <c r="AP35" s="25"/>
      <c r="AQ35" s="25"/>
      <c r="AR35" s="25"/>
      <c r="AS35" s="26"/>
      <c r="AT35" s="22" t="s">
        <v>599</v>
      </c>
      <c r="AU35" s="25"/>
      <c r="AV35" s="25"/>
      <c r="AW35" s="25"/>
      <c r="AX35" s="25"/>
      <c r="AY35" s="25"/>
      <c r="AZ35" s="25"/>
      <c r="BA35" s="25"/>
      <c r="BB35" s="25"/>
      <c r="BC35" s="25"/>
      <c r="BD35" s="25"/>
      <c r="BE35" s="25"/>
      <c r="BF35" s="25"/>
      <c r="BG35" s="25"/>
      <c r="BH35" s="25"/>
      <c r="BI35" s="25"/>
      <c r="BJ35" s="26"/>
      <c r="BK35" s="4"/>
      <c r="BM35" t="s">
        <v>437</v>
      </c>
      <c r="BP35" t="str">
        <f t="shared" si="1"/>
        <v>,`CombinationCount1` int  COMMENT '成立数１'</v>
      </c>
      <c r="BQ35" t="s">
        <v>626</v>
      </c>
      <c r="BR35" t="str">
        <f t="shared" si="5"/>
        <v xml:space="preserve">,`CombinationCount1` int </v>
      </c>
      <c r="BS35" t="s">
        <v>626</v>
      </c>
      <c r="BT35" t="str">
        <f t="shared" si="6"/>
        <v>,`CombinationCount1` = if(nullif( @10,'') &gt; '', @10, null )</v>
      </c>
      <c r="BU35" t="s">
        <v>626</v>
      </c>
      <c r="BV35" s="97" t="str">
        <f t="shared" si="2"/>
        <v>,A.`CombinationCount1` = B.`CombinationCount1`</v>
      </c>
      <c r="BW35" t="s">
        <v>626</v>
      </c>
      <c r="BX35" s="97" t="str">
        <f t="shared" si="3"/>
        <v>,`CombinationCount1`</v>
      </c>
      <c r="BY35" t="s">
        <v>626</v>
      </c>
      <c r="BZ35" s="97" t="str">
        <f t="shared" si="4"/>
        <v>,`CombinationCount1`</v>
      </c>
      <c r="CA35" t="s">
        <v>626</v>
      </c>
    </row>
    <row r="36" spans="1:79" ht="15" customHeight="1">
      <c r="A36" s="100" t="s">
        <v>973</v>
      </c>
      <c r="B36" s="23">
        <f t="shared" si="0"/>
        <v>16</v>
      </c>
      <c r="C36" s="24"/>
      <c r="D36" s="22" t="s">
        <v>560</v>
      </c>
      <c r="E36" s="25"/>
      <c r="F36" s="25"/>
      <c r="G36" s="25"/>
      <c r="H36" s="25"/>
      <c r="I36" s="25"/>
      <c r="J36" s="25"/>
      <c r="K36" s="25"/>
      <c r="L36" s="25"/>
      <c r="M36" s="25"/>
      <c r="N36" s="25"/>
      <c r="O36" s="25"/>
      <c r="P36" s="25"/>
      <c r="Q36" s="26"/>
      <c r="R36" s="22" t="s">
        <v>578</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decimal(19,4)</v>
      </c>
      <c r="AD36" s="25"/>
      <c r="AE36" s="25"/>
      <c r="AF36" s="25"/>
      <c r="AG36" s="26"/>
      <c r="AH36" s="22"/>
      <c r="AI36" s="26"/>
      <c r="AJ36" s="22"/>
      <c r="AK36" s="25"/>
      <c r="AL36" s="26"/>
      <c r="AM36" s="22"/>
      <c r="AN36" s="25"/>
      <c r="AO36" s="25"/>
      <c r="AP36" s="25"/>
      <c r="AQ36" s="25"/>
      <c r="AR36" s="25"/>
      <c r="AS36" s="26"/>
      <c r="AT36" s="22" t="s">
        <v>600</v>
      </c>
      <c r="AU36" s="25"/>
      <c r="AV36" s="25"/>
      <c r="AW36" s="25"/>
      <c r="AX36" s="25"/>
      <c r="AY36" s="25"/>
      <c r="AZ36" s="25"/>
      <c r="BA36" s="25"/>
      <c r="BB36" s="25"/>
      <c r="BC36" s="25"/>
      <c r="BD36" s="25"/>
      <c r="BE36" s="25"/>
      <c r="BF36" s="25"/>
      <c r="BG36" s="25"/>
      <c r="BH36" s="25"/>
      <c r="BI36" s="25"/>
      <c r="BJ36" s="26"/>
      <c r="BK36" s="4"/>
      <c r="BM36" t="s">
        <v>891</v>
      </c>
      <c r="BP36" t="str">
        <f t="shared" si="1"/>
        <v>,`CombinationPrice1` decimal(19,4)  COMMENT '成立価格１'</v>
      </c>
      <c r="BQ36" t="s">
        <v>626</v>
      </c>
      <c r="BR36" t="str">
        <f t="shared" si="5"/>
        <v xml:space="preserve">,`CombinationPrice1` decimal(19,4) </v>
      </c>
      <c r="BS36" t="s">
        <v>626</v>
      </c>
      <c r="BT36" t="str">
        <f t="shared" si="6"/>
        <v>,`CombinationPrice1` = if(nullif( @11,'') &gt; '', @11, null )</v>
      </c>
      <c r="BU36" t="s">
        <v>626</v>
      </c>
      <c r="BV36" s="97" t="str">
        <f t="shared" si="2"/>
        <v>,A.`CombinationPrice1` = B.`CombinationPrice1`</v>
      </c>
      <c r="BW36" t="s">
        <v>626</v>
      </c>
      <c r="BX36" s="97" t="str">
        <f t="shared" si="3"/>
        <v>,`CombinationPrice1`</v>
      </c>
      <c r="BY36" t="s">
        <v>626</v>
      </c>
      <c r="BZ36" s="97" t="str">
        <f t="shared" si="4"/>
        <v>,`CombinationPrice1`</v>
      </c>
      <c r="CA36" t="s">
        <v>626</v>
      </c>
    </row>
    <row r="37" spans="1:79" ht="15" customHeight="1">
      <c r="A37" s="100" t="s">
        <v>974</v>
      </c>
      <c r="B37" s="23">
        <f t="shared" si="0"/>
        <v>17</v>
      </c>
      <c r="C37" s="24"/>
      <c r="D37" s="22" t="s">
        <v>561</v>
      </c>
      <c r="E37" s="25"/>
      <c r="F37" s="25"/>
      <c r="G37" s="25"/>
      <c r="H37" s="25"/>
      <c r="I37" s="25"/>
      <c r="J37" s="25"/>
      <c r="K37" s="25"/>
      <c r="L37" s="25"/>
      <c r="M37" s="25"/>
      <c r="N37" s="25"/>
      <c r="O37" s="25"/>
      <c r="P37" s="25"/>
      <c r="Q37" s="26"/>
      <c r="R37" s="22" t="s">
        <v>579</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decimal(19,4)</v>
      </c>
      <c r="AD37" s="25"/>
      <c r="AE37" s="25"/>
      <c r="AF37" s="25"/>
      <c r="AG37" s="26"/>
      <c r="AH37" s="22"/>
      <c r="AI37" s="26"/>
      <c r="AJ37" s="22"/>
      <c r="AK37" s="25"/>
      <c r="AL37" s="26"/>
      <c r="AM37" s="22"/>
      <c r="AN37" s="25"/>
      <c r="AO37" s="25"/>
      <c r="AP37" s="25"/>
      <c r="AQ37" s="25"/>
      <c r="AR37" s="25"/>
      <c r="AS37" s="26"/>
      <c r="AT37" s="22" t="s">
        <v>601</v>
      </c>
      <c r="AU37" s="25"/>
      <c r="AV37" s="25"/>
      <c r="AW37" s="25"/>
      <c r="AX37" s="25"/>
      <c r="AY37" s="25"/>
      <c r="AZ37" s="25"/>
      <c r="BA37" s="25"/>
      <c r="BB37" s="25"/>
      <c r="BC37" s="25"/>
      <c r="BD37" s="25"/>
      <c r="BE37" s="25"/>
      <c r="BF37" s="25"/>
      <c r="BG37" s="25"/>
      <c r="BH37" s="25"/>
      <c r="BI37" s="25"/>
      <c r="BJ37" s="26"/>
      <c r="BK37" s="4"/>
      <c r="BM37" t="s">
        <v>891</v>
      </c>
      <c r="BP37" t="str">
        <f t="shared" si="1"/>
        <v>,`CombinationOnePrice1` decimal(19,4)  COMMENT '成立後単品価格１'</v>
      </c>
      <c r="BQ37" t="s">
        <v>626</v>
      </c>
      <c r="BR37" t="str">
        <f t="shared" si="5"/>
        <v xml:space="preserve">,`CombinationOnePrice1` decimal(19,4) </v>
      </c>
      <c r="BS37" t="s">
        <v>626</v>
      </c>
      <c r="BT37" t="str">
        <f t="shared" si="6"/>
        <v>,`CombinationOnePrice1` = if(nullif( @12,'') &gt; '', @12, null )</v>
      </c>
      <c r="BU37" t="s">
        <v>626</v>
      </c>
      <c r="BV37" s="97" t="str">
        <f t="shared" si="2"/>
        <v>,A.`CombinationOnePrice1` = B.`CombinationOnePrice1`</v>
      </c>
      <c r="BW37" t="s">
        <v>626</v>
      </c>
      <c r="BX37" s="97" t="str">
        <f t="shared" si="3"/>
        <v>,`CombinationOnePrice1`</v>
      </c>
      <c r="BY37" t="s">
        <v>626</v>
      </c>
      <c r="BZ37" s="97" t="str">
        <f t="shared" si="4"/>
        <v>,`CombinationOnePrice1`</v>
      </c>
      <c r="CA37" t="s">
        <v>626</v>
      </c>
    </row>
    <row r="38" spans="1:79" ht="15" customHeight="1">
      <c r="A38" s="100" t="s">
        <v>975</v>
      </c>
      <c r="B38" s="23">
        <f t="shared" si="0"/>
        <v>18</v>
      </c>
      <c r="C38" s="24"/>
      <c r="D38" s="22" t="s">
        <v>562</v>
      </c>
      <c r="E38" s="25"/>
      <c r="F38" s="25"/>
      <c r="G38" s="25"/>
      <c r="H38" s="25"/>
      <c r="I38" s="25"/>
      <c r="J38" s="25"/>
      <c r="K38" s="25"/>
      <c r="L38" s="25"/>
      <c r="M38" s="25"/>
      <c r="N38" s="25"/>
      <c r="O38" s="25"/>
      <c r="P38" s="25"/>
      <c r="Q38" s="26"/>
      <c r="R38" s="22" t="s">
        <v>580</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int</v>
      </c>
      <c r="AD38" s="25"/>
      <c r="AE38" s="25"/>
      <c r="AF38" s="25"/>
      <c r="AG38" s="26"/>
      <c r="AH38" s="22"/>
      <c r="AI38" s="26"/>
      <c r="AJ38" s="22"/>
      <c r="AK38" s="25"/>
      <c r="AL38" s="26"/>
      <c r="AM38" s="22"/>
      <c r="AN38" s="25"/>
      <c r="AO38" s="25"/>
      <c r="AP38" s="25"/>
      <c r="AQ38" s="25"/>
      <c r="AR38" s="25"/>
      <c r="AS38" s="26"/>
      <c r="AT38" s="22" t="s">
        <v>602</v>
      </c>
      <c r="AU38" s="25"/>
      <c r="AV38" s="25"/>
      <c r="AW38" s="25"/>
      <c r="AX38" s="25"/>
      <c r="AY38" s="25"/>
      <c r="AZ38" s="25"/>
      <c r="BA38" s="25"/>
      <c r="BB38" s="25"/>
      <c r="BC38" s="25"/>
      <c r="BD38" s="25"/>
      <c r="BE38" s="25"/>
      <c r="BF38" s="25"/>
      <c r="BG38" s="25"/>
      <c r="BH38" s="25"/>
      <c r="BI38" s="25"/>
      <c r="BJ38" s="26"/>
      <c r="BK38" s="4"/>
      <c r="BM38" t="s">
        <v>437</v>
      </c>
      <c r="BP38" t="str">
        <f t="shared" si="1"/>
        <v>,`CombinationCount2` int  COMMENT '成立数２'</v>
      </c>
      <c r="BQ38" t="s">
        <v>626</v>
      </c>
      <c r="BR38" t="str">
        <f t="shared" si="5"/>
        <v xml:space="preserve">,`CombinationCount2` int </v>
      </c>
      <c r="BS38" t="s">
        <v>626</v>
      </c>
      <c r="BT38" t="str">
        <f t="shared" si="6"/>
        <v>,`CombinationCount2` = if(nullif( @13,'') &gt; '', @13, null )</v>
      </c>
      <c r="BU38" t="s">
        <v>626</v>
      </c>
      <c r="BV38" s="97" t="str">
        <f t="shared" si="2"/>
        <v>,A.`CombinationCount2` = B.`CombinationCount2`</v>
      </c>
      <c r="BW38" t="s">
        <v>626</v>
      </c>
      <c r="BX38" s="97" t="str">
        <f t="shared" si="3"/>
        <v>,`CombinationCount2`</v>
      </c>
      <c r="BY38" t="s">
        <v>626</v>
      </c>
      <c r="BZ38" s="97" t="str">
        <f t="shared" si="4"/>
        <v>,`CombinationCount2`</v>
      </c>
      <c r="CA38" t="s">
        <v>626</v>
      </c>
    </row>
    <row r="39" spans="1:79" ht="15" customHeight="1">
      <c r="A39" s="100" t="s">
        <v>976</v>
      </c>
      <c r="B39" s="23">
        <f t="shared" si="0"/>
        <v>19</v>
      </c>
      <c r="C39" s="24"/>
      <c r="D39" s="22" t="s">
        <v>563</v>
      </c>
      <c r="E39" s="25"/>
      <c r="F39" s="25"/>
      <c r="G39" s="25"/>
      <c r="H39" s="25"/>
      <c r="I39" s="25"/>
      <c r="J39" s="25"/>
      <c r="K39" s="25"/>
      <c r="L39" s="25"/>
      <c r="M39" s="25"/>
      <c r="N39" s="25"/>
      <c r="O39" s="25"/>
      <c r="P39" s="25"/>
      <c r="Q39" s="26"/>
      <c r="R39" s="22" t="s">
        <v>581</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decimal(19,4)</v>
      </c>
      <c r="AD39" s="25"/>
      <c r="AE39" s="25"/>
      <c r="AF39" s="25"/>
      <c r="AG39" s="26"/>
      <c r="AH39" s="22"/>
      <c r="AI39" s="26"/>
      <c r="AJ39" s="22"/>
      <c r="AK39" s="25"/>
      <c r="AL39" s="26"/>
      <c r="AM39" s="22"/>
      <c r="AN39" s="25"/>
      <c r="AO39" s="25"/>
      <c r="AP39" s="25"/>
      <c r="AQ39" s="25"/>
      <c r="AR39" s="25"/>
      <c r="AS39" s="26"/>
      <c r="AT39" s="22" t="s">
        <v>603</v>
      </c>
      <c r="AU39" s="25"/>
      <c r="AV39" s="25"/>
      <c r="AW39" s="25"/>
      <c r="AX39" s="25"/>
      <c r="AY39" s="25"/>
      <c r="AZ39" s="25"/>
      <c r="BA39" s="25"/>
      <c r="BB39" s="25"/>
      <c r="BC39" s="25"/>
      <c r="BD39" s="25"/>
      <c r="BE39" s="25"/>
      <c r="BF39" s="25"/>
      <c r="BG39" s="25"/>
      <c r="BH39" s="25"/>
      <c r="BI39" s="25"/>
      <c r="BJ39" s="26"/>
      <c r="BK39" s="4"/>
      <c r="BM39" t="s">
        <v>891</v>
      </c>
      <c r="BP39" t="str">
        <f t="shared" si="1"/>
        <v>,`CombinationPrice2` decimal(19,4)  COMMENT '成立価格２'</v>
      </c>
      <c r="BQ39" t="s">
        <v>626</v>
      </c>
      <c r="BR39" t="str">
        <f t="shared" si="5"/>
        <v xml:space="preserve">,`CombinationPrice2` decimal(19,4) </v>
      </c>
      <c r="BS39" t="s">
        <v>626</v>
      </c>
      <c r="BT39" t="str">
        <f t="shared" si="6"/>
        <v>,`CombinationPrice2` = if(nullif( @14,'') &gt; '', @14, null )</v>
      </c>
      <c r="BU39" t="s">
        <v>626</v>
      </c>
      <c r="BV39" s="97" t="str">
        <f t="shared" si="2"/>
        <v>,A.`CombinationPrice2` = B.`CombinationPrice2`</v>
      </c>
      <c r="BW39" t="s">
        <v>626</v>
      </c>
      <c r="BX39" s="97" t="str">
        <f t="shared" si="3"/>
        <v>,`CombinationPrice2`</v>
      </c>
      <c r="BY39" t="s">
        <v>626</v>
      </c>
      <c r="BZ39" s="97" t="str">
        <f t="shared" si="4"/>
        <v>,`CombinationPrice2`</v>
      </c>
      <c r="CA39" t="s">
        <v>626</v>
      </c>
    </row>
    <row r="40" spans="1:79" ht="15" customHeight="1">
      <c r="A40" s="100" t="s">
        <v>977</v>
      </c>
      <c r="B40" s="23">
        <f t="shared" si="0"/>
        <v>20</v>
      </c>
      <c r="C40" s="24"/>
      <c r="D40" s="22" t="s">
        <v>564</v>
      </c>
      <c r="E40" s="25"/>
      <c r="F40" s="25"/>
      <c r="G40" s="25"/>
      <c r="H40" s="25"/>
      <c r="I40" s="25"/>
      <c r="J40" s="25"/>
      <c r="K40" s="25"/>
      <c r="L40" s="25"/>
      <c r="M40" s="25"/>
      <c r="N40" s="25"/>
      <c r="O40" s="25"/>
      <c r="P40" s="25"/>
      <c r="Q40" s="26"/>
      <c r="R40" s="22" t="s">
        <v>582</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decimal(19,4)</v>
      </c>
      <c r="AD40" s="25"/>
      <c r="AE40" s="25"/>
      <c r="AF40" s="25"/>
      <c r="AG40" s="26"/>
      <c r="AH40" s="22"/>
      <c r="AI40" s="26"/>
      <c r="AJ40" s="22"/>
      <c r="AK40" s="25"/>
      <c r="AL40" s="26"/>
      <c r="AM40" s="22"/>
      <c r="AN40" s="25"/>
      <c r="AO40" s="25"/>
      <c r="AP40" s="25"/>
      <c r="AQ40" s="25"/>
      <c r="AR40" s="25"/>
      <c r="AS40" s="26"/>
      <c r="AT40" s="22" t="s">
        <v>604</v>
      </c>
      <c r="AU40" s="25"/>
      <c r="AV40" s="25"/>
      <c r="AW40" s="25"/>
      <c r="AX40" s="25"/>
      <c r="AY40" s="25"/>
      <c r="AZ40" s="25"/>
      <c r="BA40" s="25"/>
      <c r="BB40" s="25"/>
      <c r="BC40" s="25"/>
      <c r="BD40" s="25"/>
      <c r="BE40" s="25"/>
      <c r="BF40" s="25"/>
      <c r="BG40" s="25"/>
      <c r="BH40" s="25"/>
      <c r="BI40" s="25"/>
      <c r="BJ40" s="26"/>
      <c r="BK40" s="4"/>
      <c r="BM40" t="s">
        <v>891</v>
      </c>
      <c r="BP40" t="str">
        <f t="shared" si="1"/>
        <v>,`CombinationOnePrice2` decimal(19,4)  COMMENT '成立後単品価格２'</v>
      </c>
      <c r="BQ40" t="s">
        <v>626</v>
      </c>
      <c r="BR40" t="str">
        <f t="shared" si="5"/>
        <v xml:space="preserve">,`CombinationOnePrice2` decimal(19,4) </v>
      </c>
      <c r="BS40" t="s">
        <v>626</v>
      </c>
      <c r="BT40" t="str">
        <f t="shared" si="6"/>
        <v>,`CombinationOnePrice2` = if(nullif( @15,'') &gt; '', @15, null )</v>
      </c>
      <c r="BU40" t="s">
        <v>626</v>
      </c>
      <c r="BV40" s="97" t="str">
        <f t="shared" si="2"/>
        <v>,A.`CombinationOnePrice2` = B.`CombinationOnePrice2`</v>
      </c>
      <c r="BW40" t="s">
        <v>626</v>
      </c>
      <c r="BX40" s="97" t="str">
        <f t="shared" si="3"/>
        <v>,`CombinationOnePrice2`</v>
      </c>
      <c r="BY40" t="s">
        <v>626</v>
      </c>
      <c r="BZ40" s="97" t="str">
        <f t="shared" si="4"/>
        <v>,`CombinationOnePrice2`</v>
      </c>
      <c r="CA40" t="s">
        <v>626</v>
      </c>
    </row>
    <row r="41" spans="1:79" ht="15" customHeight="1">
      <c r="A41" s="100" t="s">
        <v>978</v>
      </c>
      <c r="B41" s="23">
        <f t="shared" si="0"/>
        <v>21</v>
      </c>
      <c r="C41" s="24"/>
      <c r="D41" s="22" t="s">
        <v>565</v>
      </c>
      <c r="E41" s="25"/>
      <c r="F41" s="25"/>
      <c r="G41" s="25"/>
      <c r="H41" s="25"/>
      <c r="I41" s="25"/>
      <c r="J41" s="25"/>
      <c r="K41" s="25"/>
      <c r="L41" s="25"/>
      <c r="M41" s="25"/>
      <c r="N41" s="25"/>
      <c r="O41" s="25"/>
      <c r="P41" s="25"/>
      <c r="Q41" s="26"/>
      <c r="R41" s="22" t="s">
        <v>583</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int</v>
      </c>
      <c r="AD41" s="25"/>
      <c r="AE41" s="25"/>
      <c r="AF41" s="25"/>
      <c r="AG41" s="26"/>
      <c r="AH41" s="22"/>
      <c r="AI41" s="26"/>
      <c r="AJ41" s="22"/>
      <c r="AK41" s="25"/>
      <c r="AL41" s="26"/>
      <c r="AM41" s="22"/>
      <c r="AN41" s="25"/>
      <c r="AO41" s="25"/>
      <c r="AP41" s="25"/>
      <c r="AQ41" s="25"/>
      <c r="AR41" s="25"/>
      <c r="AS41" s="26"/>
      <c r="AT41" s="22" t="s">
        <v>605</v>
      </c>
      <c r="AU41" s="25"/>
      <c r="AV41" s="25"/>
      <c r="AW41" s="25"/>
      <c r="AX41" s="25"/>
      <c r="AY41" s="25"/>
      <c r="AZ41" s="25"/>
      <c r="BA41" s="25"/>
      <c r="BB41" s="25"/>
      <c r="BC41" s="25"/>
      <c r="BD41" s="25"/>
      <c r="BE41" s="25"/>
      <c r="BF41" s="25"/>
      <c r="BG41" s="25"/>
      <c r="BH41" s="25"/>
      <c r="BI41" s="25"/>
      <c r="BJ41" s="26"/>
      <c r="BK41" s="4"/>
      <c r="BM41" t="s">
        <v>437</v>
      </c>
      <c r="BP41" t="str">
        <f t="shared" si="1"/>
        <v>,`CombinationCount3` int  COMMENT '成立数３'</v>
      </c>
      <c r="BQ41" t="s">
        <v>626</v>
      </c>
      <c r="BR41" t="str">
        <f t="shared" si="5"/>
        <v xml:space="preserve">,`CombinationCount3` int </v>
      </c>
      <c r="BS41" t="s">
        <v>626</v>
      </c>
      <c r="BT41" t="str">
        <f t="shared" si="6"/>
        <v>,`CombinationCount3` = if(nullif( @16,'') &gt; '', @16, null )</v>
      </c>
      <c r="BU41" t="s">
        <v>626</v>
      </c>
      <c r="BV41" s="97" t="str">
        <f t="shared" si="2"/>
        <v>,A.`CombinationCount3` = B.`CombinationCount3`</v>
      </c>
      <c r="BW41" t="s">
        <v>626</v>
      </c>
      <c r="BX41" s="97" t="str">
        <f t="shared" si="3"/>
        <v>,`CombinationCount3`</v>
      </c>
      <c r="BY41" t="s">
        <v>626</v>
      </c>
      <c r="BZ41" s="97" t="str">
        <f t="shared" si="4"/>
        <v>,`CombinationCount3`</v>
      </c>
      <c r="CA41" t="s">
        <v>626</v>
      </c>
    </row>
    <row r="42" spans="1:79" ht="15" customHeight="1">
      <c r="A42" s="100" t="s">
        <v>979</v>
      </c>
      <c r="B42" s="23">
        <f t="shared" si="0"/>
        <v>22</v>
      </c>
      <c r="C42" s="24"/>
      <c r="D42" s="22" t="s">
        <v>566</v>
      </c>
      <c r="E42" s="25"/>
      <c r="F42" s="25"/>
      <c r="G42" s="25"/>
      <c r="H42" s="25"/>
      <c r="I42" s="25"/>
      <c r="J42" s="25"/>
      <c r="K42" s="25"/>
      <c r="L42" s="25"/>
      <c r="M42" s="25"/>
      <c r="N42" s="25"/>
      <c r="O42" s="25"/>
      <c r="P42" s="25"/>
      <c r="Q42" s="26"/>
      <c r="R42" s="22" t="s">
        <v>584</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decimal(19,4)</v>
      </c>
      <c r="AD42" s="25"/>
      <c r="AE42" s="25"/>
      <c r="AF42" s="25"/>
      <c r="AG42" s="26"/>
      <c r="AH42" s="22"/>
      <c r="AI42" s="26"/>
      <c r="AJ42" s="22"/>
      <c r="AK42" s="25"/>
      <c r="AL42" s="26"/>
      <c r="AM42" s="22"/>
      <c r="AN42" s="25"/>
      <c r="AO42" s="25"/>
      <c r="AP42" s="25"/>
      <c r="AQ42" s="25"/>
      <c r="AR42" s="25"/>
      <c r="AS42" s="26"/>
      <c r="AT42" s="22" t="s">
        <v>606</v>
      </c>
      <c r="AU42" s="25"/>
      <c r="AV42" s="25"/>
      <c r="AW42" s="25"/>
      <c r="AX42" s="25"/>
      <c r="AY42" s="25"/>
      <c r="AZ42" s="25"/>
      <c r="BA42" s="25"/>
      <c r="BB42" s="25"/>
      <c r="BC42" s="25"/>
      <c r="BD42" s="25"/>
      <c r="BE42" s="25"/>
      <c r="BF42" s="25"/>
      <c r="BG42" s="25"/>
      <c r="BH42" s="25"/>
      <c r="BI42" s="25"/>
      <c r="BJ42" s="26"/>
      <c r="BK42" s="4"/>
      <c r="BM42" t="s">
        <v>891</v>
      </c>
      <c r="BP42" t="str">
        <f t="shared" si="1"/>
        <v>,`CombinationPrice3` decimal(19,4)  COMMENT '成立価格３'</v>
      </c>
      <c r="BQ42" t="s">
        <v>626</v>
      </c>
      <c r="BR42" t="str">
        <f t="shared" si="5"/>
        <v xml:space="preserve">,`CombinationPrice3` decimal(19,4) </v>
      </c>
      <c r="BS42" t="s">
        <v>626</v>
      </c>
      <c r="BT42" t="str">
        <f t="shared" si="6"/>
        <v>,`CombinationPrice3` = if(nullif( @17,'') &gt; '', @17, null )</v>
      </c>
      <c r="BU42" t="s">
        <v>626</v>
      </c>
      <c r="BV42" s="97" t="str">
        <f t="shared" si="2"/>
        <v>,A.`CombinationPrice3` = B.`CombinationPrice3`</v>
      </c>
      <c r="BW42" t="s">
        <v>626</v>
      </c>
      <c r="BX42" s="97" t="str">
        <f t="shared" si="3"/>
        <v>,`CombinationPrice3`</v>
      </c>
      <c r="BY42" t="s">
        <v>626</v>
      </c>
      <c r="BZ42" s="97" t="str">
        <f t="shared" si="4"/>
        <v>,`CombinationPrice3`</v>
      </c>
      <c r="CA42" t="s">
        <v>626</v>
      </c>
    </row>
    <row r="43" spans="1:79" ht="15" customHeight="1">
      <c r="A43" s="100" t="s">
        <v>980</v>
      </c>
      <c r="B43" s="23">
        <f t="shared" si="0"/>
        <v>23</v>
      </c>
      <c r="C43" s="24"/>
      <c r="D43" s="22" t="s">
        <v>567</v>
      </c>
      <c r="E43" s="25"/>
      <c r="F43" s="25"/>
      <c r="G43" s="25"/>
      <c r="H43" s="25"/>
      <c r="I43" s="25"/>
      <c r="J43" s="25"/>
      <c r="K43" s="25"/>
      <c r="L43" s="25"/>
      <c r="M43" s="25"/>
      <c r="N43" s="25"/>
      <c r="O43" s="25"/>
      <c r="P43" s="25"/>
      <c r="Q43" s="26"/>
      <c r="R43" s="22" t="s">
        <v>585</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decimal(19,4)</v>
      </c>
      <c r="AD43" s="25"/>
      <c r="AE43" s="25"/>
      <c r="AF43" s="25"/>
      <c r="AG43" s="26"/>
      <c r="AH43" s="22"/>
      <c r="AI43" s="26"/>
      <c r="AJ43" s="22"/>
      <c r="AK43" s="25"/>
      <c r="AL43" s="26"/>
      <c r="AM43" s="22"/>
      <c r="AN43" s="25"/>
      <c r="AO43" s="25"/>
      <c r="AP43" s="25"/>
      <c r="AQ43" s="25"/>
      <c r="AR43" s="25"/>
      <c r="AS43" s="26"/>
      <c r="AT43" s="22" t="s">
        <v>607</v>
      </c>
      <c r="AU43" s="25"/>
      <c r="AV43" s="25"/>
      <c r="AW43" s="25"/>
      <c r="AX43" s="25"/>
      <c r="AY43" s="25"/>
      <c r="AZ43" s="25"/>
      <c r="BA43" s="25"/>
      <c r="BB43" s="25"/>
      <c r="BC43" s="25"/>
      <c r="BD43" s="25"/>
      <c r="BE43" s="25"/>
      <c r="BF43" s="25"/>
      <c r="BG43" s="25"/>
      <c r="BH43" s="25"/>
      <c r="BI43" s="25"/>
      <c r="BJ43" s="26"/>
      <c r="BK43" s="4"/>
      <c r="BM43" t="s">
        <v>891</v>
      </c>
      <c r="BP43" t="str">
        <f t="shared" si="1"/>
        <v>,`CombinationOnePrice3` decimal(19,4)  COMMENT '成立後単品価格３'</v>
      </c>
      <c r="BQ43" t="s">
        <v>626</v>
      </c>
      <c r="BR43" t="str">
        <f t="shared" si="5"/>
        <v xml:space="preserve">,`CombinationOnePrice3` decimal(19,4) </v>
      </c>
      <c r="BS43" t="s">
        <v>626</v>
      </c>
      <c r="BT43" t="str">
        <f t="shared" si="6"/>
        <v>,`CombinationOnePrice3` = if(nullif( @18,'') &gt; '', @18, null )</v>
      </c>
      <c r="BU43" t="s">
        <v>626</v>
      </c>
      <c r="BV43" s="97" t="str">
        <f t="shared" si="2"/>
        <v>,A.`CombinationOnePrice3` = B.`CombinationOnePrice3`</v>
      </c>
      <c r="BW43" t="s">
        <v>626</v>
      </c>
      <c r="BX43" s="97" t="str">
        <f t="shared" si="3"/>
        <v>,`CombinationOnePrice3`</v>
      </c>
      <c r="BY43" t="s">
        <v>626</v>
      </c>
      <c r="BZ43" s="97" t="str">
        <f t="shared" si="4"/>
        <v>,`CombinationOnePrice3`</v>
      </c>
      <c r="CA43" t="s">
        <v>626</v>
      </c>
    </row>
    <row r="44" spans="1:79" ht="15" customHeight="1">
      <c r="A44" s="100" t="s">
        <v>981</v>
      </c>
      <c r="B44" s="23">
        <f t="shared" si="0"/>
        <v>24</v>
      </c>
      <c r="C44" s="24"/>
      <c r="D44" s="22" t="s">
        <v>568</v>
      </c>
      <c r="E44" s="25"/>
      <c r="F44" s="25"/>
      <c r="G44" s="25"/>
      <c r="H44" s="25"/>
      <c r="I44" s="25"/>
      <c r="J44" s="25"/>
      <c r="K44" s="25"/>
      <c r="L44" s="25"/>
      <c r="M44" s="25"/>
      <c r="N44" s="25"/>
      <c r="O44" s="25"/>
      <c r="P44" s="25"/>
      <c r="Q44" s="26"/>
      <c r="R44" s="22" t="s">
        <v>586</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int</v>
      </c>
      <c r="AD44" s="25"/>
      <c r="AE44" s="25"/>
      <c r="AF44" s="25"/>
      <c r="AG44" s="26"/>
      <c r="AH44" s="22"/>
      <c r="AI44" s="26"/>
      <c r="AJ44" s="22"/>
      <c r="AK44" s="25"/>
      <c r="AL44" s="26"/>
      <c r="AM44" s="22"/>
      <c r="AN44" s="25"/>
      <c r="AO44" s="25"/>
      <c r="AP44" s="25"/>
      <c r="AQ44" s="25"/>
      <c r="AR44" s="25"/>
      <c r="AS44" s="26"/>
      <c r="AT44" s="22" t="s">
        <v>608</v>
      </c>
      <c r="AU44" s="25"/>
      <c r="AV44" s="25"/>
      <c r="AW44" s="25"/>
      <c r="AX44" s="25"/>
      <c r="AY44" s="25"/>
      <c r="AZ44" s="25"/>
      <c r="BA44" s="25"/>
      <c r="BB44" s="25"/>
      <c r="BC44" s="25"/>
      <c r="BD44" s="25"/>
      <c r="BE44" s="25"/>
      <c r="BF44" s="25"/>
      <c r="BG44" s="25"/>
      <c r="BH44" s="25"/>
      <c r="BI44" s="25"/>
      <c r="BJ44" s="26"/>
      <c r="BK44" s="4"/>
      <c r="BM44" t="s">
        <v>437</v>
      </c>
      <c r="BP44" t="str">
        <f t="shared" si="1"/>
        <v>,`CombinationCount4` int  COMMENT '成立数４'</v>
      </c>
      <c r="BQ44" t="s">
        <v>626</v>
      </c>
      <c r="BR44" t="str">
        <f t="shared" si="5"/>
        <v xml:space="preserve">,`CombinationCount4` int </v>
      </c>
      <c r="BS44" t="s">
        <v>626</v>
      </c>
      <c r="BT44" t="str">
        <f t="shared" si="6"/>
        <v>,`CombinationCount4` = if(nullif( @19,'') &gt; '', @19, null )</v>
      </c>
      <c r="BU44" t="s">
        <v>626</v>
      </c>
      <c r="BV44" s="97" t="str">
        <f t="shared" si="2"/>
        <v>,A.`CombinationCount4` = B.`CombinationCount4`</v>
      </c>
      <c r="BW44" t="s">
        <v>626</v>
      </c>
      <c r="BX44" s="97" t="str">
        <f t="shared" si="3"/>
        <v>,`CombinationCount4`</v>
      </c>
      <c r="BY44" t="s">
        <v>626</v>
      </c>
      <c r="BZ44" s="97" t="str">
        <f t="shared" si="4"/>
        <v>,`CombinationCount4`</v>
      </c>
      <c r="CA44" t="s">
        <v>626</v>
      </c>
    </row>
    <row r="45" spans="1:79" ht="15" customHeight="1">
      <c r="A45" s="100" t="s">
        <v>982</v>
      </c>
      <c r="B45" s="23">
        <f t="shared" si="0"/>
        <v>25</v>
      </c>
      <c r="C45" s="24"/>
      <c r="D45" s="22" t="s">
        <v>569</v>
      </c>
      <c r="E45" s="25"/>
      <c r="F45" s="25"/>
      <c r="G45" s="25"/>
      <c r="H45" s="25"/>
      <c r="I45" s="25"/>
      <c r="J45" s="25"/>
      <c r="K45" s="25"/>
      <c r="L45" s="25"/>
      <c r="M45" s="25"/>
      <c r="N45" s="25"/>
      <c r="O45" s="25"/>
      <c r="P45" s="25"/>
      <c r="Q45" s="26"/>
      <c r="R45" s="22" t="s">
        <v>587</v>
      </c>
      <c r="S45" s="25"/>
      <c r="T45" s="25"/>
      <c r="U45" s="25"/>
      <c r="V45" s="25"/>
      <c r="W45" s="25"/>
      <c r="X45" s="25"/>
      <c r="Y45" s="25"/>
      <c r="Z45" s="25"/>
      <c r="AA45" s="25"/>
      <c r="AB45" s="26"/>
      <c r="AC45" s="22" t="str" cm="1">
        <f t="array" ref="AC45">_xlfn.SWITCH(BM45,"nvarchar","varchar("&amp;BN45&amp;")","smallint","smallint","date","date","money","decimal(19,4)","numeric","numeric("&amp;BN45&amp;")","int","int","bit","char(1)","datetime2","datetime","time","time")</f>
        <v>decimal(19,4)</v>
      </c>
      <c r="AD45" s="25"/>
      <c r="AE45" s="25"/>
      <c r="AF45" s="25"/>
      <c r="AG45" s="26"/>
      <c r="AH45" s="22"/>
      <c r="AI45" s="26"/>
      <c r="AJ45" s="22"/>
      <c r="AK45" s="25"/>
      <c r="AL45" s="26"/>
      <c r="AM45" s="22"/>
      <c r="AN45" s="25"/>
      <c r="AO45" s="25"/>
      <c r="AP45" s="25"/>
      <c r="AQ45" s="25"/>
      <c r="AR45" s="25"/>
      <c r="AS45" s="26"/>
      <c r="AT45" s="22" t="s">
        <v>609</v>
      </c>
      <c r="AU45" s="25"/>
      <c r="AV45" s="25"/>
      <c r="AW45" s="25"/>
      <c r="AX45" s="25"/>
      <c r="AY45" s="25"/>
      <c r="AZ45" s="25"/>
      <c r="BA45" s="25"/>
      <c r="BB45" s="25"/>
      <c r="BC45" s="25"/>
      <c r="BD45" s="25"/>
      <c r="BE45" s="25"/>
      <c r="BF45" s="25"/>
      <c r="BG45" s="25"/>
      <c r="BH45" s="25"/>
      <c r="BI45" s="25"/>
      <c r="BJ45" s="26"/>
      <c r="BK45" s="4"/>
      <c r="BM45" t="s">
        <v>891</v>
      </c>
      <c r="BP45" t="str">
        <f t="shared" si="1"/>
        <v>,`CombinationPrice4` decimal(19,4)  COMMENT '成立価格４'</v>
      </c>
      <c r="BQ45" t="s">
        <v>626</v>
      </c>
      <c r="BR45" t="str">
        <f t="shared" si="5"/>
        <v xml:space="preserve">,`CombinationPrice4` decimal(19,4) </v>
      </c>
      <c r="BS45" t="s">
        <v>626</v>
      </c>
      <c r="BT45" t="str">
        <f t="shared" si="6"/>
        <v>,`CombinationPrice4` = if(nullif( @20,'') &gt; '', @20, null )</v>
      </c>
      <c r="BU45" t="s">
        <v>626</v>
      </c>
      <c r="BV45" s="97" t="str">
        <f t="shared" si="2"/>
        <v>,A.`CombinationPrice4` = B.`CombinationPrice4`</v>
      </c>
      <c r="BW45" t="s">
        <v>626</v>
      </c>
      <c r="BX45" s="97" t="str">
        <f t="shared" si="3"/>
        <v>,`CombinationPrice4`</v>
      </c>
      <c r="BY45" t="s">
        <v>626</v>
      </c>
      <c r="BZ45" s="97" t="str">
        <f t="shared" si="4"/>
        <v>,`CombinationPrice4`</v>
      </c>
      <c r="CA45" t="s">
        <v>626</v>
      </c>
    </row>
    <row r="46" spans="1:79" ht="15" customHeight="1">
      <c r="A46" s="100" t="s">
        <v>983</v>
      </c>
      <c r="B46" s="23">
        <f t="shared" si="0"/>
        <v>26</v>
      </c>
      <c r="C46" s="24"/>
      <c r="D46" s="22" t="s">
        <v>570</v>
      </c>
      <c r="E46" s="25"/>
      <c r="F46" s="25"/>
      <c r="G46" s="25"/>
      <c r="H46" s="25"/>
      <c r="I46" s="25"/>
      <c r="J46" s="25"/>
      <c r="K46" s="25"/>
      <c r="L46" s="25"/>
      <c r="M46" s="25"/>
      <c r="N46" s="25"/>
      <c r="O46" s="25"/>
      <c r="P46" s="25"/>
      <c r="Q46" s="26"/>
      <c r="R46" s="22" t="s">
        <v>588</v>
      </c>
      <c r="S46" s="25"/>
      <c r="T46" s="25"/>
      <c r="U46" s="25"/>
      <c r="V46" s="25"/>
      <c r="W46" s="25"/>
      <c r="X46" s="25"/>
      <c r="Y46" s="25"/>
      <c r="Z46" s="25"/>
      <c r="AA46" s="25"/>
      <c r="AB46" s="26"/>
      <c r="AC46" s="22" t="str" cm="1">
        <f t="array" ref="AC46">_xlfn.SWITCH(BM46,"nvarchar","varchar("&amp;BN46&amp;")","smallint","smallint","date","date","money","decimal(19,4)","numeric","numeric("&amp;BN46&amp;")","int","int","bit","char(1)","datetime2","datetime","time","time")</f>
        <v>decimal(19,4)</v>
      </c>
      <c r="AD46" s="25"/>
      <c r="AE46" s="25"/>
      <c r="AF46" s="25"/>
      <c r="AG46" s="26"/>
      <c r="AH46" s="22"/>
      <c r="AI46" s="26"/>
      <c r="AJ46" s="22"/>
      <c r="AK46" s="25"/>
      <c r="AL46" s="26"/>
      <c r="AM46" s="22"/>
      <c r="AN46" s="25"/>
      <c r="AO46" s="25"/>
      <c r="AP46" s="25"/>
      <c r="AQ46" s="25"/>
      <c r="AR46" s="25"/>
      <c r="AS46" s="26"/>
      <c r="AT46" s="22" t="s">
        <v>610</v>
      </c>
      <c r="AU46" s="25"/>
      <c r="AV46" s="25"/>
      <c r="AW46" s="25"/>
      <c r="AX46" s="25"/>
      <c r="AY46" s="25"/>
      <c r="AZ46" s="25"/>
      <c r="BA46" s="25"/>
      <c r="BB46" s="25"/>
      <c r="BC46" s="25"/>
      <c r="BD46" s="25"/>
      <c r="BE46" s="25"/>
      <c r="BF46" s="25"/>
      <c r="BG46" s="25"/>
      <c r="BH46" s="25"/>
      <c r="BI46" s="25"/>
      <c r="BJ46" s="26"/>
      <c r="BK46" s="4"/>
      <c r="BM46" t="s">
        <v>891</v>
      </c>
      <c r="BP46" t="str">
        <f t="shared" si="1"/>
        <v>,`CombinationOnePrice4` decimal(19,4)  COMMENT '成立後単品価格４'</v>
      </c>
      <c r="BQ46" t="s">
        <v>626</v>
      </c>
      <c r="BR46" t="str">
        <f t="shared" si="5"/>
        <v xml:space="preserve">,`CombinationOnePrice4` decimal(19,4) </v>
      </c>
      <c r="BS46" t="s">
        <v>626</v>
      </c>
      <c r="BT46" t="str">
        <f t="shared" si="6"/>
        <v>,`CombinationOnePrice4` = if(nullif( @21,'') &gt; '', @21, null )</v>
      </c>
      <c r="BU46" t="s">
        <v>626</v>
      </c>
      <c r="BV46" s="97" t="str">
        <f t="shared" si="2"/>
        <v>,A.`CombinationOnePrice4` = B.`CombinationOnePrice4`</v>
      </c>
      <c r="BW46" t="s">
        <v>626</v>
      </c>
      <c r="BX46" s="97" t="str">
        <f t="shared" si="3"/>
        <v>,`CombinationOnePrice4`</v>
      </c>
      <c r="BY46" t="s">
        <v>626</v>
      </c>
      <c r="BZ46" s="97" t="str">
        <f t="shared" si="4"/>
        <v>,`CombinationOnePrice4`</v>
      </c>
      <c r="CA46" t="s">
        <v>626</v>
      </c>
    </row>
    <row r="47" spans="1:79" ht="15" customHeight="1">
      <c r="A47" s="100" t="s">
        <v>984</v>
      </c>
      <c r="B47" s="23">
        <f t="shared" si="0"/>
        <v>27</v>
      </c>
      <c r="C47" s="24"/>
      <c r="D47" s="22" t="s">
        <v>571</v>
      </c>
      <c r="E47" s="25"/>
      <c r="F47" s="25"/>
      <c r="G47" s="25"/>
      <c r="H47" s="25"/>
      <c r="I47" s="25"/>
      <c r="J47" s="25"/>
      <c r="K47" s="25"/>
      <c r="L47" s="25"/>
      <c r="M47" s="25"/>
      <c r="N47" s="25"/>
      <c r="O47" s="25"/>
      <c r="P47" s="25"/>
      <c r="Q47" s="26"/>
      <c r="R47" s="22" t="s">
        <v>589</v>
      </c>
      <c r="S47" s="25"/>
      <c r="T47" s="25"/>
      <c r="U47" s="25"/>
      <c r="V47" s="25"/>
      <c r="W47" s="25"/>
      <c r="X47" s="25"/>
      <c r="Y47" s="25"/>
      <c r="Z47" s="25"/>
      <c r="AA47" s="25"/>
      <c r="AB47" s="26"/>
      <c r="AC47" s="22" t="str" cm="1">
        <f t="array" ref="AC47">_xlfn.SWITCH(BM47,"nvarchar","varchar("&amp;BN47&amp;")","smallint","smallint","date","date","money","decimal(19,4)","numeric","numeric("&amp;BN47&amp;")","int","int","bit","char(1)","datetime2","datetime","time","time")</f>
        <v>int</v>
      </c>
      <c r="AD47" s="25"/>
      <c r="AE47" s="25"/>
      <c r="AF47" s="25"/>
      <c r="AG47" s="26"/>
      <c r="AH47" s="22"/>
      <c r="AI47" s="26"/>
      <c r="AJ47" s="22"/>
      <c r="AK47" s="25"/>
      <c r="AL47" s="26"/>
      <c r="AM47" s="22"/>
      <c r="AN47" s="25"/>
      <c r="AO47" s="25"/>
      <c r="AP47" s="25"/>
      <c r="AQ47" s="25"/>
      <c r="AR47" s="25"/>
      <c r="AS47" s="26"/>
      <c r="AT47" s="22" t="s">
        <v>611</v>
      </c>
      <c r="AU47" s="25"/>
      <c r="AV47" s="25"/>
      <c r="AW47" s="25"/>
      <c r="AX47" s="25"/>
      <c r="AY47" s="25"/>
      <c r="AZ47" s="25"/>
      <c r="BA47" s="25"/>
      <c r="BB47" s="25"/>
      <c r="BC47" s="25"/>
      <c r="BD47" s="25"/>
      <c r="BE47" s="25"/>
      <c r="BF47" s="25"/>
      <c r="BG47" s="25"/>
      <c r="BH47" s="25"/>
      <c r="BI47" s="25"/>
      <c r="BJ47" s="26"/>
      <c r="BK47" s="4"/>
      <c r="BM47" t="s">
        <v>437</v>
      </c>
      <c r="BP47" t="str">
        <f t="shared" si="1"/>
        <v>,`CombinationCount5` int  COMMENT '成立数５'</v>
      </c>
      <c r="BQ47" t="s">
        <v>626</v>
      </c>
      <c r="BR47" t="str">
        <f t="shared" si="5"/>
        <v xml:space="preserve">,`CombinationCount5` int </v>
      </c>
      <c r="BS47" t="s">
        <v>626</v>
      </c>
      <c r="BT47" t="str">
        <f t="shared" si="6"/>
        <v>,`CombinationCount5` = if(nullif( @22,'') &gt; '', @22, null )</v>
      </c>
      <c r="BU47" t="s">
        <v>626</v>
      </c>
      <c r="BV47" s="97" t="str">
        <f t="shared" si="2"/>
        <v>,A.`CombinationCount5` = B.`CombinationCount5`</v>
      </c>
      <c r="BW47" t="s">
        <v>626</v>
      </c>
      <c r="BX47" s="97" t="str">
        <f t="shared" si="3"/>
        <v>,`CombinationCount5`</v>
      </c>
      <c r="BY47" t="s">
        <v>626</v>
      </c>
      <c r="BZ47" s="97" t="str">
        <f t="shared" si="4"/>
        <v>,`CombinationCount5`</v>
      </c>
      <c r="CA47" t="s">
        <v>626</v>
      </c>
    </row>
    <row r="48" spans="1:79" ht="15" customHeight="1">
      <c r="A48" s="100" t="s">
        <v>985</v>
      </c>
      <c r="B48" s="23">
        <f t="shared" si="0"/>
        <v>28</v>
      </c>
      <c r="C48" s="24"/>
      <c r="D48" s="22" t="s">
        <v>572</v>
      </c>
      <c r="E48" s="25"/>
      <c r="F48" s="25"/>
      <c r="G48" s="25"/>
      <c r="H48" s="25"/>
      <c r="I48" s="25"/>
      <c r="J48" s="25"/>
      <c r="K48" s="25"/>
      <c r="L48" s="25"/>
      <c r="M48" s="25"/>
      <c r="N48" s="25"/>
      <c r="O48" s="25"/>
      <c r="P48" s="25"/>
      <c r="Q48" s="26"/>
      <c r="R48" s="22" t="s">
        <v>590</v>
      </c>
      <c r="S48" s="25"/>
      <c r="T48" s="25"/>
      <c r="U48" s="25"/>
      <c r="V48" s="25"/>
      <c r="W48" s="25"/>
      <c r="X48" s="25"/>
      <c r="Y48" s="25"/>
      <c r="Z48" s="25"/>
      <c r="AA48" s="25"/>
      <c r="AB48" s="26"/>
      <c r="AC48" s="22" t="str" cm="1">
        <f t="array" ref="AC48">_xlfn.SWITCH(BM48,"nvarchar","varchar("&amp;BN48&amp;")","smallint","smallint","date","date","money","decimal(19,4)","numeric","numeric("&amp;BN48&amp;")","int","int","bit","char(1)","datetime2","datetime","time","time")</f>
        <v>decimal(19,4)</v>
      </c>
      <c r="AD48" s="25"/>
      <c r="AE48" s="25"/>
      <c r="AF48" s="25"/>
      <c r="AG48" s="26"/>
      <c r="AH48" s="22"/>
      <c r="AI48" s="26"/>
      <c r="AJ48" s="22"/>
      <c r="AK48" s="25"/>
      <c r="AL48" s="26"/>
      <c r="AM48" s="22"/>
      <c r="AN48" s="25"/>
      <c r="AO48" s="25"/>
      <c r="AP48" s="25"/>
      <c r="AQ48" s="25"/>
      <c r="AR48" s="25"/>
      <c r="AS48" s="26"/>
      <c r="AT48" s="22" t="s">
        <v>612</v>
      </c>
      <c r="AU48" s="25"/>
      <c r="AV48" s="25"/>
      <c r="AW48" s="25"/>
      <c r="AX48" s="25"/>
      <c r="AY48" s="25"/>
      <c r="AZ48" s="25"/>
      <c r="BA48" s="25"/>
      <c r="BB48" s="25"/>
      <c r="BC48" s="25"/>
      <c r="BD48" s="25"/>
      <c r="BE48" s="25"/>
      <c r="BF48" s="25"/>
      <c r="BG48" s="25"/>
      <c r="BH48" s="25"/>
      <c r="BI48" s="25"/>
      <c r="BJ48" s="26"/>
      <c r="BK48" s="4"/>
      <c r="BM48" t="s">
        <v>891</v>
      </c>
      <c r="BP48" t="str">
        <f t="shared" si="1"/>
        <v>,`CombinationPrice5` decimal(19,4)  COMMENT '成立価格５'</v>
      </c>
      <c r="BQ48" t="s">
        <v>626</v>
      </c>
      <c r="BR48" t="str">
        <f t="shared" si="5"/>
        <v xml:space="preserve">,`CombinationPrice5` decimal(19,4) </v>
      </c>
      <c r="BS48" t="s">
        <v>626</v>
      </c>
      <c r="BT48" t="str">
        <f t="shared" si="6"/>
        <v>,`CombinationPrice5` = if(nullif( @23,'') &gt; '', @23, null )</v>
      </c>
      <c r="BU48" t="s">
        <v>626</v>
      </c>
      <c r="BV48" s="97" t="str">
        <f t="shared" si="2"/>
        <v>,A.`CombinationPrice5` = B.`CombinationPrice5`</v>
      </c>
      <c r="BW48" t="s">
        <v>626</v>
      </c>
      <c r="BX48" s="97" t="str">
        <f t="shared" si="3"/>
        <v>,`CombinationPrice5`</v>
      </c>
      <c r="BY48" t="s">
        <v>626</v>
      </c>
      <c r="BZ48" s="97" t="str">
        <f t="shared" si="4"/>
        <v>,`CombinationPrice5`</v>
      </c>
      <c r="CA48" t="s">
        <v>626</v>
      </c>
    </row>
    <row r="49" spans="1:79" ht="15" customHeight="1">
      <c r="A49" s="100" t="s">
        <v>986</v>
      </c>
      <c r="B49" s="23">
        <f t="shared" si="0"/>
        <v>29</v>
      </c>
      <c r="C49" s="24"/>
      <c r="D49" s="22" t="s">
        <v>573</v>
      </c>
      <c r="E49" s="25"/>
      <c r="F49" s="25"/>
      <c r="G49" s="25"/>
      <c r="H49" s="25"/>
      <c r="I49" s="25"/>
      <c r="J49" s="25"/>
      <c r="K49" s="25"/>
      <c r="L49" s="25"/>
      <c r="M49" s="25"/>
      <c r="N49" s="25"/>
      <c r="O49" s="25"/>
      <c r="P49" s="25"/>
      <c r="Q49" s="26"/>
      <c r="R49" s="22" t="s">
        <v>591</v>
      </c>
      <c r="S49" s="25"/>
      <c r="T49" s="25"/>
      <c r="U49" s="25"/>
      <c r="V49" s="25"/>
      <c r="W49" s="25"/>
      <c r="X49" s="25"/>
      <c r="Y49" s="25"/>
      <c r="Z49" s="25"/>
      <c r="AA49" s="25"/>
      <c r="AB49" s="26"/>
      <c r="AC49" s="22" t="str" cm="1">
        <f t="array" ref="AC49">_xlfn.SWITCH(BM49,"nvarchar","varchar("&amp;BN49&amp;")","smallint","smallint","date","date","money","decimal(19,4)","numeric","numeric("&amp;BN49&amp;")","int","int","bit","char(1)","datetime2","datetime","time","time")</f>
        <v>decimal(19,4)</v>
      </c>
      <c r="AD49" s="25"/>
      <c r="AE49" s="25"/>
      <c r="AF49" s="25"/>
      <c r="AG49" s="26"/>
      <c r="AH49" s="22"/>
      <c r="AI49" s="26"/>
      <c r="AJ49" s="22"/>
      <c r="AK49" s="25"/>
      <c r="AL49" s="26"/>
      <c r="AM49" s="22"/>
      <c r="AN49" s="25"/>
      <c r="AO49" s="25"/>
      <c r="AP49" s="25"/>
      <c r="AQ49" s="25"/>
      <c r="AR49" s="25"/>
      <c r="AS49" s="26"/>
      <c r="AT49" s="22" t="s">
        <v>613</v>
      </c>
      <c r="AU49" s="25"/>
      <c r="AV49" s="25"/>
      <c r="AW49" s="25"/>
      <c r="AX49" s="25"/>
      <c r="AY49" s="25"/>
      <c r="AZ49" s="25"/>
      <c r="BA49" s="25"/>
      <c r="BB49" s="25"/>
      <c r="BC49" s="25"/>
      <c r="BD49" s="25"/>
      <c r="BE49" s="25"/>
      <c r="BF49" s="25"/>
      <c r="BG49" s="25"/>
      <c r="BH49" s="25"/>
      <c r="BI49" s="25"/>
      <c r="BJ49" s="26"/>
      <c r="BK49" s="4"/>
      <c r="BM49" t="s">
        <v>891</v>
      </c>
      <c r="BP49" t="str">
        <f t="shared" si="1"/>
        <v>,`CombinationOnePrice5` decimal(19,4)  COMMENT '成立後単品価格５'</v>
      </c>
      <c r="BQ49" t="s">
        <v>626</v>
      </c>
      <c r="BR49" t="str">
        <f t="shared" si="5"/>
        <v xml:space="preserve">,`CombinationOnePrice5` decimal(19,4) </v>
      </c>
      <c r="BS49" t="s">
        <v>626</v>
      </c>
      <c r="BT49" t="str">
        <f t="shared" si="6"/>
        <v>,`CombinationOnePrice5` = if(nullif( @24,'') &gt; '', @24, null )</v>
      </c>
      <c r="BU49" t="s">
        <v>626</v>
      </c>
      <c r="BV49" s="97" t="str">
        <f t="shared" si="2"/>
        <v>,A.`CombinationOnePrice5` = B.`CombinationOnePrice5`</v>
      </c>
      <c r="BW49" t="s">
        <v>626</v>
      </c>
      <c r="BX49" s="97" t="str">
        <f t="shared" si="3"/>
        <v>,`CombinationOnePrice5`</v>
      </c>
      <c r="BY49" t="s">
        <v>626</v>
      </c>
      <c r="BZ49" s="97" t="str">
        <f t="shared" si="4"/>
        <v>,`CombinationOnePrice5`</v>
      </c>
      <c r="CA49" t="s">
        <v>626</v>
      </c>
    </row>
    <row r="50" spans="1:79" ht="15" customHeight="1">
      <c r="A50" s="100" t="s">
        <v>987</v>
      </c>
      <c r="B50" s="23">
        <f t="shared" si="0"/>
        <v>30</v>
      </c>
      <c r="C50" s="24"/>
      <c r="D50" s="22" t="s">
        <v>574</v>
      </c>
      <c r="E50" s="25"/>
      <c r="F50" s="25"/>
      <c r="G50" s="25"/>
      <c r="H50" s="25"/>
      <c r="I50" s="25"/>
      <c r="J50" s="25"/>
      <c r="K50" s="25"/>
      <c r="L50" s="25"/>
      <c r="M50" s="25"/>
      <c r="N50" s="25"/>
      <c r="O50" s="25"/>
      <c r="P50" s="25"/>
      <c r="Q50" s="26"/>
      <c r="R50" s="22" t="s">
        <v>592</v>
      </c>
      <c r="S50" s="25"/>
      <c r="T50" s="25"/>
      <c r="U50" s="25"/>
      <c r="V50" s="25"/>
      <c r="W50" s="25"/>
      <c r="X50" s="25"/>
      <c r="Y50" s="25"/>
      <c r="Z50" s="25"/>
      <c r="AA50" s="25"/>
      <c r="AB50" s="26"/>
      <c r="AC50" s="22" t="str" cm="1">
        <f t="array" ref="AC50">_xlfn.SWITCH(BM50,"nvarchar","varchar("&amp;BN50&amp;")","smallint","smallint","date","date","money","decimal(19,4)","numeric","numeric("&amp;BN50&amp;")","int","int","bit","char(1)","datetime2","datetime","time","time")</f>
        <v>decimal(19,4)</v>
      </c>
      <c r="AD50" s="25"/>
      <c r="AE50" s="25"/>
      <c r="AF50" s="25"/>
      <c r="AG50" s="26"/>
      <c r="AH50" s="22"/>
      <c r="AI50" s="26"/>
      <c r="AJ50" s="22"/>
      <c r="AK50" s="25"/>
      <c r="AL50" s="26"/>
      <c r="AM50" s="22"/>
      <c r="AN50" s="25"/>
      <c r="AO50" s="25"/>
      <c r="AP50" s="25"/>
      <c r="AQ50" s="25"/>
      <c r="AR50" s="25"/>
      <c r="AS50" s="26"/>
      <c r="AT50" s="22" t="s">
        <v>614</v>
      </c>
      <c r="AU50" s="25"/>
      <c r="AV50" s="25"/>
      <c r="AW50" s="25"/>
      <c r="AX50" s="25"/>
      <c r="AY50" s="25"/>
      <c r="AZ50" s="25"/>
      <c r="BA50" s="25"/>
      <c r="BB50" s="25"/>
      <c r="BC50" s="25"/>
      <c r="BD50" s="25"/>
      <c r="BE50" s="25"/>
      <c r="BF50" s="25"/>
      <c r="BG50" s="25"/>
      <c r="BH50" s="25"/>
      <c r="BI50" s="25"/>
      <c r="BJ50" s="26"/>
      <c r="BK50" s="4"/>
      <c r="BM50" t="s">
        <v>891</v>
      </c>
      <c r="BP50" t="str">
        <f t="shared" si="1"/>
        <v>,`PairMatchCombinationPrice` decimal(19,4)  COMMENT 'ＰＭ成立価格'</v>
      </c>
      <c r="BQ50" t="s">
        <v>626</v>
      </c>
      <c r="BR50" t="str">
        <f t="shared" si="5"/>
        <v xml:space="preserve">,`PairMatchCombinationPrice` decimal(19,4) </v>
      </c>
      <c r="BS50" t="s">
        <v>626</v>
      </c>
      <c r="BT50" t="str">
        <f t="shared" si="6"/>
        <v>,`PairMatchCombinationPrice` = if(nullif( @25,'') &gt; '', @25, null )</v>
      </c>
      <c r="BU50" t="s">
        <v>626</v>
      </c>
      <c r="BV50" s="97" t="str">
        <f t="shared" si="2"/>
        <v>,A.`PairMatchCombinationPrice` = B.`PairMatchCombinationPrice`</v>
      </c>
      <c r="BW50" t="s">
        <v>626</v>
      </c>
      <c r="BX50" s="97" t="str">
        <f t="shared" si="3"/>
        <v>,`PairMatchCombinationPrice`</v>
      </c>
      <c r="BY50" t="s">
        <v>626</v>
      </c>
      <c r="BZ50" s="97" t="str">
        <f t="shared" si="4"/>
        <v>,`PairMatchCombinationPrice`</v>
      </c>
      <c r="CA50" t="s">
        <v>626</v>
      </c>
    </row>
    <row r="51" spans="1:79" ht="15" customHeight="1">
      <c r="A51" s="100" t="s">
        <v>988</v>
      </c>
      <c r="B51" s="23">
        <f t="shared" si="0"/>
        <v>31</v>
      </c>
      <c r="C51" s="24"/>
      <c r="D51" s="22" t="s">
        <v>506</v>
      </c>
      <c r="E51" s="25"/>
      <c r="F51" s="25"/>
      <c r="G51" s="25"/>
      <c r="H51" s="25"/>
      <c r="I51" s="25"/>
      <c r="J51" s="25"/>
      <c r="K51" s="25"/>
      <c r="L51" s="25"/>
      <c r="M51" s="25"/>
      <c r="N51" s="25"/>
      <c r="O51" s="25"/>
      <c r="P51" s="25"/>
      <c r="Q51" s="26"/>
      <c r="R51" s="22" t="s">
        <v>523</v>
      </c>
      <c r="S51" s="25"/>
      <c r="T51" s="25"/>
      <c r="U51" s="25"/>
      <c r="V51" s="25"/>
      <c r="W51" s="25"/>
      <c r="X51" s="25"/>
      <c r="Y51" s="25"/>
      <c r="Z51" s="25"/>
      <c r="AA51" s="25"/>
      <c r="AB51" s="26"/>
      <c r="AC51" s="22" t="str" cm="1">
        <f t="array" ref="AC51">_xlfn.SWITCH(BM51,"nvarchar","varchar("&amp;BN51&amp;")","smallint","smallint","date","date","money","decimal(19,4)","numeric","numeric("&amp;BN51&amp;")","int","int","bit","char(1)","datetime2","datetime","time","time")</f>
        <v>smallint</v>
      </c>
      <c r="AD51" s="25"/>
      <c r="AE51" s="25"/>
      <c r="AF51" s="25"/>
      <c r="AG51" s="26"/>
      <c r="AH51" s="22"/>
      <c r="AI51" s="26"/>
      <c r="AJ51" s="22" t="s">
        <v>885</v>
      </c>
      <c r="AK51" s="25"/>
      <c r="AL51" s="26"/>
      <c r="AM51" s="22"/>
      <c r="AN51" s="25"/>
      <c r="AO51" s="25"/>
      <c r="AP51" s="25"/>
      <c r="AQ51" s="25"/>
      <c r="AR51" s="25"/>
      <c r="AS51" s="26"/>
      <c r="AT51" s="22" t="s">
        <v>615</v>
      </c>
      <c r="AU51" s="25"/>
      <c r="AV51" s="25"/>
      <c r="AW51" s="25"/>
      <c r="AX51" s="25"/>
      <c r="AY51" s="25"/>
      <c r="AZ51" s="25"/>
      <c r="BA51" s="25"/>
      <c r="BB51" s="25"/>
      <c r="BC51" s="25"/>
      <c r="BD51" s="25"/>
      <c r="BE51" s="25"/>
      <c r="BF51" s="25"/>
      <c r="BG51" s="25"/>
      <c r="BH51" s="25"/>
      <c r="BI51" s="25"/>
      <c r="BJ51" s="26"/>
      <c r="BK51" s="4"/>
      <c r="BM51" t="s">
        <v>623</v>
      </c>
      <c r="BP51" t="str">
        <f t="shared" si="1"/>
        <v>,`DateCategorizeTypeCode` smallint NOT NULL COMMENT '採用曜日区分'</v>
      </c>
      <c r="BQ51" t="s">
        <v>626</v>
      </c>
      <c r="BR51" t="str">
        <f t="shared" si="5"/>
        <v>,`DateCategorizeTypeCode` smallint NOT NULL</v>
      </c>
      <c r="BS51" t="s">
        <v>626</v>
      </c>
      <c r="BT51" t="str">
        <f t="shared" si="6"/>
        <v>,`DateCategorizeTypeCode` = if(nullif( @26,'') &gt; '', @26, null )</v>
      </c>
      <c r="BU51" t="s">
        <v>626</v>
      </c>
      <c r="BV51" s="97" t="str">
        <f t="shared" si="2"/>
        <v>,A.`DateCategorizeTypeCode` = B.`DateCategorizeTypeCode`</v>
      </c>
      <c r="BW51" t="s">
        <v>626</v>
      </c>
      <c r="BX51" s="97" t="str">
        <f t="shared" si="3"/>
        <v>,`DateCategorizeTypeCode`</v>
      </c>
      <c r="BY51" t="s">
        <v>626</v>
      </c>
      <c r="BZ51" s="97" t="str">
        <f t="shared" si="4"/>
        <v>,`DateCategorizeTypeCode`</v>
      </c>
      <c r="CA51" t="s">
        <v>626</v>
      </c>
    </row>
    <row r="52" spans="1:79" ht="15" customHeight="1">
      <c r="A52" s="100" t="s">
        <v>989</v>
      </c>
      <c r="B52" s="23">
        <f t="shared" si="0"/>
        <v>32</v>
      </c>
      <c r="C52" s="24"/>
      <c r="D52" s="22" t="s">
        <v>507</v>
      </c>
      <c r="E52" s="25"/>
      <c r="F52" s="25"/>
      <c r="G52" s="25"/>
      <c r="H52" s="25"/>
      <c r="I52" s="25"/>
      <c r="J52" s="25"/>
      <c r="K52" s="25"/>
      <c r="L52" s="25"/>
      <c r="M52" s="25"/>
      <c r="N52" s="25"/>
      <c r="O52" s="25"/>
      <c r="P52" s="25"/>
      <c r="Q52" s="26"/>
      <c r="R52" s="22" t="s">
        <v>524</v>
      </c>
      <c r="S52" s="25"/>
      <c r="T52" s="25"/>
      <c r="U52" s="25"/>
      <c r="V52" s="25"/>
      <c r="W52" s="25"/>
      <c r="X52" s="25"/>
      <c r="Y52" s="25"/>
      <c r="Z52" s="25"/>
      <c r="AA52" s="25"/>
      <c r="AB52" s="26"/>
      <c r="AC52" s="22" t="str" cm="1">
        <f t="array" ref="AC52">_xlfn.SWITCH(BM52,"nvarchar","varchar("&amp;BN52&amp;")","smallint","smallint","date","date","money","decimal(19,4)","numeric","numeric("&amp;BN52&amp;")","int","int","bit","char(1)","datetime2","datetime","time","time")</f>
        <v>char(1)</v>
      </c>
      <c r="AD52" s="25"/>
      <c r="AE52" s="25"/>
      <c r="AF52" s="25"/>
      <c r="AG52" s="26"/>
      <c r="AH52" s="22"/>
      <c r="AI52" s="26"/>
      <c r="AJ52" s="22" t="s">
        <v>885</v>
      </c>
      <c r="AK52" s="25"/>
      <c r="AL52" s="26"/>
      <c r="AM52" s="22"/>
      <c r="AN52" s="25"/>
      <c r="AO52" s="25"/>
      <c r="AP52" s="25"/>
      <c r="AQ52" s="25"/>
      <c r="AR52" s="25"/>
      <c r="AS52" s="26"/>
      <c r="AT52" s="22" t="s">
        <v>616</v>
      </c>
      <c r="AU52" s="25"/>
      <c r="AV52" s="25"/>
      <c r="AW52" s="25"/>
      <c r="AX52" s="25"/>
      <c r="AY52" s="25"/>
      <c r="AZ52" s="25"/>
      <c r="BA52" s="25"/>
      <c r="BB52" s="25"/>
      <c r="BC52" s="25"/>
      <c r="BD52" s="25"/>
      <c r="BE52" s="25"/>
      <c r="BF52" s="25"/>
      <c r="BG52" s="25"/>
      <c r="BH52" s="25"/>
      <c r="BI52" s="25"/>
      <c r="BJ52" s="26"/>
      <c r="BK52" s="4"/>
      <c r="BM52" t="s">
        <v>896</v>
      </c>
      <c r="BP52" t="str">
        <f t="shared" si="1"/>
        <v>,`IsMonday` char(1) NOT NULL COMMENT '月曜日実施フラグ'</v>
      </c>
      <c r="BQ52" t="s">
        <v>626</v>
      </c>
      <c r="BR52" t="str">
        <f t="shared" si="5"/>
        <v>,`IsMonday` char(1) NOT NULL</v>
      </c>
      <c r="BS52" t="s">
        <v>626</v>
      </c>
      <c r="BT52" t="str">
        <f t="shared" si="6"/>
        <v>,`IsMonday` = if(nullif( @27,'') &gt; '', @27, null )</v>
      </c>
      <c r="BU52" t="s">
        <v>626</v>
      </c>
      <c r="BV52" s="97" t="str">
        <f t="shared" si="2"/>
        <v>,A.`IsMonday` = B.`IsMonday`</v>
      </c>
      <c r="BW52" t="s">
        <v>626</v>
      </c>
      <c r="BX52" s="97" t="str">
        <f t="shared" si="3"/>
        <v>,`IsMonday`</v>
      </c>
      <c r="BY52" t="s">
        <v>626</v>
      </c>
      <c r="BZ52" s="97" t="str">
        <f t="shared" si="4"/>
        <v>,`IsMonday`</v>
      </c>
      <c r="CA52" t="s">
        <v>626</v>
      </c>
    </row>
    <row r="53" spans="1:79" ht="15" customHeight="1">
      <c r="A53" s="100" t="s">
        <v>990</v>
      </c>
      <c r="B53" s="23">
        <f t="shared" si="0"/>
        <v>33</v>
      </c>
      <c r="C53" s="24"/>
      <c r="D53" s="22" t="s">
        <v>508</v>
      </c>
      <c r="E53" s="25"/>
      <c r="F53" s="25"/>
      <c r="G53" s="25"/>
      <c r="H53" s="25"/>
      <c r="I53" s="25"/>
      <c r="J53" s="25"/>
      <c r="K53" s="25"/>
      <c r="L53" s="25"/>
      <c r="M53" s="25"/>
      <c r="N53" s="25"/>
      <c r="O53" s="25"/>
      <c r="P53" s="25"/>
      <c r="Q53" s="26"/>
      <c r="R53" s="22" t="s">
        <v>525</v>
      </c>
      <c r="S53" s="25"/>
      <c r="T53" s="25"/>
      <c r="U53" s="25"/>
      <c r="V53" s="25"/>
      <c r="W53" s="25"/>
      <c r="X53" s="25"/>
      <c r="Y53" s="25"/>
      <c r="Z53" s="25"/>
      <c r="AA53" s="25"/>
      <c r="AB53" s="26"/>
      <c r="AC53" s="22" t="str" cm="1">
        <f t="array" ref="AC53">_xlfn.SWITCH(BM53,"nvarchar","varchar("&amp;BN53&amp;")","smallint","smallint","date","date","money","decimal(19,4)","numeric","numeric("&amp;BN53&amp;")","int","int","bit","char(1)","datetime2","datetime","time","time")</f>
        <v>char(1)</v>
      </c>
      <c r="AD53" s="25"/>
      <c r="AE53" s="25"/>
      <c r="AF53" s="25"/>
      <c r="AG53" s="26"/>
      <c r="AH53" s="22"/>
      <c r="AI53" s="26"/>
      <c r="AJ53" s="22" t="s">
        <v>885</v>
      </c>
      <c r="AK53" s="25"/>
      <c r="AL53" s="26"/>
      <c r="AM53" s="22"/>
      <c r="AN53" s="25"/>
      <c r="AO53" s="25"/>
      <c r="AP53" s="25"/>
      <c r="AQ53" s="25"/>
      <c r="AR53" s="25"/>
      <c r="AS53" s="26"/>
      <c r="AT53" s="22" t="s">
        <v>617</v>
      </c>
      <c r="AU53" s="25"/>
      <c r="AV53" s="25"/>
      <c r="AW53" s="25"/>
      <c r="AX53" s="25"/>
      <c r="AY53" s="25"/>
      <c r="AZ53" s="25"/>
      <c r="BA53" s="25"/>
      <c r="BB53" s="25"/>
      <c r="BC53" s="25"/>
      <c r="BD53" s="25"/>
      <c r="BE53" s="25"/>
      <c r="BF53" s="25"/>
      <c r="BG53" s="25"/>
      <c r="BH53" s="25"/>
      <c r="BI53" s="25"/>
      <c r="BJ53" s="26"/>
      <c r="BK53" s="4"/>
      <c r="BM53" t="s">
        <v>896</v>
      </c>
      <c r="BP53" t="str">
        <f t="shared" si="1"/>
        <v>,`IsTuesday` char(1) NOT NULL COMMENT '火曜日実施フラグ'</v>
      </c>
      <c r="BQ53" t="s">
        <v>626</v>
      </c>
      <c r="BR53" t="str">
        <f t="shared" si="5"/>
        <v>,`IsTuesday` char(1) NOT NULL</v>
      </c>
      <c r="BS53" t="s">
        <v>626</v>
      </c>
      <c r="BT53" t="str">
        <f t="shared" si="6"/>
        <v>,`IsTuesday` = if(nullif( @28,'') &gt; '', @28, null )</v>
      </c>
      <c r="BU53" t="s">
        <v>626</v>
      </c>
      <c r="BV53" s="97" t="str">
        <f t="shared" si="2"/>
        <v>,A.`IsTuesday` = B.`IsTuesday`</v>
      </c>
      <c r="BW53" t="s">
        <v>626</v>
      </c>
      <c r="BX53" s="97" t="str">
        <f t="shared" si="3"/>
        <v>,`IsTuesday`</v>
      </c>
      <c r="BY53" t="s">
        <v>626</v>
      </c>
      <c r="BZ53" s="97" t="str">
        <f t="shared" si="4"/>
        <v>,`IsTuesday`</v>
      </c>
      <c r="CA53" t="s">
        <v>626</v>
      </c>
    </row>
    <row r="54" spans="1:79" ht="15" customHeight="1">
      <c r="A54" s="100" t="s">
        <v>991</v>
      </c>
      <c r="B54" s="23">
        <f t="shared" si="0"/>
        <v>34</v>
      </c>
      <c r="C54" s="24"/>
      <c r="D54" s="22" t="s">
        <v>509</v>
      </c>
      <c r="E54" s="25"/>
      <c r="F54" s="25"/>
      <c r="G54" s="25"/>
      <c r="H54" s="25"/>
      <c r="I54" s="25"/>
      <c r="J54" s="25"/>
      <c r="K54" s="25"/>
      <c r="L54" s="25"/>
      <c r="M54" s="25"/>
      <c r="N54" s="25"/>
      <c r="O54" s="25"/>
      <c r="P54" s="25"/>
      <c r="Q54" s="26"/>
      <c r="R54" s="22" t="s">
        <v>526</v>
      </c>
      <c r="S54" s="25"/>
      <c r="T54" s="25"/>
      <c r="U54" s="25"/>
      <c r="V54" s="25"/>
      <c r="W54" s="25"/>
      <c r="X54" s="25"/>
      <c r="Y54" s="25"/>
      <c r="Z54" s="25"/>
      <c r="AA54" s="25"/>
      <c r="AB54" s="26"/>
      <c r="AC54" s="22" t="str" cm="1">
        <f t="array" ref="AC54">_xlfn.SWITCH(BM54,"nvarchar","varchar("&amp;BN54&amp;")","smallint","smallint","date","date","money","decimal(19,4)","numeric","numeric("&amp;BN54&amp;")","int","int","bit","char(1)","datetime2","datetime","time","time")</f>
        <v>char(1)</v>
      </c>
      <c r="AD54" s="25"/>
      <c r="AE54" s="25"/>
      <c r="AF54" s="25"/>
      <c r="AG54" s="26"/>
      <c r="AH54" s="22"/>
      <c r="AI54" s="26"/>
      <c r="AJ54" s="22" t="s">
        <v>885</v>
      </c>
      <c r="AK54" s="25"/>
      <c r="AL54" s="26"/>
      <c r="AM54" s="22"/>
      <c r="AN54" s="25"/>
      <c r="AO54" s="25"/>
      <c r="AP54" s="25"/>
      <c r="AQ54" s="25"/>
      <c r="AR54" s="25"/>
      <c r="AS54" s="26"/>
      <c r="AT54" s="22" t="s">
        <v>618</v>
      </c>
      <c r="AU54" s="25"/>
      <c r="AV54" s="25"/>
      <c r="AW54" s="25"/>
      <c r="AX54" s="25"/>
      <c r="AY54" s="25"/>
      <c r="AZ54" s="25"/>
      <c r="BA54" s="25"/>
      <c r="BB54" s="25"/>
      <c r="BC54" s="25"/>
      <c r="BD54" s="25"/>
      <c r="BE54" s="25"/>
      <c r="BF54" s="25"/>
      <c r="BG54" s="25"/>
      <c r="BH54" s="25"/>
      <c r="BI54" s="25"/>
      <c r="BJ54" s="26"/>
      <c r="BK54" s="4"/>
      <c r="BM54" t="s">
        <v>896</v>
      </c>
      <c r="BP54" t="str">
        <f t="shared" si="1"/>
        <v>,`IsWednesday` char(1) NOT NULL COMMENT '水曜日実施フラグ'</v>
      </c>
      <c r="BQ54" t="s">
        <v>626</v>
      </c>
      <c r="BR54" t="str">
        <f t="shared" si="5"/>
        <v>,`IsWednesday` char(1) NOT NULL</v>
      </c>
      <c r="BS54" t="s">
        <v>626</v>
      </c>
      <c r="BT54" t="str">
        <f t="shared" si="6"/>
        <v>,`IsWednesday` = if(nullif( @29,'') &gt; '', @29, null )</v>
      </c>
      <c r="BU54" t="s">
        <v>626</v>
      </c>
      <c r="BV54" s="97" t="str">
        <f t="shared" si="2"/>
        <v>,A.`IsWednesday` = B.`IsWednesday`</v>
      </c>
      <c r="BW54" t="s">
        <v>626</v>
      </c>
      <c r="BX54" s="97" t="str">
        <f t="shared" si="3"/>
        <v>,`IsWednesday`</v>
      </c>
      <c r="BY54" t="s">
        <v>626</v>
      </c>
      <c r="BZ54" s="97" t="str">
        <f t="shared" si="4"/>
        <v>,`IsWednesday`</v>
      </c>
      <c r="CA54" t="s">
        <v>626</v>
      </c>
    </row>
    <row r="55" spans="1:79" ht="15" customHeight="1">
      <c r="A55" s="100" t="s">
        <v>992</v>
      </c>
      <c r="B55" s="23">
        <f t="shared" si="0"/>
        <v>35</v>
      </c>
      <c r="C55" s="24"/>
      <c r="D55" s="22" t="s">
        <v>510</v>
      </c>
      <c r="E55" s="25"/>
      <c r="F55" s="25"/>
      <c r="G55" s="25"/>
      <c r="H55" s="25"/>
      <c r="I55" s="25"/>
      <c r="J55" s="25"/>
      <c r="K55" s="25"/>
      <c r="L55" s="25"/>
      <c r="M55" s="25"/>
      <c r="N55" s="25"/>
      <c r="O55" s="25"/>
      <c r="P55" s="25"/>
      <c r="Q55" s="26"/>
      <c r="R55" s="22" t="s">
        <v>527</v>
      </c>
      <c r="S55" s="25"/>
      <c r="T55" s="25"/>
      <c r="U55" s="25"/>
      <c r="V55" s="25"/>
      <c r="W55" s="25"/>
      <c r="X55" s="25"/>
      <c r="Y55" s="25"/>
      <c r="Z55" s="25"/>
      <c r="AA55" s="25"/>
      <c r="AB55" s="26"/>
      <c r="AC55" s="22" t="str" cm="1">
        <f t="array" ref="AC55">_xlfn.SWITCH(BM55,"nvarchar","varchar("&amp;BN55&amp;")","smallint","smallint","date","date","money","decimal(19,4)","numeric","numeric("&amp;BN55&amp;")","int","int","bit","char(1)","datetime2","datetime","time","time")</f>
        <v>char(1)</v>
      </c>
      <c r="AD55" s="25"/>
      <c r="AE55" s="25"/>
      <c r="AF55" s="25"/>
      <c r="AG55" s="26"/>
      <c r="AH55" s="22"/>
      <c r="AI55" s="26"/>
      <c r="AJ55" s="22" t="s">
        <v>885</v>
      </c>
      <c r="AK55" s="25"/>
      <c r="AL55" s="26"/>
      <c r="AM55" s="22"/>
      <c r="AN55" s="25"/>
      <c r="AO55" s="25"/>
      <c r="AP55" s="25"/>
      <c r="AQ55" s="25"/>
      <c r="AR55" s="25"/>
      <c r="AS55" s="26"/>
      <c r="AT55" s="22" t="s">
        <v>619</v>
      </c>
      <c r="AU55" s="25"/>
      <c r="AV55" s="25"/>
      <c r="AW55" s="25"/>
      <c r="AX55" s="25"/>
      <c r="AY55" s="25"/>
      <c r="AZ55" s="25"/>
      <c r="BA55" s="25"/>
      <c r="BB55" s="25"/>
      <c r="BC55" s="25"/>
      <c r="BD55" s="25"/>
      <c r="BE55" s="25"/>
      <c r="BF55" s="25"/>
      <c r="BG55" s="25"/>
      <c r="BH55" s="25"/>
      <c r="BI55" s="25"/>
      <c r="BJ55" s="26"/>
      <c r="BK55" s="4"/>
      <c r="BM55" t="s">
        <v>896</v>
      </c>
      <c r="BP55" t="str">
        <f t="shared" si="1"/>
        <v>,`IsThursday` char(1) NOT NULL COMMENT '木曜日実施フラグ'</v>
      </c>
      <c r="BQ55" t="s">
        <v>626</v>
      </c>
      <c r="BR55" t="str">
        <f t="shared" si="5"/>
        <v>,`IsThursday` char(1) NOT NULL</v>
      </c>
      <c r="BS55" t="s">
        <v>626</v>
      </c>
      <c r="BT55" t="str">
        <f t="shared" si="6"/>
        <v>,`IsThursday` = if(nullif( @30,'') &gt; '', @30, null )</v>
      </c>
      <c r="BU55" t="s">
        <v>626</v>
      </c>
      <c r="BV55" s="97" t="str">
        <f t="shared" si="2"/>
        <v>,A.`IsThursday` = B.`IsThursday`</v>
      </c>
      <c r="BW55" t="s">
        <v>626</v>
      </c>
      <c r="BX55" s="97" t="str">
        <f t="shared" si="3"/>
        <v>,`IsThursday`</v>
      </c>
      <c r="BY55" t="s">
        <v>626</v>
      </c>
      <c r="BZ55" s="97" t="str">
        <f t="shared" si="4"/>
        <v>,`IsThursday`</v>
      </c>
      <c r="CA55" t="s">
        <v>626</v>
      </c>
    </row>
    <row r="56" spans="1:79" ht="15" customHeight="1">
      <c r="A56" s="100" t="s">
        <v>993</v>
      </c>
      <c r="B56" s="23">
        <f t="shared" si="0"/>
        <v>36</v>
      </c>
      <c r="C56" s="24"/>
      <c r="D56" s="22" t="s">
        <v>511</v>
      </c>
      <c r="E56" s="25"/>
      <c r="F56" s="25"/>
      <c r="G56" s="25"/>
      <c r="H56" s="25"/>
      <c r="I56" s="25"/>
      <c r="J56" s="25"/>
      <c r="K56" s="25"/>
      <c r="L56" s="25"/>
      <c r="M56" s="25"/>
      <c r="N56" s="25"/>
      <c r="O56" s="25"/>
      <c r="P56" s="25"/>
      <c r="Q56" s="26"/>
      <c r="R56" s="22" t="s">
        <v>528</v>
      </c>
      <c r="S56" s="25"/>
      <c r="T56" s="25"/>
      <c r="U56" s="25"/>
      <c r="V56" s="25"/>
      <c r="W56" s="25"/>
      <c r="X56" s="25"/>
      <c r="Y56" s="25"/>
      <c r="Z56" s="25"/>
      <c r="AA56" s="25"/>
      <c r="AB56" s="26"/>
      <c r="AC56" s="22" t="str" cm="1">
        <f t="array" ref="AC56">_xlfn.SWITCH(BM56,"nvarchar","varchar("&amp;BN56&amp;")","smallint","smallint","date","date","money","decimal(19,4)","numeric","numeric("&amp;BN56&amp;")","int","int","bit","char(1)","datetime2","datetime","time","time")</f>
        <v>char(1)</v>
      </c>
      <c r="AD56" s="25"/>
      <c r="AE56" s="25"/>
      <c r="AF56" s="25"/>
      <c r="AG56" s="26"/>
      <c r="AH56" s="22"/>
      <c r="AI56" s="26"/>
      <c r="AJ56" s="22" t="s">
        <v>885</v>
      </c>
      <c r="AK56" s="25"/>
      <c r="AL56" s="26"/>
      <c r="AM56" s="22"/>
      <c r="AN56" s="25"/>
      <c r="AO56" s="25"/>
      <c r="AP56" s="25"/>
      <c r="AQ56" s="25"/>
      <c r="AR56" s="25"/>
      <c r="AS56" s="26"/>
      <c r="AT56" s="22" t="s">
        <v>620</v>
      </c>
      <c r="AU56" s="25"/>
      <c r="AV56" s="25"/>
      <c r="AW56" s="25"/>
      <c r="AX56" s="25"/>
      <c r="AY56" s="25"/>
      <c r="AZ56" s="25"/>
      <c r="BA56" s="25"/>
      <c r="BB56" s="25"/>
      <c r="BC56" s="25"/>
      <c r="BD56" s="25"/>
      <c r="BE56" s="25"/>
      <c r="BF56" s="25"/>
      <c r="BG56" s="25"/>
      <c r="BH56" s="25"/>
      <c r="BI56" s="25"/>
      <c r="BJ56" s="26"/>
      <c r="BK56" s="4"/>
      <c r="BM56" t="s">
        <v>896</v>
      </c>
      <c r="BP56" t="str">
        <f t="shared" si="1"/>
        <v>,`IsFriday` char(1) NOT NULL COMMENT '金曜日実施フラグ'</v>
      </c>
      <c r="BQ56" t="s">
        <v>626</v>
      </c>
      <c r="BR56" t="str">
        <f t="shared" si="5"/>
        <v>,`IsFriday` char(1) NOT NULL</v>
      </c>
      <c r="BS56" t="s">
        <v>626</v>
      </c>
      <c r="BT56" t="str">
        <f t="shared" si="6"/>
        <v>,`IsFriday` = if(nullif( @31,'') &gt; '', @31, null )</v>
      </c>
      <c r="BU56" t="s">
        <v>626</v>
      </c>
      <c r="BV56" s="97" t="str">
        <f t="shared" si="2"/>
        <v>,A.`IsFriday` = B.`IsFriday`</v>
      </c>
      <c r="BW56" t="s">
        <v>626</v>
      </c>
      <c r="BX56" s="97" t="str">
        <f t="shared" si="3"/>
        <v>,`IsFriday`</v>
      </c>
      <c r="BY56" t="s">
        <v>626</v>
      </c>
      <c r="BZ56" s="97" t="str">
        <f t="shared" si="4"/>
        <v>,`IsFriday`</v>
      </c>
      <c r="CA56" t="s">
        <v>626</v>
      </c>
    </row>
    <row r="57" spans="1:79" ht="15" customHeight="1">
      <c r="A57" s="100" t="s">
        <v>994</v>
      </c>
      <c r="B57" s="23">
        <f t="shared" si="0"/>
        <v>37</v>
      </c>
      <c r="C57" s="24"/>
      <c r="D57" s="22" t="s">
        <v>512</v>
      </c>
      <c r="E57" s="25"/>
      <c r="F57" s="25"/>
      <c r="G57" s="25"/>
      <c r="H57" s="25"/>
      <c r="I57" s="25"/>
      <c r="J57" s="25"/>
      <c r="K57" s="25"/>
      <c r="L57" s="25"/>
      <c r="M57" s="25"/>
      <c r="N57" s="25"/>
      <c r="O57" s="25"/>
      <c r="P57" s="25"/>
      <c r="Q57" s="26"/>
      <c r="R57" s="22" t="s">
        <v>529</v>
      </c>
      <c r="S57" s="25"/>
      <c r="T57" s="25"/>
      <c r="U57" s="25"/>
      <c r="V57" s="25"/>
      <c r="W57" s="25"/>
      <c r="X57" s="25"/>
      <c r="Y57" s="25"/>
      <c r="Z57" s="25"/>
      <c r="AA57" s="25"/>
      <c r="AB57" s="26"/>
      <c r="AC57" s="22" t="str" cm="1">
        <f t="array" ref="AC57">_xlfn.SWITCH(BM57,"nvarchar","varchar("&amp;BN57&amp;")","smallint","smallint","date","date","money","decimal(19,4)","numeric","numeric("&amp;BN57&amp;")","int","int","bit","char(1)","datetime2","datetime","time","time")</f>
        <v>char(1)</v>
      </c>
      <c r="AD57" s="25"/>
      <c r="AE57" s="25"/>
      <c r="AF57" s="25"/>
      <c r="AG57" s="26"/>
      <c r="AH57" s="22"/>
      <c r="AI57" s="26"/>
      <c r="AJ57" s="22" t="s">
        <v>885</v>
      </c>
      <c r="AK57" s="25"/>
      <c r="AL57" s="26"/>
      <c r="AM57" s="22"/>
      <c r="AN57" s="25"/>
      <c r="AO57" s="25"/>
      <c r="AP57" s="25"/>
      <c r="AQ57" s="25"/>
      <c r="AR57" s="25"/>
      <c r="AS57" s="26"/>
      <c r="AT57" s="22" t="s">
        <v>621</v>
      </c>
      <c r="AU57" s="25"/>
      <c r="AV57" s="25"/>
      <c r="AW57" s="25"/>
      <c r="AX57" s="25"/>
      <c r="AY57" s="25"/>
      <c r="AZ57" s="25"/>
      <c r="BA57" s="25"/>
      <c r="BB57" s="25"/>
      <c r="BC57" s="25"/>
      <c r="BD57" s="25"/>
      <c r="BE57" s="25"/>
      <c r="BF57" s="25"/>
      <c r="BG57" s="25"/>
      <c r="BH57" s="25"/>
      <c r="BI57" s="25"/>
      <c r="BJ57" s="26"/>
      <c r="BK57" s="4"/>
      <c r="BM57" t="s">
        <v>896</v>
      </c>
      <c r="BP57" t="str">
        <f t="shared" si="1"/>
        <v>,`IsSaturday` char(1) NOT NULL COMMENT '土曜日実施フラグ'</v>
      </c>
      <c r="BQ57" t="s">
        <v>626</v>
      </c>
      <c r="BR57" t="str">
        <f t="shared" si="5"/>
        <v>,`IsSaturday` char(1) NOT NULL</v>
      </c>
      <c r="BS57" t="s">
        <v>626</v>
      </c>
      <c r="BT57" t="str">
        <f t="shared" si="6"/>
        <v>,`IsSaturday` = if(nullif( @32,'') &gt; '', @32, null )</v>
      </c>
      <c r="BU57" t="s">
        <v>626</v>
      </c>
      <c r="BV57" s="97" t="str">
        <f t="shared" si="2"/>
        <v>,A.`IsSaturday` = B.`IsSaturday`</v>
      </c>
      <c r="BW57" t="s">
        <v>626</v>
      </c>
      <c r="BX57" s="97" t="str">
        <f t="shared" si="3"/>
        <v>,`IsSaturday`</v>
      </c>
      <c r="BY57" t="s">
        <v>626</v>
      </c>
      <c r="BZ57" s="97" t="str">
        <f t="shared" si="4"/>
        <v>,`IsSaturday`</v>
      </c>
      <c r="CA57" t="s">
        <v>626</v>
      </c>
    </row>
    <row r="58" spans="1:79" ht="15" customHeight="1">
      <c r="A58" s="100" t="s">
        <v>995</v>
      </c>
      <c r="B58" s="28">
        <f t="shared" si="0"/>
        <v>38</v>
      </c>
      <c r="C58" s="29"/>
      <c r="D58" s="30" t="s">
        <v>513</v>
      </c>
      <c r="E58" s="31"/>
      <c r="F58" s="31"/>
      <c r="G58" s="31"/>
      <c r="H58" s="31"/>
      <c r="I58" s="31"/>
      <c r="J58" s="31"/>
      <c r="K58" s="31"/>
      <c r="L58" s="31"/>
      <c r="M58" s="31"/>
      <c r="N58" s="31"/>
      <c r="O58" s="31"/>
      <c r="P58" s="31"/>
      <c r="Q58" s="32"/>
      <c r="R58" s="30" t="s">
        <v>530</v>
      </c>
      <c r="S58" s="31"/>
      <c r="T58" s="31"/>
      <c r="U58" s="31"/>
      <c r="V58" s="31"/>
      <c r="W58" s="31"/>
      <c r="X58" s="31"/>
      <c r="Y58" s="31"/>
      <c r="Z58" s="31"/>
      <c r="AA58" s="31"/>
      <c r="AB58" s="32"/>
      <c r="AC58" s="30" t="str" cm="1">
        <f t="array" ref="AC58">_xlfn.SWITCH(BM58,"nvarchar","varchar("&amp;BN58&amp;")","smallint","smallint","date","date","money","decimal(19,4)","numeric","numeric("&amp;BN58&amp;")","int","int","bit","char(1)","datetime2","datetime","time","time")</f>
        <v>char(1)</v>
      </c>
      <c r="AD58" s="31"/>
      <c r="AE58" s="31"/>
      <c r="AF58" s="31"/>
      <c r="AG58" s="32"/>
      <c r="AH58" s="30"/>
      <c r="AI58" s="32"/>
      <c r="AJ58" s="30" t="s">
        <v>885</v>
      </c>
      <c r="AK58" s="31"/>
      <c r="AL58" s="32"/>
      <c r="AM58" s="30"/>
      <c r="AN58" s="31"/>
      <c r="AO58" s="31"/>
      <c r="AP58" s="31"/>
      <c r="AQ58" s="31"/>
      <c r="AR58" s="31"/>
      <c r="AS58" s="32"/>
      <c r="AT58" s="30" t="s">
        <v>622</v>
      </c>
      <c r="AU58" s="31"/>
      <c r="AV58" s="31"/>
      <c r="AW58" s="31"/>
      <c r="AX58" s="31"/>
      <c r="AY58" s="31"/>
      <c r="AZ58" s="31"/>
      <c r="BA58" s="31"/>
      <c r="BB58" s="31"/>
      <c r="BC58" s="31"/>
      <c r="BD58" s="31"/>
      <c r="BE58" s="31"/>
      <c r="BF58" s="31"/>
      <c r="BG58" s="31"/>
      <c r="BH58" s="31"/>
      <c r="BI58" s="31"/>
      <c r="BJ58" s="32"/>
      <c r="BK58" s="4"/>
      <c r="BM58" t="s">
        <v>896</v>
      </c>
      <c r="BP58" t="str">
        <f t="shared" si="1"/>
        <v>,`IsSunday` char(1) NOT NULL COMMENT '日曜日実施フラグ'</v>
      </c>
      <c r="BQ58" t="s">
        <v>626</v>
      </c>
      <c r="BR58" t="str">
        <f t="shared" si="5"/>
        <v>,`IsSunday` char(1) NOT NULL</v>
      </c>
      <c r="BS58" t="s">
        <v>626</v>
      </c>
      <c r="BT58" t="str">
        <f t="shared" si="6"/>
        <v>,`IsSunday` = if(nullif( @33,'') &gt; '', @33, null )</v>
      </c>
      <c r="BU58" t="s">
        <v>626</v>
      </c>
      <c r="BV58" s="97" t="str">
        <f t="shared" si="2"/>
        <v>,A.`IsSunday` = B.`IsSunday`</v>
      </c>
      <c r="BW58" t="s">
        <v>626</v>
      </c>
      <c r="BX58" s="97" t="str">
        <f t="shared" si="3"/>
        <v>,`IsSunday`</v>
      </c>
      <c r="BY58" t="s">
        <v>626</v>
      </c>
      <c r="BZ58" s="97" t="str">
        <f t="shared" si="4"/>
        <v>,`IsSunday`</v>
      </c>
      <c r="CA58" t="s">
        <v>626</v>
      </c>
    </row>
    <row r="59" spans="1:79" ht="15" customHeight="1">
      <c r="A59" s="100"/>
      <c r="BK59" s="4"/>
      <c r="BP59"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(`CompanyCode`,`StoreCode`,`CombinationCode`),</v>
      </c>
      <c r="BQ59" t="s">
        <v>626</v>
      </c>
      <c r="BR59"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(`CompanyCode`,`StoreCode`,`CombinationCode`)</v>
      </c>
      <c r="BS59" t="s">
        <v>626</v>
      </c>
      <c r="BT59" s="97" t="s">
        <v>936</v>
      </c>
      <c r="BU59" t="s">
        <v>626</v>
      </c>
      <c r="BV59" s="97" t="s">
        <v>934</v>
      </c>
      <c r="BW59" t="s">
        <v>626</v>
      </c>
      <c r="BY59" t="s">
        <v>626</v>
      </c>
      <c r="BZ59" s="97" t="str">
        <f>"FROM `TMP`.`"&amp;$G$10&amp;"` A"</f>
        <v>FROM `TMP`.`CombinationKsmMaster` A</v>
      </c>
      <c r="CA59" t="s">
        <v>626</v>
      </c>
    </row>
    <row r="60" spans="1:79" ht="15" customHeight="1">
      <c r="A60" s="100"/>
      <c r="BK60" s="4"/>
      <c r="BP60" s="97" t="s">
        <v>452</v>
      </c>
      <c r="BQ60" t="s">
        <v>626</v>
      </c>
      <c r="BR60" s="97" t="str">
        <f>") ENGINE=InnoDB DEFAULT CHARSET=utf8mb4 COLLATE=utf8mb4_0900_ai_ci COMMENT = '"&amp;$G$9&amp;"_TMP';"</f>
        <v>) ENGINE=InnoDB DEFAULT CHARSET=utf8mb4 COLLATE=utf8mb4_0900_ai_ci COMMENT = 'MMマスタ_TMP';</v>
      </c>
      <c r="BS60" t="s">
        <v>626</v>
      </c>
      <c r="BU60" t="s">
        <v>626</v>
      </c>
      <c r="BV60" s="97" t="str">
        <f>IF(_xlfn.XLOOKUP(1,$AH:$AH,$R:$R,"",0)="","","A.`"&amp;_xlfn.XLOOKUP(1,$AH:$AH,$R:$R,"",0)&amp;"` = B.`"&amp;_xlfn.XLOOKUP(1,$AH:$AH,$R:$R,"",0)&amp;"`")</f>
        <v>A.`CompanyCode` = B.`CompanyCode`</v>
      </c>
      <c r="BW60" t="s">
        <v>626</v>
      </c>
      <c r="BY60" t="s">
        <v>626</v>
      </c>
      <c r="BZ60" s="97" t="s">
        <v>935</v>
      </c>
      <c r="CA60" t="s">
        <v>626</v>
      </c>
    </row>
    <row r="61" spans="1:79" ht="15" customHeight="1">
      <c r="A61" s="100"/>
      <c r="B61" s="37" t="s">
        <v>49</v>
      </c>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4"/>
      <c r="BP61" s="97" t="str">
        <f>") ENGINE=InnoDB DEFAULT CHARSET=utf8mb4 COLLATE=utf8mb4_0900_ai_ci COMMENT = '"&amp;$G$9&amp;"';"</f>
        <v>) ENGINE=InnoDB DEFAULT CHARSET=utf8mb4 COLLATE=utf8mb4_0900_ai_ci COMMENT = 'MMマスタ';</v>
      </c>
      <c r="BQ61" t="s">
        <v>626</v>
      </c>
      <c r="BS61" t="s">
        <v>626</v>
      </c>
      <c r="BU61" t="s">
        <v>626</v>
      </c>
      <c r="BV61" s="97" t="str">
        <f>IF(_xlfn.XLOOKUP(2,$AH:$AH,$R:$R,"",0)="","","AND A.`"&amp;_xlfn.XLOOKUP(2,$AH:$AH,$R:$R,"",0)&amp;"` = B.`"&amp;_xlfn.XLOOKUP(2,$AH:$AH,$R:$R,"",0)&amp;"`")</f>
        <v>AND A.`StoreCode` = B.`StoreCode`</v>
      </c>
      <c r="BW61" t="s">
        <v>626</v>
      </c>
      <c r="BY61" t="s">
        <v>626</v>
      </c>
      <c r="BZ61" s="97" t="str">
        <f>"FROM `POS_MASTER`.`"&amp;$G$10&amp;"` B"</f>
        <v>FROM `POS_MASTER`.`CombinationKsmMaster` B</v>
      </c>
      <c r="CA61" t="s">
        <v>626</v>
      </c>
    </row>
    <row r="62" spans="1:79" ht="15" customHeight="1">
      <c r="A62" s="98"/>
      <c r="B62" s="34" t="s">
        <v>50</v>
      </c>
      <c r="C62" s="35"/>
      <c r="D62" s="34" t="s">
        <v>51</v>
      </c>
      <c r="E62" s="44"/>
      <c r="F62" s="36"/>
      <c r="G62" s="36"/>
      <c r="H62" s="36"/>
      <c r="I62" s="36"/>
      <c r="J62" s="36"/>
      <c r="K62" s="36"/>
      <c r="L62" s="36"/>
      <c r="M62" s="36"/>
      <c r="N62" s="36"/>
      <c r="O62" s="36"/>
      <c r="P62" s="36"/>
      <c r="Q62" s="35"/>
      <c r="R62" s="34" t="s">
        <v>52</v>
      </c>
      <c r="S62" s="44"/>
      <c r="T62" s="36"/>
      <c r="U62" s="36"/>
      <c r="V62" s="36"/>
      <c r="W62" s="36"/>
      <c r="X62" s="36"/>
      <c r="Y62" s="36"/>
      <c r="Z62" s="36"/>
      <c r="AA62" s="36"/>
      <c r="AB62" s="36"/>
      <c r="AC62" s="36"/>
      <c r="AD62" s="36"/>
      <c r="AE62" s="36"/>
      <c r="AF62" s="36"/>
      <c r="AG62" s="36"/>
      <c r="AH62" s="36"/>
      <c r="AI62" s="36"/>
      <c r="AJ62" s="36"/>
      <c r="AK62" s="35"/>
      <c r="AL62" s="34" t="s">
        <v>53</v>
      </c>
      <c r="AM62" s="36"/>
      <c r="AN62" s="36"/>
      <c r="AO62" s="45"/>
      <c r="AP62" s="34" t="s">
        <v>54</v>
      </c>
      <c r="AQ62" s="36"/>
      <c r="AR62" s="36"/>
      <c r="AS62" s="35"/>
      <c r="AT62" s="34" t="s">
        <v>48</v>
      </c>
      <c r="AU62" s="44"/>
      <c r="AV62" s="44"/>
      <c r="AW62" s="36"/>
      <c r="AX62" s="36"/>
      <c r="AY62" s="44"/>
      <c r="AZ62" s="36"/>
      <c r="BA62" s="36"/>
      <c r="BB62" s="36"/>
      <c r="BC62" s="36"/>
      <c r="BD62" s="36"/>
      <c r="BE62" s="36"/>
      <c r="BF62" s="36"/>
      <c r="BG62" s="36"/>
      <c r="BH62" s="36"/>
      <c r="BI62" s="44"/>
      <c r="BJ62" s="35"/>
      <c r="BK62" s="4"/>
      <c r="BP62" s="97"/>
      <c r="BQ62" t="s">
        <v>626</v>
      </c>
      <c r="BS62" t="s">
        <v>626</v>
      </c>
      <c r="BU62" t="s">
        <v>626</v>
      </c>
      <c r="BV62" s="97" t="str">
        <f>IF(_xlfn.XLOOKUP(3,$AH:$AH,$R:$R,"",0)="","","AND A.`"&amp;_xlfn.XLOOKUP(3,$AH:$AH,$R:$R,"",0)&amp;"` = B.`"&amp;_xlfn.XLOOKUP(3,$AH:$AH,$R:$R,"",0)&amp;"`")</f>
        <v>AND A.`CombinationCode` = B.`CombinationCode`</v>
      </c>
      <c r="BW62" t="s">
        <v>626</v>
      </c>
      <c r="BY62" t="s">
        <v>626</v>
      </c>
      <c r="BZ62" s="97" t="s">
        <v>932</v>
      </c>
      <c r="CA62" t="s">
        <v>626</v>
      </c>
    </row>
    <row r="63" spans="1:79" ht="15" customHeight="1">
      <c r="A63" s="1"/>
      <c r="B63" s="38">
        <v>1</v>
      </c>
      <c r="C63" s="39"/>
      <c r="D63" s="38" t="s">
        <v>55</v>
      </c>
      <c r="E63" s="46"/>
      <c r="F63" s="40"/>
      <c r="G63" s="40"/>
      <c r="H63" s="40"/>
      <c r="I63" s="40"/>
      <c r="J63" s="40"/>
      <c r="K63" s="40"/>
      <c r="L63" s="40"/>
      <c r="M63" s="40"/>
      <c r="N63" s="40"/>
      <c r="O63" s="40"/>
      <c r="P63" s="40"/>
      <c r="Q63" s="39"/>
      <c r="R63"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`CompanyCode`,`StoreCode`,`CombinationCode`</v>
      </c>
      <c r="S63" s="46"/>
      <c r="T63" s="40"/>
      <c r="U63" s="40"/>
      <c r="V63" s="40"/>
      <c r="W63" s="40"/>
      <c r="X63" s="40"/>
      <c r="Y63" s="40"/>
      <c r="Z63" s="40"/>
      <c r="AA63" s="40"/>
      <c r="AB63" s="40"/>
      <c r="AC63" s="40"/>
      <c r="AD63" s="40"/>
      <c r="AE63" s="40"/>
      <c r="AF63" s="40"/>
      <c r="AG63" s="40"/>
      <c r="AH63" s="40"/>
      <c r="AI63" s="40"/>
      <c r="AJ63" s="40"/>
      <c r="AK63" s="39"/>
      <c r="AL63" s="38" t="s">
        <v>885</v>
      </c>
      <c r="AM63" s="40"/>
      <c r="AN63" s="40"/>
      <c r="AO63" s="47"/>
      <c r="AP63" s="38" t="s">
        <v>885</v>
      </c>
      <c r="AQ63" s="40"/>
      <c r="AR63" s="40"/>
      <c r="AS63" s="39"/>
      <c r="AT63" s="38"/>
      <c r="AU63" s="46"/>
      <c r="AV63" s="46"/>
      <c r="AW63" s="40"/>
      <c r="AX63" s="40"/>
      <c r="AY63" s="46"/>
      <c r="AZ63" s="40"/>
      <c r="BA63" s="40"/>
      <c r="BB63" s="40"/>
      <c r="BC63" s="40"/>
      <c r="BD63" s="40"/>
      <c r="BE63" s="40"/>
      <c r="BF63" s="40"/>
      <c r="BG63" s="40"/>
      <c r="BH63" s="40"/>
      <c r="BI63" s="46"/>
      <c r="BJ63" s="39"/>
      <c r="BK63" s="4"/>
      <c r="BP63" s="97" t="str">
        <f>"CREATE TRIGGER `"&amp;$G$10&amp;"_CR_Date_Time` BEFORE INSERT ON `"&amp;$G$10&amp;"` FOR EACH ROW SET NEW.record_create_date = CURRENT_DATE, NEW.record_create_time = CURRENT_TIME, NEW.record_update_date = CURRENT_DATE, NEW.record_update_time = CURRENT_TIME;"</f>
        <v>CREATE TRIGGER `CombinationKsmMaster_CR_Date_Time` BEFORE INSERT ON `CombinationKsmMaster` FOR EACH ROW SET NEW.record_create_date = CURRENT_DATE, NEW.record_create_time = CURRENT_TIME, NEW.record_update_date = CURRENT_DATE, NEW.record_update_time = CURRENT_TIME;</v>
      </c>
      <c r="BQ63" t="s">
        <v>626</v>
      </c>
      <c r="BS63" t="s">
        <v>626</v>
      </c>
      <c r="BU63" t="s">
        <v>626</v>
      </c>
      <c r="BV63" s="97" t="str">
        <f>IF(_xlfn.XLOOKUP(4,$AH:$AH,$R:$R,"",0)="","","AND A.`"&amp;_xlfn.XLOOKUP(4,$AH:$AH,$R:$R,"",0)&amp;"` = B.`"&amp;_xlfn.XLOOKUP(4,$AH:$AH,$R:$R,"",0)&amp;"`")</f>
        <v/>
      </c>
      <c r="BW63" t="s">
        <v>626</v>
      </c>
      <c r="BY63" t="s">
        <v>626</v>
      </c>
      <c r="BZ63" s="97" t="str">
        <f>IF(_xlfn.XLOOKUP(1,$AH:$AH,$R:$R,"",0)="","","A.`"&amp;_xlfn.XLOOKUP(1,$AH:$AH,$R:$R,"",0)&amp;"` = B.`"&amp;_xlfn.XLOOKUP(1,$AH:$AH,$R:$R,"",0)&amp;"`")</f>
        <v>A.`CompanyCode` = B.`CompanyCode`</v>
      </c>
      <c r="CA63" t="s">
        <v>626</v>
      </c>
    </row>
    <row r="64" spans="1:79" ht="15" customHeight="1">
      <c r="A64" s="1"/>
      <c r="BK64" s="4"/>
      <c r="BP64" s="97" t="str">
        <f>"CREATE TRIGGER `"&amp;$G$10&amp;"_UP_Date_Time` BEFORE UPDATE ON `"&amp;$G$10&amp;"` FOR EACH ROW SET NEW.record_update_date = CURRENT_DATE, NEW.record_update_time = CURRENT_TIME;"</f>
        <v>CREATE TRIGGER `CombinationKsmMaster_UP_Date_Time` BEFORE UPDATE ON `CombinationKsmMaster` FOR EACH ROW SET NEW.record_update_date = CURRENT_DATE, NEW.record_update_time = CURRENT_TIME;</v>
      </c>
      <c r="BQ64" t="s">
        <v>626</v>
      </c>
      <c r="BS64" t="s">
        <v>626</v>
      </c>
      <c r="BU64" t="s">
        <v>626</v>
      </c>
      <c r="BV64" s="97" t="str">
        <f>IF(_xlfn.XLOOKUP(5,$AH:$AH,$R:$R,"",0)="","","AND A.`"&amp;_xlfn.XLOOKUP(5,$AH:$AH,$R:$R,"",0)&amp;"` = B.`"&amp;_xlfn.XLOOKUP(5,$AH:$AH,$R:$R,"",0)&amp;"`")</f>
        <v/>
      </c>
      <c r="BW64" t="s">
        <v>626</v>
      </c>
      <c r="BY64" t="s">
        <v>626</v>
      </c>
      <c r="BZ64" s="97" t="str">
        <f>IF(_xlfn.XLOOKUP(2,$AH:$AH,$R:$R,"",0)="","","AND A.`"&amp;_xlfn.XLOOKUP(2,$AH:$AH,$R:$R,"",0)&amp;"` = B.`"&amp;_xlfn.XLOOKUP(2,$AH:$AH,$R:$R,"",0)&amp;"`")</f>
        <v>AND A.`StoreCode` = B.`StoreCode`</v>
      </c>
      <c r="CA64" t="s">
        <v>626</v>
      </c>
    </row>
    <row r="65" spans="1:79" ht="15" customHeight="1">
      <c r="A65" s="1"/>
      <c r="BK65" s="4"/>
      <c r="BQ65" t="s">
        <v>626</v>
      </c>
      <c r="BS65" t="s">
        <v>626</v>
      </c>
      <c r="BU65" t="s">
        <v>626</v>
      </c>
      <c r="BV65" s="97" t="str">
        <f>IF(_xlfn.XLOOKUP(6,$AH:$AH,$R:$R,"",0)="","","AND A.`"&amp;_xlfn.XLOOKUP(6,$AH:$AH,$R:$R,"",0)&amp;"` = B.`"&amp;_xlfn.XLOOKUP(6,$AH:$AH,$R:$R,"",0)&amp;"`")</f>
        <v/>
      </c>
      <c r="BW65" t="s">
        <v>626</v>
      </c>
      <c r="BY65" t="s">
        <v>626</v>
      </c>
      <c r="BZ65" s="97" t="str">
        <f>IF(_xlfn.XLOOKUP(3,$AH:$AH,$R:$R,"",0)="","","AND A.`"&amp;_xlfn.XLOOKUP(3,$AH:$AH,$R:$R,"",0)&amp;"` = B.`"&amp;_xlfn.XLOOKUP(3,$AH:$AH,$R:$R,"",0)&amp;"`")</f>
        <v>AND A.`CombinationCode` = B.`CombinationCode`</v>
      </c>
      <c r="CA65" t="s">
        <v>626</v>
      </c>
    </row>
    <row r="66" spans="1:79">
      <c r="A66" s="1"/>
      <c r="B66" s="37" t="s">
        <v>34</v>
      </c>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4"/>
      <c r="BQ66" t="s">
        <v>626</v>
      </c>
      <c r="BS66" t="s">
        <v>626</v>
      </c>
      <c r="BU66" t="s">
        <v>626</v>
      </c>
      <c r="BV66" s="97" t="str">
        <f>IF(_xlfn.XLOOKUP(7,$AH:$AH,$R:$R,"",0)="","","AND A.`"&amp;_xlfn.XLOOKUP(7,$AH:$AH,$R:$R,"",0)&amp;"` = B.`"&amp;_xlfn.XLOOKUP(7,$AH:$AH,$R:$R,"",0)&amp;"`")</f>
        <v/>
      </c>
      <c r="BW66" t="s">
        <v>626</v>
      </c>
      <c r="BY66" t="s">
        <v>626</v>
      </c>
      <c r="BZ66" s="97" t="str">
        <f>IF(_xlfn.XLOOKUP(4,$AH:$AH,$R:$R,"",0)="","","AND A.`"&amp;_xlfn.XLOOKUP(4,$AH:$AH,$R:$R,"",0)&amp;"` = B.`"&amp;_xlfn.XLOOKUP(4,$AH:$AH,$R:$R,"",0)&amp;"`")</f>
        <v/>
      </c>
      <c r="CA66" t="s">
        <v>626</v>
      </c>
    </row>
    <row r="67" spans="1:79">
      <c r="A67" s="1"/>
      <c r="B67" s="34" t="s">
        <v>35</v>
      </c>
      <c r="C67" s="45"/>
      <c r="D67" s="34" t="s">
        <v>36</v>
      </c>
      <c r="E67" s="44"/>
      <c r="F67" s="44"/>
      <c r="G67" s="44"/>
      <c r="H67" s="44"/>
      <c r="I67" s="44"/>
      <c r="J67" s="44"/>
      <c r="K67" s="44"/>
      <c r="L67" s="36"/>
      <c r="M67" s="36"/>
      <c r="N67" s="36"/>
      <c r="O67" s="36"/>
      <c r="P67" s="36"/>
      <c r="Q67" s="35"/>
      <c r="R67" s="34" t="s">
        <v>37</v>
      </c>
      <c r="S67" s="36"/>
      <c r="T67" s="45"/>
      <c r="U67" s="34" t="s">
        <v>38</v>
      </c>
      <c r="V67" s="36"/>
      <c r="W67" s="44"/>
      <c r="X67" s="45"/>
      <c r="Y67" s="34" t="s">
        <v>39</v>
      </c>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5"/>
      <c r="BK67" s="4"/>
      <c r="BQ67" t="s">
        <v>626</v>
      </c>
      <c r="BS67" t="s">
        <v>626</v>
      </c>
      <c r="BU67" t="s">
        <v>626</v>
      </c>
      <c r="BV67" s="97" t="str">
        <f>IF(_xlfn.XLOOKUP(8,$AH:$AH,$R:$R,"",0)="","","AND A.`"&amp;_xlfn.XLOOKUP(8,$AH:$AH,$R:$R,"",0)&amp;"` = B.`"&amp;_xlfn.XLOOKUP(8,$AH:$AH,$R:$R,"",0)&amp;"`")</f>
        <v/>
      </c>
      <c r="BW67" t="s">
        <v>626</v>
      </c>
      <c r="BY67" t="s">
        <v>626</v>
      </c>
      <c r="BZ67" s="97" t="str">
        <f>IF(_xlfn.XLOOKUP(5,$AH:$AH,$R:$R,"",0)="","","AND A.`"&amp;_xlfn.XLOOKUP(5,$AH:$AH,$R:$R,"",0)&amp;"` = B.`"&amp;_xlfn.XLOOKUP(5,$AH:$AH,$R:$R,"",0)&amp;"`")</f>
        <v/>
      </c>
      <c r="CA67" t="s">
        <v>626</v>
      </c>
    </row>
    <row r="68" spans="1:79">
      <c r="A68" s="1"/>
      <c r="B68" s="41">
        <v>1</v>
      </c>
      <c r="C68" s="47"/>
      <c r="D68" s="41" t="str">
        <f>G10&amp;"_"&amp;R68&amp;"_"&amp;"trg"</f>
        <v>CombinationKsmMaster_update_trg</v>
      </c>
      <c r="E68" s="46"/>
      <c r="F68" s="46"/>
      <c r="G68" s="46"/>
      <c r="H68" s="46"/>
      <c r="I68" s="46"/>
      <c r="J68" s="46"/>
      <c r="K68" s="46"/>
      <c r="L68" s="42"/>
      <c r="M68" s="42"/>
      <c r="N68" s="42"/>
      <c r="O68" s="42"/>
      <c r="P68" s="42"/>
      <c r="Q68" s="43"/>
      <c r="R68" s="41" t="s">
        <v>40</v>
      </c>
      <c r="S68" s="42"/>
      <c r="T68" s="47"/>
      <c r="U68" s="41" t="s">
        <v>41</v>
      </c>
      <c r="V68" s="42"/>
      <c r="W68" s="46"/>
      <c r="X68" s="47"/>
      <c r="Y68" s="41" t="s">
        <v>42</v>
      </c>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42"/>
      <c r="BE68" s="42"/>
      <c r="BF68" s="42"/>
      <c r="BG68" s="42"/>
      <c r="BH68" s="42"/>
      <c r="BI68" s="42"/>
      <c r="BJ68" s="43"/>
      <c r="BK68" s="4"/>
      <c r="BQ68" t="s">
        <v>626</v>
      </c>
      <c r="BS68" t="s">
        <v>626</v>
      </c>
      <c r="BU68" t="s">
        <v>626</v>
      </c>
      <c r="BV68" s="97" t="s">
        <v>936</v>
      </c>
      <c r="BW68" t="s">
        <v>626</v>
      </c>
      <c r="BY68" t="s">
        <v>626</v>
      </c>
      <c r="BZ68" s="97" t="str">
        <f>IF(_xlfn.XLOOKUP(6,$AH:$AH,$R:$R,"",0)="","","AND A.`"&amp;_xlfn.XLOOKUP(6,$AH:$AH,$R:$R,"",0)&amp;"` = B.`"&amp;_xlfn.XLOOKUP(6,$AH:$AH,$R:$R,"",0)&amp;"`")</f>
        <v/>
      </c>
      <c r="CA68" t="s">
        <v>626</v>
      </c>
    </row>
    <row r="69" spans="1:79">
      <c r="A69" s="1"/>
      <c r="BK69" s="4"/>
      <c r="BQ69" t="s">
        <v>626</v>
      </c>
      <c r="BS69" t="s">
        <v>626</v>
      </c>
      <c r="BU69" t="s">
        <v>626</v>
      </c>
      <c r="BW69" t="s">
        <v>626</v>
      </c>
      <c r="BY69" t="s">
        <v>626</v>
      </c>
      <c r="BZ69" s="97" t="str">
        <f>IF(_xlfn.XLOOKUP(7,$AH:$AH,$R:$R,"",0)="","","AND A.`"&amp;_xlfn.XLOOKUP(7,$AH:$AH,$R:$R,"",0)&amp;"` = B.`"&amp;_xlfn.XLOOKUP(7,$AH:$AH,$R:$R,"",0)&amp;"`")</f>
        <v/>
      </c>
      <c r="CA69" t="s">
        <v>626</v>
      </c>
    </row>
    <row r="70" spans="1:79">
      <c r="A70" s="1"/>
      <c r="BK70" s="4"/>
      <c r="BQ70" t="s">
        <v>626</v>
      </c>
      <c r="BS70" t="s">
        <v>626</v>
      </c>
      <c r="BU70" t="s">
        <v>626</v>
      </c>
      <c r="BW70" t="s">
        <v>626</v>
      </c>
      <c r="BY70" t="s">
        <v>626</v>
      </c>
      <c r="BZ70" s="97" t="str">
        <f>IF(_xlfn.XLOOKUP(8,$AH:$AH,$R:$R,"",0)="","","AND A.`"&amp;_xlfn.XLOOKUP(8,$AH:$AH,$R:$R,"",0)&amp;"` = B.`"&amp;_xlfn.XLOOKUP(8,$AH:$AH,$R:$R,"",0)&amp;"`")</f>
        <v/>
      </c>
      <c r="CA70" t="s">
        <v>626</v>
      </c>
    </row>
    <row r="71" spans="1:79">
      <c r="A71" s="1"/>
      <c r="BK71" s="4"/>
      <c r="BQ71" t="s">
        <v>626</v>
      </c>
      <c r="BS71" t="s">
        <v>626</v>
      </c>
      <c r="BU71" t="s">
        <v>626</v>
      </c>
      <c r="BW71" t="s">
        <v>626</v>
      </c>
      <c r="BY71" t="s">
        <v>626</v>
      </c>
      <c r="BZ71" s="97" t="s">
        <v>929</v>
      </c>
      <c r="CA71" t="s">
        <v>626</v>
      </c>
    </row>
    <row r="72" spans="1:79">
      <c r="A72" s="1"/>
      <c r="BK72" s="4"/>
      <c r="BQ72" t="s">
        <v>626</v>
      </c>
      <c r="BS72" t="s">
        <v>626</v>
      </c>
      <c r="BU72" t="s">
        <v>626</v>
      </c>
      <c r="BW72" t="s">
        <v>626</v>
      </c>
      <c r="BY72" t="s">
        <v>626</v>
      </c>
      <c r="CA72" t="s">
        <v>626</v>
      </c>
    </row>
    <row r="73" spans="1:79">
      <c r="A73" s="1"/>
      <c r="BK73" s="4"/>
      <c r="BQ73" t="s">
        <v>626</v>
      </c>
      <c r="BS73" t="s">
        <v>626</v>
      </c>
      <c r="BU73" t="s">
        <v>626</v>
      </c>
      <c r="BW73" t="s">
        <v>626</v>
      </c>
      <c r="BY73" t="s">
        <v>626</v>
      </c>
      <c r="BZ73" s="98"/>
      <c r="CA73" t="s">
        <v>626</v>
      </c>
    </row>
    <row r="74" spans="1:79">
      <c r="A74" s="1"/>
      <c r="BK74" s="4"/>
      <c r="BQ74" t="s">
        <v>626</v>
      </c>
      <c r="BS74" t="s">
        <v>626</v>
      </c>
      <c r="BU74" t="s">
        <v>626</v>
      </c>
      <c r="BW74" t="s">
        <v>626</v>
      </c>
      <c r="BY74" t="s">
        <v>626</v>
      </c>
      <c r="BZ74" t="str">
        <f>"DROP TABLE IF EXISTS `TMP`.`"&amp;$G$10&amp;"`;"</f>
        <v>DROP TABLE IF EXISTS `TMP`.`CombinationKsmMaster`;</v>
      </c>
      <c r="CA74" t="s">
        <v>626</v>
      </c>
    </row>
    <row r="75" spans="1:79">
      <c r="A75" s="1"/>
      <c r="BK75" s="4"/>
      <c r="BQ75" t="s">
        <v>626</v>
      </c>
      <c r="BS75" t="s">
        <v>626</v>
      </c>
      <c r="BU75" t="s">
        <v>626</v>
      </c>
      <c r="BW75" t="s">
        <v>626</v>
      </c>
      <c r="BY75" t="s">
        <v>626</v>
      </c>
      <c r="BZ75" t="s">
        <v>937</v>
      </c>
      <c r="CA75" t="s">
        <v>626</v>
      </c>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CCEF1-815A-4CB3-BE3B-633469223126}">
  <dimension ref="A1:CA62"/>
  <sheetViews>
    <sheetView view="pageBreakPreview" zoomScale="80" zoomScaleNormal="75" zoomScaleSheetLayoutView="80" workbookViewId="0">
      <selection activeCell="BT28" sqref="BT28"/>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627</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628</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`POS_MASTER`.`CombinationItemKsmMaster`;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`POS_MASTER`.`CombinationItemKsmMaster`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3"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'C:/04_DATAFILE/CombinationItemKsmMaster/TMP/CombinationItemKsmMaster.CSV' </v>
      </c>
      <c r="BU24" t="s">
        <v>626</v>
      </c>
      <c r="BV24" s="97" t="str">
        <f>"UPDATE `POS_MASTER`.`"&amp;$G$10&amp;"` A,`TMP`.`"&amp;$G$10&amp;"` B"</f>
        <v>UPDATE `POS_MASTER`.`CombinationItemKsmMaster` A,`TMP`.`CombinationItemKsmMaster`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`TMP`.`CombinationItemKsmMaster`;</v>
      </c>
      <c r="BS25" t="s">
        <v>626</v>
      </c>
      <c r="BT25" s="97" t="str">
        <f>"REPLACE INTO TABLE TMP.`"&amp;$G$10&amp;"` CHARACTER SET 'UTF8'"</f>
        <v>REPLACE INTO TABLE TMP.`CombinationItemKsmMaster`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`TMP`.`CombinationItemKsmMaster`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v>
      </c>
      <c r="BU26" t="s">
        <v>626</v>
      </c>
      <c r="BV26" s="97"/>
      <c r="BW26" t="s">
        <v>626</v>
      </c>
      <c r="BX26" s="97" t="str">
        <f>"INSERT INTO `POS_MASTER`.`"&amp;$G$10&amp;"` ("</f>
        <v>INSERT INTO `POS_MASTER`.`CombinationItemKsmMaster`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3"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3" si="2">",A.`"&amp;R28&amp;"` = B.`"&amp;R28&amp;"`"</f>
        <v>,A.`StoreCode` = B.`StoreCode`</v>
      </c>
      <c r="BW28" t="s">
        <v>626</v>
      </c>
      <c r="BX28" s="97" t="str">
        <f t="shared" ref="BX28:BX33" si="3">",`"&amp;R28&amp;"`"</f>
        <v>,`StoreCode`</v>
      </c>
      <c r="BY28" t="s">
        <v>626</v>
      </c>
      <c r="BZ28" s="97" t="str">
        <f t="shared" ref="BZ28:BZ33" si="4">",`"&amp;R28&amp;"`"</f>
        <v>,`StoreCode`</v>
      </c>
      <c r="CA28" t="s">
        <v>626</v>
      </c>
    </row>
    <row r="29" spans="1:79" ht="15" customHeight="1">
      <c r="A29" s="100" t="s">
        <v>966</v>
      </c>
      <c r="B29" s="23">
        <f t="shared" si="0"/>
        <v>9</v>
      </c>
      <c r="C29" s="24"/>
      <c r="D29" s="22" t="s">
        <v>555</v>
      </c>
      <c r="E29" s="25"/>
      <c r="F29" s="25"/>
      <c r="G29" s="25"/>
      <c r="H29" s="25"/>
      <c r="I29" s="25"/>
      <c r="J29" s="25"/>
      <c r="K29" s="25"/>
      <c r="L29" s="25"/>
      <c r="M29" s="25"/>
      <c r="N29" s="25"/>
      <c r="O29" s="25"/>
      <c r="P29" s="25"/>
      <c r="Q29" s="26"/>
      <c r="R29" s="22" t="s">
        <v>575</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varchar(20)</v>
      </c>
      <c r="AD29" s="25"/>
      <c r="AE29" s="25"/>
      <c r="AF29" s="25"/>
      <c r="AG29" s="26"/>
      <c r="AH29" s="22">
        <v>3</v>
      </c>
      <c r="AI29" s="26"/>
      <c r="AJ29" s="22" t="s">
        <v>885</v>
      </c>
      <c r="AK29" s="25"/>
      <c r="AL29" s="26"/>
      <c r="AM29" s="22"/>
      <c r="AN29" s="25"/>
      <c r="AO29" s="25"/>
      <c r="AP29" s="25"/>
      <c r="AQ29" s="25"/>
      <c r="AR29" s="25"/>
      <c r="AS29" s="26"/>
      <c r="AT29" s="22" t="s">
        <v>634</v>
      </c>
      <c r="AU29" s="25"/>
      <c r="AV29" s="25"/>
      <c r="AW29" s="25"/>
      <c r="AX29" s="25"/>
      <c r="AY29" s="25"/>
      <c r="AZ29" s="25"/>
      <c r="BA29" s="25"/>
      <c r="BB29" s="25"/>
      <c r="BC29" s="25"/>
      <c r="BD29" s="25"/>
      <c r="BE29" s="25"/>
      <c r="BF29" s="25"/>
      <c r="BG29" s="25"/>
      <c r="BH29" s="25"/>
      <c r="BI29" s="25"/>
      <c r="BJ29" s="26"/>
      <c r="BK29" s="4"/>
      <c r="BM29" t="s">
        <v>888</v>
      </c>
      <c r="BN29">
        <v>20</v>
      </c>
      <c r="BP29" t="str">
        <f t="shared" si="1"/>
        <v>,`CombinationCode` varchar(20) NOT NULL COMMENT 'ミックスマッチコード'</v>
      </c>
      <c r="BQ29" t="s">
        <v>626</v>
      </c>
      <c r="BR29" t="str">
        <f t="shared" ref="BR29:BR33" si="5">",`"&amp;R29&amp;"` "&amp;AC29&amp;" "&amp;IF(AJ29="Y","NOT NULL","")</f>
        <v>,`CombinationCode` varchar(20) NOT NULL</v>
      </c>
      <c r="BS29" t="s">
        <v>626</v>
      </c>
      <c r="BT29" t="str">
        <f t="shared" ref="BT29:BT33" si="6">",`"&amp;R29&amp;"` = "&amp;IF(LEFT(AC29,4)="date", "if(@"&amp;B29-5&amp;" &gt; '0000-00-00 00:00:00', if(@"&amp;B29-5&amp;" &gt; '2999-12-31 23:59:59', '2999-12-31 23:59:59', @"&amp;B29-5&amp;"), null)","if(nullif( @"&amp;B29-5&amp;",'') &gt; '', @"&amp;B29-5&amp;", null )")</f>
        <v>,`CombinationCode` = if(nullif( @4,'') &gt; '', @4, null )</v>
      </c>
      <c r="BU29" t="s">
        <v>626</v>
      </c>
      <c r="BV29" s="97" t="str">
        <f t="shared" si="2"/>
        <v>,A.`CombinationCode` = B.`CombinationCode`</v>
      </c>
      <c r="BW29" t="s">
        <v>626</v>
      </c>
      <c r="BX29" s="97" t="str">
        <f t="shared" si="3"/>
        <v>,`CombinationCode`</v>
      </c>
      <c r="BY29" t="s">
        <v>626</v>
      </c>
      <c r="BZ29" s="97" t="str">
        <f t="shared" si="4"/>
        <v>,`CombinationCode`</v>
      </c>
      <c r="CA29" t="s">
        <v>626</v>
      </c>
    </row>
    <row r="30" spans="1:79" ht="15" customHeight="1">
      <c r="A30" s="100" t="s">
        <v>967</v>
      </c>
      <c r="B30" s="23">
        <f t="shared" si="0"/>
        <v>10</v>
      </c>
      <c r="C30" s="24"/>
      <c r="D30" s="22" t="s">
        <v>497</v>
      </c>
      <c r="E30" s="25"/>
      <c r="F30" s="25"/>
      <c r="G30" s="25"/>
      <c r="H30" s="25"/>
      <c r="I30" s="25"/>
      <c r="J30" s="25"/>
      <c r="K30" s="25"/>
      <c r="L30" s="25"/>
      <c r="M30" s="25"/>
      <c r="N30" s="25"/>
      <c r="O30" s="25"/>
      <c r="P30" s="25"/>
      <c r="Q30" s="26"/>
      <c r="R30" s="22" t="s">
        <v>440</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varchar(26)</v>
      </c>
      <c r="AD30" s="25"/>
      <c r="AE30" s="25"/>
      <c r="AF30" s="25"/>
      <c r="AG30" s="26"/>
      <c r="AH30" s="22">
        <v>4</v>
      </c>
      <c r="AI30" s="26"/>
      <c r="AJ30" s="22" t="s">
        <v>885</v>
      </c>
      <c r="AK30" s="25"/>
      <c r="AL30" s="26"/>
      <c r="AM30" s="22"/>
      <c r="AN30" s="25"/>
      <c r="AO30" s="25"/>
      <c r="AP30" s="25"/>
      <c r="AQ30" s="25"/>
      <c r="AR30" s="25"/>
      <c r="AS30" s="26"/>
      <c r="AT30" s="22" t="s">
        <v>635</v>
      </c>
      <c r="AU30" s="25"/>
      <c r="AV30" s="25"/>
      <c r="AW30" s="25"/>
      <c r="AX30" s="25"/>
      <c r="AY30" s="25"/>
      <c r="AZ30" s="25"/>
      <c r="BA30" s="25"/>
      <c r="BB30" s="25"/>
      <c r="BC30" s="25"/>
      <c r="BD30" s="25"/>
      <c r="BE30" s="25"/>
      <c r="BF30" s="25"/>
      <c r="BG30" s="25"/>
      <c r="BH30" s="25"/>
      <c r="BI30" s="25"/>
      <c r="BJ30" s="26"/>
      <c r="BK30" s="4"/>
      <c r="BM30" t="s">
        <v>888</v>
      </c>
      <c r="BN30">
        <v>26</v>
      </c>
      <c r="BP30" t="str">
        <f t="shared" si="1"/>
        <v>,`ItemCode` varchar(26) NOT NULL COMMENT '単品コード'</v>
      </c>
      <c r="BQ30" t="s">
        <v>626</v>
      </c>
      <c r="BR30" t="str">
        <f t="shared" si="5"/>
        <v>,`ItemCode` varchar(26) NOT NULL</v>
      </c>
      <c r="BS30" t="s">
        <v>626</v>
      </c>
      <c r="BT30" t="str">
        <f t="shared" si="6"/>
        <v>,`ItemCode` = if(nullif( @5,'') &gt; '', @5, null )</v>
      </c>
      <c r="BU30" t="s">
        <v>626</v>
      </c>
      <c r="BV30" s="97" t="str">
        <f t="shared" si="2"/>
        <v>,A.`ItemCode` = B.`ItemCode`</v>
      </c>
      <c r="BW30" t="s">
        <v>626</v>
      </c>
      <c r="BX30" s="97" t="str">
        <f t="shared" si="3"/>
        <v>,`ItemCode`</v>
      </c>
      <c r="BY30" t="s">
        <v>626</v>
      </c>
      <c r="BZ30" s="97" t="str">
        <f t="shared" si="4"/>
        <v>,`ItemCode`</v>
      </c>
      <c r="CA30" t="s">
        <v>626</v>
      </c>
    </row>
    <row r="31" spans="1:79" ht="15" customHeight="1">
      <c r="A31" s="100" t="s">
        <v>968</v>
      </c>
      <c r="B31" s="23">
        <f t="shared" si="0"/>
        <v>11</v>
      </c>
      <c r="C31" s="24"/>
      <c r="D31" s="22" t="s">
        <v>455</v>
      </c>
      <c r="E31" s="25"/>
      <c r="F31" s="25"/>
      <c r="G31" s="25"/>
      <c r="H31" s="25"/>
      <c r="I31" s="25"/>
      <c r="J31" s="25"/>
      <c r="K31" s="25"/>
      <c r="L31" s="25"/>
      <c r="M31" s="25"/>
      <c r="N31" s="25"/>
      <c r="O31" s="25"/>
      <c r="P31" s="25"/>
      <c r="Q31" s="26"/>
      <c r="R31" s="22" t="s">
        <v>629</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varchar(10)</v>
      </c>
      <c r="AD31" s="25"/>
      <c r="AE31" s="25"/>
      <c r="AF31" s="25"/>
      <c r="AG31" s="26"/>
      <c r="AH31" s="22"/>
      <c r="AI31" s="26"/>
      <c r="AJ31" s="22" t="s">
        <v>885</v>
      </c>
      <c r="AK31" s="25"/>
      <c r="AL31" s="26"/>
      <c r="AM31" s="22"/>
      <c r="AN31" s="25"/>
      <c r="AO31" s="25"/>
      <c r="AP31" s="25"/>
      <c r="AQ31" s="25"/>
      <c r="AR31" s="25"/>
      <c r="AS31" s="26"/>
      <c r="AT31" s="22" t="s">
        <v>636</v>
      </c>
      <c r="AU31" s="25"/>
      <c r="AV31" s="25"/>
      <c r="AW31" s="25"/>
      <c r="AX31" s="25"/>
      <c r="AY31" s="25"/>
      <c r="AZ31" s="25"/>
      <c r="BA31" s="25"/>
      <c r="BB31" s="25"/>
      <c r="BC31" s="25"/>
      <c r="BD31" s="25"/>
      <c r="BE31" s="25"/>
      <c r="BF31" s="25"/>
      <c r="BG31" s="25"/>
      <c r="BH31" s="25"/>
      <c r="BI31" s="25"/>
      <c r="BJ31" s="26"/>
      <c r="BK31" s="4"/>
      <c r="BM31" t="s">
        <v>888</v>
      </c>
      <c r="BN31">
        <v>10</v>
      </c>
      <c r="BP31" t="str">
        <f t="shared" si="1"/>
        <v>,`CategoryCode` varchar(10) NOT NULL COMMENT '分類コード'</v>
      </c>
      <c r="BQ31" t="s">
        <v>626</v>
      </c>
      <c r="BR31" t="str">
        <f t="shared" si="5"/>
        <v>,`CategoryCode` varchar(10) NOT NULL</v>
      </c>
      <c r="BS31" t="s">
        <v>626</v>
      </c>
      <c r="BT31" t="str">
        <f t="shared" si="6"/>
        <v>,`CategoryCode` = if(nullif( @6,'') &gt; '', @6, null )</v>
      </c>
      <c r="BU31" t="s">
        <v>626</v>
      </c>
      <c r="BV31" s="97" t="str">
        <f t="shared" si="2"/>
        <v>,A.`CategoryCode` = B.`CategoryCode`</v>
      </c>
      <c r="BW31" t="s">
        <v>626</v>
      </c>
      <c r="BX31" s="97" t="str">
        <f t="shared" si="3"/>
        <v>,`CategoryCode`</v>
      </c>
      <c r="BY31" t="s">
        <v>626</v>
      </c>
      <c r="BZ31" s="97" t="str">
        <f t="shared" si="4"/>
        <v>,`CategoryCode`</v>
      </c>
      <c r="CA31" t="s">
        <v>626</v>
      </c>
    </row>
    <row r="32" spans="1:79" ht="15" customHeight="1">
      <c r="A32" s="100" t="s">
        <v>969</v>
      </c>
      <c r="B32" s="23">
        <f t="shared" si="0"/>
        <v>12</v>
      </c>
      <c r="C32" s="24"/>
      <c r="D32" s="22" t="s">
        <v>632</v>
      </c>
      <c r="E32" s="25"/>
      <c r="F32" s="25"/>
      <c r="G32" s="25"/>
      <c r="H32" s="25"/>
      <c r="I32" s="25"/>
      <c r="J32" s="25"/>
      <c r="K32" s="25"/>
      <c r="L32" s="25"/>
      <c r="M32" s="25"/>
      <c r="N32" s="25"/>
      <c r="O32" s="25"/>
      <c r="P32" s="25"/>
      <c r="Q32" s="26"/>
      <c r="R32" s="22" t="s">
        <v>630</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decimal(19,4)</v>
      </c>
      <c r="AD32" s="25"/>
      <c r="AE32" s="25"/>
      <c r="AF32" s="25"/>
      <c r="AG32" s="26"/>
      <c r="AH32" s="22"/>
      <c r="AI32" s="26"/>
      <c r="AJ32" s="22"/>
      <c r="AK32" s="25"/>
      <c r="AL32" s="26"/>
      <c r="AM32" s="22"/>
      <c r="AN32" s="25"/>
      <c r="AO32" s="25"/>
      <c r="AP32" s="25"/>
      <c r="AQ32" s="25"/>
      <c r="AR32" s="25"/>
      <c r="AS32" s="26"/>
      <c r="AT32" s="22" t="s">
        <v>637</v>
      </c>
      <c r="AU32" s="25"/>
      <c r="AV32" s="25"/>
      <c r="AW32" s="25"/>
      <c r="AX32" s="25"/>
      <c r="AY32" s="25"/>
      <c r="AZ32" s="25"/>
      <c r="BA32" s="25"/>
      <c r="BB32" s="25"/>
      <c r="BC32" s="25"/>
      <c r="BD32" s="25"/>
      <c r="BE32" s="25"/>
      <c r="BF32" s="25"/>
      <c r="BG32" s="25"/>
      <c r="BH32" s="25"/>
      <c r="BI32" s="25"/>
      <c r="BJ32" s="26"/>
      <c r="BK32" s="4"/>
      <c r="BM32" t="s">
        <v>891</v>
      </c>
      <c r="BP32" t="str">
        <f t="shared" si="1"/>
        <v>,`CombinationCostPrice` decimal(19,4)  COMMENT 'ミックスマッチ成立時原価'</v>
      </c>
      <c r="BQ32" t="s">
        <v>626</v>
      </c>
      <c r="BR32" t="str">
        <f t="shared" si="5"/>
        <v xml:space="preserve">,`CombinationCostPrice` decimal(19,4) </v>
      </c>
      <c r="BS32" t="s">
        <v>626</v>
      </c>
      <c r="BT32" t="str">
        <f t="shared" si="6"/>
        <v>,`CombinationCostPrice` = if(nullif( @7,'') &gt; '', @7, null )</v>
      </c>
      <c r="BU32" t="s">
        <v>626</v>
      </c>
      <c r="BV32" s="97" t="str">
        <f t="shared" si="2"/>
        <v>,A.`CombinationCostPrice` = B.`CombinationCostPrice`</v>
      </c>
      <c r="BW32" t="s">
        <v>626</v>
      </c>
      <c r="BX32" s="97" t="str">
        <f t="shared" si="3"/>
        <v>,`CombinationCostPrice`</v>
      </c>
      <c r="BY32" t="s">
        <v>626</v>
      </c>
      <c r="BZ32" s="97" t="str">
        <f t="shared" si="4"/>
        <v>,`CombinationCostPrice`</v>
      </c>
      <c r="CA32" t="s">
        <v>626</v>
      </c>
    </row>
    <row r="33" spans="1:79" ht="15" customHeight="1">
      <c r="A33" s="100" t="s">
        <v>970</v>
      </c>
      <c r="B33" s="28">
        <f t="shared" si="0"/>
        <v>13</v>
      </c>
      <c r="C33" s="29"/>
      <c r="D33" s="30" t="s">
        <v>633</v>
      </c>
      <c r="E33" s="31"/>
      <c r="F33" s="31"/>
      <c r="G33" s="31"/>
      <c r="H33" s="31"/>
      <c r="I33" s="31"/>
      <c r="J33" s="31"/>
      <c r="K33" s="31"/>
      <c r="L33" s="31"/>
      <c r="M33" s="31"/>
      <c r="N33" s="31"/>
      <c r="O33" s="31"/>
      <c r="P33" s="31"/>
      <c r="Q33" s="32"/>
      <c r="R33" s="30" t="s">
        <v>631</v>
      </c>
      <c r="S33" s="31"/>
      <c r="T33" s="31"/>
      <c r="U33" s="31"/>
      <c r="V33" s="31"/>
      <c r="W33" s="31"/>
      <c r="X33" s="31"/>
      <c r="Y33" s="31"/>
      <c r="Z33" s="31"/>
      <c r="AA33" s="31"/>
      <c r="AB33" s="32"/>
      <c r="AC33" s="30" t="str" cm="1">
        <f t="array" ref="AC33">_xlfn.SWITCH(BM33,"nvarchar","varchar("&amp;BN33&amp;")","smallint","smallint","date","date","money","decimal(19,4)","numeric","numeric("&amp;BN33&amp;")","int","int","bit","char(1)","datetime2","datetime","time","time")</f>
        <v>int</v>
      </c>
      <c r="AD33" s="31"/>
      <c r="AE33" s="31"/>
      <c r="AF33" s="31"/>
      <c r="AG33" s="32"/>
      <c r="AH33" s="30"/>
      <c r="AI33" s="32"/>
      <c r="AJ33" s="30"/>
      <c r="AK33" s="31"/>
      <c r="AL33" s="32"/>
      <c r="AM33" s="30"/>
      <c r="AN33" s="31"/>
      <c r="AO33" s="31"/>
      <c r="AP33" s="31"/>
      <c r="AQ33" s="31"/>
      <c r="AR33" s="31"/>
      <c r="AS33" s="32"/>
      <c r="AT33" s="30" t="s">
        <v>638</v>
      </c>
      <c r="AU33" s="31"/>
      <c r="AV33" s="31"/>
      <c r="AW33" s="31"/>
      <c r="AX33" s="31"/>
      <c r="AY33" s="31"/>
      <c r="AZ33" s="31"/>
      <c r="BA33" s="31"/>
      <c r="BB33" s="31"/>
      <c r="BC33" s="31"/>
      <c r="BD33" s="31"/>
      <c r="BE33" s="31"/>
      <c r="BF33" s="31"/>
      <c r="BG33" s="31"/>
      <c r="BH33" s="31"/>
      <c r="BI33" s="31"/>
      <c r="BJ33" s="32"/>
      <c r="BK33" s="4"/>
      <c r="BM33" t="s">
        <v>437</v>
      </c>
      <c r="BP33" t="str">
        <f t="shared" si="1"/>
        <v>,`PairMatchQuantity` int  COMMENT 'ペアマッチ成立点数'</v>
      </c>
      <c r="BQ33" t="s">
        <v>626</v>
      </c>
      <c r="BR33" t="str">
        <f t="shared" si="5"/>
        <v xml:space="preserve">,`PairMatchQuantity` int </v>
      </c>
      <c r="BS33" t="s">
        <v>626</v>
      </c>
      <c r="BT33" t="str">
        <f t="shared" si="6"/>
        <v>,`PairMatchQuantity` = if(nullif( @8,'') &gt; '', @8, null )</v>
      </c>
      <c r="BU33" t="s">
        <v>626</v>
      </c>
      <c r="BV33" s="97" t="str">
        <f t="shared" si="2"/>
        <v>,A.`PairMatchQuantity` = B.`PairMatchQuantity`</v>
      </c>
      <c r="BW33" t="s">
        <v>626</v>
      </c>
      <c r="BX33" s="97" t="str">
        <f t="shared" si="3"/>
        <v>,`PairMatchQuantity`</v>
      </c>
      <c r="BY33" t="s">
        <v>626</v>
      </c>
      <c r="BZ33" s="97" t="str">
        <f t="shared" si="4"/>
        <v>,`PairMatchQuantity`</v>
      </c>
      <c r="CA33" t="s">
        <v>626</v>
      </c>
    </row>
    <row r="34" spans="1:79" ht="15" customHeight="1">
      <c r="A34" s="100"/>
      <c r="BK34" s="4"/>
      <c r="BP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(`CompanyCode`,`StoreCode`,`CombinationCode`,`ItemCode`),</v>
      </c>
      <c r="BQ34" t="s">
        <v>626</v>
      </c>
      <c r="BR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(`CompanyCode`,`StoreCode`,`CombinationCode`,`ItemCode`)</v>
      </c>
      <c r="BS34" t="s">
        <v>626</v>
      </c>
      <c r="BT34" s="97" t="s">
        <v>936</v>
      </c>
      <c r="BU34" t="s">
        <v>626</v>
      </c>
      <c r="BV34" s="97" t="s">
        <v>934</v>
      </c>
      <c r="BW34" t="s">
        <v>626</v>
      </c>
      <c r="BY34" t="s">
        <v>626</v>
      </c>
      <c r="BZ34" s="97" t="str">
        <f>"FROM `TMP`.`"&amp;$G$10&amp;"` A"</f>
        <v>FROM `TMP`.`CombinationItemKsmMaster` A</v>
      </c>
      <c r="CA34" t="s">
        <v>626</v>
      </c>
    </row>
    <row r="35" spans="1:79" ht="15" customHeight="1">
      <c r="A35" s="100"/>
      <c r="BK35" s="4"/>
      <c r="BP35" s="97" t="s">
        <v>452</v>
      </c>
      <c r="BQ35" t="s">
        <v>626</v>
      </c>
      <c r="BR35" s="97" t="str">
        <f>") ENGINE=InnoDB DEFAULT CHARSET=utf8mb4 COLLATE=utf8mb4_0900_ai_ci COMMENT = '"&amp;$G$9&amp;"_TMP';"</f>
        <v>) ENGINE=InnoDB DEFAULT CHARSET=utf8mb4 COLLATE=utf8mb4_0900_ai_ci COMMENT = 'MM商品マスタ_TMP';</v>
      </c>
      <c r="BS35" t="s">
        <v>626</v>
      </c>
      <c r="BU35" t="s">
        <v>626</v>
      </c>
      <c r="BV35" s="97" t="str">
        <f>IF(_xlfn.XLOOKUP(1,$AH:$AH,$R:$R,"",0)="","","A.`"&amp;_xlfn.XLOOKUP(1,$AH:$AH,$R:$R,"",0)&amp;"` = B.`"&amp;_xlfn.XLOOKUP(1,$AH:$AH,$R:$R,"",0)&amp;"`")</f>
        <v>A.`CompanyCode` = B.`CompanyCode`</v>
      </c>
      <c r="BW35" t="s">
        <v>626</v>
      </c>
      <c r="BY35" t="s">
        <v>626</v>
      </c>
      <c r="BZ35" s="97" t="s">
        <v>935</v>
      </c>
      <c r="CA35" t="s">
        <v>626</v>
      </c>
    </row>
    <row r="36" spans="1:79" ht="15" customHeight="1">
      <c r="A36" s="100"/>
      <c r="B36" s="37" t="s">
        <v>49</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4"/>
      <c r="BP36" s="97" t="str">
        <f>") ENGINE=InnoDB DEFAULT CHARSET=utf8mb4 COLLATE=utf8mb4_0900_ai_ci COMMENT = '"&amp;$G$9&amp;"';"</f>
        <v>) ENGINE=InnoDB DEFAULT CHARSET=utf8mb4 COLLATE=utf8mb4_0900_ai_ci COMMENT = 'MM商品マスタ';</v>
      </c>
      <c r="BQ36" t="s">
        <v>626</v>
      </c>
      <c r="BS36" t="s">
        <v>626</v>
      </c>
      <c r="BU36" t="s">
        <v>626</v>
      </c>
      <c r="BV36" s="97" t="str">
        <f>IF(_xlfn.XLOOKUP(2,$AH:$AH,$R:$R,"",0)="","","AND A.`"&amp;_xlfn.XLOOKUP(2,$AH:$AH,$R:$R,"",0)&amp;"` = B.`"&amp;_xlfn.XLOOKUP(2,$AH:$AH,$R:$R,"",0)&amp;"`")</f>
        <v>AND A.`StoreCode` = B.`StoreCode`</v>
      </c>
      <c r="BW36" t="s">
        <v>626</v>
      </c>
      <c r="BY36" t="s">
        <v>626</v>
      </c>
      <c r="BZ36" s="97" t="str">
        <f>"FROM `POS_MASTER`.`"&amp;$G$10&amp;"` B"</f>
        <v>FROM `POS_MASTER`.`CombinationItemKsmMaster` B</v>
      </c>
      <c r="CA36" t="s">
        <v>626</v>
      </c>
    </row>
    <row r="37" spans="1:79" ht="15" customHeight="1">
      <c r="A37" s="100"/>
      <c r="B37" s="34" t="s">
        <v>50</v>
      </c>
      <c r="C37" s="35"/>
      <c r="D37" s="34" t="s">
        <v>51</v>
      </c>
      <c r="E37" s="44"/>
      <c r="F37" s="36"/>
      <c r="G37" s="36"/>
      <c r="H37" s="36"/>
      <c r="I37" s="36"/>
      <c r="J37" s="36"/>
      <c r="K37" s="36"/>
      <c r="L37" s="36"/>
      <c r="M37" s="36"/>
      <c r="N37" s="36"/>
      <c r="O37" s="36"/>
      <c r="P37" s="36"/>
      <c r="Q37" s="35"/>
      <c r="R37" s="34" t="s">
        <v>52</v>
      </c>
      <c r="S37" s="44"/>
      <c r="T37" s="36"/>
      <c r="U37" s="36"/>
      <c r="V37" s="36"/>
      <c r="W37" s="36"/>
      <c r="X37" s="36"/>
      <c r="Y37" s="36"/>
      <c r="Z37" s="36"/>
      <c r="AA37" s="36"/>
      <c r="AB37" s="36"/>
      <c r="AC37" s="36"/>
      <c r="AD37" s="36"/>
      <c r="AE37" s="36"/>
      <c r="AF37" s="36"/>
      <c r="AG37" s="36"/>
      <c r="AH37" s="36"/>
      <c r="AI37" s="36"/>
      <c r="AJ37" s="36"/>
      <c r="AK37" s="35"/>
      <c r="AL37" s="34" t="s">
        <v>53</v>
      </c>
      <c r="AM37" s="36"/>
      <c r="AN37" s="36"/>
      <c r="AO37" s="45"/>
      <c r="AP37" s="34" t="s">
        <v>54</v>
      </c>
      <c r="AQ37" s="36"/>
      <c r="AR37" s="36"/>
      <c r="AS37" s="35"/>
      <c r="AT37" s="34" t="s">
        <v>48</v>
      </c>
      <c r="AU37" s="44"/>
      <c r="AV37" s="44"/>
      <c r="AW37" s="36"/>
      <c r="AX37" s="36"/>
      <c r="AY37" s="44"/>
      <c r="AZ37" s="36"/>
      <c r="BA37" s="36"/>
      <c r="BB37" s="36"/>
      <c r="BC37" s="36"/>
      <c r="BD37" s="36"/>
      <c r="BE37" s="36"/>
      <c r="BF37" s="36"/>
      <c r="BG37" s="36"/>
      <c r="BH37" s="36"/>
      <c r="BI37" s="44"/>
      <c r="BJ37" s="35"/>
      <c r="BK37" s="4"/>
      <c r="BP37" s="97"/>
      <c r="BQ37" t="s">
        <v>626</v>
      </c>
      <c r="BS37" t="s">
        <v>626</v>
      </c>
      <c r="BU37" t="s">
        <v>626</v>
      </c>
      <c r="BV37" s="97" t="str">
        <f>IF(_xlfn.XLOOKUP(3,$AH:$AH,$R:$R,"",0)="","","AND A.`"&amp;_xlfn.XLOOKUP(3,$AH:$AH,$R:$R,"",0)&amp;"` = B.`"&amp;_xlfn.XLOOKUP(3,$AH:$AH,$R:$R,"",0)&amp;"`")</f>
        <v>AND A.`CombinationCode` = B.`CombinationCode`</v>
      </c>
      <c r="BW37" t="s">
        <v>626</v>
      </c>
      <c r="BY37" t="s">
        <v>626</v>
      </c>
      <c r="BZ37" s="97" t="s">
        <v>932</v>
      </c>
      <c r="CA37" t="s">
        <v>626</v>
      </c>
    </row>
    <row r="38" spans="1:79" ht="15" customHeight="1">
      <c r="A38" s="100"/>
      <c r="B38" s="38">
        <v>1</v>
      </c>
      <c r="C38" s="39"/>
      <c r="D38" s="38" t="s">
        <v>55</v>
      </c>
      <c r="E38" s="46"/>
      <c r="F38" s="40"/>
      <c r="G38" s="40"/>
      <c r="H38" s="40"/>
      <c r="I38" s="40"/>
      <c r="J38" s="40"/>
      <c r="K38" s="40"/>
      <c r="L38" s="40"/>
      <c r="M38" s="40"/>
      <c r="N38" s="40"/>
      <c r="O38" s="40"/>
      <c r="P38" s="40"/>
      <c r="Q38" s="39"/>
      <c r="R38"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`CompanyCode`,`StoreCode`,`CombinationCode`,`ItemCode`</v>
      </c>
      <c r="S38" s="46"/>
      <c r="T38" s="40"/>
      <c r="U38" s="40"/>
      <c r="V38" s="40"/>
      <c r="W38" s="40"/>
      <c r="X38" s="40"/>
      <c r="Y38" s="40"/>
      <c r="Z38" s="40"/>
      <c r="AA38" s="40"/>
      <c r="AB38" s="40"/>
      <c r="AC38" s="40"/>
      <c r="AD38" s="40"/>
      <c r="AE38" s="40"/>
      <c r="AF38" s="40"/>
      <c r="AG38" s="40"/>
      <c r="AH38" s="40"/>
      <c r="AI38" s="40"/>
      <c r="AJ38" s="40"/>
      <c r="AK38" s="39"/>
      <c r="AL38" s="38" t="s">
        <v>885</v>
      </c>
      <c r="AM38" s="40"/>
      <c r="AN38" s="40"/>
      <c r="AO38" s="47"/>
      <c r="AP38" s="38" t="s">
        <v>885</v>
      </c>
      <c r="AQ38" s="40"/>
      <c r="AR38" s="40"/>
      <c r="AS38" s="39"/>
      <c r="AT38" s="38"/>
      <c r="AU38" s="46"/>
      <c r="AV38" s="46"/>
      <c r="AW38" s="40"/>
      <c r="AX38" s="40"/>
      <c r="AY38" s="46"/>
      <c r="AZ38" s="40"/>
      <c r="BA38" s="40"/>
      <c r="BB38" s="40"/>
      <c r="BC38" s="40"/>
      <c r="BD38" s="40"/>
      <c r="BE38" s="40"/>
      <c r="BF38" s="40"/>
      <c r="BG38" s="40"/>
      <c r="BH38" s="40"/>
      <c r="BI38" s="46"/>
      <c r="BJ38" s="39"/>
      <c r="BK38" s="4"/>
      <c r="BP38" s="97" t="str">
        <f>"CREATE TRIGGER `"&amp;$G$10&amp;"_CR_Date_Time` BEFORE INSERT ON `"&amp;$G$10&amp;"` FOR EACH ROW SET NEW.record_create_date = CURRENT_DATE, NEW.record_create_time = CURRENT_TIME, NEW.record_update_date = CURRENT_DATE, NEW.record_update_time = CURRENT_TIME;"</f>
        <v>CREATE TRIGGER `CombinationItemKsmMaster_CR_Date_Time` BEFORE INSERT ON `CombinationItemKsmMaster` FOR EACH ROW SET NEW.record_create_date = CURRENT_DATE, NEW.record_create_time = CURRENT_TIME, NEW.record_update_date = CURRENT_DATE, NEW.record_update_time = CURRENT_TIME;</v>
      </c>
      <c r="BQ38" t="s">
        <v>626</v>
      </c>
      <c r="BS38" t="s">
        <v>626</v>
      </c>
      <c r="BU38" t="s">
        <v>626</v>
      </c>
      <c r="BV38" s="97" t="str">
        <f>IF(_xlfn.XLOOKUP(4,$AH:$AH,$R:$R,"",0)="","","AND A.`"&amp;_xlfn.XLOOKUP(4,$AH:$AH,$R:$R,"",0)&amp;"` = B.`"&amp;_xlfn.XLOOKUP(4,$AH:$AH,$R:$R,"",0)&amp;"`")</f>
        <v>AND A.`ItemCode` = B.`ItemCode`</v>
      </c>
      <c r="BW38" t="s">
        <v>626</v>
      </c>
      <c r="BY38" t="s">
        <v>626</v>
      </c>
      <c r="BZ38" s="97" t="str">
        <f>IF(_xlfn.XLOOKUP(1,$AH:$AH,$R:$R,"",0)="","","A.`"&amp;_xlfn.XLOOKUP(1,$AH:$AH,$R:$R,"",0)&amp;"` = B.`"&amp;_xlfn.XLOOKUP(1,$AH:$AH,$R:$R,"",0)&amp;"`")</f>
        <v>A.`CompanyCode` = B.`CompanyCode`</v>
      </c>
      <c r="CA38" t="s">
        <v>626</v>
      </c>
    </row>
    <row r="39" spans="1:79" ht="15" customHeight="1">
      <c r="A39" s="100"/>
      <c r="BK39" s="4"/>
      <c r="BP39" s="97" t="str">
        <f>"CREATE TRIGGER `"&amp;$G$10&amp;"_UP_Date_Time` BEFORE UPDATE ON `"&amp;$G$10&amp;"` FOR EACH ROW SET NEW.record_update_date = CURRENT_DATE, NEW.record_update_time = CURRENT_TIME;"</f>
        <v>CREATE TRIGGER `CombinationItemKsmMaster_UP_Date_Time` BEFORE UPDATE ON `CombinationItemKsmMaster` FOR EACH ROW SET NEW.record_update_date = CURRENT_DATE, NEW.record_update_time = CURRENT_TIME;</v>
      </c>
      <c r="BQ39" t="s">
        <v>626</v>
      </c>
      <c r="BS39" t="s">
        <v>626</v>
      </c>
      <c r="BU39" t="s">
        <v>626</v>
      </c>
      <c r="BV39" s="97" t="str">
        <f>IF(_xlfn.XLOOKUP(5,$AH:$AH,$R:$R,"",0)="","","AND A.`"&amp;_xlfn.XLOOKUP(5,$AH:$AH,$R:$R,"",0)&amp;"` = B.`"&amp;_xlfn.XLOOKUP(5,$AH:$AH,$R:$R,"",0)&amp;"`")</f>
        <v/>
      </c>
      <c r="BW39" t="s">
        <v>626</v>
      </c>
      <c r="BY39" t="s">
        <v>626</v>
      </c>
      <c r="BZ39" s="97" t="str">
        <f>IF(_xlfn.XLOOKUP(2,$AH:$AH,$R:$R,"",0)="","","AND A.`"&amp;_xlfn.XLOOKUP(2,$AH:$AH,$R:$R,"",0)&amp;"` = B.`"&amp;_xlfn.XLOOKUP(2,$AH:$AH,$R:$R,"",0)&amp;"`")</f>
        <v>AND A.`StoreCode` = B.`StoreCode`</v>
      </c>
      <c r="CA39" t="s">
        <v>626</v>
      </c>
    </row>
    <row r="40" spans="1:79" ht="15" customHeight="1">
      <c r="A40" s="100"/>
      <c r="BK40" s="4"/>
      <c r="BQ40" t="s">
        <v>626</v>
      </c>
      <c r="BS40" t="s">
        <v>626</v>
      </c>
      <c r="BU40" t="s">
        <v>626</v>
      </c>
      <c r="BV40" s="97" t="str">
        <f>IF(_xlfn.XLOOKUP(6,$AH:$AH,$R:$R,"",0)="","","AND A.`"&amp;_xlfn.XLOOKUP(6,$AH:$AH,$R:$R,"",0)&amp;"` = B.`"&amp;_xlfn.XLOOKUP(6,$AH:$AH,$R:$R,"",0)&amp;"`")</f>
        <v/>
      </c>
      <c r="BW40" t="s">
        <v>626</v>
      </c>
      <c r="BY40" t="s">
        <v>626</v>
      </c>
      <c r="BZ40" s="97" t="str">
        <f>IF(_xlfn.XLOOKUP(3,$AH:$AH,$R:$R,"",0)="","","AND A.`"&amp;_xlfn.XLOOKUP(3,$AH:$AH,$R:$R,"",0)&amp;"` = B.`"&amp;_xlfn.XLOOKUP(3,$AH:$AH,$R:$R,"",0)&amp;"`")</f>
        <v>AND A.`CombinationCode` = B.`CombinationCode`</v>
      </c>
      <c r="CA40" t="s">
        <v>626</v>
      </c>
    </row>
    <row r="41" spans="1:79">
      <c r="A41" s="100"/>
      <c r="B41" s="37" t="s">
        <v>34</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4"/>
      <c r="BQ41" t="s">
        <v>626</v>
      </c>
      <c r="BS41" t="s">
        <v>626</v>
      </c>
      <c r="BU41" t="s">
        <v>626</v>
      </c>
      <c r="BV41" s="97" t="str">
        <f>IF(_xlfn.XLOOKUP(7,$AH:$AH,$R:$R,"",0)="","","AND A.`"&amp;_xlfn.XLOOKUP(7,$AH:$AH,$R:$R,"",0)&amp;"` = B.`"&amp;_xlfn.XLOOKUP(7,$AH:$AH,$R:$R,"",0)&amp;"`")</f>
        <v/>
      </c>
      <c r="BW41" t="s">
        <v>626</v>
      </c>
      <c r="BY41" t="s">
        <v>626</v>
      </c>
      <c r="BZ41" s="97" t="str">
        <f>IF(_xlfn.XLOOKUP(4,$AH:$AH,$R:$R,"",0)="","","AND A.`"&amp;_xlfn.XLOOKUP(4,$AH:$AH,$R:$R,"",0)&amp;"` = B.`"&amp;_xlfn.XLOOKUP(4,$AH:$AH,$R:$R,"",0)&amp;"`")</f>
        <v>AND A.`ItemCode` = B.`ItemCode`</v>
      </c>
      <c r="CA41" t="s">
        <v>626</v>
      </c>
    </row>
    <row r="42" spans="1:79">
      <c r="A42" s="100"/>
      <c r="B42" s="34" t="s">
        <v>35</v>
      </c>
      <c r="C42" s="45"/>
      <c r="D42" s="34" t="s">
        <v>36</v>
      </c>
      <c r="E42" s="44"/>
      <c r="F42" s="44"/>
      <c r="G42" s="44"/>
      <c r="H42" s="44"/>
      <c r="I42" s="44"/>
      <c r="J42" s="44"/>
      <c r="K42" s="44"/>
      <c r="L42" s="36"/>
      <c r="M42" s="36"/>
      <c r="N42" s="36"/>
      <c r="O42" s="36"/>
      <c r="P42" s="36"/>
      <c r="Q42" s="35"/>
      <c r="R42" s="34" t="s">
        <v>37</v>
      </c>
      <c r="S42" s="36"/>
      <c r="T42" s="45"/>
      <c r="U42" s="34" t="s">
        <v>38</v>
      </c>
      <c r="V42" s="36"/>
      <c r="W42" s="44"/>
      <c r="X42" s="45"/>
      <c r="Y42" s="34" t="s">
        <v>39</v>
      </c>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5"/>
      <c r="BK42" s="4"/>
      <c r="BQ42" t="s">
        <v>626</v>
      </c>
      <c r="BS42" t="s">
        <v>626</v>
      </c>
      <c r="BU42" t="s">
        <v>626</v>
      </c>
      <c r="BV42" s="97" t="str">
        <f>IF(_xlfn.XLOOKUP(8,$AH:$AH,$R:$R,"",0)="","","AND A.`"&amp;_xlfn.XLOOKUP(8,$AH:$AH,$R:$R,"",0)&amp;"` = B.`"&amp;_xlfn.XLOOKUP(8,$AH:$AH,$R:$R,"",0)&amp;"`")</f>
        <v/>
      </c>
      <c r="BW42" t="s">
        <v>626</v>
      </c>
      <c r="BY42" t="s">
        <v>626</v>
      </c>
      <c r="BZ42" s="97" t="str">
        <f>IF(_xlfn.XLOOKUP(5,$AH:$AH,$R:$R,"",0)="","","AND A.`"&amp;_xlfn.XLOOKUP(5,$AH:$AH,$R:$R,"",0)&amp;"` = B.`"&amp;_xlfn.XLOOKUP(5,$AH:$AH,$R:$R,"",0)&amp;"`")</f>
        <v/>
      </c>
      <c r="CA42" t="s">
        <v>626</v>
      </c>
    </row>
    <row r="43" spans="1:79">
      <c r="A43" s="100"/>
      <c r="B43" s="41">
        <v>1</v>
      </c>
      <c r="C43" s="47"/>
      <c r="D43" s="41" t="str">
        <f>G10&amp;"_"&amp;R43&amp;"_"&amp;"trg"</f>
        <v>CombinationItemKsmMaster_update_trg</v>
      </c>
      <c r="E43" s="46"/>
      <c r="F43" s="46"/>
      <c r="G43" s="46"/>
      <c r="H43" s="46"/>
      <c r="I43" s="46"/>
      <c r="J43" s="46"/>
      <c r="K43" s="46"/>
      <c r="L43" s="42"/>
      <c r="M43" s="42"/>
      <c r="N43" s="42"/>
      <c r="O43" s="42"/>
      <c r="P43" s="42"/>
      <c r="Q43" s="43"/>
      <c r="R43" s="41" t="s">
        <v>40</v>
      </c>
      <c r="S43" s="42"/>
      <c r="T43" s="47"/>
      <c r="U43" s="41" t="s">
        <v>41</v>
      </c>
      <c r="V43" s="42"/>
      <c r="W43" s="46"/>
      <c r="X43" s="47"/>
      <c r="Y43" s="41" t="s">
        <v>42</v>
      </c>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3"/>
      <c r="BK43" s="4"/>
      <c r="BQ43" t="s">
        <v>626</v>
      </c>
      <c r="BS43" t="s">
        <v>626</v>
      </c>
      <c r="BU43" t="s">
        <v>626</v>
      </c>
      <c r="BV43" s="97" t="s">
        <v>936</v>
      </c>
      <c r="BW43" t="s">
        <v>626</v>
      </c>
      <c r="BY43" t="s">
        <v>626</v>
      </c>
      <c r="BZ43" s="97" t="str">
        <f>IF(_xlfn.XLOOKUP(6,$AH:$AH,$R:$R,"",0)="","","AND A.`"&amp;_xlfn.XLOOKUP(6,$AH:$AH,$R:$R,"",0)&amp;"` = B.`"&amp;_xlfn.XLOOKUP(6,$AH:$AH,$R:$R,"",0)&amp;"`")</f>
        <v/>
      </c>
      <c r="CA43" t="s">
        <v>626</v>
      </c>
    </row>
    <row r="44" spans="1:79">
      <c r="A44" s="100"/>
      <c r="BK44" s="4"/>
      <c r="BQ44" t="s">
        <v>626</v>
      </c>
      <c r="BS44" t="s">
        <v>626</v>
      </c>
      <c r="BU44" t="s">
        <v>626</v>
      </c>
      <c r="BW44" t="s">
        <v>626</v>
      </c>
      <c r="BY44" t="s">
        <v>626</v>
      </c>
      <c r="BZ44" s="97" t="str">
        <f>IF(_xlfn.XLOOKUP(7,$AH:$AH,$R:$R,"",0)="","","AND A.`"&amp;_xlfn.XLOOKUP(7,$AH:$AH,$R:$R,"",0)&amp;"` = B.`"&amp;_xlfn.XLOOKUP(7,$AH:$AH,$R:$R,"",0)&amp;"`")</f>
        <v/>
      </c>
      <c r="CA44" t="s">
        <v>626</v>
      </c>
    </row>
    <row r="45" spans="1:79">
      <c r="A45" s="100"/>
      <c r="BK45" s="4"/>
      <c r="BQ45" t="s">
        <v>626</v>
      </c>
      <c r="BS45" t="s">
        <v>626</v>
      </c>
      <c r="BU45" t="s">
        <v>626</v>
      </c>
      <c r="BW45" t="s">
        <v>626</v>
      </c>
      <c r="BY45" t="s">
        <v>626</v>
      </c>
      <c r="BZ45" s="97" t="str">
        <f>IF(_xlfn.XLOOKUP(8,$AH:$AH,$R:$R,"",0)="","","AND A.`"&amp;_xlfn.XLOOKUP(8,$AH:$AH,$R:$R,"",0)&amp;"` = B.`"&amp;_xlfn.XLOOKUP(8,$AH:$AH,$R:$R,"",0)&amp;"`")</f>
        <v/>
      </c>
      <c r="CA45" t="s">
        <v>626</v>
      </c>
    </row>
    <row r="46" spans="1:79">
      <c r="A46" s="100"/>
      <c r="BK46" s="4"/>
      <c r="BQ46" t="s">
        <v>626</v>
      </c>
      <c r="BS46" t="s">
        <v>626</v>
      </c>
      <c r="BU46" t="s">
        <v>626</v>
      </c>
      <c r="BW46" t="s">
        <v>626</v>
      </c>
      <c r="BY46" t="s">
        <v>626</v>
      </c>
      <c r="BZ46" s="97" t="s">
        <v>929</v>
      </c>
      <c r="CA46" t="s">
        <v>626</v>
      </c>
    </row>
    <row r="47" spans="1:79">
      <c r="A47" s="100"/>
      <c r="BK47" s="4"/>
      <c r="BQ47" t="s">
        <v>626</v>
      </c>
      <c r="BS47" t="s">
        <v>626</v>
      </c>
      <c r="BU47" t="s">
        <v>626</v>
      </c>
      <c r="BW47" t="s">
        <v>626</v>
      </c>
      <c r="BY47" t="s">
        <v>626</v>
      </c>
      <c r="CA47" t="s">
        <v>626</v>
      </c>
    </row>
    <row r="48" spans="1:79">
      <c r="A48" s="100"/>
      <c r="BK48" s="4"/>
      <c r="BQ48" t="s">
        <v>626</v>
      </c>
      <c r="BS48" t="s">
        <v>626</v>
      </c>
      <c r="BU48" t="s">
        <v>626</v>
      </c>
      <c r="BW48" t="s">
        <v>626</v>
      </c>
      <c r="BY48" t="s">
        <v>626</v>
      </c>
      <c r="BZ48" s="98"/>
      <c r="CA48" t="s">
        <v>626</v>
      </c>
    </row>
    <row r="49" spans="1:79">
      <c r="A49" s="100"/>
      <c r="BK49" s="4"/>
      <c r="BQ49" t="s">
        <v>626</v>
      </c>
      <c r="BS49" t="s">
        <v>626</v>
      </c>
      <c r="BU49" t="s">
        <v>626</v>
      </c>
      <c r="BW49" t="s">
        <v>626</v>
      </c>
      <c r="BY49" t="s">
        <v>626</v>
      </c>
      <c r="BZ49" t="str">
        <f>"DROP TABLE IF EXISTS `TMP`.`"&amp;$G$10&amp;"`;"</f>
        <v>DROP TABLE IF EXISTS `TMP`.`CombinationItemKsmMaster`;</v>
      </c>
      <c r="CA49" t="s">
        <v>626</v>
      </c>
    </row>
    <row r="50" spans="1:79">
      <c r="A50" s="100"/>
      <c r="BK50" s="4"/>
      <c r="BQ50" t="s">
        <v>626</v>
      </c>
      <c r="BS50" t="s">
        <v>626</v>
      </c>
      <c r="BU50" t="s">
        <v>626</v>
      </c>
      <c r="BW50" t="s">
        <v>626</v>
      </c>
      <c r="BY50" t="s">
        <v>626</v>
      </c>
      <c r="BZ50" t="s">
        <v>937</v>
      </c>
      <c r="CA50" t="s">
        <v>626</v>
      </c>
    </row>
    <row r="51" spans="1:79">
      <c r="A51" s="100"/>
    </row>
    <row r="52" spans="1:79">
      <c r="A52" s="100"/>
    </row>
    <row r="53" spans="1:79">
      <c r="A53" s="100"/>
    </row>
    <row r="54" spans="1:79">
      <c r="A54" s="100"/>
    </row>
    <row r="55" spans="1:79">
      <c r="A55" s="100"/>
    </row>
    <row r="56" spans="1:79">
      <c r="A56" s="100"/>
    </row>
    <row r="57" spans="1:79">
      <c r="A57" s="100"/>
    </row>
    <row r="58" spans="1:79">
      <c r="A58" s="100"/>
    </row>
    <row r="59" spans="1:79">
      <c r="A59" s="100"/>
    </row>
    <row r="60" spans="1:79">
      <c r="A60" s="100"/>
    </row>
    <row r="61" spans="1:79">
      <c r="A61" s="100"/>
    </row>
    <row r="62" spans="1:79">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27FF6-2C59-48CC-BB6B-0FE6AAD36C28}">
  <dimension ref="A1:CA70"/>
  <sheetViews>
    <sheetView view="pageBreakPreview" topLeftCell="A13" zoomScale="80" zoomScaleNormal="75" zoomScaleSheetLayoutView="80" workbookViewId="0">
      <selection activeCell="BT29" sqref="BT29"/>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640</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641</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`POS_MASTER`.`DiscountMDHierarchyMVKMaster`;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`POS_MASTER`.`DiscountMDHierarchyMVKMaster`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53"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'C:/04_DATAFILE/DiscountMDHierarchyMVKMaster/TMP/DiscountMDHierarchyMVKMaster.CSV' </v>
      </c>
      <c r="BU24" t="s">
        <v>626</v>
      </c>
      <c r="BV24" s="97" t="str">
        <f>"UPDATE `POS_MASTER`.`"&amp;$G$10&amp;"` A,`TMP`.`"&amp;$G$10&amp;"` B"</f>
        <v>UPDATE `POS_MASTER`.`DiscountMDHierarchyMVKMaster` A,`TMP`.`DiscountMDHierarchyMVKMaster`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`TMP`.`DiscountMDHierarchyMVKMaster`;</v>
      </c>
      <c r="BS25" t="s">
        <v>626</v>
      </c>
      <c r="BT25" s="97" t="str">
        <f>"REPLACE INTO TABLE TMP.`"&amp;$G$10&amp;"` CHARACTER SET 'UTF8'"</f>
        <v>REPLACE INTO TABLE TMP.`DiscountMDHierarchyMVKMaster`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`TMP`.`DiscountMDHierarchyMVKMaster`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(@1,@2,@3,@4,@5,@6,@7,@8,@9,@10,@11,@12,@13,@14,@15,@16,@17,@18,@19,@20,@21,@22,@23,@24,@25,@26,@27,@28)</v>
      </c>
      <c r="BU26" t="s">
        <v>626</v>
      </c>
      <c r="BV26" s="97"/>
      <c r="BW26" t="s">
        <v>626</v>
      </c>
      <c r="BX26" s="97" t="str">
        <f>"INSERT INTO `POS_MASTER`.`"&amp;$G$10&amp;"` ("</f>
        <v>INSERT INTO `POS_MASTER`.`DiscountMDHierarchyMVKMaster`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53"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53" si="2">",A.`"&amp;R28&amp;"` = B.`"&amp;R28&amp;"`"</f>
        <v>,A.`StoreCode` = B.`StoreCode`</v>
      </c>
      <c r="BW28" t="s">
        <v>626</v>
      </c>
      <c r="BX28" s="97" t="str">
        <f t="shared" ref="BX28:BX53" si="3">",`"&amp;R28&amp;"`"</f>
        <v>,`StoreCode`</v>
      </c>
      <c r="BY28" t="s">
        <v>626</v>
      </c>
      <c r="BZ28" s="97" t="str">
        <f t="shared" ref="BZ28:BZ53" si="4">",`"&amp;R28&amp;"`"</f>
        <v>,`StoreCode`</v>
      </c>
      <c r="CA28" t="s">
        <v>626</v>
      </c>
    </row>
    <row r="29" spans="1:79" ht="15" customHeight="1">
      <c r="A29" s="100" t="s">
        <v>966</v>
      </c>
      <c r="B29" s="23">
        <f t="shared" si="0"/>
        <v>9</v>
      </c>
      <c r="C29" s="24"/>
      <c r="D29" s="22" t="s">
        <v>642</v>
      </c>
      <c r="E29" s="25"/>
      <c r="F29" s="25"/>
      <c r="G29" s="25"/>
      <c r="H29" s="25"/>
      <c r="I29" s="25"/>
      <c r="J29" s="25"/>
      <c r="K29" s="25"/>
      <c r="L29" s="25"/>
      <c r="M29" s="25"/>
      <c r="N29" s="25"/>
      <c r="O29" s="25"/>
      <c r="P29" s="25"/>
      <c r="Q29" s="26"/>
      <c r="R29" s="22" t="s">
        <v>685</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varchar(10)</v>
      </c>
      <c r="AD29" s="25"/>
      <c r="AE29" s="25"/>
      <c r="AF29" s="25"/>
      <c r="AG29" s="26"/>
      <c r="AH29" s="22">
        <v>3</v>
      </c>
      <c r="AI29" s="26"/>
      <c r="AJ29" s="22" t="s">
        <v>885</v>
      </c>
      <c r="AK29" s="25"/>
      <c r="AL29" s="26"/>
      <c r="AM29" s="22"/>
      <c r="AN29" s="25"/>
      <c r="AO29" s="25"/>
      <c r="AP29" s="25"/>
      <c r="AQ29" s="25"/>
      <c r="AR29" s="25"/>
      <c r="AS29" s="26"/>
      <c r="AT29" s="22" t="s">
        <v>662</v>
      </c>
      <c r="AU29" s="25"/>
      <c r="AV29" s="25"/>
      <c r="AW29" s="25"/>
      <c r="AX29" s="25"/>
      <c r="AY29" s="25"/>
      <c r="AZ29" s="25"/>
      <c r="BA29" s="25"/>
      <c r="BB29" s="25"/>
      <c r="BC29" s="25"/>
      <c r="BD29" s="25"/>
      <c r="BE29" s="25"/>
      <c r="BF29" s="25"/>
      <c r="BG29" s="25"/>
      <c r="BH29" s="25"/>
      <c r="BI29" s="25"/>
      <c r="BJ29" s="26"/>
      <c r="BK29" s="4"/>
      <c r="BM29" t="s">
        <v>888</v>
      </c>
      <c r="BN29">
        <v>10</v>
      </c>
      <c r="BP29" t="str">
        <f t="shared" si="1"/>
        <v>,`DiscountMDHierarchyCode` varchar(10) NOT NULL COMMENT 'MD階層自動値引コード'</v>
      </c>
      <c r="BQ29" t="s">
        <v>626</v>
      </c>
      <c r="BR29" t="str">
        <f t="shared" ref="BR29:BR53" si="5">",`"&amp;R29&amp;"` "&amp;AC29&amp;" "&amp;IF(AJ29="Y","NOT NULL","")</f>
        <v>,`DiscountMDHierarchyCode` varchar(10) NOT NULL</v>
      </c>
      <c r="BS29" t="s">
        <v>626</v>
      </c>
      <c r="BT29" t="str">
        <f t="shared" ref="BT29:BT53" si="6">",`"&amp;R29&amp;"` = "&amp;IF(LEFT(AC29,4)="date", "if(@"&amp;B29-5&amp;" &gt; '0000-00-00 00:00:00', if(@"&amp;B29-5&amp;" &gt; '2999-12-31 23:59:59', '2999-12-31 23:59:59', @"&amp;B29-5&amp;"), null)","if(nullif( @"&amp;B29-5&amp;",'') &gt; '', @"&amp;B29-5&amp;", null )")</f>
        <v>,`DiscountMDHierarchyCode` = if(nullif( @4,'') &gt; '', @4, null )</v>
      </c>
      <c r="BU29" t="s">
        <v>626</v>
      </c>
      <c r="BV29" s="97" t="str">
        <f t="shared" si="2"/>
        <v>,A.`DiscountMDHierarchyCode` = B.`DiscountMDHierarchyCode`</v>
      </c>
      <c r="BW29" t="s">
        <v>626</v>
      </c>
      <c r="BX29" s="97" t="str">
        <f t="shared" si="3"/>
        <v>,`DiscountMDHierarchyCode`</v>
      </c>
      <c r="BY29" t="s">
        <v>626</v>
      </c>
      <c r="BZ29" s="97" t="str">
        <f t="shared" si="4"/>
        <v>,`DiscountMDHierarchyCode`</v>
      </c>
      <c r="CA29" t="s">
        <v>626</v>
      </c>
    </row>
    <row r="30" spans="1:79" ht="15" customHeight="1">
      <c r="A30" s="100" t="s">
        <v>967</v>
      </c>
      <c r="B30" s="23">
        <f t="shared" si="0"/>
        <v>10</v>
      </c>
      <c r="C30" s="24"/>
      <c r="D30" s="22" t="s">
        <v>643</v>
      </c>
      <c r="E30" s="25"/>
      <c r="F30" s="25"/>
      <c r="G30" s="25"/>
      <c r="H30" s="25"/>
      <c r="I30" s="25"/>
      <c r="J30" s="25"/>
      <c r="K30" s="25"/>
      <c r="L30" s="25"/>
      <c r="M30" s="25"/>
      <c r="N30" s="25"/>
      <c r="O30" s="25"/>
      <c r="P30" s="25"/>
      <c r="Q30" s="26"/>
      <c r="R30" s="22" t="s">
        <v>358</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varchar(50)</v>
      </c>
      <c r="AD30" s="25"/>
      <c r="AE30" s="25"/>
      <c r="AF30" s="25"/>
      <c r="AG30" s="26"/>
      <c r="AH30" s="22"/>
      <c r="AI30" s="26"/>
      <c r="AJ30" s="22"/>
      <c r="AK30" s="25"/>
      <c r="AL30" s="26"/>
      <c r="AM30" s="22"/>
      <c r="AN30" s="25"/>
      <c r="AO30" s="25"/>
      <c r="AP30" s="25"/>
      <c r="AQ30" s="25"/>
      <c r="AR30" s="25"/>
      <c r="AS30" s="26"/>
      <c r="AT30" s="22" t="s">
        <v>663</v>
      </c>
      <c r="AU30" s="25"/>
      <c r="AV30" s="25"/>
      <c r="AW30" s="25"/>
      <c r="AX30" s="25"/>
      <c r="AY30" s="25"/>
      <c r="AZ30" s="25"/>
      <c r="BA30" s="25"/>
      <c r="BB30" s="25"/>
      <c r="BC30" s="25"/>
      <c r="BD30" s="25"/>
      <c r="BE30" s="25"/>
      <c r="BF30" s="25"/>
      <c r="BG30" s="25"/>
      <c r="BH30" s="25"/>
      <c r="BI30" s="25"/>
      <c r="BJ30" s="26"/>
      <c r="BK30" s="4"/>
      <c r="BM30" t="s">
        <v>888</v>
      </c>
      <c r="BN30">
        <v>50</v>
      </c>
      <c r="BP30" t="str">
        <f t="shared" si="1"/>
        <v>,`Description` varchar(50)  COMMENT '説明'</v>
      </c>
      <c r="BQ30" t="s">
        <v>626</v>
      </c>
      <c r="BR30" t="str">
        <f t="shared" si="5"/>
        <v xml:space="preserve">,`Description` varchar(50) </v>
      </c>
      <c r="BS30" t="s">
        <v>626</v>
      </c>
      <c r="BT30" t="str">
        <f t="shared" si="6"/>
        <v>,`Description` = if(nullif( @5,'') &gt; '', @5, null )</v>
      </c>
      <c r="BU30" t="s">
        <v>626</v>
      </c>
      <c r="BV30" s="97" t="str">
        <f t="shared" si="2"/>
        <v>,A.`Description` = B.`Description`</v>
      </c>
      <c r="BW30" t="s">
        <v>626</v>
      </c>
      <c r="BX30" s="97" t="str">
        <f t="shared" si="3"/>
        <v>,`Description`</v>
      </c>
      <c r="BY30" t="s">
        <v>626</v>
      </c>
      <c r="BZ30" s="97" t="str">
        <f t="shared" si="4"/>
        <v>,`Description`</v>
      </c>
      <c r="CA30" t="s">
        <v>626</v>
      </c>
    </row>
    <row r="31" spans="1:79" ht="15" customHeight="1">
      <c r="A31" s="100" t="s">
        <v>968</v>
      </c>
      <c r="B31" s="23">
        <f t="shared" si="0"/>
        <v>11</v>
      </c>
      <c r="C31" s="24"/>
      <c r="D31" s="22" t="s">
        <v>644</v>
      </c>
      <c r="E31" s="25"/>
      <c r="F31" s="25"/>
      <c r="G31" s="25"/>
      <c r="H31" s="25"/>
      <c r="I31" s="25"/>
      <c r="J31" s="25"/>
      <c r="K31" s="25"/>
      <c r="L31" s="25"/>
      <c r="M31" s="25"/>
      <c r="N31" s="25"/>
      <c r="O31" s="25"/>
      <c r="P31" s="25"/>
      <c r="Q31" s="26"/>
      <c r="R31" s="22" t="s">
        <v>490</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varchar(10)</v>
      </c>
      <c r="AD31" s="25"/>
      <c r="AE31" s="25"/>
      <c r="AF31" s="25"/>
      <c r="AG31" s="26"/>
      <c r="AH31" s="22">
        <v>4</v>
      </c>
      <c r="AI31" s="26"/>
      <c r="AJ31" s="22" t="s">
        <v>885</v>
      </c>
      <c r="AK31" s="25"/>
      <c r="AL31" s="26"/>
      <c r="AM31" s="22"/>
      <c r="AN31" s="25"/>
      <c r="AO31" s="25"/>
      <c r="AP31" s="25"/>
      <c r="AQ31" s="25"/>
      <c r="AR31" s="25"/>
      <c r="AS31" s="26"/>
      <c r="AT31" s="22" t="s">
        <v>664</v>
      </c>
      <c r="AU31" s="25"/>
      <c r="AV31" s="25"/>
      <c r="AW31" s="25"/>
      <c r="AX31" s="25"/>
      <c r="AY31" s="25"/>
      <c r="AZ31" s="25"/>
      <c r="BA31" s="25"/>
      <c r="BB31" s="25"/>
      <c r="BC31" s="25"/>
      <c r="BD31" s="25"/>
      <c r="BE31" s="25"/>
      <c r="BF31" s="25"/>
      <c r="BG31" s="25"/>
      <c r="BH31" s="25"/>
      <c r="BI31" s="25"/>
      <c r="BJ31" s="26"/>
      <c r="BK31" s="4"/>
      <c r="BM31" t="s">
        <v>888</v>
      </c>
      <c r="BN31">
        <v>10</v>
      </c>
      <c r="BP31" t="str">
        <f t="shared" si="1"/>
        <v>,`MDHierarchyCode` varchar(10) NOT NULL COMMENT 'MD階層コード'</v>
      </c>
      <c r="BQ31" t="s">
        <v>626</v>
      </c>
      <c r="BR31" t="str">
        <f t="shared" si="5"/>
        <v>,`MDHierarchyCode` varchar(10) NOT NULL</v>
      </c>
      <c r="BS31" t="s">
        <v>626</v>
      </c>
      <c r="BT31" t="str">
        <f t="shared" si="6"/>
        <v>,`MDHierarchyCode` = if(nullif( @6,'') &gt; '', @6, null )</v>
      </c>
      <c r="BU31" t="s">
        <v>626</v>
      </c>
      <c r="BV31" s="97" t="str">
        <f t="shared" si="2"/>
        <v>,A.`MDHierarchyCode` = B.`MDHierarchyCode`</v>
      </c>
      <c r="BW31" t="s">
        <v>626</v>
      </c>
      <c r="BX31" s="97" t="str">
        <f t="shared" si="3"/>
        <v>,`MDHierarchyCode`</v>
      </c>
      <c r="BY31" t="s">
        <v>626</v>
      </c>
      <c r="BZ31" s="97" t="str">
        <f t="shared" si="4"/>
        <v>,`MDHierarchyCode`</v>
      </c>
      <c r="CA31" t="s">
        <v>626</v>
      </c>
    </row>
    <row r="32" spans="1:79" ht="15" customHeight="1">
      <c r="A32" s="100" t="s">
        <v>969</v>
      </c>
      <c r="B32" s="23">
        <f t="shared" si="0"/>
        <v>12</v>
      </c>
      <c r="C32" s="24"/>
      <c r="D32" s="22" t="s">
        <v>645</v>
      </c>
      <c r="E32" s="25"/>
      <c r="F32" s="25"/>
      <c r="G32" s="25"/>
      <c r="H32" s="25"/>
      <c r="I32" s="25"/>
      <c r="J32" s="25"/>
      <c r="K32" s="25"/>
      <c r="L32" s="25"/>
      <c r="M32" s="25"/>
      <c r="N32" s="25"/>
      <c r="O32" s="25"/>
      <c r="P32" s="25"/>
      <c r="Q32" s="26"/>
      <c r="R32" s="22" t="s">
        <v>491</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int</v>
      </c>
      <c r="AD32" s="25"/>
      <c r="AE32" s="25"/>
      <c r="AF32" s="25"/>
      <c r="AG32" s="26"/>
      <c r="AH32" s="22">
        <v>5</v>
      </c>
      <c r="AI32" s="26"/>
      <c r="AJ32" s="22" t="s">
        <v>885</v>
      </c>
      <c r="AK32" s="25"/>
      <c r="AL32" s="26"/>
      <c r="AM32" s="22"/>
      <c r="AN32" s="25"/>
      <c r="AO32" s="25"/>
      <c r="AP32" s="25"/>
      <c r="AQ32" s="25"/>
      <c r="AR32" s="25"/>
      <c r="AS32" s="26"/>
      <c r="AT32" s="22" t="s">
        <v>665</v>
      </c>
      <c r="AU32" s="25"/>
      <c r="AV32" s="25"/>
      <c r="AW32" s="25"/>
      <c r="AX32" s="25"/>
      <c r="AY32" s="25"/>
      <c r="AZ32" s="25"/>
      <c r="BA32" s="25"/>
      <c r="BB32" s="25"/>
      <c r="BC32" s="25"/>
      <c r="BD32" s="25"/>
      <c r="BE32" s="25"/>
      <c r="BF32" s="25"/>
      <c r="BG32" s="25"/>
      <c r="BH32" s="25"/>
      <c r="BI32" s="25"/>
      <c r="BJ32" s="26"/>
      <c r="BK32" s="4"/>
      <c r="BM32" t="s">
        <v>437</v>
      </c>
      <c r="BP32" t="str">
        <f t="shared" si="1"/>
        <v>,`MDHierarchyLevel` int NOT NULL COMMENT 'MD階層レベル'</v>
      </c>
      <c r="BQ32" t="s">
        <v>626</v>
      </c>
      <c r="BR32" t="str">
        <f t="shared" si="5"/>
        <v>,`MDHierarchyLevel` int NOT NULL</v>
      </c>
      <c r="BS32" t="s">
        <v>626</v>
      </c>
      <c r="BT32" t="str">
        <f t="shared" si="6"/>
        <v>,`MDHierarchyLevel` = if(nullif( @7,'') &gt; '', @7, null )</v>
      </c>
      <c r="BU32" t="s">
        <v>626</v>
      </c>
      <c r="BV32" s="97" t="str">
        <f t="shared" si="2"/>
        <v>,A.`MDHierarchyLevel` = B.`MDHierarchyLevel`</v>
      </c>
      <c r="BW32" t="s">
        <v>626</v>
      </c>
      <c r="BX32" s="97" t="str">
        <f t="shared" si="3"/>
        <v>,`MDHierarchyLevel`</v>
      </c>
      <c r="BY32" t="s">
        <v>626</v>
      </c>
      <c r="BZ32" s="97" t="str">
        <f t="shared" si="4"/>
        <v>,`MDHierarchyLevel`</v>
      </c>
      <c r="CA32" t="s">
        <v>626</v>
      </c>
    </row>
    <row r="33" spans="1:79" ht="15" customHeight="1">
      <c r="A33" s="100" t="s">
        <v>970</v>
      </c>
      <c r="B33" s="23">
        <f t="shared" si="0"/>
        <v>13</v>
      </c>
      <c r="C33" s="24"/>
      <c r="D33" s="22" t="s">
        <v>495</v>
      </c>
      <c r="E33" s="25"/>
      <c r="F33" s="25"/>
      <c r="G33" s="25"/>
      <c r="H33" s="25"/>
      <c r="I33" s="25"/>
      <c r="J33" s="25"/>
      <c r="K33" s="25"/>
      <c r="L33" s="25"/>
      <c r="M33" s="25"/>
      <c r="N33" s="25"/>
      <c r="O33" s="25"/>
      <c r="P33" s="25"/>
      <c r="Q33" s="26"/>
      <c r="R33" s="22" t="s">
        <v>686</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varchar(10)</v>
      </c>
      <c r="AD33" s="25"/>
      <c r="AE33" s="25"/>
      <c r="AF33" s="25"/>
      <c r="AG33" s="26"/>
      <c r="AH33" s="22">
        <v>6</v>
      </c>
      <c r="AI33" s="26"/>
      <c r="AJ33" s="22" t="s">
        <v>885</v>
      </c>
      <c r="AK33" s="25"/>
      <c r="AL33" s="26"/>
      <c r="AM33" s="22"/>
      <c r="AN33" s="25"/>
      <c r="AO33" s="25"/>
      <c r="AP33" s="25"/>
      <c r="AQ33" s="25"/>
      <c r="AR33" s="25"/>
      <c r="AS33" s="26"/>
      <c r="AT33" s="22" t="s">
        <v>666</v>
      </c>
      <c r="AU33" s="25"/>
      <c r="AV33" s="25"/>
      <c r="AW33" s="25"/>
      <c r="AX33" s="25"/>
      <c r="AY33" s="25"/>
      <c r="AZ33" s="25"/>
      <c r="BA33" s="25"/>
      <c r="BB33" s="25"/>
      <c r="BC33" s="25"/>
      <c r="BD33" s="25"/>
      <c r="BE33" s="25"/>
      <c r="BF33" s="25"/>
      <c r="BG33" s="25"/>
      <c r="BH33" s="25"/>
      <c r="BI33" s="25"/>
      <c r="BJ33" s="26"/>
      <c r="BK33" s="4"/>
      <c r="BM33" t="s">
        <v>888</v>
      </c>
      <c r="BN33">
        <v>10</v>
      </c>
      <c r="BP33" t="str">
        <f t="shared" si="1"/>
        <v>,`PromotionCode` varchar(10) NOT NULL COMMENT '販促コード'</v>
      </c>
      <c r="BQ33" t="s">
        <v>626</v>
      </c>
      <c r="BR33" t="str">
        <f t="shared" si="5"/>
        <v>,`PromotionCode` varchar(10) NOT NULL</v>
      </c>
      <c r="BS33" t="s">
        <v>626</v>
      </c>
      <c r="BT33" t="str">
        <f t="shared" si="6"/>
        <v>,`PromotionCode` = if(nullif( @8,'') &gt; '', @8, null )</v>
      </c>
      <c r="BU33" t="s">
        <v>626</v>
      </c>
      <c r="BV33" s="97" t="str">
        <f t="shared" si="2"/>
        <v>,A.`PromotionCode` = B.`PromotionCode`</v>
      </c>
      <c r="BW33" t="s">
        <v>626</v>
      </c>
      <c r="BX33" s="97" t="str">
        <f t="shared" si="3"/>
        <v>,`PromotionCode`</v>
      </c>
      <c r="BY33" t="s">
        <v>626</v>
      </c>
      <c r="BZ33" s="97" t="str">
        <f t="shared" si="4"/>
        <v>,`PromotionCode`</v>
      </c>
      <c r="CA33" t="s">
        <v>626</v>
      </c>
    </row>
    <row r="34" spans="1:79" ht="15" customHeight="1">
      <c r="A34" s="100" t="s">
        <v>971</v>
      </c>
      <c r="B34" s="23">
        <f t="shared" si="0"/>
        <v>14</v>
      </c>
      <c r="C34" s="24"/>
      <c r="D34" s="22" t="s">
        <v>646</v>
      </c>
      <c r="E34" s="25"/>
      <c r="F34" s="25"/>
      <c r="G34" s="25"/>
      <c r="H34" s="25"/>
      <c r="I34" s="25"/>
      <c r="J34" s="25"/>
      <c r="K34" s="25"/>
      <c r="L34" s="25"/>
      <c r="M34" s="25"/>
      <c r="N34" s="25"/>
      <c r="O34" s="25"/>
      <c r="P34" s="25"/>
      <c r="Q34" s="26"/>
      <c r="R34" s="22" t="s">
        <v>654</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varchar(2)</v>
      </c>
      <c r="AD34" s="25"/>
      <c r="AE34" s="25"/>
      <c r="AF34" s="25"/>
      <c r="AG34" s="26"/>
      <c r="AH34" s="22"/>
      <c r="AI34" s="26"/>
      <c r="AJ34" s="22" t="s">
        <v>885</v>
      </c>
      <c r="AK34" s="25"/>
      <c r="AL34" s="26"/>
      <c r="AM34" s="22"/>
      <c r="AN34" s="25"/>
      <c r="AO34" s="25"/>
      <c r="AP34" s="25"/>
      <c r="AQ34" s="25"/>
      <c r="AR34" s="25"/>
      <c r="AS34" s="26"/>
      <c r="AT34" s="22" t="s">
        <v>667</v>
      </c>
      <c r="AU34" s="25"/>
      <c r="AV34" s="25"/>
      <c r="AW34" s="25"/>
      <c r="AX34" s="25"/>
      <c r="AY34" s="25"/>
      <c r="AZ34" s="25"/>
      <c r="BA34" s="25"/>
      <c r="BB34" s="25"/>
      <c r="BC34" s="25"/>
      <c r="BD34" s="25"/>
      <c r="BE34" s="25"/>
      <c r="BF34" s="25"/>
      <c r="BG34" s="25"/>
      <c r="BH34" s="25"/>
      <c r="BI34" s="25"/>
      <c r="BJ34" s="26"/>
      <c r="BK34" s="4"/>
      <c r="BM34" t="s">
        <v>888</v>
      </c>
      <c r="BN34">
        <v>2</v>
      </c>
      <c r="BP34" t="str">
        <f t="shared" si="1"/>
        <v>,`DiscountTypeCode` varchar(2) NOT NULL COMMENT '値引タイプコード'</v>
      </c>
      <c r="BQ34" t="s">
        <v>626</v>
      </c>
      <c r="BR34" t="str">
        <f t="shared" si="5"/>
        <v>,`DiscountTypeCode` varchar(2) NOT NULL</v>
      </c>
      <c r="BS34" t="s">
        <v>626</v>
      </c>
      <c r="BT34" t="str">
        <f t="shared" si="6"/>
        <v>,`DiscountTypeCode` = if(nullif( @9,'') &gt; '', @9, null )</v>
      </c>
      <c r="BU34" t="s">
        <v>626</v>
      </c>
      <c r="BV34" s="97" t="str">
        <f t="shared" si="2"/>
        <v>,A.`DiscountTypeCode` = B.`DiscountTypeCode`</v>
      </c>
      <c r="BW34" t="s">
        <v>626</v>
      </c>
      <c r="BX34" s="97" t="str">
        <f t="shared" si="3"/>
        <v>,`DiscountTypeCode`</v>
      </c>
      <c r="BY34" t="s">
        <v>626</v>
      </c>
      <c r="BZ34" s="97" t="str">
        <f t="shared" si="4"/>
        <v>,`DiscountTypeCode`</v>
      </c>
      <c r="CA34" t="s">
        <v>626</v>
      </c>
    </row>
    <row r="35" spans="1:79" ht="15" customHeight="1">
      <c r="A35" s="100" t="s">
        <v>972</v>
      </c>
      <c r="B35" s="23">
        <f t="shared" si="0"/>
        <v>15</v>
      </c>
      <c r="C35" s="24"/>
      <c r="D35" s="22" t="s">
        <v>498</v>
      </c>
      <c r="E35" s="25"/>
      <c r="F35" s="25"/>
      <c r="G35" s="25"/>
      <c r="H35" s="25"/>
      <c r="I35" s="25"/>
      <c r="J35" s="25"/>
      <c r="K35" s="25"/>
      <c r="L35" s="25"/>
      <c r="M35" s="25"/>
      <c r="N35" s="25"/>
      <c r="O35" s="25"/>
      <c r="P35" s="25"/>
      <c r="Q35" s="26"/>
      <c r="R35" s="22" t="s">
        <v>515</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varchar(2)</v>
      </c>
      <c r="AD35" s="25"/>
      <c r="AE35" s="25"/>
      <c r="AF35" s="25"/>
      <c r="AG35" s="26"/>
      <c r="AH35" s="22"/>
      <c r="AI35" s="26"/>
      <c r="AJ35" s="22" t="s">
        <v>885</v>
      </c>
      <c r="AK35" s="25"/>
      <c r="AL35" s="26"/>
      <c r="AM35" s="22"/>
      <c r="AN35" s="25"/>
      <c r="AO35" s="25"/>
      <c r="AP35" s="25"/>
      <c r="AQ35" s="25"/>
      <c r="AR35" s="25"/>
      <c r="AS35" s="26"/>
      <c r="AT35" s="22" t="s">
        <v>668</v>
      </c>
      <c r="AU35" s="25"/>
      <c r="AV35" s="25"/>
      <c r="AW35" s="25"/>
      <c r="AX35" s="25"/>
      <c r="AY35" s="25"/>
      <c r="AZ35" s="25"/>
      <c r="BA35" s="25"/>
      <c r="BB35" s="25"/>
      <c r="BC35" s="25"/>
      <c r="BD35" s="25"/>
      <c r="BE35" s="25"/>
      <c r="BF35" s="25"/>
      <c r="BG35" s="25"/>
      <c r="BH35" s="25"/>
      <c r="BI35" s="25"/>
      <c r="BJ35" s="26"/>
      <c r="BK35" s="4"/>
      <c r="BM35" t="s">
        <v>888</v>
      </c>
      <c r="BN35">
        <v>2</v>
      </c>
      <c r="BP35" t="str">
        <f t="shared" si="1"/>
        <v>,`DiscountMethodCode` varchar(2) NOT NULL COMMENT '値引方法コード'</v>
      </c>
      <c r="BQ35" t="s">
        <v>626</v>
      </c>
      <c r="BR35" t="str">
        <f t="shared" si="5"/>
        <v>,`DiscountMethodCode` varchar(2) NOT NULL</v>
      </c>
      <c r="BS35" t="s">
        <v>626</v>
      </c>
      <c r="BT35" t="str">
        <f t="shared" si="6"/>
        <v>,`DiscountMethodCode` = if(nullif( @10,'') &gt; '', @10, null )</v>
      </c>
      <c r="BU35" t="s">
        <v>626</v>
      </c>
      <c r="BV35" s="97" t="str">
        <f t="shared" si="2"/>
        <v>,A.`DiscountMethodCode` = B.`DiscountMethodCode`</v>
      </c>
      <c r="BW35" t="s">
        <v>626</v>
      </c>
      <c r="BX35" s="97" t="str">
        <f t="shared" si="3"/>
        <v>,`DiscountMethodCode`</v>
      </c>
      <c r="BY35" t="s">
        <v>626</v>
      </c>
      <c r="BZ35" s="97" t="str">
        <f t="shared" si="4"/>
        <v>,`DiscountMethodCode`</v>
      </c>
      <c r="CA35" t="s">
        <v>626</v>
      </c>
    </row>
    <row r="36" spans="1:79" ht="15" customHeight="1">
      <c r="A36" s="100" t="s">
        <v>973</v>
      </c>
      <c r="B36" s="23">
        <f t="shared" si="0"/>
        <v>16</v>
      </c>
      <c r="C36" s="24"/>
      <c r="D36" s="22" t="s">
        <v>499</v>
      </c>
      <c r="E36" s="25"/>
      <c r="F36" s="25"/>
      <c r="G36" s="25"/>
      <c r="H36" s="25"/>
      <c r="I36" s="25"/>
      <c r="J36" s="25"/>
      <c r="K36" s="25"/>
      <c r="L36" s="25"/>
      <c r="M36" s="25"/>
      <c r="N36" s="25"/>
      <c r="O36" s="25"/>
      <c r="P36" s="25"/>
      <c r="Q36" s="26"/>
      <c r="R36" s="22" t="s">
        <v>516</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decimal(19,4)</v>
      </c>
      <c r="AD36" s="25"/>
      <c r="AE36" s="25"/>
      <c r="AF36" s="25"/>
      <c r="AG36" s="26"/>
      <c r="AH36" s="22"/>
      <c r="AI36" s="26"/>
      <c r="AJ36" s="22" t="s">
        <v>885</v>
      </c>
      <c r="AK36" s="25"/>
      <c r="AL36" s="26"/>
      <c r="AM36" s="22"/>
      <c r="AN36" s="25"/>
      <c r="AO36" s="25"/>
      <c r="AP36" s="25"/>
      <c r="AQ36" s="25"/>
      <c r="AR36" s="25"/>
      <c r="AS36" s="26"/>
      <c r="AT36" s="22" t="s">
        <v>669</v>
      </c>
      <c r="AU36" s="25"/>
      <c r="AV36" s="25"/>
      <c r="AW36" s="25"/>
      <c r="AX36" s="25"/>
      <c r="AY36" s="25"/>
      <c r="AZ36" s="25"/>
      <c r="BA36" s="25"/>
      <c r="BB36" s="25"/>
      <c r="BC36" s="25"/>
      <c r="BD36" s="25"/>
      <c r="BE36" s="25"/>
      <c r="BF36" s="25"/>
      <c r="BG36" s="25"/>
      <c r="BH36" s="25"/>
      <c r="BI36" s="25"/>
      <c r="BJ36" s="26"/>
      <c r="BK36" s="4"/>
      <c r="BM36" t="s">
        <v>891</v>
      </c>
      <c r="BP36" t="str">
        <f t="shared" si="1"/>
        <v>,`DiscountValue` decimal(19,4) NOT NULL COMMENT '値引金額/率'</v>
      </c>
      <c r="BQ36" t="s">
        <v>626</v>
      </c>
      <c r="BR36" t="str">
        <f t="shared" si="5"/>
        <v>,`DiscountValue` decimal(19,4) NOT NULL</v>
      </c>
      <c r="BS36" t="s">
        <v>626</v>
      </c>
      <c r="BT36" t="str">
        <f t="shared" si="6"/>
        <v>,`DiscountValue` = if(nullif( @11,'') &gt; '', @11, null )</v>
      </c>
      <c r="BU36" t="s">
        <v>626</v>
      </c>
      <c r="BV36" s="97" t="str">
        <f t="shared" si="2"/>
        <v>,A.`DiscountValue` = B.`DiscountValue`</v>
      </c>
      <c r="BW36" t="s">
        <v>626</v>
      </c>
      <c r="BX36" s="97" t="str">
        <f t="shared" si="3"/>
        <v>,`DiscountValue`</v>
      </c>
      <c r="BY36" t="s">
        <v>626</v>
      </c>
      <c r="BZ36" s="97" t="str">
        <f t="shared" si="4"/>
        <v>,`DiscountValue`</v>
      </c>
      <c r="CA36" t="s">
        <v>626</v>
      </c>
    </row>
    <row r="37" spans="1:79" ht="15" customHeight="1">
      <c r="A37" s="100" t="s">
        <v>974</v>
      </c>
      <c r="B37" s="23">
        <f t="shared" si="0"/>
        <v>17</v>
      </c>
      <c r="C37" s="24"/>
      <c r="D37" s="22" t="s">
        <v>647</v>
      </c>
      <c r="E37" s="25"/>
      <c r="F37" s="25"/>
      <c r="G37" s="25"/>
      <c r="H37" s="25"/>
      <c r="I37" s="25"/>
      <c r="J37" s="25"/>
      <c r="K37" s="25"/>
      <c r="L37" s="25"/>
      <c r="M37" s="25"/>
      <c r="N37" s="25"/>
      <c r="O37" s="25"/>
      <c r="P37" s="25"/>
      <c r="Q37" s="26"/>
      <c r="R37" s="22" t="s">
        <v>655</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datetime</v>
      </c>
      <c r="AD37" s="25"/>
      <c r="AE37" s="25"/>
      <c r="AF37" s="25"/>
      <c r="AG37" s="26"/>
      <c r="AH37" s="22">
        <v>7</v>
      </c>
      <c r="AI37" s="26"/>
      <c r="AJ37" s="22" t="s">
        <v>885</v>
      </c>
      <c r="AK37" s="25"/>
      <c r="AL37" s="26"/>
      <c r="AM37" s="22"/>
      <c r="AN37" s="25"/>
      <c r="AO37" s="25"/>
      <c r="AP37" s="25"/>
      <c r="AQ37" s="25"/>
      <c r="AR37" s="25"/>
      <c r="AS37" s="26"/>
      <c r="AT37" s="22" t="s">
        <v>670</v>
      </c>
      <c r="AU37" s="25"/>
      <c r="AV37" s="25"/>
      <c r="AW37" s="25"/>
      <c r="AX37" s="25"/>
      <c r="AY37" s="25"/>
      <c r="AZ37" s="25"/>
      <c r="BA37" s="25"/>
      <c r="BB37" s="25"/>
      <c r="BC37" s="25"/>
      <c r="BD37" s="25"/>
      <c r="BE37" s="25"/>
      <c r="BF37" s="25"/>
      <c r="BG37" s="25"/>
      <c r="BH37" s="25"/>
      <c r="BI37" s="25"/>
      <c r="BJ37" s="26"/>
      <c r="BK37" s="4"/>
      <c r="BM37" t="s">
        <v>898</v>
      </c>
      <c r="BN37">
        <v>7</v>
      </c>
      <c r="BP37" t="str">
        <f t="shared" si="1"/>
        <v>,`ApplyDateTime` datetime NOT NULL COMMENT '適用開始日時'</v>
      </c>
      <c r="BQ37" t="s">
        <v>626</v>
      </c>
      <c r="BR37" t="str">
        <f t="shared" si="5"/>
        <v>,`ApplyDateTime` datetime NOT NULL</v>
      </c>
      <c r="BS37" t="s">
        <v>626</v>
      </c>
      <c r="BT37" t="str">
        <f t="shared" si="6"/>
        <v>,`ApplyDateTime` = if(@12 &gt; '0000-00-00 00:00:00', if(@12 &gt; '2999-12-31 23:59:59', '2999-12-31 23:59:59', @12), null)</v>
      </c>
      <c r="BU37" t="s">
        <v>626</v>
      </c>
      <c r="BV37" s="97" t="str">
        <f t="shared" si="2"/>
        <v>,A.`ApplyDateTime` = B.`ApplyDateTime`</v>
      </c>
      <c r="BW37" t="s">
        <v>626</v>
      </c>
      <c r="BX37" s="97" t="str">
        <f t="shared" si="3"/>
        <v>,`ApplyDateTime`</v>
      </c>
      <c r="BY37" t="s">
        <v>626</v>
      </c>
      <c r="BZ37" s="97" t="str">
        <f t="shared" si="4"/>
        <v>,`ApplyDateTime`</v>
      </c>
      <c r="CA37" t="s">
        <v>626</v>
      </c>
    </row>
    <row r="38" spans="1:79" ht="15" customHeight="1">
      <c r="A38" s="100" t="s">
        <v>975</v>
      </c>
      <c r="B38" s="23">
        <f t="shared" si="0"/>
        <v>18</v>
      </c>
      <c r="C38" s="24"/>
      <c r="D38" s="22" t="s">
        <v>504</v>
      </c>
      <c r="E38" s="25"/>
      <c r="F38" s="25"/>
      <c r="G38" s="25"/>
      <c r="H38" s="25"/>
      <c r="I38" s="25"/>
      <c r="J38" s="25"/>
      <c r="K38" s="25"/>
      <c r="L38" s="25"/>
      <c r="M38" s="25"/>
      <c r="N38" s="25"/>
      <c r="O38" s="25"/>
      <c r="P38" s="25"/>
      <c r="Q38" s="26"/>
      <c r="R38" s="22" t="s">
        <v>521</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datetime</v>
      </c>
      <c r="AD38" s="25"/>
      <c r="AE38" s="25"/>
      <c r="AF38" s="25"/>
      <c r="AG38" s="26"/>
      <c r="AH38" s="22"/>
      <c r="AI38" s="26"/>
      <c r="AJ38" s="22" t="s">
        <v>885</v>
      </c>
      <c r="AK38" s="25"/>
      <c r="AL38" s="26"/>
      <c r="AM38" s="22"/>
      <c r="AN38" s="25"/>
      <c r="AO38" s="25"/>
      <c r="AP38" s="25"/>
      <c r="AQ38" s="25"/>
      <c r="AR38" s="25"/>
      <c r="AS38" s="26"/>
      <c r="AT38" s="22" t="s">
        <v>504</v>
      </c>
      <c r="AU38" s="25"/>
      <c r="AV38" s="25"/>
      <c r="AW38" s="25"/>
      <c r="AX38" s="25"/>
      <c r="AY38" s="25"/>
      <c r="AZ38" s="25"/>
      <c r="BA38" s="25"/>
      <c r="BB38" s="25"/>
      <c r="BC38" s="25"/>
      <c r="BD38" s="25"/>
      <c r="BE38" s="25"/>
      <c r="BF38" s="25"/>
      <c r="BG38" s="25"/>
      <c r="BH38" s="25"/>
      <c r="BI38" s="25"/>
      <c r="BJ38" s="26"/>
      <c r="BK38" s="4"/>
      <c r="BM38" t="s">
        <v>898</v>
      </c>
      <c r="BN38">
        <v>7</v>
      </c>
      <c r="BP38" t="str">
        <f t="shared" si="1"/>
        <v>,`StartDateTime` datetime NOT NULL COMMENT '開始日時'</v>
      </c>
      <c r="BQ38" t="s">
        <v>626</v>
      </c>
      <c r="BR38" t="str">
        <f t="shared" si="5"/>
        <v>,`StartDateTime` datetime NOT NULL</v>
      </c>
      <c r="BS38" t="s">
        <v>626</v>
      </c>
      <c r="BT38" t="str">
        <f t="shared" si="6"/>
        <v>,`StartDateTime` = if(@13 &gt; '0000-00-00 00:00:00', if(@13 &gt; '2999-12-31 23:59:59', '2999-12-31 23:59:59', @13), null)</v>
      </c>
      <c r="BU38" t="s">
        <v>626</v>
      </c>
      <c r="BV38" s="97" t="str">
        <f t="shared" si="2"/>
        <v>,A.`StartDateTime` = B.`StartDateTime`</v>
      </c>
      <c r="BW38" t="s">
        <v>626</v>
      </c>
      <c r="BX38" s="97" t="str">
        <f t="shared" si="3"/>
        <v>,`StartDateTime`</v>
      </c>
      <c r="BY38" t="s">
        <v>626</v>
      </c>
      <c r="BZ38" s="97" t="str">
        <f t="shared" si="4"/>
        <v>,`StartDateTime`</v>
      </c>
      <c r="CA38" t="s">
        <v>626</v>
      </c>
    </row>
    <row r="39" spans="1:79" ht="15" customHeight="1">
      <c r="A39" s="100" t="s">
        <v>976</v>
      </c>
      <c r="B39" s="23">
        <f t="shared" si="0"/>
        <v>19</v>
      </c>
      <c r="C39" s="24"/>
      <c r="D39" s="22" t="s">
        <v>505</v>
      </c>
      <c r="E39" s="25"/>
      <c r="F39" s="25"/>
      <c r="G39" s="25"/>
      <c r="H39" s="25"/>
      <c r="I39" s="25"/>
      <c r="J39" s="25"/>
      <c r="K39" s="25"/>
      <c r="L39" s="25"/>
      <c r="M39" s="25"/>
      <c r="N39" s="25"/>
      <c r="O39" s="25"/>
      <c r="P39" s="25"/>
      <c r="Q39" s="26"/>
      <c r="R39" s="22" t="s">
        <v>522</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datetime</v>
      </c>
      <c r="AD39" s="25"/>
      <c r="AE39" s="25"/>
      <c r="AF39" s="25"/>
      <c r="AG39" s="26"/>
      <c r="AH39" s="22"/>
      <c r="AI39" s="26"/>
      <c r="AJ39" s="22" t="s">
        <v>885</v>
      </c>
      <c r="AK39" s="25"/>
      <c r="AL39" s="26"/>
      <c r="AM39" s="22"/>
      <c r="AN39" s="25"/>
      <c r="AO39" s="25"/>
      <c r="AP39" s="25"/>
      <c r="AQ39" s="25"/>
      <c r="AR39" s="25"/>
      <c r="AS39" s="26"/>
      <c r="AT39" s="22" t="s">
        <v>505</v>
      </c>
      <c r="AU39" s="25"/>
      <c r="AV39" s="25"/>
      <c r="AW39" s="25"/>
      <c r="AX39" s="25"/>
      <c r="AY39" s="25"/>
      <c r="AZ39" s="25"/>
      <c r="BA39" s="25"/>
      <c r="BB39" s="25"/>
      <c r="BC39" s="25"/>
      <c r="BD39" s="25"/>
      <c r="BE39" s="25"/>
      <c r="BF39" s="25"/>
      <c r="BG39" s="25"/>
      <c r="BH39" s="25"/>
      <c r="BI39" s="25"/>
      <c r="BJ39" s="26"/>
      <c r="BK39" s="4"/>
      <c r="BM39" t="s">
        <v>898</v>
      </c>
      <c r="BN39">
        <v>7</v>
      </c>
      <c r="BP39" t="str">
        <f t="shared" si="1"/>
        <v>,`EndDateTime` datetime NOT NULL COMMENT '終了日時'</v>
      </c>
      <c r="BQ39" t="s">
        <v>626</v>
      </c>
      <c r="BR39" t="str">
        <f t="shared" si="5"/>
        <v>,`EndDateTime` datetime NOT NULL</v>
      </c>
      <c r="BS39" t="s">
        <v>626</v>
      </c>
      <c r="BT39" t="str">
        <f t="shared" si="6"/>
        <v>,`EndDateTime` = if(@14 &gt; '0000-00-00 00:00:00', if(@14 &gt; '2999-12-31 23:59:59', '2999-12-31 23:59:59', @14), null)</v>
      </c>
      <c r="BU39" t="s">
        <v>626</v>
      </c>
      <c r="BV39" s="97" t="str">
        <f t="shared" si="2"/>
        <v>,A.`EndDateTime` = B.`EndDateTime`</v>
      </c>
      <c r="BW39" t="s">
        <v>626</v>
      </c>
      <c r="BX39" s="97" t="str">
        <f t="shared" si="3"/>
        <v>,`EndDateTime`</v>
      </c>
      <c r="BY39" t="s">
        <v>626</v>
      </c>
      <c r="BZ39" s="97" t="str">
        <f t="shared" si="4"/>
        <v>,`EndDateTime`</v>
      </c>
      <c r="CA39" t="s">
        <v>626</v>
      </c>
    </row>
    <row r="40" spans="1:79" ht="15" customHeight="1">
      <c r="A40" s="100" t="s">
        <v>977</v>
      </c>
      <c r="B40" s="23">
        <f t="shared" si="0"/>
        <v>20</v>
      </c>
      <c r="C40" s="24"/>
      <c r="D40" s="22" t="s">
        <v>648</v>
      </c>
      <c r="E40" s="25"/>
      <c r="F40" s="25"/>
      <c r="G40" s="25"/>
      <c r="H40" s="25"/>
      <c r="I40" s="25"/>
      <c r="J40" s="25"/>
      <c r="K40" s="25"/>
      <c r="L40" s="25"/>
      <c r="M40" s="25"/>
      <c r="N40" s="25"/>
      <c r="O40" s="25"/>
      <c r="P40" s="25"/>
      <c r="Q40" s="26"/>
      <c r="R40" s="22" t="s">
        <v>656</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time</v>
      </c>
      <c r="AD40" s="25"/>
      <c r="AE40" s="25"/>
      <c r="AF40" s="25"/>
      <c r="AG40" s="26"/>
      <c r="AH40" s="22"/>
      <c r="AI40" s="26"/>
      <c r="AJ40" s="22"/>
      <c r="AK40" s="25"/>
      <c r="AL40" s="26"/>
      <c r="AM40" s="22"/>
      <c r="AN40" s="25"/>
      <c r="AO40" s="25"/>
      <c r="AP40" s="25"/>
      <c r="AQ40" s="25"/>
      <c r="AR40" s="25"/>
      <c r="AS40" s="26"/>
      <c r="AT40" s="22" t="s">
        <v>671</v>
      </c>
      <c r="AU40" s="25"/>
      <c r="AV40" s="25"/>
      <c r="AW40" s="25"/>
      <c r="AX40" s="25"/>
      <c r="AY40" s="25"/>
      <c r="AZ40" s="25"/>
      <c r="BA40" s="25"/>
      <c r="BB40" s="25"/>
      <c r="BC40" s="25"/>
      <c r="BD40" s="25"/>
      <c r="BE40" s="25"/>
      <c r="BF40" s="25"/>
      <c r="BG40" s="25"/>
      <c r="BH40" s="25"/>
      <c r="BI40" s="25"/>
      <c r="BJ40" s="26"/>
      <c r="BK40" s="4"/>
      <c r="BM40" t="s">
        <v>684</v>
      </c>
      <c r="BN40">
        <v>7</v>
      </c>
      <c r="BP40" t="str">
        <f t="shared" si="1"/>
        <v>,`StartServiceTime` time  COMMENT '開始サービス時間'</v>
      </c>
      <c r="BQ40" t="s">
        <v>626</v>
      </c>
      <c r="BR40" t="str">
        <f t="shared" si="5"/>
        <v xml:space="preserve">,`StartServiceTime` time </v>
      </c>
      <c r="BS40" t="s">
        <v>626</v>
      </c>
      <c r="BT40" t="str">
        <f t="shared" si="6"/>
        <v>,`StartServiceTime` = if(nullif( @15,'') &gt; '', @15, null )</v>
      </c>
      <c r="BU40" t="s">
        <v>626</v>
      </c>
      <c r="BV40" s="97" t="str">
        <f t="shared" si="2"/>
        <v>,A.`StartServiceTime` = B.`StartServiceTime`</v>
      </c>
      <c r="BW40" t="s">
        <v>626</v>
      </c>
      <c r="BX40" s="97" t="str">
        <f t="shared" si="3"/>
        <v>,`StartServiceTime`</v>
      </c>
      <c r="BY40" t="s">
        <v>626</v>
      </c>
      <c r="BZ40" s="97" t="str">
        <f t="shared" si="4"/>
        <v>,`StartServiceTime`</v>
      </c>
      <c r="CA40" t="s">
        <v>626</v>
      </c>
    </row>
    <row r="41" spans="1:79" ht="15" customHeight="1">
      <c r="A41" s="100" t="s">
        <v>978</v>
      </c>
      <c r="B41" s="23">
        <f t="shared" si="0"/>
        <v>21</v>
      </c>
      <c r="C41" s="24"/>
      <c r="D41" s="22" t="s">
        <v>649</v>
      </c>
      <c r="E41" s="25"/>
      <c r="F41" s="25"/>
      <c r="G41" s="25"/>
      <c r="H41" s="25"/>
      <c r="I41" s="25"/>
      <c r="J41" s="25"/>
      <c r="K41" s="25"/>
      <c r="L41" s="25"/>
      <c r="M41" s="25"/>
      <c r="N41" s="25"/>
      <c r="O41" s="25"/>
      <c r="P41" s="25"/>
      <c r="Q41" s="26"/>
      <c r="R41" s="22" t="s">
        <v>657</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time</v>
      </c>
      <c r="AD41" s="25"/>
      <c r="AE41" s="25"/>
      <c r="AF41" s="25"/>
      <c r="AG41" s="26"/>
      <c r="AH41" s="22"/>
      <c r="AI41" s="26"/>
      <c r="AJ41" s="22"/>
      <c r="AK41" s="25"/>
      <c r="AL41" s="26"/>
      <c r="AM41" s="22"/>
      <c r="AN41" s="25"/>
      <c r="AO41" s="25"/>
      <c r="AP41" s="25"/>
      <c r="AQ41" s="25"/>
      <c r="AR41" s="25"/>
      <c r="AS41" s="26"/>
      <c r="AT41" s="22" t="s">
        <v>672</v>
      </c>
      <c r="AU41" s="25"/>
      <c r="AV41" s="25"/>
      <c r="AW41" s="25"/>
      <c r="AX41" s="25"/>
      <c r="AY41" s="25"/>
      <c r="AZ41" s="25"/>
      <c r="BA41" s="25"/>
      <c r="BB41" s="25"/>
      <c r="BC41" s="25"/>
      <c r="BD41" s="25"/>
      <c r="BE41" s="25"/>
      <c r="BF41" s="25"/>
      <c r="BG41" s="25"/>
      <c r="BH41" s="25"/>
      <c r="BI41" s="25"/>
      <c r="BJ41" s="26"/>
      <c r="BK41" s="4"/>
      <c r="BM41" t="s">
        <v>684</v>
      </c>
      <c r="BN41">
        <v>7</v>
      </c>
      <c r="BP41" t="str">
        <f t="shared" si="1"/>
        <v>,`EndServiceTime` time  COMMENT '終了サービス時間'</v>
      </c>
      <c r="BQ41" t="s">
        <v>626</v>
      </c>
      <c r="BR41" t="str">
        <f t="shared" si="5"/>
        <v xml:space="preserve">,`EndServiceTime` time </v>
      </c>
      <c r="BS41" t="s">
        <v>626</v>
      </c>
      <c r="BT41" t="str">
        <f t="shared" si="6"/>
        <v>,`EndServiceTime` = if(nullif( @16,'') &gt; '', @16, null )</v>
      </c>
      <c r="BU41" t="s">
        <v>626</v>
      </c>
      <c r="BV41" s="97" t="str">
        <f t="shared" si="2"/>
        <v>,A.`EndServiceTime` = B.`EndServiceTime`</v>
      </c>
      <c r="BW41" t="s">
        <v>626</v>
      </c>
      <c r="BX41" s="97" t="str">
        <f t="shared" si="3"/>
        <v>,`EndServiceTime`</v>
      </c>
      <c r="BY41" t="s">
        <v>626</v>
      </c>
      <c r="BZ41" s="97" t="str">
        <f t="shared" si="4"/>
        <v>,`EndServiceTime`</v>
      </c>
      <c r="CA41" t="s">
        <v>626</v>
      </c>
    </row>
    <row r="42" spans="1:79" ht="15" customHeight="1">
      <c r="A42" s="100" t="s">
        <v>979</v>
      </c>
      <c r="B42" s="23">
        <f t="shared" si="0"/>
        <v>22</v>
      </c>
      <c r="C42" s="24"/>
      <c r="D42" s="22" t="s">
        <v>506</v>
      </c>
      <c r="E42" s="25"/>
      <c r="F42" s="25"/>
      <c r="G42" s="25"/>
      <c r="H42" s="25"/>
      <c r="I42" s="25"/>
      <c r="J42" s="25"/>
      <c r="K42" s="25"/>
      <c r="L42" s="25"/>
      <c r="M42" s="25"/>
      <c r="N42" s="25"/>
      <c r="O42" s="25"/>
      <c r="P42" s="25"/>
      <c r="Q42" s="26"/>
      <c r="R42" s="22" t="s">
        <v>523</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smallint</v>
      </c>
      <c r="AD42" s="25"/>
      <c r="AE42" s="25"/>
      <c r="AF42" s="25"/>
      <c r="AG42" s="26"/>
      <c r="AH42" s="22"/>
      <c r="AI42" s="26"/>
      <c r="AJ42" s="22" t="s">
        <v>885</v>
      </c>
      <c r="AK42" s="25"/>
      <c r="AL42" s="26"/>
      <c r="AM42" s="22"/>
      <c r="AN42" s="25"/>
      <c r="AO42" s="25"/>
      <c r="AP42" s="25"/>
      <c r="AQ42" s="25"/>
      <c r="AR42" s="25"/>
      <c r="AS42" s="26"/>
      <c r="AT42" s="22" t="s">
        <v>673</v>
      </c>
      <c r="AU42" s="25"/>
      <c r="AV42" s="25"/>
      <c r="AW42" s="25"/>
      <c r="AX42" s="25"/>
      <c r="AY42" s="25"/>
      <c r="AZ42" s="25"/>
      <c r="BA42" s="25"/>
      <c r="BB42" s="25"/>
      <c r="BC42" s="25"/>
      <c r="BD42" s="25"/>
      <c r="BE42" s="25"/>
      <c r="BF42" s="25"/>
      <c r="BG42" s="25"/>
      <c r="BH42" s="25"/>
      <c r="BI42" s="25"/>
      <c r="BJ42" s="26"/>
      <c r="BK42" s="4"/>
      <c r="BM42" t="s">
        <v>623</v>
      </c>
      <c r="BP42" t="str">
        <f t="shared" si="1"/>
        <v>,`DateCategorizeTypeCode` smallint NOT NULL COMMENT '採用曜日区分'</v>
      </c>
      <c r="BQ42" t="s">
        <v>626</v>
      </c>
      <c r="BR42" t="str">
        <f t="shared" si="5"/>
        <v>,`DateCategorizeTypeCode` smallint NOT NULL</v>
      </c>
      <c r="BS42" t="s">
        <v>626</v>
      </c>
      <c r="BT42" t="str">
        <f t="shared" si="6"/>
        <v>,`DateCategorizeTypeCode` = if(nullif( @17,'') &gt; '', @17, null )</v>
      </c>
      <c r="BU42" t="s">
        <v>626</v>
      </c>
      <c r="BV42" s="97" t="str">
        <f t="shared" si="2"/>
        <v>,A.`DateCategorizeTypeCode` = B.`DateCategorizeTypeCode`</v>
      </c>
      <c r="BW42" t="s">
        <v>626</v>
      </c>
      <c r="BX42" s="97" t="str">
        <f t="shared" si="3"/>
        <v>,`DateCategorizeTypeCode`</v>
      </c>
      <c r="BY42" t="s">
        <v>626</v>
      </c>
      <c r="BZ42" s="97" t="str">
        <f t="shared" si="4"/>
        <v>,`DateCategorizeTypeCode`</v>
      </c>
      <c r="CA42" t="s">
        <v>626</v>
      </c>
    </row>
    <row r="43" spans="1:79" ht="15" customHeight="1">
      <c r="A43" s="100" t="s">
        <v>980</v>
      </c>
      <c r="B43" s="23">
        <f t="shared" si="0"/>
        <v>23</v>
      </c>
      <c r="C43" s="24"/>
      <c r="D43" s="22" t="s">
        <v>507</v>
      </c>
      <c r="E43" s="25"/>
      <c r="F43" s="25"/>
      <c r="G43" s="25"/>
      <c r="H43" s="25"/>
      <c r="I43" s="25"/>
      <c r="J43" s="25"/>
      <c r="K43" s="25"/>
      <c r="L43" s="25"/>
      <c r="M43" s="25"/>
      <c r="N43" s="25"/>
      <c r="O43" s="25"/>
      <c r="P43" s="25"/>
      <c r="Q43" s="26"/>
      <c r="R43" s="22" t="s">
        <v>524</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char(1)</v>
      </c>
      <c r="AD43" s="25"/>
      <c r="AE43" s="25"/>
      <c r="AF43" s="25"/>
      <c r="AG43" s="26"/>
      <c r="AH43" s="22"/>
      <c r="AI43" s="26"/>
      <c r="AJ43" s="22" t="s">
        <v>885</v>
      </c>
      <c r="AK43" s="25"/>
      <c r="AL43" s="26"/>
      <c r="AM43" s="22"/>
      <c r="AN43" s="25"/>
      <c r="AO43" s="25"/>
      <c r="AP43" s="25"/>
      <c r="AQ43" s="25"/>
      <c r="AR43" s="25"/>
      <c r="AS43" s="26"/>
      <c r="AT43" s="22" t="s">
        <v>674</v>
      </c>
      <c r="AU43" s="25"/>
      <c r="AV43" s="25"/>
      <c r="AW43" s="25"/>
      <c r="AX43" s="25"/>
      <c r="AY43" s="25"/>
      <c r="AZ43" s="25"/>
      <c r="BA43" s="25"/>
      <c r="BB43" s="25"/>
      <c r="BC43" s="25"/>
      <c r="BD43" s="25"/>
      <c r="BE43" s="25"/>
      <c r="BF43" s="25"/>
      <c r="BG43" s="25"/>
      <c r="BH43" s="25"/>
      <c r="BI43" s="25"/>
      <c r="BJ43" s="26"/>
      <c r="BK43" s="4"/>
      <c r="BM43" t="s">
        <v>896</v>
      </c>
      <c r="BP43" t="str">
        <f t="shared" si="1"/>
        <v>,`IsMonday` char(1) NOT NULL COMMENT '月曜日実施フラグ'</v>
      </c>
      <c r="BQ43" t="s">
        <v>626</v>
      </c>
      <c r="BR43" t="str">
        <f t="shared" si="5"/>
        <v>,`IsMonday` char(1) NOT NULL</v>
      </c>
      <c r="BS43" t="s">
        <v>626</v>
      </c>
      <c r="BT43" t="str">
        <f t="shared" si="6"/>
        <v>,`IsMonday` = if(nullif( @18,'') &gt; '', @18, null )</v>
      </c>
      <c r="BU43" t="s">
        <v>626</v>
      </c>
      <c r="BV43" s="97" t="str">
        <f t="shared" si="2"/>
        <v>,A.`IsMonday` = B.`IsMonday`</v>
      </c>
      <c r="BW43" t="s">
        <v>626</v>
      </c>
      <c r="BX43" s="97" t="str">
        <f t="shared" si="3"/>
        <v>,`IsMonday`</v>
      </c>
      <c r="BY43" t="s">
        <v>626</v>
      </c>
      <c r="BZ43" s="97" t="str">
        <f t="shared" si="4"/>
        <v>,`IsMonday`</v>
      </c>
      <c r="CA43" t="s">
        <v>626</v>
      </c>
    </row>
    <row r="44" spans="1:79" ht="15" customHeight="1">
      <c r="A44" s="100" t="s">
        <v>981</v>
      </c>
      <c r="B44" s="23">
        <f t="shared" si="0"/>
        <v>24</v>
      </c>
      <c r="C44" s="24"/>
      <c r="D44" s="22" t="s">
        <v>508</v>
      </c>
      <c r="E44" s="25"/>
      <c r="F44" s="25"/>
      <c r="G44" s="25"/>
      <c r="H44" s="25"/>
      <c r="I44" s="25"/>
      <c r="J44" s="25"/>
      <c r="K44" s="25"/>
      <c r="L44" s="25"/>
      <c r="M44" s="25"/>
      <c r="N44" s="25"/>
      <c r="O44" s="25"/>
      <c r="P44" s="25"/>
      <c r="Q44" s="26"/>
      <c r="R44" s="22" t="s">
        <v>525</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char(1)</v>
      </c>
      <c r="AD44" s="25"/>
      <c r="AE44" s="25"/>
      <c r="AF44" s="25"/>
      <c r="AG44" s="26"/>
      <c r="AH44" s="22"/>
      <c r="AI44" s="26"/>
      <c r="AJ44" s="22" t="s">
        <v>885</v>
      </c>
      <c r="AK44" s="25"/>
      <c r="AL44" s="26"/>
      <c r="AM44" s="22"/>
      <c r="AN44" s="25"/>
      <c r="AO44" s="25"/>
      <c r="AP44" s="25"/>
      <c r="AQ44" s="25"/>
      <c r="AR44" s="25"/>
      <c r="AS44" s="26"/>
      <c r="AT44" s="22" t="s">
        <v>675</v>
      </c>
      <c r="AU44" s="25"/>
      <c r="AV44" s="25"/>
      <c r="AW44" s="25"/>
      <c r="AX44" s="25"/>
      <c r="AY44" s="25"/>
      <c r="AZ44" s="25"/>
      <c r="BA44" s="25"/>
      <c r="BB44" s="25"/>
      <c r="BC44" s="25"/>
      <c r="BD44" s="25"/>
      <c r="BE44" s="25"/>
      <c r="BF44" s="25"/>
      <c r="BG44" s="25"/>
      <c r="BH44" s="25"/>
      <c r="BI44" s="25"/>
      <c r="BJ44" s="26"/>
      <c r="BK44" s="4"/>
      <c r="BM44" t="s">
        <v>896</v>
      </c>
      <c r="BP44" t="str">
        <f t="shared" si="1"/>
        <v>,`IsTuesday` char(1) NOT NULL COMMENT '火曜日実施フラグ'</v>
      </c>
      <c r="BQ44" t="s">
        <v>626</v>
      </c>
      <c r="BR44" t="str">
        <f t="shared" si="5"/>
        <v>,`IsTuesday` char(1) NOT NULL</v>
      </c>
      <c r="BS44" t="s">
        <v>626</v>
      </c>
      <c r="BT44" t="str">
        <f t="shared" si="6"/>
        <v>,`IsTuesday` = if(nullif( @19,'') &gt; '', @19, null )</v>
      </c>
      <c r="BU44" t="s">
        <v>626</v>
      </c>
      <c r="BV44" s="97" t="str">
        <f t="shared" si="2"/>
        <v>,A.`IsTuesday` = B.`IsTuesday`</v>
      </c>
      <c r="BW44" t="s">
        <v>626</v>
      </c>
      <c r="BX44" s="97" t="str">
        <f t="shared" si="3"/>
        <v>,`IsTuesday`</v>
      </c>
      <c r="BY44" t="s">
        <v>626</v>
      </c>
      <c r="BZ44" s="97" t="str">
        <f t="shared" si="4"/>
        <v>,`IsTuesday`</v>
      </c>
      <c r="CA44" t="s">
        <v>626</v>
      </c>
    </row>
    <row r="45" spans="1:79" ht="15" customHeight="1">
      <c r="A45" s="100" t="s">
        <v>982</v>
      </c>
      <c r="B45" s="23">
        <f t="shared" si="0"/>
        <v>25</v>
      </c>
      <c r="C45" s="24"/>
      <c r="D45" s="22" t="s">
        <v>509</v>
      </c>
      <c r="E45" s="25"/>
      <c r="F45" s="25"/>
      <c r="G45" s="25"/>
      <c r="H45" s="25"/>
      <c r="I45" s="25"/>
      <c r="J45" s="25"/>
      <c r="K45" s="25"/>
      <c r="L45" s="25"/>
      <c r="M45" s="25"/>
      <c r="N45" s="25"/>
      <c r="O45" s="25"/>
      <c r="P45" s="25"/>
      <c r="Q45" s="26"/>
      <c r="R45" s="22" t="s">
        <v>526</v>
      </c>
      <c r="S45" s="25"/>
      <c r="T45" s="25"/>
      <c r="U45" s="25"/>
      <c r="V45" s="25"/>
      <c r="W45" s="25"/>
      <c r="X45" s="25"/>
      <c r="Y45" s="25"/>
      <c r="Z45" s="25"/>
      <c r="AA45" s="25"/>
      <c r="AB45" s="26"/>
      <c r="AC45" s="22" t="str" cm="1">
        <f t="array" ref="AC45">_xlfn.SWITCH(BM45,"nvarchar","varchar("&amp;BN45&amp;")","smallint","smallint","date","date","money","decimal(19,4)","numeric","numeric("&amp;BN45&amp;")","int","int","bit","char(1)","datetime2","datetime","time","time")</f>
        <v>char(1)</v>
      </c>
      <c r="AD45" s="25"/>
      <c r="AE45" s="25"/>
      <c r="AF45" s="25"/>
      <c r="AG45" s="26"/>
      <c r="AH45" s="22"/>
      <c r="AI45" s="26"/>
      <c r="AJ45" s="22" t="s">
        <v>885</v>
      </c>
      <c r="AK45" s="25"/>
      <c r="AL45" s="26"/>
      <c r="AM45" s="22"/>
      <c r="AN45" s="25"/>
      <c r="AO45" s="25"/>
      <c r="AP45" s="25"/>
      <c r="AQ45" s="25"/>
      <c r="AR45" s="25"/>
      <c r="AS45" s="26"/>
      <c r="AT45" s="22" t="s">
        <v>676</v>
      </c>
      <c r="AU45" s="25"/>
      <c r="AV45" s="25"/>
      <c r="AW45" s="25"/>
      <c r="AX45" s="25"/>
      <c r="AY45" s="25"/>
      <c r="AZ45" s="25"/>
      <c r="BA45" s="25"/>
      <c r="BB45" s="25"/>
      <c r="BC45" s="25"/>
      <c r="BD45" s="25"/>
      <c r="BE45" s="25"/>
      <c r="BF45" s="25"/>
      <c r="BG45" s="25"/>
      <c r="BH45" s="25"/>
      <c r="BI45" s="25"/>
      <c r="BJ45" s="26"/>
      <c r="BK45" s="4"/>
      <c r="BM45" t="s">
        <v>896</v>
      </c>
      <c r="BP45" t="str">
        <f t="shared" si="1"/>
        <v>,`IsWednesday` char(1) NOT NULL COMMENT '水曜日実施フラグ'</v>
      </c>
      <c r="BQ45" t="s">
        <v>626</v>
      </c>
      <c r="BR45" t="str">
        <f t="shared" si="5"/>
        <v>,`IsWednesday` char(1) NOT NULL</v>
      </c>
      <c r="BS45" t="s">
        <v>626</v>
      </c>
      <c r="BT45" t="str">
        <f t="shared" si="6"/>
        <v>,`IsWednesday` = if(nullif( @20,'') &gt; '', @20, null )</v>
      </c>
      <c r="BU45" t="s">
        <v>626</v>
      </c>
      <c r="BV45" s="97" t="str">
        <f t="shared" si="2"/>
        <v>,A.`IsWednesday` = B.`IsWednesday`</v>
      </c>
      <c r="BW45" t="s">
        <v>626</v>
      </c>
      <c r="BX45" s="97" t="str">
        <f t="shared" si="3"/>
        <v>,`IsWednesday`</v>
      </c>
      <c r="BY45" t="s">
        <v>626</v>
      </c>
      <c r="BZ45" s="97" t="str">
        <f t="shared" si="4"/>
        <v>,`IsWednesday`</v>
      </c>
      <c r="CA45" t="s">
        <v>626</v>
      </c>
    </row>
    <row r="46" spans="1:79" ht="15" customHeight="1">
      <c r="A46" s="100" t="s">
        <v>983</v>
      </c>
      <c r="B46" s="23">
        <f t="shared" si="0"/>
        <v>26</v>
      </c>
      <c r="C46" s="24"/>
      <c r="D46" s="22" t="s">
        <v>510</v>
      </c>
      <c r="E46" s="25"/>
      <c r="F46" s="25"/>
      <c r="G46" s="25"/>
      <c r="H46" s="25"/>
      <c r="I46" s="25"/>
      <c r="J46" s="25"/>
      <c r="K46" s="25"/>
      <c r="L46" s="25"/>
      <c r="M46" s="25"/>
      <c r="N46" s="25"/>
      <c r="O46" s="25"/>
      <c r="P46" s="25"/>
      <c r="Q46" s="26"/>
      <c r="R46" s="22" t="s">
        <v>527</v>
      </c>
      <c r="S46" s="25"/>
      <c r="T46" s="25"/>
      <c r="U46" s="25"/>
      <c r="V46" s="25"/>
      <c r="W46" s="25"/>
      <c r="X46" s="25"/>
      <c r="Y46" s="25"/>
      <c r="Z46" s="25"/>
      <c r="AA46" s="25"/>
      <c r="AB46" s="26"/>
      <c r="AC46" s="22" t="str" cm="1">
        <f t="array" ref="AC46">_xlfn.SWITCH(BM46,"nvarchar","varchar("&amp;BN46&amp;")","smallint","smallint","date","date","money","decimal(19,4)","numeric","numeric("&amp;BN46&amp;")","int","int","bit","char(1)","datetime2","datetime","time","time")</f>
        <v>char(1)</v>
      </c>
      <c r="AD46" s="25"/>
      <c r="AE46" s="25"/>
      <c r="AF46" s="25"/>
      <c r="AG46" s="26"/>
      <c r="AH46" s="22"/>
      <c r="AI46" s="26"/>
      <c r="AJ46" s="22" t="s">
        <v>885</v>
      </c>
      <c r="AK46" s="25"/>
      <c r="AL46" s="26"/>
      <c r="AM46" s="22"/>
      <c r="AN46" s="25"/>
      <c r="AO46" s="25"/>
      <c r="AP46" s="25"/>
      <c r="AQ46" s="25"/>
      <c r="AR46" s="25"/>
      <c r="AS46" s="26"/>
      <c r="AT46" s="22" t="s">
        <v>677</v>
      </c>
      <c r="AU46" s="25"/>
      <c r="AV46" s="25"/>
      <c r="AW46" s="25"/>
      <c r="AX46" s="25"/>
      <c r="AY46" s="25"/>
      <c r="AZ46" s="25"/>
      <c r="BA46" s="25"/>
      <c r="BB46" s="25"/>
      <c r="BC46" s="25"/>
      <c r="BD46" s="25"/>
      <c r="BE46" s="25"/>
      <c r="BF46" s="25"/>
      <c r="BG46" s="25"/>
      <c r="BH46" s="25"/>
      <c r="BI46" s="25"/>
      <c r="BJ46" s="26"/>
      <c r="BK46" s="4"/>
      <c r="BM46" t="s">
        <v>896</v>
      </c>
      <c r="BP46" t="str">
        <f t="shared" si="1"/>
        <v>,`IsThursday` char(1) NOT NULL COMMENT '木曜日実施フラグ'</v>
      </c>
      <c r="BQ46" t="s">
        <v>626</v>
      </c>
      <c r="BR46" t="str">
        <f t="shared" si="5"/>
        <v>,`IsThursday` char(1) NOT NULL</v>
      </c>
      <c r="BS46" t="s">
        <v>626</v>
      </c>
      <c r="BT46" t="str">
        <f t="shared" si="6"/>
        <v>,`IsThursday` = if(nullif( @21,'') &gt; '', @21, null )</v>
      </c>
      <c r="BU46" t="s">
        <v>626</v>
      </c>
      <c r="BV46" s="97" t="str">
        <f t="shared" si="2"/>
        <v>,A.`IsThursday` = B.`IsThursday`</v>
      </c>
      <c r="BW46" t="s">
        <v>626</v>
      </c>
      <c r="BX46" s="97" t="str">
        <f t="shared" si="3"/>
        <v>,`IsThursday`</v>
      </c>
      <c r="BY46" t="s">
        <v>626</v>
      </c>
      <c r="BZ46" s="97" t="str">
        <f t="shared" si="4"/>
        <v>,`IsThursday`</v>
      </c>
      <c r="CA46" t="s">
        <v>626</v>
      </c>
    </row>
    <row r="47" spans="1:79" ht="15" customHeight="1">
      <c r="A47" s="100" t="s">
        <v>984</v>
      </c>
      <c r="B47" s="23">
        <f t="shared" si="0"/>
        <v>27</v>
      </c>
      <c r="C47" s="24"/>
      <c r="D47" s="22" t="s">
        <v>511</v>
      </c>
      <c r="E47" s="25"/>
      <c r="F47" s="25"/>
      <c r="G47" s="25"/>
      <c r="H47" s="25"/>
      <c r="I47" s="25"/>
      <c r="J47" s="25"/>
      <c r="K47" s="25"/>
      <c r="L47" s="25"/>
      <c r="M47" s="25"/>
      <c r="N47" s="25"/>
      <c r="O47" s="25"/>
      <c r="P47" s="25"/>
      <c r="Q47" s="26"/>
      <c r="R47" s="22" t="s">
        <v>528</v>
      </c>
      <c r="S47" s="25"/>
      <c r="T47" s="25"/>
      <c r="U47" s="25"/>
      <c r="V47" s="25"/>
      <c r="W47" s="25"/>
      <c r="X47" s="25"/>
      <c r="Y47" s="25"/>
      <c r="Z47" s="25"/>
      <c r="AA47" s="25"/>
      <c r="AB47" s="26"/>
      <c r="AC47" s="22" t="str" cm="1">
        <f t="array" ref="AC47">_xlfn.SWITCH(BM47,"nvarchar","varchar("&amp;BN47&amp;")","smallint","smallint","date","date","money","decimal(19,4)","numeric","numeric("&amp;BN47&amp;")","int","int","bit","char(1)","datetime2","datetime","time","time")</f>
        <v>char(1)</v>
      </c>
      <c r="AD47" s="25"/>
      <c r="AE47" s="25"/>
      <c r="AF47" s="25"/>
      <c r="AG47" s="26"/>
      <c r="AH47" s="22"/>
      <c r="AI47" s="26"/>
      <c r="AJ47" s="22" t="s">
        <v>885</v>
      </c>
      <c r="AK47" s="25"/>
      <c r="AL47" s="26"/>
      <c r="AM47" s="22"/>
      <c r="AN47" s="25"/>
      <c r="AO47" s="25"/>
      <c r="AP47" s="25"/>
      <c r="AQ47" s="25"/>
      <c r="AR47" s="25"/>
      <c r="AS47" s="26"/>
      <c r="AT47" s="22" t="s">
        <v>678</v>
      </c>
      <c r="AU47" s="25"/>
      <c r="AV47" s="25"/>
      <c r="AW47" s="25"/>
      <c r="AX47" s="25"/>
      <c r="AY47" s="25"/>
      <c r="AZ47" s="25"/>
      <c r="BA47" s="25"/>
      <c r="BB47" s="25"/>
      <c r="BC47" s="25"/>
      <c r="BD47" s="25"/>
      <c r="BE47" s="25"/>
      <c r="BF47" s="25"/>
      <c r="BG47" s="25"/>
      <c r="BH47" s="25"/>
      <c r="BI47" s="25"/>
      <c r="BJ47" s="26"/>
      <c r="BK47" s="4"/>
      <c r="BM47" t="s">
        <v>896</v>
      </c>
      <c r="BP47" t="str">
        <f t="shared" si="1"/>
        <v>,`IsFriday` char(1) NOT NULL COMMENT '金曜日実施フラグ'</v>
      </c>
      <c r="BQ47" t="s">
        <v>626</v>
      </c>
      <c r="BR47" t="str">
        <f t="shared" si="5"/>
        <v>,`IsFriday` char(1) NOT NULL</v>
      </c>
      <c r="BS47" t="s">
        <v>626</v>
      </c>
      <c r="BT47" t="str">
        <f t="shared" si="6"/>
        <v>,`IsFriday` = if(nullif( @22,'') &gt; '', @22, null )</v>
      </c>
      <c r="BU47" t="s">
        <v>626</v>
      </c>
      <c r="BV47" s="97" t="str">
        <f t="shared" si="2"/>
        <v>,A.`IsFriday` = B.`IsFriday`</v>
      </c>
      <c r="BW47" t="s">
        <v>626</v>
      </c>
      <c r="BX47" s="97" t="str">
        <f t="shared" si="3"/>
        <v>,`IsFriday`</v>
      </c>
      <c r="BY47" t="s">
        <v>626</v>
      </c>
      <c r="BZ47" s="97" t="str">
        <f t="shared" si="4"/>
        <v>,`IsFriday`</v>
      </c>
      <c r="CA47" t="s">
        <v>626</v>
      </c>
    </row>
    <row r="48" spans="1:79" ht="15" customHeight="1">
      <c r="A48" s="100" t="s">
        <v>985</v>
      </c>
      <c r="B48" s="23">
        <f t="shared" si="0"/>
        <v>28</v>
      </c>
      <c r="C48" s="24"/>
      <c r="D48" s="22" t="s">
        <v>512</v>
      </c>
      <c r="E48" s="25"/>
      <c r="F48" s="25"/>
      <c r="G48" s="25"/>
      <c r="H48" s="25"/>
      <c r="I48" s="25"/>
      <c r="J48" s="25"/>
      <c r="K48" s="25"/>
      <c r="L48" s="25"/>
      <c r="M48" s="25"/>
      <c r="N48" s="25"/>
      <c r="O48" s="25"/>
      <c r="P48" s="25"/>
      <c r="Q48" s="26"/>
      <c r="R48" s="22" t="s">
        <v>529</v>
      </c>
      <c r="S48" s="25"/>
      <c r="T48" s="25"/>
      <c r="U48" s="25"/>
      <c r="V48" s="25"/>
      <c r="W48" s="25"/>
      <c r="X48" s="25"/>
      <c r="Y48" s="25"/>
      <c r="Z48" s="25"/>
      <c r="AA48" s="25"/>
      <c r="AB48" s="26"/>
      <c r="AC48" s="22" t="str" cm="1">
        <f t="array" ref="AC48">_xlfn.SWITCH(BM48,"nvarchar","varchar("&amp;BN48&amp;")","smallint","smallint","date","date","money","decimal(19,4)","numeric","numeric("&amp;BN48&amp;")","int","int","bit","char(1)","datetime2","datetime","time","time")</f>
        <v>char(1)</v>
      </c>
      <c r="AD48" s="25"/>
      <c r="AE48" s="25"/>
      <c r="AF48" s="25"/>
      <c r="AG48" s="26"/>
      <c r="AH48" s="22"/>
      <c r="AI48" s="26"/>
      <c r="AJ48" s="22" t="s">
        <v>885</v>
      </c>
      <c r="AK48" s="25"/>
      <c r="AL48" s="26"/>
      <c r="AM48" s="22"/>
      <c r="AN48" s="25"/>
      <c r="AO48" s="25"/>
      <c r="AP48" s="25"/>
      <c r="AQ48" s="25"/>
      <c r="AR48" s="25"/>
      <c r="AS48" s="26"/>
      <c r="AT48" s="22" t="s">
        <v>679</v>
      </c>
      <c r="AU48" s="25"/>
      <c r="AV48" s="25"/>
      <c r="AW48" s="25"/>
      <c r="AX48" s="25"/>
      <c r="AY48" s="25"/>
      <c r="AZ48" s="25"/>
      <c r="BA48" s="25"/>
      <c r="BB48" s="25"/>
      <c r="BC48" s="25"/>
      <c r="BD48" s="25"/>
      <c r="BE48" s="25"/>
      <c r="BF48" s="25"/>
      <c r="BG48" s="25"/>
      <c r="BH48" s="25"/>
      <c r="BI48" s="25"/>
      <c r="BJ48" s="26"/>
      <c r="BK48" s="4"/>
      <c r="BM48" t="s">
        <v>896</v>
      </c>
      <c r="BP48" t="str">
        <f t="shared" si="1"/>
        <v>,`IsSaturday` char(1) NOT NULL COMMENT '土曜日実施フラグ'</v>
      </c>
      <c r="BQ48" t="s">
        <v>626</v>
      </c>
      <c r="BR48" t="str">
        <f t="shared" si="5"/>
        <v>,`IsSaturday` char(1) NOT NULL</v>
      </c>
      <c r="BS48" t="s">
        <v>626</v>
      </c>
      <c r="BT48" t="str">
        <f t="shared" si="6"/>
        <v>,`IsSaturday` = if(nullif( @23,'') &gt; '', @23, null )</v>
      </c>
      <c r="BU48" t="s">
        <v>626</v>
      </c>
      <c r="BV48" s="97" t="str">
        <f t="shared" si="2"/>
        <v>,A.`IsSaturday` = B.`IsSaturday`</v>
      </c>
      <c r="BW48" t="s">
        <v>626</v>
      </c>
      <c r="BX48" s="97" t="str">
        <f t="shared" si="3"/>
        <v>,`IsSaturday`</v>
      </c>
      <c r="BY48" t="s">
        <v>626</v>
      </c>
      <c r="BZ48" s="97" t="str">
        <f t="shared" si="4"/>
        <v>,`IsSaturday`</v>
      </c>
      <c r="CA48" t="s">
        <v>626</v>
      </c>
    </row>
    <row r="49" spans="1:79" ht="15" customHeight="1">
      <c r="A49" s="100" t="s">
        <v>986</v>
      </c>
      <c r="B49" s="23">
        <f t="shared" si="0"/>
        <v>29</v>
      </c>
      <c r="C49" s="24"/>
      <c r="D49" s="22" t="s">
        <v>513</v>
      </c>
      <c r="E49" s="25"/>
      <c r="F49" s="25"/>
      <c r="G49" s="25"/>
      <c r="H49" s="25"/>
      <c r="I49" s="25"/>
      <c r="J49" s="25"/>
      <c r="K49" s="25"/>
      <c r="L49" s="25"/>
      <c r="M49" s="25"/>
      <c r="N49" s="25"/>
      <c r="O49" s="25"/>
      <c r="P49" s="25"/>
      <c r="Q49" s="26"/>
      <c r="R49" s="22" t="s">
        <v>530</v>
      </c>
      <c r="S49" s="25"/>
      <c r="T49" s="25"/>
      <c r="U49" s="25"/>
      <c r="V49" s="25"/>
      <c r="W49" s="25"/>
      <c r="X49" s="25"/>
      <c r="Y49" s="25"/>
      <c r="Z49" s="25"/>
      <c r="AA49" s="25"/>
      <c r="AB49" s="26"/>
      <c r="AC49" s="22" t="str" cm="1">
        <f t="array" ref="AC49">_xlfn.SWITCH(BM49,"nvarchar","varchar("&amp;BN49&amp;")","smallint","smallint","date","date","money","decimal(19,4)","numeric","numeric("&amp;BN49&amp;")","int","int","bit","char(1)","datetime2","datetime","time","time")</f>
        <v>char(1)</v>
      </c>
      <c r="AD49" s="25"/>
      <c r="AE49" s="25"/>
      <c r="AF49" s="25"/>
      <c r="AG49" s="26"/>
      <c r="AH49" s="22"/>
      <c r="AI49" s="26"/>
      <c r="AJ49" s="22" t="s">
        <v>885</v>
      </c>
      <c r="AK49" s="25"/>
      <c r="AL49" s="26"/>
      <c r="AM49" s="22"/>
      <c r="AN49" s="25"/>
      <c r="AO49" s="25"/>
      <c r="AP49" s="25"/>
      <c r="AQ49" s="25"/>
      <c r="AR49" s="25"/>
      <c r="AS49" s="26"/>
      <c r="AT49" s="22" t="s">
        <v>680</v>
      </c>
      <c r="AU49" s="25"/>
      <c r="AV49" s="25"/>
      <c r="AW49" s="25"/>
      <c r="AX49" s="25"/>
      <c r="AY49" s="25"/>
      <c r="AZ49" s="25"/>
      <c r="BA49" s="25"/>
      <c r="BB49" s="25"/>
      <c r="BC49" s="25"/>
      <c r="BD49" s="25"/>
      <c r="BE49" s="25"/>
      <c r="BF49" s="25"/>
      <c r="BG49" s="25"/>
      <c r="BH49" s="25"/>
      <c r="BI49" s="25"/>
      <c r="BJ49" s="26"/>
      <c r="BK49" s="4"/>
      <c r="BM49" t="s">
        <v>896</v>
      </c>
      <c r="BP49" t="str">
        <f t="shared" si="1"/>
        <v>,`IsSunday` char(1) NOT NULL COMMENT '日曜日実施フラグ'</v>
      </c>
      <c r="BQ49" t="s">
        <v>626</v>
      </c>
      <c r="BR49" t="str">
        <f t="shared" si="5"/>
        <v>,`IsSunday` char(1) NOT NULL</v>
      </c>
      <c r="BS49" t="s">
        <v>626</v>
      </c>
      <c r="BT49" t="str">
        <f t="shared" si="6"/>
        <v>,`IsSunday` = if(nullif( @24,'') &gt; '', @24, null )</v>
      </c>
      <c r="BU49" t="s">
        <v>626</v>
      </c>
      <c r="BV49" s="97" t="str">
        <f t="shared" si="2"/>
        <v>,A.`IsSunday` = B.`IsSunday`</v>
      </c>
      <c r="BW49" t="s">
        <v>626</v>
      </c>
      <c r="BX49" s="97" t="str">
        <f t="shared" si="3"/>
        <v>,`IsSunday`</v>
      </c>
      <c r="BY49" t="s">
        <v>626</v>
      </c>
      <c r="BZ49" s="97" t="str">
        <f t="shared" si="4"/>
        <v>,`IsSunday`</v>
      </c>
      <c r="CA49" t="s">
        <v>626</v>
      </c>
    </row>
    <row r="50" spans="1:79" ht="15" customHeight="1">
      <c r="A50" s="100" t="s">
        <v>987</v>
      </c>
      <c r="B50" s="23">
        <f t="shared" si="0"/>
        <v>30</v>
      </c>
      <c r="C50" s="24"/>
      <c r="D50" s="22" t="s">
        <v>650</v>
      </c>
      <c r="E50" s="25"/>
      <c r="F50" s="25"/>
      <c r="G50" s="25"/>
      <c r="H50" s="25"/>
      <c r="I50" s="25"/>
      <c r="J50" s="25"/>
      <c r="K50" s="25"/>
      <c r="L50" s="25"/>
      <c r="M50" s="25"/>
      <c r="N50" s="25"/>
      <c r="O50" s="25"/>
      <c r="P50" s="25"/>
      <c r="Q50" s="26"/>
      <c r="R50" s="22" t="s">
        <v>658</v>
      </c>
      <c r="S50" s="25"/>
      <c r="T50" s="25"/>
      <c r="U50" s="25"/>
      <c r="V50" s="25"/>
      <c r="W50" s="25"/>
      <c r="X50" s="25"/>
      <c r="Y50" s="25"/>
      <c r="Z50" s="25"/>
      <c r="AA50" s="25"/>
      <c r="AB50" s="26"/>
      <c r="AC50" s="22" t="str" cm="1">
        <f t="array" ref="AC50">_xlfn.SWITCH(BM50,"nvarchar","varchar("&amp;BN50&amp;")","smallint","smallint","date","date","money","decimal(19,4)","numeric","numeric("&amp;BN50&amp;")","int","int","bit","char(1)","datetime2","datetime","time","time")</f>
        <v>int</v>
      </c>
      <c r="AD50" s="25"/>
      <c r="AE50" s="25"/>
      <c r="AF50" s="25"/>
      <c r="AG50" s="26"/>
      <c r="AH50" s="22"/>
      <c r="AI50" s="26"/>
      <c r="AJ50" s="22" t="s">
        <v>885</v>
      </c>
      <c r="AK50" s="25"/>
      <c r="AL50" s="26"/>
      <c r="AM50" s="22"/>
      <c r="AN50" s="25"/>
      <c r="AO50" s="25"/>
      <c r="AP50" s="25"/>
      <c r="AQ50" s="25"/>
      <c r="AR50" s="25"/>
      <c r="AS50" s="26"/>
      <c r="AT50" s="22" t="s">
        <v>681</v>
      </c>
      <c r="AU50" s="25"/>
      <c r="AV50" s="25"/>
      <c r="AW50" s="25"/>
      <c r="AX50" s="25"/>
      <c r="AY50" s="25"/>
      <c r="AZ50" s="25"/>
      <c r="BA50" s="25"/>
      <c r="BB50" s="25"/>
      <c r="BC50" s="25"/>
      <c r="BD50" s="25"/>
      <c r="BE50" s="25"/>
      <c r="BF50" s="25"/>
      <c r="BG50" s="25"/>
      <c r="BH50" s="25"/>
      <c r="BI50" s="25"/>
      <c r="BJ50" s="26"/>
      <c r="BK50" s="4"/>
      <c r="BM50" t="s">
        <v>437</v>
      </c>
      <c r="BP50" t="str">
        <f t="shared" si="1"/>
        <v>,`PromotionType` int NOT NULL COMMENT 'プロモーションタイプ'</v>
      </c>
      <c r="BQ50" t="s">
        <v>626</v>
      </c>
      <c r="BR50" t="str">
        <f t="shared" si="5"/>
        <v>,`PromotionType` int NOT NULL</v>
      </c>
      <c r="BS50" t="s">
        <v>626</v>
      </c>
      <c r="BT50" t="str">
        <f t="shared" si="6"/>
        <v>,`PromotionType` = if(nullif( @25,'') &gt; '', @25, null )</v>
      </c>
      <c r="BU50" t="s">
        <v>626</v>
      </c>
      <c r="BV50" s="97" t="str">
        <f t="shared" si="2"/>
        <v>,A.`PromotionType` = B.`PromotionType`</v>
      </c>
      <c r="BW50" t="s">
        <v>626</v>
      </c>
      <c r="BX50" s="97" t="str">
        <f t="shared" si="3"/>
        <v>,`PromotionType`</v>
      </c>
      <c r="BY50" t="s">
        <v>626</v>
      </c>
      <c r="BZ50" s="97" t="str">
        <f t="shared" si="4"/>
        <v>,`PromotionType`</v>
      </c>
      <c r="CA50" t="s">
        <v>626</v>
      </c>
    </row>
    <row r="51" spans="1:79" ht="15" customHeight="1">
      <c r="A51" s="100" t="s">
        <v>988</v>
      </c>
      <c r="B51" s="23">
        <f t="shared" si="0"/>
        <v>31</v>
      </c>
      <c r="C51" s="24"/>
      <c r="D51" s="22" t="s">
        <v>651</v>
      </c>
      <c r="E51" s="25"/>
      <c r="F51" s="25"/>
      <c r="G51" s="25"/>
      <c r="H51" s="25"/>
      <c r="I51" s="25"/>
      <c r="J51" s="25"/>
      <c r="K51" s="25"/>
      <c r="L51" s="25"/>
      <c r="M51" s="25"/>
      <c r="N51" s="25"/>
      <c r="O51" s="25"/>
      <c r="P51" s="25"/>
      <c r="Q51" s="26"/>
      <c r="R51" s="22" t="s">
        <v>659</v>
      </c>
      <c r="S51" s="25"/>
      <c r="T51" s="25"/>
      <c r="U51" s="25"/>
      <c r="V51" s="25"/>
      <c r="W51" s="25"/>
      <c r="X51" s="25"/>
      <c r="Y51" s="25"/>
      <c r="Z51" s="25"/>
      <c r="AA51" s="25"/>
      <c r="AB51" s="26"/>
      <c r="AC51" s="22" t="str" cm="1">
        <f t="array" ref="AC51">_xlfn.SWITCH(BM51,"nvarchar","varchar("&amp;BN51&amp;")","smallint","smallint","date","date","money","decimal(19,4)","numeric","numeric("&amp;BN51&amp;")","int","int","bit","char(1)","datetime2","datetime","time","time")</f>
        <v>varchar(80)</v>
      </c>
      <c r="AD51" s="25"/>
      <c r="AE51" s="25"/>
      <c r="AF51" s="25"/>
      <c r="AG51" s="26"/>
      <c r="AH51" s="22"/>
      <c r="AI51" s="26"/>
      <c r="AJ51" s="22"/>
      <c r="AK51" s="25"/>
      <c r="AL51" s="26"/>
      <c r="AM51" s="22"/>
      <c r="AN51" s="25"/>
      <c r="AO51" s="25"/>
      <c r="AP51" s="25"/>
      <c r="AQ51" s="25"/>
      <c r="AR51" s="25"/>
      <c r="AS51" s="26"/>
      <c r="AT51" s="22" t="s">
        <v>651</v>
      </c>
      <c r="AU51" s="25"/>
      <c r="AV51" s="25"/>
      <c r="AW51" s="25"/>
      <c r="AX51" s="25"/>
      <c r="AY51" s="25"/>
      <c r="AZ51" s="25"/>
      <c r="BA51" s="25"/>
      <c r="BB51" s="25"/>
      <c r="BC51" s="25"/>
      <c r="BD51" s="25"/>
      <c r="BE51" s="25"/>
      <c r="BF51" s="25"/>
      <c r="BG51" s="25"/>
      <c r="BH51" s="25"/>
      <c r="BI51" s="25"/>
      <c r="BJ51" s="26"/>
      <c r="BK51" s="4"/>
      <c r="BM51" t="s">
        <v>888</v>
      </c>
      <c r="BN51">
        <v>80</v>
      </c>
      <c r="BP51" t="str">
        <f t="shared" si="1"/>
        <v>,`LongDescription` varchar(80)  COMMENT 'プロモーション名称'</v>
      </c>
      <c r="BQ51" t="s">
        <v>626</v>
      </c>
      <c r="BR51" t="str">
        <f t="shared" si="5"/>
        <v xml:space="preserve">,`LongDescription` varchar(80) </v>
      </c>
      <c r="BS51" t="s">
        <v>626</v>
      </c>
      <c r="BT51" t="str">
        <f t="shared" si="6"/>
        <v>,`LongDescription` = if(nullif( @26,'') &gt; '', @26, null )</v>
      </c>
      <c r="BU51" t="s">
        <v>626</v>
      </c>
      <c r="BV51" s="97" t="str">
        <f t="shared" si="2"/>
        <v>,A.`LongDescription` = B.`LongDescription`</v>
      </c>
      <c r="BW51" t="s">
        <v>626</v>
      </c>
      <c r="BX51" s="97" t="str">
        <f t="shared" si="3"/>
        <v>,`LongDescription`</v>
      </c>
      <c r="BY51" t="s">
        <v>626</v>
      </c>
      <c r="BZ51" s="97" t="str">
        <f t="shared" si="4"/>
        <v>,`LongDescription`</v>
      </c>
      <c r="CA51" t="s">
        <v>626</v>
      </c>
    </row>
    <row r="52" spans="1:79" ht="15" customHeight="1">
      <c r="A52" s="100" t="s">
        <v>989</v>
      </c>
      <c r="B52" s="23">
        <f t="shared" si="0"/>
        <v>32</v>
      </c>
      <c r="C52" s="24"/>
      <c r="D52" s="22" t="s">
        <v>652</v>
      </c>
      <c r="E52" s="25"/>
      <c r="F52" s="25"/>
      <c r="G52" s="25"/>
      <c r="H52" s="25"/>
      <c r="I52" s="25"/>
      <c r="J52" s="25"/>
      <c r="K52" s="25"/>
      <c r="L52" s="25"/>
      <c r="M52" s="25"/>
      <c r="N52" s="25"/>
      <c r="O52" s="25"/>
      <c r="P52" s="25"/>
      <c r="Q52" s="26"/>
      <c r="R52" s="22" t="s">
        <v>660</v>
      </c>
      <c r="S52" s="25"/>
      <c r="T52" s="25"/>
      <c r="U52" s="25"/>
      <c r="V52" s="25"/>
      <c r="W52" s="25"/>
      <c r="X52" s="25"/>
      <c r="Y52" s="25"/>
      <c r="Z52" s="25"/>
      <c r="AA52" s="25"/>
      <c r="AB52" s="26"/>
      <c r="AC52" s="22" t="str" cm="1">
        <f t="array" ref="AC52">_xlfn.SWITCH(BM52,"nvarchar","varchar("&amp;BN52&amp;")","smallint","smallint","date","date","money","decimal(19,4)","numeric","numeric("&amp;BN52&amp;")","int","int","bit","char(1)","datetime2","datetime","time","time")</f>
        <v>int</v>
      </c>
      <c r="AD52" s="25"/>
      <c r="AE52" s="25"/>
      <c r="AF52" s="25"/>
      <c r="AG52" s="26"/>
      <c r="AH52" s="22"/>
      <c r="AI52" s="26"/>
      <c r="AJ52" s="22"/>
      <c r="AK52" s="25"/>
      <c r="AL52" s="26"/>
      <c r="AM52" s="22"/>
      <c r="AN52" s="25"/>
      <c r="AO52" s="25"/>
      <c r="AP52" s="25"/>
      <c r="AQ52" s="25"/>
      <c r="AR52" s="25"/>
      <c r="AS52" s="26"/>
      <c r="AT52" s="22" t="s">
        <v>682</v>
      </c>
      <c r="AU52" s="25"/>
      <c r="AV52" s="25"/>
      <c r="AW52" s="25"/>
      <c r="AX52" s="25"/>
      <c r="AY52" s="25"/>
      <c r="AZ52" s="25"/>
      <c r="BA52" s="25"/>
      <c r="BB52" s="25"/>
      <c r="BC52" s="25"/>
      <c r="BD52" s="25"/>
      <c r="BE52" s="25"/>
      <c r="BF52" s="25"/>
      <c r="BG52" s="25"/>
      <c r="BH52" s="25"/>
      <c r="BI52" s="25"/>
      <c r="BJ52" s="26"/>
      <c r="BK52" s="4"/>
      <c r="BM52" t="s">
        <v>437</v>
      </c>
      <c r="BP52" t="str">
        <f t="shared" si="1"/>
        <v>,`DiscountPriority` int  COMMENT '割引優先度'</v>
      </c>
      <c r="BQ52" t="s">
        <v>626</v>
      </c>
      <c r="BR52" t="str">
        <f t="shared" si="5"/>
        <v xml:space="preserve">,`DiscountPriority` int </v>
      </c>
      <c r="BS52" t="s">
        <v>626</v>
      </c>
      <c r="BT52" t="str">
        <f t="shared" si="6"/>
        <v>,`DiscountPriority` = if(nullif( @27,'') &gt; '', @27, null )</v>
      </c>
      <c r="BU52" t="s">
        <v>626</v>
      </c>
      <c r="BV52" s="97" t="str">
        <f t="shared" si="2"/>
        <v>,A.`DiscountPriority` = B.`DiscountPriority`</v>
      </c>
      <c r="BW52" t="s">
        <v>626</v>
      </c>
      <c r="BX52" s="97" t="str">
        <f t="shared" si="3"/>
        <v>,`DiscountPriority`</v>
      </c>
      <c r="BY52" t="s">
        <v>626</v>
      </c>
      <c r="BZ52" s="97" t="str">
        <f t="shared" si="4"/>
        <v>,`DiscountPriority`</v>
      </c>
      <c r="CA52" t="s">
        <v>626</v>
      </c>
    </row>
    <row r="53" spans="1:79" ht="15" customHeight="1">
      <c r="A53" s="100" t="s">
        <v>990</v>
      </c>
      <c r="B53" s="28">
        <f t="shared" si="0"/>
        <v>33</v>
      </c>
      <c r="C53" s="29"/>
      <c r="D53" s="30" t="s">
        <v>653</v>
      </c>
      <c r="E53" s="31"/>
      <c r="F53" s="31"/>
      <c r="G53" s="31"/>
      <c r="H53" s="31"/>
      <c r="I53" s="31"/>
      <c r="J53" s="31"/>
      <c r="K53" s="31"/>
      <c r="L53" s="31"/>
      <c r="M53" s="31"/>
      <c r="N53" s="31"/>
      <c r="O53" s="31"/>
      <c r="P53" s="31"/>
      <c r="Q53" s="32"/>
      <c r="R53" s="30" t="s">
        <v>661</v>
      </c>
      <c r="S53" s="31"/>
      <c r="T53" s="31"/>
      <c r="U53" s="31"/>
      <c r="V53" s="31"/>
      <c r="W53" s="31"/>
      <c r="X53" s="31"/>
      <c r="Y53" s="31"/>
      <c r="Z53" s="31"/>
      <c r="AA53" s="31"/>
      <c r="AB53" s="32"/>
      <c r="AC53" s="30" t="str" cm="1">
        <f t="array" ref="AC53">_xlfn.SWITCH(BM53,"nvarchar","varchar("&amp;BN53&amp;")","smallint","smallint","date","date","money","decimal(19,4)","numeric","numeric("&amp;BN53&amp;")","int","int","bit","char(1)","datetime2","datetime","time","time")</f>
        <v>int</v>
      </c>
      <c r="AD53" s="31"/>
      <c r="AE53" s="31"/>
      <c r="AF53" s="31"/>
      <c r="AG53" s="32"/>
      <c r="AH53" s="30"/>
      <c r="AI53" s="32"/>
      <c r="AJ53" s="30" t="s">
        <v>885</v>
      </c>
      <c r="AK53" s="31"/>
      <c r="AL53" s="32"/>
      <c r="AM53" s="30"/>
      <c r="AN53" s="31"/>
      <c r="AO53" s="31"/>
      <c r="AP53" s="31"/>
      <c r="AQ53" s="31"/>
      <c r="AR53" s="31"/>
      <c r="AS53" s="32"/>
      <c r="AT53" s="30" t="s">
        <v>683</v>
      </c>
      <c r="AU53" s="31"/>
      <c r="AV53" s="31"/>
      <c r="AW53" s="31"/>
      <c r="AX53" s="31"/>
      <c r="AY53" s="31"/>
      <c r="AZ53" s="31"/>
      <c r="BA53" s="31"/>
      <c r="BB53" s="31"/>
      <c r="BC53" s="31"/>
      <c r="BD53" s="31"/>
      <c r="BE53" s="31"/>
      <c r="BF53" s="31"/>
      <c r="BG53" s="31"/>
      <c r="BH53" s="31"/>
      <c r="BI53" s="31"/>
      <c r="BJ53" s="32"/>
      <c r="BK53" s="4"/>
      <c r="BM53" t="s">
        <v>437</v>
      </c>
      <c r="BP53" t="str">
        <f t="shared" si="1"/>
        <v>,`PaymentLimitPattern` int NOT NULL COMMENT '支払制限パターン'</v>
      </c>
      <c r="BQ53" t="s">
        <v>626</v>
      </c>
      <c r="BR53" t="str">
        <f t="shared" si="5"/>
        <v>,`PaymentLimitPattern` int NOT NULL</v>
      </c>
      <c r="BS53" t="s">
        <v>626</v>
      </c>
      <c r="BT53" t="str">
        <f t="shared" si="6"/>
        <v>,`PaymentLimitPattern` = if(nullif( @28,'') &gt; '', @28, null )</v>
      </c>
      <c r="BU53" t="s">
        <v>626</v>
      </c>
      <c r="BV53" s="97" t="str">
        <f t="shared" si="2"/>
        <v>,A.`PaymentLimitPattern` = B.`PaymentLimitPattern`</v>
      </c>
      <c r="BW53" t="s">
        <v>626</v>
      </c>
      <c r="BX53" s="97" t="str">
        <f t="shared" si="3"/>
        <v>,`PaymentLimitPattern`</v>
      </c>
      <c r="BY53" t="s">
        <v>626</v>
      </c>
      <c r="BZ53" s="97" t="str">
        <f t="shared" si="4"/>
        <v>,`PaymentLimitPattern`</v>
      </c>
      <c r="CA53" t="s">
        <v>626</v>
      </c>
    </row>
    <row r="54" spans="1:79" ht="15" customHeight="1">
      <c r="A54" s="100"/>
      <c r="BK54" s="4"/>
      <c r="BP5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(`CompanyCode`,`StoreCode`,`DiscountMDHierarchyCode`,`MDHierarchyCode`,`MDHierarchyLevel`,`PromotionCode`,`ApplyDateTime`),</v>
      </c>
      <c r="BQ54" t="s">
        <v>626</v>
      </c>
      <c r="BR5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(`CompanyCode`,`StoreCode`,`DiscountMDHierarchyCode`,`MDHierarchyCode`,`MDHierarchyLevel`,`PromotionCode`,`ApplyDateTime`)</v>
      </c>
      <c r="BS54" t="s">
        <v>626</v>
      </c>
      <c r="BT54" s="97" t="s">
        <v>936</v>
      </c>
      <c r="BU54" t="s">
        <v>626</v>
      </c>
      <c r="BV54" s="97" t="s">
        <v>934</v>
      </c>
      <c r="BW54" t="s">
        <v>626</v>
      </c>
      <c r="BY54" t="s">
        <v>626</v>
      </c>
      <c r="BZ54" s="97" t="str">
        <f>"FROM `TMP`.`"&amp;$G$10&amp;"` A"</f>
        <v>FROM `TMP`.`DiscountMDHierarchyMVKMaster` A</v>
      </c>
      <c r="CA54" t="s">
        <v>626</v>
      </c>
    </row>
    <row r="55" spans="1:79" ht="15" customHeight="1">
      <c r="A55" s="100"/>
      <c r="BK55" s="4"/>
      <c r="BP55" s="97" t="s">
        <v>452</v>
      </c>
      <c r="BQ55" t="s">
        <v>626</v>
      </c>
      <c r="BR55" s="97" t="str">
        <f>") ENGINE=InnoDB DEFAULT CHARSET=utf8mb4 COLLATE=utf8mb4_0900_ai_ci COMMENT = '"&amp;$G$9&amp;"_TMP';"</f>
        <v>) ENGINE=InnoDB DEFAULT CHARSET=utf8mb4 COLLATE=utf8mb4_0900_ai_ci COMMENT = 'MD階層値引マスタ（TBP用）_TMP';</v>
      </c>
      <c r="BS55" t="s">
        <v>626</v>
      </c>
      <c r="BU55" t="s">
        <v>626</v>
      </c>
      <c r="BV55" s="97" t="str">
        <f>IF(_xlfn.XLOOKUP(1,$AH:$AH,$R:$R,"",0)="","","A.`"&amp;_xlfn.XLOOKUP(1,$AH:$AH,$R:$R,"",0)&amp;"` = B.`"&amp;_xlfn.XLOOKUP(1,$AH:$AH,$R:$R,"",0)&amp;"`")</f>
        <v>A.`CompanyCode` = B.`CompanyCode`</v>
      </c>
      <c r="BW55" t="s">
        <v>626</v>
      </c>
      <c r="BY55" t="s">
        <v>626</v>
      </c>
      <c r="BZ55" s="97" t="s">
        <v>935</v>
      </c>
      <c r="CA55" t="s">
        <v>626</v>
      </c>
    </row>
    <row r="56" spans="1:79" ht="15" customHeight="1">
      <c r="A56" s="100"/>
      <c r="B56" s="37" t="s">
        <v>49</v>
      </c>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4"/>
      <c r="BP56" s="97" t="str">
        <f>") ENGINE=InnoDB DEFAULT CHARSET=utf8mb4 COLLATE=utf8mb4_0900_ai_ci COMMENT = '"&amp;$G$9&amp;"';"</f>
        <v>) ENGINE=InnoDB DEFAULT CHARSET=utf8mb4 COLLATE=utf8mb4_0900_ai_ci COMMENT = 'MD階層値引マスタ（TBP用）';</v>
      </c>
      <c r="BQ56" t="s">
        <v>626</v>
      </c>
      <c r="BS56" t="s">
        <v>626</v>
      </c>
      <c r="BU56" t="s">
        <v>626</v>
      </c>
      <c r="BV56" s="97" t="str">
        <f>IF(_xlfn.XLOOKUP(2,$AH:$AH,$R:$R,"",0)="","","AND A.`"&amp;_xlfn.XLOOKUP(2,$AH:$AH,$R:$R,"",0)&amp;"` = B.`"&amp;_xlfn.XLOOKUP(2,$AH:$AH,$R:$R,"",0)&amp;"`")</f>
        <v>AND A.`StoreCode` = B.`StoreCode`</v>
      </c>
      <c r="BW56" t="s">
        <v>626</v>
      </c>
      <c r="BY56" t="s">
        <v>626</v>
      </c>
      <c r="BZ56" s="97" t="str">
        <f>"FROM `POS_MASTER`.`"&amp;$G$10&amp;"` B"</f>
        <v>FROM `POS_MASTER`.`DiscountMDHierarchyMVKMaster` B</v>
      </c>
      <c r="CA56" t="s">
        <v>626</v>
      </c>
    </row>
    <row r="57" spans="1:79" ht="15" customHeight="1">
      <c r="A57" s="100"/>
      <c r="B57" s="34" t="s">
        <v>50</v>
      </c>
      <c r="C57" s="35"/>
      <c r="D57" s="34" t="s">
        <v>51</v>
      </c>
      <c r="E57" s="44"/>
      <c r="F57" s="36"/>
      <c r="G57" s="36"/>
      <c r="H57" s="36"/>
      <c r="I57" s="36"/>
      <c r="J57" s="36"/>
      <c r="K57" s="36"/>
      <c r="L57" s="36"/>
      <c r="M57" s="36"/>
      <c r="N57" s="36"/>
      <c r="O57" s="36"/>
      <c r="P57" s="36"/>
      <c r="Q57" s="35"/>
      <c r="R57" s="34" t="s">
        <v>52</v>
      </c>
      <c r="S57" s="44"/>
      <c r="T57" s="36"/>
      <c r="U57" s="36"/>
      <c r="V57" s="36"/>
      <c r="W57" s="36"/>
      <c r="X57" s="36"/>
      <c r="Y57" s="36"/>
      <c r="Z57" s="36"/>
      <c r="AA57" s="36"/>
      <c r="AB57" s="36"/>
      <c r="AC57" s="36"/>
      <c r="AD57" s="36"/>
      <c r="AE57" s="36"/>
      <c r="AF57" s="36"/>
      <c r="AG57" s="36"/>
      <c r="AH57" s="36"/>
      <c r="AI57" s="36"/>
      <c r="AJ57" s="36"/>
      <c r="AK57" s="35"/>
      <c r="AL57" s="34" t="s">
        <v>53</v>
      </c>
      <c r="AM57" s="36"/>
      <c r="AN57" s="36"/>
      <c r="AO57" s="45"/>
      <c r="AP57" s="34" t="s">
        <v>54</v>
      </c>
      <c r="AQ57" s="36"/>
      <c r="AR57" s="36"/>
      <c r="AS57" s="35"/>
      <c r="AT57" s="34" t="s">
        <v>48</v>
      </c>
      <c r="AU57" s="44"/>
      <c r="AV57" s="44"/>
      <c r="AW57" s="36"/>
      <c r="AX57" s="36"/>
      <c r="AY57" s="44"/>
      <c r="AZ57" s="36"/>
      <c r="BA57" s="36"/>
      <c r="BB57" s="36"/>
      <c r="BC57" s="36"/>
      <c r="BD57" s="36"/>
      <c r="BE57" s="36"/>
      <c r="BF57" s="36"/>
      <c r="BG57" s="36"/>
      <c r="BH57" s="36"/>
      <c r="BI57" s="44"/>
      <c r="BJ57" s="35"/>
      <c r="BK57" s="4"/>
      <c r="BP57" s="97"/>
      <c r="BQ57" t="s">
        <v>626</v>
      </c>
      <c r="BS57" t="s">
        <v>626</v>
      </c>
      <c r="BU57" t="s">
        <v>626</v>
      </c>
      <c r="BV57" s="97" t="str">
        <f>IF(_xlfn.XLOOKUP(3,$AH:$AH,$R:$R,"",0)="","","AND A.`"&amp;_xlfn.XLOOKUP(3,$AH:$AH,$R:$R,"",0)&amp;"` = B.`"&amp;_xlfn.XLOOKUP(3,$AH:$AH,$R:$R,"",0)&amp;"`")</f>
        <v>AND A.`DiscountMDHierarchyCode` = B.`DiscountMDHierarchyCode`</v>
      </c>
      <c r="BW57" t="s">
        <v>626</v>
      </c>
      <c r="BY57" t="s">
        <v>626</v>
      </c>
      <c r="BZ57" s="97" t="s">
        <v>932</v>
      </c>
      <c r="CA57" t="s">
        <v>626</v>
      </c>
    </row>
    <row r="58" spans="1:79" ht="15" customHeight="1">
      <c r="A58" s="100"/>
      <c r="B58" s="38">
        <v>1</v>
      </c>
      <c r="C58" s="39"/>
      <c r="D58" s="38" t="s">
        <v>55</v>
      </c>
      <c r="E58" s="46"/>
      <c r="F58" s="40"/>
      <c r="G58" s="40"/>
      <c r="H58" s="40"/>
      <c r="I58" s="40"/>
      <c r="J58" s="40"/>
      <c r="K58" s="40"/>
      <c r="L58" s="40"/>
      <c r="M58" s="40"/>
      <c r="N58" s="40"/>
      <c r="O58" s="40"/>
      <c r="P58" s="40"/>
      <c r="Q58" s="39"/>
      <c r="R58"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`CompanyCode`,`StoreCode`,`DiscountMDHierarchyCode`,`MDHierarchyCode`,`MDHierarchyLevel`,`PromotionCode`,`ApplyDateTime`</v>
      </c>
      <c r="S58" s="46"/>
      <c r="T58" s="40"/>
      <c r="U58" s="40"/>
      <c r="V58" s="40"/>
      <c r="W58" s="40"/>
      <c r="X58" s="40"/>
      <c r="Y58" s="40"/>
      <c r="Z58" s="40"/>
      <c r="AA58" s="40"/>
      <c r="AB58" s="40"/>
      <c r="AC58" s="40"/>
      <c r="AD58" s="40"/>
      <c r="AE58" s="40"/>
      <c r="AF58" s="40"/>
      <c r="AG58" s="40"/>
      <c r="AH58" s="40"/>
      <c r="AI58" s="40"/>
      <c r="AJ58" s="40"/>
      <c r="AK58" s="39"/>
      <c r="AL58" s="38" t="s">
        <v>885</v>
      </c>
      <c r="AM58" s="40"/>
      <c r="AN58" s="40"/>
      <c r="AO58" s="47"/>
      <c r="AP58" s="38" t="s">
        <v>885</v>
      </c>
      <c r="AQ58" s="40"/>
      <c r="AR58" s="40"/>
      <c r="AS58" s="39"/>
      <c r="AT58" s="38"/>
      <c r="AU58" s="46"/>
      <c r="AV58" s="46"/>
      <c r="AW58" s="40"/>
      <c r="AX58" s="40"/>
      <c r="AY58" s="46"/>
      <c r="AZ58" s="40"/>
      <c r="BA58" s="40"/>
      <c r="BB58" s="40"/>
      <c r="BC58" s="40"/>
      <c r="BD58" s="40"/>
      <c r="BE58" s="40"/>
      <c r="BF58" s="40"/>
      <c r="BG58" s="40"/>
      <c r="BH58" s="40"/>
      <c r="BI58" s="46"/>
      <c r="BJ58" s="39"/>
      <c r="BK58" s="4"/>
      <c r="BP58" s="97" t="str">
        <f>"CREATE TRIGGER `"&amp;$G$10&amp;"_CR_Date_Time` BEFORE INSERT ON `"&amp;$G$10&amp;"` FOR EACH ROW SET NEW.record_create_date = CURRENT_DATE, NEW.record_create_time = CURRENT_TIME, NEW.record_update_date = CURRENT_DATE, NEW.record_update_time = CURRENT_TIME;"</f>
        <v>CREATE TRIGGER `DiscountMDHierarchyMVKMaster_CR_Date_Time` BEFORE INSERT ON `DiscountMDHierarchyMVKMaster` FOR EACH ROW SET NEW.record_create_date = CURRENT_DATE, NEW.record_create_time = CURRENT_TIME, NEW.record_update_date = CURRENT_DATE, NEW.record_update_time = CURRENT_TIME;</v>
      </c>
      <c r="BQ58" t="s">
        <v>626</v>
      </c>
      <c r="BS58" t="s">
        <v>626</v>
      </c>
      <c r="BU58" t="s">
        <v>626</v>
      </c>
      <c r="BV58" s="97" t="str">
        <f>IF(_xlfn.XLOOKUP(4,$AH:$AH,$R:$R,"",0)="","","AND A.`"&amp;_xlfn.XLOOKUP(4,$AH:$AH,$R:$R,"",0)&amp;"` = B.`"&amp;_xlfn.XLOOKUP(4,$AH:$AH,$R:$R,"",0)&amp;"`")</f>
        <v>AND A.`MDHierarchyCode` = B.`MDHierarchyCode`</v>
      </c>
      <c r="BW58" t="s">
        <v>626</v>
      </c>
      <c r="BY58" t="s">
        <v>626</v>
      </c>
      <c r="BZ58" s="97" t="str">
        <f>IF(_xlfn.XLOOKUP(1,$AH:$AH,$R:$R,"",0)="","","A.`"&amp;_xlfn.XLOOKUP(1,$AH:$AH,$R:$R,"",0)&amp;"` = B.`"&amp;_xlfn.XLOOKUP(1,$AH:$AH,$R:$R,"",0)&amp;"`")</f>
        <v>A.`CompanyCode` = B.`CompanyCode`</v>
      </c>
      <c r="CA58" t="s">
        <v>626</v>
      </c>
    </row>
    <row r="59" spans="1:79" ht="15" customHeight="1">
      <c r="A59" s="100"/>
      <c r="BK59" s="4"/>
      <c r="BP59" s="97" t="str">
        <f>"CREATE TRIGGER `"&amp;$G$10&amp;"_UP_Date_Time` BEFORE UPDATE ON `"&amp;$G$10&amp;"` FOR EACH ROW SET NEW.record_update_date = CURRENT_DATE, NEW.record_update_time = CURRENT_TIME;"</f>
        <v>CREATE TRIGGER `DiscountMDHierarchyMVKMaster_UP_Date_Time` BEFORE UPDATE ON `DiscountMDHierarchyMVKMaster` FOR EACH ROW SET NEW.record_update_date = CURRENT_DATE, NEW.record_update_time = CURRENT_TIME;</v>
      </c>
      <c r="BQ59" t="s">
        <v>626</v>
      </c>
      <c r="BS59" t="s">
        <v>626</v>
      </c>
      <c r="BU59" t="s">
        <v>626</v>
      </c>
      <c r="BV59" s="97" t="str">
        <f>IF(_xlfn.XLOOKUP(5,$AH:$AH,$R:$R,"",0)="","","AND A.`"&amp;_xlfn.XLOOKUP(5,$AH:$AH,$R:$R,"",0)&amp;"` = B.`"&amp;_xlfn.XLOOKUP(5,$AH:$AH,$R:$R,"",0)&amp;"`")</f>
        <v>AND A.`MDHierarchyLevel` = B.`MDHierarchyLevel`</v>
      </c>
      <c r="BW59" t="s">
        <v>626</v>
      </c>
      <c r="BY59" t="s">
        <v>626</v>
      </c>
      <c r="BZ59" s="97" t="str">
        <f>IF(_xlfn.XLOOKUP(2,$AH:$AH,$R:$R,"",0)="","","AND A.`"&amp;_xlfn.XLOOKUP(2,$AH:$AH,$R:$R,"",0)&amp;"` = B.`"&amp;_xlfn.XLOOKUP(2,$AH:$AH,$R:$R,"",0)&amp;"`")</f>
        <v>AND A.`StoreCode` = B.`StoreCode`</v>
      </c>
      <c r="CA59" t="s">
        <v>626</v>
      </c>
    </row>
    <row r="60" spans="1:79" ht="15" customHeight="1">
      <c r="A60" s="100"/>
      <c r="BK60" s="4"/>
      <c r="BQ60" t="s">
        <v>626</v>
      </c>
      <c r="BS60" t="s">
        <v>626</v>
      </c>
      <c r="BU60" t="s">
        <v>626</v>
      </c>
      <c r="BV60" s="97" t="str">
        <f>IF(_xlfn.XLOOKUP(6,$AH:$AH,$R:$R,"",0)="","","AND A.`"&amp;_xlfn.XLOOKUP(6,$AH:$AH,$R:$R,"",0)&amp;"` = B.`"&amp;_xlfn.XLOOKUP(6,$AH:$AH,$R:$R,"",0)&amp;"`")</f>
        <v>AND A.`PromotionCode` = B.`PromotionCode`</v>
      </c>
      <c r="BW60" t="s">
        <v>626</v>
      </c>
      <c r="BY60" t="s">
        <v>626</v>
      </c>
      <c r="BZ60" s="97" t="str">
        <f>IF(_xlfn.XLOOKUP(3,$AH:$AH,$R:$R,"",0)="","","AND A.`"&amp;_xlfn.XLOOKUP(3,$AH:$AH,$R:$R,"",0)&amp;"` = B.`"&amp;_xlfn.XLOOKUP(3,$AH:$AH,$R:$R,"",0)&amp;"`")</f>
        <v>AND A.`DiscountMDHierarchyCode` = B.`DiscountMDHierarchyCode`</v>
      </c>
      <c r="CA60" t="s">
        <v>626</v>
      </c>
    </row>
    <row r="61" spans="1:79">
      <c r="A61" s="100"/>
      <c r="B61" s="37" t="s">
        <v>34</v>
      </c>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4"/>
      <c r="BQ61" t="s">
        <v>626</v>
      </c>
      <c r="BS61" t="s">
        <v>626</v>
      </c>
      <c r="BU61" t="s">
        <v>626</v>
      </c>
      <c r="BV61" s="97" t="str">
        <f>IF(_xlfn.XLOOKUP(7,$AH:$AH,$R:$R,"",0)="","","AND A.`"&amp;_xlfn.XLOOKUP(7,$AH:$AH,$R:$R,"",0)&amp;"` = B.`"&amp;_xlfn.XLOOKUP(7,$AH:$AH,$R:$R,"",0)&amp;"`")</f>
        <v>AND A.`ApplyDateTime` = B.`ApplyDateTime`</v>
      </c>
      <c r="BW61" t="s">
        <v>626</v>
      </c>
      <c r="BY61" t="s">
        <v>626</v>
      </c>
      <c r="BZ61" s="97" t="str">
        <f>IF(_xlfn.XLOOKUP(4,$AH:$AH,$R:$R,"",0)="","","AND A.`"&amp;_xlfn.XLOOKUP(4,$AH:$AH,$R:$R,"",0)&amp;"` = B.`"&amp;_xlfn.XLOOKUP(4,$AH:$AH,$R:$R,"",0)&amp;"`")</f>
        <v>AND A.`MDHierarchyCode` = B.`MDHierarchyCode`</v>
      </c>
      <c r="CA61" t="s">
        <v>626</v>
      </c>
    </row>
    <row r="62" spans="1:79">
      <c r="A62" s="98"/>
      <c r="B62" s="34" t="s">
        <v>35</v>
      </c>
      <c r="C62" s="45"/>
      <c r="D62" s="34" t="s">
        <v>36</v>
      </c>
      <c r="E62" s="44"/>
      <c r="F62" s="44"/>
      <c r="G62" s="44"/>
      <c r="H62" s="44"/>
      <c r="I62" s="44"/>
      <c r="J62" s="44"/>
      <c r="K62" s="44"/>
      <c r="L62" s="36"/>
      <c r="M62" s="36"/>
      <c r="N62" s="36"/>
      <c r="O62" s="36"/>
      <c r="P62" s="36"/>
      <c r="Q62" s="35"/>
      <c r="R62" s="34" t="s">
        <v>37</v>
      </c>
      <c r="S62" s="36"/>
      <c r="T62" s="45"/>
      <c r="U62" s="34" t="s">
        <v>38</v>
      </c>
      <c r="V62" s="36"/>
      <c r="W62" s="44"/>
      <c r="X62" s="45"/>
      <c r="Y62" s="34" t="s">
        <v>39</v>
      </c>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5"/>
      <c r="BK62" s="4"/>
      <c r="BQ62" t="s">
        <v>626</v>
      </c>
      <c r="BS62" t="s">
        <v>626</v>
      </c>
      <c r="BU62" t="s">
        <v>626</v>
      </c>
      <c r="BV62" s="97" t="str">
        <f>IF(_xlfn.XLOOKUP(8,$AH:$AH,$R:$R,"",0)="","","AND A.`"&amp;_xlfn.XLOOKUP(8,$AH:$AH,$R:$R,"",0)&amp;"` = B.`"&amp;_xlfn.XLOOKUP(8,$AH:$AH,$R:$R,"",0)&amp;"`")</f>
        <v/>
      </c>
      <c r="BW62" t="s">
        <v>626</v>
      </c>
      <c r="BY62" t="s">
        <v>626</v>
      </c>
      <c r="BZ62" s="97" t="str">
        <f>IF(_xlfn.XLOOKUP(5,$AH:$AH,$R:$R,"",0)="","","AND A.`"&amp;_xlfn.XLOOKUP(5,$AH:$AH,$R:$R,"",0)&amp;"` = B.`"&amp;_xlfn.XLOOKUP(5,$AH:$AH,$R:$R,"",0)&amp;"`")</f>
        <v>AND A.`MDHierarchyLevel` = B.`MDHierarchyLevel`</v>
      </c>
      <c r="CA62" t="s">
        <v>626</v>
      </c>
    </row>
    <row r="63" spans="1:79">
      <c r="A63" s="1"/>
      <c r="B63" s="41">
        <v>1</v>
      </c>
      <c r="C63" s="47"/>
      <c r="D63" s="41" t="str">
        <f>G10&amp;"_"&amp;R63&amp;"_"&amp;"trg"</f>
        <v>DiscountMDHierarchyMVKMaster_update_trg</v>
      </c>
      <c r="E63" s="46"/>
      <c r="F63" s="46"/>
      <c r="G63" s="46"/>
      <c r="H63" s="46"/>
      <c r="I63" s="46"/>
      <c r="J63" s="46"/>
      <c r="K63" s="46"/>
      <c r="L63" s="42"/>
      <c r="M63" s="42"/>
      <c r="N63" s="42"/>
      <c r="O63" s="42"/>
      <c r="P63" s="42"/>
      <c r="Q63" s="43"/>
      <c r="R63" s="41" t="s">
        <v>40</v>
      </c>
      <c r="S63" s="42"/>
      <c r="T63" s="47"/>
      <c r="U63" s="41" t="s">
        <v>41</v>
      </c>
      <c r="V63" s="42"/>
      <c r="W63" s="46"/>
      <c r="X63" s="47"/>
      <c r="Y63" s="41" t="s">
        <v>42</v>
      </c>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3"/>
      <c r="BK63" s="4"/>
      <c r="BQ63" t="s">
        <v>626</v>
      </c>
      <c r="BS63" t="s">
        <v>626</v>
      </c>
      <c r="BU63" t="s">
        <v>626</v>
      </c>
      <c r="BV63" s="97" t="s">
        <v>936</v>
      </c>
      <c r="BW63" t="s">
        <v>626</v>
      </c>
      <c r="BY63" t="s">
        <v>626</v>
      </c>
      <c r="BZ63" s="97" t="str">
        <f>IF(_xlfn.XLOOKUP(6,$AH:$AH,$R:$R,"",0)="","","AND A.`"&amp;_xlfn.XLOOKUP(6,$AH:$AH,$R:$R,"",0)&amp;"` = B.`"&amp;_xlfn.XLOOKUP(6,$AH:$AH,$R:$R,"",0)&amp;"`")</f>
        <v>AND A.`PromotionCode` = B.`PromotionCode`</v>
      </c>
      <c r="CA63" t="s">
        <v>626</v>
      </c>
    </row>
    <row r="64" spans="1:79">
      <c r="A64" s="1"/>
      <c r="BK64" s="4"/>
      <c r="BQ64" t="s">
        <v>626</v>
      </c>
      <c r="BS64" t="s">
        <v>626</v>
      </c>
      <c r="BU64" t="s">
        <v>626</v>
      </c>
      <c r="BW64" t="s">
        <v>626</v>
      </c>
      <c r="BY64" t="s">
        <v>626</v>
      </c>
      <c r="BZ64" s="97" t="str">
        <f>IF(_xlfn.XLOOKUP(7,$AH:$AH,$R:$R,"",0)="","","AND A.`"&amp;_xlfn.XLOOKUP(7,$AH:$AH,$R:$R,"",0)&amp;"` = B.`"&amp;_xlfn.XLOOKUP(7,$AH:$AH,$R:$R,"",0)&amp;"`")</f>
        <v>AND A.`ApplyDateTime` = B.`ApplyDateTime`</v>
      </c>
      <c r="CA64" t="s">
        <v>626</v>
      </c>
    </row>
    <row r="65" spans="1:79">
      <c r="A65" s="1"/>
      <c r="BK65" s="4"/>
      <c r="BQ65" t="s">
        <v>626</v>
      </c>
      <c r="BS65" t="s">
        <v>626</v>
      </c>
      <c r="BU65" t="s">
        <v>626</v>
      </c>
      <c r="BW65" t="s">
        <v>626</v>
      </c>
      <c r="BY65" t="s">
        <v>626</v>
      </c>
      <c r="BZ65" s="97" t="str">
        <f>IF(_xlfn.XLOOKUP(8,$AH:$AH,$R:$R,"",0)="","","AND A.`"&amp;_xlfn.XLOOKUP(8,$AH:$AH,$R:$R,"",0)&amp;"` = B.`"&amp;_xlfn.XLOOKUP(8,$AH:$AH,$R:$R,"",0)&amp;"`")</f>
        <v/>
      </c>
      <c r="CA65" t="s">
        <v>626</v>
      </c>
    </row>
    <row r="66" spans="1:79">
      <c r="A66" s="1"/>
      <c r="BK66" s="4"/>
      <c r="BQ66" t="s">
        <v>626</v>
      </c>
      <c r="BS66" t="s">
        <v>626</v>
      </c>
      <c r="BU66" t="s">
        <v>626</v>
      </c>
      <c r="BW66" t="s">
        <v>626</v>
      </c>
      <c r="BY66" t="s">
        <v>626</v>
      </c>
      <c r="BZ66" s="97" t="s">
        <v>929</v>
      </c>
      <c r="CA66" t="s">
        <v>626</v>
      </c>
    </row>
    <row r="67" spans="1:79">
      <c r="A67" s="1"/>
      <c r="BK67" s="4"/>
      <c r="BQ67" t="s">
        <v>626</v>
      </c>
      <c r="BS67" t="s">
        <v>626</v>
      </c>
      <c r="BU67" t="s">
        <v>626</v>
      </c>
      <c r="BW67" t="s">
        <v>626</v>
      </c>
      <c r="BY67" t="s">
        <v>626</v>
      </c>
      <c r="CA67" t="s">
        <v>626</v>
      </c>
    </row>
    <row r="68" spans="1:79">
      <c r="A68" s="1"/>
      <c r="BK68" s="4"/>
      <c r="BQ68" t="s">
        <v>626</v>
      </c>
      <c r="BS68" t="s">
        <v>626</v>
      </c>
      <c r="BU68" t="s">
        <v>626</v>
      </c>
      <c r="BW68" t="s">
        <v>626</v>
      </c>
      <c r="BY68" t="s">
        <v>626</v>
      </c>
      <c r="BZ68" s="98"/>
      <c r="CA68" t="s">
        <v>626</v>
      </c>
    </row>
    <row r="69" spans="1:79">
      <c r="A69" s="1"/>
      <c r="BK69" s="4"/>
      <c r="BQ69" t="s">
        <v>626</v>
      </c>
      <c r="BS69" t="s">
        <v>626</v>
      </c>
      <c r="BU69" t="s">
        <v>626</v>
      </c>
      <c r="BW69" t="s">
        <v>626</v>
      </c>
      <c r="BY69" t="s">
        <v>626</v>
      </c>
      <c r="BZ69" t="str">
        <f>"DROP TABLE IF EXISTS `TMP`.`"&amp;$G$10&amp;"`;"</f>
        <v>DROP TABLE IF EXISTS `TMP`.`DiscountMDHierarchyMVKMaster`;</v>
      </c>
      <c r="CA69" t="s">
        <v>626</v>
      </c>
    </row>
    <row r="70" spans="1:79">
      <c r="A70" s="1"/>
      <c r="BK70" s="4"/>
      <c r="BQ70" t="s">
        <v>626</v>
      </c>
      <c r="BS70" t="s">
        <v>626</v>
      </c>
      <c r="BU70" t="s">
        <v>626</v>
      </c>
      <c r="BW70" t="s">
        <v>626</v>
      </c>
      <c r="BY70" t="s">
        <v>626</v>
      </c>
      <c r="BZ70" t="s">
        <v>937</v>
      </c>
      <c r="CA70" t="s">
        <v>626</v>
      </c>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4B802-B149-4E40-B9CF-B163EF03ACFF}">
  <dimension ref="A1:CA62"/>
  <sheetViews>
    <sheetView view="pageBreakPreview" topLeftCell="A13" zoomScale="80" zoomScaleNormal="75" zoomScaleSheetLayoutView="80" workbookViewId="0">
      <selection activeCell="BP38" sqref="BP38:BP39"/>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1001</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697</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`POS_MASTER`.`EmployeeMaster`;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`POS_MASTER`.`EmployeeMaster`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3"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'C:/04_DATAFILE/EmployeeMaster/TMP/EmployeeMaster.CSV' </v>
      </c>
      <c r="BU24" t="s">
        <v>626</v>
      </c>
      <c r="BV24" s="97" t="str">
        <f>"UPDATE `POS_MASTER`.`"&amp;$G$10&amp;"` A,`TMP`.`"&amp;$G$10&amp;"` B"</f>
        <v>UPDATE `POS_MASTER`.`EmployeeMaster` A,`TMP`.`EmployeeMaster`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`TMP`.`EmployeeMaster`;</v>
      </c>
      <c r="BS25" t="s">
        <v>626</v>
      </c>
      <c r="BT25" s="97" t="str">
        <f>"REPLACE INTO TABLE TMP.`"&amp;$G$10&amp;"` CHARACTER SET 'UTF8'"</f>
        <v>REPLACE INTO TABLE TMP.`EmployeeMaster`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`TMP`.`EmployeeMaster`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v>
      </c>
      <c r="BU26" t="s">
        <v>626</v>
      </c>
      <c r="BV26" s="97"/>
      <c r="BW26" t="s">
        <v>626</v>
      </c>
      <c r="BX26" s="97" t="str">
        <f>"INSERT INTO `POS_MASTER`.`"&amp;$G$10&amp;"` ("</f>
        <v>INSERT INTO `POS_MASTER`.`EmployeeMaster`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695</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3"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3" si="2">",A.`"&amp;R28&amp;"` = B.`"&amp;R28&amp;"`"</f>
        <v>,A.`StoreCode` = B.`StoreCode`</v>
      </c>
      <c r="BW28" t="s">
        <v>626</v>
      </c>
      <c r="BX28" s="97" t="str">
        <f t="shared" ref="BX28:BX33" si="3">",`"&amp;R28&amp;"`"</f>
        <v>,`StoreCode`</v>
      </c>
      <c r="BY28" t="s">
        <v>626</v>
      </c>
      <c r="BZ28" s="97" t="str">
        <f t="shared" ref="BZ28:BZ33" si="4">",`"&amp;R28&amp;"`"</f>
        <v>,`StoreCode`</v>
      </c>
      <c r="CA28" t="s">
        <v>626</v>
      </c>
    </row>
    <row r="29" spans="1:79" ht="15" customHeight="1">
      <c r="A29" s="100" t="s">
        <v>966</v>
      </c>
      <c r="B29" s="23">
        <f t="shared" si="0"/>
        <v>9</v>
      </c>
      <c r="C29" s="24"/>
      <c r="D29" s="22" t="s">
        <v>690</v>
      </c>
      <c r="E29" s="25"/>
      <c r="F29" s="25"/>
      <c r="G29" s="25"/>
      <c r="H29" s="25"/>
      <c r="I29" s="25"/>
      <c r="J29" s="25"/>
      <c r="K29" s="25"/>
      <c r="L29" s="25"/>
      <c r="M29" s="25"/>
      <c r="N29" s="25"/>
      <c r="O29" s="25"/>
      <c r="P29" s="25"/>
      <c r="Q29" s="26"/>
      <c r="R29" s="22" t="s">
        <v>698</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varchar(16)</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16</v>
      </c>
      <c r="BP29" t="str">
        <f t="shared" si="1"/>
        <v>,`EmployeeCode` varchar(16) NOT NULL COMMENT '従業員コード'</v>
      </c>
      <c r="BQ29" t="s">
        <v>626</v>
      </c>
      <c r="BR29" t="str">
        <f t="shared" ref="BR29:BR33" si="5">",`"&amp;R29&amp;"` "&amp;AC29&amp;" "&amp;IF(AJ29="Y","NOT NULL","")</f>
        <v>,`EmployeeCode` varchar(16) NOT NULL</v>
      </c>
      <c r="BS29" t="s">
        <v>626</v>
      </c>
      <c r="BT29" t="str">
        <f t="shared" ref="BT29:BT33" si="6">",`"&amp;R29&amp;"` = "&amp;IF(LEFT(AC29,4)="date", "if(@"&amp;B29-5&amp;" &gt; '0000-00-00 00:00:00', if(@"&amp;B29-5&amp;" &gt; '2999-12-31 23:59:59', '2999-12-31 23:59:59', @"&amp;B29-5&amp;"), null)","if(nullif( @"&amp;B29-5&amp;",'') &gt; '', @"&amp;B29-5&amp;", null )")</f>
        <v>,`EmployeeCode` = if(nullif( @4,'') &gt; '', @4, null )</v>
      </c>
      <c r="BU29" t="s">
        <v>626</v>
      </c>
      <c r="BV29" s="97" t="str">
        <f t="shared" si="2"/>
        <v>,A.`EmployeeCode` = B.`EmployeeCode`</v>
      </c>
      <c r="BW29" t="s">
        <v>626</v>
      </c>
      <c r="BX29" s="97" t="str">
        <f t="shared" si="3"/>
        <v>,`EmployeeCode`</v>
      </c>
      <c r="BY29" t="s">
        <v>626</v>
      </c>
      <c r="BZ29" s="97" t="str">
        <f t="shared" si="4"/>
        <v>,`EmployeeCode`</v>
      </c>
      <c r="CA29" t="s">
        <v>626</v>
      </c>
    </row>
    <row r="30" spans="1:79" ht="15" customHeight="1">
      <c r="A30" s="100" t="s">
        <v>967</v>
      </c>
      <c r="B30" s="23">
        <f t="shared" si="0"/>
        <v>10</v>
      </c>
      <c r="C30" s="24"/>
      <c r="D30" s="22" t="s">
        <v>691</v>
      </c>
      <c r="E30" s="25"/>
      <c r="F30" s="25"/>
      <c r="G30" s="25"/>
      <c r="H30" s="25"/>
      <c r="I30" s="25"/>
      <c r="J30" s="25"/>
      <c r="K30" s="25"/>
      <c r="L30" s="25"/>
      <c r="M30" s="25"/>
      <c r="N30" s="25"/>
      <c r="O30" s="25"/>
      <c r="P30" s="25"/>
      <c r="Q30" s="26"/>
      <c r="R30" s="22" t="s">
        <v>688</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varchar(2)</v>
      </c>
      <c r="AD30" s="25"/>
      <c r="AE30" s="25"/>
      <c r="AF30" s="25"/>
      <c r="AG30" s="26"/>
      <c r="AH30" s="22"/>
      <c r="AI30" s="26"/>
      <c r="AJ30" s="22" t="s">
        <v>885</v>
      </c>
      <c r="AK30" s="25"/>
      <c r="AL30" s="26"/>
      <c r="AM30" s="22"/>
      <c r="AN30" s="25"/>
      <c r="AO30" s="25"/>
      <c r="AP30" s="25"/>
      <c r="AQ30" s="25"/>
      <c r="AR30" s="25"/>
      <c r="AS30" s="26"/>
      <c r="AT30" s="22" t="s">
        <v>696</v>
      </c>
      <c r="AU30" s="25"/>
      <c r="AV30" s="25"/>
      <c r="AW30" s="25"/>
      <c r="AX30" s="25"/>
      <c r="AY30" s="25"/>
      <c r="AZ30" s="25"/>
      <c r="BA30" s="25"/>
      <c r="BB30" s="25"/>
      <c r="BC30" s="25"/>
      <c r="BD30" s="25"/>
      <c r="BE30" s="25"/>
      <c r="BF30" s="25"/>
      <c r="BG30" s="25"/>
      <c r="BH30" s="25"/>
      <c r="BI30" s="25"/>
      <c r="BJ30" s="26"/>
      <c r="BK30" s="4"/>
      <c r="BM30" t="s">
        <v>888</v>
      </c>
      <c r="BN30">
        <v>2</v>
      </c>
      <c r="BP30" t="str">
        <f t="shared" si="1"/>
        <v>,`EmployeeRoleCode` varchar(2) NOT NULL COMMENT '従業員役職コード'</v>
      </c>
      <c r="BQ30" t="s">
        <v>626</v>
      </c>
      <c r="BR30" t="str">
        <f t="shared" si="5"/>
        <v>,`EmployeeRoleCode` varchar(2) NOT NULL</v>
      </c>
      <c r="BS30" t="s">
        <v>626</v>
      </c>
      <c r="BT30" t="str">
        <f t="shared" si="6"/>
        <v>,`EmployeeRoleCode` = if(nullif( @5,'') &gt; '', @5, null )</v>
      </c>
      <c r="BU30" t="s">
        <v>626</v>
      </c>
      <c r="BV30" s="97" t="str">
        <f t="shared" si="2"/>
        <v>,A.`EmployeeRoleCode` = B.`EmployeeRoleCode`</v>
      </c>
      <c r="BW30" t="s">
        <v>626</v>
      </c>
      <c r="BX30" s="97" t="str">
        <f t="shared" si="3"/>
        <v>,`EmployeeRoleCode`</v>
      </c>
      <c r="BY30" t="s">
        <v>626</v>
      </c>
      <c r="BZ30" s="97" t="str">
        <f t="shared" si="4"/>
        <v>,`EmployeeRoleCode`</v>
      </c>
      <c r="CA30" t="s">
        <v>626</v>
      </c>
    </row>
    <row r="31" spans="1:79" ht="15" customHeight="1">
      <c r="A31" s="100" t="s">
        <v>968</v>
      </c>
      <c r="B31" s="23">
        <f t="shared" si="0"/>
        <v>11</v>
      </c>
      <c r="C31" s="24"/>
      <c r="D31" s="22" t="s">
        <v>692</v>
      </c>
      <c r="E31" s="25"/>
      <c r="F31" s="25"/>
      <c r="G31" s="25"/>
      <c r="H31" s="25"/>
      <c r="I31" s="25"/>
      <c r="J31" s="25"/>
      <c r="K31" s="25"/>
      <c r="L31" s="25"/>
      <c r="M31" s="25"/>
      <c r="N31" s="25"/>
      <c r="O31" s="25"/>
      <c r="P31" s="25"/>
      <c r="Q31" s="26"/>
      <c r="R31" s="22" t="s">
        <v>520</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varchar(50)</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888</v>
      </c>
      <c r="BN31">
        <v>50</v>
      </c>
      <c r="BP31" t="str">
        <f t="shared" si="1"/>
        <v>,`Name` varchar(50)  COMMENT '従業員名'</v>
      </c>
      <c r="BQ31" t="s">
        <v>626</v>
      </c>
      <c r="BR31" t="str">
        <f t="shared" si="5"/>
        <v xml:space="preserve">,`Name` varchar(50) </v>
      </c>
      <c r="BS31" t="s">
        <v>626</v>
      </c>
      <c r="BT31" t="str">
        <f t="shared" si="6"/>
        <v>,`Name` = if(nullif( @6,'') &gt; '', @6, null )</v>
      </c>
      <c r="BU31" t="s">
        <v>626</v>
      </c>
      <c r="BV31" s="97" t="str">
        <f t="shared" si="2"/>
        <v>,A.`Name` = B.`Name`</v>
      </c>
      <c r="BW31" t="s">
        <v>626</v>
      </c>
      <c r="BX31" s="97" t="str">
        <f t="shared" si="3"/>
        <v>,`Name`</v>
      </c>
      <c r="BY31" t="s">
        <v>626</v>
      </c>
      <c r="BZ31" s="97" t="str">
        <f t="shared" si="4"/>
        <v>,`Name`</v>
      </c>
      <c r="CA31" t="s">
        <v>626</v>
      </c>
    </row>
    <row r="32" spans="1:79" ht="15" customHeight="1">
      <c r="A32" s="100" t="s">
        <v>969</v>
      </c>
      <c r="B32" s="23">
        <f t="shared" si="0"/>
        <v>12</v>
      </c>
      <c r="C32" s="24"/>
      <c r="D32" s="22" t="s">
        <v>693</v>
      </c>
      <c r="E32" s="25"/>
      <c r="F32" s="25"/>
      <c r="G32" s="25"/>
      <c r="H32" s="25"/>
      <c r="I32" s="25"/>
      <c r="J32" s="25"/>
      <c r="K32" s="25"/>
      <c r="L32" s="25"/>
      <c r="M32" s="25"/>
      <c r="N32" s="25"/>
      <c r="O32" s="25"/>
      <c r="P32" s="25"/>
      <c r="Q32" s="26"/>
      <c r="R32" s="22" t="s">
        <v>689</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varchar(50)</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
        <v>888</v>
      </c>
      <c r="BN32">
        <v>50</v>
      </c>
      <c r="BP32" t="str">
        <f t="shared" si="1"/>
        <v>,`Namekana` varchar(50)  COMMENT 'カナ名称'</v>
      </c>
      <c r="BQ32" t="s">
        <v>626</v>
      </c>
      <c r="BR32" t="str">
        <f t="shared" si="5"/>
        <v xml:space="preserve">,`Namekana` varchar(50) </v>
      </c>
      <c r="BS32" t="s">
        <v>626</v>
      </c>
      <c r="BT32" t="str">
        <f t="shared" si="6"/>
        <v>,`Namekana` = if(nullif( @7,'') &gt; '', @7, null )</v>
      </c>
      <c r="BU32" t="s">
        <v>626</v>
      </c>
      <c r="BV32" s="97" t="str">
        <f t="shared" si="2"/>
        <v>,A.`Namekana` = B.`Namekana`</v>
      </c>
      <c r="BW32" t="s">
        <v>626</v>
      </c>
      <c r="BX32" s="97" t="str">
        <f t="shared" si="3"/>
        <v>,`Namekana`</v>
      </c>
      <c r="BY32" t="s">
        <v>626</v>
      </c>
      <c r="BZ32" s="97" t="str">
        <f t="shared" si="4"/>
        <v>,`Namekana`</v>
      </c>
      <c r="CA32" t="s">
        <v>626</v>
      </c>
    </row>
    <row r="33" spans="1:79" ht="15" customHeight="1">
      <c r="A33" s="100" t="s">
        <v>970</v>
      </c>
      <c r="B33" s="28">
        <f t="shared" si="0"/>
        <v>13</v>
      </c>
      <c r="C33" s="29"/>
      <c r="D33" s="30" t="s">
        <v>694</v>
      </c>
      <c r="E33" s="31"/>
      <c r="F33" s="31"/>
      <c r="G33" s="31"/>
      <c r="H33" s="31"/>
      <c r="I33" s="31"/>
      <c r="J33" s="31"/>
      <c r="K33" s="31"/>
      <c r="L33" s="31"/>
      <c r="M33" s="31"/>
      <c r="N33" s="31"/>
      <c r="O33" s="31"/>
      <c r="P33" s="31"/>
      <c r="Q33" s="32"/>
      <c r="R33" s="30" t="s">
        <v>407</v>
      </c>
      <c r="S33" s="31"/>
      <c r="T33" s="31"/>
      <c r="U33" s="31"/>
      <c r="V33" s="31"/>
      <c r="W33" s="31"/>
      <c r="X33" s="31"/>
      <c r="Y33" s="31"/>
      <c r="Z33" s="31"/>
      <c r="AA33" s="31"/>
      <c r="AB33" s="32"/>
      <c r="AC33" s="30" t="str" cm="1">
        <f t="array" ref="AC33">_xlfn.SWITCH(BM33,"nvarchar","varchar("&amp;BN33&amp;")","smallint","smallint","date","date","money","decimal(19,4)","numeric","numeric("&amp;BN33&amp;")","int","int","bit","char(1)","datetime2","datetime","time","time")</f>
        <v>varchar(50)</v>
      </c>
      <c r="AD33" s="31"/>
      <c r="AE33" s="31"/>
      <c r="AF33" s="31"/>
      <c r="AG33" s="32"/>
      <c r="AH33" s="30"/>
      <c r="AI33" s="32"/>
      <c r="AJ33" s="30"/>
      <c r="AK33" s="31"/>
      <c r="AL33" s="32"/>
      <c r="AM33" s="30"/>
      <c r="AN33" s="31"/>
      <c r="AO33" s="31"/>
      <c r="AP33" s="31"/>
      <c r="AQ33" s="31"/>
      <c r="AR33" s="31"/>
      <c r="AS33" s="32"/>
      <c r="AT33" s="30"/>
      <c r="AU33" s="31"/>
      <c r="AV33" s="31"/>
      <c r="AW33" s="31"/>
      <c r="AX33" s="31"/>
      <c r="AY33" s="31"/>
      <c r="AZ33" s="31"/>
      <c r="BA33" s="31"/>
      <c r="BB33" s="31"/>
      <c r="BC33" s="31"/>
      <c r="BD33" s="31"/>
      <c r="BE33" s="31"/>
      <c r="BF33" s="31"/>
      <c r="BG33" s="31"/>
      <c r="BH33" s="31"/>
      <c r="BI33" s="31"/>
      <c r="BJ33" s="32"/>
      <c r="BK33" s="4"/>
      <c r="BM33" t="s">
        <v>888</v>
      </c>
      <c r="BN33">
        <v>50</v>
      </c>
      <c r="BP33" t="str">
        <f t="shared" si="1"/>
        <v>,`Description` varchar(50)  COMMENT '従業員区分説明'</v>
      </c>
      <c r="BQ33" t="s">
        <v>626</v>
      </c>
      <c r="BR33" t="str">
        <f t="shared" si="5"/>
        <v xml:space="preserve">,`Description` varchar(50) </v>
      </c>
      <c r="BS33" t="s">
        <v>626</v>
      </c>
      <c r="BT33" t="str">
        <f t="shared" si="6"/>
        <v>,`Description` = if(nullif( @8,'') &gt; '', @8, null )</v>
      </c>
      <c r="BU33" t="s">
        <v>626</v>
      </c>
      <c r="BV33" s="97" t="str">
        <f t="shared" si="2"/>
        <v>,A.`Description` = B.`Description`</v>
      </c>
      <c r="BW33" t="s">
        <v>626</v>
      </c>
      <c r="BX33" s="97" t="str">
        <f t="shared" si="3"/>
        <v>,`Description`</v>
      </c>
      <c r="BY33" t="s">
        <v>626</v>
      </c>
      <c r="BZ33" s="97" t="str">
        <f t="shared" si="4"/>
        <v>,`Description`</v>
      </c>
      <c r="CA33" t="s">
        <v>626</v>
      </c>
    </row>
    <row r="34" spans="1:79" ht="15" customHeight="1">
      <c r="A34" s="100"/>
      <c r="BK34" s="4"/>
      <c r="BP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(`CompanyCode`,`StoreCode`,`EmployeeCode`),</v>
      </c>
      <c r="BQ34" t="s">
        <v>626</v>
      </c>
      <c r="BR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(`CompanyCode`,`StoreCode`,`EmployeeCode`)</v>
      </c>
      <c r="BS34" t="s">
        <v>626</v>
      </c>
      <c r="BT34" s="97" t="s">
        <v>936</v>
      </c>
      <c r="BU34" t="s">
        <v>626</v>
      </c>
      <c r="BV34" s="97" t="s">
        <v>934</v>
      </c>
      <c r="BW34" t="s">
        <v>626</v>
      </c>
      <c r="BY34" t="s">
        <v>626</v>
      </c>
      <c r="BZ34" s="97" t="str">
        <f>"FROM `TMP`.`"&amp;$G$10&amp;"` A"</f>
        <v>FROM `TMP`.`EmployeeMaster` A</v>
      </c>
      <c r="CA34" t="s">
        <v>626</v>
      </c>
    </row>
    <row r="35" spans="1:79" ht="15" customHeight="1">
      <c r="A35" s="100"/>
      <c r="BK35" s="4"/>
      <c r="BP35" s="97" t="s">
        <v>452</v>
      </c>
      <c r="BQ35" t="s">
        <v>626</v>
      </c>
      <c r="BR35" s="97" t="str">
        <f>") ENGINE=InnoDB DEFAULT CHARSET=utf8mb4 COLLATE=utf8mb4_0900_ai_ci COMMENT = '"&amp;$G$9&amp;"_TMP';"</f>
        <v>) ENGINE=InnoDB DEFAULT CHARSET=utf8mb4 COLLATE=utf8mb4_0900_ai_ci COMMENT = '担当者マスタ_TMP';</v>
      </c>
      <c r="BS35" t="s">
        <v>626</v>
      </c>
      <c r="BU35" t="s">
        <v>626</v>
      </c>
      <c r="BV35" s="97" t="str">
        <f>IF(_xlfn.XLOOKUP(1,$AH:$AH,$R:$R,"",0)="","","A.`"&amp;_xlfn.XLOOKUP(1,$AH:$AH,$R:$R,"",0)&amp;"` = B.`"&amp;_xlfn.XLOOKUP(1,$AH:$AH,$R:$R,"",0)&amp;"`")</f>
        <v>A.`CompanyCode` = B.`CompanyCode`</v>
      </c>
      <c r="BW35" t="s">
        <v>626</v>
      </c>
      <c r="BY35" t="s">
        <v>626</v>
      </c>
      <c r="BZ35" s="97" t="s">
        <v>935</v>
      </c>
      <c r="CA35" t="s">
        <v>626</v>
      </c>
    </row>
    <row r="36" spans="1:79" ht="15" customHeight="1">
      <c r="A36" s="100"/>
      <c r="B36" s="37" t="s">
        <v>49</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4"/>
      <c r="BP36" s="97" t="str">
        <f>") ENGINE=InnoDB DEFAULT CHARSET=utf8mb4 COLLATE=utf8mb4_0900_ai_ci COMMENT = '"&amp;$G$9&amp;"';"</f>
        <v>) ENGINE=InnoDB DEFAULT CHARSET=utf8mb4 COLLATE=utf8mb4_0900_ai_ci COMMENT = '担当者マスタ';</v>
      </c>
      <c r="BQ36" t="s">
        <v>626</v>
      </c>
      <c r="BS36" t="s">
        <v>626</v>
      </c>
      <c r="BU36" t="s">
        <v>626</v>
      </c>
      <c r="BV36" s="97" t="str">
        <f>IF(_xlfn.XLOOKUP(2,$AH:$AH,$R:$R,"",0)="","","AND A.`"&amp;_xlfn.XLOOKUP(2,$AH:$AH,$R:$R,"",0)&amp;"` = B.`"&amp;_xlfn.XLOOKUP(2,$AH:$AH,$R:$R,"",0)&amp;"`")</f>
        <v>AND A.`StoreCode` = B.`StoreCode`</v>
      </c>
      <c r="BW36" t="s">
        <v>626</v>
      </c>
      <c r="BY36" t="s">
        <v>626</v>
      </c>
      <c r="BZ36" s="97" t="str">
        <f>"FROM `POS_MASTER`.`"&amp;$G$10&amp;"` B"</f>
        <v>FROM `POS_MASTER`.`EmployeeMaster` B</v>
      </c>
      <c r="CA36" t="s">
        <v>626</v>
      </c>
    </row>
    <row r="37" spans="1:79" ht="15" customHeight="1">
      <c r="A37" s="100"/>
      <c r="B37" s="34" t="s">
        <v>50</v>
      </c>
      <c r="C37" s="35"/>
      <c r="D37" s="34" t="s">
        <v>51</v>
      </c>
      <c r="E37" s="44"/>
      <c r="F37" s="36"/>
      <c r="G37" s="36"/>
      <c r="H37" s="36"/>
      <c r="I37" s="36"/>
      <c r="J37" s="36"/>
      <c r="K37" s="36"/>
      <c r="L37" s="36"/>
      <c r="M37" s="36"/>
      <c r="N37" s="36"/>
      <c r="O37" s="36"/>
      <c r="P37" s="36"/>
      <c r="Q37" s="35"/>
      <c r="R37" s="34" t="s">
        <v>52</v>
      </c>
      <c r="S37" s="44"/>
      <c r="T37" s="36"/>
      <c r="U37" s="36"/>
      <c r="V37" s="36"/>
      <c r="W37" s="36"/>
      <c r="X37" s="36"/>
      <c r="Y37" s="36"/>
      <c r="Z37" s="36"/>
      <c r="AA37" s="36"/>
      <c r="AB37" s="36"/>
      <c r="AC37" s="36"/>
      <c r="AD37" s="36"/>
      <c r="AE37" s="36"/>
      <c r="AF37" s="36"/>
      <c r="AG37" s="36"/>
      <c r="AH37" s="36"/>
      <c r="AI37" s="36"/>
      <c r="AJ37" s="36"/>
      <c r="AK37" s="35"/>
      <c r="AL37" s="34" t="s">
        <v>53</v>
      </c>
      <c r="AM37" s="36"/>
      <c r="AN37" s="36"/>
      <c r="AO37" s="45"/>
      <c r="AP37" s="34" t="s">
        <v>54</v>
      </c>
      <c r="AQ37" s="36"/>
      <c r="AR37" s="36"/>
      <c r="AS37" s="35"/>
      <c r="AT37" s="34" t="s">
        <v>48</v>
      </c>
      <c r="AU37" s="44"/>
      <c r="AV37" s="44"/>
      <c r="AW37" s="36"/>
      <c r="AX37" s="36"/>
      <c r="AY37" s="44"/>
      <c r="AZ37" s="36"/>
      <c r="BA37" s="36"/>
      <c r="BB37" s="36"/>
      <c r="BC37" s="36"/>
      <c r="BD37" s="36"/>
      <c r="BE37" s="36"/>
      <c r="BF37" s="36"/>
      <c r="BG37" s="36"/>
      <c r="BH37" s="36"/>
      <c r="BI37" s="44"/>
      <c r="BJ37" s="35"/>
      <c r="BK37" s="4"/>
      <c r="BP37" s="97"/>
      <c r="BQ37" t="s">
        <v>626</v>
      </c>
      <c r="BS37" t="s">
        <v>626</v>
      </c>
      <c r="BU37" t="s">
        <v>626</v>
      </c>
      <c r="BV37" s="97" t="str">
        <f>IF(_xlfn.XLOOKUP(3,$AH:$AH,$R:$R,"",0)="","","AND A.`"&amp;_xlfn.XLOOKUP(3,$AH:$AH,$R:$R,"",0)&amp;"` = B.`"&amp;_xlfn.XLOOKUP(3,$AH:$AH,$R:$R,"",0)&amp;"`")</f>
        <v>AND A.`EmployeeCode` = B.`EmployeeCode`</v>
      </c>
      <c r="BW37" t="s">
        <v>626</v>
      </c>
      <c r="BY37" t="s">
        <v>626</v>
      </c>
      <c r="BZ37" s="97" t="s">
        <v>932</v>
      </c>
      <c r="CA37" t="s">
        <v>626</v>
      </c>
    </row>
    <row r="38" spans="1:79" ht="15" customHeight="1">
      <c r="A38" s="100"/>
      <c r="B38" s="38">
        <v>1</v>
      </c>
      <c r="C38" s="39"/>
      <c r="D38" s="38" t="s">
        <v>55</v>
      </c>
      <c r="E38" s="46"/>
      <c r="F38" s="40"/>
      <c r="G38" s="40"/>
      <c r="H38" s="40"/>
      <c r="I38" s="40"/>
      <c r="J38" s="40"/>
      <c r="K38" s="40"/>
      <c r="L38" s="40"/>
      <c r="M38" s="40"/>
      <c r="N38" s="40"/>
      <c r="O38" s="40"/>
      <c r="P38" s="40"/>
      <c r="Q38" s="39"/>
      <c r="R38"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`CompanyCode`,`StoreCode`,`EmployeeCode`</v>
      </c>
      <c r="S38" s="46"/>
      <c r="T38" s="40"/>
      <c r="U38" s="40"/>
      <c r="V38" s="40"/>
      <c r="W38" s="40"/>
      <c r="X38" s="40"/>
      <c r="Y38" s="40"/>
      <c r="Z38" s="40"/>
      <c r="AA38" s="40"/>
      <c r="AB38" s="40"/>
      <c r="AC38" s="40"/>
      <c r="AD38" s="40"/>
      <c r="AE38" s="40"/>
      <c r="AF38" s="40"/>
      <c r="AG38" s="40"/>
      <c r="AH38" s="40"/>
      <c r="AI38" s="40"/>
      <c r="AJ38" s="40"/>
      <c r="AK38" s="39"/>
      <c r="AL38" s="38" t="s">
        <v>885</v>
      </c>
      <c r="AM38" s="40"/>
      <c r="AN38" s="40"/>
      <c r="AO38" s="47"/>
      <c r="AP38" s="38" t="s">
        <v>885</v>
      </c>
      <c r="AQ38" s="40"/>
      <c r="AR38" s="40"/>
      <c r="AS38" s="39"/>
      <c r="AT38" s="38"/>
      <c r="AU38" s="46"/>
      <c r="AV38" s="46"/>
      <c r="AW38" s="40"/>
      <c r="AX38" s="40"/>
      <c r="AY38" s="46"/>
      <c r="AZ38" s="40"/>
      <c r="BA38" s="40"/>
      <c r="BB38" s="40"/>
      <c r="BC38" s="40"/>
      <c r="BD38" s="40"/>
      <c r="BE38" s="40"/>
      <c r="BF38" s="40"/>
      <c r="BG38" s="40"/>
      <c r="BH38" s="40"/>
      <c r="BI38" s="46"/>
      <c r="BJ38" s="39"/>
      <c r="BK38" s="4"/>
      <c r="BP38" s="97" t="str">
        <f>"CREATE TRIGGER `"&amp;$G$10&amp;"_CR_Date_Time` BEFORE INSERT ON `"&amp;$G$10&amp;"` FOR EACH ROW SET NEW.record_create_date = CURRENT_DATE, NEW.record_create_time = CURRENT_TIME, NEW.record_update_date = CURRENT_DATE, NEW.record_update_time = CURRENT_TIME;"</f>
        <v>CREATE TRIGGER `EmployeeMaster_CR_Date_Time` BEFORE INSERT ON `EmployeeMaster` FOR EACH ROW SET NEW.record_create_date = CURRENT_DATE, NEW.record_create_time = CURRENT_TIME, NEW.record_update_date = CURRENT_DATE, NEW.record_update_time = CURRENT_TIME;</v>
      </c>
      <c r="BQ38" t="s">
        <v>626</v>
      </c>
      <c r="BS38" t="s">
        <v>626</v>
      </c>
      <c r="BU38" t="s">
        <v>626</v>
      </c>
      <c r="BV38" s="97" t="str">
        <f>IF(_xlfn.XLOOKUP(4,$AH:$AH,$R:$R,"",0)="","","AND A.`"&amp;_xlfn.XLOOKUP(4,$AH:$AH,$R:$R,"",0)&amp;"` = B.`"&amp;_xlfn.XLOOKUP(4,$AH:$AH,$R:$R,"",0)&amp;"`")</f>
        <v/>
      </c>
      <c r="BW38" t="s">
        <v>626</v>
      </c>
      <c r="BY38" t="s">
        <v>626</v>
      </c>
      <c r="BZ38" s="97" t="str">
        <f>IF(_xlfn.XLOOKUP(1,$AH:$AH,$R:$R,"",0)="","","A.`"&amp;_xlfn.XLOOKUP(1,$AH:$AH,$R:$R,"",0)&amp;"` = B.`"&amp;_xlfn.XLOOKUP(1,$AH:$AH,$R:$R,"",0)&amp;"`")</f>
        <v>A.`CompanyCode` = B.`CompanyCode`</v>
      </c>
      <c r="CA38" t="s">
        <v>626</v>
      </c>
    </row>
    <row r="39" spans="1:79" ht="15" customHeight="1">
      <c r="A39" s="100"/>
      <c r="BK39" s="4"/>
      <c r="BP39" s="97" t="str">
        <f>"CREATE TRIGGER `"&amp;$G$10&amp;"_UP_Date_Time` BEFORE UPDATE ON `"&amp;$G$10&amp;"` FOR EACH ROW SET NEW.record_update_date = CURRENT_DATE, NEW.record_update_time = CURRENT_TIME;"</f>
        <v>CREATE TRIGGER `EmployeeMaster_UP_Date_Time` BEFORE UPDATE ON `EmployeeMaster` FOR EACH ROW SET NEW.record_update_date = CURRENT_DATE, NEW.record_update_time = CURRENT_TIME;</v>
      </c>
      <c r="BQ39" t="s">
        <v>626</v>
      </c>
      <c r="BS39" t="s">
        <v>626</v>
      </c>
      <c r="BU39" t="s">
        <v>626</v>
      </c>
      <c r="BV39" s="97" t="str">
        <f>IF(_xlfn.XLOOKUP(5,$AH:$AH,$R:$R,"",0)="","","AND A.`"&amp;_xlfn.XLOOKUP(5,$AH:$AH,$R:$R,"",0)&amp;"` = B.`"&amp;_xlfn.XLOOKUP(5,$AH:$AH,$R:$R,"",0)&amp;"`")</f>
        <v/>
      </c>
      <c r="BW39" t="s">
        <v>626</v>
      </c>
      <c r="BY39" t="s">
        <v>626</v>
      </c>
      <c r="BZ39" s="97" t="str">
        <f>IF(_xlfn.XLOOKUP(2,$AH:$AH,$R:$R,"",0)="","","AND A.`"&amp;_xlfn.XLOOKUP(2,$AH:$AH,$R:$R,"",0)&amp;"` = B.`"&amp;_xlfn.XLOOKUP(2,$AH:$AH,$R:$R,"",0)&amp;"`")</f>
        <v>AND A.`StoreCode` = B.`StoreCode`</v>
      </c>
      <c r="CA39" t="s">
        <v>626</v>
      </c>
    </row>
    <row r="40" spans="1:79" ht="15" customHeight="1">
      <c r="A40" s="100"/>
      <c r="BK40" s="4"/>
      <c r="BQ40" t="s">
        <v>626</v>
      </c>
      <c r="BS40" t="s">
        <v>626</v>
      </c>
      <c r="BU40" t="s">
        <v>626</v>
      </c>
      <c r="BV40" s="97" t="str">
        <f>IF(_xlfn.XLOOKUP(6,$AH:$AH,$R:$R,"",0)="","","AND A.`"&amp;_xlfn.XLOOKUP(6,$AH:$AH,$R:$R,"",0)&amp;"` = B.`"&amp;_xlfn.XLOOKUP(6,$AH:$AH,$R:$R,"",0)&amp;"`")</f>
        <v/>
      </c>
      <c r="BW40" t="s">
        <v>626</v>
      </c>
      <c r="BY40" t="s">
        <v>626</v>
      </c>
      <c r="BZ40" s="97" t="str">
        <f>IF(_xlfn.XLOOKUP(3,$AH:$AH,$R:$R,"",0)="","","AND A.`"&amp;_xlfn.XLOOKUP(3,$AH:$AH,$R:$R,"",0)&amp;"` = B.`"&amp;_xlfn.XLOOKUP(3,$AH:$AH,$R:$R,"",0)&amp;"`")</f>
        <v>AND A.`EmployeeCode` = B.`EmployeeCode`</v>
      </c>
      <c r="CA40" t="s">
        <v>626</v>
      </c>
    </row>
    <row r="41" spans="1:79">
      <c r="A41" s="100"/>
      <c r="B41" s="37" t="s">
        <v>34</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4"/>
      <c r="BQ41" t="s">
        <v>626</v>
      </c>
      <c r="BS41" t="s">
        <v>626</v>
      </c>
      <c r="BU41" t="s">
        <v>626</v>
      </c>
      <c r="BV41" s="97" t="str">
        <f>IF(_xlfn.XLOOKUP(7,$AH:$AH,$R:$R,"",0)="","","AND A.`"&amp;_xlfn.XLOOKUP(7,$AH:$AH,$R:$R,"",0)&amp;"` = B.`"&amp;_xlfn.XLOOKUP(7,$AH:$AH,$R:$R,"",0)&amp;"`")</f>
        <v/>
      </c>
      <c r="BW41" t="s">
        <v>626</v>
      </c>
      <c r="BY41" t="s">
        <v>626</v>
      </c>
      <c r="BZ41" s="97" t="str">
        <f>IF(_xlfn.XLOOKUP(4,$AH:$AH,$R:$R,"",0)="","","AND A.`"&amp;_xlfn.XLOOKUP(4,$AH:$AH,$R:$R,"",0)&amp;"` = B.`"&amp;_xlfn.XLOOKUP(4,$AH:$AH,$R:$R,"",0)&amp;"`")</f>
        <v/>
      </c>
      <c r="CA41" t="s">
        <v>626</v>
      </c>
    </row>
    <row r="42" spans="1:79">
      <c r="A42" s="100"/>
      <c r="B42" s="34" t="s">
        <v>35</v>
      </c>
      <c r="C42" s="45"/>
      <c r="D42" s="34" t="s">
        <v>36</v>
      </c>
      <c r="E42" s="44"/>
      <c r="F42" s="44"/>
      <c r="G42" s="44"/>
      <c r="H42" s="44"/>
      <c r="I42" s="44"/>
      <c r="J42" s="44"/>
      <c r="K42" s="44"/>
      <c r="L42" s="36"/>
      <c r="M42" s="36"/>
      <c r="N42" s="36"/>
      <c r="O42" s="36"/>
      <c r="P42" s="36"/>
      <c r="Q42" s="35"/>
      <c r="R42" s="34" t="s">
        <v>37</v>
      </c>
      <c r="S42" s="36"/>
      <c r="T42" s="45"/>
      <c r="U42" s="34" t="s">
        <v>38</v>
      </c>
      <c r="V42" s="36"/>
      <c r="W42" s="44"/>
      <c r="X42" s="45"/>
      <c r="Y42" s="34" t="s">
        <v>39</v>
      </c>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5"/>
      <c r="BK42" s="4"/>
      <c r="BQ42" t="s">
        <v>626</v>
      </c>
      <c r="BS42" t="s">
        <v>626</v>
      </c>
      <c r="BU42" t="s">
        <v>626</v>
      </c>
      <c r="BV42" s="97" t="str">
        <f>IF(_xlfn.XLOOKUP(8,$AH:$AH,$R:$R,"",0)="","","AND A.`"&amp;_xlfn.XLOOKUP(8,$AH:$AH,$R:$R,"",0)&amp;"` = B.`"&amp;_xlfn.XLOOKUP(8,$AH:$AH,$R:$R,"",0)&amp;"`")</f>
        <v/>
      </c>
      <c r="BW42" t="s">
        <v>626</v>
      </c>
      <c r="BY42" t="s">
        <v>626</v>
      </c>
      <c r="BZ42" s="97" t="str">
        <f>IF(_xlfn.XLOOKUP(5,$AH:$AH,$R:$R,"",0)="","","AND A.`"&amp;_xlfn.XLOOKUP(5,$AH:$AH,$R:$R,"",0)&amp;"` = B.`"&amp;_xlfn.XLOOKUP(5,$AH:$AH,$R:$R,"",0)&amp;"`")</f>
        <v/>
      </c>
      <c r="CA42" t="s">
        <v>626</v>
      </c>
    </row>
    <row r="43" spans="1:79">
      <c r="A43" s="100"/>
      <c r="B43" s="41">
        <v>1</v>
      </c>
      <c r="C43" s="47"/>
      <c r="D43" s="41" t="str">
        <f>G10&amp;"_"&amp;R43&amp;"_"&amp;"trg"</f>
        <v>EmployeeMaster_update_trg</v>
      </c>
      <c r="E43" s="46"/>
      <c r="F43" s="46"/>
      <c r="G43" s="46"/>
      <c r="H43" s="46"/>
      <c r="I43" s="46"/>
      <c r="J43" s="46"/>
      <c r="K43" s="46"/>
      <c r="L43" s="42"/>
      <c r="M43" s="42"/>
      <c r="N43" s="42"/>
      <c r="O43" s="42"/>
      <c r="P43" s="42"/>
      <c r="Q43" s="43"/>
      <c r="R43" s="41" t="s">
        <v>40</v>
      </c>
      <c r="S43" s="42"/>
      <c r="T43" s="47"/>
      <c r="U43" s="41" t="s">
        <v>41</v>
      </c>
      <c r="V43" s="42"/>
      <c r="W43" s="46"/>
      <c r="X43" s="47"/>
      <c r="Y43" s="41" t="s">
        <v>42</v>
      </c>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3"/>
      <c r="BK43" s="4"/>
      <c r="BQ43" t="s">
        <v>626</v>
      </c>
      <c r="BS43" t="s">
        <v>626</v>
      </c>
      <c r="BU43" t="s">
        <v>626</v>
      </c>
      <c r="BV43" s="97" t="s">
        <v>936</v>
      </c>
      <c r="BW43" t="s">
        <v>626</v>
      </c>
      <c r="BY43" t="s">
        <v>626</v>
      </c>
      <c r="BZ43" s="97" t="str">
        <f>IF(_xlfn.XLOOKUP(6,$AH:$AH,$R:$R,"",0)="","","AND A.`"&amp;_xlfn.XLOOKUP(6,$AH:$AH,$R:$R,"",0)&amp;"` = B.`"&amp;_xlfn.XLOOKUP(6,$AH:$AH,$R:$R,"",0)&amp;"`")</f>
        <v/>
      </c>
      <c r="CA43" t="s">
        <v>626</v>
      </c>
    </row>
    <row r="44" spans="1:79">
      <c r="A44" s="100"/>
      <c r="BK44" s="4"/>
      <c r="BQ44" t="s">
        <v>626</v>
      </c>
      <c r="BS44" t="s">
        <v>626</v>
      </c>
      <c r="BU44" t="s">
        <v>626</v>
      </c>
      <c r="BW44" t="s">
        <v>626</v>
      </c>
      <c r="BY44" t="s">
        <v>626</v>
      </c>
      <c r="BZ44" s="97" t="str">
        <f>IF(_xlfn.XLOOKUP(7,$AH:$AH,$R:$R,"",0)="","","AND A.`"&amp;_xlfn.XLOOKUP(7,$AH:$AH,$R:$R,"",0)&amp;"` = B.`"&amp;_xlfn.XLOOKUP(7,$AH:$AH,$R:$R,"",0)&amp;"`")</f>
        <v/>
      </c>
      <c r="CA44" t="s">
        <v>626</v>
      </c>
    </row>
    <row r="45" spans="1:79">
      <c r="A45" s="100"/>
      <c r="BK45" s="4"/>
      <c r="BQ45" t="s">
        <v>626</v>
      </c>
      <c r="BS45" t="s">
        <v>626</v>
      </c>
      <c r="BU45" t="s">
        <v>626</v>
      </c>
      <c r="BW45" t="s">
        <v>626</v>
      </c>
      <c r="BY45" t="s">
        <v>626</v>
      </c>
      <c r="BZ45" s="97" t="str">
        <f>IF(_xlfn.XLOOKUP(8,$AH:$AH,$R:$R,"",0)="","","AND A.`"&amp;_xlfn.XLOOKUP(8,$AH:$AH,$R:$R,"",0)&amp;"` = B.`"&amp;_xlfn.XLOOKUP(8,$AH:$AH,$R:$R,"",0)&amp;"`")</f>
        <v/>
      </c>
      <c r="CA45" t="s">
        <v>626</v>
      </c>
    </row>
    <row r="46" spans="1:79">
      <c r="A46" s="100"/>
      <c r="BK46" s="4"/>
      <c r="BQ46" t="s">
        <v>626</v>
      </c>
      <c r="BS46" t="s">
        <v>626</v>
      </c>
      <c r="BU46" t="s">
        <v>626</v>
      </c>
      <c r="BW46" t="s">
        <v>626</v>
      </c>
      <c r="BY46" t="s">
        <v>626</v>
      </c>
      <c r="BZ46" s="97" t="s">
        <v>929</v>
      </c>
      <c r="CA46" t="s">
        <v>626</v>
      </c>
    </row>
    <row r="47" spans="1:79">
      <c r="A47" s="100"/>
      <c r="BK47" s="4"/>
      <c r="BQ47" t="s">
        <v>626</v>
      </c>
      <c r="BS47" t="s">
        <v>626</v>
      </c>
      <c r="BU47" t="s">
        <v>626</v>
      </c>
      <c r="BW47" t="s">
        <v>626</v>
      </c>
      <c r="BY47" t="s">
        <v>626</v>
      </c>
      <c r="CA47" t="s">
        <v>626</v>
      </c>
    </row>
    <row r="48" spans="1:79">
      <c r="A48" s="100"/>
      <c r="BK48" s="4"/>
      <c r="BQ48" t="s">
        <v>626</v>
      </c>
      <c r="BS48" t="s">
        <v>626</v>
      </c>
      <c r="BU48" t="s">
        <v>626</v>
      </c>
      <c r="BW48" t="s">
        <v>626</v>
      </c>
      <c r="BY48" t="s">
        <v>626</v>
      </c>
      <c r="BZ48" s="98"/>
      <c r="CA48" t="s">
        <v>626</v>
      </c>
    </row>
    <row r="49" spans="1:79">
      <c r="A49" s="100"/>
      <c r="BK49" s="4"/>
      <c r="BQ49" t="s">
        <v>626</v>
      </c>
      <c r="BS49" t="s">
        <v>626</v>
      </c>
      <c r="BU49" t="s">
        <v>626</v>
      </c>
      <c r="BW49" t="s">
        <v>626</v>
      </c>
      <c r="BY49" t="s">
        <v>626</v>
      </c>
      <c r="BZ49" t="str">
        <f>"DROP TABLE IF EXISTS `TMP`.`"&amp;$G$10&amp;"`;"</f>
        <v>DROP TABLE IF EXISTS `TMP`.`EmployeeMaster`;</v>
      </c>
      <c r="CA49" t="s">
        <v>626</v>
      </c>
    </row>
    <row r="50" spans="1:79">
      <c r="A50" s="100"/>
      <c r="BK50" s="4"/>
      <c r="BQ50" t="s">
        <v>626</v>
      </c>
      <c r="BS50" t="s">
        <v>626</v>
      </c>
      <c r="BU50" t="s">
        <v>626</v>
      </c>
      <c r="BW50" t="s">
        <v>626</v>
      </c>
      <c r="BY50" t="s">
        <v>626</v>
      </c>
      <c r="BZ50" t="s">
        <v>937</v>
      </c>
      <c r="CA50" t="s">
        <v>626</v>
      </c>
    </row>
    <row r="51" spans="1:79">
      <c r="A51" s="100"/>
    </row>
    <row r="52" spans="1:79">
      <c r="A52" s="100"/>
    </row>
    <row r="53" spans="1:79">
      <c r="A53" s="100"/>
    </row>
    <row r="54" spans="1:79">
      <c r="A54" s="100"/>
    </row>
    <row r="55" spans="1:79">
      <c r="A55" s="100"/>
    </row>
    <row r="56" spans="1:79">
      <c r="A56" s="100"/>
    </row>
    <row r="57" spans="1:79">
      <c r="A57" s="100"/>
    </row>
    <row r="58" spans="1:79">
      <c r="A58" s="100"/>
    </row>
    <row r="59" spans="1:79">
      <c r="A59" s="100"/>
    </row>
    <row r="60" spans="1:79">
      <c r="A60" s="100"/>
    </row>
    <row r="61" spans="1:79">
      <c r="A61" s="100"/>
    </row>
    <row r="62" spans="1:79">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87A40-2405-48D7-8F65-3A01783BDA73}">
  <dimension ref="A1:CA62"/>
  <sheetViews>
    <sheetView view="pageBreakPreview" topLeftCell="A12" zoomScale="80" zoomScaleNormal="75" zoomScaleSheetLayoutView="80" workbookViewId="0">
      <selection activeCell="BX26" sqref="BX26:BX30"/>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699</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700</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`POS_MASTER`.`EmployeeExMVKMaster`;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`POS_MASTER`.`EmployeeExMVKMaster`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0"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'C:/04_DATAFILE/EmployeeExMVKMaster/TMP/EmployeeExMVKMaster.CSV' </v>
      </c>
      <c r="BU24" t="s">
        <v>626</v>
      </c>
      <c r="BV24" s="97" t="str">
        <f>"UPDATE `POS_MASTER`.`"&amp;$G$10&amp;"` A,`TMP`.`"&amp;$G$10&amp;"` B"</f>
        <v>UPDATE `POS_MASTER`.`EmployeeExMVKMaster` A,`TMP`.`EmployeeExMVKMaster`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`TMP`.`EmployeeExMVKMaster`;</v>
      </c>
      <c r="BS25" t="s">
        <v>626</v>
      </c>
      <c r="BT25" s="97" t="str">
        <f>"REPLACE INTO TABLE TMP.`"&amp;$G$10&amp;"` CHARACTER SET 'UTF8'"</f>
        <v>REPLACE INTO TABLE TMP.`EmployeeExMVKMaster`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`TMP`.`EmployeeExMVKMaster`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v>
      </c>
      <c r="BU26" t="s">
        <v>626</v>
      </c>
      <c r="BV26" s="97"/>
      <c r="BW26" t="s">
        <v>626</v>
      </c>
      <c r="BX26" s="97" t="str">
        <f>"INSERT INTO `POS_MASTER`.`"&amp;$G$10&amp;"` ("</f>
        <v>INSERT INTO `POS_MASTER`.`EmployeeExMVKMaster`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0"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",A.`"&amp;R28&amp;"` = B.`"&amp;R28&amp;"`"</f>
        <v>,A.`StoreCode` = B.`StoreCode`</v>
      </c>
      <c r="BW28" t="s">
        <v>626</v>
      </c>
      <c r="BX28" s="97" t="str">
        <f>",`"&amp;R28&amp;"`"</f>
        <v>,`StoreCode`</v>
      </c>
      <c r="BY28" t="s">
        <v>626</v>
      </c>
      <c r="BZ28" s="97" t="str">
        <f t="shared" ref="BZ28:BZ30" si="2">",`"&amp;R28&amp;"`"</f>
        <v>,`StoreCode`</v>
      </c>
      <c r="CA28" t="s">
        <v>626</v>
      </c>
    </row>
    <row r="29" spans="1:79" ht="15" customHeight="1">
      <c r="A29" s="100" t="s">
        <v>966</v>
      </c>
      <c r="B29" s="23">
        <f t="shared" si="0"/>
        <v>9</v>
      </c>
      <c r="C29" s="24"/>
      <c r="D29" s="22" t="s">
        <v>690</v>
      </c>
      <c r="E29" s="25"/>
      <c r="F29" s="25"/>
      <c r="G29" s="25"/>
      <c r="H29" s="25"/>
      <c r="I29" s="25"/>
      <c r="J29" s="25"/>
      <c r="K29" s="25"/>
      <c r="L29" s="25"/>
      <c r="M29" s="25"/>
      <c r="N29" s="25"/>
      <c r="O29" s="25"/>
      <c r="P29" s="25"/>
      <c r="Q29" s="26"/>
      <c r="R29" s="22" t="s">
        <v>687</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varchar(16)</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16</v>
      </c>
      <c r="BP29" t="str">
        <f t="shared" si="1"/>
        <v>,`EmployeeCode` varchar(16) NOT NULL COMMENT '従業員コード'</v>
      </c>
      <c r="BQ29" t="s">
        <v>626</v>
      </c>
      <c r="BR29" t="str">
        <f t="shared" ref="BR29:BR30" si="3">",`"&amp;R29&amp;"` "&amp;AC29&amp;" "&amp;IF(AJ29="Y","NOT NULL","")</f>
        <v>,`EmployeeCode` varchar(16) NOT NULL</v>
      </c>
      <c r="BS29" t="s">
        <v>626</v>
      </c>
      <c r="BT29" t="str">
        <f t="shared" ref="BT29:BT30" si="4">",`"&amp;R29&amp;"` = "&amp;IF(LEFT(AC29,4)="date", "if(@"&amp;B29-5&amp;" &gt; '0000-00-00 00:00:00', if(@"&amp;B29-5&amp;" &gt; '2999-12-31 23:59:59', '2999-12-31 23:59:59', @"&amp;B29-5&amp;"), null)","if(nullif( @"&amp;B29-5&amp;",'') &gt; '', @"&amp;B29-5&amp;", null )")</f>
        <v>,`EmployeeCode` = if(nullif( @4,'') &gt; '', @4, null )</v>
      </c>
      <c r="BU29" t="s">
        <v>626</v>
      </c>
      <c r="BV29" s="97" t="str">
        <f>",A.`"&amp;R29&amp;"` = B.`"&amp;R29&amp;"`"</f>
        <v>,A.`EmployeeCode` = B.`EmployeeCode`</v>
      </c>
      <c r="BW29" t="s">
        <v>626</v>
      </c>
      <c r="BX29" s="97" t="str">
        <f>",`"&amp;R29&amp;"`"</f>
        <v>,`EmployeeCode`</v>
      </c>
      <c r="BY29" t="s">
        <v>626</v>
      </c>
      <c r="BZ29" s="97" t="str">
        <f t="shared" si="2"/>
        <v>,`EmployeeCode`</v>
      </c>
      <c r="CA29" t="s">
        <v>626</v>
      </c>
    </row>
    <row r="30" spans="1:79" ht="15" customHeight="1">
      <c r="A30" s="100" t="s">
        <v>967</v>
      </c>
      <c r="B30" s="28">
        <f t="shared" si="0"/>
        <v>10</v>
      </c>
      <c r="C30" s="29"/>
      <c r="D30" s="30" t="s">
        <v>702</v>
      </c>
      <c r="E30" s="31"/>
      <c r="F30" s="31"/>
      <c r="G30" s="31"/>
      <c r="H30" s="31"/>
      <c r="I30" s="31"/>
      <c r="J30" s="31"/>
      <c r="K30" s="31"/>
      <c r="L30" s="31"/>
      <c r="M30" s="31"/>
      <c r="N30" s="31"/>
      <c r="O30" s="31"/>
      <c r="P30" s="31"/>
      <c r="Q30" s="32"/>
      <c r="R30" s="30" t="s">
        <v>701</v>
      </c>
      <c r="S30" s="31"/>
      <c r="T30" s="31"/>
      <c r="U30" s="31"/>
      <c r="V30" s="31"/>
      <c r="W30" s="31"/>
      <c r="X30" s="31"/>
      <c r="Y30" s="31"/>
      <c r="Z30" s="31"/>
      <c r="AA30" s="31"/>
      <c r="AB30" s="32"/>
      <c r="AC30" s="30" t="str" cm="1">
        <f t="array" ref="AC30">_xlfn.SWITCH(BM30,"nvarchar","varchar("&amp;BN30&amp;")","smallint","smallint","date","date","money","decimal(19,4)","numeric","numeric("&amp;BN30&amp;")","int","int","bit","char(1)","datetime2","datetime","time","time")</f>
        <v>varchar(20)</v>
      </c>
      <c r="AD30" s="31"/>
      <c r="AE30" s="31"/>
      <c r="AF30" s="31"/>
      <c r="AG30" s="32"/>
      <c r="AH30" s="30"/>
      <c r="AI30" s="32"/>
      <c r="AJ30" s="30"/>
      <c r="AK30" s="31"/>
      <c r="AL30" s="32"/>
      <c r="AM30" s="30"/>
      <c r="AN30" s="31"/>
      <c r="AO30" s="31"/>
      <c r="AP30" s="31"/>
      <c r="AQ30" s="31"/>
      <c r="AR30" s="31"/>
      <c r="AS30" s="32"/>
      <c r="AT30" s="30"/>
      <c r="AU30" s="31"/>
      <c r="AV30" s="31"/>
      <c r="AW30" s="31"/>
      <c r="AX30" s="31"/>
      <c r="AY30" s="31"/>
      <c r="AZ30" s="31"/>
      <c r="BA30" s="31"/>
      <c r="BB30" s="31"/>
      <c r="BC30" s="31"/>
      <c r="BD30" s="31"/>
      <c r="BE30" s="31"/>
      <c r="BF30" s="31"/>
      <c r="BG30" s="31"/>
      <c r="BH30" s="31"/>
      <c r="BI30" s="31"/>
      <c r="BJ30" s="32"/>
      <c r="BK30" s="4"/>
      <c r="BM30" t="s">
        <v>888</v>
      </c>
      <c r="BN30">
        <v>20</v>
      </c>
      <c r="BP30" t="str">
        <f t="shared" si="1"/>
        <v>,`Password` varchar(20)  COMMENT 'パスワード'</v>
      </c>
      <c r="BQ30" t="s">
        <v>626</v>
      </c>
      <c r="BR30" t="str">
        <f t="shared" si="3"/>
        <v xml:space="preserve">,`Password` varchar(20) </v>
      </c>
      <c r="BS30" t="s">
        <v>626</v>
      </c>
      <c r="BT30" t="str">
        <f t="shared" si="4"/>
        <v>,`Password` = if(nullif( @5,'') &gt; '', @5, null )</v>
      </c>
      <c r="BU30" t="s">
        <v>626</v>
      </c>
      <c r="BV30" s="97" t="str">
        <f>",A.`"&amp;R30&amp;"` = B.`"&amp;R30&amp;"`"</f>
        <v>,A.`Password` = B.`Password`</v>
      </c>
      <c r="BW30" t="s">
        <v>626</v>
      </c>
      <c r="BX30" s="97" t="str">
        <f>",`"&amp;R30&amp;"`"</f>
        <v>,`Password`</v>
      </c>
      <c r="BY30" t="s">
        <v>626</v>
      </c>
      <c r="BZ30" s="97" t="str">
        <f t="shared" si="2"/>
        <v>,`Password`</v>
      </c>
      <c r="CA30" t="s">
        <v>626</v>
      </c>
    </row>
    <row r="31" spans="1:79" ht="15" customHeight="1">
      <c r="A31" s="100"/>
      <c r="BK31" s="4"/>
      <c r="BP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(`CompanyCode`,`StoreCode`,`EmployeeCode`),</v>
      </c>
      <c r="BQ31" t="s">
        <v>626</v>
      </c>
      <c r="BR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(`CompanyCode`,`StoreCode`,`EmployeeCode`)</v>
      </c>
      <c r="BS31" t="s">
        <v>626</v>
      </c>
      <c r="BT31" s="97" t="s">
        <v>936</v>
      </c>
      <c r="BU31" t="s">
        <v>626</v>
      </c>
      <c r="BV31" s="97" t="s">
        <v>934</v>
      </c>
      <c r="BW31" t="s">
        <v>626</v>
      </c>
      <c r="BY31" t="s">
        <v>626</v>
      </c>
      <c r="BZ31" s="97" t="str">
        <f>"FROM `TMP`.`"&amp;$G$10&amp;"` A"</f>
        <v>FROM `TMP`.`EmployeeExMVKMaster` A</v>
      </c>
      <c r="CA31" t="s">
        <v>626</v>
      </c>
    </row>
    <row r="32" spans="1:79" ht="15" customHeight="1">
      <c r="A32" s="100"/>
      <c r="BK32" s="4"/>
      <c r="BP32" s="97" t="s">
        <v>452</v>
      </c>
      <c r="BQ32" t="s">
        <v>626</v>
      </c>
      <c r="BR32" s="97" t="str">
        <f>") ENGINE=InnoDB DEFAULT CHARSET=utf8mb4 COLLATE=utf8mb4_0900_ai_ci COMMENT = '"&amp;$G$9&amp;"_TMP';"</f>
        <v>) ENGINE=InnoDB DEFAULT CHARSET=utf8mb4 COLLATE=utf8mb4_0900_ai_ci COMMENT = '担当者拡張マスタ_TMP';</v>
      </c>
      <c r="BS32" t="s">
        <v>626</v>
      </c>
      <c r="BU32" t="s">
        <v>626</v>
      </c>
      <c r="BV32" s="97" t="str">
        <f>IF(_xlfn.XLOOKUP(1,$AH:$AH,$R:$R,"",0)="","","A.`"&amp;_xlfn.XLOOKUP(1,$AH:$AH,$R:$R,"",0)&amp;"` = B.`"&amp;_xlfn.XLOOKUP(1,$AH:$AH,$R:$R,"",0)&amp;"`")</f>
        <v>A.`CompanyCode` = B.`CompanyCode`</v>
      </c>
      <c r="BW32" t="s">
        <v>626</v>
      </c>
      <c r="BY32" t="s">
        <v>626</v>
      </c>
      <c r="BZ32" s="97" t="s">
        <v>935</v>
      </c>
      <c r="CA32" t="s">
        <v>626</v>
      </c>
    </row>
    <row r="33" spans="1:79" ht="15" customHeight="1">
      <c r="A33" s="100"/>
      <c r="B33" s="37" t="s">
        <v>49</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4"/>
      <c r="BP33" s="97" t="str">
        <f>") ENGINE=InnoDB DEFAULT CHARSET=utf8mb4 COLLATE=utf8mb4_0900_ai_ci COMMENT = '"&amp;$G$9&amp;"';"</f>
        <v>) ENGINE=InnoDB DEFAULT CHARSET=utf8mb4 COLLATE=utf8mb4_0900_ai_ci COMMENT = '担当者拡張マスタ';</v>
      </c>
      <c r="BQ33" t="s">
        <v>626</v>
      </c>
      <c r="BS33" t="s">
        <v>626</v>
      </c>
      <c r="BU33" t="s">
        <v>626</v>
      </c>
      <c r="BV33" s="97" t="str">
        <f>IF(_xlfn.XLOOKUP(2,$AH:$AH,$R:$R,"",0)="","","AND A.`"&amp;_xlfn.XLOOKUP(2,$AH:$AH,$R:$R,"",0)&amp;"` = B.`"&amp;_xlfn.XLOOKUP(2,$AH:$AH,$R:$R,"",0)&amp;"`")</f>
        <v>AND A.`StoreCode` = B.`StoreCode`</v>
      </c>
      <c r="BW33" t="s">
        <v>626</v>
      </c>
      <c r="BY33" t="s">
        <v>626</v>
      </c>
      <c r="BZ33" s="97" t="str">
        <f>"FROM `POS_MASTER`.`"&amp;$G$10&amp;"` B"</f>
        <v>FROM `POS_MASTER`.`EmployeeExMVKMaster` B</v>
      </c>
      <c r="CA33" t="s">
        <v>626</v>
      </c>
    </row>
    <row r="34" spans="1:79" ht="15" customHeight="1">
      <c r="A34" s="100"/>
      <c r="B34" s="34" t="s">
        <v>50</v>
      </c>
      <c r="C34" s="35"/>
      <c r="D34" s="34" t="s">
        <v>51</v>
      </c>
      <c r="E34" s="44"/>
      <c r="F34" s="36"/>
      <c r="G34" s="36"/>
      <c r="H34" s="36"/>
      <c r="I34" s="36"/>
      <c r="J34" s="36"/>
      <c r="K34" s="36"/>
      <c r="L34" s="36"/>
      <c r="M34" s="36"/>
      <c r="N34" s="36"/>
      <c r="O34" s="36"/>
      <c r="P34" s="36"/>
      <c r="Q34" s="35"/>
      <c r="R34" s="34" t="s">
        <v>52</v>
      </c>
      <c r="S34" s="44"/>
      <c r="T34" s="36"/>
      <c r="U34" s="36"/>
      <c r="V34" s="36"/>
      <c r="W34" s="36"/>
      <c r="X34" s="36"/>
      <c r="Y34" s="36"/>
      <c r="Z34" s="36"/>
      <c r="AA34" s="36"/>
      <c r="AB34" s="36"/>
      <c r="AC34" s="36"/>
      <c r="AD34" s="36"/>
      <c r="AE34" s="36"/>
      <c r="AF34" s="36"/>
      <c r="AG34" s="36"/>
      <c r="AH34" s="36"/>
      <c r="AI34" s="36"/>
      <c r="AJ34" s="36"/>
      <c r="AK34" s="35"/>
      <c r="AL34" s="34" t="s">
        <v>53</v>
      </c>
      <c r="AM34" s="36"/>
      <c r="AN34" s="36"/>
      <c r="AO34" s="45"/>
      <c r="AP34" s="34" t="s">
        <v>54</v>
      </c>
      <c r="AQ34" s="36"/>
      <c r="AR34" s="36"/>
      <c r="AS34" s="35"/>
      <c r="AT34" s="34" t="s">
        <v>48</v>
      </c>
      <c r="AU34" s="44"/>
      <c r="AV34" s="44"/>
      <c r="AW34" s="36"/>
      <c r="AX34" s="36"/>
      <c r="AY34" s="44"/>
      <c r="AZ34" s="36"/>
      <c r="BA34" s="36"/>
      <c r="BB34" s="36"/>
      <c r="BC34" s="36"/>
      <c r="BD34" s="36"/>
      <c r="BE34" s="36"/>
      <c r="BF34" s="36"/>
      <c r="BG34" s="36"/>
      <c r="BH34" s="36"/>
      <c r="BI34" s="44"/>
      <c r="BJ34" s="35"/>
      <c r="BK34" s="4"/>
      <c r="BP34" s="97"/>
      <c r="BQ34" t="s">
        <v>626</v>
      </c>
      <c r="BS34" t="s">
        <v>626</v>
      </c>
      <c r="BU34" t="s">
        <v>626</v>
      </c>
      <c r="BV34" s="97" t="str">
        <f>IF(_xlfn.XLOOKUP(3,$AH:$AH,$R:$R,"",0)="","","AND A.`"&amp;_xlfn.XLOOKUP(3,$AH:$AH,$R:$R,"",0)&amp;"` = B.`"&amp;_xlfn.XLOOKUP(3,$AH:$AH,$R:$R,"",0)&amp;"`")</f>
        <v>AND A.`EmployeeCode` = B.`EmployeeCode`</v>
      </c>
      <c r="BW34" t="s">
        <v>626</v>
      </c>
      <c r="BY34" t="s">
        <v>626</v>
      </c>
      <c r="BZ34" s="97" t="s">
        <v>932</v>
      </c>
      <c r="CA34" t="s">
        <v>626</v>
      </c>
    </row>
    <row r="35" spans="1:79" ht="15" customHeight="1">
      <c r="A35" s="100"/>
      <c r="B35" s="38">
        <v>1</v>
      </c>
      <c r="C35" s="39"/>
      <c r="D35" s="38" t="s">
        <v>55</v>
      </c>
      <c r="E35" s="46"/>
      <c r="F35" s="40"/>
      <c r="G35" s="40"/>
      <c r="H35" s="40"/>
      <c r="I35" s="40"/>
      <c r="J35" s="40"/>
      <c r="K35" s="40"/>
      <c r="L35" s="40"/>
      <c r="M35" s="40"/>
      <c r="N35" s="40"/>
      <c r="O35" s="40"/>
      <c r="P35" s="40"/>
      <c r="Q35" s="39"/>
      <c r="R35"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`CompanyCode`,`StoreCode`,`EmployeeCode`</v>
      </c>
      <c r="S35" s="46"/>
      <c r="T35" s="40"/>
      <c r="U35" s="40"/>
      <c r="V35" s="40"/>
      <c r="W35" s="40"/>
      <c r="X35" s="40"/>
      <c r="Y35" s="40"/>
      <c r="Z35" s="40"/>
      <c r="AA35" s="40"/>
      <c r="AB35" s="40"/>
      <c r="AC35" s="40"/>
      <c r="AD35" s="40"/>
      <c r="AE35" s="40"/>
      <c r="AF35" s="40"/>
      <c r="AG35" s="40"/>
      <c r="AH35" s="40"/>
      <c r="AI35" s="40"/>
      <c r="AJ35" s="40"/>
      <c r="AK35" s="39"/>
      <c r="AL35" s="38" t="s">
        <v>885</v>
      </c>
      <c r="AM35" s="40"/>
      <c r="AN35" s="40"/>
      <c r="AO35" s="47"/>
      <c r="AP35" s="38" t="s">
        <v>885</v>
      </c>
      <c r="AQ35" s="40"/>
      <c r="AR35" s="40"/>
      <c r="AS35" s="39"/>
      <c r="AT35" s="38"/>
      <c r="AU35" s="46"/>
      <c r="AV35" s="46"/>
      <c r="AW35" s="40"/>
      <c r="AX35" s="40"/>
      <c r="AY35" s="46"/>
      <c r="AZ35" s="40"/>
      <c r="BA35" s="40"/>
      <c r="BB35" s="40"/>
      <c r="BC35" s="40"/>
      <c r="BD35" s="40"/>
      <c r="BE35" s="40"/>
      <c r="BF35" s="40"/>
      <c r="BG35" s="40"/>
      <c r="BH35" s="40"/>
      <c r="BI35" s="46"/>
      <c r="BJ35" s="39"/>
      <c r="BK35" s="4"/>
      <c r="BP35" s="97" t="str">
        <f>"CREATE TRIGGER `"&amp;$G$10&amp;"_CR_Date_Time` BEFORE INSERT ON `"&amp;$G$10&amp;"` FOR EACH ROW SET NEW.record_create_date = CURRENT_DATE, NEW.record_create_time = CURRENT_TIME, NEW.record_update_date = CURRENT_DATE, NEW.record_update_time = CURRENT_TIME;"</f>
        <v>CREATE TRIGGER `EmployeeExMVKMaster_CR_Date_Time` BEFORE INSERT ON `EmployeeExMVKMaster` FOR EACH ROW SET NEW.record_create_date = CURRENT_DATE, NEW.record_create_time = CURRENT_TIME, NEW.record_update_date = CURRENT_DATE, NEW.record_update_time = CURRENT_TIME;</v>
      </c>
      <c r="BQ35" t="s">
        <v>626</v>
      </c>
      <c r="BS35" t="s">
        <v>626</v>
      </c>
      <c r="BU35" t="s">
        <v>626</v>
      </c>
      <c r="BV35" s="97" t="str">
        <f>IF(_xlfn.XLOOKUP(4,$AH:$AH,$R:$R,"",0)="","","AND A.`"&amp;_xlfn.XLOOKUP(4,$AH:$AH,$R:$R,"",0)&amp;"` = B.`"&amp;_xlfn.XLOOKUP(4,$AH:$AH,$R:$R,"",0)&amp;"`")</f>
        <v/>
      </c>
      <c r="BW35" t="s">
        <v>626</v>
      </c>
      <c r="BY35" t="s">
        <v>626</v>
      </c>
      <c r="BZ35" s="97" t="str">
        <f>IF(_xlfn.XLOOKUP(1,$AH:$AH,$R:$R,"",0)="","","A.`"&amp;_xlfn.XLOOKUP(1,$AH:$AH,$R:$R,"",0)&amp;"` = B.`"&amp;_xlfn.XLOOKUP(1,$AH:$AH,$R:$R,"",0)&amp;"`")</f>
        <v>A.`CompanyCode` = B.`CompanyCode`</v>
      </c>
      <c r="CA35" t="s">
        <v>626</v>
      </c>
    </row>
    <row r="36" spans="1:79" ht="15" customHeight="1">
      <c r="A36" s="100"/>
      <c r="BK36" s="4"/>
      <c r="BP36" s="97" t="str">
        <f>"CREATE TRIGGER `"&amp;$G$10&amp;"_UP_Date_Time` BEFORE UPDATE ON `"&amp;$G$10&amp;"` FOR EACH ROW SET NEW.record_update_date = CURRENT_DATE, NEW.record_update_time = CURRENT_TIME;"</f>
        <v>CREATE TRIGGER `EmployeeExMVKMaster_UP_Date_Time` BEFORE UPDATE ON `EmployeeExMVKMaster` FOR EACH ROW SET NEW.record_update_date = CURRENT_DATE, NEW.record_update_time = CURRENT_TIME;</v>
      </c>
      <c r="BQ36" t="s">
        <v>626</v>
      </c>
      <c r="BS36" t="s">
        <v>626</v>
      </c>
      <c r="BU36" t="s">
        <v>626</v>
      </c>
      <c r="BV36" s="97" t="str">
        <f>IF(_xlfn.XLOOKUP(5,$AH:$AH,$R:$R,"",0)="","","AND A.`"&amp;_xlfn.XLOOKUP(5,$AH:$AH,$R:$R,"",0)&amp;"` = B.`"&amp;_xlfn.XLOOKUP(5,$AH:$AH,$R:$R,"",0)&amp;"`")</f>
        <v/>
      </c>
      <c r="BW36" t="s">
        <v>626</v>
      </c>
      <c r="BY36" t="s">
        <v>626</v>
      </c>
      <c r="BZ36" s="97" t="str">
        <f>IF(_xlfn.XLOOKUP(2,$AH:$AH,$R:$R,"",0)="","","AND A.`"&amp;_xlfn.XLOOKUP(2,$AH:$AH,$R:$R,"",0)&amp;"` = B.`"&amp;_xlfn.XLOOKUP(2,$AH:$AH,$R:$R,"",0)&amp;"`")</f>
        <v>AND A.`StoreCode` = B.`StoreCode`</v>
      </c>
      <c r="CA36" t="s">
        <v>626</v>
      </c>
    </row>
    <row r="37" spans="1:79" ht="15" customHeight="1">
      <c r="A37" s="100"/>
      <c r="BK37" s="4"/>
      <c r="BQ37" t="s">
        <v>626</v>
      </c>
      <c r="BS37" t="s">
        <v>626</v>
      </c>
      <c r="BU37" t="s">
        <v>626</v>
      </c>
      <c r="BV37" s="97" t="str">
        <f>IF(_xlfn.XLOOKUP(6,$AH:$AH,$R:$R,"",0)="","","AND A.`"&amp;_xlfn.XLOOKUP(6,$AH:$AH,$R:$R,"",0)&amp;"` = B.`"&amp;_xlfn.XLOOKUP(6,$AH:$AH,$R:$R,"",0)&amp;"`")</f>
        <v/>
      </c>
      <c r="BW37" t="s">
        <v>626</v>
      </c>
      <c r="BY37" t="s">
        <v>626</v>
      </c>
      <c r="BZ37" s="97" t="str">
        <f>IF(_xlfn.XLOOKUP(3,$AH:$AH,$R:$R,"",0)="","","AND A.`"&amp;_xlfn.XLOOKUP(3,$AH:$AH,$R:$R,"",0)&amp;"` = B.`"&amp;_xlfn.XLOOKUP(3,$AH:$AH,$R:$R,"",0)&amp;"`")</f>
        <v>AND A.`EmployeeCode` = B.`EmployeeCode`</v>
      </c>
      <c r="CA37" t="s">
        <v>626</v>
      </c>
    </row>
    <row r="38" spans="1:79">
      <c r="A38" s="100"/>
      <c r="B38" s="37" t="s">
        <v>34</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4"/>
      <c r="BQ38" t="s">
        <v>626</v>
      </c>
      <c r="BS38" t="s">
        <v>626</v>
      </c>
      <c r="BU38" t="s">
        <v>626</v>
      </c>
      <c r="BV38" s="97" t="str">
        <f>IF(_xlfn.XLOOKUP(7,$AH:$AH,$R:$R,"",0)="","","AND A.`"&amp;_xlfn.XLOOKUP(7,$AH:$AH,$R:$R,"",0)&amp;"` = B.`"&amp;_xlfn.XLOOKUP(7,$AH:$AH,$R:$R,"",0)&amp;"`")</f>
        <v/>
      </c>
      <c r="BW38" t="s">
        <v>626</v>
      </c>
      <c r="BY38" t="s">
        <v>626</v>
      </c>
      <c r="BZ38" s="97" t="str">
        <f>IF(_xlfn.XLOOKUP(4,$AH:$AH,$R:$R,"",0)="","","AND A.`"&amp;_xlfn.XLOOKUP(4,$AH:$AH,$R:$R,"",0)&amp;"` = B.`"&amp;_xlfn.XLOOKUP(4,$AH:$AH,$R:$R,"",0)&amp;"`")</f>
        <v/>
      </c>
      <c r="CA38" t="s">
        <v>626</v>
      </c>
    </row>
    <row r="39" spans="1:79">
      <c r="A39" s="100"/>
      <c r="B39" s="34" t="s">
        <v>35</v>
      </c>
      <c r="C39" s="45"/>
      <c r="D39" s="34" t="s">
        <v>36</v>
      </c>
      <c r="E39" s="44"/>
      <c r="F39" s="44"/>
      <c r="G39" s="44"/>
      <c r="H39" s="44"/>
      <c r="I39" s="44"/>
      <c r="J39" s="44"/>
      <c r="K39" s="44"/>
      <c r="L39" s="36"/>
      <c r="M39" s="36"/>
      <c r="N39" s="36"/>
      <c r="O39" s="36"/>
      <c r="P39" s="36"/>
      <c r="Q39" s="35"/>
      <c r="R39" s="34" t="s">
        <v>37</v>
      </c>
      <c r="S39" s="36"/>
      <c r="T39" s="45"/>
      <c r="U39" s="34" t="s">
        <v>38</v>
      </c>
      <c r="V39" s="36"/>
      <c r="W39" s="44"/>
      <c r="X39" s="45"/>
      <c r="Y39" s="34" t="s">
        <v>39</v>
      </c>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5"/>
      <c r="BK39" s="4"/>
      <c r="BQ39" t="s">
        <v>626</v>
      </c>
      <c r="BS39" t="s">
        <v>626</v>
      </c>
      <c r="BU39" t="s">
        <v>626</v>
      </c>
      <c r="BV39" s="97" t="str">
        <f>IF(_xlfn.XLOOKUP(8,$AH:$AH,$R:$R,"",0)="","","AND A.`"&amp;_xlfn.XLOOKUP(8,$AH:$AH,$R:$R,"",0)&amp;"` = B.`"&amp;_xlfn.XLOOKUP(8,$AH:$AH,$R:$R,"",0)&amp;"`")</f>
        <v/>
      </c>
      <c r="BW39" t="s">
        <v>626</v>
      </c>
      <c r="BY39" t="s">
        <v>626</v>
      </c>
      <c r="BZ39" s="97" t="str">
        <f>IF(_xlfn.XLOOKUP(5,$AH:$AH,$R:$R,"",0)="","","AND A.`"&amp;_xlfn.XLOOKUP(5,$AH:$AH,$R:$R,"",0)&amp;"` = B.`"&amp;_xlfn.XLOOKUP(5,$AH:$AH,$R:$R,"",0)&amp;"`")</f>
        <v/>
      </c>
      <c r="CA39" t="s">
        <v>626</v>
      </c>
    </row>
    <row r="40" spans="1:79">
      <c r="A40" s="100"/>
      <c r="B40" s="41">
        <v>1</v>
      </c>
      <c r="C40" s="47"/>
      <c r="D40" s="41" t="str">
        <f>G10&amp;"_"&amp;R40&amp;"_"&amp;"trg"</f>
        <v>EmployeeExMVKMaster_update_trg</v>
      </c>
      <c r="E40" s="46"/>
      <c r="F40" s="46"/>
      <c r="G40" s="46"/>
      <c r="H40" s="46"/>
      <c r="I40" s="46"/>
      <c r="J40" s="46"/>
      <c r="K40" s="46"/>
      <c r="L40" s="42"/>
      <c r="M40" s="42"/>
      <c r="N40" s="42"/>
      <c r="O40" s="42"/>
      <c r="P40" s="42"/>
      <c r="Q40" s="43"/>
      <c r="R40" s="41" t="s">
        <v>40</v>
      </c>
      <c r="S40" s="42"/>
      <c r="T40" s="47"/>
      <c r="U40" s="41" t="s">
        <v>41</v>
      </c>
      <c r="V40" s="42"/>
      <c r="W40" s="46"/>
      <c r="X40" s="47"/>
      <c r="Y40" s="41" t="s">
        <v>42</v>
      </c>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3"/>
      <c r="BK40" s="4"/>
      <c r="BQ40" t="s">
        <v>626</v>
      </c>
      <c r="BS40" t="s">
        <v>626</v>
      </c>
      <c r="BU40" t="s">
        <v>626</v>
      </c>
      <c r="BV40" s="97" t="s">
        <v>936</v>
      </c>
      <c r="BW40" t="s">
        <v>626</v>
      </c>
      <c r="BY40" t="s">
        <v>626</v>
      </c>
      <c r="BZ40" s="97" t="str">
        <f>IF(_xlfn.XLOOKUP(6,$AH:$AH,$R:$R,"",0)="","","AND A.`"&amp;_xlfn.XLOOKUP(6,$AH:$AH,$R:$R,"",0)&amp;"` = B.`"&amp;_xlfn.XLOOKUP(6,$AH:$AH,$R:$R,"",0)&amp;"`")</f>
        <v/>
      </c>
      <c r="CA40" t="s">
        <v>626</v>
      </c>
    </row>
    <row r="41" spans="1:79">
      <c r="A41" s="100"/>
      <c r="BK41" s="4"/>
      <c r="BQ41" t="s">
        <v>626</v>
      </c>
      <c r="BS41" t="s">
        <v>626</v>
      </c>
      <c r="BU41" t="s">
        <v>626</v>
      </c>
      <c r="BW41" t="s">
        <v>626</v>
      </c>
      <c r="BY41" t="s">
        <v>626</v>
      </c>
      <c r="BZ41" s="97" t="str">
        <f>IF(_xlfn.XLOOKUP(7,$AH:$AH,$R:$R,"",0)="","","AND A.`"&amp;_xlfn.XLOOKUP(7,$AH:$AH,$R:$R,"",0)&amp;"` = B.`"&amp;_xlfn.XLOOKUP(7,$AH:$AH,$R:$R,"",0)&amp;"`")</f>
        <v/>
      </c>
      <c r="CA41" t="s">
        <v>626</v>
      </c>
    </row>
    <row r="42" spans="1:79">
      <c r="A42" s="100"/>
      <c r="BK42" s="4"/>
      <c r="BQ42" t="s">
        <v>626</v>
      </c>
      <c r="BS42" t="s">
        <v>626</v>
      </c>
      <c r="BU42" t="s">
        <v>626</v>
      </c>
      <c r="BW42" t="s">
        <v>626</v>
      </c>
      <c r="BY42" t="s">
        <v>626</v>
      </c>
      <c r="BZ42" s="97" t="str">
        <f>IF(_xlfn.XLOOKUP(8,$AH:$AH,$R:$R,"",0)="","","AND A.`"&amp;_xlfn.XLOOKUP(8,$AH:$AH,$R:$R,"",0)&amp;"` = B.`"&amp;_xlfn.XLOOKUP(8,$AH:$AH,$R:$R,"",0)&amp;"`")</f>
        <v/>
      </c>
      <c r="CA42" t="s">
        <v>626</v>
      </c>
    </row>
    <row r="43" spans="1:79">
      <c r="A43" s="100"/>
      <c r="BK43" s="4"/>
      <c r="BQ43" t="s">
        <v>626</v>
      </c>
      <c r="BS43" t="s">
        <v>626</v>
      </c>
      <c r="BU43" t="s">
        <v>626</v>
      </c>
      <c r="BW43" t="s">
        <v>626</v>
      </c>
      <c r="BY43" t="s">
        <v>626</v>
      </c>
      <c r="BZ43" s="97" t="s">
        <v>929</v>
      </c>
      <c r="CA43" t="s">
        <v>626</v>
      </c>
    </row>
    <row r="44" spans="1:79">
      <c r="A44" s="100"/>
      <c r="BK44" s="4"/>
      <c r="BQ44" t="s">
        <v>626</v>
      </c>
      <c r="BS44" t="s">
        <v>626</v>
      </c>
      <c r="BU44" t="s">
        <v>626</v>
      </c>
      <c r="BW44" t="s">
        <v>626</v>
      </c>
      <c r="BY44" t="s">
        <v>626</v>
      </c>
      <c r="CA44" t="s">
        <v>626</v>
      </c>
    </row>
    <row r="45" spans="1:79">
      <c r="A45" s="100"/>
      <c r="BK45" s="4"/>
      <c r="BQ45" t="s">
        <v>626</v>
      </c>
      <c r="BS45" t="s">
        <v>626</v>
      </c>
      <c r="BU45" t="s">
        <v>626</v>
      </c>
      <c r="BW45" t="s">
        <v>626</v>
      </c>
      <c r="BY45" t="s">
        <v>626</v>
      </c>
      <c r="BZ45" s="98"/>
      <c r="CA45" t="s">
        <v>626</v>
      </c>
    </row>
    <row r="46" spans="1:79">
      <c r="A46" s="100"/>
      <c r="BK46" s="4"/>
      <c r="BQ46" t="s">
        <v>626</v>
      </c>
      <c r="BS46" t="s">
        <v>626</v>
      </c>
      <c r="BU46" t="s">
        <v>626</v>
      </c>
      <c r="BW46" t="s">
        <v>626</v>
      </c>
      <c r="BY46" t="s">
        <v>626</v>
      </c>
      <c r="BZ46" t="str">
        <f>"DROP TABLE IF EXISTS `TMP`.`"&amp;$G$10&amp;"`;"</f>
        <v>DROP TABLE IF EXISTS `TMP`.`EmployeeExMVKMaster`;</v>
      </c>
      <c r="CA46" t="s">
        <v>626</v>
      </c>
    </row>
    <row r="47" spans="1:79">
      <c r="A47" s="100"/>
      <c r="BK47" s="4"/>
      <c r="BQ47" t="s">
        <v>626</v>
      </c>
      <c r="BS47" t="s">
        <v>626</v>
      </c>
      <c r="BU47" t="s">
        <v>626</v>
      </c>
      <c r="BW47" t="s">
        <v>626</v>
      </c>
      <c r="BY47" t="s">
        <v>626</v>
      </c>
      <c r="BZ47" t="s">
        <v>937</v>
      </c>
      <c r="CA47" t="s">
        <v>626</v>
      </c>
    </row>
    <row r="48" spans="1:79">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4ACFF-E5FD-4EB3-B268-3B1EB461EFA7}">
  <dimension ref="A1:CA63"/>
  <sheetViews>
    <sheetView view="pageBreakPreview" topLeftCell="A15" zoomScale="80" zoomScaleNormal="75" zoomScaleSheetLayoutView="80" workbookViewId="0">
      <selection activeCell="AJ31" sqref="AJ31"/>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L1" s="77"/>
      <c r="BM1" s="77"/>
      <c r="BN1" s="77"/>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L2" s="71"/>
      <c r="BM2" s="71"/>
      <c r="BN2" s="71"/>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L3" s="71"/>
      <c r="BM3" s="71"/>
      <c r="BN3" s="71"/>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333</v>
      </c>
      <c r="AQ4" s="236"/>
      <c r="AR4" s="236"/>
      <c r="AS4" s="236"/>
      <c r="AT4" s="236"/>
      <c r="AU4" s="236"/>
      <c r="AV4" s="236"/>
      <c r="AW4" s="236"/>
      <c r="AX4" s="236"/>
      <c r="AY4" s="236"/>
      <c r="AZ4" s="236"/>
      <c r="BA4" s="236"/>
      <c r="BB4" s="236"/>
      <c r="BC4" s="236"/>
      <c r="BD4" s="236"/>
      <c r="BE4" s="236"/>
      <c r="BF4" s="236"/>
      <c r="BG4" s="236"/>
      <c r="BH4" s="236"/>
      <c r="BI4" s="236"/>
      <c r="BJ4" s="236"/>
      <c r="BK4" s="237"/>
      <c r="BL4" s="71"/>
      <c r="BM4" s="71"/>
      <c r="BN4" s="71"/>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332</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331</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`POS_MASTER`.`PresetMenuMaster`;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`POS_MASTER`.`PresetMenuMaster`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7"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'C:/04_DATAFILE/PresetMenuMaster/TMP/PresetMenuMaster.CSV' </v>
      </c>
      <c r="BU24" t="s">
        <v>626</v>
      </c>
      <c r="BV24" s="97" t="str">
        <f>"UPDATE `POS_MASTER`.`"&amp;$G$10&amp;"` A,`TMP`.`"&amp;$G$10&amp;"` B"</f>
        <v>UPDATE `POS_MASTER`.`PresetMenuMaster` A,`TMP`.`PresetMenuMaster`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`TMP`.`PresetMenuMaster`;</v>
      </c>
      <c r="BS25" t="s">
        <v>626</v>
      </c>
      <c r="BT25" s="97" t="str">
        <f>"REPLACE INTO TABLE TMP.`"&amp;$G$10&amp;"` CHARACTER SET 'UTF8'"</f>
        <v>REPLACE INTO TABLE TMP.`PresetMenuMaster`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`TMP`.`PresetMenuMaster` (</v>
      </c>
      <c r="BS26" t="s">
        <v>626</v>
      </c>
      <c r="BT26" s="97" t="str">
        <f>SUBSTITUTE(SUBSTITUTE("("&amp;A26&amp;","&amp;A27&amp;","&amp;A28&amp;","&amp;A29&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amp;A63&amp;")",",,",""),",)",")")</f>
        <v>(@1,@2,@3,@4,@5,@6,@7,@8,@9,@10,@11)</v>
      </c>
      <c r="BU26" t="s">
        <v>626</v>
      </c>
      <c r="BV26" s="97"/>
      <c r="BW26" t="s">
        <v>626</v>
      </c>
      <c r="BX26" s="97" t="str">
        <f>"INSERT INTO `POS_MASTER`.`"&amp;$G$10&amp;"` ("</f>
        <v>INSERT INTO `POS_MASTER`.`PresetMenuMaster` (</v>
      </c>
      <c r="BY26" t="s">
        <v>626</v>
      </c>
      <c r="BZ26" s="97" t="s">
        <v>931</v>
      </c>
      <c r="CA26" t="s">
        <v>626</v>
      </c>
    </row>
    <row r="27" spans="1:79" ht="15" customHeight="1">
      <c r="A27" s="100" t="s">
        <v>964</v>
      </c>
      <c r="B27" s="16">
        <f t="shared" si="0"/>
        <v>7</v>
      </c>
      <c r="C27" s="17"/>
      <c r="D27" s="18" t="s">
        <v>340</v>
      </c>
      <c r="E27" s="19"/>
      <c r="F27" s="19"/>
      <c r="G27" s="19"/>
      <c r="H27" s="19"/>
      <c r="I27" s="19"/>
      <c r="J27" s="19"/>
      <c r="K27" s="19"/>
      <c r="L27" s="19"/>
      <c r="M27" s="19"/>
      <c r="N27" s="19"/>
      <c r="O27" s="19"/>
      <c r="P27" s="19"/>
      <c r="Q27" s="20"/>
      <c r="R27" s="18" t="s">
        <v>350</v>
      </c>
      <c r="S27" s="19"/>
      <c r="T27" s="19"/>
      <c r="U27" s="19"/>
      <c r="V27" s="19"/>
      <c r="W27" s="19"/>
      <c r="X27" s="19"/>
      <c r="Y27" s="19"/>
      <c r="Z27" s="19"/>
      <c r="AA27" s="19"/>
      <c r="AB27" s="20"/>
      <c r="AC27" s="18" t="str" cm="1">
        <f t="array" ref="AC27">_xlfn.SWITCH(BM27,"nvarchar","varchar("&amp;BN27&amp;")","smallint","smallint","date","date","money","decimal(19,4)","numeric","numeric("&amp;BN27&amp;")","int","int","bit","char(1)","datetime2","datetime","time","time")</f>
        <v>varchar(10)</v>
      </c>
      <c r="AD27" s="19"/>
      <c r="AE27" s="19"/>
      <c r="AF27" s="19"/>
      <c r="AG27" s="20"/>
      <c r="AH27" s="18">
        <v>1</v>
      </c>
      <c r="AI27" s="20"/>
      <c r="AJ27" s="18" t="s">
        <v>885</v>
      </c>
      <c r="AK27" s="19"/>
      <c r="AL27" s="20"/>
      <c r="AM27" s="18"/>
      <c r="AN27" s="19"/>
      <c r="AO27" s="19"/>
      <c r="AP27" s="19"/>
      <c r="AQ27" s="19"/>
      <c r="AR27" s="19"/>
      <c r="AS27" s="20"/>
      <c r="AT27" s="18"/>
      <c r="AU27" s="19"/>
      <c r="AV27" s="19"/>
      <c r="AW27" s="19"/>
      <c r="AX27" s="19"/>
      <c r="AY27" s="19"/>
      <c r="AZ27" s="19"/>
      <c r="BA27" s="19"/>
      <c r="BB27" s="19"/>
      <c r="BC27" s="19"/>
      <c r="BD27" s="19"/>
      <c r="BE27" s="19"/>
      <c r="BF27" s="19"/>
      <c r="BG27" s="19"/>
      <c r="BH27" s="19"/>
      <c r="BI27" s="19"/>
      <c r="BJ27" s="20"/>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341</v>
      </c>
      <c r="E28" s="25"/>
      <c r="F28" s="25"/>
      <c r="G28" s="25"/>
      <c r="H28" s="25"/>
      <c r="I28" s="25"/>
      <c r="J28" s="25"/>
      <c r="K28" s="25"/>
      <c r="L28" s="25"/>
      <c r="M28" s="25"/>
      <c r="N28" s="25"/>
      <c r="O28" s="25"/>
      <c r="P28" s="25"/>
      <c r="Q28" s="26"/>
      <c r="R28" s="22" t="s">
        <v>351</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
        <v>888</v>
      </c>
      <c r="BN28">
        <v>10</v>
      </c>
      <c r="BP28" t="str">
        <f t="shared" ref="BP28:BP37"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7" si="2">",A.`"&amp;R28&amp;"` = B.`"&amp;R28&amp;"`"</f>
        <v>,A.`StoreCode` = B.`StoreCode`</v>
      </c>
      <c r="BW28" t="s">
        <v>626</v>
      </c>
      <c r="BX28" s="97" t="str">
        <f t="shared" ref="BX28:BX37" si="3">",`"&amp;R28&amp;"`"</f>
        <v>,`StoreCode`</v>
      </c>
      <c r="BY28" t="s">
        <v>626</v>
      </c>
      <c r="BZ28" s="97" t="str">
        <f t="shared" ref="BZ28:BZ37" si="4">",`"&amp;R28&amp;"`"</f>
        <v>,`StoreCode`</v>
      </c>
      <c r="CA28" t="s">
        <v>626</v>
      </c>
    </row>
    <row r="29" spans="1:79" ht="15" customHeight="1">
      <c r="A29" s="100" t="s">
        <v>966</v>
      </c>
      <c r="B29" s="23">
        <f t="shared" si="0"/>
        <v>9</v>
      </c>
      <c r="C29" s="24"/>
      <c r="D29" s="22" t="s">
        <v>342</v>
      </c>
      <c r="E29" s="25"/>
      <c r="F29" s="25"/>
      <c r="G29" s="25"/>
      <c r="H29" s="25"/>
      <c r="I29" s="25"/>
      <c r="J29" s="25"/>
      <c r="K29" s="25"/>
      <c r="L29" s="25"/>
      <c r="M29" s="25"/>
      <c r="N29" s="25"/>
      <c r="O29" s="25"/>
      <c r="P29" s="25"/>
      <c r="Q29" s="26"/>
      <c r="R29" s="22" t="s">
        <v>352</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12</v>
      </c>
      <c r="BP29" t="str">
        <f t="shared" si="1"/>
        <v>,`ButtonLayoutCode` varchar(12) NOT NULL COMMENT 'プリセットボタンレイアウトコード'</v>
      </c>
      <c r="BQ29" t="s">
        <v>626</v>
      </c>
      <c r="BR29" t="str">
        <f t="shared" ref="BR29:BR37" si="5">",`"&amp;R29&amp;"` "&amp;AC29&amp;" "&amp;IF(AJ29="Y","NOT NULL","")</f>
        <v>,`ButtonLayoutCode` varchar(12) NOT NULL</v>
      </c>
      <c r="BS29" t="s">
        <v>626</v>
      </c>
      <c r="BT29" t="str">
        <f t="shared" ref="BT29:BT37" si="6">",`"&amp;R29&amp;"` = "&amp;IF(LEFT(AC29,4)="date", "if(@"&amp;B29-5&amp;" &gt; '0000-00-00 00:00:00', if(@"&amp;B29-5&amp;" &gt; '2999-12-31 23:59:59', '2999-12-31 23:59:59', @"&amp;B29-5&amp;"), null)","if(nullif( @"&amp;B29-5&amp;",'') &gt; '', @"&amp;B29-5&amp;", null )")</f>
        <v>,`ButtonLayoutCode` = if(nullif( @4,'') &gt; '', @4, null )</v>
      </c>
      <c r="BU29" t="s">
        <v>626</v>
      </c>
      <c r="BV29" s="97" t="str">
        <f t="shared" si="2"/>
        <v>,A.`ButtonLayoutCode` = B.`ButtonLayoutCode`</v>
      </c>
      <c r="BW29" t="s">
        <v>626</v>
      </c>
      <c r="BX29" s="97" t="str">
        <f t="shared" si="3"/>
        <v>,`ButtonLayoutCode`</v>
      </c>
      <c r="BY29" t="s">
        <v>626</v>
      </c>
      <c r="BZ29" s="97" t="str">
        <f t="shared" si="4"/>
        <v>,`ButtonLayoutCode`</v>
      </c>
      <c r="CA29" t="s">
        <v>626</v>
      </c>
    </row>
    <row r="30" spans="1:79" ht="15" customHeight="1">
      <c r="A30" s="100"/>
      <c r="B30" s="23">
        <f t="shared" si="0"/>
        <v>10</v>
      </c>
      <c r="C30" s="24"/>
      <c r="D30" s="22" t="s">
        <v>1420</v>
      </c>
      <c r="E30" s="25"/>
      <c r="F30" s="25"/>
      <c r="G30" s="25"/>
      <c r="H30" s="25"/>
      <c r="I30" s="25"/>
      <c r="J30" s="25"/>
      <c r="K30" s="25"/>
      <c r="L30" s="25"/>
      <c r="M30" s="25"/>
      <c r="N30" s="25"/>
      <c r="O30" s="25"/>
      <c r="P30" s="25"/>
      <c r="Q30" s="26"/>
      <c r="R30" s="22" t="s">
        <v>1421</v>
      </c>
      <c r="S30" s="25"/>
      <c r="T30" s="25"/>
      <c r="U30" s="25"/>
      <c r="V30" s="25"/>
      <c r="W30" s="25"/>
      <c r="X30" s="25"/>
      <c r="Y30" s="25"/>
      <c r="Z30" s="25"/>
      <c r="AA30" s="25"/>
      <c r="AB30" s="26"/>
      <c r="AC30" s="22" t="s">
        <v>1361</v>
      </c>
      <c r="AD30" s="25"/>
      <c r="AE30" s="25"/>
      <c r="AF30" s="25"/>
      <c r="AG30" s="26"/>
      <c r="AH30" s="22"/>
      <c r="AI30" s="26"/>
      <c r="AJ30" s="22" t="s">
        <v>1359</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V30" s="97"/>
      <c r="BX30" s="97"/>
      <c r="BZ30" s="97"/>
    </row>
    <row r="31" spans="1:79" ht="15" customHeight="1">
      <c r="A31" s="100" t="s">
        <v>967</v>
      </c>
      <c r="B31" s="23">
        <f t="shared" si="0"/>
        <v>11</v>
      </c>
      <c r="C31" s="24"/>
      <c r="D31" s="22" t="s">
        <v>343</v>
      </c>
      <c r="E31" s="25"/>
      <c r="F31" s="25"/>
      <c r="G31" s="25"/>
      <c r="H31" s="25"/>
      <c r="I31" s="25"/>
      <c r="J31" s="25"/>
      <c r="K31" s="25"/>
      <c r="L31" s="25"/>
      <c r="M31" s="25"/>
      <c r="N31" s="25"/>
      <c r="O31" s="25"/>
      <c r="P31" s="25"/>
      <c r="Q31" s="26"/>
      <c r="R31" s="22" t="s">
        <v>353</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smallint</v>
      </c>
      <c r="AD31" s="25"/>
      <c r="AE31" s="25"/>
      <c r="AF31" s="25"/>
      <c r="AG31" s="26"/>
      <c r="AH31" s="22">
        <v>4</v>
      </c>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623</v>
      </c>
      <c r="BP31" t="str">
        <f t="shared" si="1"/>
        <v>,`GroupCode` smallint NOT NULL COMMENT 'グループコード'</v>
      </c>
      <c r="BQ31" t="s">
        <v>626</v>
      </c>
      <c r="BR31" t="str">
        <f t="shared" si="5"/>
        <v>,`GroupCode` smallint NOT NULL</v>
      </c>
      <c r="BS31" t="s">
        <v>626</v>
      </c>
      <c r="BT31" t="str">
        <f t="shared" si="6"/>
        <v>,`GroupCode` = if(nullif( @6,'') &gt; '', @6, null )</v>
      </c>
      <c r="BU31" t="s">
        <v>626</v>
      </c>
      <c r="BV31" s="97" t="str">
        <f t="shared" si="2"/>
        <v>,A.`GroupCode` = B.`GroupCode`</v>
      </c>
      <c r="BW31" t="s">
        <v>626</v>
      </c>
      <c r="BX31" s="97" t="str">
        <f t="shared" si="3"/>
        <v>,`GroupCode`</v>
      </c>
      <c r="BY31" t="s">
        <v>626</v>
      </c>
      <c r="BZ31" s="97" t="str">
        <f t="shared" si="4"/>
        <v>,`GroupCode`</v>
      </c>
      <c r="CA31" t="s">
        <v>626</v>
      </c>
    </row>
    <row r="32" spans="1:79" ht="15" customHeight="1">
      <c r="A32" s="100" t="s">
        <v>968</v>
      </c>
      <c r="B32" s="23">
        <f t="shared" si="0"/>
        <v>12</v>
      </c>
      <c r="C32" s="24"/>
      <c r="D32" s="22" t="s">
        <v>344</v>
      </c>
      <c r="E32" s="25"/>
      <c r="F32" s="25"/>
      <c r="G32" s="25"/>
      <c r="H32" s="25"/>
      <c r="I32" s="25"/>
      <c r="J32" s="25"/>
      <c r="K32" s="25"/>
      <c r="L32" s="25"/>
      <c r="M32" s="25"/>
      <c r="N32" s="25"/>
      <c r="O32" s="25"/>
      <c r="P32" s="25"/>
      <c r="Q32" s="26"/>
      <c r="R32" s="22" t="s">
        <v>354</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smallint</v>
      </c>
      <c r="AD32" s="25"/>
      <c r="AE32" s="25"/>
      <c r="AF32" s="25"/>
      <c r="AG32" s="26"/>
      <c r="AH32" s="22">
        <v>5</v>
      </c>
      <c r="AI32" s="26"/>
      <c r="AJ32" s="22" t="s">
        <v>885</v>
      </c>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
        <v>623</v>
      </c>
      <c r="BP32" t="str">
        <f t="shared" si="1"/>
        <v>,`PageNumber` smallint NOT NULL COMMENT 'ページ番号'</v>
      </c>
      <c r="BQ32" t="s">
        <v>626</v>
      </c>
      <c r="BR32" t="str">
        <f t="shared" si="5"/>
        <v>,`PageNumber` smallint NOT NULL</v>
      </c>
      <c r="BS32" t="s">
        <v>626</v>
      </c>
      <c r="BT32" t="str">
        <f t="shared" si="6"/>
        <v>,`PageNumber` = if(nullif( @7,'') &gt; '', @7, null )</v>
      </c>
      <c r="BU32" t="s">
        <v>626</v>
      </c>
      <c r="BV32" s="97" t="str">
        <f t="shared" si="2"/>
        <v>,A.`PageNumber` = B.`PageNumber`</v>
      </c>
      <c r="BW32" t="s">
        <v>626</v>
      </c>
      <c r="BX32" s="97" t="str">
        <f t="shared" si="3"/>
        <v>,`PageNumber`</v>
      </c>
      <c r="BY32" t="s">
        <v>626</v>
      </c>
      <c r="BZ32" s="97" t="str">
        <f t="shared" si="4"/>
        <v>,`PageNumber`</v>
      </c>
      <c r="CA32" t="s">
        <v>626</v>
      </c>
    </row>
    <row r="33" spans="1:79" ht="15" customHeight="1">
      <c r="A33" s="100" t="s">
        <v>969</v>
      </c>
      <c r="B33" s="23">
        <f t="shared" si="0"/>
        <v>13</v>
      </c>
      <c r="C33" s="24"/>
      <c r="D33" s="22" t="s">
        <v>345</v>
      </c>
      <c r="E33" s="25"/>
      <c r="F33" s="25"/>
      <c r="G33" s="25"/>
      <c r="H33" s="25"/>
      <c r="I33" s="25"/>
      <c r="J33" s="25"/>
      <c r="K33" s="25"/>
      <c r="L33" s="25"/>
      <c r="M33" s="25"/>
      <c r="N33" s="25"/>
      <c r="O33" s="25"/>
      <c r="P33" s="25"/>
      <c r="Q33" s="26"/>
      <c r="R33" s="22" t="s">
        <v>355</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date</v>
      </c>
      <c r="AD33" s="25"/>
      <c r="AE33" s="25"/>
      <c r="AF33" s="25"/>
      <c r="AG33" s="26"/>
      <c r="AH33" s="22">
        <v>6</v>
      </c>
      <c r="AI33" s="26"/>
      <c r="AJ33" s="22" t="s">
        <v>885</v>
      </c>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M33" t="s">
        <v>436</v>
      </c>
      <c r="BP33" t="str">
        <f t="shared" si="1"/>
        <v>,`ApplyDate` date NOT NULL COMMENT '適用日'</v>
      </c>
      <c r="BQ33" t="s">
        <v>626</v>
      </c>
      <c r="BR33" t="str">
        <f t="shared" si="5"/>
        <v>,`ApplyDate` date NOT NULL</v>
      </c>
      <c r="BS33" t="s">
        <v>626</v>
      </c>
      <c r="BT33" t="str">
        <f t="shared" si="6"/>
        <v>,`ApplyDate` = if(@8 &gt; '0000-00-00 00:00:00', if(@8 &gt; '2999-12-31 23:59:59', '2999-12-31 23:59:59', @8), null)</v>
      </c>
      <c r="BU33" t="s">
        <v>626</v>
      </c>
      <c r="BV33" s="97" t="str">
        <f t="shared" si="2"/>
        <v>,A.`ApplyDate` = B.`ApplyDate`</v>
      </c>
      <c r="BW33" t="s">
        <v>626</v>
      </c>
      <c r="BX33" s="97" t="str">
        <f t="shared" si="3"/>
        <v>,`ApplyDate`</v>
      </c>
      <c r="BY33" t="s">
        <v>626</v>
      </c>
      <c r="BZ33" s="97" t="str">
        <f t="shared" si="4"/>
        <v>,`ApplyDate`</v>
      </c>
      <c r="CA33" t="s">
        <v>626</v>
      </c>
    </row>
    <row r="34" spans="1:79" ht="15" customHeight="1">
      <c r="A34" s="100" t="s">
        <v>970</v>
      </c>
      <c r="B34" s="23">
        <f t="shared" si="0"/>
        <v>14</v>
      </c>
      <c r="C34" s="24"/>
      <c r="D34" s="22" t="s">
        <v>346</v>
      </c>
      <c r="E34" s="25"/>
      <c r="F34" s="25"/>
      <c r="G34" s="25"/>
      <c r="H34" s="25"/>
      <c r="I34" s="25"/>
      <c r="J34" s="25"/>
      <c r="K34" s="25"/>
      <c r="L34" s="25"/>
      <c r="M34" s="25"/>
      <c r="N34" s="25"/>
      <c r="O34" s="25"/>
      <c r="P34" s="25"/>
      <c r="Q34" s="26"/>
      <c r="R34" s="22" t="s">
        <v>356</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smallint</v>
      </c>
      <c r="AD34" s="25"/>
      <c r="AE34" s="25"/>
      <c r="AF34" s="25"/>
      <c r="AG34" s="26"/>
      <c r="AH34" s="22"/>
      <c r="AI34" s="26"/>
      <c r="AJ34" s="22" t="s">
        <v>885</v>
      </c>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
        <v>623</v>
      </c>
      <c r="BP34" t="str">
        <f t="shared" si="1"/>
        <v>,`ButtonColumnCount` smallint NOT NULL COMMENT 'ボタンの数（横）'</v>
      </c>
      <c r="BQ34" t="s">
        <v>626</v>
      </c>
      <c r="BR34" t="str">
        <f t="shared" si="5"/>
        <v>,`ButtonColumnCount` smallint NOT NULL</v>
      </c>
      <c r="BS34" t="s">
        <v>626</v>
      </c>
      <c r="BT34" t="str">
        <f t="shared" si="6"/>
        <v>,`ButtonColumnCount` = if(nullif( @9,'') &gt; '', @9, null )</v>
      </c>
      <c r="BU34" t="s">
        <v>626</v>
      </c>
      <c r="BV34" s="97" t="str">
        <f t="shared" si="2"/>
        <v>,A.`ButtonColumnCount` = B.`ButtonColumnCount`</v>
      </c>
      <c r="BW34" t="s">
        <v>626</v>
      </c>
      <c r="BX34" s="97" t="str">
        <f t="shared" si="3"/>
        <v>,`ButtonColumnCount`</v>
      </c>
      <c r="BY34" t="s">
        <v>626</v>
      </c>
      <c r="BZ34" s="97" t="str">
        <f t="shared" si="4"/>
        <v>,`ButtonColumnCount`</v>
      </c>
      <c r="CA34" t="s">
        <v>626</v>
      </c>
    </row>
    <row r="35" spans="1:79" ht="15" customHeight="1">
      <c r="A35" s="100" t="s">
        <v>971</v>
      </c>
      <c r="B35" s="23">
        <f t="shared" si="0"/>
        <v>15</v>
      </c>
      <c r="C35" s="24"/>
      <c r="D35" s="22" t="s">
        <v>347</v>
      </c>
      <c r="E35" s="25"/>
      <c r="F35" s="25"/>
      <c r="G35" s="25"/>
      <c r="H35" s="25"/>
      <c r="I35" s="25"/>
      <c r="J35" s="25"/>
      <c r="K35" s="25"/>
      <c r="L35" s="25"/>
      <c r="M35" s="25"/>
      <c r="N35" s="25"/>
      <c r="O35" s="25"/>
      <c r="P35" s="25"/>
      <c r="Q35" s="26"/>
      <c r="R35" s="22" t="s">
        <v>357</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smallint</v>
      </c>
      <c r="AD35" s="25"/>
      <c r="AE35" s="25"/>
      <c r="AF35" s="25"/>
      <c r="AG35" s="26"/>
      <c r="AH35" s="22"/>
      <c r="AI35" s="26"/>
      <c r="AJ35" s="22" t="s">
        <v>885</v>
      </c>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
        <v>623</v>
      </c>
      <c r="BP35" t="str">
        <f t="shared" si="1"/>
        <v>,`ButtonRowCount` smallint NOT NULL COMMENT 'ボタンの数（縦）'</v>
      </c>
      <c r="BQ35" t="s">
        <v>626</v>
      </c>
      <c r="BR35" t="str">
        <f t="shared" si="5"/>
        <v>,`ButtonRowCount` smallint NOT NULL</v>
      </c>
      <c r="BS35" t="s">
        <v>626</v>
      </c>
      <c r="BT35" t="str">
        <f t="shared" si="6"/>
        <v>,`ButtonRowCount` = if(nullif( @10,'') &gt; '', @10, null )</v>
      </c>
      <c r="BU35" t="s">
        <v>626</v>
      </c>
      <c r="BV35" s="97" t="str">
        <f t="shared" si="2"/>
        <v>,A.`ButtonRowCount` = B.`ButtonRowCount`</v>
      </c>
      <c r="BW35" t="s">
        <v>626</v>
      </c>
      <c r="BX35" s="97" t="str">
        <f t="shared" si="3"/>
        <v>,`ButtonRowCount`</v>
      </c>
      <c r="BY35" t="s">
        <v>626</v>
      </c>
      <c r="BZ35" s="97" t="str">
        <f t="shared" si="4"/>
        <v>,`ButtonRowCount`</v>
      </c>
      <c r="CA35" t="s">
        <v>626</v>
      </c>
    </row>
    <row r="36" spans="1:79" ht="15" customHeight="1">
      <c r="A36" s="100" t="s">
        <v>972</v>
      </c>
      <c r="B36" s="23">
        <f t="shared" si="0"/>
        <v>16</v>
      </c>
      <c r="C36" s="24"/>
      <c r="D36" s="22" t="s">
        <v>348</v>
      </c>
      <c r="E36" s="25"/>
      <c r="F36" s="25"/>
      <c r="G36" s="25"/>
      <c r="H36" s="25"/>
      <c r="I36" s="25"/>
      <c r="J36" s="25"/>
      <c r="K36" s="25"/>
      <c r="L36" s="25"/>
      <c r="M36" s="25"/>
      <c r="N36" s="25"/>
      <c r="O36" s="25"/>
      <c r="P36" s="25"/>
      <c r="Q36" s="26"/>
      <c r="R36" s="22" t="s">
        <v>358</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varchar(50)</v>
      </c>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
        <v>888</v>
      </c>
      <c r="BN36">
        <v>50</v>
      </c>
      <c r="BP36" t="str">
        <f t="shared" si="1"/>
        <v>,`Description` varchar(50)  COMMENT 'ボタン表示名称'</v>
      </c>
      <c r="BQ36" t="s">
        <v>626</v>
      </c>
      <c r="BR36" t="str">
        <f t="shared" si="5"/>
        <v xml:space="preserve">,`Description` varchar(50) </v>
      </c>
      <c r="BS36" t="s">
        <v>626</v>
      </c>
      <c r="BT36" t="str">
        <f t="shared" si="6"/>
        <v>,`Description` = if(nullif( @11,'') &gt; '', @11, null )</v>
      </c>
      <c r="BU36" t="s">
        <v>626</v>
      </c>
      <c r="BV36" s="97" t="str">
        <f t="shared" si="2"/>
        <v>,A.`Description` = B.`Description`</v>
      </c>
      <c r="BW36" t="s">
        <v>626</v>
      </c>
      <c r="BX36" s="97" t="str">
        <f t="shared" si="3"/>
        <v>,`Description`</v>
      </c>
      <c r="BY36" t="s">
        <v>626</v>
      </c>
      <c r="BZ36" s="97" t="str">
        <f t="shared" si="4"/>
        <v>,`Description`</v>
      </c>
      <c r="CA36" t="s">
        <v>626</v>
      </c>
    </row>
    <row r="37" spans="1:79" ht="15" customHeight="1">
      <c r="A37" s="100" t="s">
        <v>973</v>
      </c>
      <c r="B37" s="28">
        <f t="shared" si="0"/>
        <v>17</v>
      </c>
      <c r="C37" s="29"/>
      <c r="D37" s="30" t="s">
        <v>349</v>
      </c>
      <c r="E37" s="31"/>
      <c r="F37" s="31"/>
      <c r="G37" s="31"/>
      <c r="H37" s="31"/>
      <c r="I37" s="31"/>
      <c r="J37" s="31"/>
      <c r="K37" s="31"/>
      <c r="L37" s="31"/>
      <c r="M37" s="31"/>
      <c r="N37" s="31"/>
      <c r="O37" s="31"/>
      <c r="P37" s="31"/>
      <c r="Q37" s="32"/>
      <c r="R37" s="30" t="s">
        <v>359</v>
      </c>
      <c r="S37" s="31"/>
      <c r="T37" s="31"/>
      <c r="U37" s="31"/>
      <c r="V37" s="31"/>
      <c r="W37" s="31"/>
      <c r="X37" s="31"/>
      <c r="Y37" s="31"/>
      <c r="Z37" s="31"/>
      <c r="AA37" s="31"/>
      <c r="AB37" s="32"/>
      <c r="AC37" s="30" t="str" cm="1">
        <f t="array" ref="AC37">_xlfn.SWITCH(BM37,"nvarchar","varchar("&amp;BN37&amp;")","smallint","smallint","date","date","money","decimal(19,4)","numeric","numeric("&amp;BN37&amp;")","int","int","bit","char(1)","datetime2","datetime","time","time")</f>
        <v>varchar(50)</v>
      </c>
      <c r="AD37" s="31"/>
      <c r="AE37" s="31"/>
      <c r="AF37" s="31"/>
      <c r="AG37" s="32"/>
      <c r="AH37" s="30"/>
      <c r="AI37" s="32"/>
      <c r="AJ37" s="30"/>
      <c r="AK37" s="31"/>
      <c r="AL37" s="32"/>
      <c r="AM37" s="30"/>
      <c r="AN37" s="31"/>
      <c r="AO37" s="31"/>
      <c r="AP37" s="31"/>
      <c r="AQ37" s="31"/>
      <c r="AR37" s="31"/>
      <c r="AS37" s="32"/>
      <c r="AT37" s="232" t="s">
        <v>1419</v>
      </c>
      <c r="AU37" s="31"/>
      <c r="AV37" s="31"/>
      <c r="AW37" s="31"/>
      <c r="AX37" s="31"/>
      <c r="AY37" s="31"/>
      <c r="AZ37" s="31"/>
      <c r="BA37" s="31"/>
      <c r="BB37" s="31"/>
      <c r="BC37" s="31"/>
      <c r="BD37" s="31"/>
      <c r="BE37" s="31"/>
      <c r="BF37" s="31"/>
      <c r="BG37" s="31"/>
      <c r="BH37" s="31"/>
      <c r="BI37" s="31"/>
      <c r="BJ37" s="32"/>
      <c r="BK37" s="4"/>
      <c r="BM37" t="s">
        <v>888</v>
      </c>
      <c r="BN37">
        <v>50</v>
      </c>
      <c r="BP37" t="str">
        <f t="shared" si="1"/>
        <v>,`StyleKey` varchar(50)  COMMENT 'ボタンイメージファイル名（押下時）'</v>
      </c>
      <c r="BQ37" t="s">
        <v>626</v>
      </c>
      <c r="BR37" t="str">
        <f t="shared" si="5"/>
        <v xml:space="preserve">,`StyleKey` varchar(50) </v>
      </c>
      <c r="BS37" t="s">
        <v>626</v>
      </c>
      <c r="BT37" t="str">
        <f t="shared" si="6"/>
        <v>,`StyleKey` = if(nullif( @12,'') &gt; '', @12, null )</v>
      </c>
      <c r="BU37" t="s">
        <v>626</v>
      </c>
      <c r="BV37" s="97" t="str">
        <f t="shared" si="2"/>
        <v>,A.`StyleKey` = B.`StyleKey`</v>
      </c>
      <c r="BW37" t="s">
        <v>626</v>
      </c>
      <c r="BX37" s="97" t="str">
        <f t="shared" si="3"/>
        <v>,`StyleKey`</v>
      </c>
      <c r="BY37" t="s">
        <v>626</v>
      </c>
      <c r="BZ37" s="97" t="str">
        <f t="shared" si="4"/>
        <v>,`StyleKey`</v>
      </c>
      <c r="CA37" t="s">
        <v>626</v>
      </c>
    </row>
    <row r="38" spans="1:79" ht="15" customHeight="1">
      <c r="A38" s="100"/>
      <c r="BK38" s="4"/>
      <c r="BP38"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(`CompanyCode`,`StoreCode`,`ButtonLayoutCode`,`GroupCode`,`PageNumber`,`ApplyDate`),</v>
      </c>
      <c r="BQ38" t="s">
        <v>626</v>
      </c>
      <c r="BR38"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(`CompanyCode`,`StoreCode`,`ButtonLayoutCode`,`GroupCode`,`PageNumber`,`ApplyDate`)</v>
      </c>
      <c r="BS38" t="s">
        <v>626</v>
      </c>
      <c r="BT38" s="97" t="s">
        <v>936</v>
      </c>
      <c r="BU38" t="s">
        <v>626</v>
      </c>
      <c r="BV38" s="97" t="s">
        <v>934</v>
      </c>
      <c r="BW38" t="s">
        <v>626</v>
      </c>
      <c r="BY38" t="s">
        <v>626</v>
      </c>
      <c r="BZ38" s="97" t="str">
        <f>"FROM `TMP`.`"&amp;$G$10&amp;"` A"</f>
        <v>FROM `TMP`.`PresetMenuMaster` A</v>
      </c>
      <c r="CA38" t="s">
        <v>626</v>
      </c>
    </row>
    <row r="39" spans="1:79" ht="15" customHeight="1">
      <c r="A39" s="100"/>
      <c r="BK39" s="4"/>
      <c r="BP39" s="97" t="s">
        <v>452</v>
      </c>
      <c r="BQ39" t="s">
        <v>626</v>
      </c>
      <c r="BR39" s="97" t="str">
        <f>") ENGINE=InnoDB DEFAULT CHARSET=utf8mb4 COLLATE=utf8mb4_0900_ai_ci COMMENT = '"&amp;$G$9&amp;"_TMP';"</f>
        <v>) ENGINE=InnoDB DEFAULT CHARSET=utf8mb4 COLLATE=utf8mb4_0900_ai_ci COMMENT = 'プリセットメニューマスタ_TMP';</v>
      </c>
      <c r="BS39" t="s">
        <v>626</v>
      </c>
      <c r="BU39" t="s">
        <v>626</v>
      </c>
      <c r="BV39" s="97" t="str">
        <f>IF(_xlfn.XLOOKUP(1,$AH:$AH,$R:$R,"",0)="","","A.`"&amp;_xlfn.XLOOKUP(1,$AH:$AH,$R:$R,"",0)&amp;"` = B.`"&amp;_xlfn.XLOOKUP(1,$AH:$AH,$R:$R,"",0)&amp;"`")</f>
        <v>A.`CompanyCode` = B.`CompanyCode`</v>
      </c>
      <c r="BW39" t="s">
        <v>626</v>
      </c>
      <c r="BY39" t="s">
        <v>626</v>
      </c>
      <c r="BZ39" s="97" t="s">
        <v>935</v>
      </c>
      <c r="CA39" t="s">
        <v>626</v>
      </c>
    </row>
    <row r="40" spans="1:79" ht="15" customHeight="1">
      <c r="A40" s="100"/>
      <c r="B40" s="37" t="s">
        <v>49</v>
      </c>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4"/>
      <c r="BP40" s="97" t="str">
        <f>") ENGINE=InnoDB DEFAULT CHARSET=utf8mb4 COLLATE=utf8mb4_0900_ai_ci COMMENT = '"&amp;$G$9&amp;"';"</f>
        <v>) ENGINE=InnoDB DEFAULT CHARSET=utf8mb4 COLLATE=utf8mb4_0900_ai_ci COMMENT = 'プリセットメニューマスタ';</v>
      </c>
      <c r="BQ40" t="s">
        <v>626</v>
      </c>
      <c r="BS40" t="s">
        <v>626</v>
      </c>
      <c r="BU40" t="s">
        <v>626</v>
      </c>
      <c r="BV40" s="97" t="str">
        <f>IF(_xlfn.XLOOKUP(2,$AH:$AH,$R:$R,"",0)="","","AND A.`"&amp;_xlfn.XLOOKUP(2,$AH:$AH,$R:$R,"",0)&amp;"` = B.`"&amp;_xlfn.XLOOKUP(2,$AH:$AH,$R:$R,"",0)&amp;"`")</f>
        <v>AND A.`StoreCode` = B.`StoreCode`</v>
      </c>
      <c r="BW40" t="s">
        <v>626</v>
      </c>
      <c r="BY40" t="s">
        <v>626</v>
      </c>
      <c r="BZ40" s="97" t="str">
        <f>"FROM `POS_MASTER`.`"&amp;$G$10&amp;"` B"</f>
        <v>FROM `POS_MASTER`.`PresetMenuMaster` B</v>
      </c>
      <c r="CA40" t="s">
        <v>626</v>
      </c>
    </row>
    <row r="41" spans="1:79" ht="15" customHeight="1">
      <c r="A41" s="100"/>
      <c r="B41" s="34" t="s">
        <v>50</v>
      </c>
      <c r="C41" s="35"/>
      <c r="D41" s="34" t="s">
        <v>51</v>
      </c>
      <c r="E41" s="44"/>
      <c r="F41" s="36"/>
      <c r="G41" s="36"/>
      <c r="H41" s="36"/>
      <c r="I41" s="36"/>
      <c r="J41" s="36"/>
      <c r="K41" s="36"/>
      <c r="L41" s="36"/>
      <c r="M41" s="36"/>
      <c r="N41" s="36"/>
      <c r="O41" s="36"/>
      <c r="P41" s="36"/>
      <c r="Q41" s="35"/>
      <c r="R41" s="34" t="s">
        <v>52</v>
      </c>
      <c r="S41" s="44"/>
      <c r="T41" s="36"/>
      <c r="U41" s="36"/>
      <c r="V41" s="36"/>
      <c r="W41" s="36"/>
      <c r="X41" s="36"/>
      <c r="Y41" s="36"/>
      <c r="Z41" s="36"/>
      <c r="AA41" s="36"/>
      <c r="AB41" s="36"/>
      <c r="AC41" s="36"/>
      <c r="AD41" s="36"/>
      <c r="AE41" s="36"/>
      <c r="AF41" s="36"/>
      <c r="AG41" s="36"/>
      <c r="AH41" s="36"/>
      <c r="AI41" s="36"/>
      <c r="AJ41" s="36"/>
      <c r="AK41" s="35"/>
      <c r="AL41" s="34" t="s">
        <v>53</v>
      </c>
      <c r="AM41" s="36"/>
      <c r="AN41" s="36"/>
      <c r="AO41" s="45"/>
      <c r="AP41" s="34" t="s">
        <v>54</v>
      </c>
      <c r="AQ41" s="36"/>
      <c r="AR41" s="36"/>
      <c r="AS41" s="35"/>
      <c r="AT41" s="34" t="s">
        <v>48</v>
      </c>
      <c r="AU41" s="44"/>
      <c r="AV41" s="44"/>
      <c r="AW41" s="36"/>
      <c r="AX41" s="36"/>
      <c r="AY41" s="44"/>
      <c r="AZ41" s="36"/>
      <c r="BA41" s="36"/>
      <c r="BB41" s="36"/>
      <c r="BC41" s="36"/>
      <c r="BD41" s="36"/>
      <c r="BE41" s="36"/>
      <c r="BF41" s="36"/>
      <c r="BG41" s="36"/>
      <c r="BH41" s="36"/>
      <c r="BI41" s="44"/>
      <c r="BJ41" s="35"/>
      <c r="BK41" s="4"/>
      <c r="BP41" s="97"/>
      <c r="BQ41" t="s">
        <v>626</v>
      </c>
      <c r="BS41" t="s">
        <v>626</v>
      </c>
      <c r="BU41" t="s">
        <v>626</v>
      </c>
      <c r="BV41" s="97" t="str">
        <f>IF(_xlfn.XLOOKUP(3,$AH:$AH,$R:$R,"",0)="","","AND A.`"&amp;_xlfn.XLOOKUP(3,$AH:$AH,$R:$R,"",0)&amp;"` = B.`"&amp;_xlfn.XLOOKUP(3,$AH:$AH,$R:$R,"",0)&amp;"`")</f>
        <v>AND A.`ButtonLayoutCode` = B.`ButtonLayoutCode`</v>
      </c>
      <c r="BW41" t="s">
        <v>626</v>
      </c>
      <c r="BY41" t="s">
        <v>626</v>
      </c>
      <c r="BZ41" s="97" t="s">
        <v>932</v>
      </c>
      <c r="CA41" t="s">
        <v>626</v>
      </c>
    </row>
    <row r="42" spans="1:79" ht="15" customHeight="1">
      <c r="A42" s="100"/>
      <c r="B42" s="38">
        <v>1</v>
      </c>
      <c r="C42" s="39"/>
      <c r="D42" s="38" t="s">
        <v>55</v>
      </c>
      <c r="E42" s="46"/>
      <c r="F42" s="40"/>
      <c r="G42" s="40"/>
      <c r="H42" s="40"/>
      <c r="I42" s="40"/>
      <c r="J42" s="40"/>
      <c r="K42" s="40"/>
      <c r="L42" s="40"/>
      <c r="M42" s="40"/>
      <c r="N42" s="40"/>
      <c r="O42" s="40"/>
      <c r="P42" s="40"/>
      <c r="Q42" s="39"/>
      <c r="R42"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`CompanyCode`,`StoreCode`,`ButtonLayoutCode`,`GroupCode`,`PageNumber`,`ApplyDate`</v>
      </c>
      <c r="S42" s="46"/>
      <c r="T42" s="40"/>
      <c r="U42" s="40"/>
      <c r="V42" s="40"/>
      <c r="W42" s="40"/>
      <c r="X42" s="40"/>
      <c r="Y42" s="40"/>
      <c r="Z42" s="40"/>
      <c r="AA42" s="40"/>
      <c r="AB42" s="40"/>
      <c r="AC42" s="40"/>
      <c r="AD42" s="40"/>
      <c r="AE42" s="40"/>
      <c r="AF42" s="40"/>
      <c r="AG42" s="40"/>
      <c r="AH42" s="40"/>
      <c r="AI42" s="40"/>
      <c r="AJ42" s="40"/>
      <c r="AK42" s="39"/>
      <c r="AL42" s="38" t="s">
        <v>885</v>
      </c>
      <c r="AM42" s="40"/>
      <c r="AN42" s="40"/>
      <c r="AO42" s="47"/>
      <c r="AP42" s="38" t="s">
        <v>885</v>
      </c>
      <c r="AQ42" s="40"/>
      <c r="AR42" s="40"/>
      <c r="AS42" s="39"/>
      <c r="AT42" s="38"/>
      <c r="AU42" s="46"/>
      <c r="AV42" s="46"/>
      <c r="AW42" s="40"/>
      <c r="AX42" s="40"/>
      <c r="AY42" s="46"/>
      <c r="AZ42" s="40"/>
      <c r="BA42" s="40"/>
      <c r="BB42" s="40"/>
      <c r="BC42" s="40"/>
      <c r="BD42" s="40"/>
      <c r="BE42" s="40"/>
      <c r="BF42" s="40"/>
      <c r="BG42" s="40"/>
      <c r="BH42" s="40"/>
      <c r="BI42" s="46"/>
      <c r="BJ42" s="39"/>
      <c r="BK42" s="4"/>
      <c r="BP42" s="97" t="str">
        <f>"CREATE TRIGGER `"&amp;$G$10&amp;"_CR_Date_Time` BEFORE INSERT ON `"&amp;$G$10&amp;"` FOR EACH ROW SET NEW.record_create_date = CURRENT_DATE, NEW.record_create_time = CURRENT_TIME, NEW.record_update_date = CURRENT_DATE, NEW.record_update_time = CURRENT_TIME;"</f>
        <v>CREATE TRIGGER `PresetMenuMaster_CR_Date_Time` BEFORE INSERT ON `PresetMenuMaster` FOR EACH ROW SET NEW.record_create_date = CURRENT_DATE, NEW.record_create_time = CURRENT_TIME, NEW.record_update_date = CURRENT_DATE, NEW.record_update_time = CURRENT_TIME;</v>
      </c>
      <c r="BQ42" t="s">
        <v>626</v>
      </c>
      <c r="BS42" t="s">
        <v>626</v>
      </c>
      <c r="BU42" t="s">
        <v>626</v>
      </c>
      <c r="BV42" s="97" t="str">
        <f>IF(_xlfn.XLOOKUP(4,$AH:$AH,$R:$R,"",0)="","","AND A.`"&amp;_xlfn.XLOOKUP(4,$AH:$AH,$R:$R,"",0)&amp;"` = B.`"&amp;_xlfn.XLOOKUP(4,$AH:$AH,$R:$R,"",0)&amp;"`")</f>
        <v>AND A.`GroupCode` = B.`GroupCode`</v>
      </c>
      <c r="BW42" t="s">
        <v>626</v>
      </c>
      <c r="BY42" t="s">
        <v>626</v>
      </c>
      <c r="BZ42" s="97" t="str">
        <f>IF(_xlfn.XLOOKUP(1,$AH:$AH,$R:$R,"",0)="","","A.`"&amp;_xlfn.XLOOKUP(1,$AH:$AH,$R:$R,"",0)&amp;"` = B.`"&amp;_xlfn.XLOOKUP(1,$AH:$AH,$R:$R,"",0)&amp;"`")</f>
        <v>A.`CompanyCode` = B.`CompanyCode`</v>
      </c>
      <c r="CA42" t="s">
        <v>626</v>
      </c>
    </row>
    <row r="43" spans="1:79" ht="15" customHeight="1">
      <c r="A43" s="100"/>
      <c r="BK43" s="4"/>
      <c r="BP43" s="97" t="str">
        <f>"CREATE TRIGGER `"&amp;$G$10&amp;"_UP_Date_Time` BEFORE UPDATE ON `"&amp;$G$10&amp;"` FOR EACH ROW SET NEW.record_update_date = CURRENT_DATE, NEW.record_update_time = CURRENT_TIME;"</f>
        <v>CREATE TRIGGER `PresetMenuMaster_UP_Date_Time` BEFORE UPDATE ON `PresetMenuMaster` FOR EACH ROW SET NEW.record_update_date = CURRENT_DATE, NEW.record_update_time = CURRENT_TIME;</v>
      </c>
      <c r="BQ43" t="s">
        <v>626</v>
      </c>
      <c r="BS43" t="s">
        <v>626</v>
      </c>
      <c r="BU43" t="s">
        <v>626</v>
      </c>
      <c r="BV43" s="97" t="str">
        <f>IF(_xlfn.XLOOKUP(5,$AH:$AH,$R:$R,"",0)="","","AND A.`"&amp;_xlfn.XLOOKUP(5,$AH:$AH,$R:$R,"",0)&amp;"` = B.`"&amp;_xlfn.XLOOKUP(5,$AH:$AH,$R:$R,"",0)&amp;"`")</f>
        <v>AND A.`PageNumber` = B.`PageNumber`</v>
      </c>
      <c r="BW43" t="s">
        <v>626</v>
      </c>
      <c r="BY43" t="s">
        <v>626</v>
      </c>
      <c r="BZ43" s="97" t="str">
        <f>IF(_xlfn.XLOOKUP(2,$AH:$AH,$R:$R,"",0)="","","AND A.`"&amp;_xlfn.XLOOKUP(2,$AH:$AH,$R:$R,"",0)&amp;"` = B.`"&amp;_xlfn.XLOOKUP(2,$AH:$AH,$R:$R,"",0)&amp;"`")</f>
        <v>AND A.`StoreCode` = B.`StoreCode`</v>
      </c>
      <c r="CA43" t="s">
        <v>626</v>
      </c>
    </row>
    <row r="44" spans="1:79" ht="15" customHeight="1">
      <c r="A44" s="100"/>
      <c r="BK44" s="4"/>
      <c r="BQ44" t="s">
        <v>626</v>
      </c>
      <c r="BS44" t="s">
        <v>626</v>
      </c>
      <c r="BU44" t="s">
        <v>626</v>
      </c>
      <c r="BV44" s="97" t="str">
        <f>IF(_xlfn.XLOOKUP(6,$AH:$AH,$R:$R,"",0)="","","AND A.`"&amp;_xlfn.XLOOKUP(6,$AH:$AH,$R:$R,"",0)&amp;"` = B.`"&amp;_xlfn.XLOOKUP(6,$AH:$AH,$R:$R,"",0)&amp;"`")</f>
        <v>AND A.`ApplyDate` = B.`ApplyDate`</v>
      </c>
      <c r="BW44" t="s">
        <v>626</v>
      </c>
      <c r="BY44" t="s">
        <v>626</v>
      </c>
      <c r="BZ44" s="97" t="str">
        <f>IF(_xlfn.XLOOKUP(3,$AH:$AH,$R:$R,"",0)="","","AND A.`"&amp;_xlfn.XLOOKUP(3,$AH:$AH,$R:$R,"",0)&amp;"` = B.`"&amp;_xlfn.XLOOKUP(3,$AH:$AH,$R:$R,"",0)&amp;"`")</f>
        <v>AND A.`ButtonLayoutCode` = B.`ButtonLayoutCode`</v>
      </c>
      <c r="CA44" t="s">
        <v>626</v>
      </c>
    </row>
    <row r="45" spans="1:79" ht="15" customHeight="1">
      <c r="A45" s="100"/>
      <c r="B45" s="37" t="s">
        <v>34</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4"/>
      <c r="BQ45" t="s">
        <v>626</v>
      </c>
      <c r="BS45" t="s">
        <v>626</v>
      </c>
      <c r="BU45" t="s">
        <v>626</v>
      </c>
      <c r="BV45" s="97" t="str">
        <f>IF(_xlfn.XLOOKUP(7,$AH:$AH,$R:$R,"",0)="","","AND A.`"&amp;_xlfn.XLOOKUP(7,$AH:$AH,$R:$R,"",0)&amp;"` = B.`"&amp;_xlfn.XLOOKUP(7,$AH:$AH,$R:$R,"",0)&amp;"`")</f>
        <v/>
      </c>
      <c r="BW45" t="s">
        <v>626</v>
      </c>
      <c r="BY45" t="s">
        <v>626</v>
      </c>
      <c r="BZ45" s="97" t="str">
        <f>IF(_xlfn.XLOOKUP(4,$AH:$AH,$R:$R,"",0)="","","AND A.`"&amp;_xlfn.XLOOKUP(4,$AH:$AH,$R:$R,"",0)&amp;"` = B.`"&amp;_xlfn.XLOOKUP(4,$AH:$AH,$R:$R,"",0)&amp;"`")</f>
        <v>AND A.`GroupCode` = B.`GroupCode`</v>
      </c>
      <c r="CA45" t="s">
        <v>626</v>
      </c>
    </row>
    <row r="46" spans="1:79" ht="15" customHeight="1">
      <c r="A46" s="100"/>
      <c r="B46" s="34" t="s">
        <v>35</v>
      </c>
      <c r="C46" s="45"/>
      <c r="D46" s="34" t="s">
        <v>36</v>
      </c>
      <c r="E46" s="44"/>
      <c r="F46" s="44"/>
      <c r="G46" s="44"/>
      <c r="H46" s="44"/>
      <c r="I46" s="44"/>
      <c r="J46" s="44"/>
      <c r="K46" s="44"/>
      <c r="L46" s="36"/>
      <c r="M46" s="36"/>
      <c r="N46" s="36"/>
      <c r="O46" s="36"/>
      <c r="P46" s="36"/>
      <c r="Q46" s="35"/>
      <c r="R46" s="34" t="s">
        <v>37</v>
      </c>
      <c r="S46" s="36"/>
      <c r="T46" s="45"/>
      <c r="U46" s="34" t="s">
        <v>38</v>
      </c>
      <c r="V46" s="36"/>
      <c r="W46" s="44"/>
      <c r="X46" s="45"/>
      <c r="Y46" s="34" t="s">
        <v>39</v>
      </c>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5"/>
      <c r="BK46" s="4"/>
      <c r="BQ46" t="s">
        <v>626</v>
      </c>
      <c r="BS46" t="s">
        <v>626</v>
      </c>
      <c r="BU46" t="s">
        <v>626</v>
      </c>
      <c r="BV46" s="97" t="str">
        <f>IF(_xlfn.XLOOKUP(8,$AH:$AH,$R:$R,"",0)="","","AND A.`"&amp;_xlfn.XLOOKUP(8,$AH:$AH,$R:$R,"",0)&amp;"` = B.`"&amp;_xlfn.XLOOKUP(8,$AH:$AH,$R:$R,"",0)&amp;"`")</f>
        <v/>
      </c>
      <c r="BW46" t="s">
        <v>626</v>
      </c>
      <c r="BY46" t="s">
        <v>626</v>
      </c>
      <c r="BZ46" s="97" t="str">
        <f>IF(_xlfn.XLOOKUP(5,$AH:$AH,$R:$R,"",0)="","","AND A.`"&amp;_xlfn.XLOOKUP(5,$AH:$AH,$R:$R,"",0)&amp;"` = B.`"&amp;_xlfn.XLOOKUP(5,$AH:$AH,$R:$R,"",0)&amp;"`")</f>
        <v>AND A.`PageNumber` = B.`PageNumber`</v>
      </c>
      <c r="CA46" t="s">
        <v>626</v>
      </c>
    </row>
    <row r="47" spans="1:79" ht="15" customHeight="1">
      <c r="A47" s="100"/>
      <c r="B47" s="41">
        <v>1</v>
      </c>
      <c r="C47" s="47"/>
      <c r="D47" s="41" t="str">
        <f>G10&amp;"_"&amp;R47&amp;"_"&amp;"trg"</f>
        <v>PresetMenuMaster_update_trg</v>
      </c>
      <c r="E47" s="46"/>
      <c r="F47" s="46"/>
      <c r="G47" s="46"/>
      <c r="H47" s="46"/>
      <c r="I47" s="46"/>
      <c r="J47" s="46"/>
      <c r="K47" s="46"/>
      <c r="L47" s="42"/>
      <c r="M47" s="42"/>
      <c r="N47" s="42"/>
      <c r="O47" s="42"/>
      <c r="P47" s="42"/>
      <c r="Q47" s="43"/>
      <c r="R47" s="41" t="s">
        <v>40</v>
      </c>
      <c r="S47" s="42"/>
      <c r="T47" s="47"/>
      <c r="U47" s="41" t="s">
        <v>41</v>
      </c>
      <c r="V47" s="42"/>
      <c r="W47" s="46"/>
      <c r="X47" s="47"/>
      <c r="Y47" s="41" t="s">
        <v>42</v>
      </c>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3"/>
      <c r="BK47" s="4"/>
      <c r="BQ47" t="s">
        <v>626</v>
      </c>
      <c r="BS47" t="s">
        <v>626</v>
      </c>
      <c r="BU47" t="s">
        <v>626</v>
      </c>
      <c r="BV47" s="97" t="s">
        <v>936</v>
      </c>
      <c r="BW47" t="s">
        <v>626</v>
      </c>
      <c r="BY47" t="s">
        <v>626</v>
      </c>
      <c r="BZ47" s="97" t="str">
        <f>IF(_xlfn.XLOOKUP(6,$AH:$AH,$R:$R,"",0)="","","AND A.`"&amp;_xlfn.XLOOKUP(6,$AH:$AH,$R:$R,"",0)&amp;"` = B.`"&amp;_xlfn.XLOOKUP(6,$AH:$AH,$R:$R,"",0)&amp;"`")</f>
        <v>AND A.`ApplyDate` = B.`ApplyDate`</v>
      </c>
      <c r="CA47" t="s">
        <v>626</v>
      </c>
    </row>
    <row r="48" spans="1:79" ht="15" customHeight="1">
      <c r="A48" s="100"/>
      <c r="BK48" s="4"/>
      <c r="BQ48" t="s">
        <v>626</v>
      </c>
      <c r="BS48" t="s">
        <v>626</v>
      </c>
      <c r="BU48" t="s">
        <v>626</v>
      </c>
      <c r="BW48" t="s">
        <v>626</v>
      </c>
      <c r="BY48" t="s">
        <v>626</v>
      </c>
      <c r="BZ48" s="97" t="str">
        <f>IF(_xlfn.XLOOKUP(7,$AH:$AH,$R:$R,"",0)="","","AND A.`"&amp;_xlfn.XLOOKUP(7,$AH:$AH,$R:$R,"",0)&amp;"` = B.`"&amp;_xlfn.XLOOKUP(7,$AH:$AH,$R:$R,"",0)&amp;"`")</f>
        <v/>
      </c>
      <c r="CA48" t="s">
        <v>626</v>
      </c>
    </row>
    <row r="49" spans="1:79" ht="15" customHeight="1">
      <c r="A49" s="100"/>
      <c r="BK49" s="4"/>
      <c r="BQ49" t="s">
        <v>626</v>
      </c>
      <c r="BS49" t="s">
        <v>626</v>
      </c>
      <c r="BU49" t="s">
        <v>626</v>
      </c>
      <c r="BW49" t="s">
        <v>626</v>
      </c>
      <c r="BY49" t="s">
        <v>626</v>
      </c>
      <c r="BZ49" s="97" t="str">
        <f>IF(_xlfn.XLOOKUP(8,$AH:$AH,$R:$R,"",0)="","","AND A.`"&amp;_xlfn.XLOOKUP(8,$AH:$AH,$R:$R,"",0)&amp;"` = B.`"&amp;_xlfn.XLOOKUP(8,$AH:$AH,$R:$R,"",0)&amp;"`")</f>
        <v/>
      </c>
      <c r="CA49" t="s">
        <v>626</v>
      </c>
    </row>
    <row r="50" spans="1:79" ht="15" customHeight="1">
      <c r="A50" s="100"/>
      <c r="BK50" s="4"/>
      <c r="BQ50" t="s">
        <v>626</v>
      </c>
      <c r="BS50" t="s">
        <v>626</v>
      </c>
      <c r="BU50" t="s">
        <v>626</v>
      </c>
      <c r="BW50" t="s">
        <v>626</v>
      </c>
      <c r="BY50" t="s">
        <v>626</v>
      </c>
      <c r="BZ50" s="97" t="s">
        <v>929</v>
      </c>
      <c r="CA50" t="s">
        <v>626</v>
      </c>
    </row>
    <row r="51" spans="1:79" ht="15" customHeight="1">
      <c r="A51" s="100"/>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5"/>
      <c r="BQ51" t="s">
        <v>626</v>
      </c>
      <c r="BS51" t="s">
        <v>626</v>
      </c>
      <c r="BU51" t="s">
        <v>626</v>
      </c>
      <c r="BW51" t="s">
        <v>626</v>
      </c>
      <c r="BY51" t="s">
        <v>626</v>
      </c>
      <c r="CA51" t="s">
        <v>626</v>
      </c>
    </row>
    <row r="52" spans="1:79" ht="15" customHeight="1">
      <c r="A52" s="100"/>
      <c r="BQ52" t="s">
        <v>626</v>
      </c>
      <c r="BS52" t="s">
        <v>626</v>
      </c>
      <c r="BU52" t="s">
        <v>626</v>
      </c>
      <c r="BW52" t="s">
        <v>626</v>
      </c>
      <c r="BY52" t="s">
        <v>626</v>
      </c>
      <c r="BZ52" s="98"/>
      <c r="CA52" t="s">
        <v>626</v>
      </c>
    </row>
    <row r="53" spans="1:79" ht="15" customHeight="1">
      <c r="A53" s="100"/>
      <c r="BQ53" t="s">
        <v>626</v>
      </c>
      <c r="BS53" t="s">
        <v>626</v>
      </c>
      <c r="BU53" t="s">
        <v>626</v>
      </c>
      <c r="BW53" t="s">
        <v>626</v>
      </c>
      <c r="BY53" t="s">
        <v>626</v>
      </c>
      <c r="BZ53" t="str">
        <f>"DROP TABLE IF EXISTS `TMP`.`"&amp;$G$10&amp;"`;"</f>
        <v>DROP TABLE IF EXISTS `TMP`.`PresetMenuMaster`;</v>
      </c>
      <c r="CA53" t="s">
        <v>626</v>
      </c>
    </row>
    <row r="54" spans="1:79" ht="15" customHeight="1">
      <c r="A54" s="100"/>
      <c r="BQ54" t="s">
        <v>626</v>
      </c>
      <c r="BS54" t="s">
        <v>626</v>
      </c>
      <c r="BU54" t="s">
        <v>626</v>
      </c>
      <c r="BW54" t="s">
        <v>626</v>
      </c>
      <c r="BY54" t="s">
        <v>626</v>
      </c>
      <c r="BZ54" t="s">
        <v>937</v>
      </c>
      <c r="CA54" t="s">
        <v>626</v>
      </c>
    </row>
    <row r="55" spans="1:79">
      <c r="A55" s="100"/>
    </row>
    <row r="56" spans="1:79">
      <c r="A56" s="100"/>
    </row>
    <row r="57" spans="1:79">
      <c r="A57" s="100"/>
    </row>
    <row r="58" spans="1:79">
      <c r="A58" s="100"/>
    </row>
    <row r="59" spans="1:79">
      <c r="A59" s="100"/>
    </row>
    <row r="60" spans="1:79">
      <c r="A60" s="100"/>
    </row>
    <row r="61" spans="1:79">
      <c r="A61" s="100"/>
    </row>
    <row r="62" spans="1:79">
      <c r="A62" s="100"/>
    </row>
    <row r="63" spans="1:79">
      <c r="A63"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colBreaks count="1" manualBreakCount="1">
    <brk id="63" max="54" man="1"/>
  </colBreaks>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847C8-1DD0-4120-9C4A-90F4F195EDC2}">
  <dimension ref="A1:CA62"/>
  <sheetViews>
    <sheetView view="pageBreakPreview" topLeftCell="A24" zoomScale="80" zoomScaleNormal="75" zoomScaleSheetLayoutView="80" workbookViewId="0">
      <selection activeCell="BZ26" sqref="BZ26:BZ54"/>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L1" s="77"/>
      <c r="BM1" s="77"/>
      <c r="BN1" s="77"/>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L2" s="71"/>
      <c r="BM2" s="71"/>
      <c r="BN2" s="71"/>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L3" s="71"/>
      <c r="BM3" s="71"/>
      <c r="BN3" s="71"/>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333</v>
      </c>
      <c r="AQ4" s="236"/>
      <c r="AR4" s="236"/>
      <c r="AS4" s="236"/>
      <c r="AT4" s="236"/>
      <c r="AU4" s="236"/>
      <c r="AV4" s="236"/>
      <c r="AW4" s="236"/>
      <c r="AX4" s="236"/>
      <c r="AY4" s="236"/>
      <c r="AZ4" s="236"/>
      <c r="BA4" s="236"/>
      <c r="BB4" s="236"/>
      <c r="BC4" s="236"/>
      <c r="BD4" s="236"/>
      <c r="BE4" s="236"/>
      <c r="BF4" s="236"/>
      <c r="BG4" s="236"/>
      <c r="BH4" s="236"/>
      <c r="BI4" s="236"/>
      <c r="BJ4" s="236"/>
      <c r="BK4" s="237"/>
      <c r="BL4" s="71"/>
      <c r="BM4" s="71"/>
      <c r="BN4" s="71"/>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859</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860</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`POS_MASTER`.`PresetMenuButtonMaster`;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`POS_MASTER`.`PresetMenuButtonMaster`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'C:/04_DATAFILE/PresetMenuButtonMaster/TMP/PresetMenuButtonMaster.CSV' </v>
      </c>
      <c r="BU24" t="s">
        <v>626</v>
      </c>
      <c r="BV24" s="97" t="str">
        <f>"UPDATE `POS_MASTER`.`"&amp;$G$10&amp;"` A,`TMP`.`"&amp;$G$10&amp;"` B"</f>
        <v>UPDATE `POS_MASTER`.`PresetMenuButtonMaster` A,`TMP`.`PresetMenuButtonMaster`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`TMP`.`PresetMenuButtonMaster`;</v>
      </c>
      <c r="BS25" t="s">
        <v>626</v>
      </c>
      <c r="BT25" s="97" t="str">
        <f>"REPLACE INTO TABLE TMP.`"&amp;$G$10&amp;"` CHARACTER SET 'UTF8'"</f>
        <v>REPLACE INTO TABLE TMP.`PresetMenuButtonMaster`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`TMP`.`PresetMenuButtonMaster`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v>
      </c>
      <c r="BU26" t="s">
        <v>626</v>
      </c>
      <c r="BV26" s="97"/>
      <c r="BW26" t="s">
        <v>626</v>
      </c>
      <c r="BX26" s="97" t="str">
        <f>"INSERT INTO `POS_MASTER`.`"&amp;$G$10&amp;"` ("</f>
        <v>INSERT INTO `POS_MASTER`.`PresetMenuButtonMaster` (</v>
      </c>
      <c r="BY26" t="s">
        <v>626</v>
      </c>
      <c r="BZ26" s="97" t="s">
        <v>931</v>
      </c>
      <c r="CA26" t="s">
        <v>626</v>
      </c>
    </row>
    <row r="27" spans="1:79" ht="15" customHeight="1">
      <c r="A27" s="100" t="s">
        <v>964</v>
      </c>
      <c r="B27" s="16">
        <f t="shared" ref="B27:B41" si="1">B26+1</f>
        <v>7</v>
      </c>
      <c r="C27" s="17"/>
      <c r="D27" s="22" t="s">
        <v>365</v>
      </c>
      <c r="E27" s="19"/>
      <c r="F27" s="19"/>
      <c r="G27" s="19"/>
      <c r="H27" s="19"/>
      <c r="I27" s="19"/>
      <c r="J27" s="19"/>
      <c r="K27" s="19"/>
      <c r="L27" s="19"/>
      <c r="M27" s="19"/>
      <c r="N27" s="19"/>
      <c r="O27" s="19"/>
      <c r="P27" s="19"/>
      <c r="Q27" s="20"/>
      <c r="R27" s="18" t="s">
        <v>401</v>
      </c>
      <c r="S27" s="19"/>
      <c r="T27" s="19"/>
      <c r="U27" s="19"/>
      <c r="V27" s="19"/>
      <c r="W27" s="19"/>
      <c r="X27" s="19"/>
      <c r="Y27" s="19"/>
      <c r="Z27" s="19"/>
      <c r="AA27" s="19"/>
      <c r="AB27" s="20"/>
      <c r="AC27" s="18" t="str" cm="1">
        <f t="array" ref="AC27">_xlfn.SWITCH(BM27,"nvarchar","varchar("&amp;BN27&amp;")","smallint","smallint","date","date","money","decimal(19,4)","numeric","numeric("&amp;BN27&amp;")","int","int","bit","char(1)","datetime2","datetime","time","time")</f>
        <v>varchar(10)</v>
      </c>
      <c r="AD27" s="19"/>
      <c r="AE27" s="19"/>
      <c r="AF27" s="19"/>
      <c r="AG27" s="20"/>
      <c r="AH27" s="18">
        <v>1</v>
      </c>
      <c r="AI27" s="20"/>
      <c r="AJ27" s="22" t="s">
        <v>885</v>
      </c>
      <c r="AK27" s="19"/>
      <c r="AL27" s="20"/>
      <c r="AM27" s="18"/>
      <c r="AN27" s="19"/>
      <c r="AO27" s="19"/>
      <c r="AP27" s="19"/>
      <c r="AQ27" s="19"/>
      <c r="AR27" s="19"/>
      <c r="AS27" s="20"/>
      <c r="AT27" s="18"/>
      <c r="AU27" s="19"/>
      <c r="AV27" s="19"/>
      <c r="AW27" s="19"/>
      <c r="AX27" s="19"/>
      <c r="AY27" s="19"/>
      <c r="AZ27" s="19"/>
      <c r="BA27" s="19"/>
      <c r="BB27" s="19"/>
      <c r="BC27" s="19"/>
      <c r="BD27" s="19"/>
      <c r="BE27" s="19"/>
      <c r="BF27" s="19"/>
      <c r="BG27" s="19"/>
      <c r="BH27" s="19"/>
      <c r="BI27" s="19"/>
      <c r="BJ27" s="20"/>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16">
        <f t="shared" si="1"/>
        <v>8</v>
      </c>
      <c r="C28" s="17"/>
      <c r="D28" s="22" t="s">
        <v>366</v>
      </c>
      <c r="E28" s="19"/>
      <c r="F28" s="19"/>
      <c r="G28" s="19"/>
      <c r="H28" s="19"/>
      <c r="I28" s="19"/>
      <c r="J28" s="19"/>
      <c r="K28" s="19"/>
      <c r="L28" s="19"/>
      <c r="M28" s="19"/>
      <c r="N28" s="19"/>
      <c r="O28" s="19"/>
      <c r="P28" s="19"/>
      <c r="Q28" s="20"/>
      <c r="R28" s="18" t="s">
        <v>402</v>
      </c>
      <c r="S28" s="19"/>
      <c r="T28" s="19"/>
      <c r="U28" s="19"/>
      <c r="V28" s="19"/>
      <c r="W28" s="19"/>
      <c r="X28" s="19"/>
      <c r="Y28" s="19"/>
      <c r="Z28" s="19"/>
      <c r="AA28" s="19"/>
      <c r="AB28" s="20"/>
      <c r="AC28" s="18" t="str" cm="1">
        <f t="array" ref="AC28">_xlfn.SWITCH(BM28,"nvarchar","varchar("&amp;BN28&amp;")","smallint","smallint","date","date","money","decimal(19,4)","numeric","numeric("&amp;BN28&amp;")","int","int","bit","char(1)","datetime2","datetime","time","time")</f>
        <v>varchar(10)</v>
      </c>
      <c r="AD28" s="19"/>
      <c r="AE28" s="19"/>
      <c r="AF28" s="19"/>
      <c r="AG28" s="20"/>
      <c r="AH28" s="18">
        <v>2</v>
      </c>
      <c r="AI28" s="20"/>
      <c r="AJ28" s="22" t="s">
        <v>885</v>
      </c>
      <c r="AK28" s="19"/>
      <c r="AL28" s="20"/>
      <c r="AM28" s="18"/>
      <c r="AN28" s="19"/>
      <c r="AO28" s="19"/>
      <c r="AP28" s="19"/>
      <c r="AQ28" s="19"/>
      <c r="AR28" s="19"/>
      <c r="AS28" s="20"/>
      <c r="AT28" s="18"/>
      <c r="AU28" s="19"/>
      <c r="AV28" s="19"/>
      <c r="AW28" s="19"/>
      <c r="AX28" s="19"/>
      <c r="AY28" s="19"/>
      <c r="AZ28" s="19"/>
      <c r="BA28" s="19"/>
      <c r="BB28" s="19"/>
      <c r="BC28" s="19"/>
      <c r="BD28" s="19"/>
      <c r="BE28" s="19"/>
      <c r="BF28" s="19"/>
      <c r="BG28" s="19"/>
      <c r="BH28" s="19"/>
      <c r="BI28" s="19"/>
      <c r="BJ28" s="20"/>
      <c r="BK28" s="4"/>
      <c r="BM28" t="s">
        <v>888</v>
      </c>
      <c r="BN28">
        <v>10</v>
      </c>
      <c r="BP28" t="str">
        <f t="shared" ref="BP28:BP41" si="2">",`"&amp;R28&amp;"`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1" si="3">",A.`"&amp;R28&amp;"` = B.`"&amp;R28&amp;"`"</f>
        <v>,A.`StoreCode` = B.`StoreCode`</v>
      </c>
      <c r="BW28" t="s">
        <v>626</v>
      </c>
      <c r="BX28" s="97" t="str">
        <f t="shared" ref="BX28:BX41" si="4">",`"&amp;R28&amp;"`"</f>
        <v>,`StoreCode`</v>
      </c>
      <c r="BY28" t="s">
        <v>626</v>
      </c>
      <c r="BZ28" s="97" t="str">
        <f t="shared" ref="BZ28:BZ41" si="5">",`"&amp;R28&amp;"`"</f>
        <v>,`StoreCode`</v>
      </c>
      <c r="CA28" t="s">
        <v>626</v>
      </c>
    </row>
    <row r="29" spans="1:79" ht="15" customHeight="1">
      <c r="A29" s="100" t="s">
        <v>966</v>
      </c>
      <c r="B29" s="16">
        <f t="shared" si="1"/>
        <v>9</v>
      </c>
      <c r="C29" s="17"/>
      <c r="D29" s="22" t="s">
        <v>861</v>
      </c>
      <c r="E29" s="19"/>
      <c r="F29" s="19"/>
      <c r="G29" s="19"/>
      <c r="H29" s="19"/>
      <c r="I29" s="19"/>
      <c r="J29" s="19"/>
      <c r="K29" s="19"/>
      <c r="L29" s="19"/>
      <c r="M29" s="19"/>
      <c r="N29" s="19"/>
      <c r="O29" s="19"/>
      <c r="P29" s="19"/>
      <c r="Q29" s="20"/>
      <c r="R29" s="18" t="s">
        <v>874</v>
      </c>
      <c r="S29" s="19"/>
      <c r="T29" s="19"/>
      <c r="U29" s="19"/>
      <c r="V29" s="19"/>
      <c r="W29" s="19"/>
      <c r="X29" s="19"/>
      <c r="Y29" s="19"/>
      <c r="Z29" s="19"/>
      <c r="AA29" s="19"/>
      <c r="AB29" s="20"/>
      <c r="AC29" s="18" t="str" cm="1">
        <f t="array" ref="AC29">_xlfn.SWITCH(BM29,"nvarchar","varchar("&amp;BN29&amp;")","smallint","smallint","date","date","money","decimal(19,4)","numeric","numeric("&amp;BN29&amp;")","int","int","bit","char(1)","datetime2","datetime","time","time")</f>
        <v>varchar(4)</v>
      </c>
      <c r="AD29" s="19"/>
      <c r="AE29" s="19"/>
      <c r="AF29" s="19"/>
      <c r="AG29" s="20"/>
      <c r="AH29" s="18">
        <v>3</v>
      </c>
      <c r="AI29" s="20"/>
      <c r="AJ29" s="22" t="s">
        <v>885</v>
      </c>
      <c r="AK29" s="19"/>
      <c r="AL29" s="20"/>
      <c r="AM29" s="18"/>
      <c r="AN29" s="19"/>
      <c r="AO29" s="19"/>
      <c r="AP29" s="19"/>
      <c r="AQ29" s="19"/>
      <c r="AR29" s="19"/>
      <c r="AS29" s="20"/>
      <c r="AT29" s="18" t="s">
        <v>889</v>
      </c>
      <c r="AU29" s="19"/>
      <c r="AV29" s="19"/>
      <c r="AW29" s="19"/>
      <c r="AX29" s="19"/>
      <c r="AY29" s="19"/>
      <c r="AZ29" s="19"/>
      <c r="BA29" s="19"/>
      <c r="BB29" s="19"/>
      <c r="BC29" s="19"/>
      <c r="BD29" s="19"/>
      <c r="BE29" s="19"/>
      <c r="BF29" s="19"/>
      <c r="BG29" s="19"/>
      <c r="BH29" s="19"/>
      <c r="BI29" s="19"/>
      <c r="BJ29" s="20"/>
      <c r="BK29" s="4"/>
      <c r="BM29" t="s">
        <v>888</v>
      </c>
      <c r="BN29">
        <v>4</v>
      </c>
      <c r="BP29" t="str">
        <f t="shared" si="2"/>
        <v>,`ButtonLayoutCode` varchar(4) NOT NULL COMMENT 'プリセットボタンレイアウトコード'</v>
      </c>
      <c r="BQ29" t="s">
        <v>626</v>
      </c>
      <c r="BR29" t="str">
        <f t="shared" ref="BR29:BR41" si="6">",`"&amp;R29&amp;"` "&amp;AC29&amp;" "&amp;IF(AJ29="Y","NOT NULL","")</f>
        <v>,`ButtonLayoutCode` varchar(4) NOT NULL</v>
      </c>
      <c r="BS29" t="s">
        <v>626</v>
      </c>
      <c r="BT29" t="str">
        <f t="shared" ref="BT29:BT41" si="7">",`"&amp;R29&amp;"` = "&amp;IF(LEFT(AC29,4)="date", "if(@"&amp;B29-5&amp;" &gt; '0000-00-00 00:00:00', if(@"&amp;B29-5&amp;" &gt; '2999-12-31 23:59:59', '2999-12-31 23:59:59', @"&amp;B29-5&amp;"), null)","if(nullif( @"&amp;B29-5&amp;",'') &gt; '', @"&amp;B29-5&amp;", null )")</f>
        <v>,`ButtonLayoutCode` = if(nullif( @4,'') &gt; '', @4, null )</v>
      </c>
      <c r="BU29" t="s">
        <v>626</v>
      </c>
      <c r="BV29" s="97" t="str">
        <f t="shared" si="3"/>
        <v>,A.`ButtonLayoutCode` = B.`ButtonLayoutCode`</v>
      </c>
      <c r="BW29" t="s">
        <v>626</v>
      </c>
      <c r="BX29" s="97" t="str">
        <f t="shared" si="4"/>
        <v>,`ButtonLayoutCode`</v>
      </c>
      <c r="BY29" t="s">
        <v>626</v>
      </c>
      <c r="BZ29" s="97" t="str">
        <f t="shared" si="5"/>
        <v>,`ButtonLayoutCode`</v>
      </c>
      <c r="CA29" t="s">
        <v>626</v>
      </c>
    </row>
    <row r="30" spans="1:79" ht="15" customHeight="1">
      <c r="A30" s="100" t="s">
        <v>967</v>
      </c>
      <c r="B30" s="16">
        <f t="shared" si="1"/>
        <v>10</v>
      </c>
      <c r="C30" s="17"/>
      <c r="D30" s="22" t="s">
        <v>862</v>
      </c>
      <c r="E30" s="19"/>
      <c r="F30" s="19"/>
      <c r="G30" s="19"/>
      <c r="H30" s="19"/>
      <c r="I30" s="19"/>
      <c r="J30" s="19"/>
      <c r="K30" s="19"/>
      <c r="L30" s="19"/>
      <c r="M30" s="19"/>
      <c r="N30" s="19"/>
      <c r="O30" s="19"/>
      <c r="P30" s="19"/>
      <c r="Q30" s="20"/>
      <c r="R30" s="18" t="s">
        <v>875</v>
      </c>
      <c r="S30" s="19"/>
      <c r="T30" s="19"/>
      <c r="U30" s="19"/>
      <c r="V30" s="19"/>
      <c r="W30" s="19"/>
      <c r="X30" s="19"/>
      <c r="Y30" s="19"/>
      <c r="Z30" s="19"/>
      <c r="AA30" s="19"/>
      <c r="AB30" s="20"/>
      <c r="AC30" s="18" t="str" cm="1">
        <f t="array" ref="AC30">_xlfn.SWITCH(BM30,"nvarchar","varchar("&amp;BN30&amp;")","smallint","smallint","date","date","money","decimal(19,4)","numeric","numeric("&amp;BN30&amp;")","int","int","bit","char(1)","datetime2","datetime","time","time")</f>
        <v>smallint</v>
      </c>
      <c r="AD30" s="19"/>
      <c r="AE30" s="19"/>
      <c r="AF30" s="19"/>
      <c r="AG30" s="20"/>
      <c r="AH30" s="18">
        <v>4</v>
      </c>
      <c r="AI30" s="20"/>
      <c r="AJ30" s="22" t="s">
        <v>885</v>
      </c>
      <c r="AK30" s="19"/>
      <c r="AL30" s="20"/>
      <c r="AM30" s="18"/>
      <c r="AN30" s="19"/>
      <c r="AO30" s="19"/>
      <c r="AP30" s="19"/>
      <c r="AQ30" s="19"/>
      <c r="AR30" s="19"/>
      <c r="AS30" s="20"/>
      <c r="AT30" s="18" t="s">
        <v>889</v>
      </c>
      <c r="AU30" s="19"/>
      <c r="AV30" s="19"/>
      <c r="AW30" s="19"/>
      <c r="AX30" s="19"/>
      <c r="AY30" s="19"/>
      <c r="AZ30" s="19"/>
      <c r="BA30" s="19"/>
      <c r="BB30" s="19"/>
      <c r="BC30" s="19"/>
      <c r="BD30" s="19"/>
      <c r="BE30" s="19"/>
      <c r="BF30" s="19"/>
      <c r="BG30" s="19"/>
      <c r="BH30" s="19"/>
      <c r="BI30" s="19"/>
      <c r="BJ30" s="20"/>
      <c r="BK30" s="4"/>
      <c r="BM30" t="s">
        <v>623</v>
      </c>
      <c r="BP30" t="str">
        <f t="shared" si="2"/>
        <v>,`GroupCode` smallint NOT NULL COMMENT 'グループコード'</v>
      </c>
      <c r="BQ30" t="s">
        <v>626</v>
      </c>
      <c r="BR30" t="str">
        <f t="shared" si="6"/>
        <v>,`GroupCode` smallint NOT NULL</v>
      </c>
      <c r="BS30" t="s">
        <v>626</v>
      </c>
      <c r="BT30" t="str">
        <f t="shared" si="7"/>
        <v>,`GroupCode` = if(nullif( @5,'') &gt; '', @5, null )</v>
      </c>
      <c r="BU30" t="s">
        <v>626</v>
      </c>
      <c r="BV30" s="97" t="str">
        <f t="shared" si="3"/>
        <v>,A.`GroupCode` = B.`GroupCode`</v>
      </c>
      <c r="BW30" t="s">
        <v>626</v>
      </c>
      <c r="BX30" s="97" t="str">
        <f t="shared" si="4"/>
        <v>,`GroupCode`</v>
      </c>
      <c r="BY30" t="s">
        <v>626</v>
      </c>
      <c r="BZ30" s="97" t="str">
        <f t="shared" si="5"/>
        <v>,`GroupCode`</v>
      </c>
      <c r="CA30" t="s">
        <v>626</v>
      </c>
    </row>
    <row r="31" spans="1:79" ht="15" customHeight="1">
      <c r="A31" s="100" t="s">
        <v>968</v>
      </c>
      <c r="B31" s="16">
        <f t="shared" si="1"/>
        <v>11</v>
      </c>
      <c r="C31" s="17"/>
      <c r="D31" s="22" t="s">
        <v>863</v>
      </c>
      <c r="E31" s="19"/>
      <c r="F31" s="19"/>
      <c r="G31" s="19"/>
      <c r="H31" s="19"/>
      <c r="I31" s="19"/>
      <c r="J31" s="19"/>
      <c r="K31" s="19"/>
      <c r="L31" s="19"/>
      <c r="M31" s="19"/>
      <c r="N31" s="19"/>
      <c r="O31" s="19"/>
      <c r="P31" s="19"/>
      <c r="Q31" s="20"/>
      <c r="R31" s="18" t="s">
        <v>876</v>
      </c>
      <c r="S31" s="19"/>
      <c r="T31" s="19"/>
      <c r="U31" s="19"/>
      <c r="V31" s="19"/>
      <c r="W31" s="19"/>
      <c r="X31" s="19"/>
      <c r="Y31" s="19"/>
      <c r="Z31" s="19"/>
      <c r="AA31" s="19"/>
      <c r="AB31" s="20"/>
      <c r="AC31" s="18" t="str" cm="1">
        <f t="array" ref="AC31">_xlfn.SWITCH(BM31,"nvarchar","varchar("&amp;BN31&amp;")","smallint","smallint","date","date","money","decimal(19,4)","numeric","numeric("&amp;BN31&amp;")","int","int","bit","char(1)","datetime2","datetime","time","time")</f>
        <v>smallint</v>
      </c>
      <c r="AD31" s="19"/>
      <c r="AE31" s="19"/>
      <c r="AF31" s="19"/>
      <c r="AG31" s="20"/>
      <c r="AH31" s="18">
        <v>5</v>
      </c>
      <c r="AI31" s="20"/>
      <c r="AJ31" s="22" t="s">
        <v>885</v>
      </c>
      <c r="AK31" s="19"/>
      <c r="AL31" s="20"/>
      <c r="AM31" s="18"/>
      <c r="AN31" s="19"/>
      <c r="AO31" s="19"/>
      <c r="AP31" s="19"/>
      <c r="AQ31" s="19"/>
      <c r="AR31" s="19"/>
      <c r="AS31" s="20"/>
      <c r="AT31" s="18" t="s">
        <v>889</v>
      </c>
      <c r="AU31" s="19"/>
      <c r="AV31" s="19"/>
      <c r="AW31" s="19"/>
      <c r="AX31" s="19"/>
      <c r="AY31" s="19"/>
      <c r="AZ31" s="19"/>
      <c r="BA31" s="19"/>
      <c r="BB31" s="19"/>
      <c r="BC31" s="19"/>
      <c r="BD31" s="19"/>
      <c r="BE31" s="19"/>
      <c r="BF31" s="19"/>
      <c r="BG31" s="19"/>
      <c r="BH31" s="19"/>
      <c r="BI31" s="19"/>
      <c r="BJ31" s="20"/>
      <c r="BK31" s="4"/>
      <c r="BM31" t="s">
        <v>623</v>
      </c>
      <c r="BP31" t="str">
        <f t="shared" si="2"/>
        <v>,`PageNumber` smallint NOT NULL COMMENT 'ページ'</v>
      </c>
      <c r="BQ31" t="s">
        <v>626</v>
      </c>
      <c r="BR31" t="str">
        <f t="shared" si="6"/>
        <v>,`PageNumber` smallint NOT NULL</v>
      </c>
      <c r="BS31" t="s">
        <v>626</v>
      </c>
      <c r="BT31" t="str">
        <f t="shared" si="7"/>
        <v>,`PageNumber` = if(nullif( @6,'') &gt; '', @6, null )</v>
      </c>
      <c r="BU31" t="s">
        <v>626</v>
      </c>
      <c r="BV31" s="97" t="str">
        <f t="shared" si="3"/>
        <v>,A.`PageNumber` = B.`PageNumber`</v>
      </c>
      <c r="BW31" t="s">
        <v>626</v>
      </c>
      <c r="BX31" s="97" t="str">
        <f t="shared" si="4"/>
        <v>,`PageNumber`</v>
      </c>
      <c r="BY31" t="s">
        <v>626</v>
      </c>
      <c r="BZ31" s="97" t="str">
        <f t="shared" si="5"/>
        <v>,`PageNumber`</v>
      </c>
      <c r="CA31" t="s">
        <v>626</v>
      </c>
    </row>
    <row r="32" spans="1:79" ht="15" customHeight="1">
      <c r="A32" s="100" t="s">
        <v>969</v>
      </c>
      <c r="B32" s="16">
        <f t="shared" si="1"/>
        <v>12</v>
      </c>
      <c r="C32" s="17"/>
      <c r="D32" s="22" t="s">
        <v>864</v>
      </c>
      <c r="E32" s="19"/>
      <c r="F32" s="19"/>
      <c r="G32" s="19"/>
      <c r="H32" s="19"/>
      <c r="I32" s="19"/>
      <c r="J32" s="19"/>
      <c r="K32" s="19"/>
      <c r="L32" s="19"/>
      <c r="M32" s="19"/>
      <c r="N32" s="19"/>
      <c r="O32" s="19"/>
      <c r="P32" s="19"/>
      <c r="Q32" s="20"/>
      <c r="R32" s="18" t="s">
        <v>877</v>
      </c>
      <c r="S32" s="19"/>
      <c r="T32" s="19"/>
      <c r="U32" s="19"/>
      <c r="V32" s="19"/>
      <c r="W32" s="19"/>
      <c r="X32" s="19"/>
      <c r="Y32" s="19"/>
      <c r="Z32" s="19"/>
      <c r="AA32" s="19"/>
      <c r="AB32" s="20"/>
      <c r="AC32" s="18" t="str" cm="1">
        <f t="array" ref="AC32">_xlfn.SWITCH(BM32,"nvarchar","varchar("&amp;BN32&amp;")","smallint","smallint","date","date","money","decimal(19,4)","numeric","numeric("&amp;BN32&amp;")","int","int","bit","char(1)","datetime2","datetime","time","time")</f>
        <v>smallint</v>
      </c>
      <c r="AD32" s="19"/>
      <c r="AE32" s="19"/>
      <c r="AF32" s="19"/>
      <c r="AG32" s="20"/>
      <c r="AH32" s="18">
        <v>6</v>
      </c>
      <c r="AI32" s="20"/>
      <c r="AJ32" s="22" t="s">
        <v>885</v>
      </c>
      <c r="AK32" s="19"/>
      <c r="AL32" s="20"/>
      <c r="AM32" s="18"/>
      <c r="AN32" s="19"/>
      <c r="AO32" s="19"/>
      <c r="AP32" s="19"/>
      <c r="AQ32" s="19"/>
      <c r="AR32" s="19"/>
      <c r="AS32" s="20"/>
      <c r="AT32" s="18"/>
      <c r="AU32" s="19"/>
      <c r="AV32" s="19"/>
      <c r="AW32" s="19"/>
      <c r="AX32" s="19"/>
      <c r="AY32" s="19"/>
      <c r="AZ32" s="19"/>
      <c r="BA32" s="19"/>
      <c r="BB32" s="19"/>
      <c r="BC32" s="19"/>
      <c r="BD32" s="19"/>
      <c r="BE32" s="19"/>
      <c r="BF32" s="19"/>
      <c r="BG32" s="19"/>
      <c r="BH32" s="19"/>
      <c r="BI32" s="19"/>
      <c r="BJ32" s="20"/>
      <c r="BK32" s="4"/>
      <c r="BM32" t="s">
        <v>623</v>
      </c>
      <c r="BP32" t="str">
        <f t="shared" si="2"/>
        <v>,`ButtonColumnNumber` smallint NOT NULL COMMENT '簡易X座標'</v>
      </c>
      <c r="BQ32" t="s">
        <v>626</v>
      </c>
      <c r="BR32" t="str">
        <f t="shared" si="6"/>
        <v>,`ButtonColumnNumber` smallint NOT NULL</v>
      </c>
      <c r="BS32" t="s">
        <v>626</v>
      </c>
      <c r="BT32" t="str">
        <f t="shared" si="7"/>
        <v>,`ButtonColumnNumber` = if(nullif( @7,'') &gt; '', @7, null )</v>
      </c>
      <c r="BU32" t="s">
        <v>626</v>
      </c>
      <c r="BV32" s="97" t="str">
        <f t="shared" si="3"/>
        <v>,A.`ButtonColumnNumber` = B.`ButtonColumnNumber`</v>
      </c>
      <c r="BW32" t="s">
        <v>626</v>
      </c>
      <c r="BX32" s="97" t="str">
        <f t="shared" si="4"/>
        <v>,`ButtonColumnNumber`</v>
      </c>
      <c r="BY32" t="s">
        <v>626</v>
      </c>
      <c r="BZ32" s="97" t="str">
        <f t="shared" si="5"/>
        <v>,`ButtonColumnNumber`</v>
      </c>
      <c r="CA32" t="s">
        <v>626</v>
      </c>
    </row>
    <row r="33" spans="1:79" ht="15" customHeight="1">
      <c r="A33" s="100" t="s">
        <v>970</v>
      </c>
      <c r="B33" s="16">
        <f t="shared" si="1"/>
        <v>13</v>
      </c>
      <c r="C33" s="17"/>
      <c r="D33" s="22" t="s">
        <v>865</v>
      </c>
      <c r="E33" s="19"/>
      <c r="F33" s="19"/>
      <c r="G33" s="19"/>
      <c r="H33" s="19"/>
      <c r="I33" s="19"/>
      <c r="J33" s="19"/>
      <c r="K33" s="19"/>
      <c r="L33" s="19"/>
      <c r="M33" s="19"/>
      <c r="N33" s="19"/>
      <c r="O33" s="19"/>
      <c r="P33" s="19"/>
      <c r="Q33" s="20"/>
      <c r="R33" s="18" t="s">
        <v>878</v>
      </c>
      <c r="S33" s="19"/>
      <c r="T33" s="19"/>
      <c r="U33" s="19"/>
      <c r="V33" s="19"/>
      <c r="W33" s="19"/>
      <c r="X33" s="19"/>
      <c r="Y33" s="19"/>
      <c r="Z33" s="19"/>
      <c r="AA33" s="19"/>
      <c r="AB33" s="20"/>
      <c r="AC33" s="18" t="str" cm="1">
        <f t="array" ref="AC33">_xlfn.SWITCH(BM33,"nvarchar","varchar("&amp;BN33&amp;")","smallint","smallint","date","date","money","decimal(19,4)","numeric","numeric("&amp;BN33&amp;")","int","int","bit","char(1)","datetime2","datetime","time","time")</f>
        <v>smallint</v>
      </c>
      <c r="AD33" s="19"/>
      <c r="AE33" s="19"/>
      <c r="AF33" s="19"/>
      <c r="AG33" s="20"/>
      <c r="AH33" s="18">
        <v>7</v>
      </c>
      <c r="AI33" s="20"/>
      <c r="AJ33" s="22" t="s">
        <v>885</v>
      </c>
      <c r="AK33" s="19"/>
      <c r="AL33" s="20"/>
      <c r="AM33" s="18"/>
      <c r="AN33" s="19"/>
      <c r="AO33" s="19"/>
      <c r="AP33" s="19"/>
      <c r="AQ33" s="19"/>
      <c r="AR33" s="19"/>
      <c r="AS33" s="20"/>
      <c r="AT33" s="18"/>
      <c r="AU33" s="19"/>
      <c r="AV33" s="19"/>
      <c r="AW33" s="19"/>
      <c r="AX33" s="19"/>
      <c r="AY33" s="19"/>
      <c r="AZ33" s="19"/>
      <c r="BA33" s="19"/>
      <c r="BB33" s="19"/>
      <c r="BC33" s="19"/>
      <c r="BD33" s="19"/>
      <c r="BE33" s="19"/>
      <c r="BF33" s="19"/>
      <c r="BG33" s="19"/>
      <c r="BH33" s="19"/>
      <c r="BI33" s="19"/>
      <c r="BJ33" s="20"/>
      <c r="BK33" s="4"/>
      <c r="BM33" t="s">
        <v>623</v>
      </c>
      <c r="BP33" t="str">
        <f t="shared" si="2"/>
        <v>,`ButtonRowNumber` smallint NOT NULL COMMENT '簡易Y座標'</v>
      </c>
      <c r="BQ33" t="s">
        <v>626</v>
      </c>
      <c r="BR33" t="str">
        <f t="shared" si="6"/>
        <v>,`ButtonRowNumber` smallint NOT NULL</v>
      </c>
      <c r="BS33" t="s">
        <v>626</v>
      </c>
      <c r="BT33" t="str">
        <f t="shared" si="7"/>
        <v>,`ButtonRowNumber` = if(nullif( @8,'') &gt; '', @8, null )</v>
      </c>
      <c r="BU33" t="s">
        <v>626</v>
      </c>
      <c r="BV33" s="97" t="str">
        <f t="shared" si="3"/>
        <v>,A.`ButtonRowNumber` = B.`ButtonRowNumber`</v>
      </c>
      <c r="BW33" t="s">
        <v>626</v>
      </c>
      <c r="BX33" s="97" t="str">
        <f t="shared" si="4"/>
        <v>,`ButtonRowNumber`</v>
      </c>
      <c r="BY33" t="s">
        <v>626</v>
      </c>
      <c r="BZ33" s="97" t="str">
        <f t="shared" si="5"/>
        <v>,`ButtonRowNumber`</v>
      </c>
      <c r="CA33" t="s">
        <v>626</v>
      </c>
    </row>
    <row r="34" spans="1:79" ht="15" customHeight="1">
      <c r="A34" s="100" t="s">
        <v>971</v>
      </c>
      <c r="B34" s="16">
        <f t="shared" si="1"/>
        <v>14</v>
      </c>
      <c r="C34" s="17"/>
      <c r="D34" s="22" t="s">
        <v>866</v>
      </c>
      <c r="E34" s="19"/>
      <c r="F34" s="19"/>
      <c r="G34" s="19"/>
      <c r="H34" s="19"/>
      <c r="I34" s="19"/>
      <c r="J34" s="19"/>
      <c r="K34" s="19"/>
      <c r="L34" s="19"/>
      <c r="M34" s="19"/>
      <c r="N34" s="19"/>
      <c r="O34" s="19"/>
      <c r="P34" s="19"/>
      <c r="Q34" s="20"/>
      <c r="R34" s="18" t="s">
        <v>403</v>
      </c>
      <c r="S34" s="19"/>
      <c r="T34" s="19"/>
      <c r="U34" s="19"/>
      <c r="V34" s="19"/>
      <c r="W34" s="19"/>
      <c r="X34" s="19"/>
      <c r="Y34" s="19"/>
      <c r="Z34" s="19"/>
      <c r="AA34" s="19"/>
      <c r="AB34" s="20"/>
      <c r="AC34" s="18" t="str" cm="1">
        <f t="array" ref="AC34">_xlfn.SWITCH(BM34,"nvarchar","varchar("&amp;BN34&amp;")","smallint","smallint","date","date","money","decimal(19,4)","numeric","numeric("&amp;BN34&amp;")","int","int","bit","char(1)","datetime2","datetime","time","time")</f>
        <v>date</v>
      </c>
      <c r="AD34" s="19"/>
      <c r="AE34" s="19"/>
      <c r="AF34" s="19"/>
      <c r="AG34" s="20"/>
      <c r="AH34" s="18">
        <v>8</v>
      </c>
      <c r="AI34" s="20"/>
      <c r="AJ34" s="22" t="s">
        <v>885</v>
      </c>
      <c r="AK34" s="19"/>
      <c r="AL34" s="20"/>
      <c r="AM34" s="18"/>
      <c r="AN34" s="19"/>
      <c r="AO34" s="19"/>
      <c r="AP34" s="19"/>
      <c r="AQ34" s="19"/>
      <c r="AR34" s="19"/>
      <c r="AS34" s="20"/>
      <c r="AT34" s="18"/>
      <c r="AU34" s="19"/>
      <c r="AV34" s="19"/>
      <c r="AW34" s="19"/>
      <c r="AX34" s="19"/>
      <c r="AY34" s="19"/>
      <c r="AZ34" s="19"/>
      <c r="BA34" s="19"/>
      <c r="BB34" s="19"/>
      <c r="BC34" s="19"/>
      <c r="BD34" s="19"/>
      <c r="BE34" s="19"/>
      <c r="BF34" s="19"/>
      <c r="BG34" s="19"/>
      <c r="BH34" s="19"/>
      <c r="BI34" s="19"/>
      <c r="BJ34" s="20"/>
      <c r="BK34" s="4"/>
      <c r="BM34" t="s">
        <v>436</v>
      </c>
      <c r="BP34" t="str">
        <f t="shared" si="2"/>
        <v>,`ApplyDate` date NOT NULL COMMENT '適用日'</v>
      </c>
      <c r="BQ34" t="s">
        <v>626</v>
      </c>
      <c r="BR34" t="str">
        <f t="shared" si="6"/>
        <v>,`ApplyDate` date NOT NULL</v>
      </c>
      <c r="BS34" t="s">
        <v>626</v>
      </c>
      <c r="BT34" t="str">
        <f t="shared" si="7"/>
        <v>,`ApplyDate` = if(@9 &gt; '0000-00-00 00:00:00', if(@9 &gt; '2999-12-31 23:59:59', '2999-12-31 23:59:59', @9), null)</v>
      </c>
      <c r="BU34" t="s">
        <v>626</v>
      </c>
      <c r="BV34" s="97" t="str">
        <f t="shared" si="3"/>
        <v>,A.`ApplyDate` = B.`ApplyDate`</v>
      </c>
      <c r="BW34" t="s">
        <v>626</v>
      </c>
      <c r="BX34" s="97" t="str">
        <f t="shared" si="4"/>
        <v>,`ApplyDate`</v>
      </c>
      <c r="BY34" t="s">
        <v>626</v>
      </c>
      <c r="BZ34" s="97" t="str">
        <f t="shared" si="5"/>
        <v>,`ApplyDate`</v>
      </c>
      <c r="CA34" t="s">
        <v>626</v>
      </c>
    </row>
    <row r="35" spans="1:79" ht="15" customHeight="1">
      <c r="A35" s="100" t="s">
        <v>972</v>
      </c>
      <c r="B35" s="16">
        <f t="shared" si="1"/>
        <v>15</v>
      </c>
      <c r="C35" s="17"/>
      <c r="D35" s="22" t="s">
        <v>867</v>
      </c>
      <c r="E35" s="19"/>
      <c r="F35" s="19"/>
      <c r="G35" s="19"/>
      <c r="H35" s="19"/>
      <c r="I35" s="19"/>
      <c r="J35" s="19"/>
      <c r="K35" s="19"/>
      <c r="L35" s="19"/>
      <c r="M35" s="19"/>
      <c r="N35" s="19"/>
      <c r="O35" s="19"/>
      <c r="P35" s="19"/>
      <c r="Q35" s="20"/>
      <c r="R35" s="18" t="s">
        <v>879</v>
      </c>
      <c r="S35" s="19"/>
      <c r="T35" s="19"/>
      <c r="U35" s="19"/>
      <c r="V35" s="19"/>
      <c r="W35" s="19"/>
      <c r="X35" s="19"/>
      <c r="Y35" s="19"/>
      <c r="Z35" s="19"/>
      <c r="AA35" s="19"/>
      <c r="AB35" s="20"/>
      <c r="AC35" s="18" t="str" cm="1">
        <f t="array" ref="AC35">_xlfn.SWITCH(BM35,"nvarchar","varchar("&amp;BN35&amp;")","smallint","smallint","date","date","money","decimal(19,4)","numeric","numeric("&amp;BN35&amp;")","int","int","bit","char(1)","datetime2","datetime","time","time")</f>
        <v>smallint</v>
      </c>
      <c r="AD35" s="19"/>
      <c r="AE35" s="19"/>
      <c r="AF35" s="19"/>
      <c r="AG35" s="20"/>
      <c r="AH35" s="18"/>
      <c r="AI35" s="20"/>
      <c r="AJ35" s="22" t="s">
        <v>885</v>
      </c>
      <c r="AK35" s="19"/>
      <c r="AL35" s="20"/>
      <c r="AM35" s="18"/>
      <c r="AN35" s="19"/>
      <c r="AO35" s="19"/>
      <c r="AP35" s="19"/>
      <c r="AQ35" s="19"/>
      <c r="AR35" s="19"/>
      <c r="AS35" s="20"/>
      <c r="AT35" s="18"/>
      <c r="AU35" s="19"/>
      <c r="AV35" s="19"/>
      <c r="AW35" s="19"/>
      <c r="AX35" s="19"/>
      <c r="AY35" s="19"/>
      <c r="AZ35" s="19"/>
      <c r="BA35" s="19"/>
      <c r="BB35" s="19"/>
      <c r="BC35" s="19"/>
      <c r="BD35" s="19"/>
      <c r="BE35" s="19"/>
      <c r="BF35" s="19"/>
      <c r="BG35" s="19"/>
      <c r="BH35" s="19"/>
      <c r="BI35" s="19"/>
      <c r="BJ35" s="20"/>
      <c r="BK35" s="4"/>
      <c r="BM35" t="s">
        <v>623</v>
      </c>
      <c r="BP35" t="str">
        <f t="shared" si="2"/>
        <v>,`ButtonColumnSpan` smallint NOT NULL COMMENT 'ボタンサイズ（１：通常、２：横倍）'</v>
      </c>
      <c r="BQ35" t="s">
        <v>626</v>
      </c>
      <c r="BR35" t="str">
        <f t="shared" si="6"/>
        <v>,`ButtonColumnSpan` smallint NOT NULL</v>
      </c>
      <c r="BS35" t="s">
        <v>626</v>
      </c>
      <c r="BT35" t="str">
        <f t="shared" si="7"/>
        <v>,`ButtonColumnSpan` = if(nullif( @10,'') &gt; '', @10, null )</v>
      </c>
      <c r="BU35" t="s">
        <v>626</v>
      </c>
      <c r="BV35" s="97" t="str">
        <f t="shared" si="3"/>
        <v>,A.`ButtonColumnSpan` = B.`ButtonColumnSpan`</v>
      </c>
      <c r="BW35" t="s">
        <v>626</v>
      </c>
      <c r="BX35" s="97" t="str">
        <f t="shared" si="4"/>
        <v>,`ButtonColumnSpan`</v>
      </c>
      <c r="BY35" t="s">
        <v>626</v>
      </c>
      <c r="BZ35" s="97" t="str">
        <f t="shared" si="5"/>
        <v>,`ButtonColumnSpan`</v>
      </c>
      <c r="CA35" t="s">
        <v>626</v>
      </c>
    </row>
    <row r="36" spans="1:79" ht="15" customHeight="1">
      <c r="A36" s="100" t="s">
        <v>973</v>
      </c>
      <c r="B36" s="16">
        <f t="shared" si="1"/>
        <v>16</v>
      </c>
      <c r="C36" s="17"/>
      <c r="D36" s="22" t="s">
        <v>868</v>
      </c>
      <c r="E36" s="19"/>
      <c r="F36" s="19"/>
      <c r="G36" s="19"/>
      <c r="H36" s="19"/>
      <c r="I36" s="19"/>
      <c r="J36" s="19"/>
      <c r="K36" s="19"/>
      <c r="L36" s="19"/>
      <c r="M36" s="19"/>
      <c r="N36" s="19"/>
      <c r="O36" s="19"/>
      <c r="P36" s="19"/>
      <c r="Q36" s="20"/>
      <c r="R36" s="18" t="s">
        <v>880</v>
      </c>
      <c r="S36" s="19"/>
      <c r="T36" s="19"/>
      <c r="U36" s="19"/>
      <c r="V36" s="19"/>
      <c r="W36" s="19"/>
      <c r="X36" s="19"/>
      <c r="Y36" s="19"/>
      <c r="Z36" s="19"/>
      <c r="AA36" s="19"/>
      <c r="AB36" s="20"/>
      <c r="AC36" s="18" t="str" cm="1">
        <f t="array" ref="AC36">_xlfn.SWITCH(BM36,"nvarchar","varchar("&amp;BN36&amp;")","smallint","smallint","date","date","money","decimal(19,4)","numeric","numeric("&amp;BN36&amp;")","int","int","bit","char(1)","datetime2","datetime","time","time")</f>
        <v>smallint</v>
      </c>
      <c r="AD36" s="19"/>
      <c r="AE36" s="19"/>
      <c r="AF36" s="19"/>
      <c r="AG36" s="20"/>
      <c r="AH36" s="18"/>
      <c r="AI36" s="20"/>
      <c r="AJ36" s="22" t="s">
        <v>885</v>
      </c>
      <c r="AK36" s="19"/>
      <c r="AL36" s="20"/>
      <c r="AM36" s="18"/>
      <c r="AN36" s="19"/>
      <c r="AO36" s="19"/>
      <c r="AP36" s="19"/>
      <c r="AQ36" s="19"/>
      <c r="AR36" s="19"/>
      <c r="AS36" s="20"/>
      <c r="AT36" s="18"/>
      <c r="AU36" s="19"/>
      <c r="AV36" s="19"/>
      <c r="AW36" s="19"/>
      <c r="AX36" s="19"/>
      <c r="AY36" s="19"/>
      <c r="AZ36" s="19"/>
      <c r="BA36" s="19"/>
      <c r="BB36" s="19"/>
      <c r="BC36" s="19"/>
      <c r="BD36" s="19"/>
      <c r="BE36" s="19"/>
      <c r="BF36" s="19"/>
      <c r="BG36" s="19"/>
      <c r="BH36" s="19"/>
      <c r="BI36" s="19"/>
      <c r="BJ36" s="20"/>
      <c r="BK36" s="4"/>
      <c r="BM36" t="s">
        <v>623</v>
      </c>
      <c r="BP36" t="str">
        <f t="shared" si="2"/>
        <v>,`ButtonRowSpan` smallint NOT NULL COMMENT 'ボタンサイズ（１：通常、２：縦倍）'</v>
      </c>
      <c r="BQ36" t="s">
        <v>626</v>
      </c>
      <c r="BR36" t="str">
        <f t="shared" si="6"/>
        <v>,`ButtonRowSpan` smallint NOT NULL</v>
      </c>
      <c r="BS36" t="s">
        <v>626</v>
      </c>
      <c r="BT36" t="str">
        <f t="shared" si="7"/>
        <v>,`ButtonRowSpan` = if(nullif( @11,'') &gt; '', @11, null )</v>
      </c>
      <c r="BU36" t="s">
        <v>626</v>
      </c>
      <c r="BV36" s="97" t="str">
        <f t="shared" si="3"/>
        <v>,A.`ButtonRowSpan` = B.`ButtonRowSpan`</v>
      </c>
      <c r="BW36" t="s">
        <v>626</v>
      </c>
      <c r="BX36" s="97" t="str">
        <f t="shared" si="4"/>
        <v>,`ButtonRowSpan`</v>
      </c>
      <c r="BY36" t="s">
        <v>626</v>
      </c>
      <c r="BZ36" s="97" t="str">
        <f t="shared" si="5"/>
        <v>,`ButtonRowSpan`</v>
      </c>
      <c r="CA36" t="s">
        <v>626</v>
      </c>
    </row>
    <row r="37" spans="1:79" ht="15" customHeight="1">
      <c r="A37" s="100" t="s">
        <v>974</v>
      </c>
      <c r="B37" s="16">
        <f t="shared" si="1"/>
        <v>17</v>
      </c>
      <c r="C37" s="17"/>
      <c r="D37" s="22" t="s">
        <v>869</v>
      </c>
      <c r="E37" s="19"/>
      <c r="F37" s="19"/>
      <c r="G37" s="19"/>
      <c r="H37" s="19"/>
      <c r="I37" s="19"/>
      <c r="J37" s="19"/>
      <c r="K37" s="19"/>
      <c r="L37" s="19"/>
      <c r="M37" s="19"/>
      <c r="N37" s="19"/>
      <c r="O37" s="19"/>
      <c r="P37" s="19"/>
      <c r="Q37" s="20"/>
      <c r="R37" s="18" t="s">
        <v>407</v>
      </c>
      <c r="S37" s="19"/>
      <c r="T37" s="19"/>
      <c r="U37" s="19"/>
      <c r="V37" s="19"/>
      <c r="W37" s="19"/>
      <c r="X37" s="19"/>
      <c r="Y37" s="19"/>
      <c r="Z37" s="19"/>
      <c r="AA37" s="19"/>
      <c r="AB37" s="20"/>
      <c r="AC37" s="18" t="str" cm="1">
        <f t="array" ref="AC37">_xlfn.SWITCH(BM37,"nvarchar","varchar("&amp;BN37&amp;")","smallint","smallint","date","date","money","decimal(19,4)","numeric","numeric("&amp;BN37&amp;")","int","int","bit","char(1)","datetime2","datetime","time","time")</f>
        <v>varchar(50)</v>
      </c>
      <c r="AD37" s="19"/>
      <c r="AE37" s="19"/>
      <c r="AF37" s="19"/>
      <c r="AG37" s="20"/>
      <c r="AH37" s="18"/>
      <c r="AI37" s="20"/>
      <c r="AJ37" s="18"/>
      <c r="AK37" s="19"/>
      <c r="AL37" s="20"/>
      <c r="AM37" s="18"/>
      <c r="AN37" s="19"/>
      <c r="AO37" s="19"/>
      <c r="AP37" s="19"/>
      <c r="AQ37" s="19"/>
      <c r="AR37" s="19"/>
      <c r="AS37" s="20"/>
      <c r="AT37" s="18"/>
      <c r="AU37" s="19"/>
      <c r="AV37" s="19"/>
      <c r="AW37" s="19"/>
      <c r="AX37" s="19"/>
      <c r="AY37" s="19"/>
      <c r="AZ37" s="19"/>
      <c r="BA37" s="19"/>
      <c r="BB37" s="19"/>
      <c r="BC37" s="19"/>
      <c r="BD37" s="19"/>
      <c r="BE37" s="19"/>
      <c r="BF37" s="19"/>
      <c r="BG37" s="19"/>
      <c r="BH37" s="19"/>
      <c r="BI37" s="19"/>
      <c r="BJ37" s="20"/>
      <c r="BK37" s="4"/>
      <c r="BM37" t="s">
        <v>888</v>
      </c>
      <c r="BN37">
        <v>50</v>
      </c>
      <c r="BP37" t="str">
        <f t="shared" si="2"/>
        <v>,`Description` varchar(50)  COMMENT 'ボタン表示名称'</v>
      </c>
      <c r="BQ37" t="s">
        <v>626</v>
      </c>
      <c r="BR37" t="str">
        <f t="shared" si="6"/>
        <v xml:space="preserve">,`Description` varchar(50) </v>
      </c>
      <c r="BS37" t="s">
        <v>626</v>
      </c>
      <c r="BT37" t="str">
        <f t="shared" si="7"/>
        <v>,`Description` = if(nullif( @12,'') &gt; '', @12, null )</v>
      </c>
      <c r="BU37" t="s">
        <v>626</v>
      </c>
      <c r="BV37" s="97" t="str">
        <f t="shared" si="3"/>
        <v>,A.`Description` = B.`Description`</v>
      </c>
      <c r="BW37" t="s">
        <v>626</v>
      </c>
      <c r="BX37" s="97" t="str">
        <f t="shared" si="4"/>
        <v>,`Description`</v>
      </c>
      <c r="BY37" t="s">
        <v>626</v>
      </c>
      <c r="BZ37" s="97" t="str">
        <f t="shared" si="5"/>
        <v>,`Description`</v>
      </c>
      <c r="CA37" t="s">
        <v>626</v>
      </c>
    </row>
    <row r="38" spans="1:79" ht="15" customHeight="1">
      <c r="A38" s="100" t="s">
        <v>975</v>
      </c>
      <c r="B38" s="16">
        <f t="shared" si="1"/>
        <v>18</v>
      </c>
      <c r="C38" s="17"/>
      <c r="D38" s="22" t="s">
        <v>870</v>
      </c>
      <c r="E38" s="19"/>
      <c r="F38" s="19"/>
      <c r="G38" s="19"/>
      <c r="H38" s="19"/>
      <c r="I38" s="19"/>
      <c r="J38" s="19"/>
      <c r="K38" s="19"/>
      <c r="L38" s="19"/>
      <c r="M38" s="19"/>
      <c r="N38" s="19"/>
      <c r="O38" s="19"/>
      <c r="P38" s="19"/>
      <c r="Q38" s="20"/>
      <c r="R38" s="18" t="s">
        <v>881</v>
      </c>
      <c r="S38" s="19"/>
      <c r="T38" s="19"/>
      <c r="U38" s="19"/>
      <c r="V38" s="19"/>
      <c r="W38" s="19"/>
      <c r="X38" s="19"/>
      <c r="Y38" s="19"/>
      <c r="Z38" s="19"/>
      <c r="AA38" s="19"/>
      <c r="AB38" s="20"/>
      <c r="AC38" s="18" t="str" cm="1">
        <f t="array" ref="AC38">_xlfn.SWITCH(BM38,"nvarchar","varchar("&amp;BN38&amp;")","smallint","smallint","date","date","money","decimal(19,4)","numeric","numeric("&amp;BN38&amp;")","int","int","bit","char(1)","datetime2","datetime","time","time")</f>
        <v>varchar(50)</v>
      </c>
      <c r="AD38" s="19"/>
      <c r="AE38" s="19"/>
      <c r="AF38" s="19"/>
      <c r="AG38" s="20"/>
      <c r="AH38" s="18"/>
      <c r="AI38" s="20"/>
      <c r="AJ38" s="18"/>
      <c r="AK38" s="19"/>
      <c r="AL38" s="20"/>
      <c r="AM38" s="18"/>
      <c r="AN38" s="19"/>
      <c r="AO38" s="19"/>
      <c r="AP38" s="19"/>
      <c r="AQ38" s="19"/>
      <c r="AR38" s="19"/>
      <c r="AS38" s="20"/>
      <c r="AT38" s="18" t="s">
        <v>890</v>
      </c>
      <c r="AU38" s="19"/>
      <c r="AV38" s="19"/>
      <c r="AW38" s="19"/>
      <c r="AX38" s="19"/>
      <c r="AY38" s="19"/>
      <c r="AZ38" s="19"/>
      <c r="BA38" s="19"/>
      <c r="BB38" s="19"/>
      <c r="BC38" s="19"/>
      <c r="BD38" s="19"/>
      <c r="BE38" s="19"/>
      <c r="BF38" s="19"/>
      <c r="BG38" s="19"/>
      <c r="BH38" s="19"/>
      <c r="BI38" s="19"/>
      <c r="BJ38" s="20"/>
      <c r="BK38" s="4"/>
      <c r="BM38" t="s">
        <v>888</v>
      </c>
      <c r="BN38">
        <v>50</v>
      </c>
      <c r="BP38" t="str">
        <f t="shared" si="2"/>
        <v>,`StyleKey` varchar(50)  COMMENT 'WPFリソースディクショナリのキー'</v>
      </c>
      <c r="BQ38" t="s">
        <v>626</v>
      </c>
      <c r="BR38" t="str">
        <f t="shared" si="6"/>
        <v xml:space="preserve">,`StyleKey` varchar(50) </v>
      </c>
      <c r="BS38" t="s">
        <v>626</v>
      </c>
      <c r="BT38" t="str">
        <f t="shared" si="7"/>
        <v>,`StyleKey` = if(nullif( @13,'') &gt; '', @13, null )</v>
      </c>
      <c r="BU38" t="s">
        <v>626</v>
      </c>
      <c r="BV38" s="97" t="str">
        <f t="shared" si="3"/>
        <v>,A.`StyleKey` = B.`StyleKey`</v>
      </c>
      <c r="BW38" t="s">
        <v>626</v>
      </c>
      <c r="BX38" s="97" t="str">
        <f t="shared" si="4"/>
        <v>,`StyleKey`</v>
      </c>
      <c r="BY38" t="s">
        <v>626</v>
      </c>
      <c r="BZ38" s="97" t="str">
        <f t="shared" si="5"/>
        <v>,`StyleKey`</v>
      </c>
      <c r="CA38" t="s">
        <v>626</v>
      </c>
    </row>
    <row r="39" spans="1:79" ht="15" customHeight="1">
      <c r="A39" s="100" t="s">
        <v>976</v>
      </c>
      <c r="B39" s="16">
        <f t="shared" si="1"/>
        <v>19</v>
      </c>
      <c r="C39" s="17"/>
      <c r="D39" s="22" t="s">
        <v>871</v>
      </c>
      <c r="E39" s="19"/>
      <c r="F39" s="19"/>
      <c r="G39" s="19"/>
      <c r="H39" s="19"/>
      <c r="I39" s="19"/>
      <c r="J39" s="19"/>
      <c r="K39" s="19"/>
      <c r="L39" s="19"/>
      <c r="M39" s="19"/>
      <c r="N39" s="19"/>
      <c r="O39" s="19"/>
      <c r="P39" s="19"/>
      <c r="Q39" s="20"/>
      <c r="R39" s="18" t="s">
        <v>882</v>
      </c>
      <c r="S39" s="19"/>
      <c r="T39" s="19"/>
      <c r="U39" s="19"/>
      <c r="V39" s="19"/>
      <c r="W39" s="19"/>
      <c r="X39" s="19"/>
      <c r="Y39" s="19"/>
      <c r="Z39" s="19"/>
      <c r="AA39" s="19"/>
      <c r="AB39" s="20"/>
      <c r="AC39" s="18" t="str" cm="1">
        <f t="array" ref="AC39">_xlfn.SWITCH(BM39,"nvarchar","varchar("&amp;BN39&amp;")","smallint","smallint","date","date","money","decimal(19,4)","numeric","numeric("&amp;BN39&amp;")","int","int","bit","char(1)","datetime2","datetime","time","time")</f>
        <v>varchar(100)</v>
      </c>
      <c r="AD39" s="19"/>
      <c r="AE39" s="19"/>
      <c r="AF39" s="19"/>
      <c r="AG39" s="20"/>
      <c r="AH39" s="18"/>
      <c r="AI39" s="20"/>
      <c r="AJ39" s="18"/>
      <c r="AK39" s="19"/>
      <c r="AL39" s="20"/>
      <c r="AM39" s="18"/>
      <c r="AN39" s="19"/>
      <c r="AO39" s="19"/>
      <c r="AP39" s="19"/>
      <c r="AQ39" s="19"/>
      <c r="AR39" s="19"/>
      <c r="AS39" s="20"/>
      <c r="AT39" s="18"/>
      <c r="AU39" s="19"/>
      <c r="AV39" s="19"/>
      <c r="AW39" s="19"/>
      <c r="AX39" s="19"/>
      <c r="AY39" s="19"/>
      <c r="AZ39" s="19"/>
      <c r="BA39" s="19"/>
      <c r="BB39" s="19"/>
      <c r="BC39" s="19"/>
      <c r="BD39" s="19"/>
      <c r="BE39" s="19"/>
      <c r="BF39" s="19"/>
      <c r="BG39" s="19"/>
      <c r="BH39" s="19"/>
      <c r="BI39" s="19"/>
      <c r="BJ39" s="20"/>
      <c r="BK39" s="4"/>
      <c r="BM39" t="s">
        <v>888</v>
      </c>
      <c r="BN39">
        <v>100</v>
      </c>
      <c r="BP39" t="str">
        <f t="shared" si="2"/>
        <v>,`StyleInformation` varchar(100)  COMMENT 'ボタン表示名イメージファイル名など'</v>
      </c>
      <c r="BQ39" t="s">
        <v>626</v>
      </c>
      <c r="BR39" t="str">
        <f t="shared" si="6"/>
        <v xml:space="preserve">,`StyleInformation` varchar(100) </v>
      </c>
      <c r="BS39" t="s">
        <v>626</v>
      </c>
      <c r="BT39" t="str">
        <f t="shared" si="7"/>
        <v>,`StyleInformation` = if(nullif( @14,'') &gt; '', @14, null )</v>
      </c>
      <c r="BU39" t="s">
        <v>626</v>
      </c>
      <c r="BV39" s="97" t="str">
        <f t="shared" si="3"/>
        <v>,A.`StyleInformation` = B.`StyleInformation`</v>
      </c>
      <c r="BW39" t="s">
        <v>626</v>
      </c>
      <c r="BX39" s="97" t="str">
        <f t="shared" si="4"/>
        <v>,`StyleInformation`</v>
      </c>
      <c r="BY39" t="s">
        <v>626</v>
      </c>
      <c r="BZ39" s="97" t="str">
        <f t="shared" si="5"/>
        <v>,`StyleInformation`</v>
      </c>
      <c r="CA39" t="s">
        <v>626</v>
      </c>
    </row>
    <row r="40" spans="1:79" ht="15" customHeight="1">
      <c r="A40" s="100" t="s">
        <v>977</v>
      </c>
      <c r="B40" s="16">
        <f t="shared" si="1"/>
        <v>20</v>
      </c>
      <c r="C40" s="17"/>
      <c r="D40" s="22" t="s">
        <v>872</v>
      </c>
      <c r="E40" s="19"/>
      <c r="F40" s="19"/>
      <c r="G40" s="19"/>
      <c r="H40" s="19"/>
      <c r="I40" s="19"/>
      <c r="J40" s="19"/>
      <c r="K40" s="19"/>
      <c r="L40" s="19"/>
      <c r="M40" s="19"/>
      <c r="N40" s="19"/>
      <c r="O40" s="19"/>
      <c r="P40" s="19"/>
      <c r="Q40" s="20"/>
      <c r="R40" s="18" t="s">
        <v>883</v>
      </c>
      <c r="S40" s="19"/>
      <c r="T40" s="19"/>
      <c r="U40" s="19"/>
      <c r="V40" s="19"/>
      <c r="W40" s="19"/>
      <c r="X40" s="19"/>
      <c r="Y40" s="19"/>
      <c r="Z40" s="19"/>
      <c r="AA40" s="19"/>
      <c r="AB40" s="20"/>
      <c r="AC40" s="18" t="str" cm="1">
        <f t="array" ref="AC40">_xlfn.SWITCH(BM40,"nvarchar","varchar("&amp;BN40&amp;")","smallint","smallint","date","date","money","decimal(19,4)","numeric","numeric("&amp;BN40&amp;")","int","int","bit","char(1)","datetime2","datetime","time","time")</f>
        <v>int</v>
      </c>
      <c r="AD40" s="19"/>
      <c r="AE40" s="19"/>
      <c r="AF40" s="19"/>
      <c r="AG40" s="20"/>
      <c r="AH40" s="18"/>
      <c r="AI40" s="20"/>
      <c r="AJ40" s="18"/>
      <c r="AK40" s="19"/>
      <c r="AL40" s="20"/>
      <c r="AM40" s="18"/>
      <c r="AN40" s="19"/>
      <c r="AO40" s="19"/>
      <c r="AP40" s="19"/>
      <c r="AQ40" s="19"/>
      <c r="AR40" s="19"/>
      <c r="AS40" s="20"/>
      <c r="AT40" s="18"/>
      <c r="AU40" s="19"/>
      <c r="AV40" s="19"/>
      <c r="AW40" s="19"/>
      <c r="AX40" s="19"/>
      <c r="AY40" s="19"/>
      <c r="AZ40" s="19"/>
      <c r="BA40" s="19"/>
      <c r="BB40" s="19"/>
      <c r="BC40" s="19"/>
      <c r="BD40" s="19"/>
      <c r="BE40" s="19"/>
      <c r="BF40" s="19"/>
      <c r="BG40" s="19"/>
      <c r="BH40" s="19"/>
      <c r="BI40" s="19"/>
      <c r="BJ40" s="20"/>
      <c r="BK40" s="4"/>
      <c r="BM40" t="s">
        <v>437</v>
      </c>
      <c r="BP40" t="str">
        <f t="shared" si="2"/>
        <v>,`EventGroupCode` int  COMMENT 'イベントグループコード'</v>
      </c>
      <c r="BQ40" t="s">
        <v>626</v>
      </c>
      <c r="BR40" t="str">
        <f t="shared" si="6"/>
        <v xml:space="preserve">,`EventGroupCode` int </v>
      </c>
      <c r="BS40" t="s">
        <v>626</v>
      </c>
      <c r="BT40" t="str">
        <f t="shared" si="7"/>
        <v>,`EventGroupCode` = if(nullif( @15,'') &gt; '', @15, null )</v>
      </c>
      <c r="BU40" t="s">
        <v>626</v>
      </c>
      <c r="BV40" s="97" t="str">
        <f t="shared" si="3"/>
        <v>,A.`EventGroupCode` = B.`EventGroupCode`</v>
      </c>
      <c r="BW40" t="s">
        <v>626</v>
      </c>
      <c r="BX40" s="97" t="str">
        <f t="shared" si="4"/>
        <v>,`EventGroupCode`</v>
      </c>
      <c r="BY40" t="s">
        <v>626</v>
      </c>
      <c r="BZ40" s="97" t="str">
        <f t="shared" si="5"/>
        <v>,`EventGroupCode`</v>
      </c>
      <c r="CA40" t="s">
        <v>626</v>
      </c>
    </row>
    <row r="41" spans="1:79" ht="15" customHeight="1">
      <c r="A41" s="100" t="s">
        <v>978</v>
      </c>
      <c r="B41" s="72">
        <f t="shared" si="1"/>
        <v>21</v>
      </c>
      <c r="C41" s="73"/>
      <c r="D41" s="30" t="s">
        <v>873</v>
      </c>
      <c r="E41" s="74"/>
      <c r="F41" s="74"/>
      <c r="G41" s="74"/>
      <c r="H41" s="74"/>
      <c r="I41" s="74"/>
      <c r="J41" s="74"/>
      <c r="K41" s="74"/>
      <c r="L41" s="74"/>
      <c r="M41" s="74"/>
      <c r="N41" s="74"/>
      <c r="O41" s="74"/>
      <c r="P41" s="74"/>
      <c r="Q41" s="75"/>
      <c r="R41" s="76" t="s">
        <v>884</v>
      </c>
      <c r="S41" s="74"/>
      <c r="T41" s="74"/>
      <c r="U41" s="74"/>
      <c r="V41" s="74"/>
      <c r="W41" s="74"/>
      <c r="X41" s="74"/>
      <c r="Y41" s="74"/>
      <c r="Z41" s="74"/>
      <c r="AA41" s="74"/>
      <c r="AB41" s="75"/>
      <c r="AC41" s="76" t="str" cm="1">
        <f t="array" ref="AC41">_xlfn.SWITCH(BM41,"nvarchar","varchar("&amp;BN41&amp;")","smallint","smallint","date","date","money","decimal(19,4)","numeric","numeric("&amp;BN41&amp;")","int","int","bit","char(1)","datetime2","datetime","time","time")</f>
        <v>varchar(50)</v>
      </c>
      <c r="AD41" s="74"/>
      <c r="AE41" s="74"/>
      <c r="AF41" s="74"/>
      <c r="AG41" s="75"/>
      <c r="AH41" s="76"/>
      <c r="AI41" s="75"/>
      <c r="AJ41" s="76"/>
      <c r="AK41" s="74"/>
      <c r="AL41" s="75"/>
      <c r="AM41" s="76"/>
      <c r="AN41" s="74"/>
      <c r="AO41" s="74"/>
      <c r="AP41" s="74"/>
      <c r="AQ41" s="74"/>
      <c r="AR41" s="74"/>
      <c r="AS41" s="75"/>
      <c r="AT41" s="76"/>
      <c r="AU41" s="74"/>
      <c r="AV41" s="74"/>
      <c r="AW41" s="74"/>
      <c r="AX41" s="74"/>
      <c r="AY41" s="74"/>
      <c r="AZ41" s="74"/>
      <c r="BA41" s="74"/>
      <c r="BB41" s="74"/>
      <c r="BC41" s="74"/>
      <c r="BD41" s="74"/>
      <c r="BE41" s="74"/>
      <c r="BF41" s="74"/>
      <c r="BG41" s="74"/>
      <c r="BH41" s="74"/>
      <c r="BI41" s="74"/>
      <c r="BJ41" s="75"/>
      <c r="BK41" s="4"/>
      <c r="BM41" t="s">
        <v>888</v>
      </c>
      <c r="BN41">
        <v>50</v>
      </c>
      <c r="BP41" t="str">
        <f t="shared" si="2"/>
        <v>,`SettingData` varchar(50)  COMMENT '設定値'</v>
      </c>
      <c r="BQ41" t="s">
        <v>626</v>
      </c>
      <c r="BR41" t="str">
        <f t="shared" si="6"/>
        <v xml:space="preserve">,`SettingData` varchar(50) </v>
      </c>
      <c r="BS41" t="s">
        <v>626</v>
      </c>
      <c r="BT41" t="str">
        <f t="shared" si="7"/>
        <v>,`SettingData` = if(nullif( @16,'') &gt; '', @16, null )</v>
      </c>
      <c r="BU41" t="s">
        <v>626</v>
      </c>
      <c r="BV41" s="97" t="str">
        <f t="shared" si="3"/>
        <v>,A.`SettingData` = B.`SettingData`</v>
      </c>
      <c r="BW41" t="s">
        <v>626</v>
      </c>
      <c r="BX41" s="97" t="str">
        <f t="shared" si="4"/>
        <v>,`SettingData`</v>
      </c>
      <c r="BY41" t="s">
        <v>626</v>
      </c>
      <c r="BZ41" s="97" t="str">
        <f t="shared" si="5"/>
        <v>,`SettingData`</v>
      </c>
      <c r="CA41" t="s">
        <v>626</v>
      </c>
    </row>
    <row r="42" spans="1:79" ht="15" customHeight="1">
      <c r="A42" s="100"/>
      <c r="BK42" s="4"/>
      <c r="BP42"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(`CompanyCode`,`StoreCode`,`ButtonLayoutCode`,`GroupCode`,`PageNumber`,`ButtonColumnNumber`,`ButtonRowNumber`,`ApplyDate`),</v>
      </c>
      <c r="BQ42" t="s">
        <v>626</v>
      </c>
      <c r="BR42"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(`CompanyCode`,`StoreCode`,`ButtonLayoutCode`,`GroupCode`,`PageNumber`,`ButtonColumnNumber`,`ButtonRowNumber`,`ApplyDate`)</v>
      </c>
      <c r="BS42" t="s">
        <v>626</v>
      </c>
      <c r="BT42" s="97" t="s">
        <v>936</v>
      </c>
      <c r="BU42" t="s">
        <v>626</v>
      </c>
      <c r="BV42" s="97" t="s">
        <v>934</v>
      </c>
      <c r="BW42" t="s">
        <v>626</v>
      </c>
      <c r="BY42" t="s">
        <v>626</v>
      </c>
      <c r="BZ42" s="97" t="str">
        <f>"FROM `TMP`.`"&amp;$G$10&amp;"` A"</f>
        <v>FROM `TMP`.`PresetMenuButtonMaster` A</v>
      </c>
      <c r="CA42" t="s">
        <v>626</v>
      </c>
    </row>
    <row r="43" spans="1:79" ht="15" customHeight="1">
      <c r="A43" s="100"/>
      <c r="BK43" s="4"/>
      <c r="BP43" s="97" t="s">
        <v>452</v>
      </c>
      <c r="BQ43" t="s">
        <v>626</v>
      </c>
      <c r="BR43" s="97" t="str">
        <f>") ENGINE=InnoDB DEFAULT CHARSET=utf8mb4 COLLATE=utf8mb4_0900_ai_ci COMMENT = '"&amp;$G$9&amp;"_TMP';"</f>
        <v>) ENGINE=InnoDB DEFAULT CHARSET=utf8mb4 COLLATE=utf8mb4_0900_ai_ci COMMENT = 'プリセットメニューボタンマスタ_TMP';</v>
      </c>
      <c r="BS43" t="s">
        <v>626</v>
      </c>
      <c r="BU43" t="s">
        <v>626</v>
      </c>
      <c r="BV43" s="97" t="str">
        <f>IF(_xlfn.XLOOKUP(1,$AH:$AH,$R:$R,"",0)="","","A.`"&amp;_xlfn.XLOOKUP(1,$AH:$AH,$R:$R,"",0)&amp;"` = B.`"&amp;_xlfn.XLOOKUP(1,$AH:$AH,$R:$R,"",0)&amp;"`")</f>
        <v>A.`CompanyCode` = B.`CompanyCode`</v>
      </c>
      <c r="BW43" t="s">
        <v>626</v>
      </c>
      <c r="BY43" t="s">
        <v>626</v>
      </c>
      <c r="BZ43" s="97" t="s">
        <v>935</v>
      </c>
      <c r="CA43" t="s">
        <v>626</v>
      </c>
    </row>
    <row r="44" spans="1:79" ht="15" customHeight="1">
      <c r="A44" s="100"/>
      <c r="B44" s="37" t="s">
        <v>49</v>
      </c>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4"/>
      <c r="BP44" s="97" t="str">
        <f>") ENGINE=InnoDB DEFAULT CHARSET=utf8mb4 COLLATE=utf8mb4_0900_ai_ci COMMENT = '"&amp;$G$9&amp;"';"</f>
        <v>) ENGINE=InnoDB DEFAULT CHARSET=utf8mb4 COLLATE=utf8mb4_0900_ai_ci COMMENT = 'プリセットメニューボタンマスタ';</v>
      </c>
      <c r="BQ44" t="s">
        <v>626</v>
      </c>
      <c r="BS44" t="s">
        <v>626</v>
      </c>
      <c r="BU44" t="s">
        <v>626</v>
      </c>
      <c r="BV44" s="97" t="str">
        <f>IF(_xlfn.XLOOKUP(2,$AH:$AH,$R:$R,"",0)="","","AND A.`"&amp;_xlfn.XLOOKUP(2,$AH:$AH,$R:$R,"",0)&amp;"` = B.`"&amp;_xlfn.XLOOKUP(2,$AH:$AH,$R:$R,"",0)&amp;"`")</f>
        <v>AND A.`StoreCode` = B.`StoreCode`</v>
      </c>
      <c r="BW44" t="s">
        <v>626</v>
      </c>
      <c r="BY44" t="s">
        <v>626</v>
      </c>
      <c r="BZ44" s="97" t="str">
        <f>"FROM `POS_MASTER`.`"&amp;$G$10&amp;"` B"</f>
        <v>FROM `POS_MASTER`.`PresetMenuButtonMaster` B</v>
      </c>
      <c r="CA44" t="s">
        <v>626</v>
      </c>
    </row>
    <row r="45" spans="1:79" ht="15" customHeight="1">
      <c r="A45" s="100"/>
      <c r="B45" s="34" t="s">
        <v>50</v>
      </c>
      <c r="C45" s="35"/>
      <c r="D45" s="34" t="s">
        <v>51</v>
      </c>
      <c r="E45" s="44"/>
      <c r="F45" s="36"/>
      <c r="G45" s="36"/>
      <c r="H45" s="36"/>
      <c r="I45" s="36"/>
      <c r="J45" s="36"/>
      <c r="K45" s="36"/>
      <c r="L45" s="36"/>
      <c r="M45" s="36"/>
      <c r="N45" s="36"/>
      <c r="O45" s="36"/>
      <c r="P45" s="36"/>
      <c r="Q45" s="35"/>
      <c r="R45" s="34" t="s">
        <v>52</v>
      </c>
      <c r="S45" s="44"/>
      <c r="T45" s="36"/>
      <c r="U45" s="36"/>
      <c r="V45" s="36"/>
      <c r="W45" s="36"/>
      <c r="X45" s="36"/>
      <c r="Y45" s="36"/>
      <c r="Z45" s="36"/>
      <c r="AA45" s="36"/>
      <c r="AB45" s="36"/>
      <c r="AC45" s="36"/>
      <c r="AD45" s="36"/>
      <c r="AE45" s="36"/>
      <c r="AF45" s="36"/>
      <c r="AG45" s="36"/>
      <c r="AH45" s="36"/>
      <c r="AI45" s="36"/>
      <c r="AJ45" s="36"/>
      <c r="AK45" s="35"/>
      <c r="AL45" s="34" t="s">
        <v>53</v>
      </c>
      <c r="AM45" s="36"/>
      <c r="AN45" s="36"/>
      <c r="AO45" s="45"/>
      <c r="AP45" s="34" t="s">
        <v>54</v>
      </c>
      <c r="AQ45" s="36"/>
      <c r="AR45" s="36"/>
      <c r="AS45" s="35"/>
      <c r="AT45" s="34" t="s">
        <v>48</v>
      </c>
      <c r="AU45" s="44"/>
      <c r="AV45" s="44"/>
      <c r="AW45" s="36"/>
      <c r="AX45" s="36"/>
      <c r="AY45" s="44"/>
      <c r="AZ45" s="36"/>
      <c r="BA45" s="36"/>
      <c r="BB45" s="36"/>
      <c r="BC45" s="36"/>
      <c r="BD45" s="36"/>
      <c r="BE45" s="36"/>
      <c r="BF45" s="36"/>
      <c r="BG45" s="36"/>
      <c r="BH45" s="36"/>
      <c r="BI45" s="44"/>
      <c r="BJ45" s="35"/>
      <c r="BK45" s="4"/>
      <c r="BP45" s="97"/>
      <c r="BQ45" t="s">
        <v>626</v>
      </c>
      <c r="BS45" t="s">
        <v>626</v>
      </c>
      <c r="BU45" t="s">
        <v>626</v>
      </c>
      <c r="BV45" s="97" t="str">
        <f>IF(_xlfn.XLOOKUP(3,$AH:$AH,$R:$R,"",0)="","","AND A.`"&amp;_xlfn.XLOOKUP(3,$AH:$AH,$R:$R,"",0)&amp;"` = B.`"&amp;_xlfn.XLOOKUP(3,$AH:$AH,$R:$R,"",0)&amp;"`")</f>
        <v>AND A.`ButtonLayoutCode` = B.`ButtonLayoutCode`</v>
      </c>
      <c r="BW45" t="s">
        <v>626</v>
      </c>
      <c r="BY45" t="s">
        <v>626</v>
      </c>
      <c r="BZ45" s="97" t="s">
        <v>932</v>
      </c>
      <c r="CA45" t="s">
        <v>626</v>
      </c>
    </row>
    <row r="46" spans="1:79" ht="15" customHeight="1">
      <c r="A46" s="100"/>
      <c r="B46" s="38">
        <v>1</v>
      </c>
      <c r="C46" s="39"/>
      <c r="D46" s="38" t="s">
        <v>55</v>
      </c>
      <c r="E46" s="46"/>
      <c r="F46" s="40"/>
      <c r="G46" s="40"/>
      <c r="H46" s="40"/>
      <c r="I46" s="40"/>
      <c r="J46" s="40"/>
      <c r="K46" s="40"/>
      <c r="L46" s="40"/>
      <c r="M46" s="40"/>
      <c r="N46" s="40"/>
      <c r="O46" s="40"/>
      <c r="P46" s="40"/>
      <c r="Q46" s="39"/>
      <c r="R46"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`CompanyCode`,`StoreCode`,`ButtonLayoutCode`,`GroupCode`,`PageNumber`,`ButtonColumnNumber`,`ButtonRowNumber`,`ApplyDate`</v>
      </c>
      <c r="S46" s="46"/>
      <c r="T46" s="40"/>
      <c r="U46" s="40"/>
      <c r="V46" s="40"/>
      <c r="W46" s="40"/>
      <c r="X46" s="40"/>
      <c r="Y46" s="40"/>
      <c r="Z46" s="40"/>
      <c r="AA46" s="40"/>
      <c r="AB46" s="40"/>
      <c r="AC46" s="40"/>
      <c r="AD46" s="40"/>
      <c r="AE46" s="40"/>
      <c r="AF46" s="40"/>
      <c r="AG46" s="40"/>
      <c r="AH46" s="40"/>
      <c r="AI46" s="40"/>
      <c r="AJ46" s="40"/>
      <c r="AK46" s="39"/>
      <c r="AL46" s="38" t="s">
        <v>885</v>
      </c>
      <c r="AM46" s="40"/>
      <c r="AN46" s="40"/>
      <c r="AO46" s="47"/>
      <c r="AP46" s="38" t="s">
        <v>885</v>
      </c>
      <c r="AQ46" s="40"/>
      <c r="AR46" s="40"/>
      <c r="AS46" s="39"/>
      <c r="AT46" s="38"/>
      <c r="AU46" s="46"/>
      <c r="AV46" s="46"/>
      <c r="AW46" s="40"/>
      <c r="AX46" s="40"/>
      <c r="AY46" s="46"/>
      <c r="AZ46" s="40"/>
      <c r="BA46" s="40"/>
      <c r="BB46" s="40"/>
      <c r="BC46" s="40"/>
      <c r="BD46" s="40"/>
      <c r="BE46" s="40"/>
      <c r="BF46" s="40"/>
      <c r="BG46" s="40"/>
      <c r="BH46" s="40"/>
      <c r="BI46" s="46"/>
      <c r="BJ46" s="39"/>
      <c r="BK46" s="4"/>
      <c r="BP46" s="97" t="str">
        <f>"CREATE TRIGGER `"&amp;$G$10&amp;"_CR_Date_Time` BEFORE INSERT ON `"&amp;$G$10&amp;"` FOR EACH ROW SET NEW.record_create_date = CURRENT_DATE, NEW.record_create_time = CURRENT_TIME, NEW.record_update_date = CURRENT_DATE, NEW.record_update_time = CURRENT_TIME;"</f>
        <v>CREATE TRIGGER `PresetMenuButtonMaster_CR_Date_Time` BEFORE INSERT ON `PresetMenuButtonMaster` FOR EACH ROW SET NEW.record_create_date = CURRENT_DATE, NEW.record_create_time = CURRENT_TIME, NEW.record_update_date = CURRENT_DATE, NEW.record_update_time = CURRENT_TIME;</v>
      </c>
      <c r="BQ46" t="s">
        <v>626</v>
      </c>
      <c r="BS46" t="s">
        <v>626</v>
      </c>
      <c r="BU46" t="s">
        <v>626</v>
      </c>
      <c r="BV46" s="97" t="str">
        <f>IF(_xlfn.XLOOKUP(4,$AH:$AH,$R:$R,"",0)="","","AND A.`"&amp;_xlfn.XLOOKUP(4,$AH:$AH,$R:$R,"",0)&amp;"` = B.`"&amp;_xlfn.XLOOKUP(4,$AH:$AH,$R:$R,"",0)&amp;"`")</f>
        <v>AND A.`GroupCode` = B.`GroupCode`</v>
      </c>
      <c r="BW46" t="s">
        <v>626</v>
      </c>
      <c r="BY46" t="s">
        <v>626</v>
      </c>
      <c r="BZ46" s="97" t="str">
        <f>IF(_xlfn.XLOOKUP(1,$AH:$AH,$R:$R,"",0)="","","A.`"&amp;_xlfn.XLOOKUP(1,$AH:$AH,$R:$R,"",0)&amp;"` = B.`"&amp;_xlfn.XLOOKUP(1,$AH:$AH,$R:$R,"",0)&amp;"`")</f>
        <v>A.`CompanyCode` = B.`CompanyCode`</v>
      </c>
      <c r="CA46" t="s">
        <v>626</v>
      </c>
    </row>
    <row r="47" spans="1:79" ht="15" customHeight="1">
      <c r="A47" s="100"/>
      <c r="BK47" s="4"/>
      <c r="BP47" s="97" t="str">
        <f>"CREATE TRIGGER `"&amp;$G$10&amp;"_UP_Date_Time` BEFORE UPDATE ON `"&amp;$G$10&amp;"` FOR EACH ROW SET NEW.record_update_date = CURRENT_DATE, NEW.record_update_time = CURRENT_TIME;"</f>
        <v>CREATE TRIGGER `PresetMenuButtonMaster_UP_Date_Time` BEFORE UPDATE ON `PresetMenuButtonMaster` FOR EACH ROW SET NEW.record_update_date = CURRENT_DATE, NEW.record_update_time = CURRENT_TIME;</v>
      </c>
      <c r="BQ47" t="s">
        <v>626</v>
      </c>
      <c r="BS47" t="s">
        <v>626</v>
      </c>
      <c r="BU47" t="s">
        <v>626</v>
      </c>
      <c r="BV47" s="97" t="str">
        <f>IF(_xlfn.XLOOKUP(5,$AH:$AH,$R:$R,"",0)="","","AND A.`"&amp;_xlfn.XLOOKUP(5,$AH:$AH,$R:$R,"",0)&amp;"` = B.`"&amp;_xlfn.XLOOKUP(5,$AH:$AH,$R:$R,"",0)&amp;"`")</f>
        <v>AND A.`PageNumber` = B.`PageNumber`</v>
      </c>
      <c r="BW47" t="s">
        <v>626</v>
      </c>
      <c r="BY47" t="s">
        <v>626</v>
      </c>
      <c r="BZ47" s="97" t="str">
        <f>IF(_xlfn.XLOOKUP(2,$AH:$AH,$R:$R,"",0)="","","AND A.`"&amp;_xlfn.XLOOKUP(2,$AH:$AH,$R:$R,"",0)&amp;"` = B.`"&amp;_xlfn.XLOOKUP(2,$AH:$AH,$R:$R,"",0)&amp;"`")</f>
        <v>AND A.`StoreCode` = B.`StoreCode`</v>
      </c>
      <c r="CA47" t="s">
        <v>626</v>
      </c>
    </row>
    <row r="48" spans="1:79" ht="15" customHeight="1">
      <c r="A48" s="100"/>
      <c r="BK48" s="4"/>
      <c r="BQ48" t="s">
        <v>626</v>
      </c>
      <c r="BS48" t="s">
        <v>626</v>
      </c>
      <c r="BU48" t="s">
        <v>626</v>
      </c>
      <c r="BV48" s="97" t="str">
        <f>IF(_xlfn.XLOOKUP(6,$AH:$AH,$R:$R,"",0)="","","AND A.`"&amp;_xlfn.XLOOKUP(6,$AH:$AH,$R:$R,"",0)&amp;"` = B.`"&amp;_xlfn.XLOOKUP(6,$AH:$AH,$R:$R,"",0)&amp;"`")</f>
        <v>AND A.`ButtonColumnNumber` = B.`ButtonColumnNumber`</v>
      </c>
      <c r="BW48" t="s">
        <v>626</v>
      </c>
      <c r="BY48" t="s">
        <v>626</v>
      </c>
      <c r="BZ48" s="97" t="str">
        <f>IF(_xlfn.XLOOKUP(3,$AH:$AH,$R:$R,"",0)="","","AND A.`"&amp;_xlfn.XLOOKUP(3,$AH:$AH,$R:$R,"",0)&amp;"` = B.`"&amp;_xlfn.XLOOKUP(3,$AH:$AH,$R:$R,"",0)&amp;"`")</f>
        <v>AND A.`ButtonLayoutCode` = B.`ButtonLayoutCode`</v>
      </c>
      <c r="CA48" t="s">
        <v>626</v>
      </c>
    </row>
    <row r="49" spans="1:79">
      <c r="A49" s="100"/>
      <c r="B49" s="37" t="s">
        <v>34</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c r="BQ49" t="s">
        <v>626</v>
      </c>
      <c r="BS49" t="s">
        <v>626</v>
      </c>
      <c r="BU49" t="s">
        <v>626</v>
      </c>
      <c r="BV49" s="97" t="str">
        <f>IF(_xlfn.XLOOKUP(7,$AH:$AH,$R:$R,"",0)="","","AND A.`"&amp;_xlfn.XLOOKUP(7,$AH:$AH,$R:$R,"",0)&amp;"` = B.`"&amp;_xlfn.XLOOKUP(7,$AH:$AH,$R:$R,"",0)&amp;"`")</f>
        <v>AND A.`ButtonRowNumber` = B.`ButtonRowNumber`</v>
      </c>
      <c r="BW49" t="s">
        <v>626</v>
      </c>
      <c r="BY49" t="s">
        <v>626</v>
      </c>
      <c r="BZ49" s="97" t="str">
        <f>IF(_xlfn.XLOOKUP(4,$AH:$AH,$R:$R,"",0)="","","AND A.`"&amp;_xlfn.XLOOKUP(4,$AH:$AH,$R:$R,"",0)&amp;"` = B.`"&amp;_xlfn.XLOOKUP(4,$AH:$AH,$R:$R,"",0)&amp;"`")</f>
        <v>AND A.`GroupCode` = B.`GroupCode`</v>
      </c>
      <c r="CA49" t="s">
        <v>626</v>
      </c>
    </row>
    <row r="50" spans="1:79">
      <c r="A50" s="100"/>
      <c r="B50" s="34" t="s">
        <v>35</v>
      </c>
      <c r="C50" s="45"/>
      <c r="D50" s="34" t="s">
        <v>36</v>
      </c>
      <c r="E50" s="44"/>
      <c r="F50" s="44"/>
      <c r="G50" s="44"/>
      <c r="H50" s="44"/>
      <c r="I50" s="44"/>
      <c r="J50" s="44"/>
      <c r="K50" s="44"/>
      <c r="L50" s="36"/>
      <c r="M50" s="36"/>
      <c r="N50" s="36"/>
      <c r="O50" s="36"/>
      <c r="P50" s="36"/>
      <c r="Q50" s="35"/>
      <c r="R50" s="34" t="s">
        <v>37</v>
      </c>
      <c r="S50" s="36"/>
      <c r="T50" s="45"/>
      <c r="U50" s="34" t="s">
        <v>38</v>
      </c>
      <c r="V50" s="36"/>
      <c r="W50" s="44"/>
      <c r="X50" s="45"/>
      <c r="Y50" s="34" t="s">
        <v>39</v>
      </c>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5"/>
      <c r="BK50" s="4"/>
      <c r="BQ50" t="s">
        <v>626</v>
      </c>
      <c r="BS50" t="s">
        <v>626</v>
      </c>
      <c r="BU50" t="s">
        <v>626</v>
      </c>
      <c r="BV50" s="97" t="str">
        <f>IF(_xlfn.XLOOKUP(8,$AH:$AH,$R:$R,"",0)="","","AND A.`"&amp;_xlfn.XLOOKUP(8,$AH:$AH,$R:$R,"",0)&amp;"` = B.`"&amp;_xlfn.XLOOKUP(8,$AH:$AH,$R:$R,"",0)&amp;"`")</f>
        <v>AND A.`ApplyDate` = B.`ApplyDate`</v>
      </c>
      <c r="BW50" t="s">
        <v>626</v>
      </c>
      <c r="BY50" t="s">
        <v>626</v>
      </c>
      <c r="BZ50" s="97" t="str">
        <f>IF(_xlfn.XLOOKUP(5,$AH:$AH,$R:$R,"",0)="","","AND A.`"&amp;_xlfn.XLOOKUP(5,$AH:$AH,$R:$R,"",0)&amp;"` = B.`"&amp;_xlfn.XLOOKUP(5,$AH:$AH,$R:$R,"",0)&amp;"`")</f>
        <v>AND A.`PageNumber` = B.`PageNumber`</v>
      </c>
      <c r="CA50" t="s">
        <v>626</v>
      </c>
    </row>
    <row r="51" spans="1:79">
      <c r="A51" s="100"/>
      <c r="B51" s="41">
        <v>1</v>
      </c>
      <c r="C51" s="47"/>
      <c r="D51" s="41" t="str">
        <f>G10&amp;"_"&amp;R51&amp;"_"&amp;"trg"</f>
        <v>PresetMenuButtonMaster_update_trg</v>
      </c>
      <c r="E51" s="46"/>
      <c r="F51" s="46"/>
      <c r="G51" s="46"/>
      <c r="H51" s="46"/>
      <c r="I51" s="46"/>
      <c r="J51" s="46"/>
      <c r="K51" s="46"/>
      <c r="L51" s="42"/>
      <c r="M51" s="42"/>
      <c r="N51" s="42"/>
      <c r="O51" s="42"/>
      <c r="P51" s="42"/>
      <c r="Q51" s="43"/>
      <c r="R51" s="41" t="s">
        <v>40</v>
      </c>
      <c r="S51" s="42"/>
      <c r="T51" s="47"/>
      <c r="U51" s="41" t="s">
        <v>41</v>
      </c>
      <c r="V51" s="42"/>
      <c r="W51" s="46"/>
      <c r="X51" s="47"/>
      <c r="Y51" s="41" t="s">
        <v>42</v>
      </c>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3"/>
      <c r="BK51" s="4"/>
      <c r="BQ51" t="s">
        <v>626</v>
      </c>
      <c r="BS51" t="s">
        <v>626</v>
      </c>
      <c r="BU51" t="s">
        <v>626</v>
      </c>
      <c r="BV51" s="97" t="s">
        <v>936</v>
      </c>
      <c r="BW51" t="s">
        <v>626</v>
      </c>
      <c r="BY51" t="s">
        <v>626</v>
      </c>
      <c r="BZ51" s="97" t="str">
        <f>IF(_xlfn.XLOOKUP(6,$AH:$AH,$R:$R,"",0)="","","AND A.`"&amp;_xlfn.XLOOKUP(6,$AH:$AH,$R:$R,"",0)&amp;"` = B.`"&amp;_xlfn.XLOOKUP(6,$AH:$AH,$R:$R,"",0)&amp;"`")</f>
        <v>AND A.`ButtonColumnNumber` = B.`ButtonColumnNumber`</v>
      </c>
      <c r="CA51" t="s">
        <v>626</v>
      </c>
    </row>
    <row r="52" spans="1:79">
      <c r="A52" s="100"/>
      <c r="BK52" s="4"/>
      <c r="BQ52" t="s">
        <v>626</v>
      </c>
      <c r="BS52" t="s">
        <v>626</v>
      </c>
      <c r="BU52" t="s">
        <v>626</v>
      </c>
      <c r="BW52" t="s">
        <v>626</v>
      </c>
      <c r="BY52" t="s">
        <v>626</v>
      </c>
      <c r="BZ52" s="97" t="str">
        <f>IF(_xlfn.XLOOKUP(7,$AH:$AH,$R:$R,"",0)="","","AND A.`"&amp;_xlfn.XLOOKUP(7,$AH:$AH,$R:$R,"",0)&amp;"` = B.`"&amp;_xlfn.XLOOKUP(7,$AH:$AH,$R:$R,"",0)&amp;"`")</f>
        <v>AND A.`ButtonRowNumber` = B.`ButtonRowNumber`</v>
      </c>
      <c r="CA52" t="s">
        <v>626</v>
      </c>
    </row>
    <row r="53" spans="1:79">
      <c r="A53" s="100"/>
      <c r="BK53" s="4"/>
      <c r="BQ53" t="s">
        <v>626</v>
      </c>
      <c r="BS53" t="s">
        <v>626</v>
      </c>
      <c r="BU53" t="s">
        <v>626</v>
      </c>
      <c r="BW53" t="s">
        <v>626</v>
      </c>
      <c r="BY53" t="s">
        <v>626</v>
      </c>
      <c r="BZ53" s="97" t="str">
        <f>IF(_xlfn.XLOOKUP(8,$AH:$AH,$R:$R,"",0)="","","AND A.`"&amp;_xlfn.XLOOKUP(8,$AH:$AH,$R:$R,"",0)&amp;"` = B.`"&amp;_xlfn.XLOOKUP(8,$AH:$AH,$R:$R,"",0)&amp;"`")</f>
        <v>AND A.`ApplyDate` = B.`ApplyDate`</v>
      </c>
      <c r="CA53" t="s">
        <v>626</v>
      </c>
    </row>
    <row r="54" spans="1:79">
      <c r="A54" s="100"/>
      <c r="BK54" s="4"/>
      <c r="BQ54" t="s">
        <v>626</v>
      </c>
      <c r="BS54" t="s">
        <v>626</v>
      </c>
      <c r="BU54" t="s">
        <v>626</v>
      </c>
      <c r="BW54" t="s">
        <v>626</v>
      </c>
      <c r="BY54" t="s">
        <v>626</v>
      </c>
      <c r="BZ54" s="97" t="s">
        <v>929</v>
      </c>
      <c r="CA54" t="s">
        <v>626</v>
      </c>
    </row>
    <row r="55" spans="1:79">
      <c r="A55" s="100"/>
      <c r="BK55" s="4"/>
      <c r="BQ55" t="s">
        <v>626</v>
      </c>
      <c r="BS55" t="s">
        <v>626</v>
      </c>
      <c r="BU55" t="s">
        <v>626</v>
      </c>
      <c r="BW55" t="s">
        <v>626</v>
      </c>
      <c r="BY55" t="s">
        <v>626</v>
      </c>
      <c r="CA55" t="s">
        <v>626</v>
      </c>
    </row>
    <row r="56" spans="1:79">
      <c r="A56" s="100"/>
      <c r="BK56" s="4"/>
      <c r="BQ56" t="s">
        <v>626</v>
      </c>
      <c r="BS56" t="s">
        <v>626</v>
      </c>
      <c r="BU56" t="s">
        <v>626</v>
      </c>
      <c r="BW56" t="s">
        <v>626</v>
      </c>
      <c r="BY56" t="s">
        <v>626</v>
      </c>
      <c r="BZ56" s="98"/>
      <c r="CA56" t="s">
        <v>626</v>
      </c>
    </row>
    <row r="57" spans="1:79">
      <c r="A57" s="100"/>
      <c r="BK57" s="4"/>
      <c r="BQ57" t="s">
        <v>626</v>
      </c>
      <c r="BS57" t="s">
        <v>626</v>
      </c>
      <c r="BU57" t="s">
        <v>626</v>
      </c>
      <c r="BW57" t="s">
        <v>626</v>
      </c>
      <c r="BY57" t="s">
        <v>626</v>
      </c>
      <c r="BZ57" t="str">
        <f>"DROP TABLE IF EXISTS `TMP`.`"&amp;$G$10&amp;"`;"</f>
        <v>DROP TABLE IF EXISTS `TMP`.`PresetMenuButtonMaster`;</v>
      </c>
      <c r="CA57" t="s">
        <v>626</v>
      </c>
    </row>
    <row r="58" spans="1:79">
      <c r="A58" s="100"/>
      <c r="BK58" s="4"/>
      <c r="BQ58" t="s">
        <v>626</v>
      </c>
      <c r="BS58" t="s">
        <v>626</v>
      </c>
      <c r="BU58" t="s">
        <v>626</v>
      </c>
      <c r="BW58" t="s">
        <v>626</v>
      </c>
      <c r="BY58" t="s">
        <v>626</v>
      </c>
      <c r="BZ58" t="s">
        <v>937</v>
      </c>
      <c r="CA58" t="s">
        <v>626</v>
      </c>
    </row>
    <row r="59" spans="1:79">
      <c r="A59" s="100"/>
    </row>
    <row r="60" spans="1:79">
      <c r="A60" s="100"/>
    </row>
    <row r="61" spans="1:79">
      <c r="A61" s="100"/>
    </row>
    <row r="62" spans="1:79">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colBreaks count="1" manualBreakCount="1">
    <brk id="63" max="1048575" man="1"/>
  </colBreaks>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C197A-47FA-4154-B927-9AAF111CB4FC}">
  <dimension ref="A1:CA62"/>
  <sheetViews>
    <sheetView view="pageBreakPreview" topLeftCell="A15" zoomScale="80" zoomScaleNormal="75" zoomScaleSheetLayoutView="80" workbookViewId="0">
      <selection activeCell="BZ50" sqref="BZ50:BZ51"/>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703</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704</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`POS_MASTER`.`TaxCodeMaster`;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`POS_MASTER`.`TaxCodeMaster`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4"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'C:/04_DATAFILE/TaxCodeMaster/TMP/TaxCodeMaster.CSV' </v>
      </c>
      <c r="BU24" t="s">
        <v>626</v>
      </c>
      <c r="BV24" s="97" t="str">
        <f>"UPDATE `POS_MASTER`.`"&amp;$G$10&amp;"` A,`TMP`.`"&amp;$G$10&amp;"` B"</f>
        <v>UPDATE `POS_MASTER`.`TaxCodeMaster` A,`TMP`.`TaxCodeMaster`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`TMP`.`TaxCodeMaster`;</v>
      </c>
      <c r="BS25" t="s">
        <v>626</v>
      </c>
      <c r="BT25" s="97" t="str">
        <f>"REPLACE INTO TABLE TMP.`"&amp;$G$10&amp;"` CHARACTER SET 'UTF8'"</f>
        <v>REPLACE INTO TABLE TMP.`TaxCodeMaster`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`TMP`.`TaxCodeMaster`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v>
      </c>
      <c r="BU26" t="s">
        <v>626</v>
      </c>
      <c r="BV26" s="97"/>
      <c r="BW26" t="s">
        <v>626</v>
      </c>
      <c r="BX26" s="97" t="str">
        <f>"INSERT INTO `POS_MASTER`.`"&amp;$G$10&amp;"` ("</f>
        <v>INSERT INTO `POS_MASTER`.`TaxCodeMaster`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4"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4" si="2">",A.`"&amp;R28&amp;"` = B.`"&amp;R28&amp;"`"</f>
        <v>,A.`StoreCode` = B.`StoreCode`</v>
      </c>
      <c r="BW28" t="s">
        <v>626</v>
      </c>
      <c r="BX28" s="97" t="str">
        <f t="shared" ref="BX28:BX34" si="3">",`"&amp;R28&amp;"`"</f>
        <v>,`StoreCode`</v>
      </c>
      <c r="BY28" t="s">
        <v>626</v>
      </c>
      <c r="BZ28" s="97" t="str">
        <f t="shared" ref="BZ28:BZ34" si="4">",`"&amp;R28&amp;"`"</f>
        <v>,`StoreCode`</v>
      </c>
      <c r="CA28" t="s">
        <v>626</v>
      </c>
    </row>
    <row r="29" spans="1:79" ht="15" customHeight="1">
      <c r="A29" s="100" t="s">
        <v>966</v>
      </c>
      <c r="B29" s="23">
        <f t="shared" si="0"/>
        <v>9</v>
      </c>
      <c r="C29" s="24"/>
      <c r="D29" s="22" t="s">
        <v>709</v>
      </c>
      <c r="E29" s="25"/>
      <c r="F29" s="25"/>
      <c r="G29" s="25"/>
      <c r="H29" s="25"/>
      <c r="I29" s="25"/>
      <c r="J29" s="25"/>
      <c r="K29" s="25"/>
      <c r="L29" s="25"/>
      <c r="M29" s="25"/>
      <c r="N29" s="25"/>
      <c r="O29" s="25"/>
      <c r="P29" s="25"/>
      <c r="Q29" s="26"/>
      <c r="R29" s="22" t="s">
        <v>716</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,`TaxCode` varchar(2) NOT NULL COMMENT '税コード'</v>
      </c>
      <c r="BQ29" t="s">
        <v>626</v>
      </c>
      <c r="BR29" t="str">
        <f t="shared" ref="BR29:BR34" si="5">",`"&amp;R29&amp;"` "&amp;AC29&amp;" "&amp;IF(AJ29="Y","NOT NULL","")</f>
        <v>,`TaxCode` varchar(2) NOT NULL</v>
      </c>
      <c r="BS29" t="s">
        <v>626</v>
      </c>
      <c r="BT29" t="str">
        <f t="shared" ref="BT29:BT34" si="6">",`"&amp;R29&amp;"` = "&amp;IF(LEFT(AC29,4)="date", "if(@"&amp;B29-5&amp;" &gt; '0000-00-00 00:00:00', if(@"&amp;B29-5&amp;" &gt; '2999-12-31 23:59:59', '2999-12-31 23:59:59', @"&amp;B29-5&amp;"), null)","if(nullif( @"&amp;B29-5&amp;",'') &gt; '', @"&amp;B29-5&amp;", null )")</f>
        <v>,`TaxCode` = if(nullif( @4,'') &gt; '', @4, null )</v>
      </c>
      <c r="BU29" t="s">
        <v>626</v>
      </c>
      <c r="BV29" s="97" t="str">
        <f t="shared" si="2"/>
        <v>,A.`TaxCode` = B.`TaxCode`</v>
      </c>
      <c r="BW29" t="s">
        <v>626</v>
      </c>
      <c r="BX29" s="97" t="str">
        <f t="shared" si="3"/>
        <v>,`TaxCode`</v>
      </c>
      <c r="BY29" t="s">
        <v>626</v>
      </c>
      <c r="BZ29" s="97" t="str">
        <f t="shared" si="4"/>
        <v>,`TaxCode`</v>
      </c>
      <c r="CA29" t="s">
        <v>626</v>
      </c>
    </row>
    <row r="30" spans="1:79" ht="15" customHeight="1">
      <c r="A30" s="100" t="s">
        <v>967</v>
      </c>
      <c r="B30" s="23">
        <f t="shared" si="0"/>
        <v>10</v>
      </c>
      <c r="C30" s="24"/>
      <c r="D30" s="22" t="s">
        <v>710</v>
      </c>
      <c r="E30" s="25"/>
      <c r="F30" s="25"/>
      <c r="G30" s="25"/>
      <c r="H30" s="25"/>
      <c r="I30" s="25"/>
      <c r="J30" s="25"/>
      <c r="K30" s="25"/>
      <c r="L30" s="25"/>
      <c r="M30" s="25"/>
      <c r="N30" s="25"/>
      <c r="O30" s="25"/>
      <c r="P30" s="25"/>
      <c r="Q30" s="26"/>
      <c r="R30" s="22" t="s">
        <v>705</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varchar(2)</v>
      </c>
      <c r="AD30" s="25"/>
      <c r="AE30" s="25"/>
      <c r="AF30" s="25"/>
      <c r="AG30" s="26"/>
      <c r="AH30" s="22"/>
      <c r="AI30" s="26"/>
      <c r="AJ30" s="22" t="s">
        <v>885</v>
      </c>
      <c r="AK30" s="25"/>
      <c r="AL30" s="26"/>
      <c r="AM30" s="22"/>
      <c r="AN30" s="25"/>
      <c r="AO30" s="25"/>
      <c r="AP30" s="25"/>
      <c r="AQ30" s="25"/>
      <c r="AR30" s="25"/>
      <c r="AS30" s="26"/>
      <c r="AT30" s="22" t="s">
        <v>715</v>
      </c>
      <c r="AU30" s="25"/>
      <c r="AV30" s="25"/>
      <c r="AW30" s="25"/>
      <c r="AX30" s="25"/>
      <c r="AY30" s="25"/>
      <c r="AZ30" s="25"/>
      <c r="BA30" s="25"/>
      <c r="BB30" s="25"/>
      <c r="BC30" s="25"/>
      <c r="BD30" s="25"/>
      <c r="BE30" s="25"/>
      <c r="BF30" s="25"/>
      <c r="BG30" s="25"/>
      <c r="BH30" s="25"/>
      <c r="BI30" s="25"/>
      <c r="BJ30" s="26"/>
      <c r="BK30" s="4"/>
      <c r="BM30" t="s">
        <v>888</v>
      </c>
      <c r="BN30">
        <v>2</v>
      </c>
      <c r="BP30" t="str">
        <f t="shared" si="1"/>
        <v>,`TaxType` varchar(2) NOT NULL COMMENT '税タイプ'</v>
      </c>
      <c r="BQ30" t="s">
        <v>626</v>
      </c>
      <c r="BR30" t="str">
        <f t="shared" si="5"/>
        <v>,`TaxType` varchar(2) NOT NULL</v>
      </c>
      <c r="BS30" t="s">
        <v>626</v>
      </c>
      <c r="BT30" t="str">
        <f t="shared" si="6"/>
        <v>,`TaxType` = if(nullif( @5,'') &gt; '', @5, null )</v>
      </c>
      <c r="BU30" t="s">
        <v>626</v>
      </c>
      <c r="BV30" s="97" t="str">
        <f t="shared" si="2"/>
        <v>,A.`TaxType` = B.`TaxType`</v>
      </c>
      <c r="BW30" t="s">
        <v>626</v>
      </c>
      <c r="BX30" s="97" t="str">
        <f t="shared" si="3"/>
        <v>,`TaxType`</v>
      </c>
      <c r="BY30" t="s">
        <v>626</v>
      </c>
      <c r="BZ30" s="97" t="str">
        <f t="shared" si="4"/>
        <v>,`TaxType`</v>
      </c>
      <c r="CA30" t="s">
        <v>626</v>
      </c>
    </row>
    <row r="31" spans="1:79" ht="15" customHeight="1">
      <c r="A31" s="100" t="s">
        <v>968</v>
      </c>
      <c r="B31" s="23">
        <f t="shared" si="0"/>
        <v>11</v>
      </c>
      <c r="C31" s="24"/>
      <c r="D31" s="22" t="s">
        <v>711</v>
      </c>
      <c r="E31" s="25"/>
      <c r="F31" s="25"/>
      <c r="G31" s="25"/>
      <c r="H31" s="25"/>
      <c r="I31" s="25"/>
      <c r="J31" s="25"/>
      <c r="K31" s="25"/>
      <c r="L31" s="25"/>
      <c r="M31" s="25"/>
      <c r="N31" s="25"/>
      <c r="O31" s="25"/>
      <c r="P31" s="25"/>
      <c r="Q31" s="26"/>
      <c r="R31" s="22" t="s">
        <v>706</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numeric(4, 2)</v>
      </c>
      <c r="AD31" s="25"/>
      <c r="AE31" s="25"/>
      <c r="AF31" s="25"/>
      <c r="AG31" s="26"/>
      <c r="AH31" s="22"/>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892</v>
      </c>
      <c r="BN31" t="s">
        <v>927</v>
      </c>
      <c r="BP31" t="str">
        <f t="shared" si="1"/>
        <v>,`Rate` numeric(4, 2) NOT NULL COMMENT 'レート'</v>
      </c>
      <c r="BQ31" t="s">
        <v>626</v>
      </c>
      <c r="BR31" t="str">
        <f t="shared" si="5"/>
        <v>,`Rate` numeric(4, 2) NOT NULL</v>
      </c>
      <c r="BS31" t="s">
        <v>626</v>
      </c>
      <c r="BT31" t="str">
        <f t="shared" si="6"/>
        <v>,`Rate` = if(nullif( @6,'') &gt; '', @6, null )</v>
      </c>
      <c r="BU31" t="s">
        <v>626</v>
      </c>
      <c r="BV31" s="97" t="str">
        <f t="shared" si="2"/>
        <v>,A.`Rate` = B.`Rate`</v>
      </c>
      <c r="BW31" t="s">
        <v>626</v>
      </c>
      <c r="BX31" s="97" t="str">
        <f t="shared" si="3"/>
        <v>,`Rate`</v>
      </c>
      <c r="BY31" t="s">
        <v>626</v>
      </c>
      <c r="BZ31" s="97" t="str">
        <f t="shared" si="4"/>
        <v>,`Rate`</v>
      </c>
      <c r="CA31" t="s">
        <v>626</v>
      </c>
    </row>
    <row r="32" spans="1:79" ht="15" customHeight="1">
      <c r="A32" s="100" t="s">
        <v>969</v>
      </c>
      <c r="B32" s="23">
        <f t="shared" si="0"/>
        <v>12</v>
      </c>
      <c r="C32" s="24"/>
      <c r="D32" s="22" t="s">
        <v>712</v>
      </c>
      <c r="E32" s="25"/>
      <c r="F32" s="25"/>
      <c r="G32" s="25"/>
      <c r="H32" s="25"/>
      <c r="I32" s="25"/>
      <c r="J32" s="25"/>
      <c r="K32" s="25"/>
      <c r="L32" s="25"/>
      <c r="M32" s="25"/>
      <c r="N32" s="25"/>
      <c r="O32" s="25"/>
      <c r="P32" s="25"/>
      <c r="Q32" s="26"/>
      <c r="R32" s="22" t="s">
        <v>407</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varchar(50)</v>
      </c>
      <c r="AD32" s="25"/>
      <c r="AE32" s="25"/>
      <c r="AF32" s="25"/>
      <c r="AG32" s="26"/>
      <c r="AH32" s="22"/>
      <c r="AI32" s="26"/>
      <c r="AJ32" s="22" t="s">
        <v>885</v>
      </c>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
        <v>888</v>
      </c>
      <c r="BN32">
        <v>50</v>
      </c>
      <c r="BP32" t="str">
        <f t="shared" si="1"/>
        <v>,`Description` varchar(50) NOT NULL COMMENT '説明'</v>
      </c>
      <c r="BQ32" t="s">
        <v>626</v>
      </c>
      <c r="BR32" t="str">
        <f t="shared" si="5"/>
        <v>,`Description` varchar(50) NOT NULL</v>
      </c>
      <c r="BS32" t="s">
        <v>626</v>
      </c>
      <c r="BT32" t="str">
        <f t="shared" si="6"/>
        <v>,`Description` = if(nullif( @7,'') &gt; '', @7, null )</v>
      </c>
      <c r="BU32" t="s">
        <v>626</v>
      </c>
      <c r="BV32" s="97" t="str">
        <f t="shared" si="2"/>
        <v>,A.`Description` = B.`Description`</v>
      </c>
      <c r="BW32" t="s">
        <v>626</v>
      </c>
      <c r="BX32" s="97" t="str">
        <f t="shared" si="3"/>
        <v>,`Description`</v>
      </c>
      <c r="BY32" t="s">
        <v>626</v>
      </c>
      <c r="BZ32" s="97" t="str">
        <f t="shared" si="4"/>
        <v>,`Description`</v>
      </c>
      <c r="CA32" t="s">
        <v>626</v>
      </c>
    </row>
    <row r="33" spans="1:79" ht="15" customHeight="1">
      <c r="A33" s="100" t="s">
        <v>970</v>
      </c>
      <c r="B33" s="23">
        <f t="shared" si="0"/>
        <v>13</v>
      </c>
      <c r="C33" s="24"/>
      <c r="D33" s="22" t="s">
        <v>713</v>
      </c>
      <c r="E33" s="25"/>
      <c r="F33" s="25"/>
      <c r="G33" s="25"/>
      <c r="H33" s="25"/>
      <c r="I33" s="25"/>
      <c r="J33" s="25"/>
      <c r="K33" s="25"/>
      <c r="L33" s="25"/>
      <c r="M33" s="25"/>
      <c r="N33" s="25"/>
      <c r="O33" s="25"/>
      <c r="P33" s="25"/>
      <c r="Q33" s="26"/>
      <c r="R33" s="22" t="s">
        <v>707</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int</v>
      </c>
      <c r="AD33" s="25"/>
      <c r="AE33" s="25"/>
      <c r="AF33" s="25"/>
      <c r="AG33" s="26"/>
      <c r="AH33" s="22"/>
      <c r="AI33" s="26"/>
      <c r="AJ33" s="22" t="s">
        <v>885</v>
      </c>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M33" t="s">
        <v>437</v>
      </c>
      <c r="BP33" t="str">
        <f t="shared" si="1"/>
        <v>,`RoundDigit` int NOT NULL COMMENT '丸め桁'</v>
      </c>
      <c r="BQ33" t="s">
        <v>626</v>
      </c>
      <c r="BR33" t="str">
        <f t="shared" si="5"/>
        <v>,`RoundDigit` int NOT NULL</v>
      </c>
      <c r="BS33" t="s">
        <v>626</v>
      </c>
      <c r="BT33" t="str">
        <f t="shared" si="6"/>
        <v>,`RoundDigit` = if(nullif( @8,'') &gt; '', @8, null )</v>
      </c>
      <c r="BU33" t="s">
        <v>626</v>
      </c>
      <c r="BV33" s="97" t="str">
        <f t="shared" si="2"/>
        <v>,A.`RoundDigit` = B.`RoundDigit`</v>
      </c>
      <c r="BW33" t="s">
        <v>626</v>
      </c>
      <c r="BX33" s="97" t="str">
        <f t="shared" si="3"/>
        <v>,`RoundDigit`</v>
      </c>
      <c r="BY33" t="s">
        <v>626</v>
      </c>
      <c r="BZ33" s="97" t="str">
        <f t="shared" si="4"/>
        <v>,`RoundDigit`</v>
      </c>
      <c r="CA33" t="s">
        <v>626</v>
      </c>
    </row>
    <row r="34" spans="1:79" ht="15" customHeight="1">
      <c r="A34" s="100" t="s">
        <v>971</v>
      </c>
      <c r="B34" s="28">
        <f t="shared" si="0"/>
        <v>14</v>
      </c>
      <c r="C34" s="29"/>
      <c r="D34" s="30" t="s">
        <v>714</v>
      </c>
      <c r="E34" s="31"/>
      <c r="F34" s="31"/>
      <c r="G34" s="31"/>
      <c r="H34" s="31"/>
      <c r="I34" s="31"/>
      <c r="J34" s="31"/>
      <c r="K34" s="31"/>
      <c r="L34" s="31"/>
      <c r="M34" s="31"/>
      <c r="N34" s="31"/>
      <c r="O34" s="31"/>
      <c r="P34" s="31"/>
      <c r="Q34" s="32"/>
      <c r="R34" s="30" t="s">
        <v>708</v>
      </c>
      <c r="S34" s="31"/>
      <c r="T34" s="31"/>
      <c r="U34" s="31"/>
      <c r="V34" s="31"/>
      <c r="W34" s="31"/>
      <c r="X34" s="31"/>
      <c r="Y34" s="31"/>
      <c r="Z34" s="31"/>
      <c r="AA34" s="31"/>
      <c r="AB34" s="32"/>
      <c r="AC34" s="30" t="str" cm="1">
        <f t="array" ref="AC34">_xlfn.SWITCH(BM34,"nvarchar","varchar("&amp;BN34&amp;")","smallint","smallint","date","date","money","decimal(19,4)","numeric","numeric("&amp;BN34&amp;")","int","int","bit","char(1)","datetime2","datetime","time","time")</f>
        <v>varchar(2)</v>
      </c>
      <c r="AD34" s="31"/>
      <c r="AE34" s="31"/>
      <c r="AF34" s="31"/>
      <c r="AG34" s="32"/>
      <c r="AH34" s="30"/>
      <c r="AI34" s="32"/>
      <c r="AJ34" s="30" t="s">
        <v>885</v>
      </c>
      <c r="AK34" s="31"/>
      <c r="AL34" s="32"/>
      <c r="AM34" s="30"/>
      <c r="AN34" s="31"/>
      <c r="AO34" s="31"/>
      <c r="AP34" s="31"/>
      <c r="AQ34" s="31"/>
      <c r="AR34" s="31"/>
      <c r="AS34" s="32"/>
      <c r="AT34" s="30"/>
      <c r="AU34" s="31"/>
      <c r="AV34" s="31"/>
      <c r="AW34" s="31"/>
      <c r="AX34" s="31"/>
      <c r="AY34" s="31"/>
      <c r="AZ34" s="31"/>
      <c r="BA34" s="31"/>
      <c r="BB34" s="31"/>
      <c r="BC34" s="31"/>
      <c r="BD34" s="31"/>
      <c r="BE34" s="31"/>
      <c r="BF34" s="31"/>
      <c r="BG34" s="31"/>
      <c r="BH34" s="31"/>
      <c r="BI34" s="31"/>
      <c r="BJ34" s="32"/>
      <c r="BK34" s="4"/>
      <c r="BM34" t="s">
        <v>888</v>
      </c>
      <c r="BN34">
        <v>2</v>
      </c>
      <c r="BP34" t="str">
        <f t="shared" si="1"/>
        <v>,`RoundMethod` varchar(2) NOT NULL COMMENT '丸め方法'</v>
      </c>
      <c r="BQ34" t="s">
        <v>626</v>
      </c>
      <c r="BR34" t="str">
        <f t="shared" si="5"/>
        <v>,`RoundMethod` varchar(2) NOT NULL</v>
      </c>
      <c r="BS34" t="s">
        <v>626</v>
      </c>
      <c r="BT34" t="str">
        <f t="shared" si="6"/>
        <v>,`RoundMethod` = if(nullif( @9,'') &gt; '', @9, null )</v>
      </c>
      <c r="BU34" t="s">
        <v>626</v>
      </c>
      <c r="BV34" s="97" t="str">
        <f t="shared" si="2"/>
        <v>,A.`RoundMethod` = B.`RoundMethod`</v>
      </c>
      <c r="BW34" t="s">
        <v>626</v>
      </c>
      <c r="BX34" s="97" t="str">
        <f t="shared" si="3"/>
        <v>,`RoundMethod`</v>
      </c>
      <c r="BY34" t="s">
        <v>626</v>
      </c>
      <c r="BZ34" s="97" t="str">
        <f t="shared" si="4"/>
        <v>,`RoundMethod`</v>
      </c>
      <c r="CA34" t="s">
        <v>626</v>
      </c>
    </row>
    <row r="35" spans="1:79" ht="15" customHeight="1">
      <c r="A35" s="100"/>
      <c r="BK35" s="4"/>
      <c r="BP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(`CompanyCode`,`StoreCode`,`TaxCode`),</v>
      </c>
      <c r="BQ35" t="s">
        <v>626</v>
      </c>
      <c r="BR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(`CompanyCode`,`StoreCode`,`TaxCode`)</v>
      </c>
      <c r="BS35" t="s">
        <v>626</v>
      </c>
      <c r="BT35" s="97" t="s">
        <v>936</v>
      </c>
      <c r="BU35" t="s">
        <v>626</v>
      </c>
      <c r="BV35" s="97" t="s">
        <v>934</v>
      </c>
      <c r="BW35" t="s">
        <v>626</v>
      </c>
      <c r="BY35" t="s">
        <v>626</v>
      </c>
      <c r="BZ35" s="97" t="str">
        <f>"FROM `TMP`.`"&amp;$G$10&amp;"` A"</f>
        <v>FROM `TMP`.`TaxCodeMaster` A</v>
      </c>
      <c r="CA35" t="s">
        <v>626</v>
      </c>
    </row>
    <row r="36" spans="1:79" ht="15" customHeight="1">
      <c r="A36" s="100"/>
      <c r="BK36" s="4"/>
      <c r="BP36" s="97" t="s">
        <v>452</v>
      </c>
      <c r="BQ36" t="s">
        <v>626</v>
      </c>
      <c r="BR36" s="97" t="str">
        <f>") ENGINE=InnoDB DEFAULT CHARSET=utf8mb4 COLLATE=utf8mb4_0900_ai_ci COMMENT = '"&amp;$G$9&amp;"_TMP';"</f>
        <v>) ENGINE=InnoDB DEFAULT CHARSET=utf8mb4 COLLATE=utf8mb4_0900_ai_ci COMMENT = '税コードマスタ_TMP';</v>
      </c>
      <c r="BS36" t="s">
        <v>626</v>
      </c>
      <c r="BU36" t="s">
        <v>626</v>
      </c>
      <c r="BV36" s="97" t="str">
        <f>IF(_xlfn.XLOOKUP(1,$AH:$AH,$R:$R,"",0)="","","A.`"&amp;_xlfn.XLOOKUP(1,$AH:$AH,$R:$R,"",0)&amp;"` = B.`"&amp;_xlfn.XLOOKUP(1,$AH:$AH,$R:$R,"",0)&amp;"`")</f>
        <v>A.`CompanyCode` = B.`CompanyCode`</v>
      </c>
      <c r="BW36" t="s">
        <v>626</v>
      </c>
      <c r="BY36" t="s">
        <v>626</v>
      </c>
      <c r="BZ36" s="97" t="s">
        <v>935</v>
      </c>
      <c r="CA36" t="s">
        <v>626</v>
      </c>
    </row>
    <row r="37" spans="1:79" ht="15" customHeight="1">
      <c r="A37" s="100"/>
      <c r="B37" s="37" t="s">
        <v>49</v>
      </c>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4"/>
      <c r="BP37" s="97" t="str">
        <f>") ENGINE=InnoDB DEFAULT CHARSET=utf8mb4 COLLATE=utf8mb4_0900_ai_ci COMMENT = '"&amp;$G$9&amp;"';"</f>
        <v>) ENGINE=InnoDB DEFAULT CHARSET=utf8mb4 COLLATE=utf8mb4_0900_ai_ci COMMENT = '税コードマスタ';</v>
      </c>
      <c r="BQ37" t="s">
        <v>626</v>
      </c>
      <c r="BS37" t="s">
        <v>626</v>
      </c>
      <c r="BU37" t="s">
        <v>626</v>
      </c>
      <c r="BV37" s="97" t="str">
        <f>IF(_xlfn.XLOOKUP(2,$AH:$AH,$R:$R,"",0)="","","AND A.`"&amp;_xlfn.XLOOKUP(2,$AH:$AH,$R:$R,"",0)&amp;"` = B.`"&amp;_xlfn.XLOOKUP(2,$AH:$AH,$R:$R,"",0)&amp;"`")</f>
        <v>AND A.`StoreCode` = B.`StoreCode`</v>
      </c>
      <c r="BW37" t="s">
        <v>626</v>
      </c>
      <c r="BY37" t="s">
        <v>626</v>
      </c>
      <c r="BZ37" s="97" t="str">
        <f>"FROM `POS_MASTER`.`"&amp;$G$10&amp;"` B"</f>
        <v>FROM `POS_MASTER`.`TaxCodeMaster` B</v>
      </c>
      <c r="CA37" t="s">
        <v>626</v>
      </c>
    </row>
    <row r="38" spans="1:79" ht="15" customHeight="1">
      <c r="A38" s="100"/>
      <c r="B38" s="34" t="s">
        <v>50</v>
      </c>
      <c r="C38" s="35"/>
      <c r="D38" s="34" t="s">
        <v>51</v>
      </c>
      <c r="E38" s="44"/>
      <c r="F38" s="36"/>
      <c r="G38" s="36"/>
      <c r="H38" s="36"/>
      <c r="I38" s="36"/>
      <c r="J38" s="36"/>
      <c r="K38" s="36"/>
      <c r="L38" s="36"/>
      <c r="M38" s="36"/>
      <c r="N38" s="36"/>
      <c r="O38" s="36"/>
      <c r="P38" s="36"/>
      <c r="Q38" s="35"/>
      <c r="R38" s="34" t="s">
        <v>52</v>
      </c>
      <c r="S38" s="44"/>
      <c r="T38" s="36"/>
      <c r="U38" s="36"/>
      <c r="V38" s="36"/>
      <c r="W38" s="36"/>
      <c r="X38" s="36"/>
      <c r="Y38" s="36"/>
      <c r="Z38" s="36"/>
      <c r="AA38" s="36"/>
      <c r="AB38" s="36"/>
      <c r="AC38" s="36"/>
      <c r="AD38" s="36"/>
      <c r="AE38" s="36"/>
      <c r="AF38" s="36"/>
      <c r="AG38" s="36"/>
      <c r="AH38" s="36"/>
      <c r="AI38" s="36"/>
      <c r="AJ38" s="36"/>
      <c r="AK38" s="35"/>
      <c r="AL38" s="34" t="s">
        <v>53</v>
      </c>
      <c r="AM38" s="36"/>
      <c r="AN38" s="36"/>
      <c r="AO38" s="45"/>
      <c r="AP38" s="34" t="s">
        <v>54</v>
      </c>
      <c r="AQ38" s="36"/>
      <c r="AR38" s="36"/>
      <c r="AS38" s="35"/>
      <c r="AT38" s="34" t="s">
        <v>48</v>
      </c>
      <c r="AU38" s="44"/>
      <c r="AV38" s="44"/>
      <c r="AW38" s="36"/>
      <c r="AX38" s="36"/>
      <c r="AY38" s="44"/>
      <c r="AZ38" s="36"/>
      <c r="BA38" s="36"/>
      <c r="BB38" s="36"/>
      <c r="BC38" s="36"/>
      <c r="BD38" s="36"/>
      <c r="BE38" s="36"/>
      <c r="BF38" s="36"/>
      <c r="BG38" s="36"/>
      <c r="BH38" s="36"/>
      <c r="BI38" s="44"/>
      <c r="BJ38" s="35"/>
      <c r="BK38" s="4"/>
      <c r="BP38" s="97"/>
      <c r="BQ38" t="s">
        <v>626</v>
      </c>
      <c r="BS38" t="s">
        <v>626</v>
      </c>
      <c r="BU38" t="s">
        <v>626</v>
      </c>
      <c r="BV38" s="97" t="str">
        <f>IF(_xlfn.XLOOKUP(3,$AH:$AH,$R:$R,"",0)="","","AND A.`"&amp;_xlfn.XLOOKUP(3,$AH:$AH,$R:$R,"",0)&amp;"` = B.`"&amp;_xlfn.XLOOKUP(3,$AH:$AH,$R:$R,"",0)&amp;"`")</f>
        <v>AND A.`TaxCode` = B.`TaxCode`</v>
      </c>
      <c r="BW38" t="s">
        <v>626</v>
      </c>
      <c r="BY38" t="s">
        <v>626</v>
      </c>
      <c r="BZ38" s="97" t="s">
        <v>932</v>
      </c>
      <c r="CA38" t="s">
        <v>626</v>
      </c>
    </row>
    <row r="39" spans="1:79" ht="15" customHeight="1">
      <c r="A39" s="100"/>
      <c r="B39" s="38">
        <v>1</v>
      </c>
      <c r="C39" s="39"/>
      <c r="D39" s="38" t="s">
        <v>55</v>
      </c>
      <c r="E39" s="46"/>
      <c r="F39" s="40"/>
      <c r="G39" s="40"/>
      <c r="H39" s="40"/>
      <c r="I39" s="40"/>
      <c r="J39" s="40"/>
      <c r="K39" s="40"/>
      <c r="L39" s="40"/>
      <c r="M39" s="40"/>
      <c r="N39" s="40"/>
      <c r="O39" s="40"/>
      <c r="P39" s="40"/>
      <c r="Q39" s="39"/>
      <c r="R39"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`CompanyCode`,`StoreCode`,`TaxCode`</v>
      </c>
      <c r="S39" s="46"/>
      <c r="T39" s="40"/>
      <c r="U39" s="40"/>
      <c r="V39" s="40"/>
      <c r="W39" s="40"/>
      <c r="X39" s="40"/>
      <c r="Y39" s="40"/>
      <c r="Z39" s="40"/>
      <c r="AA39" s="40"/>
      <c r="AB39" s="40"/>
      <c r="AC39" s="40"/>
      <c r="AD39" s="40"/>
      <c r="AE39" s="40"/>
      <c r="AF39" s="40"/>
      <c r="AG39" s="40"/>
      <c r="AH39" s="40"/>
      <c r="AI39" s="40"/>
      <c r="AJ39" s="40"/>
      <c r="AK39" s="39"/>
      <c r="AL39" s="38" t="s">
        <v>885</v>
      </c>
      <c r="AM39" s="40"/>
      <c r="AN39" s="40"/>
      <c r="AO39" s="47"/>
      <c r="AP39" s="38" t="s">
        <v>885</v>
      </c>
      <c r="AQ39" s="40"/>
      <c r="AR39" s="40"/>
      <c r="AS39" s="39"/>
      <c r="AT39" s="38"/>
      <c r="AU39" s="46"/>
      <c r="AV39" s="46"/>
      <c r="AW39" s="40"/>
      <c r="AX39" s="40"/>
      <c r="AY39" s="46"/>
      <c r="AZ39" s="40"/>
      <c r="BA39" s="40"/>
      <c r="BB39" s="40"/>
      <c r="BC39" s="40"/>
      <c r="BD39" s="40"/>
      <c r="BE39" s="40"/>
      <c r="BF39" s="40"/>
      <c r="BG39" s="40"/>
      <c r="BH39" s="40"/>
      <c r="BI39" s="46"/>
      <c r="BJ39" s="39"/>
      <c r="BK39" s="4"/>
      <c r="BP39" s="97" t="str">
        <f>"CREATE TRIGGER `"&amp;$G$10&amp;"_CR_Date_Time` BEFORE INSERT ON `"&amp;$G$10&amp;"` FOR EACH ROW SET NEW.record_create_date = CURRENT_DATE, NEW.record_create_time = CURRENT_TIME, NEW.record_update_date = CURRENT_DATE, NEW.record_update_time = CURRENT_TIME;"</f>
        <v>CREATE TRIGGER `TaxCodeMaster_CR_Date_Time` BEFORE INSERT ON `TaxCodeMaster` FOR EACH ROW SET NEW.record_create_date = CURRENT_DATE, NEW.record_create_time = CURRENT_TIME, NEW.record_update_date = CURRENT_DATE, NEW.record_update_time = CURRENT_TIME;</v>
      </c>
      <c r="BQ39" t="s">
        <v>626</v>
      </c>
      <c r="BS39" t="s">
        <v>626</v>
      </c>
      <c r="BU39" t="s">
        <v>626</v>
      </c>
      <c r="BV39" s="97" t="str">
        <f>IF(_xlfn.XLOOKUP(4,$AH:$AH,$R:$R,"",0)="","","AND A.`"&amp;_xlfn.XLOOKUP(4,$AH:$AH,$R:$R,"",0)&amp;"` = B.`"&amp;_xlfn.XLOOKUP(4,$AH:$AH,$R:$R,"",0)&amp;"`")</f>
        <v/>
      </c>
      <c r="BW39" t="s">
        <v>626</v>
      </c>
      <c r="BY39" t="s">
        <v>626</v>
      </c>
      <c r="BZ39" s="97" t="str">
        <f>IF(_xlfn.XLOOKUP(1,$AH:$AH,$R:$R,"",0)="","","A.`"&amp;_xlfn.XLOOKUP(1,$AH:$AH,$R:$R,"",0)&amp;"` = B.`"&amp;_xlfn.XLOOKUP(1,$AH:$AH,$R:$R,"",0)&amp;"`")</f>
        <v>A.`CompanyCode` = B.`CompanyCode`</v>
      </c>
      <c r="CA39" t="s">
        <v>626</v>
      </c>
    </row>
    <row r="40" spans="1:79" ht="15" customHeight="1">
      <c r="A40" s="100"/>
      <c r="BK40" s="4"/>
      <c r="BP40" s="97" t="str">
        <f>"CREATE TRIGGER `"&amp;$G$10&amp;"_UP_Date_Time` BEFORE UPDATE ON `"&amp;$G$10&amp;"` FOR EACH ROW SET NEW.record_update_date = CURRENT_DATE, NEW.record_update_time = CURRENT_TIME;"</f>
        <v>CREATE TRIGGER `TaxCodeMaster_UP_Date_Time` BEFORE UPDATE ON `TaxCodeMaster` FOR EACH ROW SET NEW.record_update_date = CURRENT_DATE, NEW.record_update_time = CURRENT_TIME;</v>
      </c>
      <c r="BQ40" t="s">
        <v>626</v>
      </c>
      <c r="BS40" t="s">
        <v>626</v>
      </c>
      <c r="BU40" t="s">
        <v>626</v>
      </c>
      <c r="BV40" s="97" t="str">
        <f>IF(_xlfn.XLOOKUP(5,$AH:$AH,$R:$R,"",0)="","","AND A.`"&amp;_xlfn.XLOOKUP(5,$AH:$AH,$R:$R,"",0)&amp;"` = B.`"&amp;_xlfn.XLOOKUP(5,$AH:$AH,$R:$R,"",0)&amp;"`")</f>
        <v/>
      </c>
      <c r="BW40" t="s">
        <v>626</v>
      </c>
      <c r="BY40" t="s">
        <v>626</v>
      </c>
      <c r="BZ40" s="97" t="str">
        <f>IF(_xlfn.XLOOKUP(2,$AH:$AH,$R:$R,"",0)="","","AND A.`"&amp;_xlfn.XLOOKUP(2,$AH:$AH,$R:$R,"",0)&amp;"` = B.`"&amp;_xlfn.XLOOKUP(2,$AH:$AH,$R:$R,"",0)&amp;"`")</f>
        <v>AND A.`StoreCode` = B.`StoreCode`</v>
      </c>
      <c r="CA40" t="s">
        <v>626</v>
      </c>
    </row>
    <row r="41" spans="1:79" ht="15" customHeight="1">
      <c r="A41" s="100"/>
      <c r="BK41" s="4"/>
      <c r="BQ41" t="s">
        <v>626</v>
      </c>
      <c r="BS41" t="s">
        <v>626</v>
      </c>
      <c r="BU41" t="s">
        <v>626</v>
      </c>
      <c r="BV41" s="97" t="str">
        <f>IF(_xlfn.XLOOKUP(6,$AH:$AH,$R:$R,"",0)="","","AND A.`"&amp;_xlfn.XLOOKUP(6,$AH:$AH,$R:$R,"",0)&amp;"` = B.`"&amp;_xlfn.XLOOKUP(6,$AH:$AH,$R:$R,"",0)&amp;"`")</f>
        <v/>
      </c>
      <c r="BW41" t="s">
        <v>626</v>
      </c>
      <c r="BY41" t="s">
        <v>626</v>
      </c>
      <c r="BZ41" s="97" t="str">
        <f>IF(_xlfn.XLOOKUP(3,$AH:$AH,$R:$R,"",0)="","","AND A.`"&amp;_xlfn.XLOOKUP(3,$AH:$AH,$R:$R,"",0)&amp;"` = B.`"&amp;_xlfn.XLOOKUP(3,$AH:$AH,$R:$R,"",0)&amp;"`")</f>
        <v>AND A.`TaxCode` = B.`TaxCode`</v>
      </c>
      <c r="CA41" t="s">
        <v>626</v>
      </c>
    </row>
    <row r="42" spans="1:79">
      <c r="A42" s="100"/>
      <c r="B42" s="37" t="s">
        <v>34</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4"/>
      <c r="BQ42" t="s">
        <v>626</v>
      </c>
      <c r="BS42" t="s">
        <v>626</v>
      </c>
      <c r="BU42" t="s">
        <v>626</v>
      </c>
      <c r="BV42" s="97" t="str">
        <f>IF(_xlfn.XLOOKUP(7,$AH:$AH,$R:$R,"",0)="","","AND A.`"&amp;_xlfn.XLOOKUP(7,$AH:$AH,$R:$R,"",0)&amp;"` = B.`"&amp;_xlfn.XLOOKUP(7,$AH:$AH,$R:$R,"",0)&amp;"`")</f>
        <v/>
      </c>
      <c r="BW42" t="s">
        <v>626</v>
      </c>
      <c r="BY42" t="s">
        <v>626</v>
      </c>
      <c r="BZ42" s="97" t="str">
        <f>IF(_xlfn.XLOOKUP(4,$AH:$AH,$R:$R,"",0)="","","AND A.`"&amp;_xlfn.XLOOKUP(4,$AH:$AH,$R:$R,"",0)&amp;"` = B.`"&amp;_xlfn.XLOOKUP(4,$AH:$AH,$R:$R,"",0)&amp;"`")</f>
        <v/>
      </c>
      <c r="CA42" t="s">
        <v>626</v>
      </c>
    </row>
    <row r="43" spans="1:79">
      <c r="A43" s="100"/>
      <c r="B43" s="34" t="s">
        <v>35</v>
      </c>
      <c r="C43" s="45"/>
      <c r="D43" s="34" t="s">
        <v>36</v>
      </c>
      <c r="E43" s="44"/>
      <c r="F43" s="44"/>
      <c r="G43" s="44"/>
      <c r="H43" s="44"/>
      <c r="I43" s="44"/>
      <c r="J43" s="44"/>
      <c r="K43" s="44"/>
      <c r="L43" s="36"/>
      <c r="M43" s="36"/>
      <c r="N43" s="36"/>
      <c r="O43" s="36"/>
      <c r="P43" s="36"/>
      <c r="Q43" s="35"/>
      <c r="R43" s="34" t="s">
        <v>37</v>
      </c>
      <c r="S43" s="36"/>
      <c r="T43" s="45"/>
      <c r="U43" s="34" t="s">
        <v>38</v>
      </c>
      <c r="V43" s="36"/>
      <c r="W43" s="44"/>
      <c r="X43" s="45"/>
      <c r="Y43" s="34" t="s">
        <v>39</v>
      </c>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5"/>
      <c r="BK43" s="4"/>
      <c r="BQ43" t="s">
        <v>626</v>
      </c>
      <c r="BS43" t="s">
        <v>626</v>
      </c>
      <c r="BU43" t="s">
        <v>626</v>
      </c>
      <c r="BV43" s="97" t="str">
        <f>IF(_xlfn.XLOOKUP(8,$AH:$AH,$R:$R,"",0)="","","AND A.`"&amp;_xlfn.XLOOKUP(8,$AH:$AH,$R:$R,"",0)&amp;"` = B.`"&amp;_xlfn.XLOOKUP(8,$AH:$AH,$R:$R,"",0)&amp;"`")</f>
        <v/>
      </c>
      <c r="BW43" t="s">
        <v>626</v>
      </c>
      <c r="BY43" t="s">
        <v>626</v>
      </c>
      <c r="BZ43" s="97" t="str">
        <f>IF(_xlfn.XLOOKUP(5,$AH:$AH,$R:$R,"",0)="","","AND A.`"&amp;_xlfn.XLOOKUP(5,$AH:$AH,$R:$R,"",0)&amp;"` = B.`"&amp;_xlfn.XLOOKUP(5,$AH:$AH,$R:$R,"",0)&amp;"`")</f>
        <v/>
      </c>
      <c r="CA43" t="s">
        <v>626</v>
      </c>
    </row>
    <row r="44" spans="1:79">
      <c r="A44" s="100"/>
      <c r="B44" s="41">
        <v>1</v>
      </c>
      <c r="C44" s="47"/>
      <c r="D44" s="41" t="str">
        <f>G10&amp;"_"&amp;R44&amp;"_"&amp;"trg"</f>
        <v>TaxCodeMaster_update_trg</v>
      </c>
      <c r="E44" s="46"/>
      <c r="F44" s="46"/>
      <c r="G44" s="46"/>
      <c r="H44" s="46"/>
      <c r="I44" s="46"/>
      <c r="J44" s="46"/>
      <c r="K44" s="46"/>
      <c r="L44" s="42"/>
      <c r="M44" s="42"/>
      <c r="N44" s="42"/>
      <c r="O44" s="42"/>
      <c r="P44" s="42"/>
      <c r="Q44" s="43"/>
      <c r="R44" s="41" t="s">
        <v>40</v>
      </c>
      <c r="S44" s="42"/>
      <c r="T44" s="47"/>
      <c r="U44" s="41" t="s">
        <v>41</v>
      </c>
      <c r="V44" s="42"/>
      <c r="W44" s="46"/>
      <c r="X44" s="47"/>
      <c r="Y44" s="41" t="s">
        <v>42</v>
      </c>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3"/>
      <c r="BK44" s="4"/>
      <c r="BQ44" t="s">
        <v>626</v>
      </c>
      <c r="BS44" t="s">
        <v>626</v>
      </c>
      <c r="BU44" t="s">
        <v>626</v>
      </c>
      <c r="BV44" s="97" t="s">
        <v>936</v>
      </c>
      <c r="BW44" t="s">
        <v>626</v>
      </c>
      <c r="BY44" t="s">
        <v>626</v>
      </c>
      <c r="BZ44" s="97" t="str">
        <f>IF(_xlfn.XLOOKUP(6,$AH:$AH,$R:$R,"",0)="","","AND A.`"&amp;_xlfn.XLOOKUP(6,$AH:$AH,$R:$R,"",0)&amp;"` = B.`"&amp;_xlfn.XLOOKUP(6,$AH:$AH,$R:$R,"",0)&amp;"`")</f>
        <v/>
      </c>
      <c r="CA44" t="s">
        <v>626</v>
      </c>
    </row>
    <row r="45" spans="1:79">
      <c r="A45" s="100"/>
      <c r="BK45" s="4"/>
      <c r="BQ45" t="s">
        <v>626</v>
      </c>
      <c r="BS45" t="s">
        <v>626</v>
      </c>
      <c r="BU45" t="s">
        <v>626</v>
      </c>
      <c r="BW45" t="s">
        <v>626</v>
      </c>
      <c r="BY45" t="s">
        <v>626</v>
      </c>
      <c r="BZ45" s="97" t="str">
        <f>IF(_xlfn.XLOOKUP(7,$AH:$AH,$R:$R,"",0)="","","AND A.`"&amp;_xlfn.XLOOKUP(7,$AH:$AH,$R:$R,"",0)&amp;"` = B.`"&amp;_xlfn.XLOOKUP(7,$AH:$AH,$R:$R,"",0)&amp;"`")</f>
        <v/>
      </c>
      <c r="CA45" t="s">
        <v>626</v>
      </c>
    </row>
    <row r="46" spans="1:79">
      <c r="A46" s="100"/>
      <c r="BK46" s="4"/>
      <c r="BQ46" t="s">
        <v>626</v>
      </c>
      <c r="BS46" t="s">
        <v>626</v>
      </c>
      <c r="BU46" t="s">
        <v>626</v>
      </c>
      <c r="BW46" t="s">
        <v>626</v>
      </c>
      <c r="BY46" t="s">
        <v>626</v>
      </c>
      <c r="BZ46" s="97" t="str">
        <f>IF(_xlfn.XLOOKUP(8,$AH:$AH,$R:$R,"",0)="","","AND A.`"&amp;_xlfn.XLOOKUP(8,$AH:$AH,$R:$R,"",0)&amp;"` = B.`"&amp;_xlfn.XLOOKUP(8,$AH:$AH,$R:$R,"",0)&amp;"`")</f>
        <v/>
      </c>
      <c r="CA46" t="s">
        <v>626</v>
      </c>
    </row>
    <row r="47" spans="1:79">
      <c r="A47" s="100"/>
      <c r="BK47" s="4"/>
      <c r="BQ47" t="s">
        <v>626</v>
      </c>
      <c r="BS47" t="s">
        <v>626</v>
      </c>
      <c r="BU47" t="s">
        <v>626</v>
      </c>
      <c r="BW47" t="s">
        <v>626</v>
      </c>
      <c r="BY47" t="s">
        <v>626</v>
      </c>
      <c r="BZ47" s="97" t="s">
        <v>929</v>
      </c>
      <c r="CA47" t="s">
        <v>626</v>
      </c>
    </row>
    <row r="48" spans="1:79">
      <c r="A48" s="100"/>
      <c r="BK48" s="4"/>
      <c r="BQ48" t="s">
        <v>626</v>
      </c>
      <c r="BS48" t="s">
        <v>626</v>
      </c>
      <c r="BU48" t="s">
        <v>626</v>
      </c>
      <c r="BW48" t="s">
        <v>626</v>
      </c>
      <c r="BY48" t="s">
        <v>626</v>
      </c>
      <c r="CA48" t="s">
        <v>626</v>
      </c>
    </row>
    <row r="49" spans="1:79">
      <c r="A49" s="100"/>
      <c r="BK49" s="4"/>
      <c r="BQ49" t="s">
        <v>626</v>
      </c>
      <c r="BS49" t="s">
        <v>626</v>
      </c>
      <c r="BU49" t="s">
        <v>626</v>
      </c>
      <c r="BW49" t="s">
        <v>626</v>
      </c>
      <c r="BY49" t="s">
        <v>626</v>
      </c>
      <c r="BZ49" s="98"/>
      <c r="CA49" t="s">
        <v>626</v>
      </c>
    </row>
    <row r="50" spans="1:79">
      <c r="A50" s="100"/>
      <c r="BK50" s="4"/>
      <c r="BQ50" t="s">
        <v>626</v>
      </c>
      <c r="BS50" t="s">
        <v>626</v>
      </c>
      <c r="BU50" t="s">
        <v>626</v>
      </c>
      <c r="BW50" t="s">
        <v>626</v>
      </c>
      <c r="BY50" t="s">
        <v>626</v>
      </c>
      <c r="BZ50" t="str">
        <f>"DROP TABLE IF EXISTS `TMP`.`"&amp;$G$10&amp;"`;"</f>
        <v>DROP TABLE IF EXISTS `TMP`.`TaxCodeMaster`;</v>
      </c>
      <c r="CA50" t="s">
        <v>626</v>
      </c>
    </row>
    <row r="51" spans="1:79">
      <c r="A51" s="100"/>
      <c r="BK51" s="4"/>
      <c r="BQ51" t="s">
        <v>626</v>
      </c>
      <c r="BS51" t="s">
        <v>626</v>
      </c>
      <c r="BU51" t="s">
        <v>626</v>
      </c>
      <c r="BW51" t="s">
        <v>626</v>
      </c>
      <c r="BY51" t="s">
        <v>626</v>
      </c>
      <c r="BZ51" t="s">
        <v>937</v>
      </c>
      <c r="CA51" t="s">
        <v>626</v>
      </c>
    </row>
    <row r="52" spans="1:79">
      <c r="A52" s="100"/>
    </row>
    <row r="53" spans="1:79">
      <c r="A53" s="100"/>
    </row>
    <row r="54" spans="1:79">
      <c r="A54" s="100"/>
    </row>
    <row r="55" spans="1:79">
      <c r="A55" s="100"/>
    </row>
    <row r="56" spans="1:79">
      <c r="A56" s="100"/>
    </row>
    <row r="57" spans="1:79">
      <c r="A57" s="100"/>
    </row>
    <row r="58" spans="1:79">
      <c r="A58" s="100"/>
    </row>
    <row r="59" spans="1:79">
      <c r="A59" s="100"/>
    </row>
    <row r="60" spans="1:79">
      <c r="A60" s="100"/>
    </row>
    <row r="61" spans="1:79">
      <c r="A61" s="100"/>
    </row>
    <row r="62" spans="1:79">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A99CC-1061-4AA3-9071-45FACDB34317}">
  <dimension ref="A1:CA62"/>
  <sheetViews>
    <sheetView view="pageBreakPreview" topLeftCell="A17" zoomScale="80" zoomScaleNormal="75" zoomScaleSheetLayoutView="80" workbookViewId="0">
      <selection activeCell="BZ46" sqref="BZ46:BZ47"/>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L1" s="77"/>
      <c r="BM1" s="77"/>
      <c r="BN1" s="77"/>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L2" s="71"/>
      <c r="BM2" s="71"/>
      <c r="BN2" s="71"/>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L3" s="71"/>
      <c r="BM3" s="71"/>
      <c r="BN3" s="71"/>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L4" s="71"/>
      <c r="BM4" s="71"/>
      <c r="BN4" s="71"/>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717</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718</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`POS_MASTER`.`TaxGroupDetailMaster`;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`POS_MASTER`.`TaxGroupDetailMaster`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0"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'C:/04_DATAFILE/TaxGroupDetailMaster/TMP/TaxGroupDetailMaster.CSV' </v>
      </c>
      <c r="BU24" t="s">
        <v>626</v>
      </c>
      <c r="BV24" s="97" t="str">
        <f>"UPDATE `POS_MASTER`.`"&amp;$G$10&amp;"` A,`TMP`.`"&amp;$G$10&amp;"` B"</f>
        <v>UPDATE `POS_MASTER`.`TaxGroupDetailMaster` A,`TMP`.`TaxGroupDetailMaster`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`TMP`.`TaxGroupDetailMaster`;</v>
      </c>
      <c r="BS25" t="s">
        <v>626</v>
      </c>
      <c r="BT25" s="97" t="str">
        <f>"REPLACE INTO TABLE TMP.`"&amp;$G$10&amp;"` CHARACTER SET 'UTF8'"</f>
        <v>REPLACE INTO TABLE TMP.`TaxGroupDetailMaster`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M26" t="s">
        <v>888</v>
      </c>
      <c r="BN26">
        <v>1</v>
      </c>
      <c r="BP26" s="97" t="s">
        <v>952</v>
      </c>
      <c r="BQ26" t="s">
        <v>626</v>
      </c>
      <c r="BR26" s="97" t="str">
        <f>"CREATE TABLE `TMP`.`"&amp;G10&amp;"` ("</f>
        <v>CREATE TABLE `TMP`.`TaxGroupDetailMaster`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v>
      </c>
      <c r="BU26" t="s">
        <v>626</v>
      </c>
      <c r="BV26" s="97"/>
      <c r="BW26" t="s">
        <v>626</v>
      </c>
      <c r="BX26" s="97" t="str">
        <f>"INSERT INTO `POS_MASTER`.`"&amp;$G$10&amp;"` ("</f>
        <v>INSERT INTO `POS_MASTER`.`TaxGroupDetailMaster`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0"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",A.`"&amp;R28&amp;"` = B.`"&amp;R28&amp;"`"</f>
        <v>,A.`StoreCode` = B.`StoreCode`</v>
      </c>
      <c r="BW28" t="s">
        <v>626</v>
      </c>
      <c r="BX28" s="97" t="str">
        <f>",`"&amp;R28&amp;"`"</f>
        <v>,`StoreCode`</v>
      </c>
      <c r="BY28" t="s">
        <v>626</v>
      </c>
      <c r="BZ28" s="97" t="str">
        <f t="shared" ref="BZ28:BZ30" si="2">",`"&amp;R28&amp;"`"</f>
        <v>,`StoreCode`</v>
      </c>
      <c r="CA28" t="s">
        <v>626</v>
      </c>
    </row>
    <row r="29" spans="1:79" ht="15" customHeight="1">
      <c r="A29" s="100" t="s">
        <v>966</v>
      </c>
      <c r="B29" s="23">
        <f t="shared" si="0"/>
        <v>9</v>
      </c>
      <c r="C29" s="24"/>
      <c r="D29" s="22" t="s">
        <v>719</v>
      </c>
      <c r="E29" s="25"/>
      <c r="F29" s="25"/>
      <c r="G29" s="25"/>
      <c r="H29" s="25"/>
      <c r="I29" s="25"/>
      <c r="J29" s="25"/>
      <c r="K29" s="25"/>
      <c r="L29" s="25"/>
      <c r="M29" s="25"/>
      <c r="N29" s="25"/>
      <c r="O29" s="25"/>
      <c r="P29" s="25"/>
      <c r="Q29" s="26"/>
      <c r="R29" s="22" t="s">
        <v>722</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,`TaxGroupDetailCode` varchar(2) NOT NULL COMMENT '税グループ詳細コード'</v>
      </c>
      <c r="BQ29" t="s">
        <v>626</v>
      </c>
      <c r="BR29" t="str">
        <f t="shared" ref="BR29:BR30" si="3">",`"&amp;R29&amp;"` "&amp;AC29&amp;" "&amp;IF(AJ29="Y","NOT NULL","")</f>
        <v>,`TaxGroupDetailCode` varchar(2) NOT NULL</v>
      </c>
      <c r="BS29" t="s">
        <v>626</v>
      </c>
      <c r="BT29" t="str">
        <f t="shared" ref="BT29:BT30" si="4">",`"&amp;R29&amp;"` = "&amp;IF(LEFT(AC29,4)="date", "if(@"&amp;B29-5&amp;" &gt; '0000-00-00 00:00:00', if(@"&amp;B29-5&amp;" &gt; '2999-12-31 23:59:59', '2999-12-31 23:59:59', @"&amp;B29-5&amp;"), null)","if(nullif( @"&amp;B29-5&amp;",'') &gt; '', @"&amp;B29-5&amp;", null )")</f>
        <v>,`TaxGroupDetailCode` = if(nullif( @4,'') &gt; '', @4, null )</v>
      </c>
      <c r="BU29" t="s">
        <v>626</v>
      </c>
      <c r="BV29" s="97" t="str">
        <f>",A.`"&amp;R29&amp;"` = B.`"&amp;R29&amp;"`"</f>
        <v>,A.`TaxGroupDetailCode` = B.`TaxGroupDetailCode`</v>
      </c>
      <c r="BW29" t="s">
        <v>626</v>
      </c>
      <c r="BX29" s="97" t="str">
        <f>",`"&amp;R29&amp;"`"</f>
        <v>,`TaxGroupDetailCode`</v>
      </c>
      <c r="BY29" t="s">
        <v>626</v>
      </c>
      <c r="BZ29" s="97" t="str">
        <f t="shared" si="2"/>
        <v>,`TaxGroupDetailCode`</v>
      </c>
      <c r="CA29" t="s">
        <v>626</v>
      </c>
    </row>
    <row r="30" spans="1:79" ht="15" customHeight="1">
      <c r="A30" s="100" t="s">
        <v>967</v>
      </c>
      <c r="B30" s="28">
        <f t="shared" si="0"/>
        <v>10</v>
      </c>
      <c r="C30" s="29"/>
      <c r="D30" s="30" t="s">
        <v>720</v>
      </c>
      <c r="E30" s="31"/>
      <c r="F30" s="31"/>
      <c r="G30" s="31"/>
      <c r="H30" s="31"/>
      <c r="I30" s="31"/>
      <c r="J30" s="31"/>
      <c r="K30" s="31"/>
      <c r="L30" s="31"/>
      <c r="M30" s="31"/>
      <c r="N30" s="31"/>
      <c r="O30" s="31"/>
      <c r="P30" s="31"/>
      <c r="Q30" s="32"/>
      <c r="R30" s="30" t="s">
        <v>716</v>
      </c>
      <c r="S30" s="31"/>
      <c r="T30" s="31"/>
      <c r="U30" s="31"/>
      <c r="V30" s="31"/>
      <c r="W30" s="31"/>
      <c r="X30" s="31"/>
      <c r="Y30" s="31"/>
      <c r="Z30" s="31"/>
      <c r="AA30" s="31"/>
      <c r="AB30" s="32"/>
      <c r="AC30" s="30" t="str" cm="1">
        <f t="array" ref="AC30">_xlfn.SWITCH(BM30,"nvarchar","varchar("&amp;BN30&amp;")","smallint","smallint","date","date","money","decimal(19,4)","numeric","numeric("&amp;BN30&amp;")","int","int","bit","char(1)","datetime2","datetime","time","time")</f>
        <v>varchar(2)</v>
      </c>
      <c r="AD30" s="31"/>
      <c r="AE30" s="31"/>
      <c r="AF30" s="31"/>
      <c r="AG30" s="32"/>
      <c r="AH30" s="30">
        <v>4</v>
      </c>
      <c r="AI30" s="32"/>
      <c r="AJ30" s="30" t="s">
        <v>885</v>
      </c>
      <c r="AK30" s="31"/>
      <c r="AL30" s="32"/>
      <c r="AM30" s="30"/>
      <c r="AN30" s="31"/>
      <c r="AO30" s="31"/>
      <c r="AP30" s="31"/>
      <c r="AQ30" s="31"/>
      <c r="AR30" s="31"/>
      <c r="AS30" s="32"/>
      <c r="AT30" s="30"/>
      <c r="AU30" s="31"/>
      <c r="AV30" s="31"/>
      <c r="AW30" s="31"/>
      <c r="AX30" s="31"/>
      <c r="AY30" s="31"/>
      <c r="AZ30" s="31"/>
      <c r="BA30" s="31"/>
      <c r="BB30" s="31"/>
      <c r="BC30" s="31"/>
      <c r="BD30" s="31"/>
      <c r="BE30" s="31"/>
      <c r="BF30" s="31"/>
      <c r="BG30" s="31"/>
      <c r="BH30" s="31"/>
      <c r="BI30" s="31"/>
      <c r="BJ30" s="32"/>
      <c r="BK30" s="4"/>
      <c r="BM30" t="s">
        <v>888</v>
      </c>
      <c r="BN30">
        <v>2</v>
      </c>
      <c r="BP30" t="str">
        <f t="shared" si="1"/>
        <v>,`TaxCode` varchar(2) NOT NULL COMMENT '税コード'</v>
      </c>
      <c r="BQ30" t="s">
        <v>626</v>
      </c>
      <c r="BR30" t="str">
        <f t="shared" si="3"/>
        <v>,`TaxCode` varchar(2) NOT NULL</v>
      </c>
      <c r="BS30" t="s">
        <v>626</v>
      </c>
      <c r="BT30" t="str">
        <f t="shared" si="4"/>
        <v>,`TaxCode` = if(nullif( @5,'') &gt; '', @5, null )</v>
      </c>
      <c r="BU30" t="s">
        <v>626</v>
      </c>
      <c r="BV30" s="97" t="str">
        <f>",A.`"&amp;R30&amp;"` = B.`"&amp;R30&amp;"`"</f>
        <v>,A.`TaxCode` = B.`TaxCode`</v>
      </c>
      <c r="BW30" t="s">
        <v>626</v>
      </c>
      <c r="BX30" s="97" t="str">
        <f>",`"&amp;R30&amp;"`"</f>
        <v>,`TaxCode`</v>
      </c>
      <c r="BY30" t="s">
        <v>626</v>
      </c>
      <c r="BZ30" s="97" t="str">
        <f t="shared" si="2"/>
        <v>,`TaxCode`</v>
      </c>
      <c r="CA30" t="s">
        <v>626</v>
      </c>
    </row>
    <row r="31" spans="1:79" ht="15" customHeight="1">
      <c r="A31" s="100"/>
      <c r="BK31" s="4"/>
      <c r="BP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(`CompanyCode`,`StoreCode`,`TaxGroupDetailCode`,`TaxCode`),</v>
      </c>
      <c r="BQ31" t="s">
        <v>626</v>
      </c>
      <c r="BR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(`CompanyCode`,`StoreCode`,`TaxGroupDetailCode`,`TaxCode`)</v>
      </c>
      <c r="BS31" t="s">
        <v>626</v>
      </c>
      <c r="BT31" s="97" t="s">
        <v>936</v>
      </c>
      <c r="BU31" t="s">
        <v>626</v>
      </c>
      <c r="BV31" s="97" t="s">
        <v>934</v>
      </c>
      <c r="BW31" t="s">
        <v>626</v>
      </c>
      <c r="BY31" t="s">
        <v>626</v>
      </c>
      <c r="BZ31" s="97" t="str">
        <f>"FROM `TMP`.`"&amp;$G$10&amp;"` A"</f>
        <v>FROM `TMP`.`TaxGroupDetailMaster` A</v>
      </c>
      <c r="CA31" t="s">
        <v>626</v>
      </c>
    </row>
    <row r="32" spans="1:79" ht="15" customHeight="1">
      <c r="A32" s="100"/>
      <c r="BK32" s="4"/>
      <c r="BP32" s="97" t="s">
        <v>452</v>
      </c>
      <c r="BQ32" t="s">
        <v>626</v>
      </c>
      <c r="BR32" s="97" t="str">
        <f>") ENGINE=InnoDB DEFAULT CHARSET=utf8mb4 COLLATE=utf8mb4_0900_ai_ci COMMENT = '"&amp;$G$9&amp;"_TMP';"</f>
        <v>) ENGINE=InnoDB DEFAULT CHARSET=utf8mb4 COLLATE=utf8mb4_0900_ai_ci COMMENT = '税グループ詳細マスタ_TMP';</v>
      </c>
      <c r="BS32" t="s">
        <v>626</v>
      </c>
      <c r="BU32" t="s">
        <v>626</v>
      </c>
      <c r="BV32" s="97" t="str">
        <f>IF(_xlfn.XLOOKUP(1,$AH:$AH,$R:$R,"",0)="","","A.`"&amp;_xlfn.XLOOKUP(1,$AH:$AH,$R:$R,"",0)&amp;"` = B.`"&amp;_xlfn.XLOOKUP(1,$AH:$AH,$R:$R,"",0)&amp;"`")</f>
        <v>A.`CompanyCode` = B.`CompanyCode`</v>
      </c>
      <c r="BW32" t="s">
        <v>626</v>
      </c>
      <c r="BY32" t="s">
        <v>626</v>
      </c>
      <c r="BZ32" s="97" t="s">
        <v>935</v>
      </c>
      <c r="CA32" t="s">
        <v>626</v>
      </c>
    </row>
    <row r="33" spans="1:79" ht="15" customHeight="1">
      <c r="A33" s="100"/>
      <c r="B33" s="37" t="s">
        <v>49</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4"/>
      <c r="BP33" s="97" t="str">
        <f>") ENGINE=InnoDB DEFAULT CHARSET=utf8mb4 COLLATE=utf8mb4_0900_ai_ci COMMENT = '"&amp;$G$9&amp;"';"</f>
        <v>) ENGINE=InnoDB DEFAULT CHARSET=utf8mb4 COLLATE=utf8mb4_0900_ai_ci COMMENT = '税グループ詳細マスタ';</v>
      </c>
      <c r="BQ33" t="s">
        <v>626</v>
      </c>
      <c r="BS33" t="s">
        <v>626</v>
      </c>
      <c r="BU33" t="s">
        <v>626</v>
      </c>
      <c r="BV33" s="97" t="str">
        <f>IF(_xlfn.XLOOKUP(2,$AH:$AH,$R:$R,"",0)="","","AND A.`"&amp;_xlfn.XLOOKUP(2,$AH:$AH,$R:$R,"",0)&amp;"` = B.`"&amp;_xlfn.XLOOKUP(2,$AH:$AH,$R:$R,"",0)&amp;"`")</f>
        <v>AND A.`StoreCode` = B.`StoreCode`</v>
      </c>
      <c r="BW33" t="s">
        <v>626</v>
      </c>
      <c r="BY33" t="s">
        <v>626</v>
      </c>
      <c r="BZ33" s="97" t="str">
        <f>"FROM `POS_MASTER`.`"&amp;$G$10&amp;"` B"</f>
        <v>FROM `POS_MASTER`.`TaxGroupDetailMaster` B</v>
      </c>
      <c r="CA33" t="s">
        <v>626</v>
      </c>
    </row>
    <row r="34" spans="1:79" ht="15" customHeight="1">
      <c r="A34" s="100"/>
      <c r="B34" s="34" t="s">
        <v>50</v>
      </c>
      <c r="C34" s="35"/>
      <c r="D34" s="34" t="s">
        <v>51</v>
      </c>
      <c r="E34" s="44"/>
      <c r="F34" s="36"/>
      <c r="G34" s="36"/>
      <c r="H34" s="36"/>
      <c r="I34" s="36"/>
      <c r="J34" s="36"/>
      <c r="K34" s="36"/>
      <c r="L34" s="36"/>
      <c r="M34" s="36"/>
      <c r="N34" s="36"/>
      <c r="O34" s="36"/>
      <c r="P34" s="36"/>
      <c r="Q34" s="35"/>
      <c r="R34" s="34" t="s">
        <v>52</v>
      </c>
      <c r="S34" s="44"/>
      <c r="T34" s="36"/>
      <c r="U34" s="36"/>
      <c r="V34" s="36"/>
      <c r="W34" s="36"/>
      <c r="X34" s="36"/>
      <c r="Y34" s="36"/>
      <c r="Z34" s="36"/>
      <c r="AA34" s="36"/>
      <c r="AB34" s="36"/>
      <c r="AC34" s="36"/>
      <c r="AD34" s="36"/>
      <c r="AE34" s="36"/>
      <c r="AF34" s="36"/>
      <c r="AG34" s="36"/>
      <c r="AH34" s="36"/>
      <c r="AI34" s="36"/>
      <c r="AJ34" s="36"/>
      <c r="AK34" s="35"/>
      <c r="AL34" s="34" t="s">
        <v>53</v>
      </c>
      <c r="AM34" s="36"/>
      <c r="AN34" s="36"/>
      <c r="AO34" s="45"/>
      <c r="AP34" s="34" t="s">
        <v>54</v>
      </c>
      <c r="AQ34" s="36"/>
      <c r="AR34" s="36"/>
      <c r="AS34" s="35"/>
      <c r="AT34" s="34" t="s">
        <v>48</v>
      </c>
      <c r="AU34" s="44"/>
      <c r="AV34" s="44"/>
      <c r="AW34" s="36"/>
      <c r="AX34" s="36"/>
      <c r="AY34" s="44"/>
      <c r="AZ34" s="36"/>
      <c r="BA34" s="36"/>
      <c r="BB34" s="36"/>
      <c r="BC34" s="36"/>
      <c r="BD34" s="36"/>
      <c r="BE34" s="36"/>
      <c r="BF34" s="36"/>
      <c r="BG34" s="36"/>
      <c r="BH34" s="36"/>
      <c r="BI34" s="44"/>
      <c r="BJ34" s="35"/>
      <c r="BK34" s="4"/>
      <c r="BP34" s="97"/>
      <c r="BQ34" t="s">
        <v>626</v>
      </c>
      <c r="BS34" t="s">
        <v>626</v>
      </c>
      <c r="BU34" t="s">
        <v>626</v>
      </c>
      <c r="BV34" s="97" t="str">
        <f>IF(_xlfn.XLOOKUP(3,$AH:$AH,$R:$R,"",0)="","","AND A.`"&amp;_xlfn.XLOOKUP(3,$AH:$AH,$R:$R,"",0)&amp;"` = B.`"&amp;_xlfn.XLOOKUP(3,$AH:$AH,$R:$R,"",0)&amp;"`")</f>
        <v>AND A.`TaxGroupDetailCode` = B.`TaxGroupDetailCode`</v>
      </c>
      <c r="BW34" t="s">
        <v>626</v>
      </c>
      <c r="BY34" t="s">
        <v>626</v>
      </c>
      <c r="BZ34" s="97" t="s">
        <v>932</v>
      </c>
      <c r="CA34" t="s">
        <v>626</v>
      </c>
    </row>
    <row r="35" spans="1:79" ht="15" customHeight="1">
      <c r="A35" s="100"/>
      <c r="B35" s="38">
        <v>1</v>
      </c>
      <c r="C35" s="39"/>
      <c r="D35" s="38" t="s">
        <v>55</v>
      </c>
      <c r="E35" s="46"/>
      <c r="F35" s="40"/>
      <c r="G35" s="40"/>
      <c r="H35" s="40"/>
      <c r="I35" s="40"/>
      <c r="J35" s="40"/>
      <c r="K35" s="40"/>
      <c r="L35" s="40"/>
      <c r="M35" s="40"/>
      <c r="N35" s="40"/>
      <c r="O35" s="40"/>
      <c r="P35" s="40"/>
      <c r="Q35" s="39"/>
      <c r="R35"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`CompanyCode`,`StoreCode`,`TaxGroupDetailCode`,`TaxCode`</v>
      </c>
      <c r="S35" s="46"/>
      <c r="T35" s="40"/>
      <c r="U35" s="40"/>
      <c r="V35" s="40"/>
      <c r="W35" s="40"/>
      <c r="X35" s="40"/>
      <c r="Y35" s="40"/>
      <c r="Z35" s="40"/>
      <c r="AA35" s="40"/>
      <c r="AB35" s="40"/>
      <c r="AC35" s="40"/>
      <c r="AD35" s="40"/>
      <c r="AE35" s="40"/>
      <c r="AF35" s="40"/>
      <c r="AG35" s="40"/>
      <c r="AH35" s="40"/>
      <c r="AI35" s="40"/>
      <c r="AJ35" s="40"/>
      <c r="AK35" s="39"/>
      <c r="AL35" s="38" t="s">
        <v>885</v>
      </c>
      <c r="AM35" s="40"/>
      <c r="AN35" s="40"/>
      <c r="AO35" s="47"/>
      <c r="AP35" s="38" t="s">
        <v>885</v>
      </c>
      <c r="AQ35" s="40"/>
      <c r="AR35" s="40"/>
      <c r="AS35" s="39"/>
      <c r="AT35" s="38"/>
      <c r="AU35" s="46"/>
      <c r="AV35" s="46"/>
      <c r="AW35" s="40"/>
      <c r="AX35" s="40"/>
      <c r="AY35" s="46"/>
      <c r="AZ35" s="40"/>
      <c r="BA35" s="40"/>
      <c r="BB35" s="40"/>
      <c r="BC35" s="40"/>
      <c r="BD35" s="40"/>
      <c r="BE35" s="40"/>
      <c r="BF35" s="40"/>
      <c r="BG35" s="40"/>
      <c r="BH35" s="40"/>
      <c r="BI35" s="46"/>
      <c r="BJ35" s="39"/>
      <c r="BK35" s="4"/>
      <c r="BP35" s="97" t="str">
        <f>"CREATE TRIGGER `"&amp;$G$10&amp;"_CR_Date_Time` BEFORE INSERT ON `"&amp;$G$10&amp;"` FOR EACH ROW SET NEW.record_create_date = CURRENT_DATE, NEW.record_create_time = CURRENT_TIME, NEW.record_update_date = CURRENT_DATE, NEW.record_update_time = CURRENT_TIME;"</f>
        <v>CREATE TRIGGER `TaxGroupDetailMaster_CR_Date_Time` BEFORE INSERT ON `TaxGroupDetailMaster` FOR EACH ROW SET NEW.record_create_date = CURRENT_DATE, NEW.record_create_time = CURRENT_TIME, NEW.record_update_date = CURRENT_DATE, NEW.record_update_time = CURRENT_TIME;</v>
      </c>
      <c r="BQ35" t="s">
        <v>626</v>
      </c>
      <c r="BS35" t="s">
        <v>626</v>
      </c>
      <c r="BU35" t="s">
        <v>626</v>
      </c>
      <c r="BV35" s="97" t="str">
        <f>IF(_xlfn.XLOOKUP(4,$AH:$AH,$R:$R,"",0)="","","AND A.`"&amp;_xlfn.XLOOKUP(4,$AH:$AH,$R:$R,"",0)&amp;"` = B.`"&amp;_xlfn.XLOOKUP(4,$AH:$AH,$R:$R,"",0)&amp;"`")</f>
        <v>AND A.`TaxCode` = B.`TaxCode`</v>
      </c>
      <c r="BW35" t="s">
        <v>626</v>
      </c>
      <c r="BY35" t="s">
        <v>626</v>
      </c>
      <c r="BZ35" s="97" t="str">
        <f>IF(_xlfn.XLOOKUP(1,$AH:$AH,$R:$R,"",0)="","","A.`"&amp;_xlfn.XLOOKUP(1,$AH:$AH,$R:$R,"",0)&amp;"` = B.`"&amp;_xlfn.XLOOKUP(1,$AH:$AH,$R:$R,"",0)&amp;"`")</f>
        <v>A.`CompanyCode` = B.`CompanyCode`</v>
      </c>
      <c r="CA35" t="s">
        <v>626</v>
      </c>
    </row>
    <row r="36" spans="1:79" ht="15" customHeight="1">
      <c r="A36" s="100"/>
      <c r="BK36" s="4"/>
      <c r="BP36" s="97" t="str">
        <f>"CREATE TRIGGER `"&amp;$G$10&amp;"_UP_Date_Time` BEFORE UPDATE ON `"&amp;$G$10&amp;"` FOR EACH ROW SET NEW.record_update_date = CURRENT_DATE, NEW.record_update_time = CURRENT_TIME;"</f>
        <v>CREATE TRIGGER `TaxGroupDetailMaster_UP_Date_Time` BEFORE UPDATE ON `TaxGroupDetailMaster` FOR EACH ROW SET NEW.record_update_date = CURRENT_DATE, NEW.record_update_time = CURRENT_TIME;</v>
      </c>
      <c r="BQ36" t="s">
        <v>626</v>
      </c>
      <c r="BS36" t="s">
        <v>626</v>
      </c>
      <c r="BU36" t="s">
        <v>626</v>
      </c>
      <c r="BV36" s="97" t="str">
        <f>IF(_xlfn.XLOOKUP(5,$AH:$AH,$R:$R,"",0)="","","AND A.`"&amp;_xlfn.XLOOKUP(5,$AH:$AH,$R:$R,"",0)&amp;"` = B.`"&amp;_xlfn.XLOOKUP(5,$AH:$AH,$R:$R,"",0)&amp;"`")</f>
        <v/>
      </c>
      <c r="BW36" t="s">
        <v>626</v>
      </c>
      <c r="BY36" t="s">
        <v>626</v>
      </c>
      <c r="BZ36" s="97" t="str">
        <f>IF(_xlfn.XLOOKUP(2,$AH:$AH,$R:$R,"",0)="","","AND A.`"&amp;_xlfn.XLOOKUP(2,$AH:$AH,$R:$R,"",0)&amp;"` = B.`"&amp;_xlfn.XLOOKUP(2,$AH:$AH,$R:$R,"",0)&amp;"`")</f>
        <v>AND A.`StoreCode` = B.`StoreCode`</v>
      </c>
      <c r="CA36" t="s">
        <v>626</v>
      </c>
    </row>
    <row r="37" spans="1:79" ht="15" customHeight="1">
      <c r="A37" s="100"/>
      <c r="BK37" s="4"/>
      <c r="BQ37" t="s">
        <v>626</v>
      </c>
      <c r="BS37" t="s">
        <v>626</v>
      </c>
      <c r="BU37" t="s">
        <v>626</v>
      </c>
      <c r="BV37" s="97" t="str">
        <f>IF(_xlfn.XLOOKUP(6,$AH:$AH,$R:$R,"",0)="","","AND A.`"&amp;_xlfn.XLOOKUP(6,$AH:$AH,$R:$R,"",0)&amp;"` = B.`"&amp;_xlfn.XLOOKUP(6,$AH:$AH,$R:$R,"",0)&amp;"`")</f>
        <v/>
      </c>
      <c r="BW37" t="s">
        <v>626</v>
      </c>
      <c r="BY37" t="s">
        <v>626</v>
      </c>
      <c r="BZ37" s="97" t="str">
        <f>IF(_xlfn.XLOOKUP(3,$AH:$AH,$R:$R,"",0)="","","AND A.`"&amp;_xlfn.XLOOKUP(3,$AH:$AH,$R:$R,"",0)&amp;"` = B.`"&amp;_xlfn.XLOOKUP(3,$AH:$AH,$R:$R,"",0)&amp;"`")</f>
        <v>AND A.`TaxGroupDetailCode` = B.`TaxGroupDetailCode`</v>
      </c>
      <c r="CA37" t="s">
        <v>626</v>
      </c>
    </row>
    <row r="38" spans="1:79">
      <c r="A38" s="100"/>
      <c r="B38" s="37" t="s">
        <v>34</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4"/>
      <c r="BQ38" t="s">
        <v>626</v>
      </c>
      <c r="BS38" t="s">
        <v>626</v>
      </c>
      <c r="BU38" t="s">
        <v>626</v>
      </c>
      <c r="BV38" s="97" t="str">
        <f>IF(_xlfn.XLOOKUP(7,$AH:$AH,$R:$R,"",0)="","","AND A.`"&amp;_xlfn.XLOOKUP(7,$AH:$AH,$R:$R,"",0)&amp;"` = B.`"&amp;_xlfn.XLOOKUP(7,$AH:$AH,$R:$R,"",0)&amp;"`")</f>
        <v/>
      </c>
      <c r="BW38" t="s">
        <v>626</v>
      </c>
      <c r="BY38" t="s">
        <v>626</v>
      </c>
      <c r="BZ38" s="97" t="str">
        <f>IF(_xlfn.XLOOKUP(4,$AH:$AH,$R:$R,"",0)="","","AND A.`"&amp;_xlfn.XLOOKUP(4,$AH:$AH,$R:$R,"",0)&amp;"` = B.`"&amp;_xlfn.XLOOKUP(4,$AH:$AH,$R:$R,"",0)&amp;"`")</f>
        <v>AND A.`TaxCode` = B.`TaxCode`</v>
      </c>
      <c r="CA38" t="s">
        <v>626</v>
      </c>
    </row>
    <row r="39" spans="1:79">
      <c r="A39" s="100"/>
      <c r="B39" s="34" t="s">
        <v>35</v>
      </c>
      <c r="C39" s="45"/>
      <c r="D39" s="34" t="s">
        <v>36</v>
      </c>
      <c r="E39" s="44"/>
      <c r="F39" s="44"/>
      <c r="G39" s="44"/>
      <c r="H39" s="44"/>
      <c r="I39" s="44"/>
      <c r="J39" s="44"/>
      <c r="K39" s="44"/>
      <c r="L39" s="36"/>
      <c r="M39" s="36"/>
      <c r="N39" s="36"/>
      <c r="O39" s="36"/>
      <c r="P39" s="36"/>
      <c r="Q39" s="35"/>
      <c r="R39" s="34" t="s">
        <v>37</v>
      </c>
      <c r="S39" s="36"/>
      <c r="T39" s="45"/>
      <c r="U39" s="34" t="s">
        <v>38</v>
      </c>
      <c r="V39" s="36"/>
      <c r="W39" s="44"/>
      <c r="X39" s="45"/>
      <c r="Y39" s="34" t="s">
        <v>39</v>
      </c>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5"/>
      <c r="BK39" s="4"/>
      <c r="BQ39" t="s">
        <v>626</v>
      </c>
      <c r="BS39" t="s">
        <v>626</v>
      </c>
      <c r="BU39" t="s">
        <v>626</v>
      </c>
      <c r="BV39" s="97" t="str">
        <f>IF(_xlfn.XLOOKUP(8,$AH:$AH,$R:$R,"",0)="","","AND A.`"&amp;_xlfn.XLOOKUP(8,$AH:$AH,$R:$R,"",0)&amp;"` = B.`"&amp;_xlfn.XLOOKUP(8,$AH:$AH,$R:$R,"",0)&amp;"`")</f>
        <v/>
      </c>
      <c r="BW39" t="s">
        <v>626</v>
      </c>
      <c r="BY39" t="s">
        <v>626</v>
      </c>
      <c r="BZ39" s="97" t="str">
        <f>IF(_xlfn.XLOOKUP(5,$AH:$AH,$R:$R,"",0)="","","AND A.`"&amp;_xlfn.XLOOKUP(5,$AH:$AH,$R:$R,"",0)&amp;"` = B.`"&amp;_xlfn.XLOOKUP(5,$AH:$AH,$R:$R,"",0)&amp;"`")</f>
        <v/>
      </c>
      <c r="CA39" t="s">
        <v>626</v>
      </c>
    </row>
    <row r="40" spans="1:79">
      <c r="A40" s="100"/>
      <c r="B40" s="41">
        <v>1</v>
      </c>
      <c r="C40" s="47"/>
      <c r="D40" s="41" t="str">
        <f>G10&amp;"_"&amp;R40&amp;"_"&amp;"trg"</f>
        <v>TaxGroupDetailMaster_update_trg</v>
      </c>
      <c r="E40" s="46"/>
      <c r="F40" s="46"/>
      <c r="G40" s="46"/>
      <c r="H40" s="46"/>
      <c r="I40" s="46"/>
      <c r="J40" s="46"/>
      <c r="K40" s="46"/>
      <c r="L40" s="42"/>
      <c r="M40" s="42"/>
      <c r="N40" s="42"/>
      <c r="O40" s="42"/>
      <c r="P40" s="42"/>
      <c r="Q40" s="43"/>
      <c r="R40" s="41" t="s">
        <v>40</v>
      </c>
      <c r="S40" s="42"/>
      <c r="T40" s="47"/>
      <c r="U40" s="41" t="s">
        <v>41</v>
      </c>
      <c r="V40" s="42"/>
      <c r="W40" s="46"/>
      <c r="X40" s="47"/>
      <c r="Y40" s="41" t="s">
        <v>42</v>
      </c>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3"/>
      <c r="BK40" s="4"/>
      <c r="BQ40" t="s">
        <v>626</v>
      </c>
      <c r="BS40" t="s">
        <v>626</v>
      </c>
      <c r="BU40" t="s">
        <v>626</v>
      </c>
      <c r="BV40" s="97" t="s">
        <v>936</v>
      </c>
      <c r="BW40" t="s">
        <v>626</v>
      </c>
      <c r="BY40" t="s">
        <v>626</v>
      </c>
      <c r="BZ40" s="97" t="str">
        <f>IF(_xlfn.XLOOKUP(6,$AH:$AH,$R:$R,"",0)="","","AND A.`"&amp;_xlfn.XLOOKUP(6,$AH:$AH,$R:$R,"",0)&amp;"` = B.`"&amp;_xlfn.XLOOKUP(6,$AH:$AH,$R:$R,"",0)&amp;"`")</f>
        <v/>
      </c>
      <c r="CA40" t="s">
        <v>626</v>
      </c>
    </row>
    <row r="41" spans="1:79">
      <c r="A41" s="100"/>
      <c r="BK41" s="4"/>
      <c r="BQ41" t="s">
        <v>626</v>
      </c>
      <c r="BS41" t="s">
        <v>626</v>
      </c>
      <c r="BU41" t="s">
        <v>626</v>
      </c>
      <c r="BW41" t="s">
        <v>626</v>
      </c>
      <c r="BY41" t="s">
        <v>626</v>
      </c>
      <c r="BZ41" s="97" t="str">
        <f>IF(_xlfn.XLOOKUP(7,$AH:$AH,$R:$R,"",0)="","","AND A.`"&amp;_xlfn.XLOOKUP(7,$AH:$AH,$R:$R,"",0)&amp;"` = B.`"&amp;_xlfn.XLOOKUP(7,$AH:$AH,$R:$R,"",0)&amp;"`")</f>
        <v/>
      </c>
      <c r="CA41" t="s">
        <v>626</v>
      </c>
    </row>
    <row r="42" spans="1:79">
      <c r="A42" s="100"/>
      <c r="BK42" s="4"/>
      <c r="BQ42" t="s">
        <v>626</v>
      </c>
      <c r="BS42" t="s">
        <v>626</v>
      </c>
      <c r="BU42" t="s">
        <v>626</v>
      </c>
      <c r="BW42" t="s">
        <v>626</v>
      </c>
      <c r="BY42" t="s">
        <v>626</v>
      </c>
      <c r="BZ42" s="97" t="str">
        <f>IF(_xlfn.XLOOKUP(8,$AH:$AH,$R:$R,"",0)="","","AND A.`"&amp;_xlfn.XLOOKUP(8,$AH:$AH,$R:$R,"",0)&amp;"` = B.`"&amp;_xlfn.XLOOKUP(8,$AH:$AH,$R:$R,"",0)&amp;"`")</f>
        <v/>
      </c>
      <c r="CA42" t="s">
        <v>626</v>
      </c>
    </row>
    <row r="43" spans="1:79">
      <c r="A43" s="100"/>
      <c r="BK43" s="4"/>
      <c r="BQ43" t="s">
        <v>626</v>
      </c>
      <c r="BS43" t="s">
        <v>626</v>
      </c>
      <c r="BU43" t="s">
        <v>626</v>
      </c>
      <c r="BW43" t="s">
        <v>626</v>
      </c>
      <c r="BY43" t="s">
        <v>626</v>
      </c>
      <c r="BZ43" s="97" t="s">
        <v>929</v>
      </c>
      <c r="CA43" t="s">
        <v>626</v>
      </c>
    </row>
    <row r="44" spans="1:79">
      <c r="A44" s="100"/>
      <c r="BK44" s="4"/>
      <c r="BQ44" t="s">
        <v>626</v>
      </c>
      <c r="BS44" t="s">
        <v>626</v>
      </c>
      <c r="BU44" t="s">
        <v>626</v>
      </c>
      <c r="BW44" t="s">
        <v>626</v>
      </c>
      <c r="BY44" t="s">
        <v>626</v>
      </c>
      <c r="CA44" t="s">
        <v>626</v>
      </c>
    </row>
    <row r="45" spans="1:79">
      <c r="A45" s="100"/>
      <c r="BK45" s="4"/>
      <c r="BQ45" t="s">
        <v>626</v>
      </c>
      <c r="BS45" t="s">
        <v>626</v>
      </c>
      <c r="BU45" t="s">
        <v>626</v>
      </c>
      <c r="BW45" t="s">
        <v>626</v>
      </c>
      <c r="BY45" t="s">
        <v>626</v>
      </c>
      <c r="BZ45" s="98"/>
      <c r="CA45" t="s">
        <v>626</v>
      </c>
    </row>
    <row r="46" spans="1:79">
      <c r="A46" s="100"/>
      <c r="BK46" s="4"/>
      <c r="BQ46" t="s">
        <v>626</v>
      </c>
      <c r="BS46" t="s">
        <v>626</v>
      </c>
      <c r="BU46" t="s">
        <v>626</v>
      </c>
      <c r="BW46" t="s">
        <v>626</v>
      </c>
      <c r="BY46" t="s">
        <v>626</v>
      </c>
      <c r="BZ46" t="str">
        <f>"DROP TABLE IF EXISTS `TMP`.`"&amp;$G$10&amp;"`;"</f>
        <v>DROP TABLE IF EXISTS `TMP`.`TaxGroupDetailMaster`;</v>
      </c>
      <c r="CA46" t="s">
        <v>626</v>
      </c>
    </row>
    <row r="47" spans="1:79">
      <c r="A47" s="100"/>
      <c r="BK47" s="4"/>
      <c r="BQ47" t="s">
        <v>626</v>
      </c>
      <c r="BS47" t="s">
        <v>626</v>
      </c>
      <c r="BU47" t="s">
        <v>626</v>
      </c>
      <c r="BW47" t="s">
        <v>626</v>
      </c>
      <c r="BY47" t="s">
        <v>626</v>
      </c>
      <c r="BZ47" t="s">
        <v>937</v>
      </c>
      <c r="CA47" t="s">
        <v>626</v>
      </c>
    </row>
    <row r="48" spans="1:79">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11743-BDBB-48A2-8861-C58B465D2DDE}">
  <dimension ref="A1:CA62"/>
  <sheetViews>
    <sheetView view="pageBreakPreview" topLeftCell="A26" zoomScale="80" zoomScaleNormal="75" zoomScaleSheetLayoutView="80" workbookViewId="0">
      <selection activeCell="BZ46" sqref="BZ46:BZ47"/>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723</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724</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`POS_MASTER`.`TaxGroupMaster`;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`POS_MASTER`.`TaxGroupMaster`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2"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'C:/04_DATAFILE/TaxGroupMaster/TMP/TaxGroupMaster.CSV' </v>
      </c>
      <c r="BU24" t="s">
        <v>626</v>
      </c>
      <c r="BV24" s="97" t="str">
        <f>"UPDATE `POS_MASTER`.`"&amp;$G$10&amp;"` A,`TMP`.`"&amp;$G$10&amp;"` B"</f>
        <v>UPDATE `POS_MASTER`.`TaxGroupMaster` A,`TMP`.`TaxGroupMaster`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`TMP`.`TaxGroupMaster`;</v>
      </c>
      <c r="BS25" t="s">
        <v>626</v>
      </c>
      <c r="BT25" s="97" t="str">
        <f>"REPLACE INTO TABLE TMP.`"&amp;$G$10&amp;"` CHARACTER SET 'UTF8'"</f>
        <v>REPLACE INTO TABLE TMP.`TaxGroupMaster`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`TMP`.`TaxGroupMaster`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v>
      </c>
      <c r="BU26" t="s">
        <v>626</v>
      </c>
      <c r="BV26" s="97"/>
      <c r="BW26" t="s">
        <v>626</v>
      </c>
      <c r="BX26" s="97" t="str">
        <f>"INSERT INTO `POS_MASTER`.`"&amp;$G$10&amp;"` ("</f>
        <v>INSERT INTO `POS_MASTER`.`TaxGroupMaster`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2"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",A.`"&amp;R28&amp;"` = B.`"&amp;R28&amp;"`"</f>
        <v>,A.`StoreCode` = B.`StoreCode`</v>
      </c>
      <c r="BW28" t="s">
        <v>626</v>
      </c>
      <c r="BX28" s="97" t="str">
        <f>",`"&amp;R28&amp;"`"</f>
        <v>,`StoreCode`</v>
      </c>
      <c r="BY28" t="s">
        <v>626</v>
      </c>
      <c r="BZ28" s="97" t="str">
        <f t="shared" ref="BZ28:BZ32" si="2">",`"&amp;R28&amp;"`"</f>
        <v>,`StoreCode`</v>
      </c>
      <c r="CA28" t="s">
        <v>626</v>
      </c>
    </row>
    <row r="29" spans="1:79" ht="15" customHeight="1">
      <c r="A29" s="100" t="s">
        <v>966</v>
      </c>
      <c r="B29" s="23">
        <f t="shared" si="0"/>
        <v>9</v>
      </c>
      <c r="C29" s="24"/>
      <c r="D29" s="22" t="s">
        <v>381</v>
      </c>
      <c r="E29" s="25"/>
      <c r="F29" s="25"/>
      <c r="G29" s="25"/>
      <c r="H29" s="25"/>
      <c r="I29" s="25"/>
      <c r="J29" s="25"/>
      <c r="K29" s="25"/>
      <c r="L29" s="25"/>
      <c r="M29" s="25"/>
      <c r="N29" s="25"/>
      <c r="O29" s="25"/>
      <c r="P29" s="25"/>
      <c r="Q29" s="26"/>
      <c r="R29" s="22" t="s">
        <v>728</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,`TaxGroupCode` varchar(2) NOT NULL COMMENT '税グループコード'</v>
      </c>
      <c r="BQ29" t="s">
        <v>626</v>
      </c>
      <c r="BR29" t="str">
        <f t="shared" ref="BR29:BR32" si="3">",`"&amp;R29&amp;"` "&amp;AC29&amp;" "&amp;IF(AJ29="Y","NOT NULL","")</f>
        <v>,`TaxGroupCode` varchar(2) NOT NULL</v>
      </c>
      <c r="BS29" t="s">
        <v>626</v>
      </c>
      <c r="BT29" t="str">
        <f t="shared" ref="BT29:BT32" si="4">",`"&amp;R29&amp;"` = "&amp;IF(LEFT(AC29,4)="date", "if(@"&amp;B29-5&amp;" &gt; '0000-00-00 00:00:00', if(@"&amp;B29-5&amp;" &gt; '2999-12-31 23:59:59', '2999-12-31 23:59:59', @"&amp;B29-5&amp;"), null)","if(nullif( @"&amp;B29-5&amp;",'') &gt; '', @"&amp;B29-5&amp;", null )")</f>
        <v>,`TaxGroupCode` = if(nullif( @4,'') &gt; '', @4, null )</v>
      </c>
      <c r="BU29" t="s">
        <v>626</v>
      </c>
      <c r="BV29" s="97" t="str">
        <f>",A.`"&amp;R29&amp;"` = B.`"&amp;R29&amp;"`"</f>
        <v>,A.`TaxGroupCode` = B.`TaxGroupCode`</v>
      </c>
      <c r="BW29" t="s">
        <v>626</v>
      </c>
      <c r="BX29" s="97" t="str">
        <f>",`"&amp;R29&amp;"`"</f>
        <v>,`TaxGroupCode`</v>
      </c>
      <c r="BY29" t="s">
        <v>626</v>
      </c>
      <c r="BZ29" s="97" t="str">
        <f t="shared" si="2"/>
        <v>,`TaxGroupCode`</v>
      </c>
      <c r="CA29" t="s">
        <v>626</v>
      </c>
    </row>
    <row r="30" spans="1:79" ht="15" customHeight="1">
      <c r="A30" s="100" t="s">
        <v>967</v>
      </c>
      <c r="B30" s="23">
        <f t="shared" si="0"/>
        <v>10</v>
      </c>
      <c r="C30" s="24"/>
      <c r="D30" s="22" t="s">
        <v>725</v>
      </c>
      <c r="E30" s="25"/>
      <c r="F30" s="25"/>
      <c r="G30" s="25"/>
      <c r="H30" s="25"/>
      <c r="I30" s="25"/>
      <c r="J30" s="25"/>
      <c r="K30" s="25"/>
      <c r="L30" s="25"/>
      <c r="M30" s="25"/>
      <c r="N30" s="25"/>
      <c r="O30" s="25"/>
      <c r="P30" s="25"/>
      <c r="Q30" s="26"/>
      <c r="R30" s="22" t="s">
        <v>729</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date</v>
      </c>
      <c r="AD30" s="25"/>
      <c r="AE30" s="25"/>
      <c r="AF30" s="25"/>
      <c r="AG30" s="26"/>
      <c r="AH30" s="22">
        <v>4</v>
      </c>
      <c r="AI30" s="26"/>
      <c r="AJ30" s="22" t="s">
        <v>885</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
        <v>436</v>
      </c>
      <c r="BP30" t="str">
        <f t="shared" si="1"/>
        <v>,`StartDate` date NOT NULL COMMENT '税提供開始日'</v>
      </c>
      <c r="BQ30" t="s">
        <v>626</v>
      </c>
      <c r="BR30" t="str">
        <f t="shared" si="3"/>
        <v>,`StartDate` date NOT NULL</v>
      </c>
      <c r="BS30" t="s">
        <v>626</v>
      </c>
      <c r="BT30" t="str">
        <f t="shared" si="4"/>
        <v>,`StartDate` = if(@5 &gt; '0000-00-00 00:00:00', if(@5 &gt; '2999-12-31 23:59:59', '2999-12-31 23:59:59', @5), null)</v>
      </c>
      <c r="BU30" t="s">
        <v>626</v>
      </c>
      <c r="BV30" s="97" t="str">
        <f>",A.`"&amp;R30&amp;"` = B.`"&amp;R30&amp;"`"</f>
        <v>,A.`StartDate` = B.`StartDate`</v>
      </c>
      <c r="BW30" t="s">
        <v>626</v>
      </c>
      <c r="BX30" s="97" t="str">
        <f>",`"&amp;R30&amp;"`"</f>
        <v>,`StartDate`</v>
      </c>
      <c r="BY30" t="s">
        <v>626</v>
      </c>
      <c r="BZ30" s="97" t="str">
        <f t="shared" si="2"/>
        <v>,`StartDate`</v>
      </c>
      <c r="CA30" t="s">
        <v>626</v>
      </c>
    </row>
    <row r="31" spans="1:79" ht="15" customHeight="1">
      <c r="A31" s="100" t="s">
        <v>968</v>
      </c>
      <c r="B31" s="23">
        <f t="shared" si="0"/>
        <v>11</v>
      </c>
      <c r="C31" s="24"/>
      <c r="D31" s="22" t="s">
        <v>712</v>
      </c>
      <c r="E31" s="25"/>
      <c r="F31" s="25"/>
      <c r="G31" s="25"/>
      <c r="H31" s="25"/>
      <c r="I31" s="25"/>
      <c r="J31" s="25"/>
      <c r="K31" s="25"/>
      <c r="L31" s="25"/>
      <c r="M31" s="25"/>
      <c r="N31" s="25"/>
      <c r="O31" s="25"/>
      <c r="P31" s="25"/>
      <c r="Q31" s="26"/>
      <c r="R31" s="22" t="s">
        <v>407</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varchar(50)</v>
      </c>
      <c r="AD31" s="25"/>
      <c r="AE31" s="25"/>
      <c r="AF31" s="25"/>
      <c r="AG31" s="26"/>
      <c r="AH31" s="22"/>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888</v>
      </c>
      <c r="BN31">
        <v>50</v>
      </c>
      <c r="BP31" t="str">
        <f t="shared" si="1"/>
        <v>,`Description` varchar(50) NOT NULL COMMENT '説明'</v>
      </c>
      <c r="BQ31" t="s">
        <v>626</v>
      </c>
      <c r="BR31" t="str">
        <f t="shared" si="3"/>
        <v>,`Description` varchar(50) NOT NULL</v>
      </c>
      <c r="BS31" t="s">
        <v>626</v>
      </c>
      <c r="BT31" t="str">
        <f t="shared" si="4"/>
        <v>,`Description` = if(nullif( @6,'') &gt; '', @6, null )</v>
      </c>
      <c r="BU31" t="s">
        <v>626</v>
      </c>
      <c r="BV31" s="97" t="str">
        <f>",A.`"&amp;R31&amp;"` = B.`"&amp;R31&amp;"`"</f>
        <v>,A.`Description` = B.`Description`</v>
      </c>
      <c r="BW31" t="s">
        <v>626</v>
      </c>
      <c r="BX31" s="97" t="str">
        <f>",`"&amp;R31&amp;"`"</f>
        <v>,`Description`</v>
      </c>
      <c r="BY31" t="s">
        <v>626</v>
      </c>
      <c r="BZ31" s="97" t="str">
        <f t="shared" si="2"/>
        <v>,`Description`</v>
      </c>
      <c r="CA31" t="s">
        <v>626</v>
      </c>
    </row>
    <row r="32" spans="1:79" ht="15" customHeight="1">
      <c r="A32" s="100" t="s">
        <v>969</v>
      </c>
      <c r="B32" s="28">
        <f t="shared" si="0"/>
        <v>12</v>
      </c>
      <c r="C32" s="29"/>
      <c r="D32" s="30" t="s">
        <v>726</v>
      </c>
      <c r="E32" s="31"/>
      <c r="F32" s="31"/>
      <c r="G32" s="31"/>
      <c r="H32" s="31"/>
      <c r="I32" s="31"/>
      <c r="J32" s="31"/>
      <c r="K32" s="31"/>
      <c r="L32" s="31"/>
      <c r="M32" s="31"/>
      <c r="N32" s="31"/>
      <c r="O32" s="31"/>
      <c r="P32" s="31"/>
      <c r="Q32" s="32"/>
      <c r="R32" s="30" t="s">
        <v>721</v>
      </c>
      <c r="S32" s="31"/>
      <c r="T32" s="31"/>
      <c r="U32" s="31"/>
      <c r="V32" s="31"/>
      <c r="W32" s="31"/>
      <c r="X32" s="31"/>
      <c r="Y32" s="31"/>
      <c r="Z32" s="31"/>
      <c r="AA32" s="31"/>
      <c r="AB32" s="32"/>
      <c r="AC32" s="30" t="str" cm="1">
        <f t="array" ref="AC32">_xlfn.SWITCH(BM32,"nvarchar","varchar("&amp;BN32&amp;")","smallint","smallint","date","date","money","decimal(19,4)","numeric","numeric("&amp;BN32&amp;")","int","int","bit","char(1)","datetime2","datetime","time","time")</f>
        <v>varchar(2)</v>
      </c>
      <c r="AD32" s="31"/>
      <c r="AE32" s="31"/>
      <c r="AF32" s="31"/>
      <c r="AG32" s="32"/>
      <c r="AH32" s="30"/>
      <c r="AI32" s="32"/>
      <c r="AJ32" s="30" t="s">
        <v>885</v>
      </c>
      <c r="AK32" s="31"/>
      <c r="AL32" s="32"/>
      <c r="AM32" s="30"/>
      <c r="AN32" s="31"/>
      <c r="AO32" s="31"/>
      <c r="AP32" s="31"/>
      <c r="AQ32" s="31"/>
      <c r="AR32" s="31"/>
      <c r="AS32" s="32"/>
      <c r="AT32" s="30"/>
      <c r="AU32" s="31"/>
      <c r="AV32" s="31"/>
      <c r="AW32" s="31"/>
      <c r="AX32" s="31"/>
      <c r="AY32" s="31"/>
      <c r="AZ32" s="31"/>
      <c r="BA32" s="31"/>
      <c r="BB32" s="31"/>
      <c r="BC32" s="31"/>
      <c r="BD32" s="31"/>
      <c r="BE32" s="31"/>
      <c r="BF32" s="31"/>
      <c r="BG32" s="31"/>
      <c r="BH32" s="31"/>
      <c r="BI32" s="31"/>
      <c r="BJ32" s="32"/>
      <c r="BK32" s="4"/>
      <c r="BM32" t="s">
        <v>888</v>
      </c>
      <c r="BN32">
        <v>2</v>
      </c>
      <c r="BP32" t="str">
        <f t="shared" si="1"/>
        <v>,`TaxGroupDetailCode` varchar(2) NOT NULL COMMENT '税グループ詳細コード'</v>
      </c>
      <c r="BQ32" t="s">
        <v>626</v>
      </c>
      <c r="BR32" t="str">
        <f t="shared" si="3"/>
        <v>,`TaxGroupDetailCode` varchar(2) NOT NULL</v>
      </c>
      <c r="BS32" t="s">
        <v>626</v>
      </c>
      <c r="BT32" t="str">
        <f t="shared" si="4"/>
        <v>,`TaxGroupDetailCode` = if(nullif( @7,'') &gt; '', @7, null )</v>
      </c>
      <c r="BU32" t="s">
        <v>626</v>
      </c>
      <c r="BV32" s="97" t="str">
        <f>",A.`"&amp;R32&amp;"` = B.`"&amp;R32&amp;"`"</f>
        <v>,A.`TaxGroupDetailCode` = B.`TaxGroupDetailCode`</v>
      </c>
      <c r="BW32" t="s">
        <v>626</v>
      </c>
      <c r="BX32" s="97" t="str">
        <f>",`"&amp;R32&amp;"`"</f>
        <v>,`TaxGroupDetailCode`</v>
      </c>
      <c r="BY32" t="s">
        <v>626</v>
      </c>
      <c r="BZ32" s="97" t="str">
        <f t="shared" si="2"/>
        <v>,`TaxGroupDetailCode`</v>
      </c>
      <c r="CA32" t="s">
        <v>626</v>
      </c>
    </row>
    <row r="33" spans="1:79" ht="15" customHeight="1">
      <c r="A33" s="100"/>
      <c r="BK33" s="4"/>
      <c r="BP3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(`CompanyCode`,`StoreCode`,`TaxGroupCode`,`StartDate`),</v>
      </c>
      <c r="BQ33" t="s">
        <v>626</v>
      </c>
      <c r="BR3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(`CompanyCode`,`StoreCode`,`TaxGroupCode`,`StartDate`)</v>
      </c>
      <c r="BS33" t="s">
        <v>626</v>
      </c>
      <c r="BT33" s="97" t="s">
        <v>936</v>
      </c>
      <c r="BU33" t="s">
        <v>626</v>
      </c>
      <c r="BV33" s="97" t="s">
        <v>934</v>
      </c>
      <c r="BW33" t="s">
        <v>626</v>
      </c>
      <c r="BY33" t="s">
        <v>626</v>
      </c>
      <c r="BZ33" s="97" t="str">
        <f>"FROM `TMP`.`"&amp;$G$10&amp;"` A"</f>
        <v>FROM `TMP`.`TaxGroupMaster` A</v>
      </c>
      <c r="CA33" t="s">
        <v>626</v>
      </c>
    </row>
    <row r="34" spans="1:79" ht="15" customHeight="1">
      <c r="A34" s="100"/>
      <c r="BK34" s="4"/>
      <c r="BP34" s="97" t="s">
        <v>452</v>
      </c>
      <c r="BQ34" t="s">
        <v>626</v>
      </c>
      <c r="BR34" s="97" t="str">
        <f>") ENGINE=InnoDB DEFAULT CHARSET=utf8mb4 COLLATE=utf8mb4_0900_ai_ci COMMENT = '"&amp;$G$9&amp;"_TMP';"</f>
        <v>) ENGINE=InnoDB DEFAULT CHARSET=utf8mb4 COLLATE=utf8mb4_0900_ai_ci COMMENT = '税グループマスタ_TMP';</v>
      </c>
      <c r="BS34" t="s">
        <v>626</v>
      </c>
      <c r="BU34" t="s">
        <v>626</v>
      </c>
      <c r="BV34" s="97" t="str">
        <f>IF(_xlfn.XLOOKUP(1,$AH:$AH,$R:$R,"",0)="","","A.`"&amp;_xlfn.XLOOKUP(1,$AH:$AH,$R:$R,"",0)&amp;"` = B.`"&amp;_xlfn.XLOOKUP(1,$AH:$AH,$R:$R,"",0)&amp;"`")</f>
        <v>A.`CompanyCode` = B.`CompanyCode`</v>
      </c>
      <c r="BW34" t="s">
        <v>626</v>
      </c>
      <c r="BY34" t="s">
        <v>626</v>
      </c>
      <c r="BZ34" s="97" t="s">
        <v>935</v>
      </c>
      <c r="CA34" t="s">
        <v>626</v>
      </c>
    </row>
    <row r="35" spans="1:79" ht="15" customHeight="1">
      <c r="A35" s="100"/>
      <c r="B35" s="37" t="s">
        <v>49</v>
      </c>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4"/>
      <c r="BP35" s="97" t="str">
        <f>") ENGINE=InnoDB DEFAULT CHARSET=utf8mb4 COLLATE=utf8mb4_0900_ai_ci COMMENT = '"&amp;$G$9&amp;"';"</f>
        <v>) ENGINE=InnoDB DEFAULT CHARSET=utf8mb4 COLLATE=utf8mb4_0900_ai_ci COMMENT = '税グループマスタ';</v>
      </c>
      <c r="BQ35" t="s">
        <v>626</v>
      </c>
      <c r="BS35" t="s">
        <v>626</v>
      </c>
      <c r="BU35" t="s">
        <v>626</v>
      </c>
      <c r="BV35" s="97" t="str">
        <f>IF(_xlfn.XLOOKUP(2,$AH:$AH,$R:$R,"",0)="","","AND A.`"&amp;_xlfn.XLOOKUP(2,$AH:$AH,$R:$R,"",0)&amp;"` = B.`"&amp;_xlfn.XLOOKUP(2,$AH:$AH,$R:$R,"",0)&amp;"`")</f>
        <v>AND A.`StoreCode` = B.`StoreCode`</v>
      </c>
      <c r="BW35" t="s">
        <v>626</v>
      </c>
      <c r="BY35" t="s">
        <v>626</v>
      </c>
      <c r="BZ35" s="97" t="str">
        <f>"FROM `POS_MASTER`.`"&amp;$G$10&amp;"` B"</f>
        <v>FROM `POS_MASTER`.`TaxGroupMaster` B</v>
      </c>
      <c r="CA35" t="s">
        <v>626</v>
      </c>
    </row>
    <row r="36" spans="1:79" ht="15" customHeight="1">
      <c r="A36" s="100"/>
      <c r="B36" s="34" t="s">
        <v>50</v>
      </c>
      <c r="C36" s="35"/>
      <c r="D36" s="34" t="s">
        <v>51</v>
      </c>
      <c r="E36" s="44"/>
      <c r="F36" s="36"/>
      <c r="G36" s="36"/>
      <c r="H36" s="36"/>
      <c r="I36" s="36"/>
      <c r="J36" s="36"/>
      <c r="K36" s="36"/>
      <c r="L36" s="36"/>
      <c r="M36" s="36"/>
      <c r="N36" s="36"/>
      <c r="O36" s="36"/>
      <c r="P36" s="36"/>
      <c r="Q36" s="35"/>
      <c r="R36" s="34" t="s">
        <v>52</v>
      </c>
      <c r="S36" s="44"/>
      <c r="T36" s="36"/>
      <c r="U36" s="36"/>
      <c r="V36" s="36"/>
      <c r="W36" s="36"/>
      <c r="X36" s="36"/>
      <c r="Y36" s="36"/>
      <c r="Z36" s="36"/>
      <c r="AA36" s="36"/>
      <c r="AB36" s="36"/>
      <c r="AC36" s="36"/>
      <c r="AD36" s="36"/>
      <c r="AE36" s="36"/>
      <c r="AF36" s="36"/>
      <c r="AG36" s="36"/>
      <c r="AH36" s="36"/>
      <c r="AI36" s="36"/>
      <c r="AJ36" s="36"/>
      <c r="AK36" s="35"/>
      <c r="AL36" s="34" t="s">
        <v>53</v>
      </c>
      <c r="AM36" s="36"/>
      <c r="AN36" s="36"/>
      <c r="AO36" s="45"/>
      <c r="AP36" s="34" t="s">
        <v>54</v>
      </c>
      <c r="AQ36" s="36"/>
      <c r="AR36" s="36"/>
      <c r="AS36" s="35"/>
      <c r="AT36" s="34" t="s">
        <v>48</v>
      </c>
      <c r="AU36" s="44"/>
      <c r="AV36" s="44"/>
      <c r="AW36" s="36"/>
      <c r="AX36" s="36"/>
      <c r="AY36" s="44"/>
      <c r="AZ36" s="36"/>
      <c r="BA36" s="36"/>
      <c r="BB36" s="36"/>
      <c r="BC36" s="36"/>
      <c r="BD36" s="36"/>
      <c r="BE36" s="36"/>
      <c r="BF36" s="36"/>
      <c r="BG36" s="36"/>
      <c r="BH36" s="36"/>
      <c r="BI36" s="44"/>
      <c r="BJ36" s="35"/>
      <c r="BK36" s="4"/>
      <c r="BP36" s="97"/>
      <c r="BQ36" t="s">
        <v>626</v>
      </c>
      <c r="BS36" t="s">
        <v>626</v>
      </c>
      <c r="BU36" t="s">
        <v>626</v>
      </c>
      <c r="BV36" s="97" t="str">
        <f>IF(_xlfn.XLOOKUP(3,$AH:$AH,$R:$R,"",0)="","","AND A.`"&amp;_xlfn.XLOOKUP(3,$AH:$AH,$R:$R,"",0)&amp;"` = B.`"&amp;_xlfn.XLOOKUP(3,$AH:$AH,$R:$R,"",0)&amp;"`")</f>
        <v>AND A.`TaxGroupCode` = B.`TaxGroupCode`</v>
      </c>
      <c r="BW36" t="s">
        <v>626</v>
      </c>
      <c r="BY36" t="s">
        <v>626</v>
      </c>
      <c r="BZ36" s="97" t="s">
        <v>932</v>
      </c>
      <c r="CA36" t="s">
        <v>626</v>
      </c>
    </row>
    <row r="37" spans="1:79" ht="15" customHeight="1">
      <c r="A37" s="100"/>
      <c r="B37" s="38">
        <v>1</v>
      </c>
      <c r="C37" s="39"/>
      <c r="D37" s="38" t="s">
        <v>55</v>
      </c>
      <c r="E37" s="46"/>
      <c r="F37" s="40"/>
      <c r="G37" s="40"/>
      <c r="H37" s="40"/>
      <c r="I37" s="40"/>
      <c r="J37" s="40"/>
      <c r="K37" s="40"/>
      <c r="L37" s="40"/>
      <c r="M37" s="40"/>
      <c r="N37" s="40"/>
      <c r="O37" s="40"/>
      <c r="P37" s="40"/>
      <c r="Q37" s="39"/>
      <c r="R37"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`CompanyCode`,`StoreCode`,`TaxGroupCode`,`StartDate`</v>
      </c>
      <c r="S37" s="46"/>
      <c r="T37" s="40"/>
      <c r="U37" s="40"/>
      <c r="V37" s="40"/>
      <c r="W37" s="40"/>
      <c r="X37" s="40"/>
      <c r="Y37" s="40"/>
      <c r="Z37" s="40"/>
      <c r="AA37" s="40"/>
      <c r="AB37" s="40"/>
      <c r="AC37" s="40"/>
      <c r="AD37" s="40"/>
      <c r="AE37" s="40"/>
      <c r="AF37" s="40"/>
      <c r="AG37" s="40"/>
      <c r="AH37" s="40"/>
      <c r="AI37" s="40"/>
      <c r="AJ37" s="40"/>
      <c r="AK37" s="39"/>
      <c r="AL37" s="38" t="s">
        <v>885</v>
      </c>
      <c r="AM37" s="40"/>
      <c r="AN37" s="40"/>
      <c r="AO37" s="47"/>
      <c r="AP37" s="38" t="s">
        <v>885</v>
      </c>
      <c r="AQ37" s="40"/>
      <c r="AR37" s="40"/>
      <c r="AS37" s="39"/>
      <c r="AT37" s="38"/>
      <c r="AU37" s="46"/>
      <c r="AV37" s="46"/>
      <c r="AW37" s="40"/>
      <c r="AX37" s="40"/>
      <c r="AY37" s="46"/>
      <c r="AZ37" s="40"/>
      <c r="BA37" s="40"/>
      <c r="BB37" s="40"/>
      <c r="BC37" s="40"/>
      <c r="BD37" s="40"/>
      <c r="BE37" s="40"/>
      <c r="BF37" s="40"/>
      <c r="BG37" s="40"/>
      <c r="BH37" s="40"/>
      <c r="BI37" s="46"/>
      <c r="BJ37" s="39"/>
      <c r="BK37" s="4"/>
      <c r="BP37" s="97" t="str">
        <f>"CREATE TRIGGER `"&amp;$G$10&amp;"_CR_Date_Time` BEFORE INSERT ON `"&amp;$G$10&amp;"` FOR EACH ROW SET NEW.record_create_date = CURRENT_DATE, NEW.record_create_time = CURRENT_TIME, NEW.record_update_date = CURRENT_DATE, NEW.record_update_time = CURRENT_TIME;"</f>
        <v>CREATE TRIGGER `TaxGroupMaster_CR_Date_Time` BEFORE INSERT ON `TaxGroupMaster` FOR EACH ROW SET NEW.record_create_date = CURRENT_DATE, NEW.record_create_time = CURRENT_TIME, NEW.record_update_date = CURRENT_DATE, NEW.record_update_time = CURRENT_TIME;</v>
      </c>
      <c r="BQ37" t="s">
        <v>626</v>
      </c>
      <c r="BS37" t="s">
        <v>626</v>
      </c>
      <c r="BU37" t="s">
        <v>626</v>
      </c>
      <c r="BV37" s="97" t="str">
        <f>IF(_xlfn.XLOOKUP(4,$AH:$AH,$R:$R,"",0)="","","AND A.`"&amp;_xlfn.XLOOKUP(4,$AH:$AH,$R:$R,"",0)&amp;"` = B.`"&amp;_xlfn.XLOOKUP(4,$AH:$AH,$R:$R,"",0)&amp;"`")</f>
        <v>AND A.`StartDate` = B.`StartDate`</v>
      </c>
      <c r="BW37" t="s">
        <v>626</v>
      </c>
      <c r="BY37" t="s">
        <v>626</v>
      </c>
      <c r="BZ37" s="97" t="str">
        <f>IF(_xlfn.XLOOKUP(1,$AH:$AH,$R:$R,"",0)="","","A.`"&amp;_xlfn.XLOOKUP(1,$AH:$AH,$R:$R,"",0)&amp;"` = B.`"&amp;_xlfn.XLOOKUP(1,$AH:$AH,$R:$R,"",0)&amp;"`")</f>
        <v>A.`CompanyCode` = B.`CompanyCode`</v>
      </c>
      <c r="CA37" t="s">
        <v>626</v>
      </c>
    </row>
    <row r="38" spans="1:79" ht="15" customHeight="1">
      <c r="A38" s="100"/>
      <c r="BK38" s="4"/>
      <c r="BP38" s="97" t="str">
        <f>"CREATE TRIGGER `"&amp;$G$10&amp;"_UP_Date_Time` BEFORE UPDATE ON `"&amp;$G$10&amp;"` FOR EACH ROW SET NEW.record_update_date = CURRENT_DATE, NEW.record_update_time = CURRENT_TIME;"</f>
        <v>CREATE TRIGGER `TaxGroupMaster_UP_Date_Time` BEFORE UPDATE ON `TaxGroupMaster` FOR EACH ROW SET NEW.record_update_date = CURRENT_DATE, NEW.record_update_time = CURRENT_TIME;</v>
      </c>
      <c r="BQ38" t="s">
        <v>626</v>
      </c>
      <c r="BS38" t="s">
        <v>626</v>
      </c>
      <c r="BU38" t="s">
        <v>626</v>
      </c>
      <c r="BV38" s="97" t="str">
        <f>IF(_xlfn.XLOOKUP(5,$AH:$AH,$R:$R,"",0)="","","AND A.`"&amp;_xlfn.XLOOKUP(5,$AH:$AH,$R:$R,"",0)&amp;"` = B.`"&amp;_xlfn.XLOOKUP(5,$AH:$AH,$R:$R,"",0)&amp;"`")</f>
        <v/>
      </c>
      <c r="BW38" t="s">
        <v>626</v>
      </c>
      <c r="BY38" t="s">
        <v>626</v>
      </c>
      <c r="BZ38" s="97" t="str">
        <f>IF(_xlfn.XLOOKUP(2,$AH:$AH,$R:$R,"",0)="","","AND A.`"&amp;_xlfn.XLOOKUP(2,$AH:$AH,$R:$R,"",0)&amp;"` = B.`"&amp;_xlfn.XLOOKUP(2,$AH:$AH,$R:$R,"",0)&amp;"`")</f>
        <v>AND A.`StoreCode` = B.`StoreCode`</v>
      </c>
      <c r="CA38" t="s">
        <v>626</v>
      </c>
    </row>
    <row r="39" spans="1:79" ht="15" customHeight="1">
      <c r="A39" s="100"/>
      <c r="BK39" s="4"/>
      <c r="BQ39" t="s">
        <v>626</v>
      </c>
      <c r="BS39" t="s">
        <v>626</v>
      </c>
      <c r="BU39" t="s">
        <v>626</v>
      </c>
      <c r="BV39" s="97" t="str">
        <f>IF(_xlfn.XLOOKUP(6,$AH:$AH,$R:$R,"",0)="","","AND A.`"&amp;_xlfn.XLOOKUP(6,$AH:$AH,$R:$R,"",0)&amp;"` = B.`"&amp;_xlfn.XLOOKUP(6,$AH:$AH,$R:$R,"",0)&amp;"`")</f>
        <v/>
      </c>
      <c r="BW39" t="s">
        <v>626</v>
      </c>
      <c r="BY39" t="s">
        <v>626</v>
      </c>
      <c r="BZ39" s="97" t="str">
        <f>IF(_xlfn.XLOOKUP(3,$AH:$AH,$R:$R,"",0)="","","AND A.`"&amp;_xlfn.XLOOKUP(3,$AH:$AH,$R:$R,"",0)&amp;"` = B.`"&amp;_xlfn.XLOOKUP(3,$AH:$AH,$R:$R,"",0)&amp;"`")</f>
        <v>AND A.`TaxGroupCode` = B.`TaxGroupCode`</v>
      </c>
      <c r="CA39" t="s">
        <v>626</v>
      </c>
    </row>
    <row r="40" spans="1:79">
      <c r="A40" s="100"/>
      <c r="B40" s="37" t="s">
        <v>34</v>
      </c>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4"/>
      <c r="BQ40" t="s">
        <v>626</v>
      </c>
      <c r="BS40" t="s">
        <v>626</v>
      </c>
      <c r="BU40" t="s">
        <v>626</v>
      </c>
      <c r="BV40" s="97" t="str">
        <f>IF(_xlfn.XLOOKUP(7,$AH:$AH,$R:$R,"",0)="","","AND A.`"&amp;_xlfn.XLOOKUP(7,$AH:$AH,$R:$R,"",0)&amp;"` = B.`"&amp;_xlfn.XLOOKUP(7,$AH:$AH,$R:$R,"",0)&amp;"`")</f>
        <v/>
      </c>
      <c r="BW40" t="s">
        <v>626</v>
      </c>
      <c r="BY40" t="s">
        <v>626</v>
      </c>
      <c r="BZ40" s="97" t="str">
        <f>IF(_xlfn.XLOOKUP(4,$AH:$AH,$R:$R,"",0)="","","AND A.`"&amp;_xlfn.XLOOKUP(4,$AH:$AH,$R:$R,"",0)&amp;"` = B.`"&amp;_xlfn.XLOOKUP(4,$AH:$AH,$R:$R,"",0)&amp;"`")</f>
        <v>AND A.`StartDate` = B.`StartDate`</v>
      </c>
      <c r="CA40" t="s">
        <v>626</v>
      </c>
    </row>
    <row r="41" spans="1:79">
      <c r="A41" s="100"/>
      <c r="B41" s="34" t="s">
        <v>35</v>
      </c>
      <c r="C41" s="45"/>
      <c r="D41" s="34" t="s">
        <v>36</v>
      </c>
      <c r="E41" s="44"/>
      <c r="F41" s="44"/>
      <c r="G41" s="44"/>
      <c r="H41" s="44"/>
      <c r="I41" s="44"/>
      <c r="J41" s="44"/>
      <c r="K41" s="44"/>
      <c r="L41" s="36"/>
      <c r="M41" s="36"/>
      <c r="N41" s="36"/>
      <c r="O41" s="36"/>
      <c r="P41" s="36"/>
      <c r="Q41" s="35"/>
      <c r="R41" s="34" t="s">
        <v>37</v>
      </c>
      <c r="S41" s="36"/>
      <c r="T41" s="45"/>
      <c r="U41" s="34" t="s">
        <v>38</v>
      </c>
      <c r="V41" s="36"/>
      <c r="W41" s="44"/>
      <c r="X41" s="45"/>
      <c r="Y41" s="34" t="s">
        <v>39</v>
      </c>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5"/>
      <c r="BK41" s="4"/>
      <c r="BQ41" t="s">
        <v>626</v>
      </c>
      <c r="BS41" t="s">
        <v>626</v>
      </c>
      <c r="BU41" t="s">
        <v>626</v>
      </c>
      <c r="BV41" s="97" t="str">
        <f>IF(_xlfn.XLOOKUP(8,$AH:$AH,$R:$R,"",0)="","","AND A.`"&amp;_xlfn.XLOOKUP(8,$AH:$AH,$R:$R,"",0)&amp;"` = B.`"&amp;_xlfn.XLOOKUP(8,$AH:$AH,$R:$R,"",0)&amp;"`")</f>
        <v/>
      </c>
      <c r="BW41" t="s">
        <v>626</v>
      </c>
      <c r="BY41" t="s">
        <v>626</v>
      </c>
      <c r="BZ41" s="97" t="str">
        <f>IF(_xlfn.XLOOKUP(5,$AH:$AH,$R:$R,"",0)="","","AND A.`"&amp;_xlfn.XLOOKUP(5,$AH:$AH,$R:$R,"",0)&amp;"` = B.`"&amp;_xlfn.XLOOKUP(5,$AH:$AH,$R:$R,"",0)&amp;"`")</f>
        <v/>
      </c>
      <c r="CA41" t="s">
        <v>626</v>
      </c>
    </row>
    <row r="42" spans="1:79">
      <c r="A42" s="100"/>
      <c r="B42" s="41">
        <v>1</v>
      </c>
      <c r="C42" s="47"/>
      <c r="D42" s="41" t="str">
        <f>G10&amp;"_"&amp;R42&amp;"_"&amp;"trg"</f>
        <v>TaxGroupMaster_update_trg</v>
      </c>
      <c r="E42" s="46"/>
      <c r="F42" s="46"/>
      <c r="G42" s="46"/>
      <c r="H42" s="46"/>
      <c r="I42" s="46"/>
      <c r="J42" s="46"/>
      <c r="K42" s="46"/>
      <c r="L42" s="42"/>
      <c r="M42" s="42"/>
      <c r="N42" s="42"/>
      <c r="O42" s="42"/>
      <c r="P42" s="42"/>
      <c r="Q42" s="43"/>
      <c r="R42" s="41" t="s">
        <v>40</v>
      </c>
      <c r="S42" s="42"/>
      <c r="T42" s="47"/>
      <c r="U42" s="41" t="s">
        <v>41</v>
      </c>
      <c r="V42" s="42"/>
      <c r="W42" s="46"/>
      <c r="X42" s="47"/>
      <c r="Y42" s="41" t="s">
        <v>42</v>
      </c>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3"/>
      <c r="BK42" s="4"/>
      <c r="BQ42" t="s">
        <v>626</v>
      </c>
      <c r="BS42" t="s">
        <v>626</v>
      </c>
      <c r="BU42" t="s">
        <v>626</v>
      </c>
      <c r="BV42" s="97" t="s">
        <v>936</v>
      </c>
      <c r="BW42" t="s">
        <v>626</v>
      </c>
      <c r="BY42" t="s">
        <v>626</v>
      </c>
      <c r="BZ42" s="97" t="str">
        <f>IF(_xlfn.XLOOKUP(6,$AH:$AH,$R:$R,"",0)="","","AND A.`"&amp;_xlfn.XLOOKUP(6,$AH:$AH,$R:$R,"",0)&amp;"` = B.`"&amp;_xlfn.XLOOKUP(6,$AH:$AH,$R:$R,"",0)&amp;"`")</f>
        <v/>
      </c>
      <c r="CA42" t="s">
        <v>626</v>
      </c>
    </row>
    <row r="43" spans="1:79">
      <c r="A43" s="100"/>
      <c r="BK43" s="4"/>
      <c r="BQ43" t="s">
        <v>626</v>
      </c>
      <c r="BS43" t="s">
        <v>626</v>
      </c>
      <c r="BU43" t="s">
        <v>626</v>
      </c>
      <c r="BW43" t="s">
        <v>626</v>
      </c>
      <c r="BY43" t="s">
        <v>626</v>
      </c>
      <c r="BZ43" s="97" t="str">
        <f>IF(_xlfn.XLOOKUP(7,$AH:$AH,$R:$R,"",0)="","","AND A.`"&amp;_xlfn.XLOOKUP(7,$AH:$AH,$R:$R,"",0)&amp;"` = B.`"&amp;_xlfn.XLOOKUP(7,$AH:$AH,$R:$R,"",0)&amp;"`")</f>
        <v/>
      </c>
      <c r="CA43" t="s">
        <v>626</v>
      </c>
    </row>
    <row r="44" spans="1:79">
      <c r="A44" s="100"/>
      <c r="BK44" s="4"/>
      <c r="BQ44" t="s">
        <v>626</v>
      </c>
      <c r="BS44" t="s">
        <v>626</v>
      </c>
      <c r="BU44" t="s">
        <v>626</v>
      </c>
      <c r="BW44" t="s">
        <v>626</v>
      </c>
      <c r="BY44" t="s">
        <v>626</v>
      </c>
      <c r="BZ44" s="97" t="str">
        <f>IF(_xlfn.XLOOKUP(8,$AH:$AH,$R:$R,"",0)="","","AND A.`"&amp;_xlfn.XLOOKUP(8,$AH:$AH,$R:$R,"",0)&amp;"` = B.`"&amp;_xlfn.XLOOKUP(8,$AH:$AH,$R:$R,"",0)&amp;"`")</f>
        <v/>
      </c>
      <c r="CA44" t="s">
        <v>626</v>
      </c>
    </row>
    <row r="45" spans="1:79">
      <c r="A45" s="100"/>
      <c r="BK45" s="4"/>
      <c r="BQ45" t="s">
        <v>626</v>
      </c>
      <c r="BS45" t="s">
        <v>626</v>
      </c>
      <c r="BU45" t="s">
        <v>626</v>
      </c>
      <c r="BW45" t="s">
        <v>626</v>
      </c>
      <c r="BY45" t="s">
        <v>626</v>
      </c>
      <c r="BZ45" s="97" t="s">
        <v>929</v>
      </c>
      <c r="CA45" t="s">
        <v>626</v>
      </c>
    </row>
    <row r="46" spans="1:79">
      <c r="A46" s="100"/>
      <c r="BZ46" t="str">
        <f>"DROP TABLE IF EXISTS `TMP`.`"&amp;$G$10&amp;"`;"</f>
        <v>DROP TABLE IF EXISTS `TMP`.`TaxGroupMaster`;</v>
      </c>
    </row>
    <row r="47" spans="1:79">
      <c r="A47" s="100"/>
      <c r="BZ47" t="s">
        <v>937</v>
      </c>
    </row>
    <row r="48" spans="1:79">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D5B95-A994-415A-B9AE-9F1064DE37FB}">
  <dimension ref="A1:CA62"/>
  <sheetViews>
    <sheetView view="pageBreakPreview" topLeftCell="A16" zoomScale="80" zoomScaleNormal="75" zoomScaleSheetLayoutView="80" workbookViewId="0">
      <selection activeCell="BT24" sqref="BT24:BT31"/>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732</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731</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`POS_MASTER`.`TaxTypeMaster`;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`POS_MASTER`.`TaxTypeMaster`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'C:/04_DATAFILE/TaxTypeMaster/TMP/TaxTypeMaster.CSV' </v>
      </c>
      <c r="BU24" t="s">
        <v>626</v>
      </c>
      <c r="BV24" s="97" t="str">
        <f>"UPDATE `POS_MASTER`.`"&amp;$G$10&amp;"` A,`TMP`.`"&amp;$G$10&amp;"` B"</f>
        <v>UPDATE `POS_MASTER`.`TaxTypeMaster` A,`TMP`.`TaxTypeMaster`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`TMP`.`TaxTypeMaster`;</v>
      </c>
      <c r="BS25" t="s">
        <v>626</v>
      </c>
      <c r="BT25" s="97" t="str">
        <f>"REPLACE INTO TABLE TMP.`"&amp;$G$10&amp;"` CHARACTER SET 'UTF8'"</f>
        <v>REPLACE INTO TABLE TMP.`TaxTypeMaster`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`TMP`.`TaxTypeMaster`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v>
      </c>
      <c r="BU26" t="s">
        <v>626</v>
      </c>
      <c r="BV26" s="97"/>
      <c r="BW26" t="s">
        <v>626</v>
      </c>
      <c r="BX26" s="97" t="str">
        <f>"INSERT INTO `POS_MASTER`.`"&amp;$G$10&amp;"` ("</f>
        <v>INSERT INTO `POS_MASTER`.`TaxTypeMaster` (</v>
      </c>
      <c r="BY26" t="s">
        <v>626</v>
      </c>
      <c r="BZ26" s="97" t="s">
        <v>931</v>
      </c>
      <c r="CA26" t="s">
        <v>626</v>
      </c>
    </row>
    <row r="27" spans="1:79" ht="15" customHeight="1">
      <c r="A27" s="100" t="s">
        <v>964</v>
      </c>
      <c r="B27" s="62">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928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0"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",A.`"&amp;R28&amp;"` = B.`"&amp;R28&amp;"`"</f>
        <v>,A.`StoreCode` = B.`StoreCode`</v>
      </c>
      <c r="BW28" t="s">
        <v>626</v>
      </c>
      <c r="BX28" s="97" t="str">
        <f>",`"&amp;R28&amp;"`"</f>
        <v>,`StoreCode`</v>
      </c>
      <c r="BY28" t="s">
        <v>626</v>
      </c>
      <c r="BZ28" s="97" t="str">
        <f t="shared" ref="BZ28:BZ30" si="2">",`"&amp;R28&amp;"`"</f>
        <v>,`StoreCode`</v>
      </c>
      <c r="CA28" t="s">
        <v>626</v>
      </c>
    </row>
    <row r="29" spans="1:79" ht="15" customHeight="1">
      <c r="A29" s="100" t="s">
        <v>966</v>
      </c>
      <c r="B29" s="23">
        <v>9</v>
      </c>
      <c r="C29" s="24"/>
      <c r="D29" s="22" t="s">
        <v>730</v>
      </c>
      <c r="E29" s="25"/>
      <c r="F29" s="25"/>
      <c r="G29" s="25"/>
      <c r="H29" s="25"/>
      <c r="I29" s="25"/>
      <c r="J29" s="25"/>
      <c r="K29" s="25"/>
      <c r="L29" s="25"/>
      <c r="M29" s="25"/>
      <c r="N29" s="25"/>
      <c r="O29" s="25"/>
      <c r="P29" s="25"/>
      <c r="Q29" s="26"/>
      <c r="R29" s="22" t="s">
        <v>733</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,`TaxType` varchar(2) NOT NULL COMMENT '税種別'</v>
      </c>
      <c r="BQ29" t="s">
        <v>626</v>
      </c>
      <c r="BR29" t="str">
        <f t="shared" ref="BR29:BR30" si="3">",`"&amp;R29&amp;"` "&amp;AC29&amp;" "&amp;IF(AJ29="Y","NOT NULL","")</f>
        <v>,`TaxType` varchar(2) NOT NULL</v>
      </c>
      <c r="BS29" t="s">
        <v>626</v>
      </c>
      <c r="BT29" t="str">
        <f t="shared" ref="BT29:BT30" si="4">",`"&amp;R29&amp;"` = "&amp;IF(LEFT(AC29,4)="date", "if(@"&amp;B29-5&amp;" &gt; '0000-00-00 00:00:00', if(@"&amp;B29-5&amp;" &gt; '2999-12-31 23:59:59', '2999-12-31 23:59:59', @"&amp;B29-5&amp;"), null)","if(nullif( @"&amp;B29-5&amp;",'') &gt; '', @"&amp;B29-5&amp;", null )")</f>
        <v>,`TaxType` = if(nullif( @4,'') &gt; '', @4, null )</v>
      </c>
      <c r="BU29" t="s">
        <v>626</v>
      </c>
      <c r="BV29" s="97" t="str">
        <f>",A.`"&amp;R29&amp;"` = B.`"&amp;R29&amp;"`"</f>
        <v>,A.`TaxType` = B.`TaxType`</v>
      </c>
      <c r="BW29" t="s">
        <v>626</v>
      </c>
      <c r="BX29" s="97" t="str">
        <f>",`"&amp;R29&amp;"`"</f>
        <v>,`TaxType`</v>
      </c>
      <c r="BY29" t="s">
        <v>626</v>
      </c>
      <c r="BZ29" s="97" t="str">
        <f t="shared" si="2"/>
        <v>,`TaxType`</v>
      </c>
      <c r="CA29" t="s">
        <v>626</v>
      </c>
    </row>
    <row r="30" spans="1:79" ht="15" customHeight="1">
      <c r="A30" s="100" t="s">
        <v>967</v>
      </c>
      <c r="B30" s="28">
        <v>10</v>
      </c>
      <c r="C30" s="29"/>
      <c r="D30" s="30" t="s">
        <v>712</v>
      </c>
      <c r="E30" s="31"/>
      <c r="F30" s="31"/>
      <c r="G30" s="31"/>
      <c r="H30" s="31"/>
      <c r="I30" s="31"/>
      <c r="J30" s="31"/>
      <c r="K30" s="31"/>
      <c r="L30" s="31"/>
      <c r="M30" s="31"/>
      <c r="N30" s="31"/>
      <c r="O30" s="31"/>
      <c r="P30" s="31"/>
      <c r="Q30" s="32"/>
      <c r="R30" s="30" t="s">
        <v>407</v>
      </c>
      <c r="S30" s="31"/>
      <c r="T30" s="31"/>
      <c r="U30" s="31"/>
      <c r="V30" s="31"/>
      <c r="W30" s="31"/>
      <c r="X30" s="31"/>
      <c r="Y30" s="31"/>
      <c r="Z30" s="31"/>
      <c r="AA30" s="31"/>
      <c r="AB30" s="32"/>
      <c r="AC30" s="30" t="str" cm="1">
        <f t="array" ref="AC30">_xlfn.SWITCH(BM30,"nvarchar","varchar("&amp;BN30&amp;")","smallint","smallint","date","date","money","decimal(19,4)","numeric","numeric("&amp;BN30&amp;")","int","int","bit","char(1)","datetime2","datetime","time","time")</f>
        <v>varchar(50)</v>
      </c>
      <c r="AD30" s="31"/>
      <c r="AE30" s="31"/>
      <c r="AF30" s="31"/>
      <c r="AG30" s="32"/>
      <c r="AH30" s="30"/>
      <c r="AI30" s="32"/>
      <c r="AJ30" s="30"/>
      <c r="AK30" s="31"/>
      <c r="AL30" s="32"/>
      <c r="AM30" s="30"/>
      <c r="AN30" s="31"/>
      <c r="AO30" s="31"/>
      <c r="AP30" s="31"/>
      <c r="AQ30" s="31"/>
      <c r="AR30" s="31"/>
      <c r="AS30" s="32"/>
      <c r="AT30" s="30"/>
      <c r="AU30" s="31"/>
      <c r="AV30" s="31"/>
      <c r="AW30" s="31"/>
      <c r="AX30" s="31"/>
      <c r="AY30" s="31"/>
      <c r="AZ30" s="31"/>
      <c r="BA30" s="31"/>
      <c r="BB30" s="31"/>
      <c r="BC30" s="31"/>
      <c r="BD30" s="31"/>
      <c r="BE30" s="31"/>
      <c r="BF30" s="31"/>
      <c r="BG30" s="31"/>
      <c r="BH30" s="31"/>
      <c r="BI30" s="31"/>
      <c r="BJ30" s="32"/>
      <c r="BK30" s="4"/>
      <c r="BM30" t="s">
        <v>888</v>
      </c>
      <c r="BN30">
        <v>50</v>
      </c>
      <c r="BP30" t="str">
        <f t="shared" si="1"/>
        <v>,`Description` varchar(50)  COMMENT '説明'</v>
      </c>
      <c r="BQ30" t="s">
        <v>626</v>
      </c>
      <c r="BR30" t="str">
        <f t="shared" si="3"/>
        <v xml:space="preserve">,`Description` varchar(50) </v>
      </c>
      <c r="BS30" t="s">
        <v>626</v>
      </c>
      <c r="BT30" t="str">
        <f t="shared" si="4"/>
        <v>,`Description` = if(nullif( @5,'') &gt; '', @5, null )</v>
      </c>
      <c r="BU30" t="s">
        <v>626</v>
      </c>
      <c r="BV30" s="97" t="str">
        <f>",A.`"&amp;R30&amp;"` = B.`"&amp;R30&amp;"`"</f>
        <v>,A.`Description` = B.`Description`</v>
      </c>
      <c r="BW30" t="s">
        <v>626</v>
      </c>
      <c r="BX30" s="97" t="str">
        <f>",`"&amp;R30&amp;"`"</f>
        <v>,`Description`</v>
      </c>
      <c r="BY30" t="s">
        <v>626</v>
      </c>
      <c r="BZ30" s="97" t="str">
        <f t="shared" si="2"/>
        <v>,`Description`</v>
      </c>
      <c r="CA30" t="s">
        <v>626</v>
      </c>
    </row>
    <row r="31" spans="1:79" ht="15" customHeight="1">
      <c r="A31" s="100"/>
      <c r="BK31" s="4"/>
      <c r="BP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(`CompanyCode`,`StoreCode`,`TaxType`),</v>
      </c>
      <c r="BQ31" t="s">
        <v>626</v>
      </c>
      <c r="BR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(`CompanyCode`,`StoreCode`,`TaxType`)</v>
      </c>
      <c r="BS31" t="s">
        <v>626</v>
      </c>
      <c r="BT31" s="97" t="s">
        <v>936</v>
      </c>
      <c r="BU31" t="s">
        <v>626</v>
      </c>
      <c r="BV31" s="97" t="s">
        <v>934</v>
      </c>
      <c r="BW31" t="s">
        <v>626</v>
      </c>
      <c r="BY31" t="s">
        <v>626</v>
      </c>
      <c r="BZ31" s="97" t="str">
        <f>"FROM `TMP`.`"&amp;$G$10&amp;"` A"</f>
        <v>FROM `TMP`.`TaxTypeMaster` A</v>
      </c>
      <c r="CA31" t="s">
        <v>626</v>
      </c>
    </row>
    <row r="32" spans="1:79" ht="15" customHeight="1">
      <c r="A32" s="100"/>
      <c r="BK32" s="4"/>
      <c r="BP32" s="97" t="s">
        <v>452</v>
      </c>
      <c r="BQ32" t="s">
        <v>626</v>
      </c>
      <c r="BR32" s="97" t="str">
        <f>") ENGINE=InnoDB DEFAULT CHARSET=utf8mb4 COLLATE=utf8mb4_0900_ai_ci COMMENT = '"&amp;$G$9&amp;"_TMP';"</f>
        <v>) ENGINE=InnoDB DEFAULT CHARSET=utf8mb4 COLLATE=utf8mb4_0900_ai_ci COMMENT = '税タイプマスタ_TMP';</v>
      </c>
      <c r="BS32" t="s">
        <v>626</v>
      </c>
      <c r="BU32" t="s">
        <v>626</v>
      </c>
      <c r="BV32" s="97" t="str">
        <f>IF(_xlfn.XLOOKUP(1,$AH:$AH,$R:$R,"",0)="","","A.`"&amp;_xlfn.XLOOKUP(1,$AH:$AH,$R:$R,"",0)&amp;"` = B.`"&amp;_xlfn.XLOOKUP(1,$AH:$AH,$R:$R,"",0)&amp;"`")</f>
        <v>A.`CompanyCode` = B.`CompanyCode`</v>
      </c>
      <c r="BW32" t="s">
        <v>626</v>
      </c>
      <c r="BY32" t="s">
        <v>626</v>
      </c>
      <c r="BZ32" s="97" t="s">
        <v>935</v>
      </c>
      <c r="CA32" t="s">
        <v>626</v>
      </c>
    </row>
    <row r="33" spans="1:79" ht="15" customHeight="1">
      <c r="A33" s="100"/>
      <c r="B33" s="37" t="s">
        <v>49</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4"/>
      <c r="BP33" s="97" t="str">
        <f>") ENGINE=InnoDB DEFAULT CHARSET=utf8mb4 COLLATE=utf8mb4_0900_ai_ci COMMENT = '"&amp;$G$9&amp;"';"</f>
        <v>) ENGINE=InnoDB DEFAULT CHARSET=utf8mb4 COLLATE=utf8mb4_0900_ai_ci COMMENT = '税タイプマスタ';</v>
      </c>
      <c r="BQ33" t="s">
        <v>626</v>
      </c>
      <c r="BS33" t="s">
        <v>626</v>
      </c>
      <c r="BU33" t="s">
        <v>626</v>
      </c>
      <c r="BV33" s="97" t="str">
        <f>IF(_xlfn.XLOOKUP(2,$AH:$AH,$R:$R,"",0)="","","AND A.`"&amp;_xlfn.XLOOKUP(2,$AH:$AH,$R:$R,"",0)&amp;"` = B.`"&amp;_xlfn.XLOOKUP(2,$AH:$AH,$R:$R,"",0)&amp;"`")</f>
        <v>AND A.`StoreCode` = B.`StoreCode`</v>
      </c>
      <c r="BW33" t="s">
        <v>626</v>
      </c>
      <c r="BY33" t="s">
        <v>626</v>
      </c>
      <c r="BZ33" s="97" t="str">
        <f>"FROM `POS_MASTER`.`"&amp;$G$10&amp;"` B"</f>
        <v>FROM `POS_MASTER`.`TaxTypeMaster` B</v>
      </c>
      <c r="CA33" t="s">
        <v>626</v>
      </c>
    </row>
    <row r="34" spans="1:79" ht="15" customHeight="1">
      <c r="A34" s="100"/>
      <c r="B34" s="34" t="s">
        <v>50</v>
      </c>
      <c r="C34" s="35"/>
      <c r="D34" s="34" t="s">
        <v>51</v>
      </c>
      <c r="E34" s="44"/>
      <c r="F34" s="36"/>
      <c r="G34" s="36"/>
      <c r="H34" s="36"/>
      <c r="I34" s="36"/>
      <c r="J34" s="36"/>
      <c r="K34" s="36"/>
      <c r="L34" s="36"/>
      <c r="M34" s="36"/>
      <c r="N34" s="36"/>
      <c r="O34" s="36"/>
      <c r="P34" s="36"/>
      <c r="Q34" s="35"/>
      <c r="R34" s="34" t="s">
        <v>52</v>
      </c>
      <c r="S34" s="44"/>
      <c r="T34" s="36"/>
      <c r="U34" s="36"/>
      <c r="V34" s="36"/>
      <c r="W34" s="36"/>
      <c r="X34" s="36"/>
      <c r="Y34" s="36"/>
      <c r="Z34" s="36"/>
      <c r="AA34" s="36"/>
      <c r="AB34" s="36"/>
      <c r="AC34" s="36"/>
      <c r="AD34" s="36"/>
      <c r="AE34" s="36"/>
      <c r="AF34" s="36"/>
      <c r="AG34" s="36"/>
      <c r="AH34" s="36"/>
      <c r="AI34" s="36"/>
      <c r="AJ34" s="36"/>
      <c r="AK34" s="35"/>
      <c r="AL34" s="34" t="s">
        <v>53</v>
      </c>
      <c r="AM34" s="36"/>
      <c r="AN34" s="36"/>
      <c r="AO34" s="45"/>
      <c r="AP34" s="34" t="s">
        <v>54</v>
      </c>
      <c r="AQ34" s="36"/>
      <c r="AR34" s="36"/>
      <c r="AS34" s="35"/>
      <c r="AT34" s="34" t="s">
        <v>48</v>
      </c>
      <c r="AU34" s="44"/>
      <c r="AV34" s="44"/>
      <c r="AW34" s="36"/>
      <c r="AX34" s="36"/>
      <c r="AY34" s="44"/>
      <c r="AZ34" s="36"/>
      <c r="BA34" s="36"/>
      <c r="BB34" s="36"/>
      <c r="BC34" s="36"/>
      <c r="BD34" s="36"/>
      <c r="BE34" s="36"/>
      <c r="BF34" s="36"/>
      <c r="BG34" s="36"/>
      <c r="BH34" s="36"/>
      <c r="BI34" s="44"/>
      <c r="BJ34" s="35"/>
      <c r="BK34" s="4"/>
      <c r="BP34" s="97"/>
      <c r="BQ34" t="s">
        <v>626</v>
      </c>
      <c r="BS34" t="s">
        <v>626</v>
      </c>
      <c r="BU34" t="s">
        <v>626</v>
      </c>
      <c r="BV34" s="97" t="str">
        <f>IF(_xlfn.XLOOKUP(3,$AH:$AH,$R:$R,"",0)="","","AND A.`"&amp;_xlfn.XLOOKUP(3,$AH:$AH,$R:$R,"",0)&amp;"` = B.`"&amp;_xlfn.XLOOKUP(3,$AH:$AH,$R:$R,"",0)&amp;"`")</f>
        <v>AND A.`TaxType` = B.`TaxType`</v>
      </c>
      <c r="BW34" t="s">
        <v>626</v>
      </c>
      <c r="BY34" t="s">
        <v>626</v>
      </c>
      <c r="BZ34" s="97" t="s">
        <v>932</v>
      </c>
      <c r="CA34" t="s">
        <v>626</v>
      </c>
    </row>
    <row r="35" spans="1:79" ht="15" customHeight="1">
      <c r="A35" s="100"/>
      <c r="B35" s="38">
        <v>1</v>
      </c>
      <c r="C35" s="39"/>
      <c r="D35" s="38" t="s">
        <v>55</v>
      </c>
      <c r="E35" s="46"/>
      <c r="F35" s="40"/>
      <c r="G35" s="40"/>
      <c r="H35" s="40"/>
      <c r="I35" s="40"/>
      <c r="J35" s="40"/>
      <c r="K35" s="40"/>
      <c r="L35" s="40"/>
      <c r="M35" s="40"/>
      <c r="N35" s="40"/>
      <c r="O35" s="40"/>
      <c r="P35" s="40"/>
      <c r="Q35" s="39"/>
      <c r="R35"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`CompanyCode`,`StoreCode`,`TaxType`</v>
      </c>
      <c r="S35" s="46"/>
      <c r="T35" s="40"/>
      <c r="U35" s="40"/>
      <c r="V35" s="40"/>
      <c r="W35" s="40"/>
      <c r="X35" s="40"/>
      <c r="Y35" s="40"/>
      <c r="Z35" s="40"/>
      <c r="AA35" s="40"/>
      <c r="AB35" s="40"/>
      <c r="AC35" s="40"/>
      <c r="AD35" s="40"/>
      <c r="AE35" s="40"/>
      <c r="AF35" s="40"/>
      <c r="AG35" s="40"/>
      <c r="AH35" s="40"/>
      <c r="AI35" s="40"/>
      <c r="AJ35" s="40"/>
      <c r="AK35" s="39"/>
      <c r="AL35" s="38" t="s">
        <v>885</v>
      </c>
      <c r="AM35" s="40"/>
      <c r="AN35" s="40"/>
      <c r="AO35" s="47"/>
      <c r="AP35" s="38" t="s">
        <v>885</v>
      </c>
      <c r="AQ35" s="40"/>
      <c r="AR35" s="40"/>
      <c r="AS35" s="39"/>
      <c r="AT35" s="38"/>
      <c r="AU35" s="46"/>
      <c r="AV35" s="46"/>
      <c r="AW35" s="40"/>
      <c r="AX35" s="40"/>
      <c r="AY35" s="46"/>
      <c r="AZ35" s="40"/>
      <c r="BA35" s="40"/>
      <c r="BB35" s="40"/>
      <c r="BC35" s="40"/>
      <c r="BD35" s="40"/>
      <c r="BE35" s="40"/>
      <c r="BF35" s="40"/>
      <c r="BG35" s="40"/>
      <c r="BH35" s="40"/>
      <c r="BI35" s="46"/>
      <c r="BJ35" s="39"/>
      <c r="BK35" s="4"/>
      <c r="BP35" s="97" t="str">
        <f>"CREATE TRIGGER `"&amp;$G$10&amp;"_CR_Date_Time` BEFORE INSERT ON `"&amp;$G$10&amp;"` FOR EACH ROW SET NEW.record_create_date = CURRENT_DATE, NEW.record_create_time = CURRENT_TIME, NEW.record_update_date = CURRENT_DATE, NEW.record_update_time = CURRENT_TIME;"</f>
        <v>CREATE TRIGGER `TaxTypeMaster_CR_Date_Time` BEFORE INSERT ON `TaxTypeMaster` FOR EACH ROW SET NEW.record_create_date = CURRENT_DATE, NEW.record_create_time = CURRENT_TIME, NEW.record_update_date = CURRENT_DATE, NEW.record_update_time = CURRENT_TIME;</v>
      </c>
      <c r="BQ35" t="s">
        <v>626</v>
      </c>
      <c r="BS35" t="s">
        <v>626</v>
      </c>
      <c r="BU35" t="s">
        <v>626</v>
      </c>
      <c r="BV35" s="97" t="str">
        <f>IF(_xlfn.XLOOKUP(4,$AH:$AH,$R:$R,"",0)="","","AND A.`"&amp;_xlfn.XLOOKUP(4,$AH:$AH,$R:$R,"",0)&amp;"` = B.`"&amp;_xlfn.XLOOKUP(4,$AH:$AH,$R:$R,"",0)&amp;"`")</f>
        <v/>
      </c>
      <c r="BW35" t="s">
        <v>626</v>
      </c>
      <c r="BY35" t="s">
        <v>626</v>
      </c>
      <c r="BZ35" s="97" t="str">
        <f>IF(_xlfn.XLOOKUP(1,$AH:$AH,$R:$R,"",0)="","","A.`"&amp;_xlfn.XLOOKUP(1,$AH:$AH,$R:$R,"",0)&amp;"` = B.`"&amp;_xlfn.XLOOKUP(1,$AH:$AH,$R:$R,"",0)&amp;"`")</f>
        <v>A.`CompanyCode` = B.`CompanyCode`</v>
      </c>
      <c r="CA35" t="s">
        <v>626</v>
      </c>
    </row>
    <row r="36" spans="1:79" ht="15" customHeight="1">
      <c r="A36" s="100"/>
      <c r="BK36" s="4"/>
      <c r="BP36" s="97" t="str">
        <f>"CREATE TRIGGER `"&amp;$G$10&amp;"_UP_Date_Time` BEFORE UPDATE ON `"&amp;$G$10&amp;"` FOR EACH ROW SET NEW.record_update_date = CURRENT_DATE, NEW.record_update_time = CURRENT_TIME;"</f>
        <v>CREATE TRIGGER `TaxTypeMaster_UP_Date_Time` BEFORE UPDATE ON `TaxTypeMaster` FOR EACH ROW SET NEW.record_update_date = CURRENT_DATE, NEW.record_update_time = CURRENT_TIME;</v>
      </c>
      <c r="BQ36" t="s">
        <v>626</v>
      </c>
      <c r="BS36" t="s">
        <v>626</v>
      </c>
      <c r="BU36" t="s">
        <v>626</v>
      </c>
      <c r="BV36" s="97" t="str">
        <f>IF(_xlfn.XLOOKUP(5,$AH:$AH,$R:$R,"",0)="","","AND A.`"&amp;_xlfn.XLOOKUP(5,$AH:$AH,$R:$R,"",0)&amp;"` = B.`"&amp;_xlfn.XLOOKUP(5,$AH:$AH,$R:$R,"",0)&amp;"`")</f>
        <v/>
      </c>
      <c r="BW36" t="s">
        <v>626</v>
      </c>
      <c r="BY36" t="s">
        <v>626</v>
      </c>
      <c r="BZ36" s="97" t="str">
        <f>IF(_xlfn.XLOOKUP(2,$AH:$AH,$R:$R,"",0)="","","AND A.`"&amp;_xlfn.XLOOKUP(2,$AH:$AH,$R:$R,"",0)&amp;"` = B.`"&amp;_xlfn.XLOOKUP(2,$AH:$AH,$R:$R,"",0)&amp;"`")</f>
        <v>AND A.`StoreCode` = B.`StoreCode`</v>
      </c>
      <c r="CA36" t="s">
        <v>626</v>
      </c>
    </row>
    <row r="37" spans="1:79" ht="15" customHeight="1">
      <c r="A37" s="100"/>
      <c r="BK37" s="4"/>
      <c r="BQ37" t="s">
        <v>626</v>
      </c>
      <c r="BS37" t="s">
        <v>626</v>
      </c>
      <c r="BU37" t="s">
        <v>626</v>
      </c>
      <c r="BV37" s="97" t="str">
        <f>IF(_xlfn.XLOOKUP(6,$AH:$AH,$R:$R,"",0)="","","AND A.`"&amp;_xlfn.XLOOKUP(6,$AH:$AH,$R:$R,"",0)&amp;"` = B.`"&amp;_xlfn.XLOOKUP(6,$AH:$AH,$R:$R,"",0)&amp;"`")</f>
        <v/>
      </c>
      <c r="BW37" t="s">
        <v>626</v>
      </c>
      <c r="BY37" t="s">
        <v>626</v>
      </c>
      <c r="BZ37" s="97" t="str">
        <f>IF(_xlfn.XLOOKUP(3,$AH:$AH,$R:$R,"",0)="","","AND A.`"&amp;_xlfn.XLOOKUP(3,$AH:$AH,$R:$R,"",0)&amp;"` = B.`"&amp;_xlfn.XLOOKUP(3,$AH:$AH,$R:$R,"",0)&amp;"`")</f>
        <v>AND A.`TaxType` = B.`TaxType`</v>
      </c>
      <c r="CA37" t="s">
        <v>626</v>
      </c>
    </row>
    <row r="38" spans="1:79">
      <c r="A38" s="100"/>
      <c r="B38" s="37" t="s">
        <v>34</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4"/>
      <c r="BQ38" t="s">
        <v>626</v>
      </c>
      <c r="BS38" t="s">
        <v>626</v>
      </c>
      <c r="BU38" t="s">
        <v>626</v>
      </c>
      <c r="BV38" s="97" t="str">
        <f>IF(_xlfn.XLOOKUP(7,$AH:$AH,$R:$R,"",0)="","","AND A.`"&amp;_xlfn.XLOOKUP(7,$AH:$AH,$R:$R,"",0)&amp;"` = B.`"&amp;_xlfn.XLOOKUP(7,$AH:$AH,$R:$R,"",0)&amp;"`")</f>
        <v/>
      </c>
      <c r="BW38" t="s">
        <v>626</v>
      </c>
      <c r="BY38" t="s">
        <v>626</v>
      </c>
      <c r="BZ38" s="97" t="str">
        <f>IF(_xlfn.XLOOKUP(4,$AH:$AH,$R:$R,"",0)="","","AND A.`"&amp;_xlfn.XLOOKUP(4,$AH:$AH,$R:$R,"",0)&amp;"` = B.`"&amp;_xlfn.XLOOKUP(4,$AH:$AH,$R:$R,"",0)&amp;"`")</f>
        <v/>
      </c>
      <c r="CA38" t="s">
        <v>626</v>
      </c>
    </row>
    <row r="39" spans="1:79">
      <c r="A39" s="100"/>
      <c r="B39" s="34" t="s">
        <v>35</v>
      </c>
      <c r="C39" s="45"/>
      <c r="D39" s="34" t="s">
        <v>36</v>
      </c>
      <c r="E39" s="44"/>
      <c r="F39" s="44"/>
      <c r="G39" s="44"/>
      <c r="H39" s="44"/>
      <c r="I39" s="44"/>
      <c r="J39" s="44"/>
      <c r="K39" s="44"/>
      <c r="L39" s="36"/>
      <c r="M39" s="36"/>
      <c r="N39" s="36"/>
      <c r="O39" s="36"/>
      <c r="P39" s="36"/>
      <c r="Q39" s="35"/>
      <c r="R39" s="34" t="s">
        <v>37</v>
      </c>
      <c r="S39" s="36"/>
      <c r="T39" s="45"/>
      <c r="U39" s="34" t="s">
        <v>38</v>
      </c>
      <c r="V39" s="36"/>
      <c r="W39" s="44"/>
      <c r="X39" s="45"/>
      <c r="Y39" s="34" t="s">
        <v>39</v>
      </c>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5"/>
      <c r="BK39" s="4"/>
      <c r="BQ39" t="s">
        <v>626</v>
      </c>
      <c r="BS39" t="s">
        <v>626</v>
      </c>
      <c r="BU39" t="s">
        <v>626</v>
      </c>
      <c r="BV39" s="97" t="str">
        <f>IF(_xlfn.XLOOKUP(8,$AH:$AH,$R:$R,"",0)="","","AND A.`"&amp;_xlfn.XLOOKUP(8,$AH:$AH,$R:$R,"",0)&amp;"` = B.`"&amp;_xlfn.XLOOKUP(8,$AH:$AH,$R:$R,"",0)&amp;"`")</f>
        <v/>
      </c>
      <c r="BW39" t="s">
        <v>626</v>
      </c>
      <c r="BY39" t="s">
        <v>626</v>
      </c>
      <c r="BZ39" s="97" t="str">
        <f>IF(_xlfn.XLOOKUP(5,$AH:$AH,$R:$R,"",0)="","","AND A.`"&amp;_xlfn.XLOOKUP(5,$AH:$AH,$R:$R,"",0)&amp;"` = B.`"&amp;_xlfn.XLOOKUP(5,$AH:$AH,$R:$R,"",0)&amp;"`")</f>
        <v/>
      </c>
      <c r="CA39" t="s">
        <v>626</v>
      </c>
    </row>
    <row r="40" spans="1:79">
      <c r="A40" s="100"/>
      <c r="B40" s="41">
        <v>1</v>
      </c>
      <c r="C40" s="47"/>
      <c r="D40" s="41" t="str">
        <f>G10&amp;"_"&amp;R40&amp;"_"&amp;"trg"</f>
        <v>TaxTypeMaster_update_trg</v>
      </c>
      <c r="E40" s="46"/>
      <c r="F40" s="46"/>
      <c r="G40" s="46"/>
      <c r="H40" s="46"/>
      <c r="I40" s="46"/>
      <c r="J40" s="46"/>
      <c r="K40" s="46"/>
      <c r="L40" s="42"/>
      <c r="M40" s="42"/>
      <c r="N40" s="42"/>
      <c r="O40" s="42"/>
      <c r="P40" s="42"/>
      <c r="Q40" s="43"/>
      <c r="R40" s="41" t="s">
        <v>40</v>
      </c>
      <c r="S40" s="42"/>
      <c r="T40" s="47"/>
      <c r="U40" s="41" t="s">
        <v>41</v>
      </c>
      <c r="V40" s="42"/>
      <c r="W40" s="46"/>
      <c r="X40" s="47"/>
      <c r="Y40" s="41" t="s">
        <v>42</v>
      </c>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3"/>
      <c r="BK40" s="4"/>
      <c r="BQ40" t="s">
        <v>626</v>
      </c>
      <c r="BS40" t="s">
        <v>626</v>
      </c>
      <c r="BU40" t="s">
        <v>626</v>
      </c>
      <c r="BV40" s="97" t="s">
        <v>936</v>
      </c>
      <c r="BW40" t="s">
        <v>626</v>
      </c>
      <c r="BY40" t="s">
        <v>626</v>
      </c>
      <c r="BZ40" s="97" t="str">
        <f>IF(_xlfn.XLOOKUP(6,$AH:$AH,$R:$R,"",0)="","","AND A.`"&amp;_xlfn.XLOOKUP(6,$AH:$AH,$R:$R,"",0)&amp;"` = B.`"&amp;_xlfn.XLOOKUP(6,$AH:$AH,$R:$R,"",0)&amp;"`")</f>
        <v/>
      </c>
      <c r="CA40" t="s">
        <v>626</v>
      </c>
    </row>
    <row r="41" spans="1:79">
      <c r="A41" s="100"/>
      <c r="BK41" s="4"/>
      <c r="BQ41" t="s">
        <v>626</v>
      </c>
      <c r="BS41" t="s">
        <v>626</v>
      </c>
      <c r="BU41" t="s">
        <v>626</v>
      </c>
      <c r="BW41" t="s">
        <v>626</v>
      </c>
      <c r="BY41" t="s">
        <v>626</v>
      </c>
      <c r="BZ41" s="97" t="str">
        <f>IF(_xlfn.XLOOKUP(7,$AH:$AH,$R:$R,"",0)="","","AND A.`"&amp;_xlfn.XLOOKUP(7,$AH:$AH,$R:$R,"",0)&amp;"` = B.`"&amp;_xlfn.XLOOKUP(7,$AH:$AH,$R:$R,"",0)&amp;"`")</f>
        <v/>
      </c>
      <c r="CA41" t="s">
        <v>626</v>
      </c>
    </row>
    <row r="42" spans="1:79">
      <c r="A42" s="100"/>
      <c r="BK42" s="4"/>
      <c r="BQ42" t="s">
        <v>626</v>
      </c>
      <c r="BS42" t="s">
        <v>626</v>
      </c>
      <c r="BU42" t="s">
        <v>626</v>
      </c>
      <c r="BW42" t="s">
        <v>626</v>
      </c>
      <c r="BY42" t="s">
        <v>626</v>
      </c>
      <c r="BZ42" s="97" t="str">
        <f>IF(_xlfn.XLOOKUP(8,$AH:$AH,$R:$R,"",0)="","","AND A.`"&amp;_xlfn.XLOOKUP(8,$AH:$AH,$R:$R,"",0)&amp;"` = B.`"&amp;_xlfn.XLOOKUP(8,$AH:$AH,$R:$R,"",0)&amp;"`")</f>
        <v/>
      </c>
      <c r="CA42" t="s">
        <v>626</v>
      </c>
    </row>
    <row r="43" spans="1:79">
      <c r="A43" s="100"/>
      <c r="BK43" s="4"/>
      <c r="BQ43" t="s">
        <v>626</v>
      </c>
      <c r="BS43" t="s">
        <v>626</v>
      </c>
      <c r="BU43" t="s">
        <v>626</v>
      </c>
      <c r="BW43" t="s">
        <v>626</v>
      </c>
      <c r="BY43" t="s">
        <v>626</v>
      </c>
      <c r="BZ43" s="97" t="s">
        <v>929</v>
      </c>
      <c r="CA43" t="s">
        <v>626</v>
      </c>
    </row>
    <row r="44" spans="1:79">
      <c r="A44" s="100"/>
    </row>
    <row r="45" spans="1:79">
      <c r="A45" s="100"/>
    </row>
    <row r="46" spans="1:79">
      <c r="A46" s="100"/>
    </row>
    <row r="47" spans="1:79">
      <c r="A47" s="100"/>
    </row>
    <row r="48" spans="1:79">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C0754-BD2F-4252-8130-00B7DFB3518E}">
  <dimension ref="A1:CA62"/>
  <sheetViews>
    <sheetView view="pageBreakPreview" zoomScale="80" zoomScaleNormal="75" zoomScaleSheetLayoutView="80" workbookViewId="0">
      <selection activeCell="BZ26" sqref="BZ26:BZ44"/>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734</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735</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`POS_MASTER`.`ReducedTaxRateMaster`;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`POS_MASTER`.`ReducedTaxRateMaster`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1"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'C:/04_DATAFILE/ReducedTaxRateMaster/TMP/ReducedTaxRateMaster.CSV' </v>
      </c>
      <c r="BU24" t="s">
        <v>626</v>
      </c>
      <c r="BV24" s="97" t="str">
        <f>"UPDATE `POS_MASTER`.`"&amp;$G$10&amp;"` A,`TMP`.`"&amp;$G$10&amp;"` B"</f>
        <v>UPDATE `POS_MASTER`.`ReducedTaxRateMaster` A,`TMP`.`ReducedTaxRateMaster`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`TMP`.`ReducedTaxRateMaster`;</v>
      </c>
      <c r="BS25" t="s">
        <v>626</v>
      </c>
      <c r="BT25" s="97" t="str">
        <f>"REPLACE INTO TABLE TMP.`"&amp;$G$10&amp;"` CHARACTER SET 'UTF8'"</f>
        <v>REPLACE INTO TABLE TMP.`ReducedTaxRateMaster`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M26" t="s">
        <v>888</v>
      </c>
      <c r="BN26">
        <v>1</v>
      </c>
      <c r="BP26" s="97" t="s">
        <v>952</v>
      </c>
      <c r="BQ26" t="s">
        <v>626</v>
      </c>
      <c r="BR26" s="97" t="str">
        <f>"CREATE TABLE `TMP`.`"&amp;G10&amp;"` ("</f>
        <v>CREATE TABLE `TMP`.`ReducedTaxRateMaster`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v>
      </c>
      <c r="BU26" t="s">
        <v>626</v>
      </c>
      <c r="BV26" s="97"/>
      <c r="BW26" t="s">
        <v>626</v>
      </c>
      <c r="BX26" s="97" t="str">
        <f>"INSERT INTO `POS_MASTER`.`"&amp;$G$10&amp;"` ("</f>
        <v>INSERT INTO `POS_MASTER`.`ReducedTaxRateMaster`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1"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",A.`"&amp;R28&amp;"` = B.`"&amp;R28&amp;"`"</f>
        <v>,A.`StoreCode` = B.`StoreCode`</v>
      </c>
      <c r="BW28" t="s">
        <v>626</v>
      </c>
      <c r="BX28" s="97" t="str">
        <f>",`"&amp;R28&amp;"`"</f>
        <v>,`StoreCode`</v>
      </c>
      <c r="BY28" t="s">
        <v>626</v>
      </c>
      <c r="BZ28" s="97" t="str">
        <f t="shared" ref="BZ28:BZ31" si="2">",`"&amp;R28&amp;"`"</f>
        <v>,`StoreCode`</v>
      </c>
      <c r="CA28" t="s">
        <v>626</v>
      </c>
    </row>
    <row r="29" spans="1:79" ht="15" customHeight="1">
      <c r="A29" s="100" t="s">
        <v>966</v>
      </c>
      <c r="B29" s="23">
        <f t="shared" si="0"/>
        <v>9</v>
      </c>
      <c r="C29" s="24"/>
      <c r="D29" s="22" t="s">
        <v>709</v>
      </c>
      <c r="E29" s="25"/>
      <c r="F29" s="25"/>
      <c r="G29" s="25"/>
      <c r="H29" s="25"/>
      <c r="I29" s="25"/>
      <c r="J29" s="25"/>
      <c r="K29" s="25"/>
      <c r="L29" s="25"/>
      <c r="M29" s="25"/>
      <c r="N29" s="25"/>
      <c r="O29" s="25"/>
      <c r="P29" s="25"/>
      <c r="Q29" s="26"/>
      <c r="R29" s="22" t="s">
        <v>716</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,`TaxCode` varchar(2) NOT NULL COMMENT '税コード'</v>
      </c>
      <c r="BQ29" t="s">
        <v>626</v>
      </c>
      <c r="BR29" t="str">
        <f t="shared" ref="BR29:BR31" si="3">",`"&amp;R29&amp;"` "&amp;AC29&amp;" "&amp;IF(AJ29="Y","NOT NULL","")</f>
        <v>,`TaxCode` varchar(2) NOT NULL</v>
      </c>
      <c r="BS29" t="s">
        <v>626</v>
      </c>
      <c r="BT29" t="str">
        <f t="shared" ref="BT29:BT31" si="4">",`"&amp;R29&amp;"` = "&amp;IF(LEFT(AC29,4)="date", "if(@"&amp;B29-5&amp;" &gt; '0000-00-00 00:00:00', if(@"&amp;B29-5&amp;" &gt; '2999-12-31 23:59:59', '2999-12-31 23:59:59', @"&amp;B29-5&amp;"), null)","if(nullif( @"&amp;B29-5&amp;",'') &gt; '', @"&amp;B29-5&amp;", null )")</f>
        <v>,`TaxCode` = if(nullif( @4,'') &gt; '', @4, null )</v>
      </c>
      <c r="BU29" t="s">
        <v>626</v>
      </c>
      <c r="BV29" s="97" t="str">
        <f>",A.`"&amp;R29&amp;"` = B.`"&amp;R29&amp;"`"</f>
        <v>,A.`TaxCode` = B.`TaxCode`</v>
      </c>
      <c r="BW29" t="s">
        <v>626</v>
      </c>
      <c r="BX29" s="97" t="str">
        <f>",`"&amp;R29&amp;"`"</f>
        <v>,`TaxCode`</v>
      </c>
      <c r="BY29" t="s">
        <v>626</v>
      </c>
      <c r="BZ29" s="97" t="str">
        <f t="shared" si="2"/>
        <v>,`TaxCode`</v>
      </c>
      <c r="CA29" t="s">
        <v>626</v>
      </c>
    </row>
    <row r="30" spans="1:79" ht="15" customHeight="1">
      <c r="A30" s="100" t="s">
        <v>967</v>
      </c>
      <c r="B30" s="23">
        <f t="shared" si="0"/>
        <v>10</v>
      </c>
      <c r="C30" s="24"/>
      <c r="D30" s="22" t="s">
        <v>737</v>
      </c>
      <c r="E30" s="25"/>
      <c r="F30" s="25"/>
      <c r="G30" s="25"/>
      <c r="H30" s="25"/>
      <c r="I30" s="25"/>
      <c r="J30" s="25"/>
      <c r="K30" s="25"/>
      <c r="L30" s="25"/>
      <c r="M30" s="25"/>
      <c r="N30" s="25"/>
      <c r="O30" s="25"/>
      <c r="P30" s="25"/>
      <c r="Q30" s="26"/>
      <c r="R30" s="22" t="s">
        <v>736</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char(1)</v>
      </c>
      <c r="AD30" s="25"/>
      <c r="AE30" s="25"/>
      <c r="AF30" s="25"/>
      <c r="AG30" s="26"/>
      <c r="AH30" s="22"/>
      <c r="AI30" s="26"/>
      <c r="AJ30" s="22" t="s">
        <v>885</v>
      </c>
      <c r="AK30" s="25"/>
      <c r="AL30" s="26"/>
      <c r="AM30" s="22"/>
      <c r="AN30" s="25"/>
      <c r="AO30" s="25"/>
      <c r="AP30" s="25"/>
      <c r="AQ30" s="25"/>
      <c r="AR30" s="25"/>
      <c r="AS30" s="26"/>
      <c r="AT30" s="22" t="s">
        <v>739</v>
      </c>
      <c r="AU30" s="25"/>
      <c r="AV30" s="25"/>
      <c r="AW30" s="25"/>
      <c r="AX30" s="25"/>
      <c r="AY30" s="25"/>
      <c r="AZ30" s="25"/>
      <c r="BA30" s="25"/>
      <c r="BB30" s="25"/>
      <c r="BC30" s="25"/>
      <c r="BD30" s="25"/>
      <c r="BE30" s="25"/>
      <c r="BF30" s="25"/>
      <c r="BG30" s="25"/>
      <c r="BH30" s="25"/>
      <c r="BI30" s="25"/>
      <c r="BJ30" s="26"/>
      <c r="BK30" s="4"/>
      <c r="BM30" t="s">
        <v>896</v>
      </c>
      <c r="BP30" t="str">
        <f t="shared" si="1"/>
        <v>,`IsReducedTaxRate` char(1) NOT NULL COMMENT '軽減税率対象フラグ'</v>
      </c>
      <c r="BQ30" t="s">
        <v>626</v>
      </c>
      <c r="BR30" t="str">
        <f t="shared" si="3"/>
        <v>,`IsReducedTaxRate` char(1) NOT NULL</v>
      </c>
      <c r="BS30" t="s">
        <v>626</v>
      </c>
      <c r="BT30" t="str">
        <f t="shared" si="4"/>
        <v>,`IsReducedTaxRate` = if(nullif( @5,'') &gt; '', @5, null )</v>
      </c>
      <c r="BU30" t="s">
        <v>626</v>
      </c>
      <c r="BV30" s="97" t="str">
        <f>",A.`"&amp;R30&amp;"` = B.`"&amp;R30&amp;"`"</f>
        <v>,A.`IsReducedTaxRate` = B.`IsReducedTaxRate`</v>
      </c>
      <c r="BW30" t="s">
        <v>626</v>
      </c>
      <c r="BX30" s="97" t="str">
        <f>",`"&amp;R30&amp;"`"</f>
        <v>,`IsReducedTaxRate`</v>
      </c>
      <c r="BY30" t="s">
        <v>626</v>
      </c>
      <c r="BZ30" s="97" t="str">
        <f t="shared" si="2"/>
        <v>,`IsReducedTaxRate`</v>
      </c>
      <c r="CA30" t="s">
        <v>626</v>
      </c>
    </row>
    <row r="31" spans="1:79" ht="15" customHeight="1">
      <c r="A31" s="100" t="s">
        <v>968</v>
      </c>
      <c r="B31" s="28">
        <f t="shared" si="0"/>
        <v>11</v>
      </c>
      <c r="C31" s="29"/>
      <c r="D31" s="30" t="s">
        <v>738</v>
      </c>
      <c r="E31" s="31"/>
      <c r="F31" s="31"/>
      <c r="G31" s="31"/>
      <c r="H31" s="31"/>
      <c r="I31" s="31"/>
      <c r="J31" s="31"/>
      <c r="K31" s="31"/>
      <c r="L31" s="31"/>
      <c r="M31" s="31"/>
      <c r="N31" s="31"/>
      <c r="O31" s="31"/>
      <c r="P31" s="31"/>
      <c r="Q31" s="32"/>
      <c r="R31" s="30" t="s">
        <v>741</v>
      </c>
      <c r="S31" s="31"/>
      <c r="T31" s="31"/>
      <c r="U31" s="31"/>
      <c r="V31" s="31"/>
      <c r="W31" s="31"/>
      <c r="X31" s="31"/>
      <c r="Y31" s="31"/>
      <c r="Z31" s="31"/>
      <c r="AA31" s="31"/>
      <c r="AB31" s="32"/>
      <c r="AC31" s="30" t="str" cm="1">
        <f t="array" ref="AC31">_xlfn.SWITCH(BM31,"nvarchar","varchar("&amp;BN31&amp;")","smallint","smallint","date","date","money","decimal(19,4)","numeric","numeric("&amp;BN31&amp;")","int","int","bit","char(1)","datetime2","datetime","time","time")</f>
        <v>varchar(2)</v>
      </c>
      <c r="AD31" s="31"/>
      <c r="AE31" s="31"/>
      <c r="AF31" s="31"/>
      <c r="AG31" s="32"/>
      <c r="AH31" s="30"/>
      <c r="AI31" s="32"/>
      <c r="AJ31" s="30"/>
      <c r="AK31" s="31"/>
      <c r="AL31" s="32"/>
      <c r="AM31" s="30"/>
      <c r="AN31" s="31"/>
      <c r="AO31" s="31"/>
      <c r="AP31" s="31"/>
      <c r="AQ31" s="31"/>
      <c r="AR31" s="31"/>
      <c r="AS31" s="32"/>
      <c r="AT31" s="30" t="s">
        <v>740</v>
      </c>
      <c r="AU31" s="31"/>
      <c r="AV31" s="31"/>
      <c r="AW31" s="31"/>
      <c r="AX31" s="31"/>
      <c r="AY31" s="31"/>
      <c r="AZ31" s="31"/>
      <c r="BA31" s="31"/>
      <c r="BB31" s="31"/>
      <c r="BC31" s="31"/>
      <c r="BD31" s="31"/>
      <c r="BE31" s="31"/>
      <c r="BF31" s="31"/>
      <c r="BG31" s="31"/>
      <c r="BH31" s="31"/>
      <c r="BI31" s="31"/>
      <c r="BJ31" s="32"/>
      <c r="BK31" s="4"/>
      <c r="BM31" t="s">
        <v>888</v>
      </c>
      <c r="BN31">
        <v>2</v>
      </c>
      <c r="BP31" t="str">
        <f t="shared" si="1"/>
        <v>,`SwitchTaxGroupCode` varchar(2)  COMMENT '変更先税グループコード'</v>
      </c>
      <c r="BQ31" t="s">
        <v>626</v>
      </c>
      <c r="BR31" t="str">
        <f t="shared" si="3"/>
        <v xml:space="preserve">,`SwitchTaxGroupCode` varchar(2) </v>
      </c>
      <c r="BS31" t="s">
        <v>626</v>
      </c>
      <c r="BT31" t="str">
        <f t="shared" si="4"/>
        <v>,`SwitchTaxGroupCode` = if(nullif( @6,'') &gt; '', @6, null )</v>
      </c>
      <c r="BU31" t="s">
        <v>626</v>
      </c>
      <c r="BV31" s="97" t="str">
        <f>",A.`"&amp;R31&amp;"` = B.`"&amp;R31&amp;"`"</f>
        <v>,A.`SwitchTaxGroupCode` = B.`SwitchTaxGroupCode`</v>
      </c>
      <c r="BW31" t="s">
        <v>626</v>
      </c>
      <c r="BX31" s="97" t="str">
        <f>",`"&amp;R31&amp;"`"</f>
        <v>,`SwitchTaxGroupCode`</v>
      </c>
      <c r="BY31" t="s">
        <v>626</v>
      </c>
      <c r="BZ31" s="97" t="str">
        <f t="shared" si="2"/>
        <v>,`SwitchTaxGroupCode`</v>
      </c>
      <c r="CA31" t="s">
        <v>626</v>
      </c>
    </row>
    <row r="32" spans="1:79" ht="15" customHeight="1">
      <c r="A32" s="100"/>
      <c r="BK32" s="4"/>
      <c r="BP32"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(`CompanyCode`,`StoreCode`,`TaxCode`),</v>
      </c>
      <c r="BQ32" t="s">
        <v>626</v>
      </c>
      <c r="BR32"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(`CompanyCode`,`StoreCode`,`TaxCode`)</v>
      </c>
      <c r="BS32" t="s">
        <v>626</v>
      </c>
      <c r="BT32" s="97" t="s">
        <v>936</v>
      </c>
      <c r="BU32" t="s">
        <v>626</v>
      </c>
      <c r="BV32" s="97" t="s">
        <v>934</v>
      </c>
      <c r="BW32" t="s">
        <v>626</v>
      </c>
      <c r="BY32" t="s">
        <v>626</v>
      </c>
      <c r="BZ32" s="97" t="str">
        <f>"FROM `TMP`.`"&amp;$G$10&amp;"` A"</f>
        <v>FROM `TMP`.`ReducedTaxRateMaster` A</v>
      </c>
      <c r="CA32" t="s">
        <v>626</v>
      </c>
    </row>
    <row r="33" spans="1:79" ht="15" customHeight="1">
      <c r="A33" s="100"/>
      <c r="BK33" s="4"/>
      <c r="BP33" s="97" t="s">
        <v>452</v>
      </c>
      <c r="BQ33" t="s">
        <v>626</v>
      </c>
      <c r="BR33" s="97" t="str">
        <f>") ENGINE=InnoDB DEFAULT CHARSET=utf8mb4 COLLATE=utf8mb4_0900_ai_ci COMMENT = '"&amp;$G$9&amp;"_TMP';"</f>
        <v>) ENGINE=InnoDB DEFAULT CHARSET=utf8mb4 COLLATE=utf8mb4_0900_ai_ci COMMENT = '軽減税率マスタ_TMP';</v>
      </c>
      <c r="BS33" t="s">
        <v>626</v>
      </c>
      <c r="BU33" t="s">
        <v>626</v>
      </c>
      <c r="BV33" s="97" t="str">
        <f>IF(_xlfn.XLOOKUP(1,$AH:$AH,$R:$R,"",0)="","","A.`"&amp;_xlfn.XLOOKUP(1,$AH:$AH,$R:$R,"",0)&amp;"` = B.`"&amp;_xlfn.XLOOKUP(1,$AH:$AH,$R:$R,"",0)&amp;"`")</f>
        <v>A.`CompanyCode` = B.`CompanyCode`</v>
      </c>
      <c r="BW33" t="s">
        <v>626</v>
      </c>
      <c r="BY33" t="s">
        <v>626</v>
      </c>
      <c r="BZ33" s="97" t="s">
        <v>935</v>
      </c>
      <c r="CA33" t="s">
        <v>626</v>
      </c>
    </row>
    <row r="34" spans="1:79" ht="15" customHeight="1">
      <c r="A34" s="100"/>
      <c r="B34" s="37" t="s">
        <v>49</v>
      </c>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4"/>
      <c r="BP34" s="97" t="str">
        <f>") ENGINE=InnoDB DEFAULT CHARSET=utf8mb4 COLLATE=utf8mb4_0900_ai_ci COMMENT = '"&amp;$G$9&amp;"';"</f>
        <v>) ENGINE=InnoDB DEFAULT CHARSET=utf8mb4 COLLATE=utf8mb4_0900_ai_ci COMMENT = '軽減税率マスタ';</v>
      </c>
      <c r="BQ34" t="s">
        <v>626</v>
      </c>
      <c r="BS34" t="s">
        <v>626</v>
      </c>
      <c r="BU34" t="s">
        <v>626</v>
      </c>
      <c r="BV34" s="97" t="str">
        <f>IF(_xlfn.XLOOKUP(2,$AH:$AH,$R:$R,"",0)="","","AND A.`"&amp;_xlfn.XLOOKUP(2,$AH:$AH,$R:$R,"",0)&amp;"` = B.`"&amp;_xlfn.XLOOKUP(2,$AH:$AH,$R:$R,"",0)&amp;"`")</f>
        <v>AND A.`StoreCode` = B.`StoreCode`</v>
      </c>
      <c r="BW34" t="s">
        <v>626</v>
      </c>
      <c r="BY34" t="s">
        <v>626</v>
      </c>
      <c r="BZ34" s="97" t="str">
        <f>"FROM `POS_MASTER`.`"&amp;$G$10&amp;"` B"</f>
        <v>FROM `POS_MASTER`.`ReducedTaxRateMaster` B</v>
      </c>
      <c r="CA34" t="s">
        <v>626</v>
      </c>
    </row>
    <row r="35" spans="1:79" ht="15" customHeight="1">
      <c r="A35" s="100"/>
      <c r="B35" s="34" t="s">
        <v>50</v>
      </c>
      <c r="C35" s="35"/>
      <c r="D35" s="34" t="s">
        <v>51</v>
      </c>
      <c r="E35" s="44"/>
      <c r="F35" s="36"/>
      <c r="G35" s="36"/>
      <c r="H35" s="36"/>
      <c r="I35" s="36"/>
      <c r="J35" s="36"/>
      <c r="K35" s="36"/>
      <c r="L35" s="36"/>
      <c r="M35" s="36"/>
      <c r="N35" s="36"/>
      <c r="O35" s="36"/>
      <c r="P35" s="36"/>
      <c r="Q35" s="35"/>
      <c r="R35" s="34" t="s">
        <v>52</v>
      </c>
      <c r="S35" s="44"/>
      <c r="T35" s="36"/>
      <c r="U35" s="36"/>
      <c r="V35" s="36"/>
      <c r="W35" s="36"/>
      <c r="X35" s="36"/>
      <c r="Y35" s="36"/>
      <c r="Z35" s="36"/>
      <c r="AA35" s="36"/>
      <c r="AB35" s="36"/>
      <c r="AC35" s="36"/>
      <c r="AD35" s="36"/>
      <c r="AE35" s="36"/>
      <c r="AF35" s="36"/>
      <c r="AG35" s="36"/>
      <c r="AH35" s="36"/>
      <c r="AI35" s="36"/>
      <c r="AJ35" s="36"/>
      <c r="AK35" s="35"/>
      <c r="AL35" s="34" t="s">
        <v>53</v>
      </c>
      <c r="AM35" s="36"/>
      <c r="AN35" s="36"/>
      <c r="AO35" s="45"/>
      <c r="AP35" s="34" t="s">
        <v>54</v>
      </c>
      <c r="AQ35" s="36"/>
      <c r="AR35" s="36"/>
      <c r="AS35" s="35"/>
      <c r="AT35" s="34" t="s">
        <v>48</v>
      </c>
      <c r="AU35" s="44"/>
      <c r="AV35" s="44"/>
      <c r="AW35" s="36"/>
      <c r="AX35" s="36"/>
      <c r="AY35" s="44"/>
      <c r="AZ35" s="36"/>
      <c r="BA35" s="36"/>
      <c r="BB35" s="36"/>
      <c r="BC35" s="36"/>
      <c r="BD35" s="36"/>
      <c r="BE35" s="36"/>
      <c r="BF35" s="36"/>
      <c r="BG35" s="36"/>
      <c r="BH35" s="36"/>
      <c r="BI35" s="44"/>
      <c r="BJ35" s="35"/>
      <c r="BK35" s="4"/>
      <c r="BP35" s="97"/>
      <c r="BQ35" t="s">
        <v>626</v>
      </c>
      <c r="BS35" t="s">
        <v>626</v>
      </c>
      <c r="BU35" t="s">
        <v>626</v>
      </c>
      <c r="BV35" s="97" t="str">
        <f>IF(_xlfn.XLOOKUP(3,$AH:$AH,$R:$R,"",0)="","","AND A.`"&amp;_xlfn.XLOOKUP(3,$AH:$AH,$R:$R,"",0)&amp;"` = B.`"&amp;_xlfn.XLOOKUP(3,$AH:$AH,$R:$R,"",0)&amp;"`")</f>
        <v>AND A.`TaxCode` = B.`TaxCode`</v>
      </c>
      <c r="BW35" t="s">
        <v>626</v>
      </c>
      <c r="BY35" t="s">
        <v>626</v>
      </c>
      <c r="BZ35" s="97" t="s">
        <v>932</v>
      </c>
      <c r="CA35" t="s">
        <v>626</v>
      </c>
    </row>
    <row r="36" spans="1:79" ht="15" customHeight="1">
      <c r="A36" s="100"/>
      <c r="B36" s="38">
        <v>1</v>
      </c>
      <c r="C36" s="39"/>
      <c r="D36" s="38" t="s">
        <v>55</v>
      </c>
      <c r="E36" s="46"/>
      <c r="F36" s="40"/>
      <c r="G36" s="40"/>
      <c r="H36" s="40"/>
      <c r="I36" s="40"/>
      <c r="J36" s="40"/>
      <c r="K36" s="40"/>
      <c r="L36" s="40"/>
      <c r="M36" s="40"/>
      <c r="N36" s="40"/>
      <c r="O36" s="40"/>
      <c r="P36" s="40"/>
      <c r="Q36" s="39"/>
      <c r="R36"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`CompanyCode`,`StoreCode`,`TaxCode`</v>
      </c>
      <c r="S36" s="46"/>
      <c r="T36" s="40"/>
      <c r="U36" s="40"/>
      <c r="V36" s="40"/>
      <c r="W36" s="40"/>
      <c r="X36" s="40"/>
      <c r="Y36" s="40"/>
      <c r="Z36" s="40"/>
      <c r="AA36" s="40"/>
      <c r="AB36" s="40"/>
      <c r="AC36" s="40"/>
      <c r="AD36" s="40"/>
      <c r="AE36" s="40"/>
      <c r="AF36" s="40"/>
      <c r="AG36" s="40"/>
      <c r="AH36" s="40"/>
      <c r="AI36" s="40"/>
      <c r="AJ36" s="40"/>
      <c r="AK36" s="39"/>
      <c r="AL36" s="38" t="s">
        <v>885</v>
      </c>
      <c r="AM36" s="40"/>
      <c r="AN36" s="40"/>
      <c r="AO36" s="47"/>
      <c r="AP36" s="38" t="s">
        <v>885</v>
      </c>
      <c r="AQ36" s="40"/>
      <c r="AR36" s="40"/>
      <c r="AS36" s="39"/>
      <c r="AT36" s="38"/>
      <c r="AU36" s="46"/>
      <c r="AV36" s="46"/>
      <c r="AW36" s="40"/>
      <c r="AX36" s="40"/>
      <c r="AY36" s="46"/>
      <c r="AZ36" s="40"/>
      <c r="BA36" s="40"/>
      <c r="BB36" s="40"/>
      <c r="BC36" s="40"/>
      <c r="BD36" s="40"/>
      <c r="BE36" s="40"/>
      <c r="BF36" s="40"/>
      <c r="BG36" s="40"/>
      <c r="BH36" s="40"/>
      <c r="BI36" s="46"/>
      <c r="BJ36" s="39"/>
      <c r="BK36" s="4"/>
      <c r="BP36" s="97" t="str">
        <f>"CREATE TRIGGER `"&amp;$G$10&amp;"_CR_Date_Time` BEFORE INSERT ON `"&amp;$G$10&amp;"` FOR EACH ROW SET NEW.record_create_date = CURRENT_DATE, NEW.record_create_time = CURRENT_TIME, NEW.record_update_date = CURRENT_DATE, NEW.record_update_time = CURRENT_TIME;"</f>
        <v>CREATE TRIGGER `ReducedTaxRateMaster_CR_Date_Time` BEFORE INSERT ON `ReducedTaxRateMaster` FOR EACH ROW SET NEW.record_create_date = CURRENT_DATE, NEW.record_create_time = CURRENT_TIME, NEW.record_update_date = CURRENT_DATE, NEW.record_update_time = CURRENT_TIME;</v>
      </c>
      <c r="BQ36" t="s">
        <v>626</v>
      </c>
      <c r="BS36" t="s">
        <v>626</v>
      </c>
      <c r="BU36" t="s">
        <v>626</v>
      </c>
      <c r="BV36" s="97" t="str">
        <f>IF(_xlfn.XLOOKUP(4,$AH:$AH,$R:$R,"",0)="","","AND A.`"&amp;_xlfn.XLOOKUP(4,$AH:$AH,$R:$R,"",0)&amp;"` = B.`"&amp;_xlfn.XLOOKUP(4,$AH:$AH,$R:$R,"",0)&amp;"`")</f>
        <v/>
      </c>
      <c r="BW36" t="s">
        <v>626</v>
      </c>
      <c r="BY36" t="s">
        <v>626</v>
      </c>
      <c r="BZ36" s="97" t="str">
        <f>IF(_xlfn.XLOOKUP(1,$AH:$AH,$R:$R,"",0)="","","A.`"&amp;_xlfn.XLOOKUP(1,$AH:$AH,$R:$R,"",0)&amp;"` = B.`"&amp;_xlfn.XLOOKUP(1,$AH:$AH,$R:$R,"",0)&amp;"`")</f>
        <v>A.`CompanyCode` = B.`CompanyCode`</v>
      </c>
      <c r="CA36" t="s">
        <v>626</v>
      </c>
    </row>
    <row r="37" spans="1:79" ht="15" customHeight="1">
      <c r="A37" s="100"/>
      <c r="BK37" s="4"/>
      <c r="BP37" s="97" t="str">
        <f>"CREATE TRIGGER `"&amp;$G$10&amp;"_UP_Date_Time` BEFORE UPDATE ON `"&amp;$G$10&amp;"` FOR EACH ROW SET NEW.record_update_date = CURRENT_DATE, NEW.record_update_time = CURRENT_TIME;"</f>
        <v>CREATE TRIGGER `ReducedTaxRateMaster_UP_Date_Time` BEFORE UPDATE ON `ReducedTaxRateMaster` FOR EACH ROW SET NEW.record_update_date = CURRENT_DATE, NEW.record_update_time = CURRENT_TIME;</v>
      </c>
      <c r="BQ37" t="s">
        <v>626</v>
      </c>
      <c r="BS37" t="s">
        <v>626</v>
      </c>
      <c r="BU37" t="s">
        <v>626</v>
      </c>
      <c r="BV37" s="97" t="str">
        <f>IF(_xlfn.XLOOKUP(5,$AH:$AH,$R:$R,"",0)="","","AND A.`"&amp;_xlfn.XLOOKUP(5,$AH:$AH,$R:$R,"",0)&amp;"` = B.`"&amp;_xlfn.XLOOKUP(5,$AH:$AH,$R:$R,"",0)&amp;"`")</f>
        <v/>
      </c>
      <c r="BW37" t="s">
        <v>626</v>
      </c>
      <c r="BY37" t="s">
        <v>626</v>
      </c>
      <c r="BZ37" s="97" t="str">
        <f>IF(_xlfn.XLOOKUP(2,$AH:$AH,$R:$R,"",0)="","","AND A.`"&amp;_xlfn.XLOOKUP(2,$AH:$AH,$R:$R,"",0)&amp;"` = B.`"&amp;_xlfn.XLOOKUP(2,$AH:$AH,$R:$R,"",0)&amp;"`")</f>
        <v>AND A.`StoreCode` = B.`StoreCode`</v>
      </c>
      <c r="CA37" t="s">
        <v>626</v>
      </c>
    </row>
    <row r="38" spans="1:79" ht="15" customHeight="1">
      <c r="A38" s="100"/>
      <c r="BK38" s="4"/>
      <c r="BQ38" t="s">
        <v>626</v>
      </c>
      <c r="BS38" t="s">
        <v>626</v>
      </c>
      <c r="BU38" t="s">
        <v>626</v>
      </c>
      <c r="BV38" s="97" t="str">
        <f>IF(_xlfn.XLOOKUP(6,$AH:$AH,$R:$R,"",0)="","","AND A.`"&amp;_xlfn.XLOOKUP(6,$AH:$AH,$R:$R,"",0)&amp;"` = B.`"&amp;_xlfn.XLOOKUP(6,$AH:$AH,$R:$R,"",0)&amp;"`")</f>
        <v/>
      </c>
      <c r="BW38" t="s">
        <v>626</v>
      </c>
      <c r="BY38" t="s">
        <v>626</v>
      </c>
      <c r="BZ38" s="97" t="str">
        <f>IF(_xlfn.XLOOKUP(3,$AH:$AH,$R:$R,"",0)="","","AND A.`"&amp;_xlfn.XLOOKUP(3,$AH:$AH,$R:$R,"",0)&amp;"` = B.`"&amp;_xlfn.XLOOKUP(3,$AH:$AH,$R:$R,"",0)&amp;"`")</f>
        <v>AND A.`TaxCode` = B.`TaxCode`</v>
      </c>
      <c r="CA38" t="s">
        <v>626</v>
      </c>
    </row>
    <row r="39" spans="1:79">
      <c r="A39" s="100"/>
      <c r="B39" s="37" t="s">
        <v>34</v>
      </c>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4"/>
      <c r="BQ39" t="s">
        <v>626</v>
      </c>
      <c r="BS39" t="s">
        <v>626</v>
      </c>
      <c r="BU39" t="s">
        <v>626</v>
      </c>
      <c r="BV39" s="97" t="str">
        <f>IF(_xlfn.XLOOKUP(7,$AH:$AH,$R:$R,"",0)="","","AND A.`"&amp;_xlfn.XLOOKUP(7,$AH:$AH,$R:$R,"",0)&amp;"` = B.`"&amp;_xlfn.XLOOKUP(7,$AH:$AH,$R:$R,"",0)&amp;"`")</f>
        <v/>
      </c>
      <c r="BW39" t="s">
        <v>626</v>
      </c>
      <c r="BY39" t="s">
        <v>626</v>
      </c>
      <c r="BZ39" s="97" t="str">
        <f>IF(_xlfn.XLOOKUP(4,$AH:$AH,$R:$R,"",0)="","","AND A.`"&amp;_xlfn.XLOOKUP(4,$AH:$AH,$R:$R,"",0)&amp;"` = B.`"&amp;_xlfn.XLOOKUP(4,$AH:$AH,$R:$R,"",0)&amp;"`")</f>
        <v/>
      </c>
      <c r="CA39" t="s">
        <v>626</v>
      </c>
    </row>
    <row r="40" spans="1:79">
      <c r="A40" s="100"/>
      <c r="B40" s="34" t="s">
        <v>35</v>
      </c>
      <c r="C40" s="45"/>
      <c r="D40" s="34" t="s">
        <v>36</v>
      </c>
      <c r="E40" s="44"/>
      <c r="F40" s="44"/>
      <c r="G40" s="44"/>
      <c r="H40" s="44"/>
      <c r="I40" s="44"/>
      <c r="J40" s="44"/>
      <c r="K40" s="44"/>
      <c r="L40" s="36"/>
      <c r="M40" s="36"/>
      <c r="N40" s="36"/>
      <c r="O40" s="36"/>
      <c r="P40" s="36"/>
      <c r="Q40" s="35"/>
      <c r="R40" s="34" t="s">
        <v>37</v>
      </c>
      <c r="S40" s="36"/>
      <c r="T40" s="45"/>
      <c r="U40" s="34" t="s">
        <v>38</v>
      </c>
      <c r="V40" s="36"/>
      <c r="W40" s="44"/>
      <c r="X40" s="45"/>
      <c r="Y40" s="34" t="s">
        <v>39</v>
      </c>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5"/>
      <c r="BK40" s="4"/>
      <c r="BQ40" t="s">
        <v>626</v>
      </c>
      <c r="BS40" t="s">
        <v>626</v>
      </c>
      <c r="BU40" t="s">
        <v>626</v>
      </c>
      <c r="BV40" s="97" t="str">
        <f>IF(_xlfn.XLOOKUP(8,$AH:$AH,$R:$R,"",0)="","","AND A.`"&amp;_xlfn.XLOOKUP(8,$AH:$AH,$R:$R,"",0)&amp;"` = B.`"&amp;_xlfn.XLOOKUP(8,$AH:$AH,$R:$R,"",0)&amp;"`")</f>
        <v/>
      </c>
      <c r="BW40" t="s">
        <v>626</v>
      </c>
      <c r="BY40" t="s">
        <v>626</v>
      </c>
      <c r="BZ40" s="97" t="str">
        <f>IF(_xlfn.XLOOKUP(5,$AH:$AH,$R:$R,"",0)="","","AND A.`"&amp;_xlfn.XLOOKUP(5,$AH:$AH,$R:$R,"",0)&amp;"` = B.`"&amp;_xlfn.XLOOKUP(5,$AH:$AH,$R:$R,"",0)&amp;"`")</f>
        <v/>
      </c>
      <c r="CA40" t="s">
        <v>626</v>
      </c>
    </row>
    <row r="41" spans="1:79">
      <c r="A41" s="100"/>
      <c r="B41" s="41">
        <v>1</v>
      </c>
      <c r="C41" s="47"/>
      <c r="D41" s="41" t="str">
        <f>G10&amp;"_"&amp;R41&amp;"_"&amp;"trg"</f>
        <v>ReducedTaxRateMaster_update_trg</v>
      </c>
      <c r="E41" s="46"/>
      <c r="F41" s="46"/>
      <c r="G41" s="46"/>
      <c r="H41" s="46"/>
      <c r="I41" s="46"/>
      <c r="J41" s="46"/>
      <c r="K41" s="46"/>
      <c r="L41" s="42"/>
      <c r="M41" s="42"/>
      <c r="N41" s="42"/>
      <c r="O41" s="42"/>
      <c r="P41" s="42"/>
      <c r="Q41" s="43"/>
      <c r="R41" s="41" t="s">
        <v>40</v>
      </c>
      <c r="S41" s="42"/>
      <c r="T41" s="47"/>
      <c r="U41" s="41" t="s">
        <v>41</v>
      </c>
      <c r="V41" s="42"/>
      <c r="W41" s="46"/>
      <c r="X41" s="47"/>
      <c r="Y41" s="41" t="s">
        <v>42</v>
      </c>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3"/>
      <c r="BK41" s="4"/>
      <c r="BQ41" t="s">
        <v>626</v>
      </c>
      <c r="BS41" t="s">
        <v>626</v>
      </c>
      <c r="BU41" t="s">
        <v>626</v>
      </c>
      <c r="BV41" s="97" t="s">
        <v>936</v>
      </c>
      <c r="BW41" t="s">
        <v>626</v>
      </c>
      <c r="BY41" t="s">
        <v>626</v>
      </c>
      <c r="BZ41" s="97" t="str">
        <f>IF(_xlfn.XLOOKUP(6,$AH:$AH,$R:$R,"",0)="","","AND A.`"&amp;_xlfn.XLOOKUP(6,$AH:$AH,$R:$R,"",0)&amp;"` = B.`"&amp;_xlfn.XLOOKUP(6,$AH:$AH,$R:$R,"",0)&amp;"`")</f>
        <v/>
      </c>
      <c r="CA41" t="s">
        <v>626</v>
      </c>
    </row>
    <row r="42" spans="1:79">
      <c r="A42" s="100"/>
      <c r="BK42" s="4"/>
      <c r="BQ42" t="s">
        <v>626</v>
      </c>
      <c r="BS42" t="s">
        <v>626</v>
      </c>
      <c r="BU42" t="s">
        <v>626</v>
      </c>
      <c r="BW42" t="s">
        <v>626</v>
      </c>
      <c r="BY42" t="s">
        <v>626</v>
      </c>
      <c r="BZ42" s="97" t="str">
        <f>IF(_xlfn.XLOOKUP(7,$AH:$AH,$R:$R,"",0)="","","AND A.`"&amp;_xlfn.XLOOKUP(7,$AH:$AH,$R:$R,"",0)&amp;"` = B.`"&amp;_xlfn.XLOOKUP(7,$AH:$AH,$R:$R,"",0)&amp;"`")</f>
        <v/>
      </c>
      <c r="CA42" t="s">
        <v>626</v>
      </c>
    </row>
    <row r="43" spans="1:79">
      <c r="A43" s="100"/>
      <c r="BK43" s="4"/>
      <c r="BQ43" t="s">
        <v>626</v>
      </c>
      <c r="BS43" t="s">
        <v>626</v>
      </c>
      <c r="BU43" t="s">
        <v>626</v>
      </c>
      <c r="BW43" t="s">
        <v>626</v>
      </c>
      <c r="BY43" t="s">
        <v>626</v>
      </c>
      <c r="BZ43" s="97" t="str">
        <f>IF(_xlfn.XLOOKUP(8,$AH:$AH,$R:$R,"",0)="","","AND A.`"&amp;_xlfn.XLOOKUP(8,$AH:$AH,$R:$R,"",0)&amp;"` = B.`"&amp;_xlfn.XLOOKUP(8,$AH:$AH,$R:$R,"",0)&amp;"`")</f>
        <v/>
      </c>
      <c r="CA43" t="s">
        <v>626</v>
      </c>
    </row>
    <row r="44" spans="1:79">
      <c r="A44" s="100"/>
      <c r="BK44" s="4"/>
      <c r="BQ44" t="s">
        <v>626</v>
      </c>
      <c r="BS44" t="s">
        <v>626</v>
      </c>
      <c r="BU44" t="s">
        <v>626</v>
      </c>
      <c r="BW44" t="s">
        <v>626</v>
      </c>
      <c r="BY44" t="s">
        <v>626</v>
      </c>
      <c r="BZ44" s="97" t="s">
        <v>929</v>
      </c>
      <c r="CA44" t="s">
        <v>626</v>
      </c>
    </row>
    <row r="45" spans="1:79">
      <c r="A45" s="100"/>
    </row>
    <row r="46" spans="1:79">
      <c r="A46" s="100"/>
    </row>
    <row r="47" spans="1:79">
      <c r="A47" s="100"/>
    </row>
    <row r="48" spans="1:79">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F73A5-5DEC-427D-877B-99418A0E7EAC}">
  <dimension ref="A1:CA62"/>
  <sheetViews>
    <sheetView view="pageBreakPreview" topLeftCell="A29" zoomScale="80" zoomScaleNormal="75" zoomScaleSheetLayoutView="80" workbookViewId="0">
      <selection activeCell="BZ26" sqref="BZ26:BZ58"/>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785</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786</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`POS_MASTER`.`PaymentTicketMaster`;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`POS_MASTER`.`PaymentTicketMaster`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45"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'C:/04_DATAFILE/PaymentTicketMaster/TMP/PaymentTicketMaster.CSV' </v>
      </c>
      <c r="BU24" t="s">
        <v>626</v>
      </c>
      <c r="BV24" s="97" t="str">
        <f>"UPDATE `POS_MASTER`.`"&amp;$G$10&amp;"` A,`TMP`.`"&amp;$G$10&amp;"` B"</f>
        <v>UPDATE `POS_MASTER`.`PaymentTicketMaster` A,`TMP`.`PaymentTicketMaster`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`TMP`.`PaymentTicketMaster`;</v>
      </c>
      <c r="BS25" t="s">
        <v>626</v>
      </c>
      <c r="BT25" s="97" t="str">
        <f>"REPLACE INTO TABLE TMP.`"&amp;$G$10&amp;"` CHARACTER SET 'UTF8'"</f>
        <v>REPLACE INTO TABLE TMP.`PaymentTicketMaster`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`TMP`.`PaymentTicketMaster`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v>
      </c>
      <c r="BU26" t="s">
        <v>626</v>
      </c>
      <c r="BV26" s="97"/>
      <c r="BW26" t="s">
        <v>626</v>
      </c>
      <c r="BX26" s="97" t="str">
        <f>"INSERT INTO `POS_MASTER`.`"&amp;$G$10&amp;"` ("</f>
        <v>INSERT INTO `POS_MASTER`.`PaymentTicketMaster`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45"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5" si="2">",A.`"&amp;R28&amp;"` = B.`"&amp;R28&amp;"`"</f>
        <v>,A.`StoreCode` = B.`StoreCode`</v>
      </c>
      <c r="BW28" t="s">
        <v>626</v>
      </c>
      <c r="BX28" s="97" t="str">
        <f t="shared" ref="BX28:BX45" si="3">",`"&amp;R28&amp;"`"</f>
        <v>,`StoreCode`</v>
      </c>
      <c r="BY28" t="s">
        <v>626</v>
      </c>
      <c r="BZ28" s="97" t="str">
        <f t="shared" ref="BZ28:BZ45" si="4">",`"&amp;R28&amp;"`"</f>
        <v>,`StoreCode`</v>
      </c>
      <c r="CA28" t="s">
        <v>626</v>
      </c>
    </row>
    <row r="29" spans="1:79" ht="15" customHeight="1">
      <c r="A29" s="100" t="s">
        <v>966</v>
      </c>
      <c r="B29" s="23">
        <f t="shared" si="0"/>
        <v>9</v>
      </c>
      <c r="C29" s="24"/>
      <c r="D29" s="22" t="s">
        <v>742</v>
      </c>
      <c r="E29" s="25"/>
      <c r="F29" s="25"/>
      <c r="G29" s="25"/>
      <c r="H29" s="25"/>
      <c r="I29" s="25"/>
      <c r="J29" s="25"/>
      <c r="K29" s="25"/>
      <c r="L29" s="25"/>
      <c r="M29" s="25"/>
      <c r="N29" s="25"/>
      <c r="O29" s="25"/>
      <c r="P29" s="25"/>
      <c r="Q29" s="26"/>
      <c r="R29" s="22" t="s">
        <v>783</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,`PaymentCode` varchar(2) NOT NULL COMMENT '支払コード'</v>
      </c>
      <c r="BQ29" t="s">
        <v>626</v>
      </c>
      <c r="BR29" t="str">
        <f t="shared" ref="BR29:BR45" si="5">",`"&amp;R29&amp;"` "&amp;AC29&amp;" "&amp;IF(AJ29="Y","NOT NULL","")</f>
        <v>,`PaymentCode` varchar(2) NOT NULL</v>
      </c>
      <c r="BS29" t="s">
        <v>626</v>
      </c>
      <c r="BT29" t="str">
        <f t="shared" ref="BT29:BT45" si="6">",`"&amp;R29&amp;"` = "&amp;IF(LEFT(AC29,4)="date", "if(@"&amp;B29-5&amp;" &gt; '0000-00-00 00:00:00', if(@"&amp;B29-5&amp;" &gt; '2999-12-31 23:59:59', '2999-12-31 23:59:59', @"&amp;B29-5&amp;"), null)","if(nullif( @"&amp;B29-5&amp;",'') &gt; '', @"&amp;B29-5&amp;", null )")</f>
        <v>,`PaymentCode` = if(nullif( @4,'') &gt; '', @4, null )</v>
      </c>
      <c r="BU29" t="s">
        <v>626</v>
      </c>
      <c r="BV29" s="97" t="str">
        <f t="shared" si="2"/>
        <v>,A.`PaymentCode` = B.`PaymentCode`</v>
      </c>
      <c r="BW29" t="s">
        <v>626</v>
      </c>
      <c r="BX29" s="97" t="str">
        <f t="shared" si="3"/>
        <v>,`PaymentCode`</v>
      </c>
      <c r="BY29" t="s">
        <v>626</v>
      </c>
      <c r="BZ29" s="97" t="str">
        <f t="shared" si="4"/>
        <v>,`PaymentCode`</v>
      </c>
      <c r="CA29" t="s">
        <v>626</v>
      </c>
    </row>
    <row r="30" spans="1:79" ht="15" customHeight="1">
      <c r="A30" s="100" t="s">
        <v>967</v>
      </c>
      <c r="B30" s="23">
        <f t="shared" si="0"/>
        <v>10</v>
      </c>
      <c r="C30" s="24"/>
      <c r="D30" s="22" t="s">
        <v>743</v>
      </c>
      <c r="E30" s="25"/>
      <c r="F30" s="25"/>
      <c r="G30" s="25"/>
      <c r="H30" s="25"/>
      <c r="I30" s="25"/>
      <c r="J30" s="25"/>
      <c r="K30" s="25"/>
      <c r="L30" s="25"/>
      <c r="M30" s="25"/>
      <c r="N30" s="25"/>
      <c r="O30" s="25"/>
      <c r="P30" s="25"/>
      <c r="Q30" s="26"/>
      <c r="R30" s="22" t="s">
        <v>784</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varchar(26)</v>
      </c>
      <c r="AD30" s="25"/>
      <c r="AE30" s="25"/>
      <c r="AF30" s="25"/>
      <c r="AG30" s="26"/>
      <c r="AH30" s="22">
        <v>4</v>
      </c>
      <c r="AI30" s="26"/>
      <c r="AJ30" s="22" t="s">
        <v>885</v>
      </c>
      <c r="AK30" s="25"/>
      <c r="AL30" s="26"/>
      <c r="AM30" s="22"/>
      <c r="AN30" s="25"/>
      <c r="AO30" s="25"/>
      <c r="AP30" s="25"/>
      <c r="AQ30" s="25"/>
      <c r="AR30" s="25"/>
      <c r="AS30" s="26"/>
      <c r="AT30" s="22" t="s">
        <v>770</v>
      </c>
      <c r="AU30" s="25"/>
      <c r="AV30" s="25"/>
      <c r="AW30" s="25"/>
      <c r="AX30" s="25"/>
      <c r="AY30" s="25"/>
      <c r="AZ30" s="25"/>
      <c r="BA30" s="25"/>
      <c r="BB30" s="25"/>
      <c r="BC30" s="25"/>
      <c r="BD30" s="25"/>
      <c r="BE30" s="25"/>
      <c r="BF30" s="25"/>
      <c r="BG30" s="25"/>
      <c r="BH30" s="25"/>
      <c r="BI30" s="25"/>
      <c r="BJ30" s="26"/>
      <c r="BK30" s="4"/>
      <c r="BM30" t="s">
        <v>888</v>
      </c>
      <c r="BN30">
        <v>26</v>
      </c>
      <c r="BP30" t="str">
        <f t="shared" si="1"/>
        <v>,`TicketCode` varchar(26) NOT NULL COMMENT '券コード'</v>
      </c>
      <c r="BQ30" t="s">
        <v>626</v>
      </c>
      <c r="BR30" t="str">
        <f t="shared" si="5"/>
        <v>,`TicketCode` varchar(26) NOT NULL</v>
      </c>
      <c r="BS30" t="s">
        <v>626</v>
      </c>
      <c r="BT30" t="str">
        <f t="shared" si="6"/>
        <v>,`TicketCode` = if(nullif( @5,'') &gt; '', @5, null )</v>
      </c>
      <c r="BU30" t="s">
        <v>626</v>
      </c>
      <c r="BV30" s="97" t="str">
        <f t="shared" si="2"/>
        <v>,A.`TicketCode` = B.`TicketCode`</v>
      </c>
      <c r="BW30" t="s">
        <v>626</v>
      </c>
      <c r="BX30" s="97" t="str">
        <f t="shared" si="3"/>
        <v>,`TicketCode`</v>
      </c>
      <c r="BY30" t="s">
        <v>626</v>
      </c>
      <c r="BZ30" s="97" t="str">
        <f t="shared" si="4"/>
        <v>,`TicketCode`</v>
      </c>
      <c r="CA30" t="s">
        <v>626</v>
      </c>
    </row>
    <row r="31" spans="1:79" ht="15" customHeight="1">
      <c r="A31" s="100" t="s">
        <v>968</v>
      </c>
      <c r="B31" s="23">
        <f t="shared" si="0"/>
        <v>11</v>
      </c>
      <c r="C31" s="24"/>
      <c r="D31" s="22" t="s">
        <v>503</v>
      </c>
      <c r="E31" s="25"/>
      <c r="F31" s="25"/>
      <c r="G31" s="25"/>
      <c r="H31" s="25"/>
      <c r="I31" s="25"/>
      <c r="J31" s="25"/>
      <c r="K31" s="25"/>
      <c r="L31" s="25"/>
      <c r="M31" s="25"/>
      <c r="N31" s="25"/>
      <c r="O31" s="25"/>
      <c r="P31" s="25"/>
      <c r="Q31" s="26"/>
      <c r="R31" s="22" t="s">
        <v>520</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varchar(25)</v>
      </c>
      <c r="AD31" s="25"/>
      <c r="AE31" s="25"/>
      <c r="AF31" s="25"/>
      <c r="AG31" s="26"/>
      <c r="AH31" s="22"/>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888</v>
      </c>
      <c r="BN31">
        <v>25</v>
      </c>
      <c r="BP31" t="str">
        <f t="shared" si="1"/>
        <v>,`Name` varchar(25) NOT NULL COMMENT '名称'</v>
      </c>
      <c r="BQ31" t="s">
        <v>626</v>
      </c>
      <c r="BR31" t="str">
        <f t="shared" si="5"/>
        <v>,`Name` varchar(25) NOT NULL</v>
      </c>
      <c r="BS31" t="s">
        <v>626</v>
      </c>
      <c r="BT31" t="str">
        <f t="shared" si="6"/>
        <v>,`Name` = if(nullif( @6,'') &gt; '', @6, null )</v>
      </c>
      <c r="BU31" t="s">
        <v>626</v>
      </c>
      <c r="BV31" s="97" t="str">
        <f t="shared" si="2"/>
        <v>,A.`Name` = B.`Name`</v>
      </c>
      <c r="BW31" t="s">
        <v>626</v>
      </c>
      <c r="BX31" s="97" t="str">
        <f t="shared" si="3"/>
        <v>,`Name`</v>
      </c>
      <c r="BY31" t="s">
        <v>626</v>
      </c>
      <c r="BZ31" s="97" t="str">
        <f t="shared" si="4"/>
        <v>,`Name`</v>
      </c>
      <c r="CA31" t="s">
        <v>626</v>
      </c>
    </row>
    <row r="32" spans="1:79" ht="15" customHeight="1">
      <c r="A32" s="100" t="s">
        <v>969</v>
      </c>
      <c r="B32" s="23">
        <f t="shared" si="0"/>
        <v>12</v>
      </c>
      <c r="C32" s="24"/>
      <c r="D32" s="22" t="s">
        <v>744</v>
      </c>
      <c r="E32" s="25"/>
      <c r="F32" s="25"/>
      <c r="G32" s="25"/>
      <c r="H32" s="25"/>
      <c r="I32" s="25"/>
      <c r="J32" s="25"/>
      <c r="K32" s="25"/>
      <c r="L32" s="25"/>
      <c r="M32" s="25"/>
      <c r="N32" s="25"/>
      <c r="O32" s="25"/>
      <c r="P32" s="25"/>
      <c r="Q32" s="26"/>
      <c r="R32" s="22" t="s">
        <v>757</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decimal(19,4)</v>
      </c>
      <c r="AD32" s="25"/>
      <c r="AE32" s="25"/>
      <c r="AF32" s="25"/>
      <c r="AG32" s="26"/>
      <c r="AH32" s="22"/>
      <c r="AI32" s="26"/>
      <c r="AJ32" s="22" t="s">
        <v>885</v>
      </c>
      <c r="AK32" s="25"/>
      <c r="AL32" s="26"/>
      <c r="AM32" s="22"/>
      <c r="AN32" s="25"/>
      <c r="AO32" s="25"/>
      <c r="AP32" s="25"/>
      <c r="AQ32" s="25"/>
      <c r="AR32" s="25"/>
      <c r="AS32" s="26"/>
      <c r="AT32" s="22" t="s">
        <v>771</v>
      </c>
      <c r="AU32" s="25"/>
      <c r="AV32" s="25"/>
      <c r="AW32" s="25"/>
      <c r="AX32" s="25"/>
      <c r="AY32" s="25"/>
      <c r="AZ32" s="25"/>
      <c r="BA32" s="25"/>
      <c r="BB32" s="25"/>
      <c r="BC32" s="25"/>
      <c r="BD32" s="25"/>
      <c r="BE32" s="25"/>
      <c r="BF32" s="25"/>
      <c r="BG32" s="25"/>
      <c r="BH32" s="25"/>
      <c r="BI32" s="25"/>
      <c r="BJ32" s="26"/>
      <c r="BK32" s="4"/>
      <c r="BM32" t="s">
        <v>891</v>
      </c>
      <c r="BP32" t="str">
        <f t="shared" si="1"/>
        <v>,`UnitAmount` decimal(19,4) NOT NULL COMMENT '単位額'</v>
      </c>
      <c r="BQ32" t="s">
        <v>626</v>
      </c>
      <c r="BR32" t="str">
        <f t="shared" si="5"/>
        <v>,`UnitAmount` decimal(19,4) NOT NULL</v>
      </c>
      <c r="BS32" t="s">
        <v>626</v>
      </c>
      <c r="BT32" t="str">
        <f t="shared" si="6"/>
        <v>,`UnitAmount` = if(nullif( @7,'') &gt; '', @7, null )</v>
      </c>
      <c r="BU32" t="s">
        <v>626</v>
      </c>
      <c r="BV32" s="97" t="str">
        <f t="shared" si="2"/>
        <v>,A.`UnitAmount` = B.`UnitAmount`</v>
      </c>
      <c r="BW32" t="s">
        <v>626</v>
      </c>
      <c r="BX32" s="97" t="str">
        <f t="shared" si="3"/>
        <v>,`UnitAmount`</v>
      </c>
      <c r="BY32" t="s">
        <v>626</v>
      </c>
      <c r="BZ32" s="97" t="str">
        <f t="shared" si="4"/>
        <v>,`UnitAmount`</v>
      </c>
      <c r="CA32" t="s">
        <v>626</v>
      </c>
    </row>
    <row r="33" spans="1:79" ht="15" customHeight="1">
      <c r="A33" s="100" t="s">
        <v>970</v>
      </c>
      <c r="B33" s="23">
        <f t="shared" si="0"/>
        <v>13</v>
      </c>
      <c r="C33" s="24"/>
      <c r="D33" s="22" t="s">
        <v>745</v>
      </c>
      <c r="E33" s="25"/>
      <c r="F33" s="25"/>
      <c r="G33" s="25"/>
      <c r="H33" s="25"/>
      <c r="I33" s="25"/>
      <c r="J33" s="25"/>
      <c r="K33" s="25"/>
      <c r="L33" s="25"/>
      <c r="M33" s="25"/>
      <c r="N33" s="25"/>
      <c r="O33" s="25"/>
      <c r="P33" s="25"/>
      <c r="Q33" s="26"/>
      <c r="R33" s="22" t="s">
        <v>758</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char(1)</v>
      </c>
      <c r="AD33" s="25"/>
      <c r="AE33" s="25"/>
      <c r="AF33" s="25"/>
      <c r="AG33" s="26"/>
      <c r="AH33" s="22"/>
      <c r="AI33" s="26"/>
      <c r="AJ33" s="22" t="s">
        <v>885</v>
      </c>
      <c r="AK33" s="25"/>
      <c r="AL33" s="26"/>
      <c r="AM33" s="22"/>
      <c r="AN33" s="25"/>
      <c r="AO33" s="25"/>
      <c r="AP33" s="25"/>
      <c r="AQ33" s="25"/>
      <c r="AR33" s="25"/>
      <c r="AS33" s="26"/>
      <c r="AT33" s="22" t="s">
        <v>772</v>
      </c>
      <c r="AU33" s="25"/>
      <c r="AV33" s="25"/>
      <c r="AW33" s="25"/>
      <c r="AX33" s="25"/>
      <c r="AY33" s="25"/>
      <c r="AZ33" s="25"/>
      <c r="BA33" s="25"/>
      <c r="BB33" s="25"/>
      <c r="BC33" s="25"/>
      <c r="BD33" s="25"/>
      <c r="BE33" s="25"/>
      <c r="BF33" s="25"/>
      <c r="BG33" s="25"/>
      <c r="BH33" s="25"/>
      <c r="BI33" s="25"/>
      <c r="BJ33" s="26"/>
      <c r="BK33" s="4"/>
      <c r="BM33" t="s">
        <v>896</v>
      </c>
      <c r="BP33" t="str">
        <f t="shared" si="1"/>
        <v>,`CanReturn` char(1) NOT NULL COMMENT '返品使用許可フラグ'</v>
      </c>
      <c r="BQ33" t="s">
        <v>626</v>
      </c>
      <c r="BR33" t="str">
        <f t="shared" si="5"/>
        <v>,`CanReturn` char(1) NOT NULL</v>
      </c>
      <c r="BS33" t="s">
        <v>626</v>
      </c>
      <c r="BT33" t="str">
        <f t="shared" si="6"/>
        <v>,`CanReturn` = if(nullif( @8,'') &gt; '', @8, null )</v>
      </c>
      <c r="BU33" t="s">
        <v>626</v>
      </c>
      <c r="BV33" s="97" t="str">
        <f t="shared" si="2"/>
        <v>,A.`CanReturn` = B.`CanReturn`</v>
      </c>
      <c r="BW33" t="s">
        <v>626</v>
      </c>
      <c r="BX33" s="97" t="str">
        <f t="shared" si="3"/>
        <v>,`CanReturn`</v>
      </c>
      <c r="BY33" t="s">
        <v>626</v>
      </c>
      <c r="BZ33" s="97" t="str">
        <f t="shared" si="4"/>
        <v>,`CanReturn`</v>
      </c>
      <c r="CA33" t="s">
        <v>626</v>
      </c>
    </row>
    <row r="34" spans="1:79" ht="15" customHeight="1">
      <c r="A34" s="100" t="s">
        <v>971</v>
      </c>
      <c r="B34" s="23">
        <f t="shared" si="0"/>
        <v>14</v>
      </c>
      <c r="C34" s="24"/>
      <c r="D34" s="22" t="s">
        <v>746</v>
      </c>
      <c r="E34" s="25"/>
      <c r="F34" s="25"/>
      <c r="G34" s="25"/>
      <c r="H34" s="25"/>
      <c r="I34" s="25"/>
      <c r="J34" s="25"/>
      <c r="K34" s="25"/>
      <c r="L34" s="25"/>
      <c r="M34" s="25"/>
      <c r="N34" s="25"/>
      <c r="O34" s="25"/>
      <c r="P34" s="25"/>
      <c r="Q34" s="26"/>
      <c r="R34" s="22" t="s">
        <v>759</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char(1)</v>
      </c>
      <c r="AD34" s="25"/>
      <c r="AE34" s="25"/>
      <c r="AF34" s="25"/>
      <c r="AG34" s="26"/>
      <c r="AH34" s="22"/>
      <c r="AI34" s="26"/>
      <c r="AJ34" s="22" t="s">
        <v>885</v>
      </c>
      <c r="AK34" s="25"/>
      <c r="AL34" s="26"/>
      <c r="AM34" s="22"/>
      <c r="AN34" s="25"/>
      <c r="AO34" s="25"/>
      <c r="AP34" s="25"/>
      <c r="AQ34" s="25"/>
      <c r="AR34" s="25"/>
      <c r="AS34" s="26"/>
      <c r="AT34" s="22" t="s">
        <v>773</v>
      </c>
      <c r="AU34" s="25"/>
      <c r="AV34" s="25"/>
      <c r="AW34" s="25"/>
      <c r="AX34" s="25"/>
      <c r="AY34" s="25"/>
      <c r="AZ34" s="25"/>
      <c r="BA34" s="25"/>
      <c r="BB34" s="25"/>
      <c r="BC34" s="25"/>
      <c r="BD34" s="25"/>
      <c r="BE34" s="25"/>
      <c r="BF34" s="25"/>
      <c r="BG34" s="25"/>
      <c r="BH34" s="25"/>
      <c r="BI34" s="25"/>
      <c r="BJ34" s="26"/>
      <c r="BK34" s="4"/>
      <c r="BM34" t="s">
        <v>896</v>
      </c>
      <c r="BP34" t="str">
        <f t="shared" si="1"/>
        <v>,`CanCancel` char(1) NOT NULL COMMENT '取消許可フラグ'</v>
      </c>
      <c r="BQ34" t="s">
        <v>626</v>
      </c>
      <c r="BR34" t="str">
        <f t="shared" si="5"/>
        <v>,`CanCancel` char(1) NOT NULL</v>
      </c>
      <c r="BS34" t="s">
        <v>626</v>
      </c>
      <c r="BT34" t="str">
        <f t="shared" si="6"/>
        <v>,`CanCancel` = if(nullif( @9,'') &gt; '', @9, null )</v>
      </c>
      <c r="BU34" t="s">
        <v>626</v>
      </c>
      <c r="BV34" s="97" t="str">
        <f t="shared" si="2"/>
        <v>,A.`CanCancel` = B.`CanCancel`</v>
      </c>
      <c r="BW34" t="s">
        <v>626</v>
      </c>
      <c r="BX34" s="97" t="str">
        <f t="shared" si="3"/>
        <v>,`CanCancel`</v>
      </c>
      <c r="BY34" t="s">
        <v>626</v>
      </c>
      <c r="BZ34" s="97" t="str">
        <f t="shared" si="4"/>
        <v>,`CanCancel`</v>
      </c>
      <c r="CA34" t="s">
        <v>626</v>
      </c>
    </row>
    <row r="35" spans="1:79" ht="15" customHeight="1">
      <c r="A35" s="100" t="s">
        <v>972</v>
      </c>
      <c r="B35" s="23">
        <f t="shared" si="0"/>
        <v>15</v>
      </c>
      <c r="C35" s="24"/>
      <c r="D35" s="22" t="s">
        <v>747</v>
      </c>
      <c r="E35" s="25"/>
      <c r="F35" s="25"/>
      <c r="G35" s="25"/>
      <c r="H35" s="25"/>
      <c r="I35" s="25"/>
      <c r="J35" s="25"/>
      <c r="K35" s="25"/>
      <c r="L35" s="25"/>
      <c r="M35" s="25"/>
      <c r="N35" s="25"/>
      <c r="O35" s="25"/>
      <c r="P35" s="25"/>
      <c r="Q35" s="26"/>
      <c r="R35" s="22" t="s">
        <v>760</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char(1)</v>
      </c>
      <c r="AD35" s="25"/>
      <c r="AE35" s="25"/>
      <c r="AF35" s="25"/>
      <c r="AG35" s="26"/>
      <c r="AH35" s="22"/>
      <c r="AI35" s="26"/>
      <c r="AJ35" s="22" t="s">
        <v>885</v>
      </c>
      <c r="AK35" s="25"/>
      <c r="AL35" s="26"/>
      <c r="AM35" s="22"/>
      <c r="AN35" s="25"/>
      <c r="AO35" s="25"/>
      <c r="AP35" s="25"/>
      <c r="AQ35" s="25"/>
      <c r="AR35" s="25"/>
      <c r="AS35" s="26"/>
      <c r="AT35" s="22" t="s">
        <v>774</v>
      </c>
      <c r="AU35" s="25"/>
      <c r="AV35" s="25"/>
      <c r="AW35" s="25"/>
      <c r="AX35" s="25"/>
      <c r="AY35" s="25"/>
      <c r="AZ35" s="25"/>
      <c r="BA35" s="25"/>
      <c r="BB35" s="25"/>
      <c r="BC35" s="25"/>
      <c r="BD35" s="25"/>
      <c r="BE35" s="25"/>
      <c r="BF35" s="25"/>
      <c r="BG35" s="25"/>
      <c r="BH35" s="25"/>
      <c r="BI35" s="25"/>
      <c r="BJ35" s="26"/>
      <c r="BK35" s="4"/>
      <c r="BM35" t="s">
        <v>896</v>
      </c>
      <c r="BP35" t="str">
        <f t="shared" si="1"/>
        <v>,`CanReSale` char(1) NOT NULL COMMENT '一部返品交換許可フラグ'</v>
      </c>
      <c r="BQ35" t="s">
        <v>626</v>
      </c>
      <c r="BR35" t="str">
        <f t="shared" si="5"/>
        <v>,`CanReSale` char(1) NOT NULL</v>
      </c>
      <c r="BS35" t="s">
        <v>626</v>
      </c>
      <c r="BT35" t="str">
        <f t="shared" si="6"/>
        <v>,`CanReSale` = if(nullif( @10,'') &gt; '', @10, null )</v>
      </c>
      <c r="BU35" t="s">
        <v>626</v>
      </c>
      <c r="BV35" s="97" t="str">
        <f t="shared" si="2"/>
        <v>,A.`CanReSale` = B.`CanReSale`</v>
      </c>
      <c r="BW35" t="s">
        <v>626</v>
      </c>
      <c r="BX35" s="97" t="str">
        <f t="shared" si="3"/>
        <v>,`CanReSale`</v>
      </c>
      <c r="BY35" t="s">
        <v>626</v>
      </c>
      <c r="BZ35" s="97" t="str">
        <f t="shared" si="4"/>
        <v>,`CanReSale`</v>
      </c>
      <c r="CA35" t="s">
        <v>626</v>
      </c>
    </row>
    <row r="36" spans="1:79" ht="15" customHeight="1">
      <c r="A36" s="100" t="s">
        <v>973</v>
      </c>
      <c r="B36" s="23">
        <f t="shared" si="0"/>
        <v>16</v>
      </c>
      <c r="C36" s="24"/>
      <c r="D36" s="22" t="s">
        <v>748</v>
      </c>
      <c r="E36" s="25"/>
      <c r="F36" s="25"/>
      <c r="G36" s="25"/>
      <c r="H36" s="25"/>
      <c r="I36" s="25"/>
      <c r="J36" s="25"/>
      <c r="K36" s="25"/>
      <c r="L36" s="25"/>
      <c r="M36" s="25"/>
      <c r="N36" s="25"/>
      <c r="O36" s="25"/>
      <c r="P36" s="25"/>
      <c r="Q36" s="26"/>
      <c r="R36" s="22" t="s">
        <v>761</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char(1)</v>
      </c>
      <c r="AD36" s="25"/>
      <c r="AE36" s="25"/>
      <c r="AF36" s="25"/>
      <c r="AG36" s="26"/>
      <c r="AH36" s="22"/>
      <c r="AI36" s="26"/>
      <c r="AJ36" s="22" t="s">
        <v>885</v>
      </c>
      <c r="AK36" s="25"/>
      <c r="AL36" s="26"/>
      <c r="AM36" s="22"/>
      <c r="AN36" s="25"/>
      <c r="AO36" s="25"/>
      <c r="AP36" s="25"/>
      <c r="AQ36" s="25"/>
      <c r="AR36" s="25"/>
      <c r="AS36" s="26"/>
      <c r="AT36" s="22" t="s">
        <v>775</v>
      </c>
      <c r="AU36" s="25"/>
      <c r="AV36" s="25"/>
      <c r="AW36" s="25"/>
      <c r="AX36" s="25"/>
      <c r="AY36" s="25"/>
      <c r="AZ36" s="25"/>
      <c r="BA36" s="25"/>
      <c r="BB36" s="25"/>
      <c r="BC36" s="25"/>
      <c r="BD36" s="25"/>
      <c r="BE36" s="25"/>
      <c r="BF36" s="25"/>
      <c r="BG36" s="25"/>
      <c r="BH36" s="25"/>
      <c r="BI36" s="25"/>
      <c r="BJ36" s="26"/>
      <c r="BK36" s="4"/>
      <c r="BM36" t="s">
        <v>896</v>
      </c>
      <c r="BP36" t="str">
        <f t="shared" si="1"/>
        <v>,`CanVoid` char(1) NOT NULL COMMENT 'レジマイナス許可フラグ'</v>
      </c>
      <c r="BQ36" t="s">
        <v>626</v>
      </c>
      <c r="BR36" t="str">
        <f t="shared" si="5"/>
        <v>,`CanVoid` char(1) NOT NULL</v>
      </c>
      <c r="BS36" t="s">
        <v>626</v>
      </c>
      <c r="BT36" t="str">
        <f t="shared" si="6"/>
        <v>,`CanVoid` = if(nullif( @11,'') &gt; '', @11, null )</v>
      </c>
      <c r="BU36" t="s">
        <v>626</v>
      </c>
      <c r="BV36" s="97" t="str">
        <f t="shared" si="2"/>
        <v>,A.`CanVoid` = B.`CanVoid`</v>
      </c>
      <c r="BW36" t="s">
        <v>626</v>
      </c>
      <c r="BX36" s="97" t="str">
        <f t="shared" si="3"/>
        <v>,`CanVoid`</v>
      </c>
      <c r="BY36" t="s">
        <v>626</v>
      </c>
      <c r="BZ36" s="97" t="str">
        <f t="shared" si="4"/>
        <v>,`CanVoid`</v>
      </c>
      <c r="CA36" t="s">
        <v>626</v>
      </c>
    </row>
    <row r="37" spans="1:79" ht="15" customHeight="1">
      <c r="A37" s="100" t="s">
        <v>974</v>
      </c>
      <c r="B37" s="23">
        <f t="shared" si="0"/>
        <v>17</v>
      </c>
      <c r="C37" s="24"/>
      <c r="D37" s="22" t="s">
        <v>749</v>
      </c>
      <c r="E37" s="25"/>
      <c r="F37" s="25"/>
      <c r="G37" s="25"/>
      <c r="H37" s="25"/>
      <c r="I37" s="25"/>
      <c r="J37" s="25"/>
      <c r="K37" s="25"/>
      <c r="L37" s="25"/>
      <c r="M37" s="25"/>
      <c r="N37" s="25"/>
      <c r="O37" s="25"/>
      <c r="P37" s="25"/>
      <c r="Q37" s="26"/>
      <c r="R37" s="22" t="s">
        <v>762</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char(1)</v>
      </c>
      <c r="AD37" s="25"/>
      <c r="AE37" s="25"/>
      <c r="AF37" s="25"/>
      <c r="AG37" s="26"/>
      <c r="AH37" s="22"/>
      <c r="AI37" s="26"/>
      <c r="AJ37" s="22" t="s">
        <v>885</v>
      </c>
      <c r="AK37" s="25"/>
      <c r="AL37" s="26"/>
      <c r="AM37" s="22"/>
      <c r="AN37" s="25"/>
      <c r="AO37" s="25"/>
      <c r="AP37" s="25"/>
      <c r="AQ37" s="25"/>
      <c r="AR37" s="25"/>
      <c r="AS37" s="26"/>
      <c r="AT37" s="22" t="s">
        <v>776</v>
      </c>
      <c r="AU37" s="25"/>
      <c r="AV37" s="25"/>
      <c r="AW37" s="25"/>
      <c r="AX37" s="25"/>
      <c r="AY37" s="25"/>
      <c r="AZ37" s="25"/>
      <c r="BA37" s="25"/>
      <c r="BB37" s="25"/>
      <c r="BC37" s="25"/>
      <c r="BD37" s="25"/>
      <c r="BE37" s="25"/>
      <c r="BF37" s="25"/>
      <c r="BG37" s="25"/>
      <c r="BH37" s="25"/>
      <c r="BI37" s="25"/>
      <c r="BJ37" s="26"/>
      <c r="BK37" s="4"/>
      <c r="BM37" t="s">
        <v>896</v>
      </c>
      <c r="BP37" t="str">
        <f t="shared" si="1"/>
        <v>,`CanChange` char(1) NOT NULL COMMENT '釣り許可フラグ'</v>
      </c>
      <c r="BQ37" t="s">
        <v>626</v>
      </c>
      <c r="BR37" t="str">
        <f t="shared" si="5"/>
        <v>,`CanChange` char(1) NOT NULL</v>
      </c>
      <c r="BS37" t="s">
        <v>626</v>
      </c>
      <c r="BT37" t="str">
        <f t="shared" si="6"/>
        <v>,`CanChange` = if(nullif( @12,'') &gt; '', @12, null )</v>
      </c>
      <c r="BU37" t="s">
        <v>626</v>
      </c>
      <c r="BV37" s="97" t="str">
        <f t="shared" si="2"/>
        <v>,A.`CanChange` = B.`CanChange`</v>
      </c>
      <c r="BW37" t="s">
        <v>626</v>
      </c>
      <c r="BX37" s="97" t="str">
        <f t="shared" si="3"/>
        <v>,`CanChange`</v>
      </c>
      <c r="BY37" t="s">
        <v>626</v>
      </c>
      <c r="BZ37" s="97" t="str">
        <f t="shared" si="4"/>
        <v>,`CanChange`</v>
      </c>
      <c r="CA37" t="s">
        <v>626</v>
      </c>
    </row>
    <row r="38" spans="1:79" ht="15" customHeight="1">
      <c r="A38" s="100" t="s">
        <v>975</v>
      </c>
      <c r="B38" s="23">
        <f t="shared" si="0"/>
        <v>18</v>
      </c>
      <c r="C38" s="24"/>
      <c r="D38" s="22" t="s">
        <v>750</v>
      </c>
      <c r="E38" s="25"/>
      <c r="F38" s="25"/>
      <c r="G38" s="25"/>
      <c r="H38" s="25"/>
      <c r="I38" s="25"/>
      <c r="J38" s="25"/>
      <c r="K38" s="25"/>
      <c r="L38" s="25"/>
      <c r="M38" s="25"/>
      <c r="N38" s="25"/>
      <c r="O38" s="25"/>
      <c r="P38" s="25"/>
      <c r="Q38" s="26"/>
      <c r="R38" s="22" t="s">
        <v>763</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char(1)</v>
      </c>
      <c r="AD38" s="25"/>
      <c r="AE38" s="25"/>
      <c r="AF38" s="25"/>
      <c r="AG38" s="26"/>
      <c r="AH38" s="22"/>
      <c r="AI38" s="26"/>
      <c r="AJ38" s="22" t="s">
        <v>885</v>
      </c>
      <c r="AK38" s="25"/>
      <c r="AL38" s="26"/>
      <c r="AM38" s="22"/>
      <c r="AN38" s="25"/>
      <c r="AO38" s="25"/>
      <c r="AP38" s="25"/>
      <c r="AQ38" s="25"/>
      <c r="AR38" s="25"/>
      <c r="AS38" s="26"/>
      <c r="AT38" s="22" t="s">
        <v>777</v>
      </c>
      <c r="AU38" s="25"/>
      <c r="AV38" s="25"/>
      <c r="AW38" s="25"/>
      <c r="AX38" s="25"/>
      <c r="AY38" s="25"/>
      <c r="AZ38" s="25"/>
      <c r="BA38" s="25"/>
      <c r="BB38" s="25"/>
      <c r="BC38" s="25"/>
      <c r="BD38" s="25"/>
      <c r="BE38" s="25"/>
      <c r="BF38" s="25"/>
      <c r="BG38" s="25"/>
      <c r="BH38" s="25"/>
      <c r="BI38" s="25"/>
      <c r="BJ38" s="26"/>
      <c r="BK38" s="4"/>
      <c r="BM38" t="s">
        <v>896</v>
      </c>
      <c r="BP38" t="str">
        <f t="shared" si="1"/>
        <v>,`CanOverDeposit` char(1) NOT NULL COMMENT '預かりオーバー許可フラグ'</v>
      </c>
      <c r="BQ38" t="s">
        <v>626</v>
      </c>
      <c r="BR38" t="str">
        <f t="shared" si="5"/>
        <v>,`CanOverDeposit` char(1) NOT NULL</v>
      </c>
      <c r="BS38" t="s">
        <v>626</v>
      </c>
      <c r="BT38" t="str">
        <f t="shared" si="6"/>
        <v>,`CanOverDeposit` = if(nullif( @13,'') &gt; '', @13, null )</v>
      </c>
      <c r="BU38" t="s">
        <v>626</v>
      </c>
      <c r="BV38" s="97" t="str">
        <f t="shared" si="2"/>
        <v>,A.`CanOverDeposit` = B.`CanOverDeposit`</v>
      </c>
      <c r="BW38" t="s">
        <v>626</v>
      </c>
      <c r="BX38" s="97" t="str">
        <f t="shared" si="3"/>
        <v>,`CanOverDeposit`</v>
      </c>
      <c r="BY38" t="s">
        <v>626</v>
      </c>
      <c r="BZ38" s="97" t="str">
        <f t="shared" si="4"/>
        <v>,`CanOverDeposit`</v>
      </c>
      <c r="CA38" t="s">
        <v>626</v>
      </c>
    </row>
    <row r="39" spans="1:79" ht="15" customHeight="1">
      <c r="A39" s="100" t="s">
        <v>976</v>
      </c>
      <c r="B39" s="23">
        <f t="shared" si="0"/>
        <v>19</v>
      </c>
      <c r="C39" s="24"/>
      <c r="D39" s="22" t="s">
        <v>751</v>
      </c>
      <c r="E39" s="25"/>
      <c r="F39" s="25"/>
      <c r="G39" s="25"/>
      <c r="H39" s="25"/>
      <c r="I39" s="25"/>
      <c r="J39" s="25"/>
      <c r="K39" s="25"/>
      <c r="L39" s="25"/>
      <c r="M39" s="25"/>
      <c r="N39" s="25"/>
      <c r="O39" s="25"/>
      <c r="P39" s="25"/>
      <c r="Q39" s="26"/>
      <c r="R39" s="22" t="s">
        <v>764</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char(1)</v>
      </c>
      <c r="AD39" s="25"/>
      <c r="AE39" s="25"/>
      <c r="AF39" s="25"/>
      <c r="AG39" s="26"/>
      <c r="AH39" s="22"/>
      <c r="AI39" s="26"/>
      <c r="AJ39" s="22" t="s">
        <v>885</v>
      </c>
      <c r="AK39" s="25"/>
      <c r="AL39" s="26"/>
      <c r="AM39" s="22"/>
      <c r="AN39" s="25"/>
      <c r="AO39" s="25"/>
      <c r="AP39" s="25"/>
      <c r="AQ39" s="25"/>
      <c r="AR39" s="25"/>
      <c r="AS39" s="26"/>
      <c r="AT39" s="22" t="s">
        <v>778</v>
      </c>
      <c r="AU39" s="25"/>
      <c r="AV39" s="25"/>
      <c r="AW39" s="25"/>
      <c r="AX39" s="25"/>
      <c r="AY39" s="25"/>
      <c r="AZ39" s="25"/>
      <c r="BA39" s="25"/>
      <c r="BB39" s="25"/>
      <c r="BC39" s="25"/>
      <c r="BD39" s="25"/>
      <c r="BE39" s="25"/>
      <c r="BF39" s="25"/>
      <c r="BG39" s="25"/>
      <c r="BH39" s="25"/>
      <c r="BI39" s="25"/>
      <c r="BJ39" s="26"/>
      <c r="BK39" s="4"/>
      <c r="BM39" t="s">
        <v>896</v>
      </c>
      <c r="BP39" t="str">
        <f t="shared" si="1"/>
        <v>,`CanJustFix` char(1) NOT NULL COMMENT '丁度預かり許可フラグ'</v>
      </c>
      <c r="BQ39" t="s">
        <v>626</v>
      </c>
      <c r="BR39" t="str">
        <f t="shared" si="5"/>
        <v>,`CanJustFix` char(1) NOT NULL</v>
      </c>
      <c r="BS39" t="s">
        <v>626</v>
      </c>
      <c r="BT39" t="str">
        <f t="shared" si="6"/>
        <v>,`CanJustFix` = if(nullif( @14,'') &gt; '', @14, null )</v>
      </c>
      <c r="BU39" t="s">
        <v>626</v>
      </c>
      <c r="BV39" s="97" t="str">
        <f t="shared" si="2"/>
        <v>,A.`CanJustFix` = B.`CanJustFix`</v>
      </c>
      <c r="BW39" t="s">
        <v>626</v>
      </c>
      <c r="BX39" s="97" t="str">
        <f t="shared" si="3"/>
        <v>,`CanJustFix`</v>
      </c>
      <c r="BY39" t="s">
        <v>626</v>
      </c>
      <c r="BZ39" s="97" t="str">
        <f t="shared" si="4"/>
        <v>,`CanJustFix`</v>
      </c>
      <c r="CA39" t="s">
        <v>626</v>
      </c>
    </row>
    <row r="40" spans="1:79" ht="15" customHeight="1">
      <c r="A40" s="100" t="s">
        <v>977</v>
      </c>
      <c r="B40" s="23">
        <f t="shared" si="0"/>
        <v>20</v>
      </c>
      <c r="C40" s="24"/>
      <c r="D40" s="22" t="s">
        <v>752</v>
      </c>
      <c r="E40" s="25"/>
      <c r="F40" s="25"/>
      <c r="G40" s="25"/>
      <c r="H40" s="25"/>
      <c r="I40" s="25"/>
      <c r="J40" s="25"/>
      <c r="K40" s="25"/>
      <c r="L40" s="25"/>
      <c r="M40" s="25"/>
      <c r="N40" s="25"/>
      <c r="O40" s="25"/>
      <c r="P40" s="25"/>
      <c r="Q40" s="26"/>
      <c r="R40" s="22" t="s">
        <v>765</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char(1)</v>
      </c>
      <c r="AD40" s="25"/>
      <c r="AE40" s="25"/>
      <c r="AF40" s="25"/>
      <c r="AG40" s="26"/>
      <c r="AH40" s="22"/>
      <c r="AI40" s="26"/>
      <c r="AJ40" s="22" t="s">
        <v>885</v>
      </c>
      <c r="AK40" s="25"/>
      <c r="AL40" s="26"/>
      <c r="AM40" s="22"/>
      <c r="AN40" s="25"/>
      <c r="AO40" s="25"/>
      <c r="AP40" s="25"/>
      <c r="AQ40" s="25"/>
      <c r="AR40" s="25"/>
      <c r="AS40" s="26"/>
      <c r="AT40" s="22" t="s">
        <v>779</v>
      </c>
      <c r="AU40" s="25"/>
      <c r="AV40" s="25"/>
      <c r="AW40" s="25"/>
      <c r="AX40" s="25"/>
      <c r="AY40" s="25"/>
      <c r="AZ40" s="25"/>
      <c r="BA40" s="25"/>
      <c r="BB40" s="25"/>
      <c r="BC40" s="25"/>
      <c r="BD40" s="25"/>
      <c r="BE40" s="25"/>
      <c r="BF40" s="25"/>
      <c r="BG40" s="25"/>
      <c r="BH40" s="25"/>
      <c r="BI40" s="25"/>
      <c r="BJ40" s="26"/>
      <c r="BK40" s="4"/>
      <c r="BM40" t="s">
        <v>896</v>
      </c>
      <c r="BP40" t="str">
        <f t="shared" si="1"/>
        <v>,`CanChangeCount` char(1) NOT NULL COMMENT '枚数変更許可フラグ'</v>
      </c>
      <c r="BQ40" t="s">
        <v>626</v>
      </c>
      <c r="BR40" t="str">
        <f t="shared" si="5"/>
        <v>,`CanChangeCount` char(1) NOT NULL</v>
      </c>
      <c r="BS40" t="s">
        <v>626</v>
      </c>
      <c r="BT40" t="str">
        <f t="shared" si="6"/>
        <v>,`CanChangeCount` = if(nullif( @15,'') &gt; '', @15, null )</v>
      </c>
      <c r="BU40" t="s">
        <v>626</v>
      </c>
      <c r="BV40" s="97" t="str">
        <f t="shared" si="2"/>
        <v>,A.`CanChangeCount` = B.`CanChangeCount`</v>
      </c>
      <c r="BW40" t="s">
        <v>626</v>
      </c>
      <c r="BX40" s="97" t="str">
        <f t="shared" si="3"/>
        <v>,`CanChangeCount`</v>
      </c>
      <c r="BY40" t="s">
        <v>626</v>
      </c>
      <c r="BZ40" s="97" t="str">
        <f t="shared" si="4"/>
        <v>,`CanChangeCount`</v>
      </c>
      <c r="CA40" t="s">
        <v>626</v>
      </c>
    </row>
    <row r="41" spans="1:79" ht="15" customHeight="1">
      <c r="A41" s="100" t="s">
        <v>978</v>
      </c>
      <c r="B41" s="23">
        <f t="shared" si="0"/>
        <v>21</v>
      </c>
      <c r="C41" s="24"/>
      <c r="D41" s="22" t="s">
        <v>753</v>
      </c>
      <c r="E41" s="25"/>
      <c r="F41" s="25"/>
      <c r="G41" s="25"/>
      <c r="H41" s="25"/>
      <c r="I41" s="25"/>
      <c r="J41" s="25"/>
      <c r="K41" s="25"/>
      <c r="L41" s="25"/>
      <c r="M41" s="25"/>
      <c r="N41" s="25"/>
      <c r="O41" s="25"/>
      <c r="P41" s="25"/>
      <c r="Q41" s="26"/>
      <c r="R41" s="22" t="s">
        <v>766</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char(1)</v>
      </c>
      <c r="AD41" s="25"/>
      <c r="AE41" s="25"/>
      <c r="AF41" s="25"/>
      <c r="AG41" s="26"/>
      <c r="AH41" s="22"/>
      <c r="AI41" s="26"/>
      <c r="AJ41" s="22" t="s">
        <v>885</v>
      </c>
      <c r="AK41" s="25"/>
      <c r="AL41" s="26"/>
      <c r="AM41" s="22"/>
      <c r="AN41" s="25"/>
      <c r="AO41" s="25"/>
      <c r="AP41" s="25"/>
      <c r="AQ41" s="25"/>
      <c r="AR41" s="25"/>
      <c r="AS41" s="26"/>
      <c r="AT41" s="22" t="s">
        <v>780</v>
      </c>
      <c r="AU41" s="25"/>
      <c r="AV41" s="25"/>
      <c r="AW41" s="25"/>
      <c r="AX41" s="25"/>
      <c r="AY41" s="25"/>
      <c r="AZ41" s="25"/>
      <c r="BA41" s="25"/>
      <c r="BB41" s="25"/>
      <c r="BC41" s="25"/>
      <c r="BD41" s="25"/>
      <c r="BE41" s="25"/>
      <c r="BF41" s="25"/>
      <c r="BG41" s="25"/>
      <c r="BH41" s="25"/>
      <c r="BI41" s="25"/>
      <c r="BJ41" s="26"/>
      <c r="BK41" s="4"/>
      <c r="BM41" t="s">
        <v>896</v>
      </c>
      <c r="BP41" t="str">
        <f t="shared" si="1"/>
        <v>,`IsDrawer` char(1) NOT NULL COMMENT 'ドロア開閉制御'</v>
      </c>
      <c r="BQ41" t="s">
        <v>626</v>
      </c>
      <c r="BR41" t="str">
        <f t="shared" si="5"/>
        <v>,`IsDrawer` char(1) NOT NULL</v>
      </c>
      <c r="BS41" t="s">
        <v>626</v>
      </c>
      <c r="BT41" t="str">
        <f t="shared" si="6"/>
        <v>,`IsDrawer` = if(nullif( @16,'') &gt; '', @16, null )</v>
      </c>
      <c r="BU41" t="s">
        <v>626</v>
      </c>
      <c r="BV41" s="97" t="str">
        <f t="shared" si="2"/>
        <v>,A.`IsDrawer` = B.`IsDrawer`</v>
      </c>
      <c r="BW41" t="s">
        <v>626</v>
      </c>
      <c r="BX41" s="97" t="str">
        <f t="shared" si="3"/>
        <v>,`IsDrawer`</v>
      </c>
      <c r="BY41" t="s">
        <v>626</v>
      </c>
      <c r="BZ41" s="97" t="str">
        <f t="shared" si="4"/>
        <v>,`IsDrawer`</v>
      </c>
      <c r="CA41" t="s">
        <v>626</v>
      </c>
    </row>
    <row r="42" spans="1:79" ht="15" customHeight="1">
      <c r="A42" s="100" t="s">
        <v>979</v>
      </c>
      <c r="B42" s="23">
        <f t="shared" si="0"/>
        <v>22</v>
      </c>
      <c r="C42" s="24"/>
      <c r="D42" s="22" t="s">
        <v>391</v>
      </c>
      <c r="E42" s="25"/>
      <c r="F42" s="25"/>
      <c r="G42" s="25"/>
      <c r="H42" s="25"/>
      <c r="I42" s="25"/>
      <c r="J42" s="25"/>
      <c r="K42" s="25"/>
      <c r="L42" s="25"/>
      <c r="M42" s="25"/>
      <c r="N42" s="25"/>
      <c r="O42" s="25"/>
      <c r="P42" s="25"/>
      <c r="Q42" s="26"/>
      <c r="R42" s="22" t="s">
        <v>426</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char(1)</v>
      </c>
      <c r="AD42" s="25"/>
      <c r="AE42" s="25"/>
      <c r="AF42" s="25"/>
      <c r="AG42" s="26"/>
      <c r="AH42" s="22"/>
      <c r="AI42" s="26"/>
      <c r="AJ42" s="22" t="s">
        <v>885</v>
      </c>
      <c r="AK42" s="25"/>
      <c r="AL42" s="26"/>
      <c r="AM42" s="22"/>
      <c r="AN42" s="25"/>
      <c r="AO42" s="25"/>
      <c r="AP42" s="25"/>
      <c r="AQ42" s="25"/>
      <c r="AR42" s="25"/>
      <c r="AS42" s="26"/>
      <c r="AT42" s="22" t="s">
        <v>781</v>
      </c>
      <c r="AU42" s="25"/>
      <c r="AV42" s="25"/>
      <c r="AW42" s="25"/>
      <c r="AX42" s="25"/>
      <c r="AY42" s="25"/>
      <c r="AZ42" s="25"/>
      <c r="BA42" s="25"/>
      <c r="BB42" s="25"/>
      <c r="BC42" s="25"/>
      <c r="BD42" s="25"/>
      <c r="BE42" s="25"/>
      <c r="BF42" s="25"/>
      <c r="BG42" s="25"/>
      <c r="BH42" s="25"/>
      <c r="BI42" s="25"/>
      <c r="BJ42" s="26"/>
      <c r="BK42" s="4"/>
      <c r="BM42" t="s">
        <v>896</v>
      </c>
      <c r="BP42" t="str">
        <f t="shared" si="1"/>
        <v>,`IsPointProhibition` char(1) NOT NULL COMMENT 'ポイント除外フラグ'</v>
      </c>
      <c r="BQ42" t="s">
        <v>626</v>
      </c>
      <c r="BR42" t="str">
        <f t="shared" si="5"/>
        <v>,`IsPointProhibition` char(1) NOT NULL</v>
      </c>
      <c r="BS42" t="s">
        <v>626</v>
      </c>
      <c r="BT42" t="str">
        <f t="shared" si="6"/>
        <v>,`IsPointProhibition` = if(nullif( @17,'') &gt; '', @17, null )</v>
      </c>
      <c r="BU42" t="s">
        <v>626</v>
      </c>
      <c r="BV42" s="97" t="str">
        <f t="shared" si="2"/>
        <v>,A.`IsPointProhibition` = B.`IsPointProhibition`</v>
      </c>
      <c r="BW42" t="s">
        <v>626</v>
      </c>
      <c r="BX42" s="97" t="str">
        <f t="shared" si="3"/>
        <v>,`IsPointProhibition`</v>
      </c>
      <c r="BY42" t="s">
        <v>626</v>
      </c>
      <c r="BZ42" s="97" t="str">
        <f t="shared" si="4"/>
        <v>,`IsPointProhibition`</v>
      </c>
      <c r="CA42" t="s">
        <v>626</v>
      </c>
    </row>
    <row r="43" spans="1:79" ht="15" customHeight="1">
      <c r="A43" s="100" t="s">
        <v>980</v>
      </c>
      <c r="B43" s="23">
        <f t="shared" si="0"/>
        <v>23</v>
      </c>
      <c r="C43" s="24"/>
      <c r="D43" s="22" t="s">
        <v>754</v>
      </c>
      <c r="E43" s="25"/>
      <c r="F43" s="25"/>
      <c r="G43" s="25"/>
      <c r="H43" s="25"/>
      <c r="I43" s="25"/>
      <c r="J43" s="25"/>
      <c r="K43" s="25"/>
      <c r="L43" s="25"/>
      <c r="M43" s="25"/>
      <c r="N43" s="25"/>
      <c r="O43" s="25"/>
      <c r="P43" s="25"/>
      <c r="Q43" s="26"/>
      <c r="R43" s="22" t="s">
        <v>767</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char(1)</v>
      </c>
      <c r="AD43" s="25"/>
      <c r="AE43" s="25"/>
      <c r="AF43" s="25"/>
      <c r="AG43" s="26"/>
      <c r="AH43" s="22"/>
      <c r="AI43" s="26"/>
      <c r="AJ43" s="22" t="s">
        <v>885</v>
      </c>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c r="BM43" t="s">
        <v>896</v>
      </c>
      <c r="BP43" t="str">
        <f t="shared" si="1"/>
        <v>,`IsRevenueStampTarget` char(1) NOT NULL COMMENT '収入印紙対象フラグ'</v>
      </c>
      <c r="BQ43" t="s">
        <v>626</v>
      </c>
      <c r="BR43" t="str">
        <f t="shared" si="5"/>
        <v>,`IsRevenueStampTarget` char(1) NOT NULL</v>
      </c>
      <c r="BS43" t="s">
        <v>626</v>
      </c>
      <c r="BT43" t="str">
        <f t="shared" si="6"/>
        <v>,`IsRevenueStampTarget` = if(nullif( @18,'') &gt; '', @18, null )</v>
      </c>
      <c r="BU43" t="s">
        <v>626</v>
      </c>
      <c r="BV43" s="97" t="str">
        <f t="shared" si="2"/>
        <v>,A.`IsRevenueStampTarget` = B.`IsRevenueStampTarget`</v>
      </c>
      <c r="BW43" t="s">
        <v>626</v>
      </c>
      <c r="BX43" s="97" t="str">
        <f t="shared" si="3"/>
        <v>,`IsRevenueStampTarget`</v>
      </c>
      <c r="BY43" t="s">
        <v>626</v>
      </c>
      <c r="BZ43" s="97" t="str">
        <f t="shared" si="4"/>
        <v>,`IsRevenueStampTarget`</v>
      </c>
      <c r="CA43" t="s">
        <v>626</v>
      </c>
    </row>
    <row r="44" spans="1:79" ht="15" customHeight="1">
      <c r="A44" s="100" t="s">
        <v>981</v>
      </c>
      <c r="B44" s="23">
        <f t="shared" si="0"/>
        <v>24</v>
      </c>
      <c r="C44" s="24"/>
      <c r="D44" s="22" t="s">
        <v>755</v>
      </c>
      <c r="E44" s="25"/>
      <c r="F44" s="25"/>
      <c r="G44" s="25"/>
      <c r="H44" s="25"/>
      <c r="I44" s="25"/>
      <c r="J44" s="25"/>
      <c r="K44" s="25"/>
      <c r="L44" s="25"/>
      <c r="M44" s="25"/>
      <c r="N44" s="25"/>
      <c r="O44" s="25"/>
      <c r="P44" s="25"/>
      <c r="Q44" s="26"/>
      <c r="R44" s="22" t="s">
        <v>768</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varchar(2)</v>
      </c>
      <c r="AD44" s="25"/>
      <c r="AE44" s="25"/>
      <c r="AF44" s="25"/>
      <c r="AG44" s="26"/>
      <c r="AH44" s="22"/>
      <c r="AI44" s="26"/>
      <c r="AJ44" s="22" t="s">
        <v>885</v>
      </c>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c r="BM44" t="s">
        <v>888</v>
      </c>
      <c r="BN44">
        <v>2</v>
      </c>
      <c r="BP44" t="str">
        <f t="shared" si="1"/>
        <v>,`PaymentSummaryGroupCode` varchar(2) NOT NULL COMMENT '集計グループコード'</v>
      </c>
      <c r="BQ44" t="s">
        <v>626</v>
      </c>
      <c r="BR44" t="str">
        <f t="shared" si="5"/>
        <v>,`PaymentSummaryGroupCode` varchar(2) NOT NULL</v>
      </c>
      <c r="BS44" t="s">
        <v>626</v>
      </c>
      <c r="BT44" t="str">
        <f t="shared" si="6"/>
        <v>,`PaymentSummaryGroupCode` = if(nullif( @19,'') &gt; '', @19, null )</v>
      </c>
      <c r="BU44" t="s">
        <v>626</v>
      </c>
      <c r="BV44" s="97" t="str">
        <f t="shared" si="2"/>
        <v>,A.`PaymentSummaryGroupCode` = B.`PaymentSummaryGroupCode`</v>
      </c>
      <c r="BW44" t="s">
        <v>626</v>
      </c>
      <c r="BX44" s="97" t="str">
        <f t="shared" si="3"/>
        <v>,`PaymentSummaryGroupCode`</v>
      </c>
      <c r="BY44" t="s">
        <v>626</v>
      </c>
      <c r="BZ44" s="97" t="str">
        <f t="shared" si="4"/>
        <v>,`PaymentSummaryGroupCode`</v>
      </c>
      <c r="CA44" t="s">
        <v>626</v>
      </c>
    </row>
    <row r="45" spans="1:79" ht="15" customHeight="1">
      <c r="A45" s="100" t="s">
        <v>982</v>
      </c>
      <c r="B45" s="28">
        <f t="shared" si="0"/>
        <v>25</v>
      </c>
      <c r="C45" s="29"/>
      <c r="D45" s="30" t="s">
        <v>756</v>
      </c>
      <c r="E45" s="31"/>
      <c r="F45" s="31"/>
      <c r="G45" s="31"/>
      <c r="H45" s="31"/>
      <c r="I45" s="31"/>
      <c r="J45" s="31"/>
      <c r="K45" s="31"/>
      <c r="L45" s="31"/>
      <c r="M45" s="31"/>
      <c r="N45" s="31"/>
      <c r="O45" s="31"/>
      <c r="P45" s="31"/>
      <c r="Q45" s="32"/>
      <c r="R45" s="30" t="s">
        <v>769</v>
      </c>
      <c r="S45" s="31"/>
      <c r="T45" s="31"/>
      <c r="U45" s="31"/>
      <c r="V45" s="31"/>
      <c r="W45" s="31"/>
      <c r="X45" s="31"/>
      <c r="Y45" s="31"/>
      <c r="Z45" s="31"/>
      <c r="AA45" s="31"/>
      <c r="AB45" s="32"/>
      <c r="AC45" s="30" t="str" cm="1">
        <f t="array" ref="AC45">_xlfn.SWITCH(BM45,"nvarchar","varchar("&amp;BN45&amp;")","smallint","smallint","date","date","money","decimal(19,4)","numeric","numeric("&amp;BN45&amp;")","int","int","bit","char(1)","datetime2","datetime","time","time")</f>
        <v>varchar(2)</v>
      </c>
      <c r="AD45" s="31"/>
      <c r="AE45" s="31"/>
      <c r="AF45" s="31"/>
      <c r="AG45" s="32"/>
      <c r="AH45" s="30"/>
      <c r="AI45" s="32"/>
      <c r="AJ45" s="30" t="s">
        <v>885</v>
      </c>
      <c r="AK45" s="31"/>
      <c r="AL45" s="32"/>
      <c r="AM45" s="30"/>
      <c r="AN45" s="31"/>
      <c r="AO45" s="31"/>
      <c r="AP45" s="31"/>
      <c r="AQ45" s="31"/>
      <c r="AR45" s="31"/>
      <c r="AS45" s="32"/>
      <c r="AT45" s="30" t="s">
        <v>782</v>
      </c>
      <c r="AU45" s="31"/>
      <c r="AV45" s="31"/>
      <c r="AW45" s="31"/>
      <c r="AX45" s="31"/>
      <c r="AY45" s="31"/>
      <c r="AZ45" s="31"/>
      <c r="BA45" s="31"/>
      <c r="BB45" s="31"/>
      <c r="BC45" s="31"/>
      <c r="BD45" s="31"/>
      <c r="BE45" s="31"/>
      <c r="BF45" s="31"/>
      <c r="BG45" s="31"/>
      <c r="BH45" s="31"/>
      <c r="BI45" s="31"/>
      <c r="BJ45" s="32"/>
      <c r="BK45" s="4"/>
      <c r="BM45" t="s">
        <v>888</v>
      </c>
      <c r="BN45">
        <v>2</v>
      </c>
      <c r="BP45" t="str">
        <f t="shared" si="1"/>
        <v>,`TicketSummaryGroupCode` varchar(2) NOT NULL COMMENT '券集計グループコード'</v>
      </c>
      <c r="BQ45" t="s">
        <v>626</v>
      </c>
      <c r="BR45" t="str">
        <f t="shared" si="5"/>
        <v>,`TicketSummaryGroupCode` varchar(2) NOT NULL</v>
      </c>
      <c r="BS45" t="s">
        <v>626</v>
      </c>
      <c r="BT45" t="str">
        <f t="shared" si="6"/>
        <v>,`TicketSummaryGroupCode` = if(nullif( @20,'') &gt; '', @20, null )</v>
      </c>
      <c r="BU45" t="s">
        <v>626</v>
      </c>
      <c r="BV45" s="97" t="str">
        <f t="shared" si="2"/>
        <v>,A.`TicketSummaryGroupCode` = B.`TicketSummaryGroupCode`</v>
      </c>
      <c r="BW45" t="s">
        <v>626</v>
      </c>
      <c r="BX45" s="97" t="str">
        <f t="shared" si="3"/>
        <v>,`TicketSummaryGroupCode`</v>
      </c>
      <c r="BY45" t="s">
        <v>626</v>
      </c>
      <c r="BZ45" s="97" t="str">
        <f t="shared" si="4"/>
        <v>,`TicketSummaryGroupCode`</v>
      </c>
      <c r="CA45" t="s">
        <v>626</v>
      </c>
    </row>
    <row r="46" spans="1:79" ht="15" customHeight="1">
      <c r="A46" s="100"/>
      <c r="BK46" s="4"/>
      <c r="BP46"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(`CompanyCode`,`StoreCode`,`PaymentCode`,`TicketCode`),</v>
      </c>
      <c r="BQ46" t="s">
        <v>626</v>
      </c>
      <c r="BR46"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(`CompanyCode`,`StoreCode`,`PaymentCode`,`TicketCode`)</v>
      </c>
      <c r="BS46" t="s">
        <v>626</v>
      </c>
      <c r="BT46" s="97" t="s">
        <v>936</v>
      </c>
      <c r="BU46" t="s">
        <v>626</v>
      </c>
      <c r="BV46" s="97" t="s">
        <v>934</v>
      </c>
      <c r="BW46" t="s">
        <v>626</v>
      </c>
      <c r="BY46" t="s">
        <v>626</v>
      </c>
      <c r="BZ46" s="97" t="str">
        <f>"FROM `TMP`.`"&amp;$G$10&amp;"` A"</f>
        <v>FROM `TMP`.`PaymentTicketMaster` A</v>
      </c>
      <c r="CA46" t="s">
        <v>626</v>
      </c>
    </row>
    <row r="47" spans="1:79" ht="15" customHeight="1">
      <c r="A47" s="100"/>
      <c r="BK47" s="4"/>
      <c r="BP47" s="97" t="s">
        <v>452</v>
      </c>
      <c r="BQ47" t="s">
        <v>626</v>
      </c>
      <c r="BR47" s="97" t="str">
        <f>") ENGINE=InnoDB DEFAULT CHARSET=utf8mb4 COLLATE=utf8mb4_0900_ai_ci COMMENT = '"&amp;$G$9&amp;"_TMP';"</f>
        <v>) ENGINE=InnoDB DEFAULT CHARSET=utf8mb4 COLLATE=utf8mb4_0900_ai_ci COMMENT = '券マスタ_TMP';</v>
      </c>
      <c r="BS47" t="s">
        <v>626</v>
      </c>
      <c r="BU47" t="s">
        <v>626</v>
      </c>
      <c r="BV47" s="97" t="str">
        <f>IF(_xlfn.XLOOKUP(1,$AH:$AH,$R:$R,"",0)="","","A.`"&amp;_xlfn.XLOOKUP(1,$AH:$AH,$R:$R,"",0)&amp;"` = B.`"&amp;_xlfn.XLOOKUP(1,$AH:$AH,$R:$R,"",0)&amp;"`")</f>
        <v>A.`CompanyCode` = B.`CompanyCode`</v>
      </c>
      <c r="BW47" t="s">
        <v>626</v>
      </c>
      <c r="BY47" t="s">
        <v>626</v>
      </c>
      <c r="BZ47" s="97" t="s">
        <v>935</v>
      </c>
      <c r="CA47" t="s">
        <v>626</v>
      </c>
    </row>
    <row r="48" spans="1:79" ht="15" customHeight="1">
      <c r="A48" s="100"/>
      <c r="B48" s="37" t="s">
        <v>49</v>
      </c>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4"/>
      <c r="BP48" s="97" t="str">
        <f>") ENGINE=InnoDB DEFAULT CHARSET=utf8mb4 COLLATE=utf8mb4_0900_ai_ci COMMENT = '"&amp;$G$9&amp;"';"</f>
        <v>) ENGINE=InnoDB DEFAULT CHARSET=utf8mb4 COLLATE=utf8mb4_0900_ai_ci COMMENT = '券マスタ';</v>
      </c>
      <c r="BQ48" t="s">
        <v>626</v>
      </c>
      <c r="BS48" t="s">
        <v>626</v>
      </c>
      <c r="BU48" t="s">
        <v>626</v>
      </c>
      <c r="BV48" s="97" t="str">
        <f>IF(_xlfn.XLOOKUP(2,$AH:$AH,$R:$R,"",0)="","","AND A.`"&amp;_xlfn.XLOOKUP(2,$AH:$AH,$R:$R,"",0)&amp;"` = B.`"&amp;_xlfn.XLOOKUP(2,$AH:$AH,$R:$R,"",0)&amp;"`")</f>
        <v>AND A.`StoreCode` = B.`StoreCode`</v>
      </c>
      <c r="BW48" t="s">
        <v>626</v>
      </c>
      <c r="BY48" t="s">
        <v>626</v>
      </c>
      <c r="BZ48" s="97" t="str">
        <f>"FROM `POS_MASTER`.`"&amp;$G$10&amp;"` B"</f>
        <v>FROM `POS_MASTER`.`PaymentTicketMaster` B</v>
      </c>
      <c r="CA48" t="s">
        <v>626</v>
      </c>
    </row>
    <row r="49" spans="1:79" ht="15" customHeight="1">
      <c r="A49" s="100"/>
      <c r="B49" s="34" t="s">
        <v>50</v>
      </c>
      <c r="C49" s="35"/>
      <c r="D49" s="34" t="s">
        <v>51</v>
      </c>
      <c r="E49" s="44"/>
      <c r="F49" s="36"/>
      <c r="G49" s="36"/>
      <c r="H49" s="36"/>
      <c r="I49" s="36"/>
      <c r="J49" s="36"/>
      <c r="K49" s="36"/>
      <c r="L49" s="36"/>
      <c r="M49" s="36"/>
      <c r="N49" s="36"/>
      <c r="O49" s="36"/>
      <c r="P49" s="36"/>
      <c r="Q49" s="35"/>
      <c r="R49" s="34" t="s">
        <v>52</v>
      </c>
      <c r="S49" s="44"/>
      <c r="T49" s="36"/>
      <c r="U49" s="36"/>
      <c r="V49" s="36"/>
      <c r="W49" s="36"/>
      <c r="X49" s="36"/>
      <c r="Y49" s="36"/>
      <c r="Z49" s="36"/>
      <c r="AA49" s="36"/>
      <c r="AB49" s="36"/>
      <c r="AC49" s="36"/>
      <c r="AD49" s="36"/>
      <c r="AE49" s="36"/>
      <c r="AF49" s="36"/>
      <c r="AG49" s="36"/>
      <c r="AH49" s="36"/>
      <c r="AI49" s="36"/>
      <c r="AJ49" s="36"/>
      <c r="AK49" s="35"/>
      <c r="AL49" s="34" t="s">
        <v>53</v>
      </c>
      <c r="AM49" s="36"/>
      <c r="AN49" s="36"/>
      <c r="AO49" s="45"/>
      <c r="AP49" s="34" t="s">
        <v>54</v>
      </c>
      <c r="AQ49" s="36"/>
      <c r="AR49" s="36"/>
      <c r="AS49" s="35"/>
      <c r="AT49" s="34" t="s">
        <v>48</v>
      </c>
      <c r="AU49" s="44"/>
      <c r="AV49" s="44"/>
      <c r="AW49" s="36"/>
      <c r="AX49" s="36"/>
      <c r="AY49" s="44"/>
      <c r="AZ49" s="36"/>
      <c r="BA49" s="36"/>
      <c r="BB49" s="36"/>
      <c r="BC49" s="36"/>
      <c r="BD49" s="36"/>
      <c r="BE49" s="36"/>
      <c r="BF49" s="36"/>
      <c r="BG49" s="36"/>
      <c r="BH49" s="36"/>
      <c r="BI49" s="44"/>
      <c r="BJ49" s="35"/>
      <c r="BK49" s="4"/>
      <c r="BP49" s="97"/>
      <c r="BQ49" t="s">
        <v>626</v>
      </c>
      <c r="BS49" t="s">
        <v>626</v>
      </c>
      <c r="BU49" t="s">
        <v>626</v>
      </c>
      <c r="BV49" s="97" t="str">
        <f>IF(_xlfn.XLOOKUP(3,$AH:$AH,$R:$R,"",0)="","","AND A.`"&amp;_xlfn.XLOOKUP(3,$AH:$AH,$R:$R,"",0)&amp;"` = B.`"&amp;_xlfn.XLOOKUP(3,$AH:$AH,$R:$R,"",0)&amp;"`")</f>
        <v>AND A.`PaymentCode` = B.`PaymentCode`</v>
      </c>
      <c r="BW49" t="s">
        <v>626</v>
      </c>
      <c r="BY49" t="s">
        <v>626</v>
      </c>
      <c r="BZ49" s="97" t="s">
        <v>932</v>
      </c>
      <c r="CA49" t="s">
        <v>626</v>
      </c>
    </row>
    <row r="50" spans="1:79" ht="15" customHeight="1">
      <c r="A50" s="100"/>
      <c r="B50" s="38">
        <v>1</v>
      </c>
      <c r="C50" s="39"/>
      <c r="D50" s="38" t="s">
        <v>55</v>
      </c>
      <c r="E50" s="46"/>
      <c r="F50" s="40"/>
      <c r="G50" s="40"/>
      <c r="H50" s="40"/>
      <c r="I50" s="40"/>
      <c r="J50" s="40"/>
      <c r="K50" s="40"/>
      <c r="L50" s="40"/>
      <c r="M50" s="40"/>
      <c r="N50" s="40"/>
      <c r="O50" s="40"/>
      <c r="P50" s="40"/>
      <c r="Q50" s="39"/>
      <c r="R50"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`CompanyCode`,`StoreCode`,`PaymentCode`,`TicketCode`</v>
      </c>
      <c r="S50" s="46"/>
      <c r="T50" s="40"/>
      <c r="U50" s="40"/>
      <c r="V50" s="40"/>
      <c r="W50" s="40"/>
      <c r="X50" s="40"/>
      <c r="Y50" s="40"/>
      <c r="Z50" s="40"/>
      <c r="AA50" s="40"/>
      <c r="AB50" s="40"/>
      <c r="AC50" s="40"/>
      <c r="AD50" s="40"/>
      <c r="AE50" s="40"/>
      <c r="AF50" s="40"/>
      <c r="AG50" s="40"/>
      <c r="AH50" s="40"/>
      <c r="AI50" s="40"/>
      <c r="AJ50" s="40"/>
      <c r="AK50" s="39"/>
      <c r="AL50" s="38" t="s">
        <v>885</v>
      </c>
      <c r="AM50" s="40"/>
      <c r="AN50" s="40"/>
      <c r="AO50" s="47"/>
      <c r="AP50" s="38" t="s">
        <v>885</v>
      </c>
      <c r="AQ50" s="40"/>
      <c r="AR50" s="40"/>
      <c r="AS50" s="39"/>
      <c r="AT50" s="38"/>
      <c r="AU50" s="46"/>
      <c r="AV50" s="46"/>
      <c r="AW50" s="40"/>
      <c r="AX50" s="40"/>
      <c r="AY50" s="46"/>
      <c r="AZ50" s="40"/>
      <c r="BA50" s="40"/>
      <c r="BB50" s="40"/>
      <c r="BC50" s="40"/>
      <c r="BD50" s="40"/>
      <c r="BE50" s="40"/>
      <c r="BF50" s="40"/>
      <c r="BG50" s="40"/>
      <c r="BH50" s="40"/>
      <c r="BI50" s="46"/>
      <c r="BJ50" s="39"/>
      <c r="BK50" s="4"/>
      <c r="BP50" s="97" t="str">
        <f>"CREATE TRIGGER `"&amp;$G$10&amp;"_CR_Date_Time` BEFORE INSERT ON `"&amp;$G$10&amp;"` FOR EACH ROW SET NEW.record_create_date = CURRENT_DATE, NEW.record_create_time = CURRENT_TIME, NEW.record_update_date = CURRENT_DATE, NEW.record_update_time = CURRENT_TIME;"</f>
        <v>CREATE TRIGGER `PaymentTicketMaster_CR_Date_Time` BEFORE INSERT ON `PaymentTicketMaster` FOR EACH ROW SET NEW.record_create_date = CURRENT_DATE, NEW.record_create_time = CURRENT_TIME, NEW.record_update_date = CURRENT_DATE, NEW.record_update_time = CURRENT_TIME;</v>
      </c>
      <c r="BQ50" t="s">
        <v>626</v>
      </c>
      <c r="BS50" t="s">
        <v>626</v>
      </c>
      <c r="BU50" t="s">
        <v>626</v>
      </c>
      <c r="BV50" s="97" t="str">
        <f>IF(_xlfn.XLOOKUP(4,$AH:$AH,$R:$R,"",0)="","","AND A.`"&amp;_xlfn.XLOOKUP(4,$AH:$AH,$R:$R,"",0)&amp;"` = B.`"&amp;_xlfn.XLOOKUP(4,$AH:$AH,$R:$R,"",0)&amp;"`")</f>
        <v>AND A.`TicketCode` = B.`TicketCode`</v>
      </c>
      <c r="BW50" t="s">
        <v>626</v>
      </c>
      <c r="BY50" t="s">
        <v>626</v>
      </c>
      <c r="BZ50" s="97" t="str">
        <f>IF(_xlfn.XLOOKUP(1,$AH:$AH,$R:$R,"",0)="","","A.`"&amp;_xlfn.XLOOKUP(1,$AH:$AH,$R:$R,"",0)&amp;"` = B.`"&amp;_xlfn.XLOOKUP(1,$AH:$AH,$R:$R,"",0)&amp;"`")</f>
        <v>A.`CompanyCode` = B.`CompanyCode`</v>
      </c>
      <c r="CA50" t="s">
        <v>626</v>
      </c>
    </row>
    <row r="51" spans="1:79" ht="15" customHeight="1">
      <c r="A51" s="100"/>
      <c r="BK51" s="4"/>
      <c r="BP51" s="97" t="str">
        <f>"CREATE TRIGGER `"&amp;$G$10&amp;"_UP_Date_Time` BEFORE UPDATE ON `"&amp;$G$10&amp;"` FOR EACH ROW SET NEW.record_update_date = CURRENT_DATE, NEW.record_update_time = CURRENT_TIME;"</f>
        <v>CREATE TRIGGER `PaymentTicketMaster_UP_Date_Time` BEFORE UPDATE ON `PaymentTicketMaster` FOR EACH ROW SET NEW.record_update_date = CURRENT_DATE, NEW.record_update_time = CURRENT_TIME;</v>
      </c>
      <c r="BQ51" t="s">
        <v>626</v>
      </c>
      <c r="BS51" t="s">
        <v>626</v>
      </c>
      <c r="BU51" t="s">
        <v>626</v>
      </c>
      <c r="BV51" s="97" t="str">
        <f>IF(_xlfn.XLOOKUP(5,$AH:$AH,$R:$R,"",0)="","","AND A.`"&amp;_xlfn.XLOOKUP(5,$AH:$AH,$R:$R,"",0)&amp;"` = B.`"&amp;_xlfn.XLOOKUP(5,$AH:$AH,$R:$R,"",0)&amp;"`")</f>
        <v/>
      </c>
      <c r="BW51" t="s">
        <v>626</v>
      </c>
      <c r="BY51" t="s">
        <v>626</v>
      </c>
      <c r="BZ51" s="97" t="str">
        <f>IF(_xlfn.XLOOKUP(2,$AH:$AH,$R:$R,"",0)="","","AND A.`"&amp;_xlfn.XLOOKUP(2,$AH:$AH,$R:$R,"",0)&amp;"` = B.`"&amp;_xlfn.XLOOKUP(2,$AH:$AH,$R:$R,"",0)&amp;"`")</f>
        <v>AND A.`StoreCode` = B.`StoreCode`</v>
      </c>
      <c r="CA51" t="s">
        <v>626</v>
      </c>
    </row>
    <row r="52" spans="1:79" ht="15" customHeight="1">
      <c r="A52" s="100"/>
      <c r="BK52" s="4"/>
      <c r="BQ52" t="s">
        <v>626</v>
      </c>
      <c r="BS52" t="s">
        <v>626</v>
      </c>
      <c r="BU52" t="s">
        <v>626</v>
      </c>
      <c r="BV52" s="97" t="str">
        <f>IF(_xlfn.XLOOKUP(6,$AH:$AH,$R:$R,"",0)="","","AND A.`"&amp;_xlfn.XLOOKUP(6,$AH:$AH,$R:$R,"",0)&amp;"` = B.`"&amp;_xlfn.XLOOKUP(6,$AH:$AH,$R:$R,"",0)&amp;"`")</f>
        <v/>
      </c>
      <c r="BW52" t="s">
        <v>626</v>
      </c>
      <c r="BY52" t="s">
        <v>626</v>
      </c>
      <c r="BZ52" s="97" t="str">
        <f>IF(_xlfn.XLOOKUP(3,$AH:$AH,$R:$R,"",0)="","","AND A.`"&amp;_xlfn.XLOOKUP(3,$AH:$AH,$R:$R,"",0)&amp;"` = B.`"&amp;_xlfn.XLOOKUP(3,$AH:$AH,$R:$R,"",0)&amp;"`")</f>
        <v>AND A.`PaymentCode` = B.`PaymentCode`</v>
      </c>
      <c r="CA52" t="s">
        <v>626</v>
      </c>
    </row>
    <row r="53" spans="1:79">
      <c r="A53" s="100"/>
      <c r="B53" s="37" t="s">
        <v>34</v>
      </c>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4"/>
      <c r="BQ53" t="s">
        <v>626</v>
      </c>
      <c r="BS53" t="s">
        <v>626</v>
      </c>
      <c r="BU53" t="s">
        <v>626</v>
      </c>
      <c r="BV53" s="97" t="str">
        <f>IF(_xlfn.XLOOKUP(7,$AH:$AH,$R:$R,"",0)="","","AND A.`"&amp;_xlfn.XLOOKUP(7,$AH:$AH,$R:$R,"",0)&amp;"` = B.`"&amp;_xlfn.XLOOKUP(7,$AH:$AH,$R:$R,"",0)&amp;"`")</f>
        <v/>
      </c>
      <c r="BW53" t="s">
        <v>626</v>
      </c>
      <c r="BY53" t="s">
        <v>626</v>
      </c>
      <c r="BZ53" s="97" t="str">
        <f>IF(_xlfn.XLOOKUP(4,$AH:$AH,$R:$R,"",0)="","","AND A.`"&amp;_xlfn.XLOOKUP(4,$AH:$AH,$R:$R,"",0)&amp;"` = B.`"&amp;_xlfn.XLOOKUP(4,$AH:$AH,$R:$R,"",0)&amp;"`")</f>
        <v>AND A.`TicketCode` = B.`TicketCode`</v>
      </c>
      <c r="CA53" t="s">
        <v>626</v>
      </c>
    </row>
    <row r="54" spans="1:79">
      <c r="A54" s="100"/>
      <c r="B54" s="34" t="s">
        <v>35</v>
      </c>
      <c r="C54" s="45"/>
      <c r="D54" s="34" t="s">
        <v>36</v>
      </c>
      <c r="E54" s="44"/>
      <c r="F54" s="44"/>
      <c r="G54" s="44"/>
      <c r="H54" s="44"/>
      <c r="I54" s="44"/>
      <c r="J54" s="44"/>
      <c r="K54" s="44"/>
      <c r="L54" s="36"/>
      <c r="M54" s="36"/>
      <c r="N54" s="36"/>
      <c r="O54" s="36"/>
      <c r="P54" s="36"/>
      <c r="Q54" s="35"/>
      <c r="R54" s="34" t="s">
        <v>37</v>
      </c>
      <c r="S54" s="36"/>
      <c r="T54" s="45"/>
      <c r="U54" s="34" t="s">
        <v>38</v>
      </c>
      <c r="V54" s="36"/>
      <c r="W54" s="44"/>
      <c r="X54" s="45"/>
      <c r="Y54" s="34" t="s">
        <v>39</v>
      </c>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5"/>
      <c r="BK54" s="4"/>
      <c r="BQ54" t="s">
        <v>626</v>
      </c>
      <c r="BS54" t="s">
        <v>626</v>
      </c>
      <c r="BU54" t="s">
        <v>626</v>
      </c>
      <c r="BV54" s="97" t="str">
        <f>IF(_xlfn.XLOOKUP(8,$AH:$AH,$R:$R,"",0)="","","AND A.`"&amp;_xlfn.XLOOKUP(8,$AH:$AH,$R:$R,"",0)&amp;"` = B.`"&amp;_xlfn.XLOOKUP(8,$AH:$AH,$R:$R,"",0)&amp;"`")</f>
        <v/>
      </c>
      <c r="BW54" t="s">
        <v>626</v>
      </c>
      <c r="BY54" t="s">
        <v>626</v>
      </c>
      <c r="BZ54" s="97" t="str">
        <f>IF(_xlfn.XLOOKUP(5,$AH:$AH,$R:$R,"",0)="","","AND A.`"&amp;_xlfn.XLOOKUP(5,$AH:$AH,$R:$R,"",0)&amp;"` = B.`"&amp;_xlfn.XLOOKUP(5,$AH:$AH,$R:$R,"",0)&amp;"`")</f>
        <v/>
      </c>
      <c r="CA54" t="s">
        <v>626</v>
      </c>
    </row>
    <row r="55" spans="1:79">
      <c r="A55" s="100"/>
      <c r="B55" s="41">
        <v>1</v>
      </c>
      <c r="C55" s="47"/>
      <c r="D55" s="41" t="str">
        <f>G10&amp;"_"&amp;R55&amp;"_"&amp;"trg"</f>
        <v>PaymentTicketMaster_update_trg</v>
      </c>
      <c r="E55" s="46"/>
      <c r="F55" s="46"/>
      <c r="G55" s="46"/>
      <c r="H55" s="46"/>
      <c r="I55" s="46"/>
      <c r="J55" s="46"/>
      <c r="K55" s="46"/>
      <c r="L55" s="42"/>
      <c r="M55" s="42"/>
      <c r="N55" s="42"/>
      <c r="O55" s="42"/>
      <c r="P55" s="42"/>
      <c r="Q55" s="43"/>
      <c r="R55" s="41" t="s">
        <v>40</v>
      </c>
      <c r="S55" s="42"/>
      <c r="T55" s="47"/>
      <c r="U55" s="41" t="s">
        <v>41</v>
      </c>
      <c r="V55" s="42"/>
      <c r="W55" s="46"/>
      <c r="X55" s="47"/>
      <c r="Y55" s="41" t="s">
        <v>42</v>
      </c>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3"/>
      <c r="BK55" s="4"/>
      <c r="BQ55" t="s">
        <v>626</v>
      </c>
      <c r="BS55" t="s">
        <v>626</v>
      </c>
      <c r="BU55" t="s">
        <v>626</v>
      </c>
      <c r="BV55" s="97" t="s">
        <v>936</v>
      </c>
      <c r="BW55" t="s">
        <v>626</v>
      </c>
      <c r="BY55" t="s">
        <v>626</v>
      </c>
      <c r="BZ55" s="97" t="str">
        <f>IF(_xlfn.XLOOKUP(6,$AH:$AH,$R:$R,"",0)="","","AND A.`"&amp;_xlfn.XLOOKUP(6,$AH:$AH,$R:$R,"",0)&amp;"` = B.`"&amp;_xlfn.XLOOKUP(6,$AH:$AH,$R:$R,"",0)&amp;"`")</f>
        <v/>
      </c>
      <c r="CA55" t="s">
        <v>626</v>
      </c>
    </row>
    <row r="56" spans="1:79">
      <c r="A56" s="100"/>
      <c r="BK56" s="4"/>
      <c r="BQ56" t="s">
        <v>626</v>
      </c>
      <c r="BS56" t="s">
        <v>626</v>
      </c>
      <c r="BU56" t="s">
        <v>626</v>
      </c>
      <c r="BW56" t="s">
        <v>626</v>
      </c>
      <c r="BY56" t="s">
        <v>626</v>
      </c>
      <c r="BZ56" s="97" t="str">
        <f>IF(_xlfn.XLOOKUP(7,$AH:$AH,$R:$R,"",0)="","","AND A.`"&amp;_xlfn.XLOOKUP(7,$AH:$AH,$R:$R,"",0)&amp;"` = B.`"&amp;_xlfn.XLOOKUP(7,$AH:$AH,$R:$R,"",0)&amp;"`")</f>
        <v/>
      </c>
      <c r="CA56" t="s">
        <v>626</v>
      </c>
    </row>
    <row r="57" spans="1:79">
      <c r="A57" s="100"/>
      <c r="BK57" s="4"/>
      <c r="BQ57" t="s">
        <v>626</v>
      </c>
      <c r="BS57" t="s">
        <v>626</v>
      </c>
      <c r="BU57" t="s">
        <v>626</v>
      </c>
      <c r="BW57" t="s">
        <v>626</v>
      </c>
      <c r="BY57" t="s">
        <v>626</v>
      </c>
      <c r="BZ57" s="97" t="str">
        <f>IF(_xlfn.XLOOKUP(8,$AH:$AH,$R:$R,"",0)="","","AND A.`"&amp;_xlfn.XLOOKUP(8,$AH:$AH,$R:$R,"",0)&amp;"` = B.`"&amp;_xlfn.XLOOKUP(8,$AH:$AH,$R:$R,"",0)&amp;"`")</f>
        <v/>
      </c>
      <c r="CA57" t="s">
        <v>626</v>
      </c>
    </row>
    <row r="58" spans="1:79">
      <c r="A58" s="100"/>
      <c r="BK58" s="4"/>
      <c r="BQ58" t="s">
        <v>626</v>
      </c>
      <c r="BS58" t="s">
        <v>626</v>
      </c>
      <c r="BU58" t="s">
        <v>626</v>
      </c>
      <c r="BW58" t="s">
        <v>626</v>
      </c>
      <c r="BY58" t="s">
        <v>626</v>
      </c>
      <c r="BZ58" s="97" t="s">
        <v>929</v>
      </c>
      <c r="CA58" t="s">
        <v>626</v>
      </c>
    </row>
    <row r="59" spans="1:79">
      <c r="A59" s="100"/>
    </row>
    <row r="60" spans="1:79">
      <c r="A60" s="100"/>
    </row>
    <row r="61" spans="1:79">
      <c r="A61" s="100"/>
    </row>
    <row r="62" spans="1:79">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D5B3-5F73-4074-908B-25C13A80B8C2}">
  <dimension ref="A1:CA62"/>
  <sheetViews>
    <sheetView view="pageBreakPreview" topLeftCell="A21" zoomScale="80" zoomScaleNormal="75" zoomScaleSheetLayoutView="80" workbookViewId="0">
      <selection activeCell="BZ26" sqref="BZ26:BZ55"/>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787</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788</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`POS_MASTER`.`CashChangerRecoverSettingMaster`;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`POS_MASTER`.`CashChangerRecoverSettingMaster`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42"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'C:/04_DATAFILE/CashChangerRecoverSettingMaster/TMP/CashChangerRecoverSettingMaster.CSV' </v>
      </c>
      <c r="BU24" t="s">
        <v>626</v>
      </c>
      <c r="BV24" s="97" t="str">
        <f>"UPDATE `POS_MASTER`.`"&amp;$G$10&amp;"` A,`TMP`.`"&amp;$G$10&amp;"` B"</f>
        <v>UPDATE `POS_MASTER`.`CashChangerRecoverSettingMaster` A,`TMP`.`CashChangerRecoverSettingMaster`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`TMP`.`CashChangerRecoverSettingMaster`;</v>
      </c>
      <c r="BS25" t="s">
        <v>626</v>
      </c>
      <c r="BT25" s="97" t="str">
        <f>"REPLACE INTO TABLE TMP.`"&amp;$G$10&amp;"` CHARACTER SET 'UTF8'"</f>
        <v>REPLACE INTO TABLE TMP.`CashChangerRecoverSettingMaster`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`TMP`.`CashChangerRecoverSettingMaster` (</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v>
      </c>
      <c r="BU26" t="s">
        <v>626</v>
      </c>
      <c r="BV26" s="97"/>
      <c r="BW26" t="s">
        <v>626</v>
      </c>
      <c r="BX26" s="97" t="str">
        <f>"INSERT INTO `POS_MASTER`.`"&amp;$G$10&amp;"` ("</f>
        <v>INSERT INTO `POS_MASTER`.`CashChangerRecoverSettingMaster`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42"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2" si="2">",A.`"&amp;R28&amp;"` = B.`"&amp;R28&amp;"`"</f>
        <v>,A.`StoreCode` = B.`StoreCode`</v>
      </c>
      <c r="BW28" t="s">
        <v>626</v>
      </c>
      <c r="BX28" s="97" t="str">
        <f t="shared" ref="BX28:BX42" si="3">",`"&amp;R28&amp;"`"</f>
        <v>,`StoreCode`</v>
      </c>
      <c r="BY28" t="s">
        <v>626</v>
      </c>
      <c r="BZ28" s="97" t="str">
        <f t="shared" ref="BZ28:BZ42" si="4">",`"&amp;R28&amp;"`"</f>
        <v>,`StoreCode`</v>
      </c>
      <c r="CA28" t="s">
        <v>626</v>
      </c>
    </row>
    <row r="29" spans="1:79" ht="15" customHeight="1">
      <c r="A29" s="100" t="s">
        <v>966</v>
      </c>
      <c r="B29" s="23">
        <f t="shared" si="0"/>
        <v>9</v>
      </c>
      <c r="C29" s="24"/>
      <c r="D29" s="22" t="s">
        <v>792</v>
      </c>
      <c r="E29" s="25"/>
      <c r="F29" s="25"/>
      <c r="G29" s="25"/>
      <c r="H29" s="25"/>
      <c r="I29" s="25"/>
      <c r="J29" s="25"/>
      <c r="K29" s="25"/>
      <c r="L29" s="25"/>
      <c r="M29" s="25"/>
      <c r="N29" s="25"/>
      <c r="O29" s="25"/>
      <c r="P29" s="25"/>
      <c r="Q29" s="26"/>
      <c r="R29" s="22" t="s">
        <v>821</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int</v>
      </c>
      <c r="AD29" s="25"/>
      <c r="AE29" s="25"/>
      <c r="AF29" s="25"/>
      <c r="AG29" s="26"/>
      <c r="AH29" s="22">
        <v>3</v>
      </c>
      <c r="AI29" s="26"/>
      <c r="AJ29" s="22" t="s">
        <v>885</v>
      </c>
      <c r="AK29" s="25"/>
      <c r="AL29" s="26"/>
      <c r="AM29" s="22"/>
      <c r="AN29" s="25"/>
      <c r="AO29" s="25"/>
      <c r="AP29" s="25"/>
      <c r="AQ29" s="25"/>
      <c r="AR29" s="25"/>
      <c r="AS29" s="26"/>
      <c r="AT29" s="22" t="s">
        <v>806</v>
      </c>
      <c r="AU29" s="25"/>
      <c r="AV29" s="25"/>
      <c r="AW29" s="25"/>
      <c r="AX29" s="25"/>
      <c r="AY29" s="25"/>
      <c r="AZ29" s="25"/>
      <c r="BA29" s="25"/>
      <c r="BB29" s="25"/>
      <c r="BC29" s="25"/>
      <c r="BD29" s="25"/>
      <c r="BE29" s="25"/>
      <c r="BF29" s="25"/>
      <c r="BG29" s="25"/>
      <c r="BH29" s="25"/>
      <c r="BI29" s="25"/>
      <c r="BJ29" s="26"/>
      <c r="BK29" s="4"/>
      <c r="BM29" t="s">
        <v>437</v>
      </c>
      <c r="BP29" t="str">
        <f t="shared" si="1"/>
        <v>,`TerminalNo` int NOT NULL COMMENT '端末番号'</v>
      </c>
      <c r="BQ29" t="s">
        <v>626</v>
      </c>
      <c r="BR29" t="str">
        <f t="shared" ref="BR29:BR42" si="5">",`"&amp;R29&amp;"` "&amp;AC29&amp;" "&amp;IF(AJ29="Y","NOT NULL","")</f>
        <v>,`TerminalNo` int NOT NULL</v>
      </c>
      <c r="BS29" t="s">
        <v>626</v>
      </c>
      <c r="BT29" t="str">
        <f t="shared" ref="BT29:BT42" si="6">",`"&amp;R29&amp;"` = "&amp;IF(LEFT(AC29,4)="date", "if(@"&amp;B29-5&amp;" &gt; '0000-00-00 00:00:00', if(@"&amp;B29-5&amp;" &gt; '2999-12-31 23:59:59', '2999-12-31 23:59:59', @"&amp;B29-5&amp;"), null)","if(nullif( @"&amp;B29-5&amp;",'') &gt; '', @"&amp;B29-5&amp;", null )")</f>
        <v>,`TerminalNo` = if(nullif( @4,'') &gt; '', @4, null )</v>
      </c>
      <c r="BU29" t="s">
        <v>626</v>
      </c>
      <c r="BV29" s="97" t="str">
        <f t="shared" si="2"/>
        <v>,A.`TerminalNo` = B.`TerminalNo`</v>
      </c>
      <c r="BW29" t="s">
        <v>626</v>
      </c>
      <c r="BX29" s="97" t="str">
        <f t="shared" si="3"/>
        <v>,`TerminalNo`</v>
      </c>
      <c r="BY29" t="s">
        <v>626</v>
      </c>
      <c r="BZ29" s="97" t="str">
        <f t="shared" si="4"/>
        <v>,`TerminalNo`</v>
      </c>
      <c r="CA29" t="s">
        <v>626</v>
      </c>
    </row>
    <row r="30" spans="1:79" ht="15" customHeight="1">
      <c r="A30" s="100" t="s">
        <v>967</v>
      </c>
      <c r="B30" s="23">
        <f t="shared" si="0"/>
        <v>10</v>
      </c>
      <c r="C30" s="24"/>
      <c r="D30" s="22" t="s">
        <v>793</v>
      </c>
      <c r="E30" s="25"/>
      <c r="F30" s="25"/>
      <c r="G30" s="25"/>
      <c r="H30" s="25"/>
      <c r="I30" s="25"/>
      <c r="J30" s="25"/>
      <c r="K30" s="25"/>
      <c r="L30" s="25"/>
      <c r="M30" s="25"/>
      <c r="N30" s="25"/>
      <c r="O30" s="25"/>
      <c r="P30" s="25"/>
      <c r="Q30" s="26"/>
      <c r="R30" s="22" t="s">
        <v>822</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int</v>
      </c>
      <c r="AD30" s="25"/>
      <c r="AE30" s="25"/>
      <c r="AF30" s="25"/>
      <c r="AG30" s="26"/>
      <c r="AH30" s="22">
        <v>4</v>
      </c>
      <c r="AI30" s="26"/>
      <c r="AJ30" s="22" t="s">
        <v>885</v>
      </c>
      <c r="AK30" s="25"/>
      <c r="AL30" s="26"/>
      <c r="AM30" s="22"/>
      <c r="AN30" s="25"/>
      <c r="AO30" s="25"/>
      <c r="AP30" s="25"/>
      <c r="AQ30" s="25"/>
      <c r="AR30" s="25"/>
      <c r="AS30" s="26"/>
      <c r="AT30" s="22" t="s">
        <v>807</v>
      </c>
      <c r="AU30" s="25"/>
      <c r="AV30" s="25"/>
      <c r="AW30" s="25"/>
      <c r="AX30" s="25"/>
      <c r="AY30" s="25"/>
      <c r="AZ30" s="25"/>
      <c r="BA30" s="25"/>
      <c r="BB30" s="25"/>
      <c r="BC30" s="25"/>
      <c r="BD30" s="25"/>
      <c r="BE30" s="25"/>
      <c r="BF30" s="25"/>
      <c r="BG30" s="25"/>
      <c r="BH30" s="25"/>
      <c r="BI30" s="25"/>
      <c r="BJ30" s="26"/>
      <c r="BK30" s="4"/>
      <c r="BM30" t="s">
        <v>437</v>
      </c>
      <c r="BP30" t="str">
        <f t="shared" si="1"/>
        <v>,`RecoverCode` int NOT NULL COMMENT '回収区分
0：残置 1：設定 8：ニアエンプティ 9：ニアフル'</v>
      </c>
      <c r="BQ30" t="s">
        <v>626</v>
      </c>
      <c r="BR30" t="str">
        <f t="shared" si="5"/>
        <v>,`RecoverCode` int NOT NULL</v>
      </c>
      <c r="BS30" t="s">
        <v>626</v>
      </c>
      <c r="BT30" t="str">
        <f t="shared" si="6"/>
        <v>,`RecoverCode` = if(nullif( @5,'') &gt; '', @5, null )</v>
      </c>
      <c r="BU30" t="s">
        <v>626</v>
      </c>
      <c r="BV30" s="97" t="str">
        <f t="shared" si="2"/>
        <v>,A.`RecoverCode` = B.`RecoverCode`</v>
      </c>
      <c r="BW30" t="s">
        <v>626</v>
      </c>
      <c r="BX30" s="97" t="str">
        <f t="shared" si="3"/>
        <v>,`RecoverCode`</v>
      </c>
      <c r="BY30" t="s">
        <v>626</v>
      </c>
      <c r="BZ30" s="97" t="str">
        <f t="shared" si="4"/>
        <v>,`RecoverCode`</v>
      </c>
      <c r="CA30" t="s">
        <v>626</v>
      </c>
    </row>
    <row r="31" spans="1:79" ht="15" customHeight="1">
      <c r="A31" s="100" t="s">
        <v>968</v>
      </c>
      <c r="B31" s="23">
        <f t="shared" si="0"/>
        <v>11</v>
      </c>
      <c r="C31" s="24"/>
      <c r="D31" s="22" t="s">
        <v>794</v>
      </c>
      <c r="E31" s="25"/>
      <c r="F31" s="25"/>
      <c r="G31" s="25"/>
      <c r="H31" s="25"/>
      <c r="I31" s="25"/>
      <c r="J31" s="25"/>
      <c r="K31" s="25"/>
      <c r="L31" s="25"/>
      <c r="M31" s="25"/>
      <c r="N31" s="25"/>
      <c r="O31" s="25"/>
      <c r="P31" s="25"/>
      <c r="Q31" s="26"/>
      <c r="R31" s="22" t="s">
        <v>820</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decimal(19,4)</v>
      </c>
      <c r="AD31" s="25"/>
      <c r="AE31" s="25"/>
      <c r="AF31" s="25"/>
      <c r="AG31" s="26"/>
      <c r="AH31" s="22">
        <v>5</v>
      </c>
      <c r="AI31" s="26"/>
      <c r="AJ31" s="22" t="s">
        <v>885</v>
      </c>
      <c r="AK31" s="25"/>
      <c r="AL31" s="26"/>
      <c r="AM31" s="22"/>
      <c r="AN31" s="25"/>
      <c r="AO31" s="25"/>
      <c r="AP31" s="25"/>
      <c r="AQ31" s="25"/>
      <c r="AR31" s="25"/>
      <c r="AS31" s="26"/>
      <c r="AT31" s="22" t="s">
        <v>808</v>
      </c>
      <c r="AU31" s="25"/>
      <c r="AV31" s="25"/>
      <c r="AW31" s="25"/>
      <c r="AX31" s="25"/>
      <c r="AY31" s="25"/>
      <c r="AZ31" s="25"/>
      <c r="BA31" s="25"/>
      <c r="BB31" s="25"/>
      <c r="BC31" s="25"/>
      <c r="BD31" s="25"/>
      <c r="BE31" s="25"/>
      <c r="BF31" s="25"/>
      <c r="BG31" s="25"/>
      <c r="BH31" s="25"/>
      <c r="BI31" s="25"/>
      <c r="BJ31" s="26"/>
      <c r="BK31" s="4"/>
      <c r="BM31" t="s">
        <v>891</v>
      </c>
      <c r="BP31" t="str">
        <f t="shared" si="1"/>
        <v>,`Denominations` decimal(19,4) NOT NULL COMMENT '金種'</v>
      </c>
      <c r="BQ31" t="s">
        <v>626</v>
      </c>
      <c r="BR31" t="str">
        <f t="shared" si="5"/>
        <v>,`Denominations` decimal(19,4) NOT NULL</v>
      </c>
      <c r="BS31" t="s">
        <v>626</v>
      </c>
      <c r="BT31" t="str">
        <f t="shared" si="6"/>
        <v>,`Denominations` = if(nullif( @6,'') &gt; '', @6, null )</v>
      </c>
      <c r="BU31" t="s">
        <v>626</v>
      </c>
      <c r="BV31" s="97" t="str">
        <f t="shared" si="2"/>
        <v>,A.`Denominations` = B.`Denominations`</v>
      </c>
      <c r="BW31" t="s">
        <v>626</v>
      </c>
      <c r="BX31" s="97" t="str">
        <f t="shared" si="3"/>
        <v>,`Denominations`</v>
      </c>
      <c r="BY31" t="s">
        <v>626</v>
      </c>
      <c r="BZ31" s="97" t="str">
        <f t="shared" si="4"/>
        <v>,`Denominations`</v>
      </c>
      <c r="CA31" t="s">
        <v>626</v>
      </c>
    </row>
    <row r="32" spans="1:79" ht="15" customHeight="1">
      <c r="A32" s="100" t="s">
        <v>969</v>
      </c>
      <c r="B32" s="23">
        <f t="shared" si="0"/>
        <v>12</v>
      </c>
      <c r="C32" s="24"/>
      <c r="D32" s="22" t="s">
        <v>795</v>
      </c>
      <c r="E32" s="25"/>
      <c r="F32" s="25"/>
      <c r="G32" s="25"/>
      <c r="H32" s="25"/>
      <c r="I32" s="25"/>
      <c r="J32" s="25"/>
      <c r="K32" s="25"/>
      <c r="L32" s="25"/>
      <c r="M32" s="25"/>
      <c r="N32" s="25"/>
      <c r="O32" s="25"/>
      <c r="P32" s="25"/>
      <c r="Q32" s="26"/>
      <c r="R32" s="22" t="s">
        <v>789</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int</v>
      </c>
      <c r="AD32" s="25"/>
      <c r="AE32" s="25"/>
      <c r="AF32" s="25"/>
      <c r="AG32" s="26"/>
      <c r="AH32" s="22"/>
      <c r="AI32" s="26"/>
      <c r="AJ32" s="22" t="s">
        <v>885</v>
      </c>
      <c r="AK32" s="25"/>
      <c r="AL32" s="26"/>
      <c r="AM32" s="22"/>
      <c r="AN32" s="25"/>
      <c r="AO32" s="25"/>
      <c r="AP32" s="25"/>
      <c r="AQ32" s="25"/>
      <c r="AR32" s="25"/>
      <c r="AS32" s="26"/>
      <c r="AT32" s="22" t="s">
        <v>809</v>
      </c>
      <c r="AU32" s="25"/>
      <c r="AV32" s="25"/>
      <c r="AW32" s="25"/>
      <c r="AX32" s="25"/>
      <c r="AY32" s="25"/>
      <c r="AZ32" s="25"/>
      <c r="BA32" s="25"/>
      <c r="BB32" s="25"/>
      <c r="BC32" s="25"/>
      <c r="BD32" s="25"/>
      <c r="BE32" s="25"/>
      <c r="BF32" s="25"/>
      <c r="BG32" s="25"/>
      <c r="BH32" s="25"/>
      <c r="BI32" s="25"/>
      <c r="BJ32" s="26"/>
      <c r="BK32" s="4"/>
      <c r="BM32" t="s">
        <v>437</v>
      </c>
      <c r="BP32" t="str">
        <f t="shared" si="1"/>
        <v>,`NumberOfLimit` int NOT NULL COMMENT '上下限枚数'</v>
      </c>
      <c r="BQ32" t="s">
        <v>626</v>
      </c>
      <c r="BR32" t="str">
        <f t="shared" si="5"/>
        <v>,`NumberOfLimit` int NOT NULL</v>
      </c>
      <c r="BS32" t="s">
        <v>626</v>
      </c>
      <c r="BT32" t="str">
        <f t="shared" si="6"/>
        <v>,`NumberOfLimit` = if(nullif( @7,'') &gt; '', @7, null )</v>
      </c>
      <c r="BU32" t="s">
        <v>626</v>
      </c>
      <c r="BV32" s="97" t="str">
        <f t="shared" si="2"/>
        <v>,A.`NumberOfLimit` = B.`NumberOfLimit`</v>
      </c>
      <c r="BW32" t="s">
        <v>626</v>
      </c>
      <c r="BX32" s="97" t="str">
        <f t="shared" si="3"/>
        <v>,`NumberOfLimit`</v>
      </c>
      <c r="BY32" t="s">
        <v>626</v>
      </c>
      <c r="BZ32" s="97" t="str">
        <f t="shared" si="4"/>
        <v>,`NumberOfLimit`</v>
      </c>
      <c r="CA32" t="s">
        <v>626</v>
      </c>
    </row>
    <row r="33" spans="1:79" ht="15" customHeight="1">
      <c r="A33" s="100" t="s">
        <v>970</v>
      </c>
      <c r="B33" s="23">
        <f t="shared" si="0"/>
        <v>13</v>
      </c>
      <c r="C33" s="24"/>
      <c r="D33" s="22" t="s">
        <v>796</v>
      </c>
      <c r="E33" s="25"/>
      <c r="F33" s="25"/>
      <c r="G33" s="25"/>
      <c r="H33" s="25"/>
      <c r="I33" s="25"/>
      <c r="J33" s="25"/>
      <c r="K33" s="25"/>
      <c r="L33" s="25"/>
      <c r="M33" s="25"/>
      <c r="N33" s="25"/>
      <c r="O33" s="25"/>
      <c r="P33" s="25"/>
      <c r="Q33" s="26"/>
      <c r="R33" s="22" t="s">
        <v>790</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int</v>
      </c>
      <c r="AD33" s="25"/>
      <c r="AE33" s="25"/>
      <c r="AF33" s="25"/>
      <c r="AG33" s="26"/>
      <c r="AH33" s="22"/>
      <c r="AI33" s="26"/>
      <c r="AJ33" s="22" t="s">
        <v>885</v>
      </c>
      <c r="AK33" s="25"/>
      <c r="AL33" s="26"/>
      <c r="AM33" s="22"/>
      <c r="AN33" s="25"/>
      <c r="AO33" s="25"/>
      <c r="AP33" s="25"/>
      <c r="AQ33" s="25"/>
      <c r="AR33" s="25"/>
      <c r="AS33" s="26"/>
      <c r="AT33" s="22" t="s">
        <v>810</v>
      </c>
      <c r="AU33" s="25"/>
      <c r="AV33" s="25"/>
      <c r="AW33" s="25"/>
      <c r="AX33" s="25"/>
      <c r="AY33" s="25"/>
      <c r="AZ33" s="25"/>
      <c r="BA33" s="25"/>
      <c r="BB33" s="25"/>
      <c r="BC33" s="25"/>
      <c r="BD33" s="25"/>
      <c r="BE33" s="25"/>
      <c r="BF33" s="25"/>
      <c r="BG33" s="25"/>
      <c r="BH33" s="25"/>
      <c r="BI33" s="25"/>
      <c r="BJ33" s="26"/>
      <c r="BK33" s="4"/>
      <c r="BM33" t="s">
        <v>437</v>
      </c>
      <c r="BP33" t="str">
        <f t="shared" si="1"/>
        <v>,`LeftBehind` int NOT NULL COMMENT '残置枚数'</v>
      </c>
      <c r="BQ33" t="s">
        <v>626</v>
      </c>
      <c r="BR33" t="str">
        <f t="shared" si="5"/>
        <v>,`LeftBehind` int NOT NULL</v>
      </c>
      <c r="BS33" t="s">
        <v>626</v>
      </c>
      <c r="BT33" t="str">
        <f t="shared" si="6"/>
        <v>,`LeftBehind` = if(nullif( @8,'') &gt; '', @8, null )</v>
      </c>
      <c r="BU33" t="s">
        <v>626</v>
      </c>
      <c r="BV33" s="97" t="str">
        <f t="shared" si="2"/>
        <v>,A.`LeftBehind` = B.`LeftBehind`</v>
      </c>
      <c r="BW33" t="s">
        <v>626</v>
      </c>
      <c r="BX33" s="97" t="str">
        <f t="shared" si="3"/>
        <v>,`LeftBehind`</v>
      </c>
      <c r="BY33" t="s">
        <v>626</v>
      </c>
      <c r="BZ33" s="97" t="str">
        <f t="shared" si="4"/>
        <v>,`LeftBehind`</v>
      </c>
      <c r="CA33" t="s">
        <v>626</v>
      </c>
    </row>
    <row r="34" spans="1:79" ht="15" customHeight="1">
      <c r="A34" s="100" t="s">
        <v>971</v>
      </c>
      <c r="B34" s="23">
        <f t="shared" si="0"/>
        <v>14</v>
      </c>
      <c r="C34" s="24"/>
      <c r="D34" s="22" t="s">
        <v>797</v>
      </c>
      <c r="E34" s="25"/>
      <c r="F34" s="25"/>
      <c r="G34" s="25"/>
      <c r="H34" s="25"/>
      <c r="I34" s="25"/>
      <c r="J34" s="25"/>
      <c r="K34" s="25"/>
      <c r="L34" s="25"/>
      <c r="M34" s="25"/>
      <c r="N34" s="25"/>
      <c r="O34" s="25"/>
      <c r="P34" s="25"/>
      <c r="Q34" s="26"/>
      <c r="R34" s="22" t="s">
        <v>791</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datetime</v>
      </c>
      <c r="AD34" s="25"/>
      <c r="AE34" s="25"/>
      <c r="AF34" s="25"/>
      <c r="AG34" s="26"/>
      <c r="AH34" s="22"/>
      <c r="AI34" s="26"/>
      <c r="AJ34" s="22" t="s">
        <v>885</v>
      </c>
      <c r="AK34" s="25"/>
      <c r="AL34" s="26"/>
      <c r="AM34" s="22"/>
      <c r="AN34" s="25"/>
      <c r="AO34" s="25"/>
      <c r="AP34" s="25"/>
      <c r="AQ34" s="25"/>
      <c r="AR34" s="25"/>
      <c r="AS34" s="26"/>
      <c r="AT34" s="22" t="s">
        <v>811</v>
      </c>
      <c r="AU34" s="25"/>
      <c r="AV34" s="25"/>
      <c r="AW34" s="25"/>
      <c r="AX34" s="25"/>
      <c r="AY34" s="25"/>
      <c r="AZ34" s="25"/>
      <c r="BA34" s="25"/>
      <c r="BB34" s="25"/>
      <c r="BC34" s="25"/>
      <c r="BD34" s="25"/>
      <c r="BE34" s="25"/>
      <c r="BF34" s="25"/>
      <c r="BG34" s="25"/>
      <c r="BH34" s="25"/>
      <c r="BI34" s="25"/>
      <c r="BJ34" s="26"/>
      <c r="BK34" s="4"/>
      <c r="BM34" t="s">
        <v>898</v>
      </c>
      <c r="BN34">
        <v>7</v>
      </c>
      <c r="BP34" t="str">
        <f t="shared" si="1"/>
        <v>,`UsalLimit` datetime NOT NULL COMMENT '有効期限'</v>
      </c>
      <c r="BQ34" t="s">
        <v>626</v>
      </c>
      <c r="BR34" t="str">
        <f t="shared" si="5"/>
        <v>,`UsalLimit` datetime NOT NULL</v>
      </c>
      <c r="BS34" t="s">
        <v>626</v>
      </c>
      <c r="BT34" t="str">
        <f t="shared" si="6"/>
        <v>,`UsalLimit` = if(@9 &gt; '0000-00-00 00:00:00', if(@9 &gt; '2999-12-31 23:59:59', '2999-12-31 23:59:59', @9), null)</v>
      </c>
      <c r="BU34" t="s">
        <v>626</v>
      </c>
      <c r="BV34" s="97" t="str">
        <f t="shared" si="2"/>
        <v>,A.`UsalLimit` = B.`UsalLimit`</v>
      </c>
      <c r="BW34" t="s">
        <v>626</v>
      </c>
      <c r="BX34" s="97" t="str">
        <f t="shared" si="3"/>
        <v>,`UsalLimit`</v>
      </c>
      <c r="BY34" t="s">
        <v>626</v>
      </c>
      <c r="BZ34" s="97" t="str">
        <f t="shared" si="4"/>
        <v>,`UsalLimit`</v>
      </c>
      <c r="CA34" t="s">
        <v>626</v>
      </c>
    </row>
    <row r="35" spans="1:79" ht="15" customHeight="1">
      <c r="A35" s="100" t="s">
        <v>972</v>
      </c>
      <c r="B35" s="23">
        <f t="shared" si="0"/>
        <v>15</v>
      </c>
      <c r="C35" s="24"/>
      <c r="D35" s="22" t="s">
        <v>798</v>
      </c>
      <c r="E35" s="25"/>
      <c r="F35" s="25"/>
      <c r="G35" s="25"/>
      <c r="H35" s="25"/>
      <c r="I35" s="25"/>
      <c r="J35" s="25"/>
      <c r="K35" s="25"/>
      <c r="L35" s="25"/>
      <c r="M35" s="25"/>
      <c r="N35" s="25"/>
      <c r="O35" s="25"/>
      <c r="P35" s="25"/>
      <c r="Q35" s="26"/>
      <c r="R35" s="22" t="s">
        <v>523</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smallint</v>
      </c>
      <c r="AD35" s="25"/>
      <c r="AE35" s="25"/>
      <c r="AF35" s="25"/>
      <c r="AG35" s="26"/>
      <c r="AH35" s="22"/>
      <c r="AI35" s="26"/>
      <c r="AJ35" s="22" t="s">
        <v>885</v>
      </c>
      <c r="AK35" s="25"/>
      <c r="AL35" s="26"/>
      <c r="AM35" s="22"/>
      <c r="AN35" s="25"/>
      <c r="AO35" s="25"/>
      <c r="AP35" s="25"/>
      <c r="AQ35" s="25"/>
      <c r="AR35" s="25"/>
      <c r="AS35" s="26"/>
      <c r="AT35" s="22" t="s">
        <v>812</v>
      </c>
      <c r="AU35" s="25"/>
      <c r="AV35" s="25"/>
      <c r="AW35" s="25"/>
      <c r="AX35" s="25"/>
      <c r="AY35" s="25"/>
      <c r="AZ35" s="25"/>
      <c r="BA35" s="25"/>
      <c r="BB35" s="25"/>
      <c r="BC35" s="25"/>
      <c r="BD35" s="25"/>
      <c r="BE35" s="25"/>
      <c r="BF35" s="25"/>
      <c r="BG35" s="25"/>
      <c r="BH35" s="25"/>
      <c r="BI35" s="25"/>
      <c r="BJ35" s="26"/>
      <c r="BK35" s="4"/>
      <c r="BM35" t="s">
        <v>623</v>
      </c>
      <c r="BP35" t="str">
        <f t="shared" si="1"/>
        <v>,`DateCategorizeTypeCode` smallint NOT NULL COMMENT '採用曜日区分
1：全曜日 2：曜日指定
※2以外の場合、月曜日フラグ～日曜日フラグの内容は無視する'</v>
      </c>
      <c r="BQ35" t="s">
        <v>626</v>
      </c>
      <c r="BR35" t="str">
        <f t="shared" si="5"/>
        <v>,`DateCategorizeTypeCode` smallint NOT NULL</v>
      </c>
      <c r="BS35" t="s">
        <v>626</v>
      </c>
      <c r="BT35" t="str">
        <f t="shared" si="6"/>
        <v>,`DateCategorizeTypeCode` = if(nullif( @10,'') &gt; '', @10, null )</v>
      </c>
      <c r="BU35" t="s">
        <v>626</v>
      </c>
      <c r="BV35" s="97" t="str">
        <f t="shared" si="2"/>
        <v>,A.`DateCategorizeTypeCode` = B.`DateCategorizeTypeCode`</v>
      </c>
      <c r="BW35" t="s">
        <v>626</v>
      </c>
      <c r="BX35" s="97" t="str">
        <f t="shared" si="3"/>
        <v>,`DateCategorizeTypeCode`</v>
      </c>
      <c r="BY35" t="s">
        <v>626</v>
      </c>
      <c r="BZ35" s="97" t="str">
        <f t="shared" si="4"/>
        <v>,`DateCategorizeTypeCode`</v>
      </c>
      <c r="CA35" t="s">
        <v>626</v>
      </c>
    </row>
    <row r="36" spans="1:79" ht="15" customHeight="1">
      <c r="A36" s="100" t="s">
        <v>973</v>
      </c>
      <c r="B36" s="23">
        <f t="shared" si="0"/>
        <v>16</v>
      </c>
      <c r="C36" s="24"/>
      <c r="D36" s="22" t="s">
        <v>799</v>
      </c>
      <c r="E36" s="25"/>
      <c r="F36" s="25"/>
      <c r="G36" s="25"/>
      <c r="H36" s="25"/>
      <c r="I36" s="25"/>
      <c r="J36" s="25"/>
      <c r="K36" s="25"/>
      <c r="L36" s="25"/>
      <c r="M36" s="25"/>
      <c r="N36" s="25"/>
      <c r="O36" s="25"/>
      <c r="P36" s="25"/>
      <c r="Q36" s="26"/>
      <c r="R36" s="22" t="s">
        <v>524</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char(1)</v>
      </c>
      <c r="AD36" s="25"/>
      <c r="AE36" s="25"/>
      <c r="AF36" s="25"/>
      <c r="AG36" s="26"/>
      <c r="AH36" s="22"/>
      <c r="AI36" s="26"/>
      <c r="AJ36" s="22" t="s">
        <v>885</v>
      </c>
      <c r="AK36" s="25"/>
      <c r="AL36" s="26"/>
      <c r="AM36" s="22"/>
      <c r="AN36" s="25"/>
      <c r="AO36" s="25"/>
      <c r="AP36" s="25"/>
      <c r="AQ36" s="25"/>
      <c r="AR36" s="25"/>
      <c r="AS36" s="26"/>
      <c r="AT36" s="22" t="s">
        <v>813</v>
      </c>
      <c r="AU36" s="25"/>
      <c r="AV36" s="25"/>
      <c r="AW36" s="25"/>
      <c r="AX36" s="25"/>
      <c r="AY36" s="25"/>
      <c r="AZ36" s="25"/>
      <c r="BA36" s="25"/>
      <c r="BB36" s="25"/>
      <c r="BC36" s="25"/>
      <c r="BD36" s="25"/>
      <c r="BE36" s="25"/>
      <c r="BF36" s="25"/>
      <c r="BG36" s="25"/>
      <c r="BH36" s="25"/>
      <c r="BI36" s="25"/>
      <c r="BJ36" s="26"/>
      <c r="BK36" s="4"/>
      <c r="BM36" t="s">
        <v>896</v>
      </c>
      <c r="BP36" t="str">
        <f t="shared" si="1"/>
        <v>,`IsMonday` char(1) NOT NULL COMMENT '月曜日実施フラグ
Ｔｒｕｅ：実施　False：未実施'</v>
      </c>
      <c r="BQ36" t="s">
        <v>626</v>
      </c>
      <c r="BR36" t="str">
        <f t="shared" si="5"/>
        <v>,`IsMonday` char(1) NOT NULL</v>
      </c>
      <c r="BS36" t="s">
        <v>626</v>
      </c>
      <c r="BT36" t="str">
        <f t="shared" si="6"/>
        <v>,`IsMonday` = if(nullif( @11,'') &gt; '', @11, null )</v>
      </c>
      <c r="BU36" t="s">
        <v>626</v>
      </c>
      <c r="BV36" s="97" t="str">
        <f t="shared" si="2"/>
        <v>,A.`IsMonday` = B.`IsMonday`</v>
      </c>
      <c r="BW36" t="s">
        <v>626</v>
      </c>
      <c r="BX36" s="97" t="str">
        <f t="shared" si="3"/>
        <v>,`IsMonday`</v>
      </c>
      <c r="BY36" t="s">
        <v>626</v>
      </c>
      <c r="BZ36" s="97" t="str">
        <f t="shared" si="4"/>
        <v>,`IsMonday`</v>
      </c>
      <c r="CA36" t="s">
        <v>626</v>
      </c>
    </row>
    <row r="37" spans="1:79" ht="15" customHeight="1">
      <c r="A37" s="100" t="s">
        <v>974</v>
      </c>
      <c r="B37" s="23">
        <f t="shared" si="0"/>
        <v>17</v>
      </c>
      <c r="C37" s="24"/>
      <c r="D37" s="22" t="s">
        <v>800</v>
      </c>
      <c r="E37" s="25"/>
      <c r="F37" s="25"/>
      <c r="G37" s="25"/>
      <c r="H37" s="25"/>
      <c r="I37" s="25"/>
      <c r="J37" s="25"/>
      <c r="K37" s="25"/>
      <c r="L37" s="25"/>
      <c r="M37" s="25"/>
      <c r="N37" s="25"/>
      <c r="O37" s="25"/>
      <c r="P37" s="25"/>
      <c r="Q37" s="26"/>
      <c r="R37" s="22" t="s">
        <v>525</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char(1)</v>
      </c>
      <c r="AD37" s="25"/>
      <c r="AE37" s="25"/>
      <c r="AF37" s="25"/>
      <c r="AG37" s="26"/>
      <c r="AH37" s="22"/>
      <c r="AI37" s="26"/>
      <c r="AJ37" s="22" t="s">
        <v>885</v>
      </c>
      <c r="AK37" s="25"/>
      <c r="AL37" s="26"/>
      <c r="AM37" s="22"/>
      <c r="AN37" s="25"/>
      <c r="AO37" s="25"/>
      <c r="AP37" s="25"/>
      <c r="AQ37" s="25"/>
      <c r="AR37" s="25"/>
      <c r="AS37" s="26"/>
      <c r="AT37" s="22" t="s">
        <v>814</v>
      </c>
      <c r="AU37" s="25"/>
      <c r="AV37" s="25"/>
      <c r="AW37" s="25"/>
      <c r="AX37" s="25"/>
      <c r="AY37" s="25"/>
      <c r="AZ37" s="25"/>
      <c r="BA37" s="25"/>
      <c r="BB37" s="25"/>
      <c r="BC37" s="25"/>
      <c r="BD37" s="25"/>
      <c r="BE37" s="25"/>
      <c r="BF37" s="25"/>
      <c r="BG37" s="25"/>
      <c r="BH37" s="25"/>
      <c r="BI37" s="25"/>
      <c r="BJ37" s="26"/>
      <c r="BK37" s="4"/>
      <c r="BM37" t="s">
        <v>896</v>
      </c>
      <c r="BP37" t="str">
        <f t="shared" si="1"/>
        <v>,`IsTuesday` char(1) NOT NULL COMMENT '火曜日実施フラグ
Ｔｒｕｅ：実施　False：未実施'</v>
      </c>
      <c r="BQ37" t="s">
        <v>626</v>
      </c>
      <c r="BR37" t="str">
        <f t="shared" si="5"/>
        <v>,`IsTuesday` char(1) NOT NULL</v>
      </c>
      <c r="BS37" t="s">
        <v>626</v>
      </c>
      <c r="BT37" t="str">
        <f t="shared" si="6"/>
        <v>,`IsTuesday` = if(nullif( @12,'') &gt; '', @12, null )</v>
      </c>
      <c r="BU37" t="s">
        <v>626</v>
      </c>
      <c r="BV37" s="97" t="str">
        <f t="shared" si="2"/>
        <v>,A.`IsTuesday` = B.`IsTuesday`</v>
      </c>
      <c r="BW37" t="s">
        <v>626</v>
      </c>
      <c r="BX37" s="97" t="str">
        <f t="shared" si="3"/>
        <v>,`IsTuesday`</v>
      </c>
      <c r="BY37" t="s">
        <v>626</v>
      </c>
      <c r="BZ37" s="97" t="str">
        <f t="shared" si="4"/>
        <v>,`IsTuesday`</v>
      </c>
      <c r="CA37" t="s">
        <v>626</v>
      </c>
    </row>
    <row r="38" spans="1:79" ht="15" customHeight="1">
      <c r="A38" s="100" t="s">
        <v>975</v>
      </c>
      <c r="B38" s="23">
        <f t="shared" si="0"/>
        <v>18</v>
      </c>
      <c r="C38" s="24"/>
      <c r="D38" s="22" t="s">
        <v>801</v>
      </c>
      <c r="E38" s="25"/>
      <c r="F38" s="25"/>
      <c r="G38" s="25"/>
      <c r="H38" s="25"/>
      <c r="I38" s="25"/>
      <c r="J38" s="25"/>
      <c r="K38" s="25"/>
      <c r="L38" s="25"/>
      <c r="M38" s="25"/>
      <c r="N38" s="25"/>
      <c r="O38" s="25"/>
      <c r="P38" s="25"/>
      <c r="Q38" s="26"/>
      <c r="R38" s="22" t="s">
        <v>526</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char(1)</v>
      </c>
      <c r="AD38" s="25"/>
      <c r="AE38" s="25"/>
      <c r="AF38" s="25"/>
      <c r="AG38" s="26"/>
      <c r="AH38" s="22"/>
      <c r="AI38" s="26"/>
      <c r="AJ38" s="22" t="s">
        <v>885</v>
      </c>
      <c r="AK38" s="25"/>
      <c r="AL38" s="26"/>
      <c r="AM38" s="22"/>
      <c r="AN38" s="25"/>
      <c r="AO38" s="25"/>
      <c r="AP38" s="25"/>
      <c r="AQ38" s="25"/>
      <c r="AR38" s="25"/>
      <c r="AS38" s="26"/>
      <c r="AT38" s="22" t="s">
        <v>815</v>
      </c>
      <c r="AU38" s="25"/>
      <c r="AV38" s="25"/>
      <c r="AW38" s="25"/>
      <c r="AX38" s="25"/>
      <c r="AY38" s="25"/>
      <c r="AZ38" s="25"/>
      <c r="BA38" s="25"/>
      <c r="BB38" s="25"/>
      <c r="BC38" s="25"/>
      <c r="BD38" s="25"/>
      <c r="BE38" s="25"/>
      <c r="BF38" s="25"/>
      <c r="BG38" s="25"/>
      <c r="BH38" s="25"/>
      <c r="BI38" s="25"/>
      <c r="BJ38" s="26"/>
      <c r="BK38" s="4"/>
      <c r="BM38" t="s">
        <v>896</v>
      </c>
      <c r="BP38" t="str">
        <f t="shared" si="1"/>
        <v>,`IsWednesday` char(1) NOT NULL COMMENT '水曜日実施フラグ
Ｔｒｕｅ：実施　False：未実施'</v>
      </c>
      <c r="BQ38" t="s">
        <v>626</v>
      </c>
      <c r="BR38" t="str">
        <f t="shared" si="5"/>
        <v>,`IsWednesday` char(1) NOT NULL</v>
      </c>
      <c r="BS38" t="s">
        <v>626</v>
      </c>
      <c r="BT38" t="str">
        <f t="shared" si="6"/>
        <v>,`IsWednesday` = if(nullif( @13,'') &gt; '', @13, null )</v>
      </c>
      <c r="BU38" t="s">
        <v>626</v>
      </c>
      <c r="BV38" s="97" t="str">
        <f t="shared" si="2"/>
        <v>,A.`IsWednesday` = B.`IsWednesday`</v>
      </c>
      <c r="BW38" t="s">
        <v>626</v>
      </c>
      <c r="BX38" s="97" t="str">
        <f t="shared" si="3"/>
        <v>,`IsWednesday`</v>
      </c>
      <c r="BY38" t="s">
        <v>626</v>
      </c>
      <c r="BZ38" s="97" t="str">
        <f t="shared" si="4"/>
        <v>,`IsWednesday`</v>
      </c>
      <c r="CA38" t="s">
        <v>626</v>
      </c>
    </row>
    <row r="39" spans="1:79" ht="15" customHeight="1">
      <c r="A39" s="100" t="s">
        <v>976</v>
      </c>
      <c r="B39" s="23">
        <f t="shared" si="0"/>
        <v>19</v>
      </c>
      <c r="C39" s="24"/>
      <c r="D39" s="22" t="s">
        <v>802</v>
      </c>
      <c r="E39" s="25"/>
      <c r="F39" s="25"/>
      <c r="G39" s="25"/>
      <c r="H39" s="25"/>
      <c r="I39" s="25"/>
      <c r="J39" s="25"/>
      <c r="K39" s="25"/>
      <c r="L39" s="25"/>
      <c r="M39" s="25"/>
      <c r="N39" s="25"/>
      <c r="O39" s="25"/>
      <c r="P39" s="25"/>
      <c r="Q39" s="26"/>
      <c r="R39" s="22" t="s">
        <v>527</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char(1)</v>
      </c>
      <c r="AD39" s="25"/>
      <c r="AE39" s="25"/>
      <c r="AF39" s="25"/>
      <c r="AG39" s="26"/>
      <c r="AH39" s="22"/>
      <c r="AI39" s="26"/>
      <c r="AJ39" s="22" t="s">
        <v>885</v>
      </c>
      <c r="AK39" s="25"/>
      <c r="AL39" s="26"/>
      <c r="AM39" s="22"/>
      <c r="AN39" s="25"/>
      <c r="AO39" s="25"/>
      <c r="AP39" s="25"/>
      <c r="AQ39" s="25"/>
      <c r="AR39" s="25"/>
      <c r="AS39" s="26"/>
      <c r="AT39" s="22" t="s">
        <v>816</v>
      </c>
      <c r="AU39" s="25"/>
      <c r="AV39" s="25"/>
      <c r="AW39" s="25"/>
      <c r="AX39" s="25"/>
      <c r="AY39" s="25"/>
      <c r="AZ39" s="25"/>
      <c r="BA39" s="25"/>
      <c r="BB39" s="25"/>
      <c r="BC39" s="25"/>
      <c r="BD39" s="25"/>
      <c r="BE39" s="25"/>
      <c r="BF39" s="25"/>
      <c r="BG39" s="25"/>
      <c r="BH39" s="25"/>
      <c r="BI39" s="25"/>
      <c r="BJ39" s="26"/>
      <c r="BK39" s="4"/>
      <c r="BM39" t="s">
        <v>896</v>
      </c>
      <c r="BP39" t="str">
        <f t="shared" si="1"/>
        <v>,`IsThursday` char(1) NOT NULL COMMENT '木曜日実施フラグ
Ｔｒｕｅ：実施　False：未実施'</v>
      </c>
      <c r="BQ39" t="s">
        <v>626</v>
      </c>
      <c r="BR39" t="str">
        <f t="shared" si="5"/>
        <v>,`IsThursday` char(1) NOT NULL</v>
      </c>
      <c r="BS39" t="s">
        <v>626</v>
      </c>
      <c r="BT39" t="str">
        <f t="shared" si="6"/>
        <v>,`IsThursday` = if(nullif( @14,'') &gt; '', @14, null )</v>
      </c>
      <c r="BU39" t="s">
        <v>626</v>
      </c>
      <c r="BV39" s="97" t="str">
        <f t="shared" si="2"/>
        <v>,A.`IsThursday` = B.`IsThursday`</v>
      </c>
      <c r="BW39" t="s">
        <v>626</v>
      </c>
      <c r="BX39" s="97" t="str">
        <f t="shared" si="3"/>
        <v>,`IsThursday`</v>
      </c>
      <c r="BY39" t="s">
        <v>626</v>
      </c>
      <c r="BZ39" s="97" t="str">
        <f t="shared" si="4"/>
        <v>,`IsThursday`</v>
      </c>
      <c r="CA39" t="s">
        <v>626</v>
      </c>
    </row>
    <row r="40" spans="1:79" ht="15" customHeight="1">
      <c r="A40" s="100" t="s">
        <v>977</v>
      </c>
      <c r="B40" s="23">
        <f t="shared" si="0"/>
        <v>20</v>
      </c>
      <c r="C40" s="24"/>
      <c r="D40" s="22" t="s">
        <v>803</v>
      </c>
      <c r="E40" s="25"/>
      <c r="F40" s="25"/>
      <c r="G40" s="25"/>
      <c r="H40" s="25"/>
      <c r="I40" s="25"/>
      <c r="J40" s="25"/>
      <c r="K40" s="25"/>
      <c r="L40" s="25"/>
      <c r="M40" s="25"/>
      <c r="N40" s="25"/>
      <c r="O40" s="25"/>
      <c r="P40" s="25"/>
      <c r="Q40" s="26"/>
      <c r="R40" s="22" t="s">
        <v>528</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char(1)</v>
      </c>
      <c r="AD40" s="25"/>
      <c r="AE40" s="25"/>
      <c r="AF40" s="25"/>
      <c r="AG40" s="26"/>
      <c r="AH40" s="22"/>
      <c r="AI40" s="26"/>
      <c r="AJ40" s="22" t="s">
        <v>885</v>
      </c>
      <c r="AK40" s="25"/>
      <c r="AL40" s="26"/>
      <c r="AM40" s="22"/>
      <c r="AN40" s="25"/>
      <c r="AO40" s="25"/>
      <c r="AP40" s="25"/>
      <c r="AQ40" s="25"/>
      <c r="AR40" s="25"/>
      <c r="AS40" s="26"/>
      <c r="AT40" s="22" t="s">
        <v>817</v>
      </c>
      <c r="AU40" s="25"/>
      <c r="AV40" s="25"/>
      <c r="AW40" s="25"/>
      <c r="AX40" s="25"/>
      <c r="AY40" s="25"/>
      <c r="AZ40" s="25"/>
      <c r="BA40" s="25"/>
      <c r="BB40" s="25"/>
      <c r="BC40" s="25"/>
      <c r="BD40" s="25"/>
      <c r="BE40" s="25"/>
      <c r="BF40" s="25"/>
      <c r="BG40" s="25"/>
      <c r="BH40" s="25"/>
      <c r="BI40" s="25"/>
      <c r="BJ40" s="26"/>
      <c r="BK40" s="4"/>
      <c r="BM40" t="s">
        <v>896</v>
      </c>
      <c r="BP40" t="str">
        <f t="shared" si="1"/>
        <v>,`IsFriday` char(1) NOT NULL COMMENT '金曜日実施フラグ
Ｔｒｕｅ：実施　False：未実施'</v>
      </c>
      <c r="BQ40" t="s">
        <v>626</v>
      </c>
      <c r="BR40" t="str">
        <f t="shared" si="5"/>
        <v>,`IsFriday` char(1) NOT NULL</v>
      </c>
      <c r="BS40" t="s">
        <v>626</v>
      </c>
      <c r="BT40" t="str">
        <f t="shared" si="6"/>
        <v>,`IsFriday` = if(nullif( @15,'') &gt; '', @15, null )</v>
      </c>
      <c r="BU40" t="s">
        <v>626</v>
      </c>
      <c r="BV40" s="97" t="str">
        <f t="shared" si="2"/>
        <v>,A.`IsFriday` = B.`IsFriday`</v>
      </c>
      <c r="BW40" t="s">
        <v>626</v>
      </c>
      <c r="BX40" s="97" t="str">
        <f t="shared" si="3"/>
        <v>,`IsFriday`</v>
      </c>
      <c r="BY40" t="s">
        <v>626</v>
      </c>
      <c r="BZ40" s="97" t="str">
        <f t="shared" si="4"/>
        <v>,`IsFriday`</v>
      </c>
      <c r="CA40" t="s">
        <v>626</v>
      </c>
    </row>
    <row r="41" spans="1:79" ht="15" customHeight="1">
      <c r="A41" s="100" t="s">
        <v>978</v>
      </c>
      <c r="B41" s="23">
        <f t="shared" si="0"/>
        <v>21</v>
      </c>
      <c r="C41" s="24"/>
      <c r="D41" s="22" t="s">
        <v>804</v>
      </c>
      <c r="E41" s="25"/>
      <c r="F41" s="25"/>
      <c r="G41" s="25"/>
      <c r="H41" s="25"/>
      <c r="I41" s="25"/>
      <c r="J41" s="25"/>
      <c r="K41" s="25"/>
      <c r="L41" s="25"/>
      <c r="M41" s="25"/>
      <c r="N41" s="25"/>
      <c r="O41" s="25"/>
      <c r="P41" s="25"/>
      <c r="Q41" s="26"/>
      <c r="R41" s="22" t="s">
        <v>529</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char(1)</v>
      </c>
      <c r="AD41" s="25"/>
      <c r="AE41" s="25"/>
      <c r="AF41" s="25"/>
      <c r="AG41" s="26"/>
      <c r="AH41" s="22"/>
      <c r="AI41" s="26"/>
      <c r="AJ41" s="22" t="s">
        <v>885</v>
      </c>
      <c r="AK41" s="25"/>
      <c r="AL41" s="26"/>
      <c r="AM41" s="22"/>
      <c r="AN41" s="25"/>
      <c r="AO41" s="25"/>
      <c r="AP41" s="25"/>
      <c r="AQ41" s="25"/>
      <c r="AR41" s="25"/>
      <c r="AS41" s="26"/>
      <c r="AT41" s="22" t="s">
        <v>818</v>
      </c>
      <c r="AU41" s="25"/>
      <c r="AV41" s="25"/>
      <c r="AW41" s="25"/>
      <c r="AX41" s="25"/>
      <c r="AY41" s="25"/>
      <c r="AZ41" s="25"/>
      <c r="BA41" s="25"/>
      <c r="BB41" s="25"/>
      <c r="BC41" s="25"/>
      <c r="BD41" s="25"/>
      <c r="BE41" s="25"/>
      <c r="BF41" s="25"/>
      <c r="BG41" s="25"/>
      <c r="BH41" s="25"/>
      <c r="BI41" s="25"/>
      <c r="BJ41" s="26"/>
      <c r="BK41" s="4"/>
      <c r="BM41" t="s">
        <v>896</v>
      </c>
      <c r="BP41" t="str">
        <f t="shared" si="1"/>
        <v>,`IsSaturday` char(1) NOT NULL COMMENT '土曜日実施フラグ
Ｔｒｕｅ：実施　False：未実施'</v>
      </c>
      <c r="BQ41" t="s">
        <v>626</v>
      </c>
      <c r="BR41" t="str">
        <f t="shared" si="5"/>
        <v>,`IsSaturday` char(1) NOT NULL</v>
      </c>
      <c r="BS41" t="s">
        <v>626</v>
      </c>
      <c r="BT41" t="str">
        <f t="shared" si="6"/>
        <v>,`IsSaturday` = if(nullif( @16,'') &gt; '', @16, null )</v>
      </c>
      <c r="BU41" t="s">
        <v>626</v>
      </c>
      <c r="BV41" s="97" t="str">
        <f t="shared" si="2"/>
        <v>,A.`IsSaturday` = B.`IsSaturday`</v>
      </c>
      <c r="BW41" t="s">
        <v>626</v>
      </c>
      <c r="BX41" s="97" t="str">
        <f t="shared" si="3"/>
        <v>,`IsSaturday`</v>
      </c>
      <c r="BY41" t="s">
        <v>626</v>
      </c>
      <c r="BZ41" s="97" t="str">
        <f t="shared" si="4"/>
        <v>,`IsSaturday`</v>
      </c>
      <c r="CA41" t="s">
        <v>626</v>
      </c>
    </row>
    <row r="42" spans="1:79" ht="15" customHeight="1">
      <c r="A42" s="100" t="s">
        <v>979</v>
      </c>
      <c r="B42" s="28">
        <f t="shared" si="0"/>
        <v>22</v>
      </c>
      <c r="C42" s="29"/>
      <c r="D42" s="30" t="s">
        <v>805</v>
      </c>
      <c r="E42" s="31"/>
      <c r="F42" s="31"/>
      <c r="G42" s="31"/>
      <c r="H42" s="31"/>
      <c r="I42" s="31"/>
      <c r="J42" s="31"/>
      <c r="K42" s="31"/>
      <c r="L42" s="31"/>
      <c r="M42" s="31"/>
      <c r="N42" s="31"/>
      <c r="O42" s="31"/>
      <c r="P42" s="31"/>
      <c r="Q42" s="32"/>
      <c r="R42" s="30" t="s">
        <v>530</v>
      </c>
      <c r="S42" s="31"/>
      <c r="T42" s="31"/>
      <c r="U42" s="31"/>
      <c r="V42" s="31"/>
      <c r="W42" s="31"/>
      <c r="X42" s="31"/>
      <c r="Y42" s="31"/>
      <c r="Z42" s="31"/>
      <c r="AA42" s="31"/>
      <c r="AB42" s="32"/>
      <c r="AC42" s="30" t="str" cm="1">
        <f t="array" ref="AC42">_xlfn.SWITCH(BM42,"nvarchar","varchar("&amp;BN42&amp;")","smallint","smallint","date","date","money","decimal(19,4)","numeric","numeric("&amp;BN42&amp;")","int","int","bit","char(1)","datetime2","datetime","time","time")</f>
        <v>char(1)</v>
      </c>
      <c r="AD42" s="31"/>
      <c r="AE42" s="31"/>
      <c r="AF42" s="31"/>
      <c r="AG42" s="32"/>
      <c r="AH42" s="30"/>
      <c r="AI42" s="32"/>
      <c r="AJ42" s="30" t="s">
        <v>885</v>
      </c>
      <c r="AK42" s="31"/>
      <c r="AL42" s="32"/>
      <c r="AM42" s="30"/>
      <c r="AN42" s="31"/>
      <c r="AO42" s="31"/>
      <c r="AP42" s="31"/>
      <c r="AQ42" s="31"/>
      <c r="AR42" s="31"/>
      <c r="AS42" s="32"/>
      <c r="AT42" s="30" t="s">
        <v>819</v>
      </c>
      <c r="AU42" s="31"/>
      <c r="AV42" s="31"/>
      <c r="AW42" s="31"/>
      <c r="AX42" s="31"/>
      <c r="AY42" s="31"/>
      <c r="AZ42" s="31"/>
      <c r="BA42" s="31"/>
      <c r="BB42" s="31"/>
      <c r="BC42" s="31"/>
      <c r="BD42" s="31"/>
      <c r="BE42" s="31"/>
      <c r="BF42" s="31"/>
      <c r="BG42" s="31"/>
      <c r="BH42" s="31"/>
      <c r="BI42" s="31"/>
      <c r="BJ42" s="32"/>
      <c r="BK42" s="4"/>
      <c r="BM42" t="s">
        <v>896</v>
      </c>
      <c r="BP42" t="str">
        <f t="shared" si="1"/>
        <v>,`IsSunday` char(1) NOT NULL COMMENT '日曜日実施フラグ
Ｔｒｕｅ：実施　False：未実施'</v>
      </c>
      <c r="BQ42" t="s">
        <v>626</v>
      </c>
      <c r="BR42" t="str">
        <f t="shared" si="5"/>
        <v>,`IsSunday` char(1) NOT NULL</v>
      </c>
      <c r="BS42" t="s">
        <v>626</v>
      </c>
      <c r="BT42" t="str">
        <f t="shared" si="6"/>
        <v>,`IsSunday` = if(nullif( @17,'') &gt; '', @17, null )</v>
      </c>
      <c r="BU42" t="s">
        <v>626</v>
      </c>
      <c r="BV42" s="97" t="str">
        <f t="shared" si="2"/>
        <v>,A.`IsSunday` = B.`IsSunday`</v>
      </c>
      <c r="BW42" t="s">
        <v>626</v>
      </c>
      <c r="BX42" s="97" t="str">
        <f t="shared" si="3"/>
        <v>,`IsSunday`</v>
      </c>
      <c r="BY42" t="s">
        <v>626</v>
      </c>
      <c r="BZ42" s="97" t="str">
        <f t="shared" si="4"/>
        <v>,`IsSunday`</v>
      </c>
      <c r="CA42" t="s">
        <v>626</v>
      </c>
    </row>
    <row r="43" spans="1:79" ht="15" customHeight="1">
      <c r="A43" s="100"/>
      <c r="BK43" s="4"/>
      <c r="BP4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(`CompanyCode`,`StoreCode`,`TerminalNo`,`RecoverCode`,`Denominations`),</v>
      </c>
      <c r="BQ43" t="s">
        <v>626</v>
      </c>
      <c r="BR4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(`CompanyCode`,`StoreCode`,`TerminalNo`,`RecoverCode`,`Denominations`)</v>
      </c>
      <c r="BS43" t="s">
        <v>626</v>
      </c>
      <c r="BT43" s="97" t="s">
        <v>936</v>
      </c>
      <c r="BU43" t="s">
        <v>626</v>
      </c>
      <c r="BV43" s="97" t="s">
        <v>934</v>
      </c>
      <c r="BW43" t="s">
        <v>626</v>
      </c>
      <c r="BY43" t="s">
        <v>626</v>
      </c>
      <c r="BZ43" s="97" t="str">
        <f>"FROM `TMP`.`"&amp;$G$10&amp;"` A"</f>
        <v>FROM `TMP`.`CashChangerRecoverSettingMaster` A</v>
      </c>
      <c r="CA43" t="s">
        <v>626</v>
      </c>
    </row>
    <row r="44" spans="1:79" ht="15" customHeight="1">
      <c r="A44" s="100"/>
      <c r="BK44" s="4"/>
      <c r="BP44" s="97" t="s">
        <v>452</v>
      </c>
      <c r="BQ44" t="s">
        <v>626</v>
      </c>
      <c r="BR44" s="97" t="str">
        <f>") ENGINE=InnoDB DEFAULT CHARSET=utf8mb4 COLLATE=utf8mb4_0900_ai_ci COMMENT = '"&amp;$G$9&amp;"_TMP';"</f>
        <v>) ENGINE=InnoDB DEFAULT CHARSET=utf8mb4 COLLATE=utf8mb4_0900_ai_ci COMMENT = '釣銭機回収設定マスタ_TMP';</v>
      </c>
      <c r="BS44" t="s">
        <v>626</v>
      </c>
      <c r="BU44" t="s">
        <v>626</v>
      </c>
      <c r="BV44" s="97" t="str">
        <f>IF(_xlfn.XLOOKUP(1,$AH:$AH,$R:$R,"",0)="","","A.`"&amp;_xlfn.XLOOKUP(1,$AH:$AH,$R:$R,"",0)&amp;"` = B.`"&amp;_xlfn.XLOOKUP(1,$AH:$AH,$R:$R,"",0)&amp;"`")</f>
        <v>A.`CompanyCode` = B.`CompanyCode`</v>
      </c>
      <c r="BW44" t="s">
        <v>626</v>
      </c>
      <c r="BY44" t="s">
        <v>626</v>
      </c>
      <c r="BZ44" s="97" t="s">
        <v>935</v>
      </c>
      <c r="CA44" t="s">
        <v>626</v>
      </c>
    </row>
    <row r="45" spans="1:79" ht="15" customHeight="1">
      <c r="A45" s="100"/>
      <c r="B45" s="37" t="s">
        <v>49</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4"/>
      <c r="BP45" s="97" t="str">
        <f>") ENGINE=InnoDB DEFAULT CHARSET=utf8mb4 COLLATE=utf8mb4_0900_ai_ci COMMENT = '"&amp;$G$9&amp;"';"</f>
        <v>) ENGINE=InnoDB DEFAULT CHARSET=utf8mb4 COLLATE=utf8mb4_0900_ai_ci COMMENT = '釣銭機回収設定マスタ';</v>
      </c>
      <c r="BQ45" t="s">
        <v>626</v>
      </c>
      <c r="BS45" t="s">
        <v>626</v>
      </c>
      <c r="BU45" t="s">
        <v>626</v>
      </c>
      <c r="BV45" s="97" t="str">
        <f>IF(_xlfn.XLOOKUP(2,$AH:$AH,$R:$R,"",0)="","","AND A.`"&amp;_xlfn.XLOOKUP(2,$AH:$AH,$R:$R,"",0)&amp;"` = B.`"&amp;_xlfn.XLOOKUP(2,$AH:$AH,$R:$R,"",0)&amp;"`")</f>
        <v>AND A.`StoreCode` = B.`StoreCode`</v>
      </c>
      <c r="BW45" t="s">
        <v>626</v>
      </c>
      <c r="BY45" t="s">
        <v>626</v>
      </c>
      <c r="BZ45" s="97" t="str">
        <f>"FROM `POS_MASTER`.`"&amp;$G$10&amp;"` B"</f>
        <v>FROM `POS_MASTER`.`CashChangerRecoverSettingMaster` B</v>
      </c>
      <c r="CA45" t="s">
        <v>626</v>
      </c>
    </row>
    <row r="46" spans="1:79" ht="15" customHeight="1">
      <c r="A46" s="100"/>
      <c r="B46" s="34" t="s">
        <v>50</v>
      </c>
      <c r="C46" s="35"/>
      <c r="D46" s="34" t="s">
        <v>51</v>
      </c>
      <c r="E46" s="44"/>
      <c r="F46" s="36"/>
      <c r="G46" s="36"/>
      <c r="H46" s="36"/>
      <c r="I46" s="36"/>
      <c r="J46" s="36"/>
      <c r="K46" s="36"/>
      <c r="L46" s="36"/>
      <c r="M46" s="36"/>
      <c r="N46" s="36"/>
      <c r="O46" s="36"/>
      <c r="P46" s="36"/>
      <c r="Q46" s="35"/>
      <c r="R46" s="34" t="s">
        <v>52</v>
      </c>
      <c r="S46" s="44"/>
      <c r="T46" s="36"/>
      <c r="U46" s="36"/>
      <c r="V46" s="36"/>
      <c r="W46" s="36"/>
      <c r="X46" s="36"/>
      <c r="Y46" s="36"/>
      <c r="Z46" s="36"/>
      <c r="AA46" s="36"/>
      <c r="AB46" s="36"/>
      <c r="AC46" s="36"/>
      <c r="AD46" s="36"/>
      <c r="AE46" s="36"/>
      <c r="AF46" s="36"/>
      <c r="AG46" s="36"/>
      <c r="AH46" s="36"/>
      <c r="AI46" s="36"/>
      <c r="AJ46" s="36"/>
      <c r="AK46" s="35"/>
      <c r="AL46" s="34" t="s">
        <v>53</v>
      </c>
      <c r="AM46" s="36"/>
      <c r="AN46" s="36"/>
      <c r="AO46" s="45"/>
      <c r="AP46" s="34" t="s">
        <v>54</v>
      </c>
      <c r="AQ46" s="36"/>
      <c r="AR46" s="36"/>
      <c r="AS46" s="35"/>
      <c r="AT46" s="34" t="s">
        <v>48</v>
      </c>
      <c r="AU46" s="44"/>
      <c r="AV46" s="44"/>
      <c r="AW46" s="36"/>
      <c r="AX46" s="36"/>
      <c r="AY46" s="44"/>
      <c r="AZ46" s="36"/>
      <c r="BA46" s="36"/>
      <c r="BB46" s="36"/>
      <c r="BC46" s="36"/>
      <c r="BD46" s="36"/>
      <c r="BE46" s="36"/>
      <c r="BF46" s="36"/>
      <c r="BG46" s="36"/>
      <c r="BH46" s="36"/>
      <c r="BI46" s="44"/>
      <c r="BJ46" s="35"/>
      <c r="BK46" s="4"/>
      <c r="BP46" s="97"/>
      <c r="BQ46" t="s">
        <v>626</v>
      </c>
      <c r="BS46" t="s">
        <v>626</v>
      </c>
      <c r="BU46" t="s">
        <v>626</v>
      </c>
      <c r="BV46" s="97" t="str">
        <f>IF(_xlfn.XLOOKUP(3,$AH:$AH,$R:$R,"",0)="","","AND A.`"&amp;_xlfn.XLOOKUP(3,$AH:$AH,$R:$R,"",0)&amp;"` = B.`"&amp;_xlfn.XLOOKUP(3,$AH:$AH,$R:$R,"",0)&amp;"`")</f>
        <v>AND A.`TerminalNo` = B.`TerminalNo`</v>
      </c>
      <c r="BW46" t="s">
        <v>626</v>
      </c>
      <c r="BY46" t="s">
        <v>626</v>
      </c>
      <c r="BZ46" s="97" t="s">
        <v>932</v>
      </c>
      <c r="CA46" t="s">
        <v>626</v>
      </c>
    </row>
    <row r="47" spans="1:79" ht="15" customHeight="1">
      <c r="A47" s="100"/>
      <c r="B47" s="38">
        <v>1</v>
      </c>
      <c r="C47" s="39"/>
      <c r="D47" s="38" t="s">
        <v>55</v>
      </c>
      <c r="E47" s="46"/>
      <c r="F47" s="40"/>
      <c r="G47" s="40"/>
      <c r="H47" s="40"/>
      <c r="I47" s="40"/>
      <c r="J47" s="40"/>
      <c r="K47" s="40"/>
      <c r="L47" s="40"/>
      <c r="M47" s="40"/>
      <c r="N47" s="40"/>
      <c r="O47" s="40"/>
      <c r="P47" s="40"/>
      <c r="Q47" s="39"/>
      <c r="R47"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`CompanyCode`,`StoreCode`,`TerminalNo`,`RecoverCode`,`Denominations`</v>
      </c>
      <c r="S47" s="46"/>
      <c r="T47" s="40"/>
      <c r="U47" s="40"/>
      <c r="V47" s="40"/>
      <c r="W47" s="40"/>
      <c r="X47" s="40"/>
      <c r="Y47" s="40"/>
      <c r="Z47" s="40"/>
      <c r="AA47" s="40"/>
      <c r="AB47" s="40"/>
      <c r="AC47" s="40"/>
      <c r="AD47" s="40"/>
      <c r="AE47" s="40"/>
      <c r="AF47" s="40"/>
      <c r="AG47" s="40"/>
      <c r="AH47" s="40"/>
      <c r="AI47" s="40"/>
      <c r="AJ47" s="40"/>
      <c r="AK47" s="39"/>
      <c r="AL47" s="38" t="s">
        <v>885</v>
      </c>
      <c r="AM47" s="40"/>
      <c r="AN47" s="40"/>
      <c r="AO47" s="47"/>
      <c r="AP47" s="38" t="s">
        <v>885</v>
      </c>
      <c r="AQ47" s="40"/>
      <c r="AR47" s="40"/>
      <c r="AS47" s="39"/>
      <c r="AT47" s="38"/>
      <c r="AU47" s="46"/>
      <c r="AV47" s="46"/>
      <c r="AW47" s="40"/>
      <c r="AX47" s="40"/>
      <c r="AY47" s="46"/>
      <c r="AZ47" s="40"/>
      <c r="BA47" s="40"/>
      <c r="BB47" s="40"/>
      <c r="BC47" s="40"/>
      <c r="BD47" s="40"/>
      <c r="BE47" s="40"/>
      <c r="BF47" s="40"/>
      <c r="BG47" s="40"/>
      <c r="BH47" s="40"/>
      <c r="BI47" s="46"/>
      <c r="BJ47" s="39"/>
      <c r="BK47" s="4"/>
      <c r="BP47" s="97" t="str">
        <f>"CREATE TRIGGER `"&amp;$G$10&amp;"_CR_Date_Time` BEFORE INSERT ON `"&amp;$G$10&amp;"` FOR EACH ROW SET NEW.record_create_date = CURRENT_DATE, NEW.record_create_time = CURRENT_TIME, NEW.record_update_date = CURRENT_DATE, NEW.record_update_time = CURRENT_TIME;"</f>
        <v>CREATE TRIGGER `CashChangerRecoverSettingMaster_CR_Date_Time` BEFORE INSERT ON `CashChangerRecoverSettingMaster` FOR EACH ROW SET NEW.record_create_date = CURRENT_DATE, NEW.record_create_time = CURRENT_TIME, NEW.record_update_date = CURRENT_DATE, NEW.record_update_time = CURRENT_TIME;</v>
      </c>
      <c r="BQ47" t="s">
        <v>626</v>
      </c>
      <c r="BS47" t="s">
        <v>626</v>
      </c>
      <c r="BU47" t="s">
        <v>626</v>
      </c>
      <c r="BV47" s="97" t="str">
        <f>IF(_xlfn.XLOOKUP(4,$AH:$AH,$R:$R,"",0)="","","AND A.`"&amp;_xlfn.XLOOKUP(4,$AH:$AH,$R:$R,"",0)&amp;"` = B.`"&amp;_xlfn.XLOOKUP(4,$AH:$AH,$R:$R,"",0)&amp;"`")</f>
        <v>AND A.`RecoverCode` = B.`RecoverCode`</v>
      </c>
      <c r="BW47" t="s">
        <v>626</v>
      </c>
      <c r="BY47" t="s">
        <v>626</v>
      </c>
      <c r="BZ47" s="97" t="str">
        <f>IF(_xlfn.XLOOKUP(1,$AH:$AH,$R:$R,"",0)="","","A.`"&amp;_xlfn.XLOOKUP(1,$AH:$AH,$R:$R,"",0)&amp;"` = B.`"&amp;_xlfn.XLOOKUP(1,$AH:$AH,$R:$R,"",0)&amp;"`")</f>
        <v>A.`CompanyCode` = B.`CompanyCode`</v>
      </c>
      <c r="CA47" t="s">
        <v>626</v>
      </c>
    </row>
    <row r="48" spans="1:79" ht="15" customHeight="1">
      <c r="A48" s="100"/>
      <c r="BK48" s="4"/>
      <c r="BP48" s="97" t="str">
        <f>"CREATE TRIGGER `"&amp;$G$10&amp;"_UP_Date_Time` BEFORE UPDATE ON `"&amp;$G$10&amp;"` FOR EACH ROW SET NEW.record_update_date = CURRENT_DATE, NEW.record_update_time = CURRENT_TIME;"</f>
        <v>CREATE TRIGGER `CashChangerRecoverSettingMaster_UP_Date_Time` BEFORE UPDATE ON `CashChangerRecoverSettingMaster` FOR EACH ROW SET NEW.record_update_date = CURRENT_DATE, NEW.record_update_time = CURRENT_TIME;</v>
      </c>
      <c r="BQ48" t="s">
        <v>626</v>
      </c>
      <c r="BS48" t="s">
        <v>626</v>
      </c>
      <c r="BU48" t="s">
        <v>626</v>
      </c>
      <c r="BV48" s="97" t="str">
        <f>IF(_xlfn.XLOOKUP(5,$AH:$AH,$R:$R,"",0)="","","AND A.`"&amp;_xlfn.XLOOKUP(5,$AH:$AH,$R:$R,"",0)&amp;"` = B.`"&amp;_xlfn.XLOOKUP(5,$AH:$AH,$R:$R,"",0)&amp;"`")</f>
        <v>AND A.`Denominations` = B.`Denominations`</v>
      </c>
      <c r="BW48" t="s">
        <v>626</v>
      </c>
      <c r="BY48" t="s">
        <v>626</v>
      </c>
      <c r="BZ48" s="97" t="str">
        <f>IF(_xlfn.XLOOKUP(2,$AH:$AH,$R:$R,"",0)="","","AND A.`"&amp;_xlfn.XLOOKUP(2,$AH:$AH,$R:$R,"",0)&amp;"` = B.`"&amp;_xlfn.XLOOKUP(2,$AH:$AH,$R:$R,"",0)&amp;"`")</f>
        <v>AND A.`StoreCode` = B.`StoreCode`</v>
      </c>
      <c r="CA48" t="s">
        <v>626</v>
      </c>
    </row>
    <row r="49" spans="1:79" ht="15" customHeight="1">
      <c r="A49" s="100"/>
      <c r="BK49" s="4"/>
      <c r="BQ49" t="s">
        <v>626</v>
      </c>
      <c r="BS49" t="s">
        <v>626</v>
      </c>
      <c r="BU49" t="s">
        <v>626</v>
      </c>
      <c r="BV49" s="97" t="str">
        <f>IF(_xlfn.XLOOKUP(6,$AH:$AH,$R:$R,"",0)="","","AND A.`"&amp;_xlfn.XLOOKUP(6,$AH:$AH,$R:$R,"",0)&amp;"` = B.`"&amp;_xlfn.XLOOKUP(6,$AH:$AH,$R:$R,"",0)&amp;"`")</f>
        <v/>
      </c>
      <c r="BW49" t="s">
        <v>626</v>
      </c>
      <c r="BY49" t="s">
        <v>626</v>
      </c>
      <c r="BZ49" s="97" t="str">
        <f>IF(_xlfn.XLOOKUP(3,$AH:$AH,$R:$R,"",0)="","","AND A.`"&amp;_xlfn.XLOOKUP(3,$AH:$AH,$R:$R,"",0)&amp;"` = B.`"&amp;_xlfn.XLOOKUP(3,$AH:$AH,$R:$R,"",0)&amp;"`")</f>
        <v>AND A.`TerminalNo` = B.`TerminalNo`</v>
      </c>
      <c r="CA49" t="s">
        <v>626</v>
      </c>
    </row>
    <row r="50" spans="1:79">
      <c r="A50" s="100"/>
      <c r="B50" s="37" t="s">
        <v>34</v>
      </c>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4"/>
      <c r="BQ50" t="s">
        <v>626</v>
      </c>
      <c r="BS50" t="s">
        <v>626</v>
      </c>
      <c r="BU50" t="s">
        <v>626</v>
      </c>
      <c r="BV50" s="97" t="str">
        <f>IF(_xlfn.XLOOKUP(7,$AH:$AH,$R:$R,"",0)="","","AND A.`"&amp;_xlfn.XLOOKUP(7,$AH:$AH,$R:$R,"",0)&amp;"` = B.`"&amp;_xlfn.XLOOKUP(7,$AH:$AH,$R:$R,"",0)&amp;"`")</f>
        <v/>
      </c>
      <c r="BW50" t="s">
        <v>626</v>
      </c>
      <c r="BY50" t="s">
        <v>626</v>
      </c>
      <c r="BZ50" s="97" t="str">
        <f>IF(_xlfn.XLOOKUP(4,$AH:$AH,$R:$R,"",0)="","","AND A.`"&amp;_xlfn.XLOOKUP(4,$AH:$AH,$R:$R,"",0)&amp;"` = B.`"&amp;_xlfn.XLOOKUP(4,$AH:$AH,$R:$R,"",0)&amp;"`")</f>
        <v>AND A.`RecoverCode` = B.`RecoverCode`</v>
      </c>
      <c r="CA50" t="s">
        <v>626</v>
      </c>
    </row>
    <row r="51" spans="1:79">
      <c r="A51" s="100"/>
      <c r="B51" s="34" t="s">
        <v>35</v>
      </c>
      <c r="C51" s="45"/>
      <c r="D51" s="34" t="s">
        <v>36</v>
      </c>
      <c r="E51" s="44"/>
      <c r="F51" s="44"/>
      <c r="G51" s="44"/>
      <c r="H51" s="44"/>
      <c r="I51" s="44"/>
      <c r="J51" s="44"/>
      <c r="K51" s="44"/>
      <c r="L51" s="36"/>
      <c r="M51" s="36"/>
      <c r="N51" s="36"/>
      <c r="O51" s="36"/>
      <c r="P51" s="36"/>
      <c r="Q51" s="35"/>
      <c r="R51" s="34" t="s">
        <v>37</v>
      </c>
      <c r="S51" s="36"/>
      <c r="T51" s="45"/>
      <c r="U51" s="34" t="s">
        <v>38</v>
      </c>
      <c r="V51" s="36"/>
      <c r="W51" s="44"/>
      <c r="X51" s="45"/>
      <c r="Y51" s="34" t="s">
        <v>39</v>
      </c>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5"/>
      <c r="BK51" s="4"/>
      <c r="BQ51" t="s">
        <v>626</v>
      </c>
      <c r="BS51" t="s">
        <v>626</v>
      </c>
      <c r="BU51" t="s">
        <v>626</v>
      </c>
      <c r="BV51" s="97" t="str">
        <f>IF(_xlfn.XLOOKUP(8,$AH:$AH,$R:$R,"",0)="","","AND A.`"&amp;_xlfn.XLOOKUP(8,$AH:$AH,$R:$R,"",0)&amp;"` = B.`"&amp;_xlfn.XLOOKUP(8,$AH:$AH,$R:$R,"",0)&amp;"`")</f>
        <v/>
      </c>
      <c r="BW51" t="s">
        <v>626</v>
      </c>
      <c r="BY51" t="s">
        <v>626</v>
      </c>
      <c r="BZ51" s="97" t="str">
        <f>IF(_xlfn.XLOOKUP(5,$AH:$AH,$R:$R,"",0)="","","AND A.`"&amp;_xlfn.XLOOKUP(5,$AH:$AH,$R:$R,"",0)&amp;"` = B.`"&amp;_xlfn.XLOOKUP(5,$AH:$AH,$R:$R,"",0)&amp;"`")</f>
        <v>AND A.`Denominations` = B.`Denominations`</v>
      </c>
      <c r="CA51" t="s">
        <v>626</v>
      </c>
    </row>
    <row r="52" spans="1:79">
      <c r="A52" s="100"/>
      <c r="B52" s="41">
        <v>1</v>
      </c>
      <c r="C52" s="47"/>
      <c r="D52" s="41" t="str">
        <f>G10&amp;"_"&amp;R52&amp;"_"&amp;"trg"</f>
        <v>CashChangerRecoverSettingMaster_update_trg</v>
      </c>
      <c r="E52" s="46"/>
      <c r="F52" s="46"/>
      <c r="G52" s="46"/>
      <c r="H52" s="46"/>
      <c r="I52" s="46"/>
      <c r="J52" s="46"/>
      <c r="K52" s="46"/>
      <c r="L52" s="42"/>
      <c r="M52" s="42"/>
      <c r="N52" s="42"/>
      <c r="O52" s="42"/>
      <c r="P52" s="42"/>
      <c r="Q52" s="43"/>
      <c r="R52" s="41" t="s">
        <v>40</v>
      </c>
      <c r="S52" s="42"/>
      <c r="T52" s="47"/>
      <c r="U52" s="41" t="s">
        <v>41</v>
      </c>
      <c r="V52" s="42"/>
      <c r="W52" s="46"/>
      <c r="X52" s="47"/>
      <c r="Y52" s="41" t="s">
        <v>42</v>
      </c>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3"/>
      <c r="BK52" s="4"/>
      <c r="BQ52" t="s">
        <v>626</v>
      </c>
      <c r="BS52" t="s">
        <v>626</v>
      </c>
      <c r="BU52" t="s">
        <v>626</v>
      </c>
      <c r="BV52" s="97" t="s">
        <v>936</v>
      </c>
      <c r="BW52" t="s">
        <v>626</v>
      </c>
      <c r="BY52" t="s">
        <v>626</v>
      </c>
      <c r="BZ52" s="97" t="str">
        <f>IF(_xlfn.XLOOKUP(6,$AH:$AH,$R:$R,"",0)="","","AND A.`"&amp;_xlfn.XLOOKUP(6,$AH:$AH,$R:$R,"",0)&amp;"` = B.`"&amp;_xlfn.XLOOKUP(6,$AH:$AH,$R:$R,"",0)&amp;"`")</f>
        <v/>
      </c>
      <c r="CA52" t="s">
        <v>626</v>
      </c>
    </row>
    <row r="53" spans="1:79">
      <c r="A53" s="100"/>
      <c r="BK53" s="4"/>
      <c r="BQ53" t="s">
        <v>626</v>
      </c>
      <c r="BS53" t="s">
        <v>626</v>
      </c>
      <c r="BU53" t="s">
        <v>626</v>
      </c>
      <c r="BW53" t="s">
        <v>626</v>
      </c>
      <c r="BY53" t="s">
        <v>626</v>
      </c>
      <c r="BZ53" s="97" t="str">
        <f>IF(_xlfn.XLOOKUP(7,$AH:$AH,$R:$R,"",0)="","","AND A.`"&amp;_xlfn.XLOOKUP(7,$AH:$AH,$R:$R,"",0)&amp;"` = B.`"&amp;_xlfn.XLOOKUP(7,$AH:$AH,$R:$R,"",0)&amp;"`")</f>
        <v/>
      </c>
      <c r="CA53" t="s">
        <v>626</v>
      </c>
    </row>
    <row r="54" spans="1:79">
      <c r="A54" s="100"/>
      <c r="BK54" s="4"/>
      <c r="BQ54" t="s">
        <v>626</v>
      </c>
      <c r="BS54" t="s">
        <v>626</v>
      </c>
      <c r="BU54" t="s">
        <v>626</v>
      </c>
      <c r="BW54" t="s">
        <v>626</v>
      </c>
      <c r="BY54" t="s">
        <v>626</v>
      </c>
      <c r="BZ54" s="97" t="str">
        <f>IF(_xlfn.XLOOKUP(8,$AH:$AH,$R:$R,"",0)="","","AND A.`"&amp;_xlfn.XLOOKUP(8,$AH:$AH,$R:$R,"",0)&amp;"` = B.`"&amp;_xlfn.XLOOKUP(8,$AH:$AH,$R:$R,"",0)&amp;"`")</f>
        <v/>
      </c>
      <c r="CA54" t="s">
        <v>626</v>
      </c>
    </row>
    <row r="55" spans="1:79">
      <c r="A55" s="100"/>
      <c r="BK55" s="4"/>
      <c r="BQ55" t="s">
        <v>626</v>
      </c>
      <c r="BS55" t="s">
        <v>626</v>
      </c>
      <c r="BU55" t="s">
        <v>626</v>
      </c>
      <c r="BW55" t="s">
        <v>626</v>
      </c>
      <c r="BY55" t="s">
        <v>626</v>
      </c>
      <c r="BZ55" s="97" t="s">
        <v>929</v>
      </c>
      <c r="CA55" t="s">
        <v>626</v>
      </c>
    </row>
    <row r="56" spans="1:79">
      <c r="A56" s="100"/>
    </row>
    <row r="57" spans="1:79">
      <c r="A57" s="100"/>
    </row>
    <row r="58" spans="1:79">
      <c r="A58" s="100"/>
    </row>
    <row r="59" spans="1:79">
      <c r="A59" s="100"/>
    </row>
    <row r="60" spans="1:79">
      <c r="A60" s="100"/>
    </row>
    <row r="61" spans="1:79">
      <c r="A61" s="100"/>
    </row>
    <row r="62" spans="1:79">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B3BCB-AB5C-402A-BC3A-08FBD229B57C}">
  <dimension ref="A1:CA62"/>
  <sheetViews>
    <sheetView view="pageBreakPreview" zoomScale="80" zoomScaleNormal="75" zoomScaleSheetLayoutView="80" workbookViewId="0">
      <selection activeCell="G8" sqref="G8:X8"/>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453</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823</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824</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`POS_MASTER`.`ReceiptCouponPrintMaster`;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`POS_MASTER`.`ReceiptCouponPrintMaster`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42"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'C:/04_DATAFILE/ReceiptCouponPrintMaster/TMP/ReceiptCouponPrintMaster.CSV' </v>
      </c>
      <c r="BU24" t="s">
        <v>626</v>
      </c>
      <c r="BV24" s="97" t="str">
        <f>"UPDATE `POS_MASTER`.`"&amp;$G$10&amp;"` A,`TMP`.`"&amp;$G$10&amp;"` B"</f>
        <v>UPDATE `POS_MASTER`.`ReceiptCouponPrintMaster` A,`TMP`.`ReceiptCouponPrintMaster`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`TMP`.`ReceiptCouponPrintMaster`;</v>
      </c>
      <c r="BS25" t="s">
        <v>626</v>
      </c>
      <c r="BT25" s="97" t="str">
        <f>"REPLACE INTO TABLE TMP.`"&amp;$G$10&amp;"` CHARACTER SET 'UTF8'"</f>
        <v>REPLACE INTO TABLE TMP.`ReceiptCouponPrintMaster`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`TMP`.`ReceiptCouponPrintMaster`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v>
      </c>
      <c r="BU26" t="s">
        <v>626</v>
      </c>
      <c r="BV26" s="97"/>
      <c r="BW26" t="s">
        <v>626</v>
      </c>
      <c r="BX26" s="97" t="str">
        <f>"INSERT INTO `POS_MASTER`.`"&amp;$G$10&amp;"` ("</f>
        <v>INSERT INTO `POS_MASTER`.`ReceiptCouponPrintMaster` (</v>
      </c>
      <c r="BY26" t="s">
        <v>626</v>
      </c>
      <c r="BZ26" s="97" t="s">
        <v>931</v>
      </c>
      <c r="CA26" t="s">
        <v>626</v>
      </c>
    </row>
    <row r="27" spans="1:79" ht="15" customHeight="1">
      <c r="A27" s="100" t="s">
        <v>964</v>
      </c>
      <c r="B27" s="23">
        <f t="shared" si="0"/>
        <v>7</v>
      </c>
      <c r="C27" s="24"/>
      <c r="D27" s="22" t="s">
        <v>365</v>
      </c>
      <c r="E27" s="25"/>
      <c r="F27" s="25"/>
      <c r="G27" s="25"/>
      <c r="H27" s="25"/>
      <c r="I27" s="25"/>
      <c r="J27" s="25"/>
      <c r="K27" s="25"/>
      <c r="L27" s="25"/>
      <c r="M27" s="25"/>
      <c r="N27" s="25"/>
      <c r="O27" s="25"/>
      <c r="P27" s="25"/>
      <c r="Q27" s="26"/>
      <c r="R27" s="22" t="s">
        <v>401</v>
      </c>
      <c r="S27" s="25"/>
      <c r="T27" s="25"/>
      <c r="U27" s="25"/>
      <c r="V27" s="25"/>
      <c r="W27" s="25"/>
      <c r="X27" s="25"/>
      <c r="Y27" s="25"/>
      <c r="Z27" s="25"/>
      <c r="AA27" s="25"/>
      <c r="AB27" s="26"/>
      <c r="AC27" s="22" t="str" cm="1">
        <f t="array" ref="AC27">_xlfn.SWITCH(BM27,"nvarchar","varchar("&amp;BN27&amp;")","smallint","smallint","date","date","money","decimal(19,4)","numeric","numeric("&amp;BN27&amp;")","int","int","bit","char(1)","datetime2","datetime","time","time")</f>
        <v>varchar(10)</v>
      </c>
      <c r="AD27" s="25"/>
      <c r="AE27" s="25"/>
      <c r="AF27" s="25"/>
      <c r="AG27" s="26"/>
      <c r="AH27" s="22">
        <v>1</v>
      </c>
      <c r="AI27" s="26"/>
      <c r="AJ27" s="22" t="s">
        <v>885</v>
      </c>
      <c r="AK27" s="25"/>
      <c r="AL27" s="26"/>
      <c r="AM27" s="22"/>
      <c r="AN27" s="25"/>
      <c r="AO27" s="25"/>
      <c r="AP27" s="25"/>
      <c r="AQ27" s="25"/>
      <c r="AR27" s="25"/>
      <c r="AS27" s="26"/>
      <c r="AT27" s="22" t="s">
        <v>468</v>
      </c>
      <c r="AU27" s="25"/>
      <c r="AV27" s="25"/>
      <c r="AW27" s="25"/>
      <c r="AX27" s="25"/>
      <c r="AY27" s="25"/>
      <c r="AZ27" s="25"/>
      <c r="BA27" s="25"/>
      <c r="BB27" s="25"/>
      <c r="BC27" s="25"/>
      <c r="BD27" s="25"/>
      <c r="BE27" s="25"/>
      <c r="BF27" s="25"/>
      <c r="BG27" s="25"/>
      <c r="BH27" s="25"/>
      <c r="BI27" s="25"/>
      <c r="BJ27" s="26"/>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42"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2" si="2">",A.`"&amp;R28&amp;"` = B.`"&amp;R28&amp;"`"</f>
        <v>,A.`StoreCode` = B.`StoreCode`</v>
      </c>
      <c r="BW28" t="s">
        <v>626</v>
      </c>
      <c r="BX28" s="97" t="str">
        <f t="shared" ref="BX28:BX42" si="3">",`"&amp;R28&amp;"`"</f>
        <v>,`StoreCode`</v>
      </c>
      <c r="BY28" t="s">
        <v>626</v>
      </c>
      <c r="BZ28" s="97" t="str">
        <f t="shared" ref="BZ28:BZ42" si="4">",`"&amp;R28&amp;"`"</f>
        <v>,`StoreCode`</v>
      </c>
      <c r="CA28" t="s">
        <v>626</v>
      </c>
    </row>
    <row r="29" spans="1:79" ht="15" customHeight="1">
      <c r="A29" s="100" t="s">
        <v>966</v>
      </c>
      <c r="B29" s="23">
        <f t="shared" si="0"/>
        <v>9</v>
      </c>
      <c r="C29" s="24"/>
      <c r="D29" s="22" t="s">
        <v>825</v>
      </c>
      <c r="E29" s="25"/>
      <c r="F29" s="25"/>
      <c r="G29" s="25"/>
      <c r="H29" s="25"/>
      <c r="I29" s="25"/>
      <c r="J29" s="25"/>
      <c r="K29" s="25"/>
      <c r="L29" s="25"/>
      <c r="M29" s="25"/>
      <c r="N29" s="25"/>
      <c r="O29" s="25"/>
      <c r="P29" s="25"/>
      <c r="Q29" s="26"/>
      <c r="R29" s="22" t="s">
        <v>854</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varchar(26)</v>
      </c>
      <c r="AD29" s="25"/>
      <c r="AE29" s="25"/>
      <c r="AF29" s="25"/>
      <c r="AG29" s="26"/>
      <c r="AH29" s="22">
        <v>3</v>
      </c>
      <c r="AI29" s="26"/>
      <c r="AJ29" s="22" t="s">
        <v>885</v>
      </c>
      <c r="AK29" s="25"/>
      <c r="AL29" s="26"/>
      <c r="AM29" s="22"/>
      <c r="AN29" s="25"/>
      <c r="AO29" s="25"/>
      <c r="AP29" s="25"/>
      <c r="AQ29" s="25"/>
      <c r="AR29" s="25"/>
      <c r="AS29" s="26"/>
      <c r="AT29" s="22" t="s">
        <v>848</v>
      </c>
      <c r="AU29" s="25"/>
      <c r="AV29" s="25"/>
      <c r="AW29" s="25"/>
      <c r="AX29" s="25"/>
      <c r="AY29" s="25"/>
      <c r="AZ29" s="25"/>
      <c r="BA29" s="25"/>
      <c r="BB29" s="25"/>
      <c r="BC29" s="25"/>
      <c r="BD29" s="25"/>
      <c r="BE29" s="25"/>
      <c r="BF29" s="25"/>
      <c r="BG29" s="25"/>
      <c r="BH29" s="25"/>
      <c r="BI29" s="25"/>
      <c r="BJ29" s="26"/>
      <c r="BK29" s="4"/>
      <c r="BM29" t="s">
        <v>888</v>
      </c>
      <c r="BN29">
        <v>26</v>
      </c>
      <c r="BP29" t="str">
        <f t="shared" si="1"/>
        <v>,`ReceiptCouponCode` varchar(26) NOT NULL COMMENT 'レシートクーポン券コード'</v>
      </c>
      <c r="BQ29" t="s">
        <v>626</v>
      </c>
      <c r="BR29" t="str">
        <f t="shared" ref="BR29:BR42" si="5">",`"&amp;R29&amp;"` "&amp;AC29&amp;" "&amp;IF(AJ29="Y","NOT NULL","")</f>
        <v>,`ReceiptCouponCode` varchar(26) NOT NULL</v>
      </c>
      <c r="BS29" t="s">
        <v>626</v>
      </c>
      <c r="BT29" t="str">
        <f t="shared" ref="BT29:BT42" si="6">",`"&amp;R29&amp;"` = "&amp;IF(LEFT(AC29,4)="date", "if(@"&amp;B29-5&amp;" &gt; '0000-00-00 00:00:00', if(@"&amp;B29-5&amp;" &gt; '2999-12-31 23:59:59', '2999-12-31 23:59:59', @"&amp;B29-5&amp;"), null)","if(nullif( @"&amp;B29-5&amp;",'') &gt; '', @"&amp;B29-5&amp;", null )")</f>
        <v>,`ReceiptCouponCode` = if(nullif( @4,'') &gt; '', @4, null )</v>
      </c>
      <c r="BU29" t="s">
        <v>626</v>
      </c>
      <c r="BV29" s="97" t="str">
        <f t="shared" si="2"/>
        <v>,A.`ReceiptCouponCode` = B.`ReceiptCouponCode`</v>
      </c>
      <c r="BW29" t="s">
        <v>626</v>
      </c>
      <c r="BX29" s="97" t="str">
        <f t="shared" si="3"/>
        <v>,`ReceiptCouponCode`</v>
      </c>
      <c r="BY29" t="s">
        <v>626</v>
      </c>
      <c r="BZ29" s="97" t="str">
        <f t="shared" si="4"/>
        <v>,`ReceiptCouponCode`</v>
      </c>
      <c r="CA29" t="s">
        <v>626</v>
      </c>
    </row>
    <row r="30" spans="1:79" ht="15" customHeight="1">
      <c r="A30" s="100" t="s">
        <v>967</v>
      </c>
      <c r="B30" s="23">
        <f t="shared" si="0"/>
        <v>10</v>
      </c>
      <c r="C30" s="24"/>
      <c r="D30" s="22" t="s">
        <v>826</v>
      </c>
      <c r="E30" s="25"/>
      <c r="F30" s="25"/>
      <c r="G30" s="25"/>
      <c r="H30" s="25"/>
      <c r="I30" s="25"/>
      <c r="J30" s="25"/>
      <c r="K30" s="25"/>
      <c r="L30" s="25"/>
      <c r="M30" s="25"/>
      <c r="N30" s="25"/>
      <c r="O30" s="25"/>
      <c r="P30" s="25"/>
      <c r="Q30" s="26"/>
      <c r="R30" s="22" t="s">
        <v>855</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datetime</v>
      </c>
      <c r="AD30" s="25"/>
      <c r="AE30" s="25"/>
      <c r="AF30" s="25"/>
      <c r="AG30" s="26"/>
      <c r="AH30" s="22">
        <v>4</v>
      </c>
      <c r="AI30" s="26"/>
      <c r="AJ30" s="22" t="s">
        <v>885</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
        <v>898</v>
      </c>
      <c r="BN30">
        <v>7</v>
      </c>
      <c r="BP30" t="str">
        <f t="shared" si="1"/>
        <v>,`PrintFrom` datetime NOT NULL COMMENT '印字期間From'</v>
      </c>
      <c r="BQ30" t="s">
        <v>626</v>
      </c>
      <c r="BR30" t="str">
        <f t="shared" si="5"/>
        <v>,`PrintFrom` datetime NOT NULL</v>
      </c>
      <c r="BS30" t="s">
        <v>626</v>
      </c>
      <c r="BT30" t="str">
        <f t="shared" si="6"/>
        <v>,`PrintFrom` = if(@5 &gt; '0000-00-00 00:00:00', if(@5 &gt; '2999-12-31 23:59:59', '2999-12-31 23:59:59', @5), null)</v>
      </c>
      <c r="BU30" t="s">
        <v>626</v>
      </c>
      <c r="BV30" s="97" t="str">
        <f t="shared" si="2"/>
        <v>,A.`PrintFrom` = B.`PrintFrom`</v>
      </c>
      <c r="BW30" t="s">
        <v>626</v>
      </c>
      <c r="BX30" s="97" t="str">
        <f t="shared" si="3"/>
        <v>,`PrintFrom`</v>
      </c>
      <c r="BY30" t="s">
        <v>626</v>
      </c>
      <c r="BZ30" s="97" t="str">
        <f t="shared" si="4"/>
        <v>,`PrintFrom`</v>
      </c>
      <c r="CA30" t="s">
        <v>626</v>
      </c>
    </row>
    <row r="31" spans="1:79" ht="15" customHeight="1">
      <c r="A31" s="100" t="s">
        <v>968</v>
      </c>
      <c r="B31" s="23">
        <f t="shared" si="0"/>
        <v>11</v>
      </c>
      <c r="C31" s="24"/>
      <c r="D31" s="22" t="s">
        <v>827</v>
      </c>
      <c r="E31" s="25"/>
      <c r="F31" s="25"/>
      <c r="G31" s="25"/>
      <c r="H31" s="25"/>
      <c r="I31" s="25"/>
      <c r="J31" s="25"/>
      <c r="K31" s="25"/>
      <c r="L31" s="25"/>
      <c r="M31" s="25"/>
      <c r="N31" s="25"/>
      <c r="O31" s="25"/>
      <c r="P31" s="25"/>
      <c r="Q31" s="26"/>
      <c r="R31" s="22" t="s">
        <v>839</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datetime</v>
      </c>
      <c r="AD31" s="25"/>
      <c r="AE31" s="25"/>
      <c r="AF31" s="25"/>
      <c r="AG31" s="26"/>
      <c r="AH31" s="22"/>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898</v>
      </c>
      <c r="BN31">
        <v>7</v>
      </c>
      <c r="BP31" t="str">
        <f t="shared" si="1"/>
        <v>,`PrintTo` datetime NOT NULL COMMENT '印字期間To'</v>
      </c>
      <c r="BQ31" t="s">
        <v>626</v>
      </c>
      <c r="BR31" t="str">
        <f t="shared" si="5"/>
        <v>,`PrintTo` datetime NOT NULL</v>
      </c>
      <c r="BS31" t="s">
        <v>626</v>
      </c>
      <c r="BT31" t="str">
        <f t="shared" si="6"/>
        <v>,`PrintTo` = if(@6 &gt; '0000-00-00 00:00:00', if(@6 &gt; '2999-12-31 23:59:59', '2999-12-31 23:59:59', @6), null)</v>
      </c>
      <c r="BU31" t="s">
        <v>626</v>
      </c>
      <c r="BV31" s="97" t="str">
        <f t="shared" si="2"/>
        <v>,A.`PrintTo` = B.`PrintTo`</v>
      </c>
      <c r="BW31" t="s">
        <v>626</v>
      </c>
      <c r="BX31" s="97" t="str">
        <f t="shared" si="3"/>
        <v>,`PrintTo`</v>
      </c>
      <c r="BY31" t="s">
        <v>626</v>
      </c>
      <c r="BZ31" s="97" t="str">
        <f t="shared" si="4"/>
        <v>,`PrintTo`</v>
      </c>
      <c r="CA31" t="s">
        <v>626</v>
      </c>
    </row>
    <row r="32" spans="1:79" ht="15" customHeight="1">
      <c r="A32" s="100" t="s">
        <v>969</v>
      </c>
      <c r="B32" s="23">
        <f t="shared" si="0"/>
        <v>12</v>
      </c>
      <c r="C32" s="24"/>
      <c r="D32" s="22" t="s">
        <v>828</v>
      </c>
      <c r="E32" s="25"/>
      <c r="F32" s="25"/>
      <c r="G32" s="25"/>
      <c r="H32" s="25"/>
      <c r="I32" s="25"/>
      <c r="J32" s="25"/>
      <c r="K32" s="25"/>
      <c r="L32" s="25"/>
      <c r="M32" s="25"/>
      <c r="N32" s="25"/>
      <c r="O32" s="25"/>
      <c r="P32" s="25"/>
      <c r="Q32" s="26"/>
      <c r="R32" s="22" t="s">
        <v>727</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datetime</v>
      </c>
      <c r="AD32" s="25"/>
      <c r="AE32" s="25"/>
      <c r="AF32" s="25"/>
      <c r="AG32" s="26"/>
      <c r="AH32" s="22"/>
      <c r="AI32" s="26"/>
      <c r="AJ32" s="22" t="s">
        <v>885</v>
      </c>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
        <v>898</v>
      </c>
      <c r="BN32">
        <v>7</v>
      </c>
      <c r="BP32" t="str">
        <f t="shared" si="1"/>
        <v>,`StartDate` datetime NOT NULL COMMENT '有効期間From'</v>
      </c>
      <c r="BQ32" t="s">
        <v>626</v>
      </c>
      <c r="BR32" t="str">
        <f t="shared" si="5"/>
        <v>,`StartDate` datetime NOT NULL</v>
      </c>
      <c r="BS32" t="s">
        <v>626</v>
      </c>
      <c r="BT32" t="str">
        <f t="shared" si="6"/>
        <v>,`StartDate` = if(@7 &gt; '0000-00-00 00:00:00', if(@7 &gt; '2999-12-31 23:59:59', '2999-12-31 23:59:59', @7), null)</v>
      </c>
      <c r="BU32" t="s">
        <v>626</v>
      </c>
      <c r="BV32" s="97" t="str">
        <f t="shared" si="2"/>
        <v>,A.`StartDate` = B.`StartDate`</v>
      </c>
      <c r="BW32" t="s">
        <v>626</v>
      </c>
      <c r="BX32" s="97" t="str">
        <f t="shared" si="3"/>
        <v>,`StartDate`</v>
      </c>
      <c r="BY32" t="s">
        <v>626</v>
      </c>
      <c r="BZ32" s="97" t="str">
        <f t="shared" si="4"/>
        <v>,`StartDate`</v>
      </c>
      <c r="CA32" t="s">
        <v>626</v>
      </c>
    </row>
    <row r="33" spans="1:79" ht="15" customHeight="1">
      <c r="A33" s="100" t="s">
        <v>970</v>
      </c>
      <c r="B33" s="23">
        <f t="shared" si="0"/>
        <v>13</v>
      </c>
      <c r="C33" s="24"/>
      <c r="D33" s="22" t="s">
        <v>829</v>
      </c>
      <c r="E33" s="25"/>
      <c r="F33" s="25"/>
      <c r="G33" s="25"/>
      <c r="H33" s="25"/>
      <c r="I33" s="25"/>
      <c r="J33" s="25"/>
      <c r="K33" s="25"/>
      <c r="L33" s="25"/>
      <c r="M33" s="25"/>
      <c r="N33" s="25"/>
      <c r="O33" s="25"/>
      <c r="P33" s="25"/>
      <c r="Q33" s="26"/>
      <c r="R33" s="22" t="s">
        <v>840</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datetime</v>
      </c>
      <c r="AD33" s="25"/>
      <c r="AE33" s="25"/>
      <c r="AF33" s="25"/>
      <c r="AG33" s="26"/>
      <c r="AH33" s="22"/>
      <c r="AI33" s="26"/>
      <c r="AJ33" s="22" t="s">
        <v>885</v>
      </c>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M33" t="s">
        <v>898</v>
      </c>
      <c r="BN33">
        <v>7</v>
      </c>
      <c r="BP33" t="str">
        <f t="shared" si="1"/>
        <v>,`EndDate` datetime NOT NULL COMMENT '有効期間To'</v>
      </c>
      <c r="BQ33" t="s">
        <v>626</v>
      </c>
      <c r="BR33" t="str">
        <f t="shared" si="5"/>
        <v>,`EndDate` datetime NOT NULL</v>
      </c>
      <c r="BS33" t="s">
        <v>626</v>
      </c>
      <c r="BT33" t="str">
        <f t="shared" si="6"/>
        <v>,`EndDate` = if(@8 &gt; '0000-00-00 00:00:00', if(@8 &gt; '2999-12-31 23:59:59', '2999-12-31 23:59:59', @8), null)</v>
      </c>
      <c r="BU33" t="s">
        <v>626</v>
      </c>
      <c r="BV33" s="97" t="str">
        <f t="shared" si="2"/>
        <v>,A.`EndDate` = B.`EndDate`</v>
      </c>
      <c r="BW33" t="s">
        <v>626</v>
      </c>
      <c r="BX33" s="97" t="str">
        <f t="shared" si="3"/>
        <v>,`EndDate`</v>
      </c>
      <c r="BY33" t="s">
        <v>626</v>
      </c>
      <c r="BZ33" s="97" t="str">
        <f t="shared" si="4"/>
        <v>,`EndDate`</v>
      </c>
      <c r="CA33" t="s">
        <v>626</v>
      </c>
    </row>
    <row r="34" spans="1:79" ht="15" customHeight="1">
      <c r="A34" s="100" t="s">
        <v>971</v>
      </c>
      <c r="B34" s="23">
        <f t="shared" si="0"/>
        <v>14</v>
      </c>
      <c r="C34" s="24"/>
      <c r="D34" s="22" t="s">
        <v>830</v>
      </c>
      <c r="E34" s="25"/>
      <c r="F34" s="25"/>
      <c r="G34" s="25"/>
      <c r="H34" s="25"/>
      <c r="I34" s="25"/>
      <c r="J34" s="25"/>
      <c r="K34" s="25"/>
      <c r="L34" s="25"/>
      <c r="M34" s="25"/>
      <c r="N34" s="25"/>
      <c r="O34" s="25"/>
      <c r="P34" s="25"/>
      <c r="Q34" s="26"/>
      <c r="R34" s="22" t="s">
        <v>841</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decimal(19,4)</v>
      </c>
      <c r="AD34" s="25"/>
      <c r="AE34" s="25"/>
      <c r="AF34" s="25"/>
      <c r="AG34" s="26"/>
      <c r="AH34" s="22"/>
      <c r="AI34" s="26"/>
      <c r="AJ34" s="22" t="s">
        <v>885</v>
      </c>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
        <v>891</v>
      </c>
      <c r="BP34" t="str">
        <f t="shared" si="1"/>
        <v>,`TicketingAmount` decimal(19,4) NOT NULL COMMENT '発券金額'</v>
      </c>
      <c r="BQ34" t="s">
        <v>626</v>
      </c>
      <c r="BR34" t="str">
        <f t="shared" si="5"/>
        <v>,`TicketingAmount` decimal(19,4) NOT NULL</v>
      </c>
      <c r="BS34" t="s">
        <v>626</v>
      </c>
      <c r="BT34" t="str">
        <f t="shared" si="6"/>
        <v>,`TicketingAmount` = if(nullif( @9,'') &gt; '', @9, null )</v>
      </c>
      <c r="BU34" t="s">
        <v>626</v>
      </c>
      <c r="BV34" s="97" t="str">
        <f t="shared" si="2"/>
        <v>,A.`TicketingAmount` = B.`TicketingAmount`</v>
      </c>
      <c r="BW34" t="s">
        <v>626</v>
      </c>
      <c r="BX34" s="97" t="str">
        <f t="shared" si="3"/>
        <v>,`TicketingAmount`</v>
      </c>
      <c r="BY34" t="s">
        <v>626</v>
      </c>
      <c r="BZ34" s="97" t="str">
        <f t="shared" si="4"/>
        <v>,`TicketingAmount`</v>
      </c>
      <c r="CA34" t="s">
        <v>626</v>
      </c>
    </row>
    <row r="35" spans="1:79" ht="15" customHeight="1">
      <c r="A35" s="100" t="s">
        <v>972</v>
      </c>
      <c r="B35" s="23">
        <f t="shared" si="0"/>
        <v>15</v>
      </c>
      <c r="C35" s="24"/>
      <c r="D35" s="22" t="s">
        <v>831</v>
      </c>
      <c r="E35" s="25"/>
      <c r="F35" s="25"/>
      <c r="G35" s="25"/>
      <c r="H35" s="25"/>
      <c r="I35" s="25"/>
      <c r="J35" s="25"/>
      <c r="K35" s="25"/>
      <c r="L35" s="25"/>
      <c r="M35" s="25"/>
      <c r="N35" s="25"/>
      <c r="O35" s="25"/>
      <c r="P35" s="25"/>
      <c r="Q35" s="26"/>
      <c r="R35" s="22" t="s">
        <v>842</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varchar(2)</v>
      </c>
      <c r="AD35" s="25"/>
      <c r="AE35" s="25"/>
      <c r="AF35" s="25"/>
      <c r="AG35" s="26"/>
      <c r="AH35" s="22"/>
      <c r="AI35" s="26"/>
      <c r="AJ35" s="22" t="s">
        <v>885</v>
      </c>
      <c r="AK35" s="25"/>
      <c r="AL35" s="26"/>
      <c r="AM35" s="22"/>
      <c r="AN35" s="25"/>
      <c r="AO35" s="25"/>
      <c r="AP35" s="25"/>
      <c r="AQ35" s="25"/>
      <c r="AR35" s="25"/>
      <c r="AS35" s="26"/>
      <c r="AT35" s="22" t="s">
        <v>849</v>
      </c>
      <c r="AU35" s="25"/>
      <c r="AV35" s="25"/>
      <c r="AW35" s="25"/>
      <c r="AX35" s="25"/>
      <c r="AY35" s="25"/>
      <c r="AZ35" s="25"/>
      <c r="BA35" s="25"/>
      <c r="BB35" s="25"/>
      <c r="BC35" s="25"/>
      <c r="BD35" s="25"/>
      <c r="BE35" s="25"/>
      <c r="BF35" s="25"/>
      <c r="BG35" s="25"/>
      <c r="BH35" s="25"/>
      <c r="BI35" s="25"/>
      <c r="BJ35" s="26"/>
      <c r="BK35" s="4"/>
      <c r="BM35" t="s">
        <v>888</v>
      </c>
      <c r="BN35">
        <v>2</v>
      </c>
      <c r="BP35" t="str">
        <f t="shared" si="1"/>
        <v>,`PrintConditionCode` varchar(2) NOT NULL COMMENT '印字コンディションコード'</v>
      </c>
      <c r="BQ35" t="s">
        <v>626</v>
      </c>
      <c r="BR35" t="str">
        <f t="shared" si="5"/>
        <v>,`PrintConditionCode` varchar(2) NOT NULL</v>
      </c>
      <c r="BS35" t="s">
        <v>626</v>
      </c>
      <c r="BT35" t="str">
        <f t="shared" si="6"/>
        <v>,`PrintConditionCode` = if(nullif( @10,'') &gt; '', @10, null )</v>
      </c>
      <c r="BU35" t="s">
        <v>626</v>
      </c>
      <c r="BV35" s="97" t="str">
        <f t="shared" si="2"/>
        <v>,A.`PrintConditionCode` = B.`PrintConditionCode`</v>
      </c>
      <c r="BW35" t="s">
        <v>626</v>
      </c>
      <c r="BX35" s="97" t="str">
        <f t="shared" si="3"/>
        <v>,`PrintConditionCode`</v>
      </c>
      <c r="BY35" t="s">
        <v>626</v>
      </c>
      <c r="BZ35" s="97" t="str">
        <f t="shared" si="4"/>
        <v>,`PrintConditionCode`</v>
      </c>
      <c r="CA35" t="s">
        <v>626</v>
      </c>
    </row>
    <row r="36" spans="1:79" ht="15" customHeight="1">
      <c r="A36" s="100" t="s">
        <v>973</v>
      </c>
      <c r="B36" s="23">
        <f t="shared" si="0"/>
        <v>16</v>
      </c>
      <c r="C36" s="24"/>
      <c r="D36" s="22" t="s">
        <v>832</v>
      </c>
      <c r="E36" s="25"/>
      <c r="F36" s="25"/>
      <c r="G36" s="25"/>
      <c r="H36" s="25"/>
      <c r="I36" s="25"/>
      <c r="J36" s="25"/>
      <c r="K36" s="25"/>
      <c r="L36" s="25"/>
      <c r="M36" s="25"/>
      <c r="N36" s="25"/>
      <c r="O36" s="25"/>
      <c r="P36" s="25"/>
      <c r="Q36" s="26"/>
      <c r="R36" s="22" t="s">
        <v>843</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varchar(1)</v>
      </c>
      <c r="AD36" s="25"/>
      <c r="AE36" s="25"/>
      <c r="AF36" s="25"/>
      <c r="AG36" s="26"/>
      <c r="AH36" s="22"/>
      <c r="AI36" s="26"/>
      <c r="AJ36" s="22" t="s">
        <v>885</v>
      </c>
      <c r="AK36" s="25"/>
      <c r="AL36" s="26"/>
      <c r="AM36" s="22"/>
      <c r="AN36" s="25"/>
      <c r="AO36" s="25"/>
      <c r="AP36" s="25"/>
      <c r="AQ36" s="25"/>
      <c r="AR36" s="25"/>
      <c r="AS36" s="26"/>
      <c r="AT36" s="22" t="s">
        <v>850</v>
      </c>
      <c r="AU36" s="25"/>
      <c r="AV36" s="25"/>
      <c r="AW36" s="25"/>
      <c r="AX36" s="25"/>
      <c r="AY36" s="25"/>
      <c r="AZ36" s="25"/>
      <c r="BA36" s="25"/>
      <c r="BB36" s="25"/>
      <c r="BC36" s="25"/>
      <c r="BD36" s="25"/>
      <c r="BE36" s="25"/>
      <c r="BF36" s="25"/>
      <c r="BG36" s="25"/>
      <c r="BH36" s="25"/>
      <c r="BI36" s="25"/>
      <c r="BJ36" s="26"/>
      <c r="BK36" s="4"/>
      <c r="BM36" t="s">
        <v>888</v>
      </c>
      <c r="BN36">
        <v>1</v>
      </c>
      <c r="BP36" t="str">
        <f t="shared" si="1"/>
        <v>,`ReceiptTypeCode` varchar(1) NOT NULL COMMENT 'レシートタイプコード'</v>
      </c>
      <c r="BQ36" t="s">
        <v>626</v>
      </c>
      <c r="BR36" t="str">
        <f t="shared" si="5"/>
        <v>,`ReceiptTypeCode` varchar(1) NOT NULL</v>
      </c>
      <c r="BS36" t="s">
        <v>626</v>
      </c>
      <c r="BT36" t="str">
        <f t="shared" si="6"/>
        <v>,`ReceiptTypeCode` = if(nullif( @11,'') &gt; '', @11, null )</v>
      </c>
      <c r="BU36" t="s">
        <v>626</v>
      </c>
      <c r="BV36" s="97" t="str">
        <f t="shared" si="2"/>
        <v>,A.`ReceiptTypeCode` = B.`ReceiptTypeCode`</v>
      </c>
      <c r="BW36" t="s">
        <v>626</v>
      </c>
      <c r="BX36" s="97" t="str">
        <f t="shared" si="3"/>
        <v>,`ReceiptTypeCode`</v>
      </c>
      <c r="BY36" t="s">
        <v>626</v>
      </c>
      <c r="BZ36" s="97" t="str">
        <f t="shared" si="4"/>
        <v>,`ReceiptTypeCode`</v>
      </c>
      <c r="CA36" t="s">
        <v>626</v>
      </c>
    </row>
    <row r="37" spans="1:79" ht="15" customHeight="1">
      <c r="A37" s="100" t="s">
        <v>974</v>
      </c>
      <c r="B37" s="23">
        <f t="shared" si="0"/>
        <v>17</v>
      </c>
      <c r="C37" s="24"/>
      <c r="D37" s="22" t="s">
        <v>833</v>
      </c>
      <c r="E37" s="25"/>
      <c r="F37" s="25"/>
      <c r="G37" s="25"/>
      <c r="H37" s="25"/>
      <c r="I37" s="25"/>
      <c r="J37" s="25"/>
      <c r="K37" s="25"/>
      <c r="L37" s="25"/>
      <c r="M37" s="25"/>
      <c r="N37" s="25"/>
      <c r="O37" s="25"/>
      <c r="P37" s="25"/>
      <c r="Q37" s="26"/>
      <c r="R37" s="22" t="s">
        <v>844</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varchar(10)</v>
      </c>
      <c r="AD37" s="25"/>
      <c r="AE37" s="25"/>
      <c r="AF37" s="25"/>
      <c r="AG37" s="26"/>
      <c r="AH37" s="22"/>
      <c r="AI37" s="26"/>
      <c r="AJ37" s="22" t="s">
        <v>885</v>
      </c>
      <c r="AK37" s="25"/>
      <c r="AL37" s="26"/>
      <c r="AM37" s="22"/>
      <c r="AN37" s="25"/>
      <c r="AO37" s="25"/>
      <c r="AP37" s="25"/>
      <c r="AQ37" s="25"/>
      <c r="AR37" s="25"/>
      <c r="AS37" s="26"/>
      <c r="AT37" s="22" t="s">
        <v>851</v>
      </c>
      <c r="AU37" s="25"/>
      <c r="AV37" s="25"/>
      <c r="AW37" s="25"/>
      <c r="AX37" s="25"/>
      <c r="AY37" s="25"/>
      <c r="AZ37" s="25"/>
      <c r="BA37" s="25"/>
      <c r="BB37" s="25"/>
      <c r="BC37" s="25"/>
      <c r="BD37" s="25"/>
      <c r="BE37" s="25"/>
      <c r="BF37" s="25"/>
      <c r="BG37" s="25"/>
      <c r="BH37" s="25"/>
      <c r="BI37" s="25"/>
      <c r="BJ37" s="26"/>
      <c r="BK37" s="4"/>
      <c r="BM37" t="s">
        <v>888</v>
      </c>
      <c r="BN37">
        <v>10</v>
      </c>
      <c r="BP37" t="str">
        <f t="shared" si="1"/>
        <v>,`ConditionsKey` varchar(10) NOT NULL COMMENT '条件キー'</v>
      </c>
      <c r="BQ37" t="s">
        <v>626</v>
      </c>
      <c r="BR37" t="str">
        <f t="shared" si="5"/>
        <v>,`ConditionsKey` varchar(10) NOT NULL</v>
      </c>
      <c r="BS37" t="s">
        <v>626</v>
      </c>
      <c r="BT37" t="str">
        <f t="shared" si="6"/>
        <v>,`ConditionsKey` = if(nullif( @12,'') &gt; '', @12, null )</v>
      </c>
      <c r="BU37" t="s">
        <v>626</v>
      </c>
      <c r="BV37" s="97" t="str">
        <f t="shared" si="2"/>
        <v>,A.`ConditionsKey` = B.`ConditionsKey`</v>
      </c>
      <c r="BW37" t="s">
        <v>626</v>
      </c>
      <c r="BX37" s="97" t="str">
        <f t="shared" si="3"/>
        <v>,`ConditionsKey`</v>
      </c>
      <c r="BY37" t="s">
        <v>626</v>
      </c>
      <c r="BZ37" s="97" t="str">
        <f t="shared" si="4"/>
        <v>,`ConditionsKey`</v>
      </c>
      <c r="CA37" t="s">
        <v>626</v>
      </c>
    </row>
    <row r="38" spans="1:79" ht="15" customHeight="1">
      <c r="A38" s="100" t="s">
        <v>975</v>
      </c>
      <c r="B38" s="23">
        <f t="shared" si="0"/>
        <v>18</v>
      </c>
      <c r="C38" s="24"/>
      <c r="D38" s="22" t="s">
        <v>834</v>
      </c>
      <c r="E38" s="25"/>
      <c r="F38" s="25"/>
      <c r="G38" s="25"/>
      <c r="H38" s="25"/>
      <c r="I38" s="25"/>
      <c r="J38" s="25"/>
      <c r="K38" s="25"/>
      <c r="L38" s="25"/>
      <c r="M38" s="25"/>
      <c r="N38" s="25"/>
      <c r="O38" s="25"/>
      <c r="P38" s="25"/>
      <c r="Q38" s="26"/>
      <c r="R38" s="22" t="s">
        <v>845</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varchar(500)</v>
      </c>
      <c r="AD38" s="25"/>
      <c r="AE38" s="25"/>
      <c r="AF38" s="25"/>
      <c r="AG38" s="26"/>
      <c r="AH38" s="22"/>
      <c r="AI38" s="26"/>
      <c r="AJ38" s="22" t="s">
        <v>885</v>
      </c>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
        <v>888</v>
      </c>
      <c r="BN38">
        <v>500</v>
      </c>
      <c r="BP38" t="str">
        <f t="shared" si="1"/>
        <v>,`Title` varchar(500) NOT NULL COMMENT 'タイトル'</v>
      </c>
      <c r="BQ38" t="s">
        <v>626</v>
      </c>
      <c r="BR38" t="str">
        <f t="shared" si="5"/>
        <v>,`Title` varchar(500) NOT NULL</v>
      </c>
      <c r="BS38" t="s">
        <v>626</v>
      </c>
      <c r="BT38" t="str">
        <f t="shared" si="6"/>
        <v>,`Title` = if(nullif( @13,'') &gt; '', @13, null )</v>
      </c>
      <c r="BU38" t="s">
        <v>626</v>
      </c>
      <c r="BV38" s="97" t="str">
        <f t="shared" si="2"/>
        <v>,A.`Title` = B.`Title`</v>
      </c>
      <c r="BW38" t="s">
        <v>626</v>
      </c>
      <c r="BX38" s="97" t="str">
        <f t="shared" si="3"/>
        <v>,`Title`</v>
      </c>
      <c r="BY38" t="s">
        <v>626</v>
      </c>
      <c r="BZ38" s="97" t="str">
        <f t="shared" si="4"/>
        <v>,`Title`</v>
      </c>
      <c r="CA38" t="s">
        <v>626</v>
      </c>
    </row>
    <row r="39" spans="1:79" ht="15" customHeight="1">
      <c r="A39" s="100" t="s">
        <v>976</v>
      </c>
      <c r="B39" s="23">
        <f t="shared" si="0"/>
        <v>19</v>
      </c>
      <c r="C39" s="24"/>
      <c r="D39" s="22" t="s">
        <v>835</v>
      </c>
      <c r="E39" s="25"/>
      <c r="F39" s="25"/>
      <c r="G39" s="25"/>
      <c r="H39" s="25"/>
      <c r="I39" s="25"/>
      <c r="J39" s="25"/>
      <c r="K39" s="25"/>
      <c r="L39" s="25"/>
      <c r="M39" s="25"/>
      <c r="N39" s="25"/>
      <c r="O39" s="25"/>
      <c r="P39" s="25"/>
      <c r="Q39" s="26"/>
      <c r="R39" s="22" t="s">
        <v>856</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int</v>
      </c>
      <c r="AD39" s="25"/>
      <c r="AE39" s="25"/>
      <c r="AF39" s="25"/>
      <c r="AG39" s="26"/>
      <c r="AH39" s="22">
        <v>5</v>
      </c>
      <c r="AI39" s="26"/>
      <c r="AJ39" s="22" t="s">
        <v>885</v>
      </c>
      <c r="AK39" s="25"/>
      <c r="AL39" s="26"/>
      <c r="AM39" s="22"/>
      <c r="AN39" s="25"/>
      <c r="AO39" s="25"/>
      <c r="AP39" s="25"/>
      <c r="AQ39" s="25"/>
      <c r="AR39" s="25"/>
      <c r="AS39" s="26"/>
      <c r="AT39" s="22" t="s">
        <v>852</v>
      </c>
      <c r="AU39" s="25"/>
      <c r="AV39" s="25"/>
      <c r="AW39" s="25"/>
      <c r="AX39" s="25"/>
      <c r="AY39" s="25"/>
      <c r="AZ39" s="25"/>
      <c r="BA39" s="25"/>
      <c r="BB39" s="25"/>
      <c r="BC39" s="25"/>
      <c r="BD39" s="25"/>
      <c r="BE39" s="25"/>
      <c r="BF39" s="25"/>
      <c r="BG39" s="25"/>
      <c r="BH39" s="25"/>
      <c r="BI39" s="25"/>
      <c r="BJ39" s="26"/>
      <c r="BK39" s="4"/>
      <c r="BM39" t="s">
        <v>437</v>
      </c>
      <c r="BP39" t="str">
        <f t="shared" si="1"/>
        <v>,`MessagePosition` int NOT NULL COMMENT 'メッセージ表示位置'</v>
      </c>
      <c r="BQ39" t="s">
        <v>626</v>
      </c>
      <c r="BR39" t="str">
        <f t="shared" si="5"/>
        <v>,`MessagePosition` int NOT NULL</v>
      </c>
      <c r="BS39" t="s">
        <v>626</v>
      </c>
      <c r="BT39" t="str">
        <f t="shared" si="6"/>
        <v>,`MessagePosition` = if(nullif( @14,'') &gt; '', @14, null )</v>
      </c>
      <c r="BU39" t="s">
        <v>626</v>
      </c>
      <c r="BV39" s="97" t="str">
        <f t="shared" si="2"/>
        <v>,A.`MessagePosition` = B.`MessagePosition`</v>
      </c>
      <c r="BW39" t="s">
        <v>626</v>
      </c>
      <c r="BX39" s="97" t="str">
        <f t="shared" si="3"/>
        <v>,`MessagePosition`</v>
      </c>
      <c r="BY39" t="s">
        <v>626</v>
      </c>
      <c r="BZ39" s="97" t="str">
        <f t="shared" si="4"/>
        <v>,`MessagePosition`</v>
      </c>
      <c r="CA39" t="s">
        <v>626</v>
      </c>
    </row>
    <row r="40" spans="1:79" ht="15" customHeight="1">
      <c r="A40" s="100" t="s">
        <v>977</v>
      </c>
      <c r="B40" s="23">
        <f t="shared" si="0"/>
        <v>20</v>
      </c>
      <c r="C40" s="24"/>
      <c r="D40" s="22" t="s">
        <v>836</v>
      </c>
      <c r="E40" s="25"/>
      <c r="F40" s="25"/>
      <c r="G40" s="25"/>
      <c r="H40" s="25"/>
      <c r="I40" s="25"/>
      <c r="J40" s="25"/>
      <c r="K40" s="25"/>
      <c r="L40" s="25"/>
      <c r="M40" s="25"/>
      <c r="N40" s="25"/>
      <c r="O40" s="25"/>
      <c r="P40" s="25"/>
      <c r="Q40" s="26"/>
      <c r="R40" s="22" t="s">
        <v>857</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int</v>
      </c>
      <c r="AD40" s="25"/>
      <c r="AE40" s="25"/>
      <c r="AF40" s="25"/>
      <c r="AG40" s="26"/>
      <c r="AH40" s="22">
        <v>6</v>
      </c>
      <c r="AI40" s="26"/>
      <c r="AJ40" s="22" t="s">
        <v>885</v>
      </c>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
        <v>437</v>
      </c>
      <c r="BP40" t="str">
        <f t="shared" si="1"/>
        <v>,`MessageLineNo` int NOT NULL COMMENT '行番号'</v>
      </c>
      <c r="BQ40" t="s">
        <v>626</v>
      </c>
      <c r="BR40" t="str">
        <f t="shared" si="5"/>
        <v>,`MessageLineNo` int NOT NULL</v>
      </c>
      <c r="BS40" t="s">
        <v>626</v>
      </c>
      <c r="BT40" t="str">
        <f>",`"&amp;R40&amp;"` = "&amp;IF(LEFT(AC40,4)="date", "if(@"&amp;B40-5&amp;" &gt; '0000-00-00 00:00:00', if(@"&amp;B40-5&amp;" &gt; '2999-12-31 23:59:59', '2999-12-31 23:59:59', @"&amp;B40-5&amp;"), null)","if(nullif( @"&amp;B40-5&amp;",'') &gt; '', @"&amp;B40-5&amp;", null )")</f>
        <v>,`MessageLineNo` = if(nullif( @15,'') &gt; '', @15, null )</v>
      </c>
      <c r="BU40" t="s">
        <v>626</v>
      </c>
      <c r="BV40" s="97" t="str">
        <f t="shared" si="2"/>
        <v>,A.`MessageLineNo` = B.`MessageLineNo`</v>
      </c>
      <c r="BW40" t="s">
        <v>626</v>
      </c>
      <c r="BX40" s="97" t="str">
        <f t="shared" si="3"/>
        <v>,`MessageLineNo`</v>
      </c>
      <c r="BY40" t="s">
        <v>626</v>
      </c>
      <c r="BZ40" s="97" t="str">
        <f t="shared" si="4"/>
        <v>,`MessageLineNo`</v>
      </c>
      <c r="CA40" t="s">
        <v>626</v>
      </c>
    </row>
    <row r="41" spans="1:79" ht="15" customHeight="1">
      <c r="A41" s="100" t="s">
        <v>978</v>
      </c>
      <c r="B41" s="101">
        <f t="shared" si="0"/>
        <v>21</v>
      </c>
      <c r="C41" s="102"/>
      <c r="D41" s="103" t="s">
        <v>837</v>
      </c>
      <c r="E41" s="104"/>
      <c r="F41" s="104"/>
      <c r="G41" s="104"/>
      <c r="H41" s="104"/>
      <c r="I41" s="104"/>
      <c r="J41" s="104"/>
      <c r="K41" s="104"/>
      <c r="L41" s="104"/>
      <c r="M41" s="104"/>
      <c r="N41" s="104"/>
      <c r="O41" s="104"/>
      <c r="P41" s="104"/>
      <c r="Q41" s="105"/>
      <c r="R41" s="103" t="s">
        <v>846</v>
      </c>
      <c r="S41" s="104"/>
      <c r="T41" s="104"/>
      <c r="U41" s="104"/>
      <c r="V41" s="104"/>
      <c r="W41" s="104"/>
      <c r="X41" s="104"/>
      <c r="Y41" s="104"/>
      <c r="Z41" s="104"/>
      <c r="AA41" s="104"/>
      <c r="AB41" s="105"/>
      <c r="AC41" s="103" t="str" cm="1">
        <f t="array" ref="AC41">_xlfn.SWITCH(BM41,"nvarchar","varchar("&amp;BN41&amp;")","smallint","smallint","date","date","money","decimal(19,4)","numeric","numeric("&amp;BN41&amp;")","int","int","bit","char(1)","datetime2","datetime","time","time")</f>
        <v>varchar(1000)</v>
      </c>
      <c r="AD41" s="104"/>
      <c r="AE41" s="104"/>
      <c r="AF41" s="104"/>
      <c r="AG41" s="105"/>
      <c r="AH41" s="103"/>
      <c r="AI41" s="105"/>
      <c r="AJ41" s="103" t="s">
        <v>885</v>
      </c>
      <c r="AK41" s="104"/>
      <c r="AL41" s="105"/>
      <c r="AM41" s="103"/>
      <c r="AN41" s="104"/>
      <c r="AO41" s="104"/>
      <c r="AP41" s="104"/>
      <c r="AQ41" s="104"/>
      <c r="AR41" s="104"/>
      <c r="AS41" s="105"/>
      <c r="AT41" s="103" t="s">
        <v>1002</v>
      </c>
      <c r="AU41" s="104"/>
      <c r="AV41" s="104"/>
      <c r="AW41" s="104"/>
      <c r="AX41" s="104"/>
      <c r="AY41" s="104"/>
      <c r="AZ41" s="104"/>
      <c r="BA41" s="104"/>
      <c r="BB41" s="104"/>
      <c r="BC41" s="104"/>
      <c r="BD41" s="104"/>
      <c r="BE41" s="104"/>
      <c r="BF41" s="104"/>
      <c r="BG41" s="104"/>
      <c r="BH41" s="104"/>
      <c r="BI41" s="104"/>
      <c r="BJ41" s="105"/>
      <c r="BK41" s="4"/>
      <c r="BM41" t="s">
        <v>888</v>
      </c>
      <c r="BN41">
        <v>1000</v>
      </c>
      <c r="BP41" t="str">
        <f t="shared" si="1"/>
        <v>,`Message` varchar(1000) NOT NULL COMMENT 'メッセージ'</v>
      </c>
      <c r="BQ41" t="s">
        <v>626</v>
      </c>
      <c r="BR41" t="str">
        <f t="shared" si="5"/>
        <v>,`Message` varchar(1000) NOT NULL</v>
      </c>
      <c r="BS41" t="s">
        <v>626</v>
      </c>
      <c r="BT41" s="106" t="str">
        <f>",`"&amp;R41&amp;"` = @"&amp;B41-5</f>
        <v>,`Message` = @16</v>
      </c>
      <c r="BU41" t="s">
        <v>626</v>
      </c>
      <c r="BV41" s="97" t="str">
        <f t="shared" si="2"/>
        <v>,A.`Message` = B.`Message`</v>
      </c>
      <c r="BW41" t="s">
        <v>626</v>
      </c>
      <c r="BX41" s="97" t="str">
        <f t="shared" si="3"/>
        <v>,`Message`</v>
      </c>
      <c r="BY41" t="s">
        <v>626</v>
      </c>
      <c r="BZ41" s="97" t="str">
        <f t="shared" si="4"/>
        <v>,`Message`</v>
      </c>
      <c r="CA41" t="s">
        <v>626</v>
      </c>
    </row>
    <row r="42" spans="1:79" ht="15" customHeight="1">
      <c r="A42" s="100" t="s">
        <v>979</v>
      </c>
      <c r="B42" s="28">
        <f t="shared" si="0"/>
        <v>22</v>
      </c>
      <c r="C42" s="29"/>
      <c r="D42" s="30" t="s">
        <v>838</v>
      </c>
      <c r="E42" s="31"/>
      <c r="F42" s="31"/>
      <c r="G42" s="31"/>
      <c r="H42" s="31"/>
      <c r="I42" s="31"/>
      <c r="J42" s="31"/>
      <c r="K42" s="31"/>
      <c r="L42" s="31"/>
      <c r="M42" s="31"/>
      <c r="N42" s="31"/>
      <c r="O42" s="31"/>
      <c r="P42" s="31"/>
      <c r="Q42" s="32"/>
      <c r="R42" s="30" t="s">
        <v>847</v>
      </c>
      <c r="S42" s="31"/>
      <c r="T42" s="31"/>
      <c r="U42" s="31"/>
      <c r="V42" s="31"/>
      <c r="W42" s="31"/>
      <c r="X42" s="31"/>
      <c r="Y42" s="31"/>
      <c r="Z42" s="31"/>
      <c r="AA42" s="31"/>
      <c r="AB42" s="32"/>
      <c r="AC42" s="30" t="str" cm="1">
        <f t="array" ref="AC42">_xlfn.SWITCH(BM42,"nvarchar","varchar("&amp;BN42&amp;")","smallint","smallint","date","date","money","decimal(19,4)","numeric","numeric("&amp;BN42&amp;")","int","int","bit","char(1)","datetime2","datetime","time","time")</f>
        <v>int</v>
      </c>
      <c r="AD42" s="31"/>
      <c r="AE42" s="31"/>
      <c r="AF42" s="31"/>
      <c r="AG42" s="32"/>
      <c r="AH42" s="30"/>
      <c r="AI42" s="32"/>
      <c r="AJ42" s="30" t="s">
        <v>885</v>
      </c>
      <c r="AK42" s="31"/>
      <c r="AL42" s="32"/>
      <c r="AM42" s="30"/>
      <c r="AN42" s="31"/>
      <c r="AO42" s="31"/>
      <c r="AP42" s="31"/>
      <c r="AQ42" s="31"/>
      <c r="AR42" s="31"/>
      <c r="AS42" s="32"/>
      <c r="AT42" s="30" t="s">
        <v>853</v>
      </c>
      <c r="AU42" s="31"/>
      <c r="AV42" s="31"/>
      <c r="AW42" s="31"/>
      <c r="AX42" s="31"/>
      <c r="AY42" s="31"/>
      <c r="AZ42" s="31"/>
      <c r="BA42" s="31"/>
      <c r="BB42" s="31"/>
      <c r="BC42" s="31"/>
      <c r="BD42" s="31"/>
      <c r="BE42" s="31"/>
      <c r="BF42" s="31"/>
      <c r="BG42" s="31"/>
      <c r="BH42" s="31"/>
      <c r="BI42" s="31"/>
      <c r="BJ42" s="32"/>
      <c r="BK42" s="4"/>
      <c r="BM42" t="s">
        <v>437</v>
      </c>
      <c r="BP42" t="str">
        <f t="shared" si="1"/>
        <v>,`MessageFontType` int NOT NULL COMMENT 'メッセージフォントタイプ'</v>
      </c>
      <c r="BQ42" t="s">
        <v>626</v>
      </c>
      <c r="BR42" t="str">
        <f t="shared" si="5"/>
        <v>,`MessageFontType` int NOT NULL</v>
      </c>
      <c r="BS42" t="s">
        <v>626</v>
      </c>
      <c r="BT42" t="str">
        <f t="shared" si="6"/>
        <v>,`MessageFontType` = if(nullif( @17,'') &gt; '', @17, null )</v>
      </c>
      <c r="BU42" t="s">
        <v>626</v>
      </c>
      <c r="BV42" s="97" t="str">
        <f t="shared" si="2"/>
        <v>,A.`MessageFontType` = B.`MessageFontType`</v>
      </c>
      <c r="BW42" t="s">
        <v>626</v>
      </c>
      <c r="BX42" s="97" t="str">
        <f t="shared" si="3"/>
        <v>,`MessageFontType`</v>
      </c>
      <c r="BY42" t="s">
        <v>626</v>
      </c>
      <c r="BZ42" s="97" t="str">
        <f t="shared" si="4"/>
        <v>,`MessageFontType`</v>
      </c>
      <c r="CA42" t="s">
        <v>626</v>
      </c>
    </row>
    <row r="43" spans="1:79" ht="15" customHeight="1">
      <c r="A43" s="100"/>
      <c r="BK43" s="4"/>
      <c r="BP4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(`CompanyCode`,`StoreCode`,`ReceiptCouponCode`,`PrintFrom`,`MessagePosition`,`MessageLineNo`),</v>
      </c>
      <c r="BQ43" t="s">
        <v>626</v>
      </c>
      <c r="BR4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(`CompanyCode`,`StoreCode`,`ReceiptCouponCode`,`PrintFrom`,`MessagePosition`,`MessageLineNo`)</v>
      </c>
      <c r="BS43" t="s">
        <v>626</v>
      </c>
      <c r="BT43" s="97" t="s">
        <v>936</v>
      </c>
      <c r="BU43" t="s">
        <v>626</v>
      </c>
      <c r="BV43" s="97" t="s">
        <v>934</v>
      </c>
      <c r="BW43" t="s">
        <v>626</v>
      </c>
      <c r="BY43" t="s">
        <v>626</v>
      </c>
      <c r="BZ43" s="97" t="str">
        <f>"FROM `TMP`.`"&amp;$G$10&amp;"` A"</f>
        <v>FROM `TMP`.`ReceiptCouponPrintMaster` A</v>
      </c>
      <c r="CA43" t="s">
        <v>626</v>
      </c>
    </row>
    <row r="44" spans="1:79" ht="15" customHeight="1">
      <c r="A44" s="100"/>
      <c r="BK44" s="4"/>
      <c r="BP44" s="97" t="s">
        <v>452</v>
      </c>
      <c r="BQ44" t="s">
        <v>626</v>
      </c>
      <c r="BR44" s="97" t="str">
        <f>") ENGINE=InnoDB DEFAULT CHARSET=utf8mb4 COLLATE=utf8mb4_0900_ai_ci COMMENT = '"&amp;$G$9&amp;"_TMP';"</f>
        <v>) ENGINE=InnoDB DEFAULT CHARSET=utf8mb4 COLLATE=utf8mb4_0900_ai_ci COMMENT = 'レシートクーポン発券マスタ_TMP';</v>
      </c>
      <c r="BS44" t="s">
        <v>626</v>
      </c>
      <c r="BU44" t="s">
        <v>626</v>
      </c>
      <c r="BV44" s="97" t="str">
        <f>IF(_xlfn.XLOOKUP(1,$AH:$AH,$R:$R,"",0)="","","A.`"&amp;_xlfn.XLOOKUP(1,$AH:$AH,$R:$R,"",0)&amp;"` = B.`"&amp;_xlfn.XLOOKUP(1,$AH:$AH,$R:$R,"",0)&amp;"`")</f>
        <v>A.`CompanyCode` = B.`CompanyCode`</v>
      </c>
      <c r="BW44" t="s">
        <v>626</v>
      </c>
      <c r="BY44" t="s">
        <v>626</v>
      </c>
      <c r="BZ44" s="97" t="s">
        <v>935</v>
      </c>
      <c r="CA44" t="s">
        <v>626</v>
      </c>
    </row>
    <row r="45" spans="1:79" ht="15" customHeight="1">
      <c r="A45" s="100"/>
      <c r="B45" s="37" t="s">
        <v>49</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4"/>
      <c r="BP45" s="97" t="str">
        <f>") ENGINE=InnoDB DEFAULT CHARSET=utf8mb4 COLLATE=utf8mb4_0900_ai_ci COMMENT = '"&amp;$G$9&amp;"';"</f>
        <v>) ENGINE=InnoDB DEFAULT CHARSET=utf8mb4 COLLATE=utf8mb4_0900_ai_ci COMMENT = 'レシートクーポン発券マスタ';</v>
      </c>
      <c r="BQ45" t="s">
        <v>626</v>
      </c>
      <c r="BS45" t="s">
        <v>626</v>
      </c>
      <c r="BU45" t="s">
        <v>626</v>
      </c>
      <c r="BV45" s="97" t="str">
        <f>IF(_xlfn.XLOOKUP(2,$AH:$AH,$R:$R,"",0)="","","AND A.`"&amp;_xlfn.XLOOKUP(2,$AH:$AH,$R:$R,"",0)&amp;"` = B.`"&amp;_xlfn.XLOOKUP(2,$AH:$AH,$R:$R,"",0)&amp;"`")</f>
        <v>AND A.`StoreCode` = B.`StoreCode`</v>
      </c>
      <c r="BW45" t="s">
        <v>626</v>
      </c>
      <c r="BY45" t="s">
        <v>626</v>
      </c>
      <c r="BZ45" s="97" t="str">
        <f>"FROM `POS_MASTER`.`"&amp;$G$10&amp;"` B"</f>
        <v>FROM `POS_MASTER`.`ReceiptCouponPrintMaster` B</v>
      </c>
      <c r="CA45" t="s">
        <v>626</v>
      </c>
    </row>
    <row r="46" spans="1:79" ht="15" customHeight="1">
      <c r="A46" s="100"/>
      <c r="B46" s="34" t="s">
        <v>50</v>
      </c>
      <c r="C46" s="35"/>
      <c r="D46" s="34" t="s">
        <v>51</v>
      </c>
      <c r="E46" s="44"/>
      <c r="F46" s="36"/>
      <c r="G46" s="36"/>
      <c r="H46" s="36"/>
      <c r="I46" s="36"/>
      <c r="J46" s="36"/>
      <c r="K46" s="36"/>
      <c r="L46" s="36"/>
      <c r="M46" s="36"/>
      <c r="N46" s="36"/>
      <c r="O46" s="36"/>
      <c r="P46" s="36"/>
      <c r="Q46" s="35"/>
      <c r="R46" s="34" t="s">
        <v>52</v>
      </c>
      <c r="S46" s="44"/>
      <c r="T46" s="36"/>
      <c r="U46" s="36"/>
      <c r="V46" s="36"/>
      <c r="W46" s="36"/>
      <c r="X46" s="36"/>
      <c r="Y46" s="36"/>
      <c r="Z46" s="36"/>
      <c r="AA46" s="36"/>
      <c r="AB46" s="36"/>
      <c r="AC46" s="36"/>
      <c r="AD46" s="36"/>
      <c r="AE46" s="36"/>
      <c r="AF46" s="36"/>
      <c r="AG46" s="36"/>
      <c r="AH46" s="36"/>
      <c r="AI46" s="36"/>
      <c r="AJ46" s="36"/>
      <c r="AK46" s="35"/>
      <c r="AL46" s="34" t="s">
        <v>53</v>
      </c>
      <c r="AM46" s="36"/>
      <c r="AN46" s="36"/>
      <c r="AO46" s="45"/>
      <c r="AP46" s="34" t="s">
        <v>54</v>
      </c>
      <c r="AQ46" s="36"/>
      <c r="AR46" s="36"/>
      <c r="AS46" s="35"/>
      <c r="AT46" s="34" t="s">
        <v>48</v>
      </c>
      <c r="AU46" s="44"/>
      <c r="AV46" s="44"/>
      <c r="AW46" s="36"/>
      <c r="AX46" s="36"/>
      <c r="AY46" s="44"/>
      <c r="AZ46" s="36"/>
      <c r="BA46" s="36"/>
      <c r="BB46" s="36"/>
      <c r="BC46" s="36"/>
      <c r="BD46" s="36"/>
      <c r="BE46" s="36"/>
      <c r="BF46" s="36"/>
      <c r="BG46" s="36"/>
      <c r="BH46" s="36"/>
      <c r="BI46" s="44"/>
      <c r="BJ46" s="35"/>
      <c r="BK46" s="4"/>
      <c r="BP46" s="97"/>
      <c r="BQ46" t="s">
        <v>626</v>
      </c>
      <c r="BS46" t="s">
        <v>626</v>
      </c>
      <c r="BU46" t="s">
        <v>626</v>
      </c>
      <c r="BV46" s="97" t="str">
        <f>IF(_xlfn.XLOOKUP(3,$AH:$AH,$R:$R,"",0)="","","AND A.`"&amp;_xlfn.XLOOKUP(3,$AH:$AH,$R:$R,"",0)&amp;"` = B.`"&amp;_xlfn.XLOOKUP(3,$AH:$AH,$R:$R,"",0)&amp;"`")</f>
        <v>AND A.`ReceiptCouponCode` = B.`ReceiptCouponCode`</v>
      </c>
      <c r="BW46" t="s">
        <v>626</v>
      </c>
      <c r="BY46" t="s">
        <v>626</v>
      </c>
      <c r="BZ46" s="97" t="s">
        <v>932</v>
      </c>
      <c r="CA46" t="s">
        <v>626</v>
      </c>
    </row>
    <row r="47" spans="1:79" ht="15" customHeight="1">
      <c r="A47" s="100"/>
      <c r="B47" s="38">
        <v>1</v>
      </c>
      <c r="C47" s="39"/>
      <c r="D47" s="38" t="s">
        <v>55</v>
      </c>
      <c r="E47" s="46"/>
      <c r="F47" s="40"/>
      <c r="G47" s="40"/>
      <c r="H47" s="40"/>
      <c r="I47" s="40"/>
      <c r="J47" s="40"/>
      <c r="K47" s="40"/>
      <c r="L47" s="40"/>
      <c r="M47" s="40"/>
      <c r="N47" s="40"/>
      <c r="O47" s="40"/>
      <c r="P47" s="40"/>
      <c r="Q47" s="39"/>
      <c r="R47"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`CompanyCode`,`StoreCode`,`ReceiptCouponCode`,`PrintFrom`,`MessagePosition`,`MessageLineNo`</v>
      </c>
      <c r="S47" s="46"/>
      <c r="T47" s="40"/>
      <c r="U47" s="40"/>
      <c r="V47" s="40"/>
      <c r="W47" s="40"/>
      <c r="X47" s="40"/>
      <c r="Y47" s="40"/>
      <c r="Z47" s="40"/>
      <c r="AA47" s="40"/>
      <c r="AB47" s="40"/>
      <c r="AC47" s="40"/>
      <c r="AD47" s="40"/>
      <c r="AE47" s="40"/>
      <c r="AF47" s="40"/>
      <c r="AG47" s="40"/>
      <c r="AH47" s="40"/>
      <c r="AI47" s="40"/>
      <c r="AJ47" s="40"/>
      <c r="AK47" s="39"/>
      <c r="AL47" s="38" t="s">
        <v>885</v>
      </c>
      <c r="AM47" s="40"/>
      <c r="AN47" s="40"/>
      <c r="AO47" s="47"/>
      <c r="AP47" s="38" t="s">
        <v>885</v>
      </c>
      <c r="AQ47" s="40"/>
      <c r="AR47" s="40"/>
      <c r="AS47" s="39"/>
      <c r="AT47" s="38"/>
      <c r="AU47" s="46"/>
      <c r="AV47" s="46"/>
      <c r="AW47" s="40"/>
      <c r="AX47" s="40"/>
      <c r="AY47" s="46"/>
      <c r="AZ47" s="40"/>
      <c r="BA47" s="40"/>
      <c r="BB47" s="40"/>
      <c r="BC47" s="40"/>
      <c r="BD47" s="40"/>
      <c r="BE47" s="40"/>
      <c r="BF47" s="40"/>
      <c r="BG47" s="40"/>
      <c r="BH47" s="40"/>
      <c r="BI47" s="46"/>
      <c r="BJ47" s="39"/>
      <c r="BK47" s="4"/>
      <c r="BP47" s="97" t="str">
        <f>"CREATE TRIGGER `"&amp;$G$10&amp;"_CR_Date_Time` BEFORE INSERT ON `"&amp;$G$10&amp;"` FOR EACH ROW SET NEW.record_create_date = CURRENT_DATE, NEW.record_create_time = CURRENT_TIME, NEW.record_update_date = CURRENT_DATE, NEW.record_update_time = CURRENT_TIME;"</f>
        <v>CREATE TRIGGER `ReceiptCouponPrintMaster_CR_Date_Time` BEFORE INSERT ON `ReceiptCouponPrintMaster` FOR EACH ROW SET NEW.record_create_date = CURRENT_DATE, NEW.record_create_time = CURRENT_TIME, NEW.record_update_date = CURRENT_DATE, NEW.record_update_time = CURRENT_TIME;</v>
      </c>
      <c r="BQ47" t="s">
        <v>626</v>
      </c>
      <c r="BS47" t="s">
        <v>626</v>
      </c>
      <c r="BU47" t="s">
        <v>626</v>
      </c>
      <c r="BV47" s="97" t="str">
        <f>IF(_xlfn.XLOOKUP(4,$AH:$AH,$R:$R,"",0)="","","AND A.`"&amp;_xlfn.XLOOKUP(4,$AH:$AH,$R:$R,"",0)&amp;"` = B.`"&amp;_xlfn.XLOOKUP(4,$AH:$AH,$R:$R,"",0)&amp;"`")</f>
        <v>AND A.`PrintFrom` = B.`PrintFrom`</v>
      </c>
      <c r="BW47" t="s">
        <v>626</v>
      </c>
      <c r="BY47" t="s">
        <v>626</v>
      </c>
      <c r="BZ47" s="97" t="str">
        <f>IF(_xlfn.XLOOKUP(1,$AH:$AH,$R:$R,"",0)="","","A.`"&amp;_xlfn.XLOOKUP(1,$AH:$AH,$R:$R,"",0)&amp;"` = B.`"&amp;_xlfn.XLOOKUP(1,$AH:$AH,$R:$R,"",0)&amp;"`")</f>
        <v>A.`CompanyCode` = B.`CompanyCode`</v>
      </c>
      <c r="CA47" t="s">
        <v>626</v>
      </c>
    </row>
    <row r="48" spans="1:79" ht="15" customHeight="1">
      <c r="A48" s="100"/>
      <c r="BK48" s="4"/>
      <c r="BP48" s="97" t="str">
        <f>"CREATE TRIGGER `"&amp;$G$10&amp;"_UP_Date_Time` BEFORE UPDATE ON `"&amp;$G$10&amp;"` FOR EACH ROW SET NEW.record_update_date = CURRENT_DATE, NEW.record_update_time = CURRENT_TIME;"</f>
        <v>CREATE TRIGGER `ReceiptCouponPrintMaster_UP_Date_Time` BEFORE UPDATE ON `ReceiptCouponPrintMaster` FOR EACH ROW SET NEW.record_update_date = CURRENT_DATE, NEW.record_update_time = CURRENT_TIME;</v>
      </c>
      <c r="BQ48" t="s">
        <v>626</v>
      </c>
      <c r="BS48" t="s">
        <v>626</v>
      </c>
      <c r="BU48" t="s">
        <v>626</v>
      </c>
      <c r="BV48" s="97" t="str">
        <f>IF(_xlfn.XLOOKUP(5,$AH:$AH,$R:$R,"",0)="","","AND A.`"&amp;_xlfn.XLOOKUP(5,$AH:$AH,$R:$R,"",0)&amp;"` = B.`"&amp;_xlfn.XLOOKUP(5,$AH:$AH,$R:$R,"",0)&amp;"`")</f>
        <v>AND A.`MessagePosition` = B.`MessagePosition`</v>
      </c>
      <c r="BW48" t="s">
        <v>626</v>
      </c>
      <c r="BY48" t="s">
        <v>626</v>
      </c>
      <c r="BZ48" s="97" t="str">
        <f>IF(_xlfn.XLOOKUP(2,$AH:$AH,$R:$R,"",0)="","","AND A.`"&amp;_xlfn.XLOOKUP(2,$AH:$AH,$R:$R,"",0)&amp;"` = B.`"&amp;_xlfn.XLOOKUP(2,$AH:$AH,$R:$R,"",0)&amp;"`")</f>
        <v>AND A.`StoreCode` = B.`StoreCode`</v>
      </c>
      <c r="CA48" t="s">
        <v>626</v>
      </c>
    </row>
    <row r="49" spans="1:79" ht="15" customHeight="1">
      <c r="A49" s="100"/>
      <c r="BK49" s="4"/>
      <c r="BQ49" t="s">
        <v>626</v>
      </c>
      <c r="BS49" t="s">
        <v>626</v>
      </c>
      <c r="BU49" t="s">
        <v>626</v>
      </c>
      <c r="BV49" s="97" t="str">
        <f>IF(_xlfn.XLOOKUP(6,$AH:$AH,$R:$R,"",0)="","","AND A.`"&amp;_xlfn.XLOOKUP(6,$AH:$AH,$R:$R,"",0)&amp;"` = B.`"&amp;_xlfn.XLOOKUP(6,$AH:$AH,$R:$R,"",0)&amp;"`")</f>
        <v>AND A.`MessageLineNo` = B.`MessageLineNo`</v>
      </c>
      <c r="BW49" t="s">
        <v>626</v>
      </c>
      <c r="BY49" t="s">
        <v>626</v>
      </c>
      <c r="BZ49" s="97" t="str">
        <f>IF(_xlfn.XLOOKUP(3,$AH:$AH,$R:$R,"",0)="","","AND A.`"&amp;_xlfn.XLOOKUP(3,$AH:$AH,$R:$R,"",0)&amp;"` = B.`"&amp;_xlfn.XLOOKUP(3,$AH:$AH,$R:$R,"",0)&amp;"`")</f>
        <v>AND A.`ReceiptCouponCode` = B.`ReceiptCouponCode`</v>
      </c>
      <c r="CA49" t="s">
        <v>626</v>
      </c>
    </row>
    <row r="50" spans="1:79">
      <c r="A50" s="100"/>
      <c r="B50" s="37" t="s">
        <v>34</v>
      </c>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4"/>
      <c r="BQ50" t="s">
        <v>626</v>
      </c>
      <c r="BS50" t="s">
        <v>626</v>
      </c>
      <c r="BU50" t="s">
        <v>626</v>
      </c>
      <c r="BV50" s="97" t="str">
        <f>IF(_xlfn.XLOOKUP(7,$AH:$AH,$R:$R,"",0)="","","AND A.`"&amp;_xlfn.XLOOKUP(7,$AH:$AH,$R:$R,"",0)&amp;"` = B.`"&amp;_xlfn.XLOOKUP(7,$AH:$AH,$R:$R,"",0)&amp;"`")</f>
        <v/>
      </c>
      <c r="BW50" t="s">
        <v>626</v>
      </c>
      <c r="BY50" t="s">
        <v>626</v>
      </c>
      <c r="BZ50" s="97" t="str">
        <f>IF(_xlfn.XLOOKUP(4,$AH:$AH,$R:$R,"",0)="","","AND A.`"&amp;_xlfn.XLOOKUP(4,$AH:$AH,$R:$R,"",0)&amp;"` = B.`"&amp;_xlfn.XLOOKUP(4,$AH:$AH,$R:$R,"",0)&amp;"`")</f>
        <v>AND A.`PrintFrom` = B.`PrintFrom`</v>
      </c>
      <c r="CA50" t="s">
        <v>626</v>
      </c>
    </row>
    <row r="51" spans="1:79">
      <c r="A51" s="100"/>
      <c r="B51" s="34" t="s">
        <v>35</v>
      </c>
      <c r="C51" s="45"/>
      <c r="D51" s="34" t="s">
        <v>36</v>
      </c>
      <c r="E51" s="44"/>
      <c r="F51" s="44"/>
      <c r="G51" s="44"/>
      <c r="H51" s="44"/>
      <c r="I51" s="44"/>
      <c r="J51" s="44"/>
      <c r="K51" s="44"/>
      <c r="L51" s="36"/>
      <c r="M51" s="36"/>
      <c r="N51" s="36"/>
      <c r="O51" s="36"/>
      <c r="P51" s="36"/>
      <c r="Q51" s="35"/>
      <c r="R51" s="34" t="s">
        <v>37</v>
      </c>
      <c r="S51" s="36"/>
      <c r="T51" s="45"/>
      <c r="U51" s="34" t="s">
        <v>38</v>
      </c>
      <c r="V51" s="36"/>
      <c r="W51" s="44"/>
      <c r="X51" s="45"/>
      <c r="Y51" s="34" t="s">
        <v>39</v>
      </c>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5"/>
      <c r="BK51" s="4"/>
      <c r="BQ51" t="s">
        <v>626</v>
      </c>
      <c r="BS51" t="s">
        <v>626</v>
      </c>
      <c r="BU51" t="s">
        <v>626</v>
      </c>
      <c r="BV51" s="97" t="str">
        <f>IF(_xlfn.XLOOKUP(8,$AH:$AH,$R:$R,"",0)="","","AND A.`"&amp;_xlfn.XLOOKUP(8,$AH:$AH,$R:$R,"",0)&amp;"` = B.`"&amp;_xlfn.XLOOKUP(8,$AH:$AH,$R:$R,"",0)&amp;"`")</f>
        <v/>
      </c>
      <c r="BW51" t="s">
        <v>626</v>
      </c>
      <c r="BY51" t="s">
        <v>626</v>
      </c>
      <c r="BZ51" s="97" t="str">
        <f>IF(_xlfn.XLOOKUP(5,$AH:$AH,$R:$R,"",0)="","","AND A.`"&amp;_xlfn.XLOOKUP(5,$AH:$AH,$R:$R,"",0)&amp;"` = B.`"&amp;_xlfn.XLOOKUP(5,$AH:$AH,$R:$R,"",0)&amp;"`")</f>
        <v>AND A.`MessagePosition` = B.`MessagePosition`</v>
      </c>
      <c r="CA51" t="s">
        <v>626</v>
      </c>
    </row>
    <row r="52" spans="1:79">
      <c r="A52" s="100"/>
      <c r="B52" s="41">
        <v>1</v>
      </c>
      <c r="C52" s="47"/>
      <c r="D52" s="41" t="str">
        <f>G10&amp;"_"&amp;R52&amp;"_"&amp;"trg"</f>
        <v>ReceiptCouponPrintMaster_update_trg</v>
      </c>
      <c r="E52" s="46"/>
      <c r="F52" s="46"/>
      <c r="G52" s="46"/>
      <c r="H52" s="46"/>
      <c r="I52" s="46"/>
      <c r="J52" s="46"/>
      <c r="K52" s="46"/>
      <c r="L52" s="42"/>
      <c r="M52" s="42"/>
      <c r="N52" s="42"/>
      <c r="O52" s="42"/>
      <c r="P52" s="42"/>
      <c r="Q52" s="43"/>
      <c r="R52" s="41" t="s">
        <v>40</v>
      </c>
      <c r="S52" s="42"/>
      <c r="T52" s="47"/>
      <c r="U52" s="41" t="s">
        <v>41</v>
      </c>
      <c r="V52" s="42"/>
      <c r="W52" s="46"/>
      <c r="X52" s="47"/>
      <c r="Y52" s="41" t="s">
        <v>42</v>
      </c>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3"/>
      <c r="BK52" s="4"/>
      <c r="BQ52" t="s">
        <v>626</v>
      </c>
      <c r="BS52" t="s">
        <v>626</v>
      </c>
      <c r="BU52" t="s">
        <v>626</v>
      </c>
      <c r="BV52" s="97" t="s">
        <v>936</v>
      </c>
      <c r="BW52" t="s">
        <v>626</v>
      </c>
      <c r="BY52" t="s">
        <v>626</v>
      </c>
      <c r="BZ52" s="97" t="str">
        <f>IF(_xlfn.XLOOKUP(6,$AH:$AH,$R:$R,"",0)="","","AND A.`"&amp;_xlfn.XLOOKUP(6,$AH:$AH,$R:$R,"",0)&amp;"` = B.`"&amp;_xlfn.XLOOKUP(6,$AH:$AH,$R:$R,"",0)&amp;"`")</f>
        <v>AND A.`MessageLineNo` = B.`MessageLineNo`</v>
      </c>
      <c r="CA52" t="s">
        <v>626</v>
      </c>
    </row>
    <row r="53" spans="1:79">
      <c r="A53" s="100"/>
      <c r="BK53" s="4"/>
      <c r="BQ53" t="s">
        <v>626</v>
      </c>
      <c r="BS53" t="s">
        <v>626</v>
      </c>
      <c r="BU53" t="s">
        <v>626</v>
      </c>
      <c r="BW53" t="s">
        <v>626</v>
      </c>
      <c r="BY53" t="s">
        <v>626</v>
      </c>
      <c r="BZ53" s="97" t="str">
        <f>IF(_xlfn.XLOOKUP(7,$AH:$AH,$R:$R,"",0)="","","AND A.`"&amp;_xlfn.XLOOKUP(7,$AH:$AH,$R:$R,"",0)&amp;"` = B.`"&amp;_xlfn.XLOOKUP(7,$AH:$AH,$R:$R,"",0)&amp;"`")</f>
        <v/>
      </c>
      <c r="CA53" t="s">
        <v>626</v>
      </c>
    </row>
    <row r="54" spans="1:79">
      <c r="A54" s="100"/>
      <c r="BK54" s="4"/>
      <c r="BQ54" t="s">
        <v>626</v>
      </c>
      <c r="BS54" t="s">
        <v>626</v>
      </c>
      <c r="BU54" t="s">
        <v>626</v>
      </c>
      <c r="BW54" t="s">
        <v>626</v>
      </c>
      <c r="BY54" t="s">
        <v>626</v>
      </c>
      <c r="BZ54" s="97" t="str">
        <f>IF(_xlfn.XLOOKUP(8,$AH:$AH,$R:$R,"",0)="","","AND A.`"&amp;_xlfn.XLOOKUP(8,$AH:$AH,$R:$R,"",0)&amp;"` = B.`"&amp;_xlfn.XLOOKUP(8,$AH:$AH,$R:$R,"",0)&amp;"`")</f>
        <v/>
      </c>
      <c r="CA54" t="s">
        <v>626</v>
      </c>
    </row>
    <row r="55" spans="1:79">
      <c r="A55" s="100"/>
      <c r="BK55" s="4"/>
      <c r="BQ55" t="s">
        <v>626</v>
      </c>
      <c r="BS55" t="s">
        <v>626</v>
      </c>
      <c r="BU55" t="s">
        <v>626</v>
      </c>
      <c r="BW55" t="s">
        <v>626</v>
      </c>
      <c r="BY55" t="s">
        <v>626</v>
      </c>
      <c r="BZ55" s="97" t="s">
        <v>929</v>
      </c>
      <c r="CA55" t="s">
        <v>626</v>
      </c>
    </row>
    <row r="56" spans="1:79">
      <c r="A56" s="100"/>
    </row>
    <row r="57" spans="1:79">
      <c r="A57" s="100"/>
    </row>
    <row r="58" spans="1:79">
      <c r="A58" s="100"/>
    </row>
    <row r="59" spans="1:79">
      <c r="A59" s="100"/>
    </row>
    <row r="60" spans="1:79">
      <c r="A60" s="100"/>
    </row>
    <row r="61" spans="1:79">
      <c r="A61" s="100"/>
    </row>
    <row r="62" spans="1:79">
      <c r="A62"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F308D-142D-444A-B3DB-1D4F2C4BA1C9}">
  <dimension ref="A1:BP111"/>
  <sheetViews>
    <sheetView view="pageBreakPreview" topLeftCell="A12" zoomScale="80" zoomScaleNormal="75" zoomScaleSheetLayoutView="80" workbookViewId="0">
      <selection activeCell="I45" sqref="I45"/>
    </sheetView>
  </sheetViews>
  <sheetFormatPr defaultRowHeight="15.75"/>
  <cols>
    <col min="1" max="67" width="2.77734375" customWidth="1"/>
  </cols>
  <sheetData>
    <row r="1" spans="1:63" ht="24.95" customHeight="1">
      <c r="A1" s="238" t="s">
        <v>1003</v>
      </c>
      <c r="B1" s="239"/>
      <c r="C1" s="239"/>
      <c r="D1" s="239"/>
      <c r="E1" s="239"/>
      <c r="F1" s="239"/>
      <c r="G1" s="239"/>
      <c r="H1" s="239"/>
      <c r="I1" s="239"/>
      <c r="J1" s="240"/>
      <c r="K1" s="238" t="s">
        <v>1004</v>
      </c>
      <c r="L1" s="239"/>
      <c r="M1" s="239"/>
      <c r="N1" s="239"/>
      <c r="O1" s="239"/>
      <c r="P1" s="239"/>
      <c r="Q1" s="239"/>
      <c r="R1" s="239"/>
      <c r="S1" s="239"/>
      <c r="T1" s="239"/>
      <c r="U1" s="239"/>
      <c r="V1" s="240"/>
      <c r="W1" s="247" t="s">
        <v>1412</v>
      </c>
      <c r="X1" s="248"/>
      <c r="Y1" s="248"/>
      <c r="Z1" s="248"/>
      <c r="AA1" s="248"/>
      <c r="AB1" s="248"/>
      <c r="AC1" s="248"/>
      <c r="AD1" s="248"/>
      <c r="AE1" s="248"/>
      <c r="AF1" s="248"/>
      <c r="AG1" s="248"/>
      <c r="AH1" s="248"/>
      <c r="AI1" s="248"/>
      <c r="AJ1" s="248"/>
      <c r="AK1" s="248"/>
      <c r="AL1" s="248"/>
      <c r="AM1" s="248"/>
      <c r="AN1" s="248"/>
      <c r="AO1" s="249"/>
      <c r="AP1" s="238" t="s">
        <v>1005</v>
      </c>
      <c r="AQ1" s="239"/>
      <c r="AR1" s="239"/>
      <c r="AS1" s="240"/>
      <c r="AT1" s="238" t="s">
        <v>1006</v>
      </c>
      <c r="AU1" s="239"/>
      <c r="AV1" s="239"/>
      <c r="AW1" s="239"/>
      <c r="AX1" s="240"/>
      <c r="AY1" s="238" t="s">
        <v>1007</v>
      </c>
      <c r="AZ1" s="239"/>
      <c r="BA1" s="239"/>
      <c r="BB1" s="240"/>
      <c r="BC1" s="238" t="s">
        <v>1008</v>
      </c>
      <c r="BD1" s="239"/>
      <c r="BE1" s="239"/>
      <c r="BF1" s="239"/>
      <c r="BG1" s="240"/>
      <c r="BH1" s="238" t="s">
        <v>1009</v>
      </c>
      <c r="BI1" s="239"/>
      <c r="BJ1" s="239"/>
      <c r="BK1" s="240"/>
    </row>
    <row r="2" spans="1:63" ht="15" customHeight="1">
      <c r="A2" s="241" t="s">
        <v>15</v>
      </c>
      <c r="B2" s="242"/>
      <c r="C2" s="242"/>
      <c r="D2" s="242"/>
      <c r="E2" s="242"/>
      <c r="F2" s="242"/>
      <c r="G2" s="242"/>
      <c r="H2" s="242"/>
      <c r="I2" s="242"/>
      <c r="J2" s="243"/>
      <c r="K2" s="241" t="s">
        <v>1413</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
        <v>1414</v>
      </c>
      <c r="AQ2" s="242"/>
      <c r="AR2" s="242"/>
      <c r="AS2" s="243"/>
      <c r="AT2" s="262">
        <v>44888</v>
      </c>
      <c r="AU2" s="263"/>
      <c r="AV2" s="263"/>
      <c r="AW2" s="263"/>
      <c r="AX2" s="264"/>
      <c r="AY2" s="241" t="s">
        <v>1415</v>
      </c>
      <c r="AZ2" s="242"/>
      <c r="BA2" s="242"/>
      <c r="BB2" s="243"/>
      <c r="BC2" s="262">
        <v>45133</v>
      </c>
      <c r="BD2" s="263"/>
      <c r="BE2" s="263"/>
      <c r="BF2" s="263"/>
      <c r="BG2" s="264"/>
      <c r="BH2" s="256">
        <v>1.34</v>
      </c>
      <c r="BI2" s="257"/>
      <c r="BJ2" s="257"/>
      <c r="BK2" s="258"/>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59"/>
      <c r="BI3" s="260"/>
      <c r="BJ3" s="260"/>
      <c r="BK3" s="261"/>
    </row>
    <row r="4" spans="1:63" ht="24.95" customHeight="1">
      <c r="A4" s="238" t="s">
        <v>1010</v>
      </c>
      <c r="B4" s="239"/>
      <c r="C4" s="239"/>
      <c r="D4" s="239"/>
      <c r="E4" s="239"/>
      <c r="F4" s="239"/>
      <c r="G4" s="240"/>
      <c r="H4" s="235" t="s">
        <v>1416</v>
      </c>
      <c r="I4" s="236"/>
      <c r="J4" s="236"/>
      <c r="K4" s="236"/>
      <c r="L4" s="236"/>
      <c r="M4" s="236"/>
      <c r="N4" s="236"/>
      <c r="O4" s="236"/>
      <c r="P4" s="236"/>
      <c r="Q4" s="236"/>
      <c r="R4" s="236"/>
      <c r="S4" s="236"/>
      <c r="T4" s="237"/>
      <c r="U4" s="238" t="s">
        <v>1011</v>
      </c>
      <c r="V4" s="239"/>
      <c r="W4" s="239"/>
      <c r="X4" s="239"/>
      <c r="Y4" s="240"/>
      <c r="Z4" s="235" t="s">
        <v>1417</v>
      </c>
      <c r="AA4" s="236"/>
      <c r="AB4" s="236"/>
      <c r="AC4" s="236"/>
      <c r="AD4" s="236"/>
      <c r="AE4" s="236"/>
      <c r="AF4" s="236"/>
      <c r="AG4" s="236"/>
      <c r="AH4" s="236"/>
      <c r="AI4" s="236"/>
      <c r="AJ4" s="236"/>
      <c r="AK4" s="236"/>
      <c r="AL4" s="236"/>
      <c r="AM4" s="236"/>
      <c r="AN4" s="236"/>
      <c r="AO4" s="237"/>
      <c r="AP4" s="235" t="s">
        <v>1012</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row>
    <row r="9" spans="1:63" ht="15" customHeight="1">
      <c r="A9" s="1"/>
      <c r="B9" s="301" t="s">
        <v>45</v>
      </c>
      <c r="C9" s="302"/>
      <c r="D9" s="302"/>
      <c r="E9" s="302"/>
      <c r="F9" s="303"/>
      <c r="G9" s="304" t="s">
        <v>1342</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row>
    <row r="10" spans="1:63" ht="15" customHeight="1">
      <c r="A10" s="1"/>
      <c r="B10" s="310" t="s">
        <v>47</v>
      </c>
      <c r="C10" s="311"/>
      <c r="D10" s="311"/>
      <c r="E10" s="311"/>
      <c r="F10" s="312"/>
      <c r="G10" s="298" t="s">
        <v>1343</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row>
    <row r="11" spans="1:63"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row>
    <row r="12" spans="1:63" ht="15" customHeight="1">
      <c r="A12" s="1"/>
      <c r="B12" s="295" t="s">
        <v>1015</v>
      </c>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row>
    <row r="13" spans="1:63" ht="15" customHeight="1">
      <c r="A13" s="1"/>
      <c r="B13" s="304" t="s">
        <v>1016</v>
      </c>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row>
    <row r="14" spans="1:63" ht="15" customHeight="1">
      <c r="A14" s="1"/>
      <c r="B14" s="304" t="s">
        <v>1017</v>
      </c>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row>
    <row r="15" spans="1:63" ht="15" customHeight="1">
      <c r="A15" s="1"/>
      <c r="B15" s="304" t="s">
        <v>1018</v>
      </c>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row>
    <row r="16" spans="1:63"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row>
    <row r="17" spans="1:68" ht="15" customHeight="1">
      <c r="A17" s="1"/>
      <c r="BK17" s="4"/>
    </row>
    <row r="18" spans="1:68" ht="15" customHeight="1">
      <c r="A18" s="1"/>
      <c r="BK18" s="4"/>
    </row>
    <row r="19" spans="1:68" ht="15" customHeight="1">
      <c r="A19" s="1"/>
      <c r="B19" t="s">
        <v>21</v>
      </c>
      <c r="BK19" s="4"/>
      <c r="BP19" s="97" t="str">
        <f>"DROP TABLE IF EXISTS `"&amp;$G$8&amp;"`.`"&amp;$G$10&amp;"`;"</f>
        <v>DROP TABLE IF EXISTS `POS_MASTER`.`branch_master`;</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`POS_MASTER`.`branch_master` (</v>
      </c>
    </row>
    <row r="21" spans="1:68"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961</v>
      </c>
    </row>
    <row r="22" spans="1:68"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959</v>
      </c>
    </row>
    <row r="23" spans="1:68"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957</v>
      </c>
    </row>
    <row r="24" spans="1:68"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955</v>
      </c>
    </row>
    <row r="25" spans="1:68"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953</v>
      </c>
    </row>
    <row r="26" spans="1:68" ht="15" customHeight="1">
      <c r="A26" s="1"/>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951</v>
      </c>
    </row>
    <row r="27" spans="1:68" ht="15" customHeight="1">
      <c r="A27" s="1"/>
      <c r="B27" s="62">
        <v>7</v>
      </c>
      <c r="C27" s="63"/>
      <c r="D27" s="21" t="s">
        <v>340</v>
      </c>
      <c r="E27" s="64"/>
      <c r="F27" s="64"/>
      <c r="G27" s="64"/>
      <c r="H27" s="64"/>
      <c r="I27" s="64"/>
      <c r="J27" s="64"/>
      <c r="K27" s="64"/>
      <c r="L27" s="64"/>
      <c r="M27" s="64"/>
      <c r="N27" s="64"/>
      <c r="O27" s="64"/>
      <c r="P27" s="64"/>
      <c r="Q27" s="65"/>
      <c r="R27" s="21" t="s">
        <v>1365</v>
      </c>
      <c r="S27" s="64"/>
      <c r="T27" s="64"/>
      <c r="U27" s="64"/>
      <c r="V27" s="64"/>
      <c r="W27" s="64"/>
      <c r="X27" s="64"/>
      <c r="Y27" s="64"/>
      <c r="Z27" s="64"/>
      <c r="AA27" s="64"/>
      <c r="AB27" s="65"/>
      <c r="AC27" s="22" t="s">
        <v>1298</v>
      </c>
      <c r="AD27" s="64"/>
      <c r="AE27" s="64"/>
      <c r="AF27" s="64"/>
      <c r="AG27" s="65"/>
      <c r="AH27" s="21">
        <v>1</v>
      </c>
      <c r="AI27" s="65"/>
      <c r="AJ27" s="21" t="s">
        <v>1359</v>
      </c>
      <c r="AK27" s="64"/>
      <c r="AL27" s="65"/>
      <c r="AM27" s="21"/>
      <c r="AN27" s="64"/>
      <c r="AO27" s="64"/>
      <c r="AP27" s="64"/>
      <c r="AQ27" s="64"/>
      <c r="AR27" s="64"/>
      <c r="AS27" s="65"/>
      <c r="AT27" s="21" t="s">
        <v>1021</v>
      </c>
      <c r="AU27" s="64"/>
      <c r="AV27" s="64"/>
      <c r="AW27" s="64"/>
      <c r="AX27" s="64"/>
      <c r="AY27" s="64"/>
      <c r="AZ27" s="64"/>
      <c r="BA27" s="64"/>
      <c r="BB27" s="64"/>
      <c r="BC27" s="64"/>
      <c r="BD27" s="64"/>
      <c r="BE27" s="64"/>
      <c r="BF27" s="64"/>
      <c r="BG27" s="64"/>
      <c r="BH27" s="64"/>
      <c r="BI27" s="64"/>
      <c r="BJ27" s="65"/>
      <c r="BK27" s="4"/>
      <c r="BP27" t="str">
        <f>",`"&amp;R27&amp;"` "&amp;AC27&amp;" "&amp;IF(AJ27="Y","NOT NULL","")&amp;" COMMENT '"&amp;D27&amp;"'"</f>
        <v>,`COMPANY_CODE` varchar(10) NOT NULL COMMENT '企業コード'</v>
      </c>
    </row>
    <row r="28" spans="1:68" ht="15" customHeight="1">
      <c r="A28" s="1"/>
      <c r="B28" s="23">
        <f t="shared" ref="B28:B44" si="1">B27+1</f>
        <v>8</v>
      </c>
      <c r="C28" s="24"/>
      <c r="D28" s="22" t="s">
        <v>341</v>
      </c>
      <c r="E28" s="25"/>
      <c r="F28" s="25"/>
      <c r="G28" s="25"/>
      <c r="H28" s="25"/>
      <c r="I28" s="25"/>
      <c r="J28" s="25"/>
      <c r="K28" s="25"/>
      <c r="L28" s="25"/>
      <c r="M28" s="25"/>
      <c r="N28" s="25"/>
      <c r="O28" s="25"/>
      <c r="P28" s="25"/>
      <c r="Q28" s="26"/>
      <c r="R28" s="22" t="s">
        <v>1366</v>
      </c>
      <c r="S28" s="25"/>
      <c r="T28" s="25"/>
      <c r="U28" s="25"/>
      <c r="V28" s="25"/>
      <c r="W28" s="25"/>
      <c r="X28" s="25"/>
      <c r="Y28" s="25"/>
      <c r="Z28" s="25"/>
      <c r="AA28" s="25"/>
      <c r="AB28" s="26"/>
      <c r="AC28" s="22" t="s">
        <v>1297</v>
      </c>
      <c r="AD28" s="25"/>
      <c r="AE28" s="25"/>
      <c r="AF28" s="25"/>
      <c r="AG28" s="26"/>
      <c r="AH28" s="22">
        <v>2</v>
      </c>
      <c r="AI28" s="26"/>
      <c r="AJ28" s="22" t="s">
        <v>1359</v>
      </c>
      <c r="AK28" s="25"/>
      <c r="AL28" s="26"/>
      <c r="AM28" s="22"/>
      <c r="AN28" s="25"/>
      <c r="AO28" s="25"/>
      <c r="AP28" s="25"/>
      <c r="AQ28" s="25"/>
      <c r="AR28" s="25"/>
      <c r="AS28" s="26"/>
      <c r="AT28" s="22" t="s">
        <v>1022</v>
      </c>
      <c r="AU28" s="25"/>
      <c r="AV28" s="25"/>
      <c r="AW28" s="25"/>
      <c r="AX28" s="25"/>
      <c r="AY28" s="25"/>
      <c r="AZ28" s="25"/>
      <c r="BA28" s="25"/>
      <c r="BB28" s="25"/>
      <c r="BC28" s="25"/>
      <c r="BD28" s="25"/>
      <c r="BE28" s="25"/>
      <c r="BF28" s="25"/>
      <c r="BG28" s="25"/>
      <c r="BH28" s="25"/>
      <c r="BI28" s="25"/>
      <c r="BJ28" s="26"/>
      <c r="BK28" s="4"/>
      <c r="BP28" t="str">
        <f t="shared" ref="BP28:BP44" si="2">",`"&amp;R28&amp;"` "&amp;AC28&amp;" "&amp;IF(AJ28="Y","NOT NULL","")&amp;" COMMENT '"&amp;D28&amp;"'"</f>
        <v>,`STORE_CODE` varchar(10) NOT NULL COMMENT '店舗コード'</v>
      </c>
    </row>
    <row r="29" spans="1:68" ht="15" customHeight="1">
      <c r="A29" s="1"/>
      <c r="B29" s="23">
        <f t="shared" si="1"/>
        <v>9</v>
      </c>
      <c r="C29" s="24"/>
      <c r="D29" s="22" t="s">
        <v>1344</v>
      </c>
      <c r="E29" s="25"/>
      <c r="F29" s="25"/>
      <c r="G29" s="25"/>
      <c r="H29" s="25"/>
      <c r="I29" s="25"/>
      <c r="J29" s="25"/>
      <c r="K29" s="25"/>
      <c r="L29" s="25"/>
      <c r="M29" s="25"/>
      <c r="N29" s="25"/>
      <c r="O29" s="25"/>
      <c r="P29" s="25"/>
      <c r="Q29" s="26"/>
      <c r="R29" s="22" t="s">
        <v>1367</v>
      </c>
      <c r="S29" s="25"/>
      <c r="T29" s="25"/>
      <c r="U29" s="25"/>
      <c r="V29" s="25"/>
      <c r="W29" s="25"/>
      <c r="X29" s="25"/>
      <c r="Y29" s="25"/>
      <c r="Z29" s="25"/>
      <c r="AA29" s="25"/>
      <c r="AB29" s="26"/>
      <c r="AC29" s="22" t="s">
        <v>1297</v>
      </c>
      <c r="AD29" s="25"/>
      <c r="AE29" s="25"/>
      <c r="AF29" s="25"/>
      <c r="AG29" s="26"/>
      <c r="AH29" s="22"/>
      <c r="AI29" s="26"/>
      <c r="AJ29" s="22" t="s">
        <v>1359</v>
      </c>
      <c r="AK29" s="25"/>
      <c r="AL29" s="26"/>
      <c r="AM29" s="22"/>
      <c r="AN29" s="25"/>
      <c r="AO29" s="25"/>
      <c r="AP29" s="25"/>
      <c r="AQ29" s="25"/>
      <c r="AR29" s="25"/>
      <c r="AS29" s="26"/>
      <c r="AT29" s="22" t="s">
        <v>1386</v>
      </c>
      <c r="AU29" s="25"/>
      <c r="AV29" s="25"/>
      <c r="AW29" s="25"/>
      <c r="AX29" s="25"/>
      <c r="AY29" s="25"/>
      <c r="AZ29" s="25"/>
      <c r="BA29" s="25"/>
      <c r="BB29" s="25"/>
      <c r="BC29" s="25"/>
      <c r="BD29" s="25"/>
      <c r="BE29" s="25"/>
      <c r="BF29" s="25"/>
      <c r="BG29" s="25"/>
      <c r="BH29" s="25"/>
      <c r="BI29" s="25"/>
      <c r="BJ29" s="26"/>
      <c r="BK29" s="4"/>
      <c r="BP29" t="str">
        <f t="shared" si="2"/>
        <v>,`BUSINESS TYPE_CODE` varchar(10) NOT NULL COMMENT '業態コード'</v>
      </c>
    </row>
    <row r="30" spans="1:68" ht="15" customHeight="1">
      <c r="A30" s="1"/>
      <c r="B30" s="23">
        <f t="shared" si="1"/>
        <v>10</v>
      </c>
      <c r="C30" s="24"/>
      <c r="D30" s="22" t="s">
        <v>1345</v>
      </c>
      <c r="E30" s="25"/>
      <c r="F30" s="25"/>
      <c r="G30" s="25"/>
      <c r="H30" s="25"/>
      <c r="I30" s="25"/>
      <c r="J30" s="25"/>
      <c r="K30" s="25"/>
      <c r="L30" s="25"/>
      <c r="M30" s="25"/>
      <c r="N30" s="25"/>
      <c r="O30" s="25"/>
      <c r="P30" s="25"/>
      <c r="Q30" s="26"/>
      <c r="R30" s="22" t="s">
        <v>1368</v>
      </c>
      <c r="S30" s="25"/>
      <c r="T30" s="25"/>
      <c r="U30" s="25"/>
      <c r="V30" s="25"/>
      <c r="W30" s="25"/>
      <c r="X30" s="25"/>
      <c r="Y30" s="25"/>
      <c r="Z30" s="25"/>
      <c r="AA30" s="25"/>
      <c r="AB30" s="26"/>
      <c r="AC30" s="22" t="s">
        <v>1346</v>
      </c>
      <c r="AD30" s="25"/>
      <c r="AE30" s="25"/>
      <c r="AF30" s="25"/>
      <c r="AG30" s="26"/>
      <c r="AH30" s="22"/>
      <c r="AI30" s="26"/>
      <c r="AJ30" s="22" t="s">
        <v>1359</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P30" t="str">
        <f t="shared" si="2"/>
        <v>,`BRANCH_NAME` varchar(40) NOT NULL COMMENT '店舗名'</v>
      </c>
    </row>
    <row r="31" spans="1:68" ht="15" customHeight="1">
      <c r="A31" s="1"/>
      <c r="B31" s="23">
        <f t="shared" si="1"/>
        <v>11</v>
      </c>
      <c r="C31" s="118"/>
      <c r="D31" s="22" t="s">
        <v>1347</v>
      </c>
      <c r="E31" s="25"/>
      <c r="F31" s="25"/>
      <c r="G31" s="25"/>
      <c r="H31" s="25"/>
      <c r="I31" s="25"/>
      <c r="J31" s="25"/>
      <c r="K31" s="25"/>
      <c r="L31" s="25"/>
      <c r="M31" s="25"/>
      <c r="N31" s="25"/>
      <c r="O31" s="25"/>
      <c r="P31" s="25"/>
      <c r="Q31" s="26"/>
      <c r="R31" s="22" t="s">
        <v>1369</v>
      </c>
      <c r="S31" s="25"/>
      <c r="T31" s="25"/>
      <c r="U31" s="25"/>
      <c r="V31" s="25"/>
      <c r="W31" s="25"/>
      <c r="X31" s="25"/>
      <c r="Y31" s="25"/>
      <c r="Z31" s="25"/>
      <c r="AA31" s="25"/>
      <c r="AB31" s="26"/>
      <c r="AC31" s="25" t="s">
        <v>1384</v>
      </c>
      <c r="AD31" s="25"/>
      <c r="AE31" s="25"/>
      <c r="AF31" s="25"/>
      <c r="AG31" s="26"/>
      <c r="AH31" s="22"/>
      <c r="AI31" s="26"/>
      <c r="AJ31" s="22"/>
      <c r="AK31" s="25"/>
      <c r="AL31" s="26"/>
      <c r="AM31" s="229"/>
      <c r="AN31" s="230"/>
      <c r="AO31" s="230"/>
      <c r="AP31" s="230"/>
      <c r="AQ31" s="230"/>
      <c r="AR31" s="230"/>
      <c r="AS31" s="231"/>
      <c r="AT31" s="22"/>
      <c r="AU31" s="25"/>
      <c r="AV31" s="25"/>
      <c r="AW31" s="25"/>
      <c r="AX31" s="25"/>
      <c r="AY31" s="25"/>
      <c r="AZ31" s="25"/>
      <c r="BA31" s="25"/>
      <c r="BB31" s="25"/>
      <c r="BC31" s="25"/>
      <c r="BD31" s="25"/>
      <c r="BE31" s="25"/>
      <c r="BF31" s="25"/>
      <c r="BG31" s="25"/>
      <c r="BH31" s="25"/>
      <c r="BI31" s="25"/>
      <c r="BJ31" s="26"/>
      <c r="BK31" s="4"/>
      <c r="BP31" t="str">
        <f t="shared" si="2"/>
        <v>,`POST_CODE` char(7)  COMMENT '店舗郵便番号'</v>
      </c>
    </row>
    <row r="32" spans="1:68" ht="15" customHeight="1">
      <c r="A32" s="1"/>
      <c r="B32" s="23">
        <f t="shared" si="1"/>
        <v>12</v>
      </c>
      <c r="C32" s="118"/>
      <c r="D32" s="22" t="s">
        <v>1348</v>
      </c>
      <c r="E32" s="25"/>
      <c r="F32" s="25"/>
      <c r="G32" s="25"/>
      <c r="H32" s="25"/>
      <c r="I32" s="25"/>
      <c r="J32" s="25"/>
      <c r="K32" s="25"/>
      <c r="L32" s="25"/>
      <c r="M32" s="25"/>
      <c r="N32" s="25"/>
      <c r="O32" s="25"/>
      <c r="P32" s="25"/>
      <c r="Q32" s="26"/>
      <c r="R32" s="22" t="s">
        <v>1370</v>
      </c>
      <c r="S32" s="25"/>
      <c r="T32" s="25"/>
      <c r="U32" s="25"/>
      <c r="V32" s="25"/>
      <c r="W32" s="25"/>
      <c r="X32" s="25"/>
      <c r="Y32" s="25"/>
      <c r="Z32" s="25"/>
      <c r="AA32" s="25"/>
      <c r="AB32" s="26"/>
      <c r="AC32" s="25" t="s">
        <v>1360</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P32" t="str">
        <f t="shared" si="2"/>
        <v>,`PREFECTURE` varchar(16)  COMMENT '店舗都道府県名称'</v>
      </c>
    </row>
    <row r="33" spans="1:68" ht="15" customHeight="1">
      <c r="A33" s="1"/>
      <c r="B33" s="23">
        <f t="shared" si="1"/>
        <v>13</v>
      </c>
      <c r="C33" s="118"/>
      <c r="D33" s="22" t="s">
        <v>1349</v>
      </c>
      <c r="E33" s="25"/>
      <c r="F33" s="25"/>
      <c r="G33" s="25"/>
      <c r="H33" s="25"/>
      <c r="I33" s="25"/>
      <c r="J33" s="25"/>
      <c r="K33" s="25"/>
      <c r="L33" s="25"/>
      <c r="M33" s="25"/>
      <c r="N33" s="25"/>
      <c r="O33" s="25"/>
      <c r="P33" s="25"/>
      <c r="Q33" s="26"/>
      <c r="R33" s="22" t="s">
        <v>1371</v>
      </c>
      <c r="S33" s="25"/>
      <c r="T33" s="25"/>
      <c r="U33" s="25"/>
      <c r="V33" s="25"/>
      <c r="W33" s="25"/>
      <c r="X33" s="25"/>
      <c r="Y33" s="25"/>
      <c r="Z33" s="25"/>
      <c r="AA33" s="25"/>
      <c r="AB33" s="26"/>
      <c r="AC33" s="25" t="s">
        <v>1361</v>
      </c>
      <c r="AD33" s="25"/>
      <c r="AE33" s="25"/>
      <c r="AF33" s="25"/>
      <c r="AG33" s="26"/>
      <c r="AH33" s="22"/>
      <c r="AI33" s="26"/>
      <c r="AJ33" s="22"/>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P33" t="str">
        <f t="shared" si="2"/>
        <v>,`TOWN` varchar(50)  COMMENT '店舗市区町村名称'</v>
      </c>
    </row>
    <row r="34" spans="1:68" ht="15" customHeight="1">
      <c r="A34" s="1"/>
      <c r="B34" s="23">
        <f t="shared" si="1"/>
        <v>14</v>
      </c>
      <c r="C34" s="118"/>
      <c r="D34" s="22" t="s">
        <v>1350</v>
      </c>
      <c r="E34" s="25"/>
      <c r="F34" s="25"/>
      <c r="G34" s="25"/>
      <c r="H34" s="25"/>
      <c r="I34" s="25"/>
      <c r="J34" s="25"/>
      <c r="K34" s="25"/>
      <c r="L34" s="25"/>
      <c r="M34" s="25"/>
      <c r="N34" s="25"/>
      <c r="O34" s="25"/>
      <c r="P34" s="25"/>
      <c r="Q34" s="26"/>
      <c r="R34" s="22" t="s">
        <v>1372</v>
      </c>
      <c r="S34" s="25"/>
      <c r="T34" s="25"/>
      <c r="U34" s="25"/>
      <c r="V34" s="25"/>
      <c r="W34" s="25"/>
      <c r="X34" s="25"/>
      <c r="Y34" s="25"/>
      <c r="Z34" s="25"/>
      <c r="AA34" s="25"/>
      <c r="AB34" s="26"/>
      <c r="AC34" s="25" t="s">
        <v>1362</v>
      </c>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P34" t="str">
        <f t="shared" si="2"/>
        <v>,`BLOCK` varchar(200)  COMMENT '店舗町域名称'</v>
      </c>
    </row>
    <row r="35" spans="1:68" ht="15" customHeight="1">
      <c r="A35" s="1"/>
      <c r="B35" s="23">
        <f t="shared" si="1"/>
        <v>15</v>
      </c>
      <c r="C35" s="118"/>
      <c r="D35" s="22" t="s">
        <v>1351</v>
      </c>
      <c r="E35" s="25"/>
      <c r="F35" s="25"/>
      <c r="G35" s="25"/>
      <c r="H35" s="25"/>
      <c r="I35" s="25"/>
      <c r="J35" s="25"/>
      <c r="K35" s="25"/>
      <c r="L35" s="25"/>
      <c r="M35" s="25"/>
      <c r="N35" s="25"/>
      <c r="O35" s="25"/>
      <c r="P35" s="25"/>
      <c r="Q35" s="26"/>
      <c r="R35" s="22" t="s">
        <v>1373</v>
      </c>
      <c r="S35" s="25"/>
      <c r="T35" s="25"/>
      <c r="U35" s="25"/>
      <c r="V35" s="25"/>
      <c r="W35" s="25"/>
      <c r="X35" s="25"/>
      <c r="Y35" s="25"/>
      <c r="Z35" s="25"/>
      <c r="AA35" s="25"/>
      <c r="AB35" s="26"/>
      <c r="AC35" s="25" t="s">
        <v>1362</v>
      </c>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P35" t="str">
        <f t="shared" si="2"/>
        <v>,`BUILDING` varchar(200)  COMMENT '店舗建物名称'</v>
      </c>
    </row>
    <row r="36" spans="1:68" ht="15" customHeight="1">
      <c r="A36" s="1"/>
      <c r="B36" s="23">
        <f t="shared" si="1"/>
        <v>16</v>
      </c>
      <c r="C36" s="118"/>
      <c r="D36" s="22" t="s">
        <v>1352</v>
      </c>
      <c r="E36" s="25"/>
      <c r="F36" s="25"/>
      <c r="G36" s="25"/>
      <c r="H36" s="25"/>
      <c r="I36" s="25"/>
      <c r="J36" s="25"/>
      <c r="K36" s="25"/>
      <c r="L36" s="25"/>
      <c r="M36" s="25"/>
      <c r="N36" s="25"/>
      <c r="O36" s="25"/>
      <c r="P36" s="25"/>
      <c r="Q36" s="26"/>
      <c r="R36" s="22" t="s">
        <v>1374</v>
      </c>
      <c r="S36" s="25"/>
      <c r="T36" s="25"/>
      <c r="U36" s="25"/>
      <c r="V36" s="25"/>
      <c r="W36" s="25"/>
      <c r="X36" s="25"/>
      <c r="Y36" s="25"/>
      <c r="Z36" s="25"/>
      <c r="AA36" s="25"/>
      <c r="AB36" s="26"/>
      <c r="AC36" s="25" t="s">
        <v>1363</v>
      </c>
      <c r="AD36" s="25"/>
      <c r="AE36" s="25"/>
      <c r="AF36" s="25"/>
      <c r="AG36" s="26"/>
      <c r="AH36" s="22"/>
      <c r="AI36" s="26"/>
      <c r="AJ36" s="22"/>
      <c r="AK36" s="25"/>
      <c r="AL36" s="26"/>
      <c r="AM36" s="22"/>
      <c r="AN36" s="25"/>
      <c r="AO36" s="25"/>
      <c r="AP36" s="25"/>
      <c r="AQ36" s="25"/>
      <c r="AR36" s="25"/>
      <c r="AS36" s="26"/>
      <c r="AT36" s="66"/>
      <c r="AU36" s="67"/>
      <c r="AV36" s="67"/>
      <c r="AW36" s="67"/>
      <c r="AX36" s="67"/>
      <c r="AY36" s="67"/>
      <c r="AZ36" s="67"/>
      <c r="BA36" s="67"/>
      <c r="BB36" s="67"/>
      <c r="BC36" s="67"/>
      <c r="BD36" s="67"/>
      <c r="BE36" s="67"/>
      <c r="BF36" s="67"/>
      <c r="BG36" s="67"/>
      <c r="BH36" s="67"/>
      <c r="BI36" s="67"/>
      <c r="BJ36" s="68"/>
      <c r="BK36" s="4"/>
      <c r="BP36" t="str">
        <f t="shared" si="2"/>
        <v>,`PHONE_NUMBER` varchar(15)  COMMENT '店舗電話番号'</v>
      </c>
    </row>
    <row r="37" spans="1:68" ht="15" customHeight="1">
      <c r="A37" s="1"/>
      <c r="B37" s="23">
        <f t="shared" si="1"/>
        <v>17</v>
      </c>
      <c r="C37" s="118"/>
      <c r="D37" s="22" t="s">
        <v>1353</v>
      </c>
      <c r="E37" s="25"/>
      <c r="F37" s="25"/>
      <c r="G37" s="25"/>
      <c r="H37" s="25"/>
      <c r="I37" s="25"/>
      <c r="J37" s="25"/>
      <c r="K37" s="25"/>
      <c r="L37" s="25"/>
      <c r="M37" s="25"/>
      <c r="N37" s="25"/>
      <c r="O37" s="25"/>
      <c r="P37" s="25"/>
      <c r="Q37" s="26"/>
      <c r="R37" s="22" t="s">
        <v>1375</v>
      </c>
      <c r="S37" s="25"/>
      <c r="T37" s="25"/>
      <c r="U37" s="25"/>
      <c r="V37" s="25"/>
      <c r="W37" s="25"/>
      <c r="X37" s="25"/>
      <c r="Y37" s="25"/>
      <c r="Z37" s="25"/>
      <c r="AA37" s="25"/>
      <c r="AB37" s="26"/>
      <c r="AC37" s="25" t="s">
        <v>1363</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P37" t="str">
        <f t="shared" si="2"/>
        <v>,`FAX_NUMBER` varchar(15)  COMMENT '店舗ＦＡＸ番号'</v>
      </c>
    </row>
    <row r="38" spans="1:68" ht="15" customHeight="1">
      <c r="A38" s="1"/>
      <c r="B38" s="23">
        <f>B35+1</f>
        <v>16</v>
      </c>
      <c r="C38" s="118"/>
      <c r="D38" s="22" t="s">
        <v>1381</v>
      </c>
      <c r="E38" s="25"/>
      <c r="F38" s="25"/>
      <c r="G38" s="25"/>
      <c r="H38" s="25"/>
      <c r="I38" s="25"/>
      <c r="J38" s="25"/>
      <c r="K38" s="25"/>
      <c r="L38" s="25"/>
      <c r="M38" s="25"/>
      <c r="N38" s="25"/>
      <c r="O38" s="25"/>
      <c r="P38" s="25"/>
      <c r="Q38" s="26"/>
      <c r="R38" s="22" t="s">
        <v>1383</v>
      </c>
      <c r="S38" s="25"/>
      <c r="T38" s="25"/>
      <c r="U38" s="25"/>
      <c r="V38" s="25"/>
      <c r="W38" s="25"/>
      <c r="X38" s="25"/>
      <c r="Y38" s="25"/>
      <c r="Z38" s="25"/>
      <c r="AA38" s="25"/>
      <c r="AB38" s="26"/>
      <c r="AC38" s="25" t="s">
        <v>215</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P38" t="str">
        <f t="shared" ref="BP38:BP39" si="3">",`"&amp;R38&amp;"` "&amp;AC38&amp;" "&amp;IF(AJ38="Y","NOT NULL","")&amp;" COMMENT '"&amp;D38&amp;"'"</f>
        <v>,`START_HOURS` char(5)  COMMENT '営業時間(開店)'</v>
      </c>
    </row>
    <row r="39" spans="1:68" ht="15" customHeight="1">
      <c r="A39" s="1"/>
      <c r="B39" s="23">
        <f t="shared" si="1"/>
        <v>17</v>
      </c>
      <c r="C39" s="118"/>
      <c r="D39" s="22" t="s">
        <v>1382</v>
      </c>
      <c r="E39" s="25"/>
      <c r="F39" s="25"/>
      <c r="G39" s="25"/>
      <c r="H39" s="25"/>
      <c r="I39" s="25"/>
      <c r="J39" s="25"/>
      <c r="K39" s="25"/>
      <c r="L39" s="25"/>
      <c r="M39" s="25"/>
      <c r="N39" s="25"/>
      <c r="O39" s="25"/>
      <c r="P39" s="25"/>
      <c r="Q39" s="26"/>
      <c r="R39" s="22" t="s">
        <v>1409</v>
      </c>
      <c r="S39" s="25"/>
      <c r="T39" s="25"/>
      <c r="U39" s="25"/>
      <c r="V39" s="25"/>
      <c r="W39" s="25"/>
      <c r="X39" s="25"/>
      <c r="Y39" s="25"/>
      <c r="Z39" s="25"/>
      <c r="AA39" s="25"/>
      <c r="AB39" s="26"/>
      <c r="AC39" s="25" t="s">
        <v>1385</v>
      </c>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P39" t="str">
        <f t="shared" si="3"/>
        <v>,`END_HOURS` char(5)  COMMENT '営業時間(閉店)'</v>
      </c>
    </row>
    <row r="40" spans="1:68" ht="15" customHeight="1">
      <c r="A40" s="1"/>
      <c r="B40" s="23">
        <f>B37+1</f>
        <v>18</v>
      </c>
      <c r="C40" s="118"/>
      <c r="D40" s="22" t="s">
        <v>1354</v>
      </c>
      <c r="E40" s="25"/>
      <c r="F40" s="25"/>
      <c r="G40" s="25"/>
      <c r="H40" s="25"/>
      <c r="I40" s="25"/>
      <c r="J40" s="25"/>
      <c r="K40" s="25"/>
      <c r="L40" s="25"/>
      <c r="M40" s="25"/>
      <c r="N40" s="25"/>
      <c r="O40" s="25"/>
      <c r="P40" s="25"/>
      <c r="Q40" s="26"/>
      <c r="R40" s="22" t="s">
        <v>1376</v>
      </c>
      <c r="S40" s="25"/>
      <c r="T40" s="25"/>
      <c r="U40" s="25"/>
      <c r="V40" s="25"/>
      <c r="W40" s="25"/>
      <c r="X40" s="25"/>
      <c r="Y40" s="25"/>
      <c r="Z40" s="25"/>
      <c r="AA40" s="25"/>
      <c r="AB40" s="26"/>
      <c r="AC40" s="25" t="s">
        <v>1364</v>
      </c>
      <c r="AD40" s="25"/>
      <c r="AE40" s="25"/>
      <c r="AF40" s="25"/>
      <c r="AG40" s="26"/>
      <c r="AH40" s="22"/>
      <c r="AI40" s="26"/>
      <c r="AJ40" s="22"/>
      <c r="AK40" s="25"/>
      <c r="AL40" s="26"/>
      <c r="AM40" s="22"/>
      <c r="AN40" s="25"/>
      <c r="AO40" s="25"/>
      <c r="AP40" s="25"/>
      <c r="AQ40" s="25"/>
      <c r="AR40" s="25"/>
      <c r="AS40" s="26"/>
      <c r="AT40" s="22" t="s">
        <v>1387</v>
      </c>
      <c r="AU40" s="25"/>
      <c r="AV40" s="25"/>
      <c r="AW40" s="25"/>
      <c r="AX40" s="25"/>
      <c r="AY40" s="25"/>
      <c r="AZ40" s="25"/>
      <c r="BA40" s="25"/>
      <c r="BB40" s="25"/>
      <c r="BC40" s="25"/>
      <c r="BD40" s="25"/>
      <c r="BE40" s="25"/>
      <c r="BF40" s="25"/>
      <c r="BG40" s="25"/>
      <c r="BH40" s="25"/>
      <c r="BI40" s="25"/>
      <c r="BJ40" s="26"/>
      <c r="BK40" s="4"/>
      <c r="BP40" t="str">
        <f t="shared" si="2"/>
        <v>,`BRANCH_SHORT_NAME1` varchar(20)  COMMENT '店舗名略称1'</v>
      </c>
    </row>
    <row r="41" spans="1:68" ht="15" customHeight="1">
      <c r="A41" s="1"/>
      <c r="B41" s="23">
        <f t="shared" si="1"/>
        <v>19</v>
      </c>
      <c r="C41" s="118"/>
      <c r="D41" s="22" t="s">
        <v>1355</v>
      </c>
      <c r="E41" s="25"/>
      <c r="F41" s="25"/>
      <c r="G41" s="25"/>
      <c r="H41" s="25"/>
      <c r="I41" s="25"/>
      <c r="J41" s="25"/>
      <c r="K41" s="25"/>
      <c r="L41" s="25"/>
      <c r="M41" s="25"/>
      <c r="N41" s="25"/>
      <c r="O41" s="25"/>
      <c r="P41" s="25"/>
      <c r="Q41" s="26"/>
      <c r="R41" s="22" t="s">
        <v>1377</v>
      </c>
      <c r="S41" s="25"/>
      <c r="T41" s="25"/>
      <c r="U41" s="25"/>
      <c r="V41" s="25"/>
      <c r="W41" s="25"/>
      <c r="X41" s="25"/>
      <c r="Y41" s="25"/>
      <c r="Z41" s="25"/>
      <c r="AA41" s="25"/>
      <c r="AB41" s="26"/>
      <c r="AC41" s="25" t="s">
        <v>1364</v>
      </c>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P41" t="str">
        <f t="shared" si="2"/>
        <v>,`BRANCH_SHORT_NAME2` varchar(20)  COMMENT '店舗名略称2'</v>
      </c>
    </row>
    <row r="42" spans="1:68" ht="15" customHeight="1">
      <c r="A42" s="1"/>
      <c r="B42" s="23">
        <f t="shared" si="1"/>
        <v>20</v>
      </c>
      <c r="C42" s="118"/>
      <c r="D42" s="22" t="s">
        <v>1356</v>
      </c>
      <c r="E42" s="25"/>
      <c r="F42" s="25"/>
      <c r="G42" s="25"/>
      <c r="H42" s="25"/>
      <c r="I42" s="25"/>
      <c r="J42" s="25"/>
      <c r="K42" s="25"/>
      <c r="L42" s="25"/>
      <c r="M42" s="25"/>
      <c r="N42" s="25"/>
      <c r="O42" s="25"/>
      <c r="P42" s="25"/>
      <c r="Q42" s="26"/>
      <c r="R42" s="22" t="s">
        <v>1378</v>
      </c>
      <c r="S42" s="25"/>
      <c r="T42" s="25"/>
      <c r="U42" s="25"/>
      <c r="V42" s="25"/>
      <c r="W42" s="25"/>
      <c r="X42" s="25"/>
      <c r="Y42" s="25"/>
      <c r="Z42" s="25"/>
      <c r="AA42" s="25"/>
      <c r="AB42" s="26"/>
      <c r="AC42" s="25" t="s">
        <v>1364</v>
      </c>
      <c r="AD42" s="25"/>
      <c r="AE42" s="25"/>
      <c r="AF42" s="25"/>
      <c r="AG42" s="26"/>
      <c r="AH42" s="22"/>
      <c r="AI42" s="26"/>
      <c r="AJ42" s="22"/>
      <c r="AK42" s="25"/>
      <c r="AL42" s="26"/>
      <c r="AM42" s="22"/>
      <c r="AN42" s="25"/>
      <c r="AO42" s="25"/>
      <c r="AP42" s="25"/>
      <c r="AQ42" s="25"/>
      <c r="AR42" s="25"/>
      <c r="AS42" s="26"/>
      <c r="AT42" s="66"/>
      <c r="AU42" s="67"/>
      <c r="AV42" s="67"/>
      <c r="AW42" s="67"/>
      <c r="AX42" s="67"/>
      <c r="AY42" s="67"/>
      <c r="AZ42" s="67"/>
      <c r="BA42" s="67"/>
      <c r="BB42" s="67"/>
      <c r="BC42" s="67"/>
      <c r="BD42" s="67"/>
      <c r="BE42" s="67"/>
      <c r="BF42" s="67"/>
      <c r="BG42" s="67"/>
      <c r="BH42" s="67"/>
      <c r="BI42" s="67"/>
      <c r="BJ42" s="68"/>
      <c r="BK42" s="4"/>
      <c r="BP42" t="str">
        <f t="shared" si="2"/>
        <v>,`BRANCH_SHORT_NAME3` varchar(20)  COMMENT '店舗名略称3'</v>
      </c>
    </row>
    <row r="43" spans="1:68" ht="15" customHeight="1">
      <c r="A43" s="1"/>
      <c r="B43" s="23">
        <f t="shared" si="1"/>
        <v>21</v>
      </c>
      <c r="C43" s="118"/>
      <c r="D43" s="22" t="s">
        <v>1357</v>
      </c>
      <c r="E43" s="25"/>
      <c r="F43" s="25"/>
      <c r="G43" s="25"/>
      <c r="H43" s="25"/>
      <c r="I43" s="25"/>
      <c r="J43" s="25"/>
      <c r="K43" s="25"/>
      <c r="L43" s="25"/>
      <c r="M43" s="25"/>
      <c r="N43" s="25"/>
      <c r="O43" s="25"/>
      <c r="P43" s="25"/>
      <c r="Q43" s="26"/>
      <c r="R43" s="22" t="s">
        <v>1379</v>
      </c>
      <c r="S43" s="25"/>
      <c r="T43" s="25"/>
      <c r="U43" s="25"/>
      <c r="V43" s="25"/>
      <c r="W43" s="25"/>
      <c r="X43" s="25"/>
      <c r="Y43" s="25"/>
      <c r="Z43" s="25"/>
      <c r="AA43" s="25"/>
      <c r="AB43" s="26"/>
      <c r="AC43" s="25" t="s">
        <v>1364</v>
      </c>
      <c r="AD43" s="25"/>
      <c r="AE43" s="25"/>
      <c r="AF43" s="25"/>
      <c r="AG43" s="26"/>
      <c r="AH43" s="22"/>
      <c r="AI43" s="26"/>
      <c r="AJ43" s="22"/>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c r="BP43" t="str">
        <f t="shared" si="2"/>
        <v>,`BRANCH_SHORT_NAME4` varchar(20)  COMMENT '店舗名略称4'</v>
      </c>
    </row>
    <row r="44" spans="1:68" ht="15" customHeight="1">
      <c r="A44" s="1"/>
      <c r="B44" s="23">
        <f t="shared" si="1"/>
        <v>22</v>
      </c>
      <c r="C44" s="118"/>
      <c r="D44" s="22" t="s">
        <v>1358</v>
      </c>
      <c r="E44" s="25"/>
      <c r="F44" s="25"/>
      <c r="G44" s="25"/>
      <c r="H44" s="25"/>
      <c r="I44" s="25"/>
      <c r="J44" s="25"/>
      <c r="K44" s="25"/>
      <c r="L44" s="25"/>
      <c r="M44" s="25"/>
      <c r="N44" s="25"/>
      <c r="O44" s="25"/>
      <c r="P44" s="25"/>
      <c r="Q44" s="26"/>
      <c r="R44" s="22" t="s">
        <v>1380</v>
      </c>
      <c r="S44" s="25"/>
      <c r="T44" s="25"/>
      <c r="U44" s="25"/>
      <c r="V44" s="25"/>
      <c r="W44" s="25"/>
      <c r="X44" s="25"/>
      <c r="Y44" s="25"/>
      <c r="Z44" s="25"/>
      <c r="AA44" s="25"/>
      <c r="AB44" s="26"/>
      <c r="AC44" s="25" t="s">
        <v>1364</v>
      </c>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c r="BP44" t="str">
        <f t="shared" si="2"/>
        <v>,`BRANCH_SHORT_NAME5` varchar(20)  COMMENT '店舗名略称5'</v>
      </c>
    </row>
    <row r="45" spans="1:68" ht="15" customHeight="1">
      <c r="A45" s="1"/>
      <c r="BK45" s="4"/>
      <c r="BP4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(`COMPANY_CODE`,`STORE_CODE`),</v>
      </c>
    </row>
    <row r="46" spans="1:68" ht="15" customHeight="1">
      <c r="A46" s="1"/>
      <c r="BK46" s="4"/>
      <c r="BP46" s="97" t="s">
        <v>452</v>
      </c>
    </row>
    <row r="47" spans="1:68" ht="15" customHeight="1">
      <c r="A47" s="1"/>
      <c r="BK47" s="4"/>
      <c r="BP47" s="97" t="str">
        <f>") ENGINE=InnoDB DEFAULT CHARSET=utf8mb4 COLLATE=utf8mb4_0900_ai_ci COMMENT = '"&amp;$G$9&amp;"';"</f>
        <v>) ENGINE=InnoDB DEFAULT CHARSET=utf8mb4 COLLATE=utf8mb4_0900_ai_ci COMMENT = '店舗マスタ';</v>
      </c>
    </row>
    <row r="48" spans="1:68" ht="15" customHeight="1">
      <c r="A48" s="1"/>
      <c r="BK48" s="4"/>
      <c r="BP48" s="97"/>
    </row>
    <row r="49" spans="1:68" ht="15" customHeight="1">
      <c r="A49" s="1"/>
      <c r="BK49" s="4"/>
      <c r="BP49" s="97" t="str">
        <f>"CREATE TRIGGER `"&amp;$G$8&amp;"`.`"&amp;$G$10&amp;"_CR_Date_Time` BEFORE INSERT ON `"&amp;$G$10&amp;"` FOR EACH ROW SET NEW.record_create_date = CURRENT_DATE, NEW.record_create_time = CURRENT_TIME, NEW.record_update_date = CURRENT_DATE, NEW.record_update_time = CURRENT_TIME;"</f>
        <v>CREATE TRIGGER `POS_MASTER`.`branch_master_CR_Date_Time` BEFORE INSERT ON `branch_master` FOR EACH ROW SET NEW.record_create_date = CURRENT_DATE, NEW.record_create_time = CURRENT_TIME, NEW.record_update_date = CURRENT_DATE, NEW.record_update_time = CURRENT_TIME;</v>
      </c>
    </row>
    <row r="50" spans="1:68" ht="15" customHeight="1">
      <c r="A50" s="1"/>
      <c r="BK50" s="4"/>
      <c r="BP50" s="97" t="str">
        <f>"CREATE TRIGGER `"&amp;$G$8&amp;"`.`"&amp;$G$10&amp;"_UP_Date_Time` BEFORE UPDATE ON `"&amp;$G$10&amp;"` FOR EACH ROW SET NEW.record_update_date = CURRENT_DATE, NEW.record_update_time = CURRENT_TIME;"</f>
        <v>CREATE TRIGGER `POS_MASTER`.`branch_master_UP_Date_Time` BEFORE UPDATE ON `branch_master` FOR EACH ROW SET NEW.record_update_date = CURRENT_DATE, NEW.record_update_time = CURRENT_TIME;</v>
      </c>
    </row>
    <row r="51" spans="1:68" ht="15" customHeight="1">
      <c r="A51" s="1"/>
      <c r="BK51" s="4"/>
    </row>
    <row r="52" spans="1:68" ht="15" customHeight="1">
      <c r="A52" s="1"/>
      <c r="BK52" s="4"/>
    </row>
    <row r="53" spans="1:68" ht="15" customHeight="1">
      <c r="A53" s="1"/>
      <c r="BK53" s="4"/>
    </row>
    <row r="54" spans="1:68" ht="15" customHeight="1">
      <c r="A54" s="1"/>
      <c r="BK54" s="4"/>
    </row>
    <row r="55" spans="1:68" ht="15" customHeight="1">
      <c r="A55" s="1"/>
      <c r="BK55" s="4"/>
    </row>
    <row r="56" spans="1:68" ht="15" customHeight="1">
      <c r="A56" s="1"/>
      <c r="BK56" s="4"/>
    </row>
    <row r="57" spans="1:68" ht="15" customHeight="1">
      <c r="A57" s="2"/>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5"/>
    </row>
    <row r="58" spans="1:68" ht="15" customHeight="1"/>
    <row r="59" spans="1:68" ht="15" customHeight="1"/>
    <row r="60" spans="1:68" ht="15" customHeight="1"/>
    <row r="61" spans="1:68" ht="15" customHeight="1"/>
    <row r="106" ht="15" customHeight="1"/>
    <row r="107" ht="15" customHeight="1"/>
    <row r="108" ht="15" customHeight="1"/>
    <row r="109" ht="15" customHeight="1"/>
    <row r="110" ht="15" customHeight="1"/>
    <row r="111" ht="15" customHeight="1"/>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0" orientation="landscape" horizontalDpi="300" r:id="rId1"/>
  <headerFooter>
    <oddHeader>&amp;R&amp;F</oddHeader>
    <oddFooter>&amp;C&amp;P / &amp;N ページ</oddFoot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C04D8-D8CD-4E3C-B049-06AF0632080A}">
  <dimension ref="A1:BP210"/>
  <sheetViews>
    <sheetView view="pageBreakPreview" topLeftCell="A4" zoomScale="80" zoomScaleNormal="75" zoomScaleSheetLayoutView="80" workbookViewId="0">
      <selection activeCell="BP96" sqref="BP19:BP96"/>
    </sheetView>
  </sheetViews>
  <sheetFormatPr defaultRowHeight="15.75"/>
  <cols>
    <col min="1" max="67" width="2.77734375" customWidth="1"/>
  </cols>
  <sheetData>
    <row r="1" spans="1:63" ht="24.95" customHeight="1">
      <c r="A1" s="238" t="s">
        <v>1003</v>
      </c>
      <c r="B1" s="239"/>
      <c r="C1" s="239"/>
      <c r="D1" s="239"/>
      <c r="E1" s="239"/>
      <c r="F1" s="239"/>
      <c r="G1" s="239"/>
      <c r="H1" s="239"/>
      <c r="I1" s="239"/>
      <c r="J1" s="240"/>
      <c r="K1" s="238" t="s">
        <v>1004</v>
      </c>
      <c r="L1" s="239"/>
      <c r="M1" s="239"/>
      <c r="N1" s="239"/>
      <c r="O1" s="239"/>
      <c r="P1" s="239"/>
      <c r="Q1" s="239"/>
      <c r="R1" s="239"/>
      <c r="S1" s="239"/>
      <c r="T1" s="239"/>
      <c r="U1" s="239"/>
      <c r="V1" s="240"/>
      <c r="W1" s="247" t="s">
        <v>1412</v>
      </c>
      <c r="X1" s="248"/>
      <c r="Y1" s="248"/>
      <c r="Z1" s="248"/>
      <c r="AA1" s="248"/>
      <c r="AB1" s="248"/>
      <c r="AC1" s="248"/>
      <c r="AD1" s="248"/>
      <c r="AE1" s="248"/>
      <c r="AF1" s="248"/>
      <c r="AG1" s="248"/>
      <c r="AH1" s="248"/>
      <c r="AI1" s="248"/>
      <c r="AJ1" s="248"/>
      <c r="AK1" s="248"/>
      <c r="AL1" s="248"/>
      <c r="AM1" s="248"/>
      <c r="AN1" s="248"/>
      <c r="AO1" s="249"/>
      <c r="AP1" s="238" t="s">
        <v>1005</v>
      </c>
      <c r="AQ1" s="239"/>
      <c r="AR1" s="239"/>
      <c r="AS1" s="240"/>
      <c r="AT1" s="238" t="s">
        <v>1006</v>
      </c>
      <c r="AU1" s="239"/>
      <c r="AV1" s="239"/>
      <c r="AW1" s="239"/>
      <c r="AX1" s="240"/>
      <c r="AY1" s="238" t="s">
        <v>1007</v>
      </c>
      <c r="AZ1" s="239"/>
      <c r="BA1" s="239"/>
      <c r="BB1" s="240"/>
      <c r="BC1" s="238" t="s">
        <v>1008</v>
      </c>
      <c r="BD1" s="239"/>
      <c r="BE1" s="239"/>
      <c r="BF1" s="239"/>
      <c r="BG1" s="240"/>
      <c r="BH1" s="238" t="s">
        <v>1009</v>
      </c>
      <c r="BI1" s="239"/>
      <c r="BJ1" s="239"/>
      <c r="BK1" s="240"/>
    </row>
    <row r="2" spans="1:63" ht="15" customHeight="1">
      <c r="A2" s="241" t="s">
        <v>15</v>
      </c>
      <c r="B2" s="242"/>
      <c r="C2" s="242"/>
      <c r="D2" s="242"/>
      <c r="E2" s="242"/>
      <c r="F2" s="242"/>
      <c r="G2" s="242"/>
      <c r="H2" s="242"/>
      <c r="I2" s="242"/>
      <c r="J2" s="243"/>
      <c r="K2" s="241" t="s">
        <v>1413</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
        <v>1414</v>
      </c>
      <c r="AQ2" s="242"/>
      <c r="AR2" s="242"/>
      <c r="AS2" s="243"/>
      <c r="AT2" s="262">
        <v>44888</v>
      </c>
      <c r="AU2" s="263"/>
      <c r="AV2" s="263"/>
      <c r="AW2" s="263"/>
      <c r="AX2" s="264"/>
      <c r="AY2" s="241" t="s">
        <v>1415</v>
      </c>
      <c r="AZ2" s="242"/>
      <c r="BA2" s="242"/>
      <c r="BB2" s="243"/>
      <c r="BC2" s="262">
        <v>45133</v>
      </c>
      <c r="BD2" s="263"/>
      <c r="BE2" s="263"/>
      <c r="BF2" s="263"/>
      <c r="BG2" s="264"/>
      <c r="BH2" s="256">
        <v>1.34</v>
      </c>
      <c r="BI2" s="257"/>
      <c r="BJ2" s="257"/>
      <c r="BK2" s="258"/>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59"/>
      <c r="BI3" s="260"/>
      <c r="BJ3" s="260"/>
      <c r="BK3" s="261"/>
    </row>
    <row r="4" spans="1:63" ht="24.95" customHeight="1">
      <c r="A4" s="238" t="s">
        <v>1010</v>
      </c>
      <c r="B4" s="239"/>
      <c r="C4" s="239"/>
      <c r="D4" s="239"/>
      <c r="E4" s="239"/>
      <c r="F4" s="239"/>
      <c r="G4" s="240"/>
      <c r="H4" s="235" t="s">
        <v>1416</v>
      </c>
      <c r="I4" s="236"/>
      <c r="J4" s="236"/>
      <c r="K4" s="236"/>
      <c r="L4" s="236"/>
      <c r="M4" s="236"/>
      <c r="N4" s="236"/>
      <c r="O4" s="236"/>
      <c r="P4" s="236"/>
      <c r="Q4" s="236"/>
      <c r="R4" s="236"/>
      <c r="S4" s="236"/>
      <c r="T4" s="237"/>
      <c r="U4" s="238" t="s">
        <v>1011</v>
      </c>
      <c r="V4" s="239"/>
      <c r="W4" s="239"/>
      <c r="X4" s="239"/>
      <c r="Y4" s="240"/>
      <c r="Z4" s="235" t="s">
        <v>1417</v>
      </c>
      <c r="AA4" s="236"/>
      <c r="AB4" s="236"/>
      <c r="AC4" s="236"/>
      <c r="AD4" s="236"/>
      <c r="AE4" s="236"/>
      <c r="AF4" s="236"/>
      <c r="AG4" s="236"/>
      <c r="AH4" s="236"/>
      <c r="AI4" s="236"/>
      <c r="AJ4" s="236"/>
      <c r="AK4" s="236"/>
      <c r="AL4" s="236"/>
      <c r="AM4" s="236"/>
      <c r="AN4" s="236"/>
      <c r="AO4" s="237"/>
      <c r="AP4" s="235" t="s">
        <v>1012</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292" t="s">
        <v>43</v>
      </c>
      <c r="C8" s="293"/>
      <c r="D8" s="293"/>
      <c r="E8" s="293"/>
      <c r="F8" s="294"/>
      <c r="G8" s="295" t="s">
        <v>1341</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row>
    <row r="9" spans="1:63" ht="15" customHeight="1">
      <c r="A9" s="1"/>
      <c r="B9" s="301" t="s">
        <v>45</v>
      </c>
      <c r="C9" s="302"/>
      <c r="D9" s="302"/>
      <c r="E9" s="302"/>
      <c r="F9" s="303"/>
      <c r="G9" s="304" t="s">
        <v>1013</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row>
    <row r="10" spans="1:63" ht="15" customHeight="1">
      <c r="A10" s="1"/>
      <c r="B10" s="310" t="s">
        <v>47</v>
      </c>
      <c r="C10" s="311"/>
      <c r="D10" s="311"/>
      <c r="E10" s="311"/>
      <c r="F10" s="312"/>
      <c r="G10" s="298" t="s">
        <v>1014</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row>
    <row r="11" spans="1:63"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row>
    <row r="12" spans="1:63" ht="15" customHeight="1">
      <c r="A12" s="1"/>
      <c r="B12" s="295" t="s">
        <v>1015</v>
      </c>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row>
    <row r="13" spans="1:63" ht="15" customHeight="1">
      <c r="A13" s="1"/>
      <c r="B13" s="304" t="s">
        <v>1016</v>
      </c>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row>
    <row r="14" spans="1:63" ht="15" customHeight="1">
      <c r="A14" s="1"/>
      <c r="B14" s="304" t="s">
        <v>1017</v>
      </c>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row>
    <row r="15" spans="1:63" ht="15" customHeight="1">
      <c r="A15" s="1"/>
      <c r="B15" s="304" t="s">
        <v>1018</v>
      </c>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row>
    <row r="16" spans="1:63"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row>
    <row r="17" spans="1:68" ht="15" customHeight="1">
      <c r="A17" s="1"/>
      <c r="BK17" s="4"/>
    </row>
    <row r="18" spans="1:68" ht="15" customHeight="1">
      <c r="A18" s="1"/>
      <c r="BK18" s="4"/>
    </row>
    <row r="19" spans="1:68" ht="15" customHeight="1">
      <c r="A19" s="1"/>
      <c r="B19" t="s">
        <v>21</v>
      </c>
      <c r="BK19" s="4"/>
      <c r="BP19" s="97" t="str">
        <f>"DROP TABLE IF EXISTS `"&amp;$G$8&amp;"`.`"&amp;$G$10&amp;"`;"</f>
        <v>DROP TABLE IF EXISTS `Pos_device`.`PosDeviceSetting`;</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`Pos_device`.`PosDeviceSetting` (</v>
      </c>
    </row>
    <row r="21" spans="1:68"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961</v>
      </c>
    </row>
    <row r="22" spans="1:68"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959</v>
      </c>
    </row>
    <row r="23" spans="1:68"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957</v>
      </c>
    </row>
    <row r="24" spans="1:68"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955</v>
      </c>
    </row>
    <row r="25" spans="1:68"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953</v>
      </c>
    </row>
    <row r="26" spans="1:68" ht="15" customHeight="1">
      <c r="A26" s="1"/>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951</v>
      </c>
    </row>
    <row r="27" spans="1:68" ht="15" customHeight="1">
      <c r="A27" s="1"/>
      <c r="B27" s="62">
        <v>7</v>
      </c>
      <c r="C27" s="63"/>
      <c r="D27" s="21" t="s">
        <v>340</v>
      </c>
      <c r="E27" s="64"/>
      <c r="F27" s="64"/>
      <c r="G27" s="64"/>
      <c r="H27" s="64"/>
      <c r="I27" s="64"/>
      <c r="J27" s="64"/>
      <c r="K27" s="64"/>
      <c r="L27" s="64"/>
      <c r="M27" s="64"/>
      <c r="N27" s="64"/>
      <c r="O27" s="64"/>
      <c r="P27" s="64"/>
      <c r="Q27" s="65"/>
      <c r="R27" s="21" t="s">
        <v>319</v>
      </c>
      <c r="S27" s="64"/>
      <c r="T27" s="64"/>
      <c r="U27" s="64"/>
      <c r="V27" s="64"/>
      <c r="W27" s="64"/>
      <c r="X27" s="64"/>
      <c r="Y27" s="64"/>
      <c r="Z27" s="64"/>
      <c r="AA27" s="64"/>
      <c r="AB27" s="65"/>
      <c r="AC27" s="22" t="s">
        <v>1298</v>
      </c>
      <c r="AD27" s="64"/>
      <c r="AE27" s="64"/>
      <c r="AF27" s="64"/>
      <c r="AG27" s="65"/>
      <c r="AH27" s="21">
        <v>1</v>
      </c>
      <c r="AI27" s="65"/>
      <c r="AJ27" s="21"/>
      <c r="AK27" s="64"/>
      <c r="AL27" s="65"/>
      <c r="AM27" s="21"/>
      <c r="AN27" s="64"/>
      <c r="AO27" s="64"/>
      <c r="AP27" s="64"/>
      <c r="AQ27" s="64"/>
      <c r="AR27" s="64"/>
      <c r="AS27" s="65"/>
      <c r="AT27" s="21" t="s">
        <v>1021</v>
      </c>
      <c r="AU27" s="64"/>
      <c r="AV27" s="64"/>
      <c r="AW27" s="64"/>
      <c r="AX27" s="64"/>
      <c r="AY27" s="64"/>
      <c r="AZ27" s="64"/>
      <c r="BA27" s="64"/>
      <c r="BB27" s="64"/>
      <c r="BC27" s="64"/>
      <c r="BD27" s="64"/>
      <c r="BE27" s="64"/>
      <c r="BF27" s="64"/>
      <c r="BG27" s="64"/>
      <c r="BH27" s="64"/>
      <c r="BI27" s="64"/>
      <c r="BJ27" s="65"/>
      <c r="BK27" s="4"/>
      <c r="BP27" t="str">
        <f>",`"&amp;R27&amp;"` "&amp;AC27&amp;" "&amp;IF(AJ27="Y","NOT NULL","")&amp;" COMMENT '"&amp;D27&amp;"'"</f>
        <v>,`company_code` varchar(10)  COMMENT '企業コード'</v>
      </c>
    </row>
    <row r="28" spans="1:68" ht="15" customHeight="1">
      <c r="A28" s="1"/>
      <c r="B28" s="23">
        <f t="shared" ref="B28:B86" si="1">B27+1</f>
        <v>8</v>
      </c>
      <c r="C28" s="24"/>
      <c r="D28" s="22" t="s">
        <v>341</v>
      </c>
      <c r="E28" s="25"/>
      <c r="F28" s="25"/>
      <c r="G28" s="25"/>
      <c r="H28" s="25"/>
      <c r="I28" s="25"/>
      <c r="J28" s="25"/>
      <c r="K28" s="25"/>
      <c r="L28" s="25"/>
      <c r="M28" s="25"/>
      <c r="N28" s="25"/>
      <c r="O28" s="25"/>
      <c r="P28" s="25"/>
      <c r="Q28" s="26"/>
      <c r="R28" s="22" t="s">
        <v>320</v>
      </c>
      <c r="S28" s="25"/>
      <c r="T28" s="25"/>
      <c r="U28" s="25"/>
      <c r="V28" s="25"/>
      <c r="W28" s="25"/>
      <c r="X28" s="25"/>
      <c r="Y28" s="25"/>
      <c r="Z28" s="25"/>
      <c r="AA28" s="25"/>
      <c r="AB28" s="26"/>
      <c r="AC28" s="22" t="s">
        <v>1298</v>
      </c>
      <c r="AD28" s="25"/>
      <c r="AE28" s="25"/>
      <c r="AF28" s="25"/>
      <c r="AG28" s="26"/>
      <c r="AH28" s="22">
        <v>2</v>
      </c>
      <c r="AI28" s="26"/>
      <c r="AJ28" s="22"/>
      <c r="AK28" s="25"/>
      <c r="AL28" s="26"/>
      <c r="AM28" s="22"/>
      <c r="AN28" s="25"/>
      <c r="AO28" s="25"/>
      <c r="AP28" s="25"/>
      <c r="AQ28" s="25"/>
      <c r="AR28" s="25"/>
      <c r="AS28" s="26"/>
      <c r="AT28" s="22" t="s">
        <v>1022</v>
      </c>
      <c r="AU28" s="25"/>
      <c r="AV28" s="25"/>
      <c r="AW28" s="25"/>
      <c r="AX28" s="25"/>
      <c r="AY28" s="25"/>
      <c r="AZ28" s="25"/>
      <c r="BA28" s="25"/>
      <c r="BB28" s="25"/>
      <c r="BC28" s="25"/>
      <c r="BD28" s="25"/>
      <c r="BE28" s="25"/>
      <c r="BF28" s="25"/>
      <c r="BG28" s="25"/>
      <c r="BH28" s="25"/>
      <c r="BI28" s="25"/>
      <c r="BJ28" s="26"/>
      <c r="BK28" s="4"/>
      <c r="BP28" t="str">
        <f t="shared" ref="BP28:BP90" si="2">",`"&amp;R28&amp;"` "&amp;AC28&amp;" "&amp;IF(AJ28="Y","NOT NULL","")&amp;" COMMENT '"&amp;D28&amp;"'"</f>
        <v>,`store_code` varchar(10)  COMMENT '店舗コード'</v>
      </c>
    </row>
    <row r="29" spans="1:68" ht="15" customHeight="1">
      <c r="A29" s="1"/>
      <c r="B29" s="107">
        <f t="shared" si="1"/>
        <v>9</v>
      </c>
      <c r="C29" s="108"/>
      <c r="D29" s="109" t="s">
        <v>1023</v>
      </c>
      <c r="E29" s="110"/>
      <c r="F29" s="110"/>
      <c r="G29" s="110"/>
      <c r="H29" s="110"/>
      <c r="I29" s="110"/>
      <c r="J29" s="110"/>
      <c r="K29" s="110"/>
      <c r="L29" s="110"/>
      <c r="M29" s="110"/>
      <c r="N29" s="110"/>
      <c r="O29" s="110"/>
      <c r="P29" s="110"/>
      <c r="Q29" s="111"/>
      <c r="R29" s="109" t="s">
        <v>321</v>
      </c>
      <c r="S29" s="110"/>
      <c r="T29" s="110"/>
      <c r="U29" s="110"/>
      <c r="V29" s="110"/>
      <c r="W29" s="110"/>
      <c r="X29" s="110"/>
      <c r="Y29" s="110"/>
      <c r="Z29" s="110"/>
      <c r="AA29" s="110"/>
      <c r="AB29" s="111"/>
      <c r="AC29" s="109" t="s">
        <v>1298</v>
      </c>
      <c r="AD29" s="110"/>
      <c r="AE29" s="110"/>
      <c r="AF29" s="110"/>
      <c r="AG29" s="111"/>
      <c r="AH29" s="109">
        <v>3</v>
      </c>
      <c r="AI29" s="111"/>
      <c r="AJ29" s="109"/>
      <c r="AK29" s="110"/>
      <c r="AL29" s="111"/>
      <c r="AM29" s="109"/>
      <c r="AN29" s="110"/>
      <c r="AO29" s="110"/>
      <c r="AP29" s="110"/>
      <c r="AQ29" s="110"/>
      <c r="AR29" s="110"/>
      <c r="AS29" s="111"/>
      <c r="AT29" s="109" t="s">
        <v>1024</v>
      </c>
      <c r="AU29" s="110"/>
      <c r="AV29" s="110"/>
      <c r="AW29" s="110"/>
      <c r="AX29" s="110"/>
      <c r="AY29" s="110"/>
      <c r="AZ29" s="110"/>
      <c r="BA29" s="110"/>
      <c r="BB29" s="110"/>
      <c r="BC29" s="110"/>
      <c r="BD29" s="110"/>
      <c r="BE29" s="110"/>
      <c r="BF29" s="110"/>
      <c r="BG29" s="110"/>
      <c r="BH29" s="110"/>
      <c r="BI29" s="110"/>
      <c r="BJ29" s="111"/>
      <c r="BK29" s="4"/>
      <c r="BP29" t="str">
        <f t="shared" si="2"/>
        <v>,`instore_code` varchar(10)  COMMENT 'レジ番号'</v>
      </c>
    </row>
    <row r="30" spans="1:68" ht="15" customHeight="1">
      <c r="A30" s="1"/>
      <c r="B30" s="112">
        <f t="shared" si="1"/>
        <v>10</v>
      </c>
      <c r="C30" s="113"/>
      <c r="D30" s="38" t="s">
        <v>307</v>
      </c>
      <c r="E30" s="40"/>
      <c r="F30" s="40"/>
      <c r="G30" s="40"/>
      <c r="H30" s="40"/>
      <c r="I30" s="40"/>
      <c r="J30" s="40"/>
      <c r="K30" s="40"/>
      <c r="L30" s="40"/>
      <c r="M30" s="40"/>
      <c r="N30" s="40"/>
      <c r="O30" s="40"/>
      <c r="P30" s="40"/>
      <c r="Q30" s="39"/>
      <c r="R30" s="38" t="s">
        <v>1025</v>
      </c>
      <c r="S30" s="40"/>
      <c r="T30" s="40"/>
      <c r="U30" s="40"/>
      <c r="V30" s="40"/>
      <c r="W30" s="40"/>
      <c r="X30" s="40"/>
      <c r="Y30" s="40"/>
      <c r="Z30" s="40"/>
      <c r="AA30" s="40"/>
      <c r="AB30" s="39"/>
      <c r="AC30" s="38" t="s">
        <v>1026</v>
      </c>
      <c r="AD30" s="40"/>
      <c r="AE30" s="40"/>
      <c r="AF30" s="40"/>
      <c r="AG30" s="39"/>
      <c r="AH30" s="38"/>
      <c r="AI30" s="39"/>
      <c r="AJ30" s="38"/>
      <c r="AK30" s="40"/>
      <c r="AL30" s="39"/>
      <c r="AM30" s="38"/>
      <c r="AN30" s="40"/>
      <c r="AO30" s="40"/>
      <c r="AP30" s="40"/>
      <c r="AQ30" s="40"/>
      <c r="AR30" s="40"/>
      <c r="AS30" s="39"/>
      <c r="AT30" s="38" t="s">
        <v>1027</v>
      </c>
      <c r="AU30" s="40"/>
      <c r="AV30" s="40"/>
      <c r="AW30" s="40"/>
      <c r="AX30" s="40"/>
      <c r="AY30" s="40"/>
      <c r="AZ30" s="40"/>
      <c r="BA30" s="40"/>
      <c r="BB30" s="40"/>
      <c r="BC30" s="40"/>
      <c r="BD30" s="40"/>
      <c r="BE30" s="40"/>
      <c r="BF30" s="40"/>
      <c r="BG30" s="40"/>
      <c r="BH30" s="40"/>
      <c r="BI30" s="40"/>
      <c r="BJ30" s="39"/>
      <c r="BK30" s="4"/>
      <c r="BP30" t="str">
        <f t="shared" si="2"/>
        <v>,`device_class` INTEGER  COMMENT '区分'</v>
      </c>
    </row>
    <row r="31" spans="1:68" ht="15" customHeight="1">
      <c r="A31" s="1"/>
      <c r="B31" s="62">
        <f t="shared" si="1"/>
        <v>11</v>
      </c>
      <c r="C31" s="114"/>
      <c r="D31" s="21" t="s">
        <v>1028</v>
      </c>
      <c r="E31" s="64"/>
      <c r="F31" s="64"/>
      <c r="G31" s="64"/>
      <c r="H31" s="64"/>
      <c r="I31" s="64"/>
      <c r="J31" s="64"/>
      <c r="K31" s="64"/>
      <c r="L31" s="64"/>
      <c r="M31" s="64"/>
      <c r="N31" s="64"/>
      <c r="O31" s="64"/>
      <c r="P31" s="64"/>
      <c r="Q31" s="65"/>
      <c r="R31" s="21" t="s">
        <v>1029</v>
      </c>
      <c r="S31" s="64"/>
      <c r="T31" s="64"/>
      <c r="U31" s="64"/>
      <c r="V31" s="64"/>
      <c r="W31" s="64"/>
      <c r="X31" s="64"/>
      <c r="Y31" s="64"/>
      <c r="Z31" s="64"/>
      <c r="AA31" s="64"/>
      <c r="AB31" s="65"/>
      <c r="AC31" s="64" t="s">
        <v>1026</v>
      </c>
      <c r="AD31" s="64"/>
      <c r="AE31" s="64"/>
      <c r="AF31" s="64"/>
      <c r="AG31" s="65"/>
      <c r="AH31" s="21"/>
      <c r="AI31" s="65"/>
      <c r="AJ31" s="21" t="s">
        <v>1020</v>
      </c>
      <c r="AK31" s="64"/>
      <c r="AL31" s="65"/>
      <c r="AM31" s="115" t="s">
        <v>1030</v>
      </c>
      <c r="AN31" s="116"/>
      <c r="AO31" s="116"/>
      <c r="AP31" s="116"/>
      <c r="AQ31" s="116"/>
      <c r="AR31" s="116"/>
      <c r="AS31" s="117"/>
      <c r="AT31" s="21" t="s">
        <v>1031</v>
      </c>
      <c r="AU31" s="64"/>
      <c r="AV31" s="64"/>
      <c r="AW31" s="64"/>
      <c r="AX31" s="64"/>
      <c r="AY31" s="64"/>
      <c r="AZ31" s="64"/>
      <c r="BA31" s="64"/>
      <c r="BB31" s="64"/>
      <c r="BC31" s="64"/>
      <c r="BD31" s="64"/>
      <c r="BE31" s="64"/>
      <c r="BF31" s="64"/>
      <c r="BG31" s="64"/>
      <c r="BH31" s="64"/>
      <c r="BI31" s="64"/>
      <c r="BJ31" s="65"/>
      <c r="BK31" s="4"/>
      <c r="BP31" t="str">
        <f t="shared" si="2"/>
        <v>,`service_class01` INTEGER  COMMENT 'サービス種別1(Scan&amp;Go)'</v>
      </c>
    </row>
    <row r="32" spans="1:68" ht="15" customHeight="1">
      <c r="A32" s="1"/>
      <c r="B32" s="23">
        <f t="shared" si="1"/>
        <v>12</v>
      </c>
      <c r="C32" s="118"/>
      <c r="D32" s="22" t="s">
        <v>1032</v>
      </c>
      <c r="E32" s="25"/>
      <c r="F32" s="25"/>
      <c r="G32" s="25"/>
      <c r="H32" s="25"/>
      <c r="I32" s="25"/>
      <c r="J32" s="25"/>
      <c r="K32" s="25"/>
      <c r="L32" s="25"/>
      <c r="M32" s="25"/>
      <c r="N32" s="25"/>
      <c r="O32" s="25"/>
      <c r="P32" s="25"/>
      <c r="Q32" s="26"/>
      <c r="R32" s="22" t="s">
        <v>1033</v>
      </c>
      <c r="S32" s="25"/>
      <c r="T32" s="25"/>
      <c r="U32" s="25"/>
      <c r="V32" s="25"/>
      <c r="W32" s="25"/>
      <c r="X32" s="25"/>
      <c r="Y32" s="25"/>
      <c r="Z32" s="25"/>
      <c r="AA32" s="25"/>
      <c r="AB32" s="26"/>
      <c r="AC32" s="25" t="s">
        <v>1034</v>
      </c>
      <c r="AD32" s="25"/>
      <c r="AE32" s="25"/>
      <c r="AF32" s="25"/>
      <c r="AG32" s="26"/>
      <c r="AH32" s="22"/>
      <c r="AI32" s="26"/>
      <c r="AJ32" s="22" t="s">
        <v>1020</v>
      </c>
      <c r="AK32" s="25"/>
      <c r="AL32" s="26"/>
      <c r="AM32" s="22" t="s">
        <v>1035</v>
      </c>
      <c r="AN32" s="25"/>
      <c r="AO32" s="25"/>
      <c r="AP32" s="25"/>
      <c r="AQ32" s="25"/>
      <c r="AR32" s="25"/>
      <c r="AS32" s="26"/>
      <c r="AT32" s="22" t="s">
        <v>1036</v>
      </c>
      <c r="AU32" s="25"/>
      <c r="AV32" s="25"/>
      <c r="AW32" s="25"/>
      <c r="AX32" s="25"/>
      <c r="AY32" s="25"/>
      <c r="AZ32" s="25"/>
      <c r="BA32" s="25"/>
      <c r="BB32" s="25"/>
      <c r="BC32" s="25"/>
      <c r="BD32" s="25"/>
      <c r="BE32" s="25"/>
      <c r="BF32" s="25"/>
      <c r="BG32" s="25"/>
      <c r="BH32" s="25"/>
      <c r="BI32" s="25"/>
      <c r="BJ32" s="26"/>
      <c r="BK32" s="4"/>
      <c r="BP32" t="str">
        <f t="shared" si="2"/>
        <v>,`service_class02` INTEGER  COMMENT 'サービス種別2(手動登録)'</v>
      </c>
    </row>
    <row r="33" spans="1:68" ht="15" customHeight="1">
      <c r="A33" s="1"/>
      <c r="B33" s="23">
        <f t="shared" si="1"/>
        <v>13</v>
      </c>
      <c r="C33" s="118"/>
      <c r="D33" s="22" t="s">
        <v>1037</v>
      </c>
      <c r="E33" s="25"/>
      <c r="F33" s="25"/>
      <c r="G33" s="25"/>
      <c r="H33" s="25"/>
      <c r="I33" s="25"/>
      <c r="J33" s="25"/>
      <c r="K33" s="25"/>
      <c r="L33" s="25"/>
      <c r="M33" s="25"/>
      <c r="N33" s="25"/>
      <c r="O33" s="25"/>
      <c r="P33" s="25"/>
      <c r="Q33" s="26"/>
      <c r="R33" s="22" t="s">
        <v>1038</v>
      </c>
      <c r="S33" s="25"/>
      <c r="T33" s="25"/>
      <c r="U33" s="25"/>
      <c r="V33" s="25"/>
      <c r="W33" s="25"/>
      <c r="X33" s="25"/>
      <c r="Y33" s="25"/>
      <c r="Z33" s="25"/>
      <c r="AA33" s="25"/>
      <c r="AB33" s="26"/>
      <c r="AC33" s="25" t="s">
        <v>1034</v>
      </c>
      <c r="AD33" s="25"/>
      <c r="AE33" s="25"/>
      <c r="AF33" s="25"/>
      <c r="AG33" s="26"/>
      <c r="AH33" s="22"/>
      <c r="AI33" s="26"/>
      <c r="AJ33" s="22" t="s">
        <v>1020</v>
      </c>
      <c r="AK33" s="25"/>
      <c r="AL33" s="26"/>
      <c r="AM33" s="22" t="s">
        <v>1035</v>
      </c>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P33" t="str">
        <f t="shared" si="2"/>
        <v>,`service_class03` INTEGER  COMMENT 'サービス種別3(Ignicaチャージ)'</v>
      </c>
    </row>
    <row r="34" spans="1:68" ht="15" customHeight="1">
      <c r="A34" s="1"/>
      <c r="B34" s="23">
        <f t="shared" si="1"/>
        <v>14</v>
      </c>
      <c r="C34" s="118"/>
      <c r="D34" s="22" t="s">
        <v>1039</v>
      </c>
      <c r="E34" s="25"/>
      <c r="F34" s="25"/>
      <c r="G34" s="25"/>
      <c r="H34" s="25"/>
      <c r="I34" s="25"/>
      <c r="J34" s="25"/>
      <c r="K34" s="25"/>
      <c r="L34" s="25"/>
      <c r="M34" s="25"/>
      <c r="N34" s="25"/>
      <c r="O34" s="25"/>
      <c r="P34" s="25"/>
      <c r="Q34" s="26"/>
      <c r="R34" s="22" t="s">
        <v>1040</v>
      </c>
      <c r="S34" s="25"/>
      <c r="T34" s="25"/>
      <c r="U34" s="25"/>
      <c r="V34" s="25"/>
      <c r="W34" s="25"/>
      <c r="X34" s="25"/>
      <c r="Y34" s="25"/>
      <c r="Z34" s="25"/>
      <c r="AA34" s="25"/>
      <c r="AB34" s="26"/>
      <c r="AC34" s="25" t="s">
        <v>1034</v>
      </c>
      <c r="AD34" s="25"/>
      <c r="AE34" s="25"/>
      <c r="AF34" s="25"/>
      <c r="AG34" s="26"/>
      <c r="AH34" s="22"/>
      <c r="AI34" s="26"/>
      <c r="AJ34" s="22" t="s">
        <v>1020</v>
      </c>
      <c r="AK34" s="25"/>
      <c r="AL34" s="26"/>
      <c r="AM34" s="22" t="s">
        <v>1035</v>
      </c>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P34" t="str">
        <f t="shared" si="2"/>
        <v>,`service_class04` INTEGER  COMMENT 'サービス種別4(Ignica残高照会)'</v>
      </c>
    </row>
    <row r="35" spans="1:68" ht="15" customHeight="1">
      <c r="A35" s="1"/>
      <c r="B35" s="23">
        <f t="shared" si="1"/>
        <v>15</v>
      </c>
      <c r="C35" s="118"/>
      <c r="D35" s="22" t="s">
        <v>1041</v>
      </c>
      <c r="E35" s="25"/>
      <c r="F35" s="25"/>
      <c r="G35" s="25"/>
      <c r="H35" s="25"/>
      <c r="I35" s="25"/>
      <c r="J35" s="25"/>
      <c r="K35" s="25"/>
      <c r="L35" s="25"/>
      <c r="M35" s="25"/>
      <c r="N35" s="25"/>
      <c r="O35" s="25"/>
      <c r="P35" s="25"/>
      <c r="Q35" s="26"/>
      <c r="R35" s="22" t="s">
        <v>1042</v>
      </c>
      <c r="S35" s="25"/>
      <c r="T35" s="25"/>
      <c r="U35" s="25"/>
      <c r="V35" s="25"/>
      <c r="W35" s="25"/>
      <c r="X35" s="25"/>
      <c r="Y35" s="25"/>
      <c r="Z35" s="25"/>
      <c r="AA35" s="25"/>
      <c r="AB35" s="26"/>
      <c r="AC35" s="25" t="s">
        <v>1034</v>
      </c>
      <c r="AD35" s="25"/>
      <c r="AE35" s="25"/>
      <c r="AF35" s="25"/>
      <c r="AG35" s="26"/>
      <c r="AH35" s="22"/>
      <c r="AI35" s="26"/>
      <c r="AJ35" s="22" t="s">
        <v>1020</v>
      </c>
      <c r="AK35" s="25"/>
      <c r="AL35" s="26"/>
      <c r="AM35" s="22" t="s">
        <v>1035</v>
      </c>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P35" t="str">
        <f t="shared" si="2"/>
        <v>,`service_class05` INTEGER  COMMENT 'サービス種別5(WAONチャージ)'</v>
      </c>
    </row>
    <row r="36" spans="1:68" ht="15" customHeight="1">
      <c r="A36" s="1"/>
      <c r="B36" s="23">
        <f t="shared" si="1"/>
        <v>16</v>
      </c>
      <c r="C36" s="118"/>
      <c r="D36" s="22" t="s">
        <v>1043</v>
      </c>
      <c r="E36" s="25"/>
      <c r="F36" s="25"/>
      <c r="G36" s="25"/>
      <c r="H36" s="25"/>
      <c r="I36" s="25"/>
      <c r="J36" s="25"/>
      <c r="K36" s="25"/>
      <c r="L36" s="25"/>
      <c r="M36" s="25"/>
      <c r="N36" s="25"/>
      <c r="O36" s="25"/>
      <c r="P36" s="25"/>
      <c r="Q36" s="26"/>
      <c r="R36" s="22" t="s">
        <v>1044</v>
      </c>
      <c r="S36" s="25"/>
      <c r="T36" s="25"/>
      <c r="U36" s="25"/>
      <c r="V36" s="25"/>
      <c r="W36" s="25"/>
      <c r="X36" s="25"/>
      <c r="Y36" s="25"/>
      <c r="Z36" s="25"/>
      <c r="AA36" s="25"/>
      <c r="AB36" s="26"/>
      <c r="AC36" s="25" t="s">
        <v>1034</v>
      </c>
      <c r="AD36" s="25"/>
      <c r="AE36" s="25"/>
      <c r="AF36" s="25"/>
      <c r="AG36" s="26"/>
      <c r="AH36" s="22"/>
      <c r="AI36" s="26"/>
      <c r="AJ36" s="22" t="s">
        <v>1020</v>
      </c>
      <c r="AK36" s="25"/>
      <c r="AL36" s="26"/>
      <c r="AM36" s="22" t="s">
        <v>1035</v>
      </c>
      <c r="AN36" s="25"/>
      <c r="AO36" s="25"/>
      <c r="AP36" s="25"/>
      <c r="AQ36" s="25"/>
      <c r="AR36" s="25"/>
      <c r="AS36" s="26"/>
      <c r="AT36" s="66"/>
      <c r="AU36" s="67"/>
      <c r="AV36" s="67"/>
      <c r="AW36" s="67"/>
      <c r="AX36" s="67"/>
      <c r="AY36" s="67"/>
      <c r="AZ36" s="67"/>
      <c r="BA36" s="67"/>
      <c r="BB36" s="67"/>
      <c r="BC36" s="67"/>
      <c r="BD36" s="67"/>
      <c r="BE36" s="67"/>
      <c r="BF36" s="67"/>
      <c r="BG36" s="67"/>
      <c r="BH36" s="67"/>
      <c r="BI36" s="67"/>
      <c r="BJ36" s="68"/>
      <c r="BK36" s="4"/>
      <c r="BP36" t="str">
        <f t="shared" si="2"/>
        <v>,`service_class06` INTEGER  COMMENT 'サービス種別6(WAON残高照会)'</v>
      </c>
    </row>
    <row r="37" spans="1:68" ht="15" customHeight="1">
      <c r="A37" s="1"/>
      <c r="B37" s="23">
        <f t="shared" si="1"/>
        <v>17</v>
      </c>
      <c r="C37" s="118"/>
      <c r="D37" s="22" t="s">
        <v>1045</v>
      </c>
      <c r="E37" s="25"/>
      <c r="F37" s="25"/>
      <c r="G37" s="25"/>
      <c r="H37" s="25"/>
      <c r="I37" s="25"/>
      <c r="J37" s="25"/>
      <c r="K37" s="25"/>
      <c r="L37" s="25"/>
      <c r="M37" s="25"/>
      <c r="N37" s="25"/>
      <c r="O37" s="25"/>
      <c r="P37" s="25"/>
      <c r="Q37" s="26"/>
      <c r="R37" s="22" t="s">
        <v>1046</v>
      </c>
      <c r="S37" s="25"/>
      <c r="T37" s="25"/>
      <c r="U37" s="25"/>
      <c r="V37" s="25"/>
      <c r="W37" s="25"/>
      <c r="X37" s="25"/>
      <c r="Y37" s="25"/>
      <c r="Z37" s="25"/>
      <c r="AA37" s="25"/>
      <c r="AB37" s="26"/>
      <c r="AC37" s="25" t="s">
        <v>1034</v>
      </c>
      <c r="AD37" s="25"/>
      <c r="AE37" s="25"/>
      <c r="AF37" s="25"/>
      <c r="AG37" s="26"/>
      <c r="AH37" s="22"/>
      <c r="AI37" s="26"/>
      <c r="AJ37" s="22" t="s">
        <v>1020</v>
      </c>
      <c r="AK37" s="25"/>
      <c r="AL37" s="26"/>
      <c r="AM37" s="22" t="s">
        <v>1035</v>
      </c>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P37" t="str">
        <f t="shared" si="2"/>
        <v>,`service_class07` INTEGER  COMMENT 'サービス種別7(予備)'</v>
      </c>
    </row>
    <row r="38" spans="1:68" ht="15" customHeight="1">
      <c r="A38" s="1"/>
      <c r="B38" s="23">
        <f t="shared" si="1"/>
        <v>18</v>
      </c>
      <c r="C38" s="118"/>
      <c r="D38" s="22" t="s">
        <v>1047</v>
      </c>
      <c r="E38" s="25"/>
      <c r="F38" s="25"/>
      <c r="G38" s="25"/>
      <c r="H38" s="25"/>
      <c r="I38" s="25"/>
      <c r="J38" s="25"/>
      <c r="K38" s="25"/>
      <c r="L38" s="25"/>
      <c r="M38" s="25"/>
      <c r="N38" s="25"/>
      <c r="O38" s="25"/>
      <c r="P38" s="25"/>
      <c r="Q38" s="26"/>
      <c r="R38" s="22" t="s">
        <v>1048</v>
      </c>
      <c r="S38" s="25"/>
      <c r="T38" s="25"/>
      <c r="U38" s="25"/>
      <c r="V38" s="25"/>
      <c r="W38" s="25"/>
      <c r="X38" s="25"/>
      <c r="Y38" s="25"/>
      <c r="Z38" s="25"/>
      <c r="AA38" s="25"/>
      <c r="AB38" s="26"/>
      <c r="AC38" s="25" t="s">
        <v>1034</v>
      </c>
      <c r="AD38" s="25"/>
      <c r="AE38" s="25"/>
      <c r="AF38" s="25"/>
      <c r="AG38" s="26"/>
      <c r="AH38" s="22"/>
      <c r="AI38" s="26"/>
      <c r="AJ38" s="22" t="s">
        <v>1020</v>
      </c>
      <c r="AK38" s="25"/>
      <c r="AL38" s="26"/>
      <c r="AM38" s="22" t="s">
        <v>1035</v>
      </c>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P38" t="str">
        <f t="shared" si="2"/>
        <v>,`service_class08` INTEGER  COMMENT 'サービス種別8(予備)'</v>
      </c>
    </row>
    <row r="39" spans="1:68" ht="15" customHeight="1">
      <c r="A39" s="1"/>
      <c r="B39" s="23">
        <f t="shared" si="1"/>
        <v>19</v>
      </c>
      <c r="C39" s="118"/>
      <c r="D39" s="22" t="s">
        <v>1049</v>
      </c>
      <c r="E39" s="25"/>
      <c r="F39" s="25"/>
      <c r="G39" s="25"/>
      <c r="H39" s="25"/>
      <c r="I39" s="25"/>
      <c r="J39" s="25"/>
      <c r="K39" s="25"/>
      <c r="L39" s="25"/>
      <c r="M39" s="25"/>
      <c r="N39" s="25"/>
      <c r="O39" s="25"/>
      <c r="P39" s="25"/>
      <c r="Q39" s="26"/>
      <c r="R39" s="22" t="s">
        <v>1050</v>
      </c>
      <c r="S39" s="25"/>
      <c r="T39" s="25"/>
      <c r="U39" s="25"/>
      <c r="V39" s="25"/>
      <c r="W39" s="25"/>
      <c r="X39" s="25"/>
      <c r="Y39" s="25"/>
      <c r="Z39" s="25"/>
      <c r="AA39" s="25"/>
      <c r="AB39" s="26"/>
      <c r="AC39" s="25" t="s">
        <v>1034</v>
      </c>
      <c r="AD39" s="25"/>
      <c r="AE39" s="25"/>
      <c r="AF39" s="25"/>
      <c r="AG39" s="26"/>
      <c r="AH39" s="22"/>
      <c r="AI39" s="26"/>
      <c r="AJ39" s="22" t="s">
        <v>1020</v>
      </c>
      <c r="AK39" s="25"/>
      <c r="AL39" s="26"/>
      <c r="AM39" s="22" t="s">
        <v>1035</v>
      </c>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P39" t="str">
        <f t="shared" si="2"/>
        <v>,`service_class09` INTEGER  COMMENT 'サービス種別9(予備)'</v>
      </c>
    </row>
    <row r="40" spans="1:68" ht="15" customHeight="1">
      <c r="A40" s="1"/>
      <c r="B40" s="23">
        <f t="shared" si="1"/>
        <v>20</v>
      </c>
      <c r="C40" s="118"/>
      <c r="D40" s="22" t="s">
        <v>1051</v>
      </c>
      <c r="E40" s="25"/>
      <c r="F40" s="25"/>
      <c r="G40" s="25"/>
      <c r="H40" s="25"/>
      <c r="I40" s="25"/>
      <c r="J40" s="25"/>
      <c r="K40" s="25"/>
      <c r="L40" s="25"/>
      <c r="M40" s="25"/>
      <c r="N40" s="25"/>
      <c r="O40" s="25"/>
      <c r="P40" s="25"/>
      <c r="Q40" s="26"/>
      <c r="R40" s="22" t="s">
        <v>1052</v>
      </c>
      <c r="S40" s="25"/>
      <c r="T40" s="25"/>
      <c r="U40" s="25"/>
      <c r="V40" s="25"/>
      <c r="W40" s="25"/>
      <c r="X40" s="25"/>
      <c r="Y40" s="25"/>
      <c r="Z40" s="25"/>
      <c r="AA40" s="25"/>
      <c r="AB40" s="26"/>
      <c r="AC40" s="25" t="s">
        <v>1034</v>
      </c>
      <c r="AD40" s="25"/>
      <c r="AE40" s="25"/>
      <c r="AF40" s="25"/>
      <c r="AG40" s="26"/>
      <c r="AH40" s="22"/>
      <c r="AI40" s="26"/>
      <c r="AJ40" s="22" t="s">
        <v>1020</v>
      </c>
      <c r="AK40" s="25"/>
      <c r="AL40" s="26"/>
      <c r="AM40" s="22" t="s">
        <v>1035</v>
      </c>
      <c r="AN40" s="25"/>
      <c r="AO40" s="25"/>
      <c r="AP40" s="25"/>
      <c r="AQ40" s="25"/>
      <c r="AR40" s="25"/>
      <c r="AS40" s="26"/>
      <c r="AT40" s="66"/>
      <c r="AU40" s="67"/>
      <c r="AV40" s="67"/>
      <c r="AW40" s="67"/>
      <c r="AX40" s="67"/>
      <c r="AY40" s="67"/>
      <c r="AZ40" s="67"/>
      <c r="BA40" s="67"/>
      <c r="BB40" s="67"/>
      <c r="BC40" s="67"/>
      <c r="BD40" s="67"/>
      <c r="BE40" s="67"/>
      <c r="BF40" s="67"/>
      <c r="BG40" s="67"/>
      <c r="BH40" s="67"/>
      <c r="BI40" s="67"/>
      <c r="BJ40" s="68"/>
      <c r="BK40" s="4"/>
      <c r="BP40" t="str">
        <f t="shared" si="2"/>
        <v>,`service_class10` INTEGER  COMMENT 'サービス種別10(予備)'</v>
      </c>
    </row>
    <row r="41" spans="1:68" ht="15" customHeight="1">
      <c r="A41" s="1"/>
      <c r="B41" s="23">
        <f t="shared" si="1"/>
        <v>21</v>
      </c>
      <c r="C41" s="118"/>
      <c r="D41" s="22" t="s">
        <v>1053</v>
      </c>
      <c r="E41" s="25"/>
      <c r="F41" s="25"/>
      <c r="G41" s="25"/>
      <c r="H41" s="25"/>
      <c r="I41" s="25"/>
      <c r="J41" s="25"/>
      <c r="K41" s="25"/>
      <c r="L41" s="25"/>
      <c r="M41" s="25"/>
      <c r="N41" s="25"/>
      <c r="O41" s="25"/>
      <c r="P41" s="25"/>
      <c r="Q41" s="26"/>
      <c r="R41" s="22" t="s">
        <v>1054</v>
      </c>
      <c r="S41" s="25"/>
      <c r="T41" s="25"/>
      <c r="U41" s="25"/>
      <c r="V41" s="25"/>
      <c r="W41" s="25"/>
      <c r="X41" s="25"/>
      <c r="Y41" s="25"/>
      <c r="Z41" s="25"/>
      <c r="AA41" s="25"/>
      <c r="AB41" s="26"/>
      <c r="AC41" s="25" t="s">
        <v>1026</v>
      </c>
      <c r="AD41" s="25"/>
      <c r="AE41" s="25"/>
      <c r="AF41" s="25"/>
      <c r="AG41" s="26"/>
      <c r="AH41" s="22"/>
      <c r="AI41" s="26"/>
      <c r="AJ41" s="22" t="s">
        <v>1020</v>
      </c>
      <c r="AK41" s="25"/>
      <c r="AL41" s="26"/>
      <c r="AM41" s="22" t="s">
        <v>1035</v>
      </c>
      <c r="AN41" s="25"/>
      <c r="AO41" s="25"/>
      <c r="AP41" s="25"/>
      <c r="AQ41" s="25"/>
      <c r="AR41" s="25"/>
      <c r="AS41" s="26"/>
      <c r="AT41" s="22" t="s">
        <v>1055</v>
      </c>
      <c r="AU41" s="25"/>
      <c r="AV41" s="25"/>
      <c r="AW41" s="25"/>
      <c r="AX41" s="25"/>
      <c r="AY41" s="25"/>
      <c r="AZ41" s="25"/>
      <c r="BA41" s="25"/>
      <c r="BB41" s="25"/>
      <c r="BC41" s="25"/>
      <c r="BD41" s="25"/>
      <c r="BE41" s="25"/>
      <c r="BF41" s="25"/>
      <c r="BG41" s="25"/>
      <c r="BH41" s="25"/>
      <c r="BI41" s="25"/>
      <c r="BJ41" s="26"/>
      <c r="BK41" s="4"/>
      <c r="BP41" t="str">
        <f t="shared" si="2"/>
        <v>,`service_class11` INTEGER  COMMENT 'サービス種別11(予備)'</v>
      </c>
    </row>
    <row r="42" spans="1:68" ht="15" customHeight="1">
      <c r="A42" s="1"/>
      <c r="B42" s="23">
        <f t="shared" si="1"/>
        <v>22</v>
      </c>
      <c r="C42" s="118"/>
      <c r="D42" s="22" t="s">
        <v>1056</v>
      </c>
      <c r="E42" s="25"/>
      <c r="F42" s="25"/>
      <c r="G42" s="25"/>
      <c r="H42" s="25"/>
      <c r="I42" s="25"/>
      <c r="J42" s="25"/>
      <c r="K42" s="25"/>
      <c r="L42" s="25"/>
      <c r="M42" s="25"/>
      <c r="N42" s="25"/>
      <c r="O42" s="25"/>
      <c r="P42" s="25"/>
      <c r="Q42" s="26"/>
      <c r="R42" s="22" t="s">
        <v>1057</v>
      </c>
      <c r="S42" s="25"/>
      <c r="T42" s="25"/>
      <c r="U42" s="25"/>
      <c r="V42" s="25"/>
      <c r="W42" s="25"/>
      <c r="X42" s="25"/>
      <c r="Y42" s="25"/>
      <c r="Z42" s="25"/>
      <c r="AA42" s="25"/>
      <c r="AB42" s="26"/>
      <c r="AC42" s="25" t="s">
        <v>1034</v>
      </c>
      <c r="AD42" s="25"/>
      <c r="AE42" s="25"/>
      <c r="AF42" s="25"/>
      <c r="AG42" s="26"/>
      <c r="AH42" s="22"/>
      <c r="AI42" s="26"/>
      <c r="AJ42" s="22" t="s">
        <v>1020</v>
      </c>
      <c r="AK42" s="25"/>
      <c r="AL42" s="26"/>
      <c r="AM42" s="22" t="s">
        <v>1035</v>
      </c>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P42" t="str">
        <f t="shared" si="2"/>
        <v>,`service_class12` INTEGER  COMMENT 'サービス種別12(予備)'</v>
      </c>
    </row>
    <row r="43" spans="1:68" ht="15" customHeight="1">
      <c r="A43" s="1"/>
      <c r="B43" s="23">
        <f t="shared" si="1"/>
        <v>23</v>
      </c>
      <c r="C43" s="118"/>
      <c r="D43" s="22" t="s">
        <v>1058</v>
      </c>
      <c r="E43" s="25"/>
      <c r="F43" s="25"/>
      <c r="G43" s="25"/>
      <c r="H43" s="25"/>
      <c r="I43" s="25"/>
      <c r="J43" s="25"/>
      <c r="K43" s="25"/>
      <c r="L43" s="25"/>
      <c r="M43" s="25"/>
      <c r="N43" s="25"/>
      <c r="O43" s="25"/>
      <c r="P43" s="25"/>
      <c r="Q43" s="26"/>
      <c r="R43" s="22" t="s">
        <v>1059</v>
      </c>
      <c r="S43" s="25"/>
      <c r="T43" s="25"/>
      <c r="U43" s="25"/>
      <c r="V43" s="25"/>
      <c r="W43" s="25"/>
      <c r="X43" s="25"/>
      <c r="Y43" s="25"/>
      <c r="Z43" s="25"/>
      <c r="AA43" s="25"/>
      <c r="AB43" s="26"/>
      <c r="AC43" s="25" t="s">
        <v>1034</v>
      </c>
      <c r="AD43" s="25"/>
      <c r="AE43" s="25"/>
      <c r="AF43" s="25"/>
      <c r="AG43" s="26"/>
      <c r="AH43" s="22"/>
      <c r="AI43" s="26"/>
      <c r="AJ43" s="22" t="s">
        <v>1020</v>
      </c>
      <c r="AK43" s="25"/>
      <c r="AL43" s="26"/>
      <c r="AM43" s="22" t="s">
        <v>1035</v>
      </c>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c r="BP43" t="str">
        <f t="shared" si="2"/>
        <v>,`service_class13` INTEGER  COMMENT 'サービス種別13(予備)'</v>
      </c>
    </row>
    <row r="44" spans="1:68" ht="15" customHeight="1">
      <c r="A44" s="1"/>
      <c r="B44" s="23">
        <f t="shared" si="1"/>
        <v>24</v>
      </c>
      <c r="C44" s="118"/>
      <c r="D44" s="22" t="s">
        <v>1060</v>
      </c>
      <c r="E44" s="25"/>
      <c r="F44" s="25"/>
      <c r="G44" s="25"/>
      <c r="H44" s="25"/>
      <c r="I44" s="25"/>
      <c r="J44" s="25"/>
      <c r="K44" s="25"/>
      <c r="L44" s="25"/>
      <c r="M44" s="25"/>
      <c r="N44" s="25"/>
      <c r="O44" s="25"/>
      <c r="P44" s="25"/>
      <c r="Q44" s="26"/>
      <c r="R44" s="22" t="s">
        <v>1061</v>
      </c>
      <c r="S44" s="25"/>
      <c r="T44" s="25"/>
      <c r="U44" s="25"/>
      <c r="V44" s="25"/>
      <c r="W44" s="25"/>
      <c r="X44" s="25"/>
      <c r="Y44" s="25"/>
      <c r="Z44" s="25"/>
      <c r="AA44" s="25"/>
      <c r="AB44" s="26"/>
      <c r="AC44" s="25" t="s">
        <v>1034</v>
      </c>
      <c r="AD44" s="25"/>
      <c r="AE44" s="25"/>
      <c r="AF44" s="25"/>
      <c r="AG44" s="26"/>
      <c r="AH44" s="22"/>
      <c r="AI44" s="26"/>
      <c r="AJ44" s="22" t="s">
        <v>1020</v>
      </c>
      <c r="AK44" s="25"/>
      <c r="AL44" s="26"/>
      <c r="AM44" s="22" t="s">
        <v>1035</v>
      </c>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c r="BP44" t="str">
        <f t="shared" si="2"/>
        <v>,`service_class14` INTEGER  COMMENT 'サービス種別14(予備)'</v>
      </c>
    </row>
    <row r="45" spans="1:68" ht="15" customHeight="1">
      <c r="A45" s="1"/>
      <c r="B45" s="23">
        <f t="shared" si="1"/>
        <v>25</v>
      </c>
      <c r="C45" s="118"/>
      <c r="D45" s="22" t="s">
        <v>1062</v>
      </c>
      <c r="E45" s="25"/>
      <c r="F45" s="25"/>
      <c r="G45" s="25"/>
      <c r="H45" s="25"/>
      <c r="I45" s="25"/>
      <c r="J45" s="25"/>
      <c r="K45" s="25"/>
      <c r="L45" s="25"/>
      <c r="M45" s="25"/>
      <c r="N45" s="25"/>
      <c r="O45" s="25"/>
      <c r="P45" s="25"/>
      <c r="Q45" s="26"/>
      <c r="R45" s="22" t="s">
        <v>1063</v>
      </c>
      <c r="S45" s="25"/>
      <c r="T45" s="25"/>
      <c r="U45" s="25"/>
      <c r="V45" s="25"/>
      <c r="W45" s="25"/>
      <c r="X45" s="25"/>
      <c r="Y45" s="25"/>
      <c r="Z45" s="25"/>
      <c r="AA45" s="25"/>
      <c r="AB45" s="26"/>
      <c r="AC45" s="25" t="s">
        <v>1034</v>
      </c>
      <c r="AD45" s="25"/>
      <c r="AE45" s="25"/>
      <c r="AF45" s="25"/>
      <c r="AG45" s="26"/>
      <c r="AH45" s="22"/>
      <c r="AI45" s="26"/>
      <c r="AJ45" s="22" t="s">
        <v>1020</v>
      </c>
      <c r="AK45" s="25"/>
      <c r="AL45" s="26"/>
      <c r="AM45" s="22" t="s">
        <v>1035</v>
      </c>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c r="BP45" t="str">
        <f t="shared" si="2"/>
        <v>,`service_class15` INTEGER  COMMENT 'サービス種別15(予備)'</v>
      </c>
    </row>
    <row r="46" spans="1:68" ht="15" customHeight="1">
      <c r="A46" s="1"/>
      <c r="B46" s="23">
        <f t="shared" si="1"/>
        <v>26</v>
      </c>
      <c r="C46" s="118"/>
      <c r="D46" s="22" t="s">
        <v>1064</v>
      </c>
      <c r="E46" s="25"/>
      <c r="F46" s="25"/>
      <c r="G46" s="25"/>
      <c r="H46" s="25"/>
      <c r="I46" s="25"/>
      <c r="J46" s="25"/>
      <c r="K46" s="25"/>
      <c r="L46" s="25"/>
      <c r="M46" s="25"/>
      <c r="N46" s="25"/>
      <c r="O46" s="25"/>
      <c r="P46" s="25"/>
      <c r="Q46" s="26"/>
      <c r="R46" s="22" t="s">
        <v>1065</v>
      </c>
      <c r="S46" s="25"/>
      <c r="T46" s="25"/>
      <c r="U46" s="25"/>
      <c r="V46" s="25"/>
      <c r="W46" s="25"/>
      <c r="X46" s="25"/>
      <c r="Y46" s="25"/>
      <c r="Z46" s="25"/>
      <c r="AA46" s="25"/>
      <c r="AB46" s="26"/>
      <c r="AC46" s="25" t="s">
        <v>1034</v>
      </c>
      <c r="AD46" s="25"/>
      <c r="AE46" s="25"/>
      <c r="AF46" s="25"/>
      <c r="AG46" s="26"/>
      <c r="AH46" s="22"/>
      <c r="AI46" s="26"/>
      <c r="AJ46" s="22" t="s">
        <v>1020</v>
      </c>
      <c r="AK46" s="25"/>
      <c r="AL46" s="26"/>
      <c r="AM46" s="22" t="s">
        <v>1035</v>
      </c>
      <c r="AN46" s="25"/>
      <c r="AO46" s="25"/>
      <c r="AP46" s="25"/>
      <c r="AQ46" s="25"/>
      <c r="AR46" s="25"/>
      <c r="AS46" s="26"/>
      <c r="AT46" s="66"/>
      <c r="AU46" s="67"/>
      <c r="AV46" s="67"/>
      <c r="AW46" s="67"/>
      <c r="AX46" s="67"/>
      <c r="AY46" s="67"/>
      <c r="AZ46" s="67"/>
      <c r="BA46" s="67"/>
      <c r="BB46" s="67"/>
      <c r="BC46" s="67"/>
      <c r="BD46" s="67"/>
      <c r="BE46" s="67"/>
      <c r="BF46" s="67"/>
      <c r="BG46" s="67"/>
      <c r="BH46" s="67"/>
      <c r="BI46" s="67"/>
      <c r="BJ46" s="68"/>
      <c r="BK46" s="4"/>
      <c r="BP46" t="str">
        <f t="shared" si="2"/>
        <v>,`service_class16` INTEGER  COMMENT 'サービス種別16(予備)'</v>
      </c>
    </row>
    <row r="47" spans="1:68" ht="15" customHeight="1">
      <c r="A47" s="1"/>
      <c r="B47" s="23">
        <f t="shared" si="1"/>
        <v>27</v>
      </c>
      <c r="C47" s="118"/>
      <c r="D47" s="22" t="s">
        <v>1066</v>
      </c>
      <c r="E47" s="25"/>
      <c r="F47" s="25"/>
      <c r="G47" s="25"/>
      <c r="H47" s="25"/>
      <c r="I47" s="25"/>
      <c r="J47" s="25"/>
      <c r="K47" s="25"/>
      <c r="L47" s="25"/>
      <c r="M47" s="25"/>
      <c r="N47" s="25"/>
      <c r="O47" s="25"/>
      <c r="P47" s="25"/>
      <c r="Q47" s="26"/>
      <c r="R47" s="22" t="s">
        <v>1067</v>
      </c>
      <c r="S47" s="25"/>
      <c r="T47" s="25"/>
      <c r="U47" s="25"/>
      <c r="V47" s="25"/>
      <c r="W47" s="25"/>
      <c r="X47" s="25"/>
      <c r="Y47" s="25"/>
      <c r="Z47" s="25"/>
      <c r="AA47" s="25"/>
      <c r="AB47" s="26"/>
      <c r="AC47" s="25" t="s">
        <v>1034</v>
      </c>
      <c r="AD47" s="25"/>
      <c r="AE47" s="25"/>
      <c r="AF47" s="25"/>
      <c r="AG47" s="26"/>
      <c r="AH47" s="22"/>
      <c r="AI47" s="26"/>
      <c r="AJ47" s="22" t="s">
        <v>1020</v>
      </c>
      <c r="AK47" s="25"/>
      <c r="AL47" s="26"/>
      <c r="AM47" s="22" t="s">
        <v>1035</v>
      </c>
      <c r="AN47" s="25"/>
      <c r="AO47" s="25"/>
      <c r="AP47" s="25"/>
      <c r="AQ47" s="25"/>
      <c r="AR47" s="25"/>
      <c r="AS47" s="26"/>
      <c r="AT47" s="22"/>
      <c r="AU47" s="25"/>
      <c r="AV47" s="25"/>
      <c r="AW47" s="25"/>
      <c r="AX47" s="25"/>
      <c r="AY47" s="25"/>
      <c r="AZ47" s="25"/>
      <c r="BA47" s="25"/>
      <c r="BB47" s="25"/>
      <c r="BC47" s="25"/>
      <c r="BD47" s="25"/>
      <c r="BE47" s="25"/>
      <c r="BF47" s="25"/>
      <c r="BG47" s="25"/>
      <c r="BH47" s="25"/>
      <c r="BI47" s="25"/>
      <c r="BJ47" s="26"/>
      <c r="BK47" s="4"/>
      <c r="BP47" t="str">
        <f t="shared" si="2"/>
        <v>,`service_class17` INTEGER  COMMENT 'サービス種別17(予備)'</v>
      </c>
    </row>
    <row r="48" spans="1:68" ht="15" customHeight="1">
      <c r="A48" s="1"/>
      <c r="B48" s="23">
        <f t="shared" si="1"/>
        <v>28</v>
      </c>
      <c r="C48" s="118"/>
      <c r="D48" s="22" t="s">
        <v>1068</v>
      </c>
      <c r="E48" s="25"/>
      <c r="F48" s="25"/>
      <c r="G48" s="25"/>
      <c r="H48" s="25"/>
      <c r="I48" s="25"/>
      <c r="J48" s="25"/>
      <c r="K48" s="25"/>
      <c r="L48" s="25"/>
      <c r="M48" s="25"/>
      <c r="N48" s="25"/>
      <c r="O48" s="25"/>
      <c r="P48" s="25"/>
      <c r="Q48" s="26"/>
      <c r="R48" s="22" t="s">
        <v>1069</v>
      </c>
      <c r="S48" s="25"/>
      <c r="T48" s="25"/>
      <c r="U48" s="25"/>
      <c r="V48" s="25"/>
      <c r="W48" s="25"/>
      <c r="X48" s="25"/>
      <c r="Y48" s="25"/>
      <c r="Z48" s="25"/>
      <c r="AA48" s="25"/>
      <c r="AB48" s="26"/>
      <c r="AC48" s="25" t="s">
        <v>1034</v>
      </c>
      <c r="AD48" s="25"/>
      <c r="AE48" s="25"/>
      <c r="AF48" s="25"/>
      <c r="AG48" s="26"/>
      <c r="AH48" s="22"/>
      <c r="AI48" s="26"/>
      <c r="AJ48" s="22" t="s">
        <v>1020</v>
      </c>
      <c r="AK48" s="25"/>
      <c r="AL48" s="26"/>
      <c r="AM48" s="22" t="s">
        <v>1035</v>
      </c>
      <c r="AN48" s="25"/>
      <c r="AO48" s="25"/>
      <c r="AP48" s="25"/>
      <c r="AQ48" s="25"/>
      <c r="AR48" s="25"/>
      <c r="AS48" s="26"/>
      <c r="AT48" s="22"/>
      <c r="AU48" s="25"/>
      <c r="AV48" s="25"/>
      <c r="AW48" s="25"/>
      <c r="AX48" s="25"/>
      <c r="AY48" s="25"/>
      <c r="AZ48" s="25"/>
      <c r="BA48" s="25"/>
      <c r="BB48" s="25"/>
      <c r="BC48" s="25"/>
      <c r="BD48" s="25"/>
      <c r="BE48" s="25"/>
      <c r="BF48" s="25"/>
      <c r="BG48" s="25"/>
      <c r="BH48" s="25"/>
      <c r="BI48" s="25"/>
      <c r="BJ48" s="26"/>
      <c r="BK48" s="4"/>
      <c r="BP48" t="str">
        <f t="shared" si="2"/>
        <v>,`service_class18` INTEGER  COMMENT 'サービス種別18(予備)'</v>
      </c>
    </row>
    <row r="49" spans="1:68" ht="15" customHeight="1">
      <c r="A49" s="1"/>
      <c r="B49" s="23">
        <f t="shared" si="1"/>
        <v>29</v>
      </c>
      <c r="C49" s="118"/>
      <c r="D49" s="22" t="s">
        <v>1070</v>
      </c>
      <c r="E49" s="25"/>
      <c r="F49" s="25"/>
      <c r="G49" s="25"/>
      <c r="H49" s="25"/>
      <c r="I49" s="25"/>
      <c r="J49" s="25"/>
      <c r="K49" s="25"/>
      <c r="L49" s="25"/>
      <c r="M49" s="25"/>
      <c r="N49" s="25"/>
      <c r="O49" s="25"/>
      <c r="P49" s="25"/>
      <c r="Q49" s="26"/>
      <c r="R49" s="22" t="s">
        <v>1071</v>
      </c>
      <c r="S49" s="25"/>
      <c r="T49" s="25"/>
      <c r="U49" s="25"/>
      <c r="V49" s="25"/>
      <c r="W49" s="25"/>
      <c r="X49" s="25"/>
      <c r="Y49" s="25"/>
      <c r="Z49" s="25"/>
      <c r="AA49" s="25"/>
      <c r="AB49" s="26"/>
      <c r="AC49" s="25" t="s">
        <v>1034</v>
      </c>
      <c r="AD49" s="25"/>
      <c r="AE49" s="25"/>
      <c r="AF49" s="25"/>
      <c r="AG49" s="26"/>
      <c r="AH49" s="22"/>
      <c r="AI49" s="26"/>
      <c r="AJ49" s="22" t="s">
        <v>1020</v>
      </c>
      <c r="AK49" s="25"/>
      <c r="AL49" s="26"/>
      <c r="AM49" s="22" t="s">
        <v>1035</v>
      </c>
      <c r="AN49" s="25"/>
      <c r="AO49" s="25"/>
      <c r="AP49" s="25"/>
      <c r="AQ49" s="25"/>
      <c r="AR49" s="25"/>
      <c r="AS49" s="26"/>
      <c r="AT49" s="22" t="s">
        <v>1072</v>
      </c>
      <c r="AU49" s="25"/>
      <c r="AV49" s="25"/>
      <c r="AW49" s="25"/>
      <c r="AX49" s="25"/>
      <c r="AY49" s="25"/>
      <c r="AZ49" s="25"/>
      <c r="BA49" s="25"/>
      <c r="BB49" s="25"/>
      <c r="BC49" s="25"/>
      <c r="BD49" s="25"/>
      <c r="BE49" s="25"/>
      <c r="BF49" s="25"/>
      <c r="BG49" s="25"/>
      <c r="BH49" s="25"/>
      <c r="BI49" s="25"/>
      <c r="BJ49" s="26"/>
      <c r="BK49" s="4"/>
      <c r="BP49" t="str">
        <f t="shared" si="2"/>
        <v>,`service_class19` INTEGER  COMMENT 'number of prints'</v>
      </c>
    </row>
    <row r="50" spans="1:68" ht="15" customHeight="1">
      <c r="A50" s="1"/>
      <c r="B50" s="28">
        <f t="shared" si="1"/>
        <v>30</v>
      </c>
      <c r="C50" s="119"/>
      <c r="D50" s="30" t="s">
        <v>1073</v>
      </c>
      <c r="E50" s="31"/>
      <c r="F50" s="31"/>
      <c r="G50" s="31"/>
      <c r="H50" s="31"/>
      <c r="I50" s="31"/>
      <c r="J50" s="31"/>
      <c r="K50" s="31"/>
      <c r="L50" s="31"/>
      <c r="M50" s="31"/>
      <c r="N50" s="31"/>
      <c r="O50" s="31"/>
      <c r="P50" s="31"/>
      <c r="Q50" s="32"/>
      <c r="R50" s="30" t="s">
        <v>1074</v>
      </c>
      <c r="S50" s="31"/>
      <c r="T50" s="31"/>
      <c r="U50" s="31"/>
      <c r="V50" s="31"/>
      <c r="W50" s="31"/>
      <c r="X50" s="31"/>
      <c r="Y50" s="31"/>
      <c r="Z50" s="31"/>
      <c r="AA50" s="31"/>
      <c r="AB50" s="32"/>
      <c r="AC50" s="31" t="s">
        <v>1034</v>
      </c>
      <c r="AD50" s="31"/>
      <c r="AE50" s="31"/>
      <c r="AF50" s="31"/>
      <c r="AG50" s="32"/>
      <c r="AH50" s="30"/>
      <c r="AI50" s="32"/>
      <c r="AJ50" s="30" t="s">
        <v>1020</v>
      </c>
      <c r="AK50" s="31"/>
      <c r="AL50" s="32"/>
      <c r="AM50" s="30" t="s">
        <v>1035</v>
      </c>
      <c r="AN50" s="31"/>
      <c r="AO50" s="31"/>
      <c r="AP50" s="31"/>
      <c r="AQ50" s="31"/>
      <c r="AR50" s="31"/>
      <c r="AS50" s="32"/>
      <c r="AT50" s="120" t="s">
        <v>1075</v>
      </c>
      <c r="AU50" s="121"/>
      <c r="AV50" s="121"/>
      <c r="AW50" s="121"/>
      <c r="AX50" s="121"/>
      <c r="AY50" s="121"/>
      <c r="AZ50" s="121"/>
      <c r="BA50" s="121"/>
      <c r="BB50" s="121"/>
      <c r="BC50" s="121"/>
      <c r="BD50" s="121"/>
      <c r="BE50" s="121"/>
      <c r="BF50" s="121"/>
      <c r="BG50" s="121"/>
      <c r="BH50" s="121"/>
      <c r="BI50" s="121"/>
      <c r="BJ50" s="122"/>
      <c r="BK50" s="4"/>
      <c r="BP50" t="str">
        <f t="shared" si="2"/>
        <v>,`service_class20` INTEGER  COMMENT 'layout　class'</v>
      </c>
    </row>
    <row r="51" spans="1:68" ht="15" customHeight="1">
      <c r="A51" s="1"/>
      <c r="B51" s="62">
        <f>B40+1</f>
        <v>21</v>
      </c>
      <c r="C51" s="114"/>
      <c r="D51" s="21" t="s">
        <v>1076</v>
      </c>
      <c r="E51" s="64"/>
      <c r="F51" s="64"/>
      <c r="G51" s="64"/>
      <c r="H51" s="64"/>
      <c r="I51" s="64"/>
      <c r="J51" s="64"/>
      <c r="K51" s="64"/>
      <c r="L51" s="64"/>
      <c r="M51" s="64"/>
      <c r="N51" s="64"/>
      <c r="O51" s="64"/>
      <c r="P51" s="64"/>
      <c r="Q51" s="65"/>
      <c r="R51" s="21" t="s">
        <v>1077</v>
      </c>
      <c r="S51" s="64"/>
      <c r="T51" s="64"/>
      <c r="U51" s="64"/>
      <c r="V51" s="64"/>
      <c r="W51" s="64"/>
      <c r="X51" s="64"/>
      <c r="Y51" s="64"/>
      <c r="Z51" s="64"/>
      <c r="AA51" s="64"/>
      <c r="AB51" s="65"/>
      <c r="AC51" s="21" t="s">
        <v>1034</v>
      </c>
      <c r="AD51" s="64"/>
      <c r="AE51" s="64"/>
      <c r="AF51" s="64"/>
      <c r="AG51" s="65"/>
      <c r="AH51" s="21"/>
      <c r="AI51" s="65"/>
      <c r="AJ51" s="21" t="s">
        <v>1020</v>
      </c>
      <c r="AK51" s="64"/>
      <c r="AL51" s="65"/>
      <c r="AM51" s="22" t="s">
        <v>1078</v>
      </c>
      <c r="AN51" s="64"/>
      <c r="AO51" s="64"/>
      <c r="AP51" s="64"/>
      <c r="AQ51" s="64"/>
      <c r="AR51" s="64"/>
      <c r="AS51" s="65"/>
      <c r="AT51" s="123" t="s">
        <v>1079</v>
      </c>
      <c r="AU51" s="124"/>
      <c r="AV51" s="124"/>
      <c r="AW51" s="124"/>
      <c r="AX51" s="124"/>
      <c r="AY51" s="124"/>
      <c r="AZ51" s="124"/>
      <c r="BA51" s="124"/>
      <c r="BB51" s="124"/>
      <c r="BC51" s="124"/>
      <c r="BD51" s="124"/>
      <c r="BE51" s="124"/>
      <c r="BF51" s="124"/>
      <c r="BG51" s="124"/>
      <c r="BH51" s="124"/>
      <c r="BI51" s="124"/>
      <c r="BJ51" s="125"/>
      <c r="BK51" s="4"/>
      <c r="BP51" t="str">
        <f t="shared" si="2"/>
        <v>,`point_class01` INTEGER  COMMENT 'ポイント種別1(Ignica)'</v>
      </c>
    </row>
    <row r="52" spans="1:68" ht="15" customHeight="1">
      <c r="A52" s="1"/>
      <c r="B52" s="23">
        <f t="shared" si="1"/>
        <v>22</v>
      </c>
      <c r="C52" s="118"/>
      <c r="D52" s="22" t="s">
        <v>1080</v>
      </c>
      <c r="E52" s="25"/>
      <c r="F52" s="25"/>
      <c r="G52" s="25"/>
      <c r="H52" s="25"/>
      <c r="I52" s="25"/>
      <c r="J52" s="25"/>
      <c r="K52" s="25"/>
      <c r="L52" s="25"/>
      <c r="M52" s="25"/>
      <c r="N52" s="25"/>
      <c r="O52" s="25"/>
      <c r="P52" s="25"/>
      <c r="Q52" s="26"/>
      <c r="R52" s="22" t="s">
        <v>1081</v>
      </c>
      <c r="S52" s="25"/>
      <c r="T52" s="25"/>
      <c r="U52" s="25"/>
      <c r="V52" s="25"/>
      <c r="W52" s="25"/>
      <c r="X52" s="25"/>
      <c r="Y52" s="25"/>
      <c r="Z52" s="25"/>
      <c r="AA52" s="25"/>
      <c r="AB52" s="26"/>
      <c r="AC52" s="22" t="s">
        <v>1034</v>
      </c>
      <c r="AD52" s="25"/>
      <c r="AE52" s="25"/>
      <c r="AF52" s="25"/>
      <c r="AG52" s="26"/>
      <c r="AH52" s="22"/>
      <c r="AI52" s="26"/>
      <c r="AJ52" s="22" t="s">
        <v>1020</v>
      </c>
      <c r="AK52" s="25"/>
      <c r="AL52" s="26"/>
      <c r="AM52" s="22" t="s">
        <v>1078</v>
      </c>
      <c r="AN52" s="25"/>
      <c r="AO52" s="25"/>
      <c r="AP52" s="25"/>
      <c r="AQ52" s="25"/>
      <c r="AR52" s="25"/>
      <c r="AS52" s="26"/>
      <c r="AT52" s="66" t="s">
        <v>1079</v>
      </c>
      <c r="AU52" s="67"/>
      <c r="AV52" s="67"/>
      <c r="AW52" s="67"/>
      <c r="AX52" s="67"/>
      <c r="AY52" s="67"/>
      <c r="AZ52" s="67"/>
      <c r="BA52" s="67"/>
      <c r="BB52" s="67"/>
      <c r="BC52" s="67"/>
      <c r="BD52" s="67"/>
      <c r="BE52" s="67"/>
      <c r="BF52" s="67"/>
      <c r="BG52" s="67"/>
      <c r="BH52" s="67"/>
      <c r="BI52" s="67"/>
      <c r="BJ52" s="68"/>
      <c r="BK52" s="4"/>
      <c r="BP52" t="str">
        <f t="shared" si="2"/>
        <v>,`point_class02` INTEGER  COMMENT 'ポイント種別2(WAONポイント)'</v>
      </c>
    </row>
    <row r="53" spans="1:68" ht="15" customHeight="1">
      <c r="A53" s="1"/>
      <c r="B53" s="23">
        <f t="shared" si="1"/>
        <v>23</v>
      </c>
      <c r="C53" s="118"/>
      <c r="D53" s="22" t="s">
        <v>1082</v>
      </c>
      <c r="E53" s="25"/>
      <c r="F53" s="25"/>
      <c r="G53" s="25"/>
      <c r="H53" s="25"/>
      <c r="I53" s="25"/>
      <c r="J53" s="25"/>
      <c r="K53" s="25"/>
      <c r="L53" s="25"/>
      <c r="M53" s="25"/>
      <c r="N53" s="25"/>
      <c r="O53" s="25"/>
      <c r="P53" s="25"/>
      <c r="Q53" s="26"/>
      <c r="R53" s="22" t="s">
        <v>1083</v>
      </c>
      <c r="S53" s="25"/>
      <c r="T53" s="25"/>
      <c r="U53" s="25"/>
      <c r="V53" s="25"/>
      <c r="W53" s="25"/>
      <c r="X53" s="25"/>
      <c r="Y53" s="25"/>
      <c r="Z53" s="25"/>
      <c r="AA53" s="25"/>
      <c r="AB53" s="26"/>
      <c r="AC53" s="22" t="s">
        <v>1034</v>
      </c>
      <c r="AD53" s="25"/>
      <c r="AE53" s="25"/>
      <c r="AF53" s="25"/>
      <c r="AG53" s="26"/>
      <c r="AH53" s="22"/>
      <c r="AI53" s="26"/>
      <c r="AJ53" s="22" t="s">
        <v>1020</v>
      </c>
      <c r="AK53" s="25"/>
      <c r="AL53" s="26"/>
      <c r="AM53" s="22" t="s">
        <v>1035</v>
      </c>
      <c r="AN53" s="25"/>
      <c r="AO53" s="25"/>
      <c r="AP53" s="25"/>
      <c r="AQ53" s="25"/>
      <c r="AR53" s="25"/>
      <c r="AS53" s="26"/>
      <c r="AT53" s="66" t="s">
        <v>1079</v>
      </c>
      <c r="AU53" s="67"/>
      <c r="AV53" s="67"/>
      <c r="AW53" s="67"/>
      <c r="AX53" s="67"/>
      <c r="AY53" s="67"/>
      <c r="AZ53" s="67"/>
      <c r="BA53" s="67"/>
      <c r="BB53" s="67"/>
      <c r="BC53" s="67"/>
      <c r="BD53" s="67"/>
      <c r="BE53" s="67"/>
      <c r="BF53" s="67"/>
      <c r="BG53" s="67"/>
      <c r="BH53" s="67"/>
      <c r="BI53" s="67"/>
      <c r="BJ53" s="68"/>
      <c r="BK53" s="4"/>
      <c r="BP53" t="str">
        <f t="shared" si="2"/>
        <v>,`point_class03` INTEGER  COMMENT 'ポイント種別3(イオンカード)'</v>
      </c>
    </row>
    <row r="54" spans="1:68" ht="15" customHeight="1">
      <c r="A54" s="1"/>
      <c r="B54" s="23">
        <f t="shared" si="1"/>
        <v>24</v>
      </c>
      <c r="C54" s="118"/>
      <c r="D54" s="22" t="s">
        <v>1084</v>
      </c>
      <c r="E54" s="25"/>
      <c r="F54" s="25"/>
      <c r="G54" s="25"/>
      <c r="H54" s="25"/>
      <c r="I54" s="25"/>
      <c r="J54" s="25"/>
      <c r="K54" s="25"/>
      <c r="L54" s="25"/>
      <c r="M54" s="25"/>
      <c r="N54" s="25"/>
      <c r="O54" s="25"/>
      <c r="P54" s="25"/>
      <c r="Q54" s="26"/>
      <c r="R54" s="22" t="s">
        <v>1085</v>
      </c>
      <c r="S54" s="25"/>
      <c r="T54" s="25"/>
      <c r="U54" s="25"/>
      <c r="V54" s="25"/>
      <c r="W54" s="25"/>
      <c r="X54" s="126"/>
      <c r="Y54" s="25"/>
      <c r="Z54" s="25"/>
      <c r="AA54" s="25"/>
      <c r="AB54" s="26"/>
      <c r="AC54" s="22" t="s">
        <v>1034</v>
      </c>
      <c r="AD54" s="25"/>
      <c r="AE54" s="25"/>
      <c r="AF54" s="25"/>
      <c r="AG54" s="26"/>
      <c r="AH54" s="22"/>
      <c r="AI54" s="26"/>
      <c r="AJ54" s="22" t="s">
        <v>1020</v>
      </c>
      <c r="AK54" s="25"/>
      <c r="AL54" s="26"/>
      <c r="AM54" s="22" t="s">
        <v>1035</v>
      </c>
      <c r="AN54" s="25"/>
      <c r="AO54" s="25"/>
      <c r="AP54" s="25"/>
      <c r="AQ54" s="25"/>
      <c r="AR54" s="25"/>
      <c r="AS54" s="26"/>
      <c r="AT54" s="66" t="s">
        <v>1079</v>
      </c>
      <c r="AU54" s="67"/>
      <c r="AV54" s="67"/>
      <c r="AW54" s="67"/>
      <c r="AX54" s="67"/>
      <c r="AY54" s="67"/>
      <c r="AZ54" s="67"/>
      <c r="BA54" s="67"/>
      <c r="BB54" s="67"/>
      <c r="BC54" s="67"/>
      <c r="BD54" s="67"/>
      <c r="BE54" s="67"/>
      <c r="BF54" s="67"/>
      <c r="BG54" s="67"/>
      <c r="BH54" s="67"/>
      <c r="BI54" s="67"/>
      <c r="BJ54" s="68"/>
      <c r="BK54" s="4"/>
      <c r="BP54" t="str">
        <f t="shared" si="2"/>
        <v>,`point_class04` INTEGER  COMMENT 'ポイント種別4(WAONカード支払)'</v>
      </c>
    </row>
    <row r="55" spans="1:68" ht="15" customHeight="1">
      <c r="A55" s="1"/>
      <c r="B55" s="23">
        <f t="shared" si="1"/>
        <v>25</v>
      </c>
      <c r="C55" s="118"/>
      <c r="D55" s="22" t="s">
        <v>1086</v>
      </c>
      <c r="E55" s="25"/>
      <c r="F55" s="25"/>
      <c r="G55" s="25"/>
      <c r="H55" s="25"/>
      <c r="I55" s="25"/>
      <c r="J55" s="25"/>
      <c r="K55" s="25"/>
      <c r="L55" s="25"/>
      <c r="M55" s="25"/>
      <c r="N55" s="25"/>
      <c r="O55" s="25"/>
      <c r="P55" s="25"/>
      <c r="Q55" s="26"/>
      <c r="R55" s="22" t="s">
        <v>1087</v>
      </c>
      <c r="S55" s="25"/>
      <c r="T55" s="25"/>
      <c r="U55" s="25"/>
      <c r="V55" s="25"/>
      <c r="W55" s="25"/>
      <c r="X55" s="25"/>
      <c r="Y55" s="25"/>
      <c r="Z55" s="25"/>
      <c r="AA55" s="25"/>
      <c r="AB55" s="26"/>
      <c r="AC55" s="22" t="s">
        <v>1034</v>
      </c>
      <c r="AD55" s="25"/>
      <c r="AE55" s="25"/>
      <c r="AF55" s="25"/>
      <c r="AG55" s="26"/>
      <c r="AH55" s="22"/>
      <c r="AI55" s="26"/>
      <c r="AJ55" s="22" t="s">
        <v>1020</v>
      </c>
      <c r="AK55" s="25"/>
      <c r="AL55" s="26"/>
      <c r="AM55" s="22" t="s">
        <v>1035</v>
      </c>
      <c r="AN55" s="25"/>
      <c r="AO55" s="25"/>
      <c r="AP55" s="25"/>
      <c r="AQ55" s="25"/>
      <c r="AR55" s="25"/>
      <c r="AS55" s="26"/>
      <c r="AT55" s="66" t="s">
        <v>1079</v>
      </c>
      <c r="AU55" s="67"/>
      <c r="AV55" s="67"/>
      <c r="AW55" s="67"/>
      <c r="AX55" s="67"/>
      <c r="AY55" s="67"/>
      <c r="AZ55" s="67"/>
      <c r="BA55" s="67"/>
      <c r="BB55" s="67"/>
      <c r="BC55" s="67"/>
      <c r="BD55" s="67"/>
      <c r="BE55" s="67"/>
      <c r="BF55" s="67"/>
      <c r="BG55" s="67"/>
      <c r="BH55" s="67"/>
      <c r="BI55" s="67"/>
      <c r="BJ55" s="68"/>
      <c r="BK55" s="4"/>
      <c r="BP55" t="str">
        <f t="shared" si="2"/>
        <v>,`point_class05` INTEGER  COMMENT 'ポイント種別5(予備)'</v>
      </c>
    </row>
    <row r="56" spans="1:68" ht="15" customHeight="1">
      <c r="A56" s="1"/>
      <c r="B56" s="23">
        <f t="shared" si="1"/>
        <v>26</v>
      </c>
      <c r="C56" s="118"/>
      <c r="D56" s="22" t="s">
        <v>1088</v>
      </c>
      <c r="E56" s="25"/>
      <c r="F56" s="25"/>
      <c r="G56" s="25"/>
      <c r="H56" s="25"/>
      <c r="I56" s="25"/>
      <c r="J56" s="25"/>
      <c r="K56" s="25"/>
      <c r="L56" s="25"/>
      <c r="M56" s="25"/>
      <c r="N56" s="25"/>
      <c r="O56" s="25"/>
      <c r="P56" s="25"/>
      <c r="Q56" s="26"/>
      <c r="R56" s="22" t="s">
        <v>1089</v>
      </c>
      <c r="S56" s="25"/>
      <c r="T56" s="25"/>
      <c r="U56" s="25"/>
      <c r="V56" s="25"/>
      <c r="W56" s="25"/>
      <c r="X56" s="25"/>
      <c r="Y56" s="25"/>
      <c r="Z56" s="25"/>
      <c r="AA56" s="25"/>
      <c r="AB56" s="26"/>
      <c r="AC56" s="22" t="s">
        <v>1034</v>
      </c>
      <c r="AD56" s="25"/>
      <c r="AE56" s="25"/>
      <c r="AF56" s="25"/>
      <c r="AG56" s="26"/>
      <c r="AH56" s="22"/>
      <c r="AI56" s="26"/>
      <c r="AJ56" s="22" t="s">
        <v>1020</v>
      </c>
      <c r="AK56" s="25"/>
      <c r="AL56" s="26"/>
      <c r="AM56" s="22" t="s">
        <v>1035</v>
      </c>
      <c r="AN56" s="25"/>
      <c r="AO56" s="25"/>
      <c r="AP56" s="25"/>
      <c r="AQ56" s="25"/>
      <c r="AR56" s="25"/>
      <c r="AS56" s="26"/>
      <c r="AT56" s="66" t="s">
        <v>1079</v>
      </c>
      <c r="AU56" s="67"/>
      <c r="AV56" s="67"/>
      <c r="AW56" s="67"/>
      <c r="AX56" s="67"/>
      <c r="AY56" s="67"/>
      <c r="AZ56" s="67"/>
      <c r="BA56" s="67"/>
      <c r="BB56" s="67"/>
      <c r="BC56" s="67"/>
      <c r="BD56" s="67"/>
      <c r="BE56" s="67"/>
      <c r="BF56" s="67"/>
      <c r="BG56" s="67"/>
      <c r="BH56" s="67"/>
      <c r="BI56" s="67"/>
      <c r="BJ56" s="68"/>
      <c r="BK56" s="4"/>
      <c r="BP56" t="str">
        <f t="shared" si="2"/>
        <v>,`point_class06` INTEGER  COMMENT 'ポイント種別6(予備)'</v>
      </c>
    </row>
    <row r="57" spans="1:68" ht="15" customHeight="1">
      <c r="A57" s="1"/>
      <c r="B57" s="23">
        <f t="shared" si="1"/>
        <v>27</v>
      </c>
      <c r="C57" s="118"/>
      <c r="D57" s="22" t="s">
        <v>1090</v>
      </c>
      <c r="E57" s="25"/>
      <c r="F57" s="25"/>
      <c r="G57" s="25"/>
      <c r="H57" s="25"/>
      <c r="I57" s="25"/>
      <c r="J57" s="25"/>
      <c r="K57" s="25"/>
      <c r="L57" s="25"/>
      <c r="M57" s="25"/>
      <c r="N57" s="25"/>
      <c r="O57" s="25"/>
      <c r="P57" s="25"/>
      <c r="Q57" s="26"/>
      <c r="R57" s="22" t="s">
        <v>1091</v>
      </c>
      <c r="S57" s="25"/>
      <c r="T57" s="25"/>
      <c r="U57" s="25"/>
      <c r="V57" s="25"/>
      <c r="W57" s="25"/>
      <c r="X57" s="25"/>
      <c r="Y57" s="25"/>
      <c r="Z57" s="25"/>
      <c r="AA57" s="25"/>
      <c r="AB57" s="26"/>
      <c r="AC57" s="22" t="s">
        <v>1034</v>
      </c>
      <c r="AD57" s="25"/>
      <c r="AE57" s="25"/>
      <c r="AF57" s="25"/>
      <c r="AG57" s="26"/>
      <c r="AH57" s="22"/>
      <c r="AI57" s="26"/>
      <c r="AJ57" s="22" t="s">
        <v>1020</v>
      </c>
      <c r="AK57" s="25"/>
      <c r="AL57" s="26"/>
      <c r="AM57" s="22" t="s">
        <v>1035</v>
      </c>
      <c r="AN57" s="25"/>
      <c r="AO57" s="25"/>
      <c r="AP57" s="25"/>
      <c r="AQ57" s="25"/>
      <c r="AR57" s="25"/>
      <c r="AS57" s="26"/>
      <c r="AT57" s="66" t="s">
        <v>1079</v>
      </c>
      <c r="AU57" s="67"/>
      <c r="AV57" s="67"/>
      <c r="AW57" s="67"/>
      <c r="AX57" s="67"/>
      <c r="AY57" s="67"/>
      <c r="AZ57" s="67"/>
      <c r="BA57" s="67"/>
      <c r="BB57" s="67"/>
      <c r="BC57" s="67"/>
      <c r="BD57" s="67"/>
      <c r="BE57" s="67"/>
      <c r="BF57" s="67"/>
      <c r="BG57" s="67"/>
      <c r="BH57" s="67"/>
      <c r="BI57" s="67"/>
      <c r="BJ57" s="68"/>
      <c r="BK57" s="4"/>
      <c r="BP57" t="str">
        <f t="shared" si="2"/>
        <v>,`point_class07` INTEGER  COMMENT 'ポイント種別7(予備)'</v>
      </c>
    </row>
    <row r="58" spans="1:68" ht="15" customHeight="1">
      <c r="A58" s="1"/>
      <c r="B58" s="23">
        <f t="shared" si="1"/>
        <v>28</v>
      </c>
      <c r="C58" s="118"/>
      <c r="D58" s="22" t="s">
        <v>1092</v>
      </c>
      <c r="E58" s="25"/>
      <c r="F58" s="25"/>
      <c r="G58" s="25"/>
      <c r="H58" s="25"/>
      <c r="I58" s="25"/>
      <c r="J58" s="25"/>
      <c r="K58" s="25"/>
      <c r="L58" s="25"/>
      <c r="M58" s="25"/>
      <c r="N58" s="25"/>
      <c r="O58" s="25"/>
      <c r="P58" s="25"/>
      <c r="Q58" s="26"/>
      <c r="R58" s="22" t="s">
        <v>1093</v>
      </c>
      <c r="S58" s="25"/>
      <c r="T58" s="25"/>
      <c r="U58" s="25"/>
      <c r="V58" s="25"/>
      <c r="W58" s="25"/>
      <c r="X58" s="25"/>
      <c r="Y58" s="25"/>
      <c r="Z58" s="25"/>
      <c r="AA58" s="25"/>
      <c r="AB58" s="26"/>
      <c r="AC58" s="22" t="s">
        <v>1034</v>
      </c>
      <c r="AD58" s="25"/>
      <c r="AE58" s="25"/>
      <c r="AF58" s="25"/>
      <c r="AG58" s="26"/>
      <c r="AH58" s="22"/>
      <c r="AI58" s="26"/>
      <c r="AJ58" s="22" t="s">
        <v>1020</v>
      </c>
      <c r="AK58" s="25"/>
      <c r="AL58" s="26"/>
      <c r="AM58" s="22" t="s">
        <v>1035</v>
      </c>
      <c r="AN58" s="25"/>
      <c r="AO58" s="25"/>
      <c r="AP58" s="25"/>
      <c r="AQ58" s="25"/>
      <c r="AR58" s="25"/>
      <c r="AS58" s="26"/>
      <c r="AT58" s="66" t="s">
        <v>1079</v>
      </c>
      <c r="AU58" s="67"/>
      <c r="AV58" s="67"/>
      <c r="AW58" s="67"/>
      <c r="AX58" s="67"/>
      <c r="AY58" s="67"/>
      <c r="AZ58" s="67"/>
      <c r="BA58" s="67"/>
      <c r="BB58" s="67"/>
      <c r="BC58" s="67"/>
      <c r="BD58" s="67"/>
      <c r="BE58" s="67"/>
      <c r="BF58" s="67"/>
      <c r="BG58" s="67"/>
      <c r="BH58" s="67"/>
      <c r="BI58" s="67"/>
      <c r="BJ58" s="68"/>
      <c r="BK58" s="4"/>
      <c r="BP58" t="str">
        <f t="shared" si="2"/>
        <v>,`point_class08` INTEGER  COMMENT 'ポイント種別8(予備)'</v>
      </c>
    </row>
    <row r="59" spans="1:68" ht="15" customHeight="1">
      <c r="A59" s="1"/>
      <c r="B59" s="23">
        <f t="shared" si="1"/>
        <v>29</v>
      </c>
      <c r="C59" s="118"/>
      <c r="D59" s="22" t="s">
        <v>1094</v>
      </c>
      <c r="E59" s="25"/>
      <c r="F59" s="25"/>
      <c r="G59" s="25"/>
      <c r="H59" s="25"/>
      <c r="I59" s="25"/>
      <c r="J59" s="25"/>
      <c r="K59" s="25"/>
      <c r="L59" s="25"/>
      <c r="M59" s="25"/>
      <c r="N59" s="25"/>
      <c r="O59" s="25"/>
      <c r="P59" s="25"/>
      <c r="Q59" s="26"/>
      <c r="R59" s="22" t="s">
        <v>1095</v>
      </c>
      <c r="S59" s="25"/>
      <c r="T59" s="25"/>
      <c r="U59" s="25"/>
      <c r="V59" s="25"/>
      <c r="W59" s="25"/>
      <c r="X59" s="25"/>
      <c r="Y59" s="25"/>
      <c r="Z59" s="25"/>
      <c r="AA59" s="25"/>
      <c r="AB59" s="26"/>
      <c r="AC59" s="22" t="s">
        <v>1034</v>
      </c>
      <c r="AD59" s="25"/>
      <c r="AE59" s="25"/>
      <c r="AF59" s="25"/>
      <c r="AG59" s="26"/>
      <c r="AH59" s="22"/>
      <c r="AI59" s="26"/>
      <c r="AJ59" s="22" t="s">
        <v>1020</v>
      </c>
      <c r="AK59" s="25"/>
      <c r="AL59" s="26"/>
      <c r="AM59" s="22" t="s">
        <v>1035</v>
      </c>
      <c r="AN59" s="25"/>
      <c r="AO59" s="25"/>
      <c r="AP59" s="25"/>
      <c r="AQ59" s="25"/>
      <c r="AR59" s="25"/>
      <c r="AS59" s="26"/>
      <c r="AT59" s="66" t="s">
        <v>1079</v>
      </c>
      <c r="AU59" s="67"/>
      <c r="AV59" s="67"/>
      <c r="AW59" s="67"/>
      <c r="AX59" s="67"/>
      <c r="AY59" s="67"/>
      <c r="AZ59" s="67"/>
      <c r="BA59" s="67"/>
      <c r="BB59" s="67"/>
      <c r="BC59" s="67"/>
      <c r="BD59" s="67"/>
      <c r="BE59" s="67"/>
      <c r="BF59" s="67"/>
      <c r="BG59" s="67"/>
      <c r="BH59" s="67"/>
      <c r="BI59" s="67"/>
      <c r="BJ59" s="68"/>
      <c r="BK59" s="4"/>
      <c r="BP59" t="str">
        <f t="shared" si="2"/>
        <v>,`point_class09` INTEGER  COMMENT 'ポイント種別9(予備)'</v>
      </c>
    </row>
    <row r="60" spans="1:68" ht="15" customHeight="1">
      <c r="A60" s="1"/>
      <c r="B60" s="23">
        <f t="shared" si="1"/>
        <v>30</v>
      </c>
      <c r="C60" s="118"/>
      <c r="D60" s="22" t="s">
        <v>1096</v>
      </c>
      <c r="E60" s="25"/>
      <c r="F60" s="25"/>
      <c r="G60" s="25"/>
      <c r="H60" s="25"/>
      <c r="I60" s="25"/>
      <c r="J60" s="25"/>
      <c r="K60" s="25"/>
      <c r="L60" s="25"/>
      <c r="M60" s="25"/>
      <c r="N60" s="25"/>
      <c r="O60" s="25"/>
      <c r="P60" s="25"/>
      <c r="Q60" s="26"/>
      <c r="R60" s="22" t="s">
        <v>1097</v>
      </c>
      <c r="S60" s="25"/>
      <c r="T60" s="25"/>
      <c r="U60" s="25"/>
      <c r="V60" s="25"/>
      <c r="W60" s="25"/>
      <c r="X60" s="25"/>
      <c r="Y60" s="25"/>
      <c r="Z60" s="25"/>
      <c r="AA60" s="25"/>
      <c r="AB60" s="26"/>
      <c r="AC60" s="22" t="s">
        <v>1034</v>
      </c>
      <c r="AD60" s="25"/>
      <c r="AE60" s="25"/>
      <c r="AF60" s="25"/>
      <c r="AG60" s="26"/>
      <c r="AH60" s="22"/>
      <c r="AI60" s="26"/>
      <c r="AJ60" s="22" t="s">
        <v>1020</v>
      </c>
      <c r="AK60" s="25"/>
      <c r="AL60" s="26"/>
      <c r="AM60" s="22" t="s">
        <v>1035</v>
      </c>
      <c r="AN60" s="25"/>
      <c r="AO60" s="25"/>
      <c r="AP60" s="25"/>
      <c r="AQ60" s="25"/>
      <c r="AR60" s="25"/>
      <c r="AS60" s="26"/>
      <c r="AT60" s="66" t="s">
        <v>1079</v>
      </c>
      <c r="AU60" s="67"/>
      <c r="AV60" s="67"/>
      <c r="AW60" s="67"/>
      <c r="AX60" s="67"/>
      <c r="AY60" s="67"/>
      <c r="AZ60" s="67"/>
      <c r="BA60" s="67"/>
      <c r="BB60" s="67"/>
      <c r="BC60" s="67"/>
      <c r="BD60" s="67"/>
      <c r="BE60" s="67"/>
      <c r="BF60" s="67"/>
      <c r="BG60" s="67"/>
      <c r="BH60" s="67"/>
      <c r="BI60" s="67"/>
      <c r="BJ60" s="68"/>
      <c r="BK60" s="4"/>
      <c r="BP60" t="str">
        <f t="shared" si="2"/>
        <v>,`point_class10` INTEGER  COMMENT 'ポイント種別10(予備)'</v>
      </c>
    </row>
    <row r="61" spans="1:68" ht="15" customHeight="1">
      <c r="A61" s="1"/>
      <c r="B61" s="23">
        <f>B50+1</f>
        <v>31</v>
      </c>
      <c r="C61" s="118"/>
      <c r="D61" s="22" t="s">
        <v>1098</v>
      </c>
      <c r="E61" s="25"/>
      <c r="F61" s="25"/>
      <c r="G61" s="25"/>
      <c r="H61" s="25"/>
      <c r="I61" s="25"/>
      <c r="J61" s="25"/>
      <c r="K61" s="25"/>
      <c r="L61" s="25"/>
      <c r="M61" s="25"/>
      <c r="N61" s="25"/>
      <c r="O61" s="25"/>
      <c r="P61" s="25"/>
      <c r="Q61" s="26"/>
      <c r="R61" s="22" t="s">
        <v>1099</v>
      </c>
      <c r="S61" s="25"/>
      <c r="T61" s="25"/>
      <c r="U61" s="25"/>
      <c r="V61" s="25"/>
      <c r="W61" s="25"/>
      <c r="X61" s="25"/>
      <c r="Y61" s="25"/>
      <c r="Z61" s="25"/>
      <c r="AA61" s="25"/>
      <c r="AB61" s="26"/>
      <c r="AC61" s="22" t="s">
        <v>1034</v>
      </c>
      <c r="AD61" s="25"/>
      <c r="AE61" s="25"/>
      <c r="AF61" s="25"/>
      <c r="AG61" s="26"/>
      <c r="AH61" s="22"/>
      <c r="AI61" s="26"/>
      <c r="AJ61" s="22" t="s">
        <v>1020</v>
      </c>
      <c r="AK61" s="25"/>
      <c r="AL61" s="26"/>
      <c r="AM61" s="22" t="s">
        <v>1035</v>
      </c>
      <c r="AN61" s="25"/>
      <c r="AO61" s="25"/>
      <c r="AP61" s="25"/>
      <c r="AQ61" s="25"/>
      <c r="AR61" s="25"/>
      <c r="AS61" s="26"/>
      <c r="AT61" s="66" t="s">
        <v>1079</v>
      </c>
      <c r="AU61" s="67"/>
      <c r="AV61" s="67"/>
      <c r="AW61" s="67"/>
      <c r="AX61" s="67"/>
      <c r="AY61" s="67"/>
      <c r="AZ61" s="67"/>
      <c r="BA61" s="67"/>
      <c r="BB61" s="67"/>
      <c r="BC61" s="67"/>
      <c r="BD61" s="67"/>
      <c r="BE61" s="67"/>
      <c r="BF61" s="67"/>
      <c r="BG61" s="67"/>
      <c r="BH61" s="67"/>
      <c r="BI61" s="67"/>
      <c r="BJ61" s="68"/>
      <c r="BK61" s="4"/>
      <c r="BP61" t="str">
        <f t="shared" si="2"/>
        <v>,`point_class11` INTEGER  COMMENT 'ポイント種別11(予備)'</v>
      </c>
    </row>
    <row r="62" spans="1:68" ht="15" customHeight="1">
      <c r="A62" s="1"/>
      <c r="B62" s="23">
        <f t="shared" si="1"/>
        <v>32</v>
      </c>
      <c r="C62" s="118"/>
      <c r="D62" s="22" t="s">
        <v>1100</v>
      </c>
      <c r="E62" s="25"/>
      <c r="F62" s="25"/>
      <c r="G62" s="25"/>
      <c r="H62" s="25"/>
      <c r="I62" s="25"/>
      <c r="J62" s="25"/>
      <c r="K62" s="25"/>
      <c r="L62" s="25"/>
      <c r="M62" s="25"/>
      <c r="N62" s="25"/>
      <c r="O62" s="25"/>
      <c r="P62" s="25"/>
      <c r="Q62" s="26"/>
      <c r="R62" s="22" t="s">
        <v>1101</v>
      </c>
      <c r="S62" s="25"/>
      <c r="T62" s="25"/>
      <c r="U62" s="25"/>
      <c r="V62" s="25"/>
      <c r="W62" s="25"/>
      <c r="X62" s="25"/>
      <c r="Y62" s="25"/>
      <c r="Z62" s="25"/>
      <c r="AA62" s="25"/>
      <c r="AB62" s="26"/>
      <c r="AC62" s="22" t="s">
        <v>1034</v>
      </c>
      <c r="AD62" s="25"/>
      <c r="AE62" s="25"/>
      <c r="AF62" s="25"/>
      <c r="AG62" s="26"/>
      <c r="AH62" s="22"/>
      <c r="AI62" s="26"/>
      <c r="AJ62" s="22" t="s">
        <v>1020</v>
      </c>
      <c r="AK62" s="25"/>
      <c r="AL62" s="26"/>
      <c r="AM62" s="22" t="s">
        <v>1035</v>
      </c>
      <c r="AN62" s="25"/>
      <c r="AO62" s="25"/>
      <c r="AP62" s="25"/>
      <c r="AQ62" s="25"/>
      <c r="AR62" s="25"/>
      <c r="AS62" s="26"/>
      <c r="AT62" s="66" t="s">
        <v>1079</v>
      </c>
      <c r="AU62" s="67"/>
      <c r="AV62" s="67"/>
      <c r="AW62" s="67"/>
      <c r="AX62" s="67"/>
      <c r="AY62" s="67"/>
      <c r="AZ62" s="67"/>
      <c r="BA62" s="67"/>
      <c r="BB62" s="67"/>
      <c r="BC62" s="67"/>
      <c r="BD62" s="67"/>
      <c r="BE62" s="67"/>
      <c r="BF62" s="67"/>
      <c r="BG62" s="67"/>
      <c r="BH62" s="67"/>
      <c r="BI62" s="67"/>
      <c r="BJ62" s="68"/>
      <c r="BK62" s="4"/>
      <c r="BP62" t="str">
        <f t="shared" si="2"/>
        <v>,`point_class12` INTEGER  COMMENT 'ポイント種別12(予備)'</v>
      </c>
    </row>
    <row r="63" spans="1:68" ht="15" customHeight="1">
      <c r="A63" s="1"/>
      <c r="B63" s="23">
        <f t="shared" si="1"/>
        <v>33</v>
      </c>
      <c r="C63" s="118"/>
      <c r="D63" s="22" t="s">
        <v>1102</v>
      </c>
      <c r="E63" s="25"/>
      <c r="F63" s="25"/>
      <c r="G63" s="25"/>
      <c r="H63" s="25"/>
      <c r="I63" s="25"/>
      <c r="J63" s="25"/>
      <c r="K63" s="25"/>
      <c r="L63" s="25"/>
      <c r="M63" s="25"/>
      <c r="N63" s="25"/>
      <c r="O63" s="25"/>
      <c r="P63" s="25"/>
      <c r="Q63" s="26"/>
      <c r="R63" s="22" t="s">
        <v>1103</v>
      </c>
      <c r="S63" s="25"/>
      <c r="T63" s="25"/>
      <c r="U63" s="25"/>
      <c r="V63" s="25"/>
      <c r="W63" s="25"/>
      <c r="X63" s="25"/>
      <c r="Y63" s="25"/>
      <c r="Z63" s="25"/>
      <c r="AA63" s="25"/>
      <c r="AB63" s="26"/>
      <c r="AC63" s="22" t="s">
        <v>1034</v>
      </c>
      <c r="AD63" s="25"/>
      <c r="AE63" s="25"/>
      <c r="AF63" s="25"/>
      <c r="AG63" s="26"/>
      <c r="AH63" s="22"/>
      <c r="AI63" s="26"/>
      <c r="AJ63" s="22" t="s">
        <v>1020</v>
      </c>
      <c r="AK63" s="25"/>
      <c r="AL63" s="26"/>
      <c r="AM63" s="22" t="s">
        <v>1035</v>
      </c>
      <c r="AN63" s="25"/>
      <c r="AO63" s="25"/>
      <c r="AP63" s="25"/>
      <c r="AQ63" s="25"/>
      <c r="AR63" s="25"/>
      <c r="AS63" s="26"/>
      <c r="AT63" s="66" t="s">
        <v>1079</v>
      </c>
      <c r="AU63" s="67"/>
      <c r="AV63" s="67"/>
      <c r="AW63" s="67"/>
      <c r="AX63" s="67"/>
      <c r="AY63" s="67"/>
      <c r="AZ63" s="67"/>
      <c r="BA63" s="67"/>
      <c r="BB63" s="67"/>
      <c r="BC63" s="67"/>
      <c r="BD63" s="67"/>
      <c r="BE63" s="67"/>
      <c r="BF63" s="67"/>
      <c r="BG63" s="67"/>
      <c r="BH63" s="67"/>
      <c r="BI63" s="67"/>
      <c r="BJ63" s="68"/>
      <c r="BK63" s="4"/>
      <c r="BP63" t="str">
        <f t="shared" si="2"/>
        <v>,`point_class13` INTEGER  COMMENT 'ポイント種別13(予備)'</v>
      </c>
    </row>
    <row r="64" spans="1:68" ht="15" customHeight="1">
      <c r="A64" s="1"/>
      <c r="B64" s="23">
        <f t="shared" si="1"/>
        <v>34</v>
      </c>
      <c r="C64" s="118"/>
      <c r="D64" s="22" t="s">
        <v>1104</v>
      </c>
      <c r="E64" s="25"/>
      <c r="F64" s="25"/>
      <c r="G64" s="25"/>
      <c r="H64" s="25"/>
      <c r="I64" s="25"/>
      <c r="J64" s="25"/>
      <c r="K64" s="25"/>
      <c r="L64" s="25"/>
      <c r="M64" s="25"/>
      <c r="N64" s="25"/>
      <c r="O64" s="25"/>
      <c r="P64" s="25"/>
      <c r="Q64" s="26"/>
      <c r="R64" s="22" t="s">
        <v>1105</v>
      </c>
      <c r="S64" s="25"/>
      <c r="T64" s="25"/>
      <c r="U64" s="25"/>
      <c r="V64" s="25"/>
      <c r="W64" s="25"/>
      <c r="X64" s="126"/>
      <c r="Y64" s="25"/>
      <c r="Z64" s="25"/>
      <c r="AA64" s="25"/>
      <c r="AB64" s="26"/>
      <c r="AC64" s="22" t="s">
        <v>1034</v>
      </c>
      <c r="AD64" s="25"/>
      <c r="AE64" s="25"/>
      <c r="AF64" s="25"/>
      <c r="AG64" s="26"/>
      <c r="AH64" s="22"/>
      <c r="AI64" s="26"/>
      <c r="AJ64" s="22" t="s">
        <v>1020</v>
      </c>
      <c r="AK64" s="25"/>
      <c r="AL64" s="26"/>
      <c r="AM64" s="22" t="s">
        <v>1035</v>
      </c>
      <c r="AN64" s="25"/>
      <c r="AO64" s="25"/>
      <c r="AP64" s="25"/>
      <c r="AQ64" s="25"/>
      <c r="AR64" s="25"/>
      <c r="AS64" s="26"/>
      <c r="AT64" s="66" t="s">
        <v>1079</v>
      </c>
      <c r="AU64" s="67"/>
      <c r="AV64" s="67"/>
      <c r="AW64" s="67"/>
      <c r="AX64" s="67"/>
      <c r="AY64" s="67"/>
      <c r="AZ64" s="67"/>
      <c r="BA64" s="67"/>
      <c r="BB64" s="67"/>
      <c r="BC64" s="67"/>
      <c r="BD64" s="67"/>
      <c r="BE64" s="67"/>
      <c r="BF64" s="67"/>
      <c r="BG64" s="67"/>
      <c r="BH64" s="67"/>
      <c r="BI64" s="67"/>
      <c r="BJ64" s="68"/>
      <c r="BK64" s="4"/>
      <c r="BP64" t="str">
        <f t="shared" si="2"/>
        <v>,`point_class14` INTEGER  COMMENT 'ポイント種別14(予備)'</v>
      </c>
    </row>
    <row r="65" spans="1:68" ht="15" customHeight="1">
      <c r="A65" s="1"/>
      <c r="B65" s="23">
        <f t="shared" si="1"/>
        <v>35</v>
      </c>
      <c r="C65" s="118"/>
      <c r="D65" s="22" t="s">
        <v>1106</v>
      </c>
      <c r="E65" s="25"/>
      <c r="F65" s="25"/>
      <c r="G65" s="25"/>
      <c r="H65" s="25"/>
      <c r="I65" s="25"/>
      <c r="J65" s="25"/>
      <c r="K65" s="25"/>
      <c r="L65" s="25"/>
      <c r="M65" s="25"/>
      <c r="N65" s="25"/>
      <c r="O65" s="25"/>
      <c r="P65" s="25"/>
      <c r="Q65" s="26"/>
      <c r="R65" s="22" t="s">
        <v>1107</v>
      </c>
      <c r="S65" s="25"/>
      <c r="T65" s="25"/>
      <c r="U65" s="25"/>
      <c r="V65" s="25"/>
      <c r="W65" s="25"/>
      <c r="X65" s="25"/>
      <c r="Y65" s="25"/>
      <c r="Z65" s="25"/>
      <c r="AA65" s="25"/>
      <c r="AB65" s="26"/>
      <c r="AC65" s="22" t="s">
        <v>1034</v>
      </c>
      <c r="AD65" s="25"/>
      <c r="AE65" s="25"/>
      <c r="AF65" s="25"/>
      <c r="AG65" s="26"/>
      <c r="AH65" s="22"/>
      <c r="AI65" s="26"/>
      <c r="AJ65" s="22" t="s">
        <v>1020</v>
      </c>
      <c r="AK65" s="25"/>
      <c r="AL65" s="26"/>
      <c r="AM65" s="22" t="s">
        <v>1035</v>
      </c>
      <c r="AN65" s="25"/>
      <c r="AO65" s="25"/>
      <c r="AP65" s="25"/>
      <c r="AQ65" s="25"/>
      <c r="AR65" s="25"/>
      <c r="AS65" s="26"/>
      <c r="AT65" s="66" t="s">
        <v>1079</v>
      </c>
      <c r="AU65" s="67"/>
      <c r="AV65" s="67"/>
      <c r="AW65" s="67"/>
      <c r="AX65" s="67"/>
      <c r="AY65" s="67"/>
      <c r="AZ65" s="67"/>
      <c r="BA65" s="67"/>
      <c r="BB65" s="67"/>
      <c r="BC65" s="67"/>
      <c r="BD65" s="67"/>
      <c r="BE65" s="67"/>
      <c r="BF65" s="67"/>
      <c r="BG65" s="67"/>
      <c r="BH65" s="67"/>
      <c r="BI65" s="67"/>
      <c r="BJ65" s="68"/>
      <c r="BK65" s="4"/>
      <c r="BP65" t="str">
        <f t="shared" si="2"/>
        <v>,`point_class15` INTEGER  COMMENT 'ポイント種別15(予備)'</v>
      </c>
    </row>
    <row r="66" spans="1:68" ht="15" customHeight="1">
      <c r="A66" s="1"/>
      <c r="B66" s="23">
        <f t="shared" si="1"/>
        <v>36</v>
      </c>
      <c r="C66" s="118"/>
      <c r="D66" s="22" t="s">
        <v>1108</v>
      </c>
      <c r="E66" s="25"/>
      <c r="F66" s="25"/>
      <c r="G66" s="25"/>
      <c r="H66" s="25"/>
      <c r="I66" s="25"/>
      <c r="J66" s="25"/>
      <c r="K66" s="25"/>
      <c r="L66" s="25"/>
      <c r="M66" s="25"/>
      <c r="N66" s="25"/>
      <c r="O66" s="25"/>
      <c r="P66" s="25"/>
      <c r="Q66" s="26"/>
      <c r="R66" s="22" t="s">
        <v>1109</v>
      </c>
      <c r="S66" s="25"/>
      <c r="T66" s="25"/>
      <c r="U66" s="25"/>
      <c r="V66" s="25"/>
      <c r="W66" s="25"/>
      <c r="X66" s="25"/>
      <c r="Y66" s="25"/>
      <c r="Z66" s="25"/>
      <c r="AA66" s="25"/>
      <c r="AB66" s="26"/>
      <c r="AC66" s="22" t="s">
        <v>1034</v>
      </c>
      <c r="AD66" s="25"/>
      <c r="AE66" s="25"/>
      <c r="AF66" s="25"/>
      <c r="AG66" s="26"/>
      <c r="AH66" s="22"/>
      <c r="AI66" s="26"/>
      <c r="AJ66" s="22" t="s">
        <v>1020</v>
      </c>
      <c r="AK66" s="25"/>
      <c r="AL66" s="26"/>
      <c r="AM66" s="22" t="s">
        <v>1035</v>
      </c>
      <c r="AN66" s="25"/>
      <c r="AO66" s="25"/>
      <c r="AP66" s="25"/>
      <c r="AQ66" s="25"/>
      <c r="AR66" s="25"/>
      <c r="AS66" s="26"/>
      <c r="AT66" s="66" t="s">
        <v>1079</v>
      </c>
      <c r="AU66" s="67"/>
      <c r="AV66" s="67"/>
      <c r="AW66" s="67"/>
      <c r="AX66" s="67"/>
      <c r="AY66" s="67"/>
      <c r="AZ66" s="67"/>
      <c r="BA66" s="67"/>
      <c r="BB66" s="67"/>
      <c r="BC66" s="67"/>
      <c r="BD66" s="67"/>
      <c r="BE66" s="67"/>
      <c r="BF66" s="67"/>
      <c r="BG66" s="67"/>
      <c r="BH66" s="67"/>
      <c r="BI66" s="67"/>
      <c r="BJ66" s="68"/>
      <c r="BK66" s="4"/>
      <c r="BP66" t="str">
        <f t="shared" si="2"/>
        <v>,`point_class16` INTEGER  COMMENT 'ポイント種別16(予備)'</v>
      </c>
    </row>
    <row r="67" spans="1:68" ht="15" customHeight="1">
      <c r="A67" s="1"/>
      <c r="B67" s="23">
        <f t="shared" si="1"/>
        <v>37</v>
      </c>
      <c r="C67" s="118"/>
      <c r="D67" s="22" t="s">
        <v>1110</v>
      </c>
      <c r="E67" s="25"/>
      <c r="F67" s="25"/>
      <c r="G67" s="25"/>
      <c r="H67" s="25"/>
      <c r="I67" s="25"/>
      <c r="J67" s="25"/>
      <c r="K67" s="25"/>
      <c r="L67" s="25"/>
      <c r="M67" s="25"/>
      <c r="N67" s="25"/>
      <c r="O67" s="25"/>
      <c r="P67" s="25"/>
      <c r="Q67" s="26"/>
      <c r="R67" s="22" t="s">
        <v>1111</v>
      </c>
      <c r="S67" s="25"/>
      <c r="T67" s="25"/>
      <c r="U67" s="25"/>
      <c r="V67" s="25"/>
      <c r="W67" s="25"/>
      <c r="X67" s="25"/>
      <c r="Y67" s="25"/>
      <c r="Z67" s="25"/>
      <c r="AA67" s="25"/>
      <c r="AB67" s="26"/>
      <c r="AC67" s="22" t="s">
        <v>1034</v>
      </c>
      <c r="AD67" s="25"/>
      <c r="AE67" s="25"/>
      <c r="AF67" s="25"/>
      <c r="AG67" s="26"/>
      <c r="AH67" s="22"/>
      <c r="AI67" s="26"/>
      <c r="AJ67" s="22" t="s">
        <v>1020</v>
      </c>
      <c r="AK67" s="25"/>
      <c r="AL67" s="26"/>
      <c r="AM67" s="22" t="s">
        <v>1035</v>
      </c>
      <c r="AN67" s="25"/>
      <c r="AO67" s="25"/>
      <c r="AP67" s="25"/>
      <c r="AQ67" s="25"/>
      <c r="AR67" s="25"/>
      <c r="AS67" s="26"/>
      <c r="AT67" s="66" t="s">
        <v>1079</v>
      </c>
      <c r="AU67" s="67"/>
      <c r="AV67" s="67"/>
      <c r="AW67" s="67"/>
      <c r="AX67" s="67"/>
      <c r="AY67" s="67"/>
      <c r="AZ67" s="67"/>
      <c r="BA67" s="67"/>
      <c r="BB67" s="67"/>
      <c r="BC67" s="67"/>
      <c r="BD67" s="67"/>
      <c r="BE67" s="67"/>
      <c r="BF67" s="67"/>
      <c r="BG67" s="67"/>
      <c r="BH67" s="67"/>
      <c r="BI67" s="67"/>
      <c r="BJ67" s="68"/>
      <c r="BK67" s="4"/>
      <c r="BP67" t="str">
        <f t="shared" si="2"/>
        <v>,`point_class17` INTEGER  COMMENT 'ポイント種別17(予備)'</v>
      </c>
    </row>
    <row r="68" spans="1:68" ht="15" customHeight="1">
      <c r="A68" s="1"/>
      <c r="B68" s="23">
        <f t="shared" si="1"/>
        <v>38</v>
      </c>
      <c r="C68" s="118"/>
      <c r="D68" s="22" t="s">
        <v>1112</v>
      </c>
      <c r="E68" s="25"/>
      <c r="F68" s="25"/>
      <c r="G68" s="25"/>
      <c r="H68" s="25"/>
      <c r="I68" s="25"/>
      <c r="J68" s="25"/>
      <c r="K68" s="25"/>
      <c r="L68" s="25"/>
      <c r="M68" s="25"/>
      <c r="N68" s="25"/>
      <c r="O68" s="25"/>
      <c r="P68" s="25"/>
      <c r="Q68" s="26"/>
      <c r="R68" s="22" t="s">
        <v>1113</v>
      </c>
      <c r="S68" s="25"/>
      <c r="T68" s="25"/>
      <c r="U68" s="25"/>
      <c r="V68" s="25"/>
      <c r="W68" s="25"/>
      <c r="X68" s="25"/>
      <c r="Y68" s="25"/>
      <c r="Z68" s="25"/>
      <c r="AA68" s="25"/>
      <c r="AB68" s="26"/>
      <c r="AC68" s="22" t="s">
        <v>1034</v>
      </c>
      <c r="AD68" s="25"/>
      <c r="AE68" s="25"/>
      <c r="AF68" s="25"/>
      <c r="AG68" s="26"/>
      <c r="AH68" s="22"/>
      <c r="AI68" s="26"/>
      <c r="AJ68" s="22" t="s">
        <v>1020</v>
      </c>
      <c r="AK68" s="25"/>
      <c r="AL68" s="26"/>
      <c r="AM68" s="22" t="s">
        <v>1035</v>
      </c>
      <c r="AN68" s="25"/>
      <c r="AO68" s="25"/>
      <c r="AP68" s="25"/>
      <c r="AQ68" s="25"/>
      <c r="AR68" s="25"/>
      <c r="AS68" s="26"/>
      <c r="AT68" s="66" t="s">
        <v>1079</v>
      </c>
      <c r="AU68" s="67"/>
      <c r="AV68" s="67"/>
      <c r="AW68" s="67"/>
      <c r="AX68" s="67"/>
      <c r="AY68" s="67"/>
      <c r="AZ68" s="67"/>
      <c r="BA68" s="67"/>
      <c r="BB68" s="67"/>
      <c r="BC68" s="67"/>
      <c r="BD68" s="67"/>
      <c r="BE68" s="67"/>
      <c r="BF68" s="67"/>
      <c r="BG68" s="67"/>
      <c r="BH68" s="67"/>
      <c r="BI68" s="67"/>
      <c r="BJ68" s="68"/>
      <c r="BK68" s="4"/>
      <c r="BP68" t="str">
        <f t="shared" si="2"/>
        <v>,`point_class18` INTEGER  COMMENT 'ポイント種別18(予備)'</v>
      </c>
    </row>
    <row r="69" spans="1:68" ht="15" customHeight="1">
      <c r="A69" s="1"/>
      <c r="B69" s="23">
        <f t="shared" si="1"/>
        <v>39</v>
      </c>
      <c r="C69" s="118"/>
      <c r="D69" s="22" t="s">
        <v>1114</v>
      </c>
      <c r="E69" s="25"/>
      <c r="F69" s="25"/>
      <c r="G69" s="25"/>
      <c r="H69" s="25"/>
      <c r="I69" s="25"/>
      <c r="J69" s="25"/>
      <c r="K69" s="25"/>
      <c r="L69" s="25"/>
      <c r="M69" s="25"/>
      <c r="N69" s="25"/>
      <c r="O69" s="25"/>
      <c r="P69" s="25"/>
      <c r="Q69" s="26"/>
      <c r="R69" s="22" t="s">
        <v>1115</v>
      </c>
      <c r="S69" s="25"/>
      <c r="T69" s="25"/>
      <c r="U69" s="25"/>
      <c r="V69" s="25"/>
      <c r="W69" s="25"/>
      <c r="X69" s="25"/>
      <c r="Y69" s="25"/>
      <c r="Z69" s="25"/>
      <c r="AA69" s="25"/>
      <c r="AB69" s="26"/>
      <c r="AC69" s="22" t="s">
        <v>1034</v>
      </c>
      <c r="AD69" s="25"/>
      <c r="AE69" s="25"/>
      <c r="AF69" s="25"/>
      <c r="AG69" s="26"/>
      <c r="AH69" s="22"/>
      <c r="AI69" s="26"/>
      <c r="AJ69" s="22" t="s">
        <v>1020</v>
      </c>
      <c r="AK69" s="25"/>
      <c r="AL69" s="26"/>
      <c r="AM69" s="22" t="s">
        <v>1035</v>
      </c>
      <c r="AN69" s="25"/>
      <c r="AO69" s="25"/>
      <c r="AP69" s="25"/>
      <c r="AQ69" s="25"/>
      <c r="AR69" s="25"/>
      <c r="AS69" s="26"/>
      <c r="AT69" s="66" t="s">
        <v>1079</v>
      </c>
      <c r="AU69" s="67"/>
      <c r="AV69" s="67"/>
      <c r="AW69" s="67"/>
      <c r="AX69" s="67"/>
      <c r="AY69" s="67"/>
      <c r="AZ69" s="67"/>
      <c r="BA69" s="67"/>
      <c r="BB69" s="67"/>
      <c r="BC69" s="67"/>
      <c r="BD69" s="67"/>
      <c r="BE69" s="67"/>
      <c r="BF69" s="67"/>
      <c r="BG69" s="67"/>
      <c r="BH69" s="67"/>
      <c r="BI69" s="67"/>
      <c r="BJ69" s="68"/>
      <c r="BK69" s="4"/>
      <c r="BP69" t="str">
        <f t="shared" si="2"/>
        <v>,`point_class19` INTEGER  COMMENT 'ポイント種別19(予備)'</v>
      </c>
    </row>
    <row r="70" spans="1:68" ht="15" customHeight="1">
      <c r="A70" s="1"/>
      <c r="B70" s="28">
        <f t="shared" si="1"/>
        <v>40</v>
      </c>
      <c r="C70" s="119"/>
      <c r="D70" s="30" t="s">
        <v>1116</v>
      </c>
      <c r="E70" s="31"/>
      <c r="F70" s="31"/>
      <c r="G70" s="31"/>
      <c r="H70" s="31"/>
      <c r="I70" s="31"/>
      <c r="J70" s="31"/>
      <c r="K70" s="31"/>
      <c r="L70" s="31"/>
      <c r="M70" s="31"/>
      <c r="N70" s="31"/>
      <c r="O70" s="31"/>
      <c r="P70" s="31"/>
      <c r="Q70" s="32"/>
      <c r="R70" s="30" t="s">
        <v>1117</v>
      </c>
      <c r="S70" s="31"/>
      <c r="T70" s="31"/>
      <c r="U70" s="31"/>
      <c r="V70" s="31"/>
      <c r="W70" s="31"/>
      <c r="X70" s="31"/>
      <c r="Y70" s="31"/>
      <c r="Z70" s="31"/>
      <c r="AA70" s="31"/>
      <c r="AB70" s="32"/>
      <c r="AC70" s="30" t="s">
        <v>1034</v>
      </c>
      <c r="AD70" s="31"/>
      <c r="AE70" s="31"/>
      <c r="AF70" s="31"/>
      <c r="AG70" s="32"/>
      <c r="AH70" s="30"/>
      <c r="AI70" s="32"/>
      <c r="AJ70" s="30" t="s">
        <v>1020</v>
      </c>
      <c r="AK70" s="31"/>
      <c r="AL70" s="32"/>
      <c r="AM70" s="30" t="s">
        <v>1035</v>
      </c>
      <c r="AN70" s="31"/>
      <c r="AO70" s="31"/>
      <c r="AP70" s="31"/>
      <c r="AQ70" s="31"/>
      <c r="AR70" s="31"/>
      <c r="AS70" s="32"/>
      <c r="AT70" s="120" t="s">
        <v>1079</v>
      </c>
      <c r="AU70" s="121"/>
      <c r="AV70" s="121"/>
      <c r="AW70" s="121"/>
      <c r="AX70" s="121"/>
      <c r="AY70" s="121"/>
      <c r="AZ70" s="121"/>
      <c r="BA70" s="121"/>
      <c r="BB70" s="121"/>
      <c r="BC70" s="121"/>
      <c r="BD70" s="121"/>
      <c r="BE70" s="121"/>
      <c r="BF70" s="121"/>
      <c r="BG70" s="121"/>
      <c r="BH70" s="121"/>
      <c r="BI70" s="121"/>
      <c r="BJ70" s="122"/>
      <c r="BK70" s="4"/>
      <c r="BP70" t="str">
        <f t="shared" si="2"/>
        <v>,`point_class20` INTEGER  COMMENT 'ポイント種別20(予備)'</v>
      </c>
    </row>
    <row r="71" spans="1:68" ht="15" customHeight="1">
      <c r="A71" s="1"/>
      <c r="B71" s="62">
        <f>B60+1</f>
        <v>31</v>
      </c>
      <c r="C71" s="63"/>
      <c r="D71" s="21" t="s">
        <v>1118</v>
      </c>
      <c r="E71" s="64"/>
      <c r="F71" s="64"/>
      <c r="G71" s="64"/>
      <c r="H71" s="64"/>
      <c r="I71" s="64"/>
      <c r="J71" s="64"/>
      <c r="K71" s="64"/>
      <c r="L71" s="64"/>
      <c r="M71" s="64"/>
      <c r="N71" s="64"/>
      <c r="O71" s="64"/>
      <c r="P71" s="64"/>
      <c r="Q71" s="65"/>
      <c r="R71" s="21" t="s">
        <v>1119</v>
      </c>
      <c r="S71" s="64"/>
      <c r="T71" s="64"/>
      <c r="U71" s="64"/>
      <c r="V71" s="64"/>
      <c r="W71" s="64"/>
      <c r="X71" s="64"/>
      <c r="Y71" s="64"/>
      <c r="Z71" s="64"/>
      <c r="AA71" s="64"/>
      <c r="AB71" s="65"/>
      <c r="AC71" s="21" t="s">
        <v>1034</v>
      </c>
      <c r="AD71" s="64"/>
      <c r="AE71" s="64"/>
      <c r="AF71" s="64"/>
      <c r="AG71" s="65"/>
      <c r="AH71" s="21"/>
      <c r="AI71" s="65"/>
      <c r="AJ71" s="21" t="s">
        <v>1020</v>
      </c>
      <c r="AK71" s="64"/>
      <c r="AL71" s="65"/>
      <c r="AM71" s="115" t="s">
        <v>1030</v>
      </c>
      <c r="AN71" s="116"/>
      <c r="AO71" s="116"/>
      <c r="AP71" s="116"/>
      <c r="AQ71" s="116"/>
      <c r="AR71" s="116"/>
      <c r="AS71" s="117"/>
      <c r="AT71" s="21" t="s">
        <v>1120</v>
      </c>
      <c r="AU71" s="64"/>
      <c r="AV71" s="64"/>
      <c r="AW71" s="64"/>
      <c r="AX71" s="64"/>
      <c r="AY71" s="64"/>
      <c r="AZ71" s="64"/>
      <c r="BA71" s="64"/>
      <c r="BB71" s="64"/>
      <c r="BC71" s="64"/>
      <c r="BD71" s="64"/>
      <c r="BE71" s="64"/>
      <c r="BF71" s="64"/>
      <c r="BG71" s="64"/>
      <c r="BH71" s="64"/>
      <c r="BI71" s="64"/>
      <c r="BJ71" s="65"/>
      <c r="BK71" s="4"/>
      <c r="BP71" t="str">
        <f t="shared" si="2"/>
        <v>,`payment_class01` INTEGER  COMMENT '支払種別1(現金)'</v>
      </c>
    </row>
    <row r="72" spans="1:68" ht="15" customHeight="1">
      <c r="A72" s="1"/>
      <c r="B72" s="23">
        <f t="shared" si="1"/>
        <v>32</v>
      </c>
      <c r="C72" s="24"/>
      <c r="D72" s="22" t="s">
        <v>1121</v>
      </c>
      <c r="E72" s="25"/>
      <c r="F72" s="25"/>
      <c r="G72" s="25"/>
      <c r="H72" s="25"/>
      <c r="I72" s="25"/>
      <c r="J72" s="25"/>
      <c r="K72" s="25"/>
      <c r="L72" s="25"/>
      <c r="M72" s="25"/>
      <c r="N72" s="25"/>
      <c r="O72" s="25"/>
      <c r="P72" s="25"/>
      <c r="Q72" s="26"/>
      <c r="R72" s="22" t="s">
        <v>1122</v>
      </c>
      <c r="S72" s="25"/>
      <c r="T72" s="25"/>
      <c r="U72" s="25"/>
      <c r="V72" s="25"/>
      <c r="W72" s="25"/>
      <c r="X72" s="25"/>
      <c r="Y72" s="25"/>
      <c r="Z72" s="25"/>
      <c r="AA72" s="25"/>
      <c r="AB72" s="26"/>
      <c r="AC72" s="22" t="s">
        <v>1034</v>
      </c>
      <c r="AD72" s="25"/>
      <c r="AE72" s="25"/>
      <c r="AF72" s="25"/>
      <c r="AG72" s="26"/>
      <c r="AH72" s="22"/>
      <c r="AI72" s="26"/>
      <c r="AJ72" s="22" t="s">
        <v>1020</v>
      </c>
      <c r="AK72" s="25"/>
      <c r="AL72" s="26"/>
      <c r="AM72" s="22" t="s">
        <v>1078</v>
      </c>
      <c r="AN72" s="25"/>
      <c r="AO72" s="25"/>
      <c r="AP72" s="25"/>
      <c r="AQ72" s="25"/>
      <c r="AR72" s="25"/>
      <c r="AS72" s="26"/>
      <c r="AT72" s="22" t="s">
        <v>1123</v>
      </c>
      <c r="AU72" s="25"/>
      <c r="AV72" s="25"/>
      <c r="AW72" s="25"/>
      <c r="AX72" s="25"/>
      <c r="AY72" s="25"/>
      <c r="AZ72" s="25"/>
      <c r="BA72" s="25"/>
      <c r="BB72" s="25"/>
      <c r="BC72" s="25"/>
      <c r="BD72" s="25"/>
      <c r="BE72" s="25"/>
      <c r="BF72" s="25"/>
      <c r="BG72" s="25"/>
      <c r="BH72" s="25"/>
      <c r="BI72" s="25"/>
      <c r="BJ72" s="26"/>
      <c r="BK72" s="4"/>
      <c r="BP72" t="str">
        <f t="shared" si="2"/>
        <v>,`payment_class02` INTEGER  COMMENT '支払種別2(WAONポイント)'</v>
      </c>
    </row>
    <row r="73" spans="1:68" ht="15" customHeight="1">
      <c r="A73" s="1"/>
      <c r="B73" s="23">
        <f t="shared" si="1"/>
        <v>33</v>
      </c>
      <c r="C73" s="24"/>
      <c r="D73" s="22" t="s">
        <v>1124</v>
      </c>
      <c r="E73" s="25"/>
      <c r="F73" s="25"/>
      <c r="G73" s="25"/>
      <c r="H73" s="25"/>
      <c r="I73" s="25"/>
      <c r="J73" s="25"/>
      <c r="K73" s="25"/>
      <c r="L73" s="25"/>
      <c r="M73" s="25"/>
      <c r="N73" s="25"/>
      <c r="O73" s="25"/>
      <c r="P73" s="25"/>
      <c r="Q73" s="26"/>
      <c r="R73" s="22" t="s">
        <v>1125</v>
      </c>
      <c r="S73" s="25"/>
      <c r="T73" s="25"/>
      <c r="U73" s="25"/>
      <c r="V73" s="25"/>
      <c r="W73" s="25"/>
      <c r="X73" s="25"/>
      <c r="Y73" s="25"/>
      <c r="Z73" s="25"/>
      <c r="AA73" s="25"/>
      <c r="AB73" s="26"/>
      <c r="AC73" s="22" t="s">
        <v>1034</v>
      </c>
      <c r="AD73" s="25"/>
      <c r="AE73" s="25"/>
      <c r="AF73" s="25"/>
      <c r="AG73" s="26"/>
      <c r="AH73" s="22"/>
      <c r="AI73" s="26"/>
      <c r="AJ73" s="22" t="s">
        <v>1020</v>
      </c>
      <c r="AK73" s="25"/>
      <c r="AL73" s="26"/>
      <c r="AM73" s="22" t="s">
        <v>1035</v>
      </c>
      <c r="AN73" s="25"/>
      <c r="AO73" s="25"/>
      <c r="AP73" s="25"/>
      <c r="AQ73" s="25"/>
      <c r="AR73" s="25"/>
      <c r="AS73" s="26"/>
      <c r="AT73" s="22" t="s">
        <v>1079</v>
      </c>
      <c r="AU73" s="25"/>
      <c r="AV73" s="25"/>
      <c r="AW73" s="25"/>
      <c r="AX73" s="25"/>
      <c r="AY73" s="25"/>
      <c r="AZ73" s="25"/>
      <c r="BA73" s="25"/>
      <c r="BB73" s="25"/>
      <c r="BC73" s="25"/>
      <c r="BD73" s="25"/>
      <c r="BE73" s="25"/>
      <c r="BF73" s="25"/>
      <c r="BG73" s="25"/>
      <c r="BH73" s="25"/>
      <c r="BI73" s="25"/>
      <c r="BJ73" s="26"/>
      <c r="BK73" s="4"/>
      <c r="BP73" t="str">
        <f t="shared" si="2"/>
        <v>,`payment_class03` INTEGER  COMMENT '支払種別3(Ignicaポイント)'</v>
      </c>
    </row>
    <row r="74" spans="1:68" ht="15" customHeight="1">
      <c r="A74" s="127"/>
      <c r="B74" s="23">
        <f t="shared" si="1"/>
        <v>34</v>
      </c>
      <c r="C74" s="24"/>
      <c r="D74" s="22" t="s">
        <v>1126</v>
      </c>
      <c r="E74" s="25"/>
      <c r="F74" s="25"/>
      <c r="G74" s="25"/>
      <c r="H74" s="25"/>
      <c r="I74" s="25"/>
      <c r="J74" s="25"/>
      <c r="K74" s="25"/>
      <c r="L74" s="25"/>
      <c r="M74" s="25"/>
      <c r="N74" s="25"/>
      <c r="O74" s="25"/>
      <c r="P74" s="25"/>
      <c r="Q74" s="26"/>
      <c r="R74" s="22" t="s">
        <v>1127</v>
      </c>
      <c r="S74" s="25"/>
      <c r="T74" s="25"/>
      <c r="U74" s="25"/>
      <c r="V74" s="25"/>
      <c r="W74" s="25"/>
      <c r="X74" s="25"/>
      <c r="Y74" s="25"/>
      <c r="Z74" s="25"/>
      <c r="AA74" s="25"/>
      <c r="AB74" s="26"/>
      <c r="AC74" s="22" t="s">
        <v>1034</v>
      </c>
      <c r="AD74" s="25"/>
      <c r="AE74" s="25"/>
      <c r="AF74" s="25"/>
      <c r="AG74" s="26"/>
      <c r="AH74" s="22"/>
      <c r="AI74" s="26"/>
      <c r="AJ74" s="22" t="s">
        <v>1020</v>
      </c>
      <c r="AK74" s="25"/>
      <c r="AL74" s="26"/>
      <c r="AM74" s="22" t="s">
        <v>1035</v>
      </c>
      <c r="AN74" s="25"/>
      <c r="AO74" s="25"/>
      <c r="AP74" s="25"/>
      <c r="AQ74" s="25"/>
      <c r="AR74" s="25"/>
      <c r="AS74" s="26"/>
      <c r="AT74" s="22" t="s">
        <v>1079</v>
      </c>
      <c r="AU74" s="25"/>
      <c r="AV74" s="25"/>
      <c r="AW74" s="25"/>
      <c r="AX74" s="25"/>
      <c r="AY74" s="25"/>
      <c r="AZ74" s="25"/>
      <c r="BA74" s="25"/>
      <c r="BB74" s="25"/>
      <c r="BC74" s="25"/>
      <c r="BD74" s="25"/>
      <c r="BE74" s="25"/>
      <c r="BF74" s="25"/>
      <c r="BG74" s="25"/>
      <c r="BH74" s="25"/>
      <c r="BI74" s="25"/>
      <c r="BJ74" s="26"/>
      <c r="BK74" s="127"/>
      <c r="BP74" t="str">
        <f t="shared" si="2"/>
        <v>,`payment_class04` INTEGER  COMMENT '支払種別4(WAON)'</v>
      </c>
    </row>
    <row r="75" spans="1:68" ht="15" customHeight="1">
      <c r="A75" s="127"/>
      <c r="B75" s="23">
        <f t="shared" si="1"/>
        <v>35</v>
      </c>
      <c r="C75" s="24"/>
      <c r="D75" s="22" t="s">
        <v>1128</v>
      </c>
      <c r="E75" s="25"/>
      <c r="F75" s="25"/>
      <c r="G75" s="25"/>
      <c r="H75" s="25"/>
      <c r="I75" s="25"/>
      <c r="J75" s="25"/>
      <c r="K75" s="25"/>
      <c r="L75" s="25"/>
      <c r="M75" s="25"/>
      <c r="N75" s="25"/>
      <c r="O75" s="25"/>
      <c r="P75" s="25"/>
      <c r="Q75" s="26"/>
      <c r="R75" s="22" t="s">
        <v>1129</v>
      </c>
      <c r="S75" s="25"/>
      <c r="T75" s="25"/>
      <c r="U75" s="25"/>
      <c r="V75" s="25"/>
      <c r="W75" s="25"/>
      <c r="X75" s="25"/>
      <c r="Y75" s="25"/>
      <c r="Z75" s="25"/>
      <c r="AA75" s="25"/>
      <c r="AB75" s="26"/>
      <c r="AC75" s="22" t="s">
        <v>1034</v>
      </c>
      <c r="AD75" s="25"/>
      <c r="AE75" s="25"/>
      <c r="AF75" s="25"/>
      <c r="AG75" s="26"/>
      <c r="AH75" s="22"/>
      <c r="AI75" s="26"/>
      <c r="AJ75" s="22" t="s">
        <v>1020</v>
      </c>
      <c r="AK75" s="25"/>
      <c r="AL75" s="26"/>
      <c r="AM75" s="22" t="s">
        <v>1035</v>
      </c>
      <c r="AN75" s="25"/>
      <c r="AO75" s="25"/>
      <c r="AP75" s="25"/>
      <c r="AQ75" s="25"/>
      <c r="AR75" s="25"/>
      <c r="AS75" s="26"/>
      <c r="AT75" s="22" t="s">
        <v>1079</v>
      </c>
      <c r="AU75" s="25"/>
      <c r="AV75" s="25"/>
      <c r="AW75" s="25"/>
      <c r="AX75" s="25"/>
      <c r="AY75" s="25"/>
      <c r="AZ75" s="25"/>
      <c r="BA75" s="25"/>
      <c r="BB75" s="25"/>
      <c r="BC75" s="25"/>
      <c r="BD75" s="25"/>
      <c r="BE75" s="25"/>
      <c r="BF75" s="25"/>
      <c r="BG75" s="25"/>
      <c r="BH75" s="25"/>
      <c r="BI75" s="25"/>
      <c r="BJ75" s="26"/>
      <c r="BK75" s="127"/>
      <c r="BP75" t="str">
        <f t="shared" si="2"/>
        <v>,`payment_class05` INTEGER  COMMENT '支払種別5(AEON Pay)'</v>
      </c>
    </row>
    <row r="76" spans="1:68" ht="15" customHeight="1">
      <c r="A76" s="127"/>
      <c r="B76" s="23">
        <f t="shared" si="1"/>
        <v>36</v>
      </c>
      <c r="C76" s="24"/>
      <c r="D76" s="22" t="s">
        <v>1130</v>
      </c>
      <c r="E76" s="25"/>
      <c r="F76" s="25"/>
      <c r="G76" s="25"/>
      <c r="H76" s="25"/>
      <c r="I76" s="25"/>
      <c r="J76" s="25"/>
      <c r="K76" s="25"/>
      <c r="L76" s="25"/>
      <c r="M76" s="25"/>
      <c r="N76" s="25"/>
      <c r="O76" s="25"/>
      <c r="P76" s="25"/>
      <c r="Q76" s="26"/>
      <c r="R76" s="22" t="s">
        <v>1131</v>
      </c>
      <c r="S76" s="25"/>
      <c r="T76" s="25"/>
      <c r="U76" s="25"/>
      <c r="V76" s="25"/>
      <c r="W76" s="25"/>
      <c r="X76" s="25"/>
      <c r="Y76" s="25"/>
      <c r="Z76" s="25"/>
      <c r="AA76" s="25"/>
      <c r="AB76" s="26"/>
      <c r="AC76" s="22" t="s">
        <v>1034</v>
      </c>
      <c r="AD76" s="25"/>
      <c r="AE76" s="25"/>
      <c r="AF76" s="25"/>
      <c r="AG76" s="26"/>
      <c r="AH76" s="22"/>
      <c r="AI76" s="26"/>
      <c r="AJ76" s="22" t="s">
        <v>1020</v>
      </c>
      <c r="AK76" s="25"/>
      <c r="AL76" s="26"/>
      <c r="AM76" s="22" t="s">
        <v>1035</v>
      </c>
      <c r="AN76" s="25"/>
      <c r="AO76" s="25"/>
      <c r="AP76" s="25"/>
      <c r="AQ76" s="25"/>
      <c r="AR76" s="25"/>
      <c r="AS76" s="26"/>
      <c r="AT76" s="66" t="s">
        <v>1079</v>
      </c>
      <c r="AU76" s="25"/>
      <c r="AV76" s="25"/>
      <c r="AW76" s="25"/>
      <c r="AX76" s="25"/>
      <c r="AY76" s="25"/>
      <c r="AZ76" s="25"/>
      <c r="BA76" s="25"/>
      <c r="BB76" s="25"/>
      <c r="BC76" s="25"/>
      <c r="BD76" s="25"/>
      <c r="BE76" s="25"/>
      <c r="BF76" s="25"/>
      <c r="BG76" s="25"/>
      <c r="BH76" s="25"/>
      <c r="BI76" s="25"/>
      <c r="BJ76" s="26"/>
      <c r="BK76" s="4"/>
      <c r="BP76" t="str">
        <f t="shared" si="2"/>
        <v>,`payment_class06` INTEGER  COMMENT '支払種別6(クレジット(1回))'</v>
      </c>
    </row>
    <row r="77" spans="1:68" ht="15" customHeight="1">
      <c r="A77" s="1"/>
      <c r="B77" s="23">
        <f t="shared" si="1"/>
        <v>37</v>
      </c>
      <c r="C77" s="24"/>
      <c r="D77" s="22" t="s">
        <v>1132</v>
      </c>
      <c r="E77" s="25"/>
      <c r="F77" s="25"/>
      <c r="G77" s="25"/>
      <c r="H77" s="25"/>
      <c r="I77" s="25"/>
      <c r="J77" s="25"/>
      <c r="K77" s="25"/>
      <c r="L77" s="25"/>
      <c r="M77" s="25"/>
      <c r="N77" s="25"/>
      <c r="O77" s="25"/>
      <c r="P77" s="25"/>
      <c r="Q77" s="26"/>
      <c r="R77" s="22" t="s">
        <v>1133</v>
      </c>
      <c r="S77" s="25"/>
      <c r="T77" s="25"/>
      <c r="U77" s="25"/>
      <c r="V77" s="25"/>
      <c r="W77" s="25"/>
      <c r="X77" s="25"/>
      <c r="Y77" s="25"/>
      <c r="Z77" s="25"/>
      <c r="AA77" s="25"/>
      <c r="AB77" s="26"/>
      <c r="AC77" s="22" t="s">
        <v>1034</v>
      </c>
      <c r="AD77" s="25"/>
      <c r="AE77" s="25"/>
      <c r="AF77" s="25"/>
      <c r="AG77" s="26"/>
      <c r="AH77" s="22"/>
      <c r="AI77" s="26"/>
      <c r="AJ77" s="22" t="s">
        <v>1020</v>
      </c>
      <c r="AK77" s="25"/>
      <c r="AL77" s="26"/>
      <c r="AM77" s="22" t="s">
        <v>1035</v>
      </c>
      <c r="AN77" s="25"/>
      <c r="AO77" s="25"/>
      <c r="AP77" s="25"/>
      <c r="AQ77" s="25"/>
      <c r="AR77" s="25"/>
      <c r="AS77" s="26"/>
      <c r="AT77" s="22" t="s">
        <v>1079</v>
      </c>
      <c r="AU77" s="25"/>
      <c r="AV77" s="25"/>
      <c r="AW77" s="25"/>
      <c r="AX77" s="25"/>
      <c r="AY77" s="25"/>
      <c r="AZ77" s="25"/>
      <c r="BA77" s="25"/>
      <c r="BB77" s="25"/>
      <c r="BC77" s="25"/>
      <c r="BD77" s="25"/>
      <c r="BE77" s="25"/>
      <c r="BF77" s="25"/>
      <c r="BG77" s="25"/>
      <c r="BH77" s="25"/>
      <c r="BI77" s="25"/>
      <c r="BJ77" s="26"/>
      <c r="BK77" s="4"/>
      <c r="BP77" t="str">
        <f t="shared" si="2"/>
        <v>,`payment_class07` INTEGER  COMMENT '支払種別7(クレジット(リボ))'</v>
      </c>
    </row>
    <row r="78" spans="1:68" ht="15" customHeight="1">
      <c r="A78" s="1"/>
      <c r="B78" s="23">
        <f t="shared" si="1"/>
        <v>38</v>
      </c>
      <c r="C78" s="24"/>
      <c r="D78" s="22" t="s">
        <v>1134</v>
      </c>
      <c r="E78" s="25"/>
      <c r="F78" s="25"/>
      <c r="G78" s="25"/>
      <c r="H78" s="25"/>
      <c r="I78" s="25"/>
      <c r="J78" s="25"/>
      <c r="K78" s="25"/>
      <c r="L78" s="25"/>
      <c r="M78" s="25"/>
      <c r="N78" s="25"/>
      <c r="O78" s="25"/>
      <c r="P78" s="25"/>
      <c r="Q78" s="26"/>
      <c r="R78" s="22" t="s">
        <v>1135</v>
      </c>
      <c r="S78" s="25"/>
      <c r="T78" s="25"/>
      <c r="U78" s="25"/>
      <c r="V78" s="25"/>
      <c r="W78" s="25"/>
      <c r="X78" s="25"/>
      <c r="Y78" s="25"/>
      <c r="Z78" s="25"/>
      <c r="AA78" s="25"/>
      <c r="AB78" s="26"/>
      <c r="AC78" s="22" t="s">
        <v>1034</v>
      </c>
      <c r="AD78" s="25"/>
      <c r="AE78" s="25"/>
      <c r="AF78" s="25"/>
      <c r="AG78" s="26"/>
      <c r="AH78" s="22"/>
      <c r="AI78" s="26"/>
      <c r="AJ78" s="22" t="s">
        <v>1020</v>
      </c>
      <c r="AK78" s="25"/>
      <c r="AL78" s="26"/>
      <c r="AM78" s="22" t="s">
        <v>1035</v>
      </c>
      <c r="AN78" s="25"/>
      <c r="AO78" s="25"/>
      <c r="AP78" s="25"/>
      <c r="AQ78" s="25"/>
      <c r="AR78" s="25"/>
      <c r="AS78" s="26"/>
      <c r="AT78" s="22" t="s">
        <v>1079</v>
      </c>
      <c r="AU78" s="25"/>
      <c r="AV78" s="25"/>
      <c r="AW78" s="25"/>
      <c r="AX78" s="25"/>
      <c r="AY78" s="25"/>
      <c r="AZ78" s="25"/>
      <c r="BA78" s="25"/>
      <c r="BB78" s="25"/>
      <c r="BC78" s="25"/>
      <c r="BD78" s="25"/>
      <c r="BE78" s="25"/>
      <c r="BF78" s="25"/>
      <c r="BG78" s="25"/>
      <c r="BH78" s="25"/>
      <c r="BI78" s="25"/>
      <c r="BJ78" s="26"/>
      <c r="BK78" s="4"/>
      <c r="BP78" t="str">
        <f t="shared" si="2"/>
        <v>,`payment_class08` INTEGER  COMMENT '支払種別8(イオンギフトカード)'</v>
      </c>
    </row>
    <row r="79" spans="1:68" ht="15" customHeight="1">
      <c r="A79" s="1"/>
      <c r="B79" s="23">
        <f t="shared" si="1"/>
        <v>39</v>
      </c>
      <c r="C79" s="24"/>
      <c r="D79" s="22" t="s">
        <v>1136</v>
      </c>
      <c r="E79" s="25"/>
      <c r="F79" s="25"/>
      <c r="G79" s="25"/>
      <c r="H79" s="25"/>
      <c r="I79" s="25"/>
      <c r="J79" s="25"/>
      <c r="K79" s="25"/>
      <c r="L79" s="25"/>
      <c r="M79" s="25"/>
      <c r="N79" s="25"/>
      <c r="O79" s="25"/>
      <c r="P79" s="25"/>
      <c r="Q79" s="26"/>
      <c r="R79" s="22" t="s">
        <v>1137</v>
      </c>
      <c r="S79" s="25"/>
      <c r="T79" s="25"/>
      <c r="U79" s="25"/>
      <c r="V79" s="25"/>
      <c r="W79" s="25"/>
      <c r="X79" s="25"/>
      <c r="Y79" s="25"/>
      <c r="Z79" s="25"/>
      <c r="AA79" s="25"/>
      <c r="AB79" s="26"/>
      <c r="AC79" s="22" t="s">
        <v>1034</v>
      </c>
      <c r="AD79" s="25"/>
      <c r="AE79" s="25"/>
      <c r="AF79" s="25"/>
      <c r="AG79" s="26"/>
      <c r="AH79" s="22"/>
      <c r="AI79" s="26"/>
      <c r="AJ79" s="22" t="s">
        <v>1020</v>
      </c>
      <c r="AK79" s="25"/>
      <c r="AL79" s="26"/>
      <c r="AM79" s="22" t="s">
        <v>1035</v>
      </c>
      <c r="AN79" s="25"/>
      <c r="AO79" s="25"/>
      <c r="AP79" s="25"/>
      <c r="AQ79" s="25"/>
      <c r="AR79" s="25"/>
      <c r="AS79" s="26"/>
      <c r="AT79" s="22" t="s">
        <v>1079</v>
      </c>
      <c r="AU79" s="25"/>
      <c r="AV79" s="25"/>
      <c r="AW79" s="25"/>
      <c r="AX79" s="25"/>
      <c r="AY79" s="25"/>
      <c r="AZ79" s="25"/>
      <c r="BA79" s="25"/>
      <c r="BB79" s="25"/>
      <c r="BC79" s="25"/>
      <c r="BD79" s="25"/>
      <c r="BE79" s="25"/>
      <c r="BF79" s="25"/>
      <c r="BG79" s="25"/>
      <c r="BH79" s="25"/>
      <c r="BI79" s="25"/>
      <c r="BJ79" s="26"/>
      <c r="BK79" s="4"/>
      <c r="BP79" t="str">
        <f t="shared" si="2"/>
        <v>,`payment_class09` INTEGER  COMMENT '支払種別9(電子マネー)'</v>
      </c>
    </row>
    <row r="80" spans="1:68" ht="15" customHeight="1">
      <c r="A80" s="1"/>
      <c r="B80" s="23">
        <f t="shared" si="1"/>
        <v>40</v>
      </c>
      <c r="C80" s="24"/>
      <c r="D80" s="22" t="s">
        <v>1138</v>
      </c>
      <c r="E80" s="25"/>
      <c r="F80" s="25"/>
      <c r="G80" s="25"/>
      <c r="H80" s="25"/>
      <c r="I80" s="25"/>
      <c r="J80" s="25"/>
      <c r="K80" s="25"/>
      <c r="L80" s="25"/>
      <c r="M80" s="25"/>
      <c r="N80" s="25"/>
      <c r="O80" s="25"/>
      <c r="P80" s="25"/>
      <c r="Q80" s="26"/>
      <c r="R80" s="22" t="s">
        <v>1139</v>
      </c>
      <c r="S80" s="25"/>
      <c r="T80" s="25"/>
      <c r="U80" s="25"/>
      <c r="V80" s="25"/>
      <c r="W80" s="25"/>
      <c r="X80" s="25"/>
      <c r="Y80" s="25"/>
      <c r="Z80" s="25"/>
      <c r="AA80" s="25"/>
      <c r="AB80" s="26"/>
      <c r="AC80" s="22" t="s">
        <v>1034</v>
      </c>
      <c r="AD80" s="25"/>
      <c r="AE80" s="25"/>
      <c r="AF80" s="25"/>
      <c r="AG80" s="26"/>
      <c r="AH80" s="22"/>
      <c r="AI80" s="26"/>
      <c r="AJ80" s="22" t="s">
        <v>1020</v>
      </c>
      <c r="AK80" s="25"/>
      <c r="AL80" s="26"/>
      <c r="AM80" s="22" t="s">
        <v>1035</v>
      </c>
      <c r="AN80" s="25"/>
      <c r="AO80" s="25"/>
      <c r="AP80" s="25"/>
      <c r="AQ80" s="25"/>
      <c r="AR80" s="25"/>
      <c r="AS80" s="26"/>
      <c r="AT80" s="66" t="s">
        <v>1079</v>
      </c>
      <c r="AU80" s="25"/>
      <c r="AV80" s="25"/>
      <c r="AW80" s="25"/>
      <c r="AX80" s="25"/>
      <c r="AY80" s="25"/>
      <c r="AZ80" s="25"/>
      <c r="BA80" s="25"/>
      <c r="BB80" s="25"/>
      <c r="BC80" s="25"/>
      <c r="BD80" s="25"/>
      <c r="BE80" s="25"/>
      <c r="BF80" s="25"/>
      <c r="BG80" s="25"/>
      <c r="BH80" s="25"/>
      <c r="BI80" s="25"/>
      <c r="BJ80" s="26"/>
      <c r="BK80" s="4"/>
      <c r="BP80" t="str">
        <f t="shared" si="2"/>
        <v>,`payment_class10` INTEGER  COMMENT '支払種別10(銀嶺)'</v>
      </c>
    </row>
    <row r="81" spans="1:68" ht="15" customHeight="1">
      <c r="A81" s="1"/>
      <c r="B81" s="23">
        <f t="shared" si="1"/>
        <v>41</v>
      </c>
      <c r="C81" s="24"/>
      <c r="D81" s="22" t="s">
        <v>1140</v>
      </c>
      <c r="E81" s="25"/>
      <c r="F81" s="25"/>
      <c r="G81" s="25"/>
      <c r="H81" s="25"/>
      <c r="I81" s="25"/>
      <c r="J81" s="25"/>
      <c r="K81" s="25"/>
      <c r="L81" s="25"/>
      <c r="M81" s="25"/>
      <c r="N81" s="25"/>
      <c r="O81" s="25"/>
      <c r="P81" s="25"/>
      <c r="Q81" s="26"/>
      <c r="R81" s="22" t="s">
        <v>1141</v>
      </c>
      <c r="S81" s="25"/>
      <c r="T81" s="25"/>
      <c r="U81" s="25"/>
      <c r="V81" s="25"/>
      <c r="W81" s="25"/>
      <c r="X81" s="25"/>
      <c r="Y81" s="25"/>
      <c r="Z81" s="25"/>
      <c r="AA81" s="25"/>
      <c r="AB81" s="26"/>
      <c r="AC81" s="22" t="s">
        <v>1034</v>
      </c>
      <c r="AD81" s="25"/>
      <c r="AE81" s="25"/>
      <c r="AF81" s="25"/>
      <c r="AG81" s="26"/>
      <c r="AH81" s="22"/>
      <c r="AI81" s="26"/>
      <c r="AJ81" s="22" t="s">
        <v>1020</v>
      </c>
      <c r="AK81" s="25"/>
      <c r="AL81" s="26"/>
      <c r="AM81" s="22" t="s">
        <v>1035</v>
      </c>
      <c r="AN81" s="25"/>
      <c r="AO81" s="25"/>
      <c r="AP81" s="25"/>
      <c r="AQ81" s="25"/>
      <c r="AR81" s="25"/>
      <c r="AS81" s="26"/>
      <c r="AT81" s="22" t="s">
        <v>1079</v>
      </c>
      <c r="AU81" s="25"/>
      <c r="AV81" s="25"/>
      <c r="AW81" s="25"/>
      <c r="AX81" s="25"/>
      <c r="AY81" s="25"/>
      <c r="AZ81" s="25"/>
      <c r="BA81" s="25"/>
      <c r="BB81" s="25"/>
      <c r="BC81" s="25"/>
      <c r="BD81" s="25"/>
      <c r="BE81" s="25"/>
      <c r="BF81" s="25"/>
      <c r="BG81" s="25"/>
      <c r="BH81" s="25"/>
      <c r="BI81" s="25"/>
      <c r="BJ81" s="26"/>
      <c r="BK81" s="4"/>
      <c r="BP81" t="str">
        <f t="shared" si="2"/>
        <v>,`payment_class11` INTEGER  COMMENT '支払種別11(クーポン)'</v>
      </c>
    </row>
    <row r="82" spans="1:68" ht="15" customHeight="1">
      <c r="A82" s="1"/>
      <c r="B82" s="23">
        <f t="shared" si="1"/>
        <v>42</v>
      </c>
      <c r="C82" s="24"/>
      <c r="D82" s="22" t="s">
        <v>1142</v>
      </c>
      <c r="E82" s="25"/>
      <c r="F82" s="25"/>
      <c r="G82" s="25"/>
      <c r="H82" s="25"/>
      <c r="I82" s="25"/>
      <c r="J82" s="25"/>
      <c r="K82" s="25"/>
      <c r="L82" s="25"/>
      <c r="M82" s="25"/>
      <c r="N82" s="25"/>
      <c r="O82" s="25"/>
      <c r="P82" s="25"/>
      <c r="Q82" s="26"/>
      <c r="R82" s="22" t="s">
        <v>1143</v>
      </c>
      <c r="S82" s="25"/>
      <c r="T82" s="25"/>
      <c r="U82" s="25"/>
      <c r="V82" s="25"/>
      <c r="W82" s="25"/>
      <c r="X82" s="25"/>
      <c r="Y82" s="25"/>
      <c r="Z82" s="25"/>
      <c r="AA82" s="25"/>
      <c r="AB82" s="26"/>
      <c r="AC82" s="22" t="s">
        <v>1034</v>
      </c>
      <c r="AD82" s="25"/>
      <c r="AE82" s="25"/>
      <c r="AF82" s="25"/>
      <c r="AG82" s="26"/>
      <c r="AH82" s="22"/>
      <c r="AI82" s="26"/>
      <c r="AJ82" s="22" t="s">
        <v>1020</v>
      </c>
      <c r="AK82" s="25"/>
      <c r="AL82" s="26"/>
      <c r="AM82" s="22" t="s">
        <v>1035</v>
      </c>
      <c r="AN82" s="25"/>
      <c r="AO82" s="25"/>
      <c r="AP82" s="25"/>
      <c r="AQ82" s="25"/>
      <c r="AR82" s="25"/>
      <c r="AS82" s="26"/>
      <c r="AT82" s="22" t="s">
        <v>1079</v>
      </c>
      <c r="AU82" s="25"/>
      <c r="AV82" s="25"/>
      <c r="AW82" s="25"/>
      <c r="AX82" s="25"/>
      <c r="AY82" s="25"/>
      <c r="AZ82" s="25"/>
      <c r="BA82" s="25"/>
      <c r="BB82" s="25"/>
      <c r="BC82" s="25"/>
      <c r="BD82" s="25"/>
      <c r="BE82" s="25"/>
      <c r="BF82" s="25"/>
      <c r="BG82" s="25"/>
      <c r="BH82" s="25"/>
      <c r="BI82" s="25"/>
      <c r="BJ82" s="26"/>
      <c r="BK82" s="4"/>
      <c r="BP82" t="str">
        <f t="shared" si="2"/>
        <v>,`payment_class12` INTEGER  COMMENT '支払種別12(金券)'</v>
      </c>
    </row>
    <row r="83" spans="1:68" ht="15" customHeight="1">
      <c r="A83" s="1"/>
      <c r="B83" s="23">
        <f t="shared" si="1"/>
        <v>43</v>
      </c>
      <c r="C83" s="24"/>
      <c r="D83" s="22" t="s">
        <v>1144</v>
      </c>
      <c r="E83" s="25"/>
      <c r="F83" s="25"/>
      <c r="G83" s="25"/>
      <c r="H83" s="25"/>
      <c r="I83" s="25"/>
      <c r="J83" s="25"/>
      <c r="K83" s="25"/>
      <c r="L83" s="25"/>
      <c r="M83" s="25"/>
      <c r="N83" s="25"/>
      <c r="O83" s="25"/>
      <c r="P83" s="25"/>
      <c r="Q83" s="26"/>
      <c r="R83" s="22" t="s">
        <v>1145</v>
      </c>
      <c r="S83" s="25"/>
      <c r="T83" s="25"/>
      <c r="U83" s="25"/>
      <c r="V83" s="25"/>
      <c r="W83" s="25"/>
      <c r="X83" s="25"/>
      <c r="Y83" s="25"/>
      <c r="Z83" s="25"/>
      <c r="AA83" s="25"/>
      <c r="AB83" s="26"/>
      <c r="AC83" s="22" t="s">
        <v>1034</v>
      </c>
      <c r="AD83" s="25"/>
      <c r="AE83" s="25"/>
      <c r="AF83" s="25"/>
      <c r="AG83" s="26"/>
      <c r="AH83" s="22"/>
      <c r="AI83" s="26"/>
      <c r="AJ83" s="22" t="s">
        <v>1020</v>
      </c>
      <c r="AK83" s="25"/>
      <c r="AL83" s="26"/>
      <c r="AM83" s="22" t="s">
        <v>1035</v>
      </c>
      <c r="AN83" s="25"/>
      <c r="AO83" s="25"/>
      <c r="AP83" s="25"/>
      <c r="AQ83" s="25"/>
      <c r="AR83" s="25"/>
      <c r="AS83" s="26"/>
      <c r="AT83" s="22" t="s">
        <v>1079</v>
      </c>
      <c r="AU83" s="25"/>
      <c r="AV83" s="25"/>
      <c r="AW83" s="25"/>
      <c r="AX83" s="25"/>
      <c r="AY83" s="25"/>
      <c r="AZ83" s="25"/>
      <c r="BA83" s="25"/>
      <c r="BB83" s="25"/>
      <c r="BC83" s="25"/>
      <c r="BD83" s="25"/>
      <c r="BE83" s="25"/>
      <c r="BF83" s="25"/>
      <c r="BG83" s="25"/>
      <c r="BH83" s="25"/>
      <c r="BI83" s="25"/>
      <c r="BJ83" s="26"/>
      <c r="BK83" s="4"/>
      <c r="BP83" t="str">
        <f t="shared" si="2"/>
        <v>,`payment_class13` INTEGER  COMMENT '支払種別13'</v>
      </c>
    </row>
    <row r="84" spans="1:68" ht="15" customHeight="1">
      <c r="A84" s="1"/>
      <c r="B84" s="23">
        <f t="shared" si="1"/>
        <v>44</v>
      </c>
      <c r="C84" s="24"/>
      <c r="D84" s="22" t="s">
        <v>1146</v>
      </c>
      <c r="E84" s="25"/>
      <c r="F84" s="25"/>
      <c r="G84" s="25"/>
      <c r="H84" s="25"/>
      <c r="I84" s="25"/>
      <c r="J84" s="25"/>
      <c r="K84" s="25"/>
      <c r="L84" s="25"/>
      <c r="M84" s="25"/>
      <c r="N84" s="25"/>
      <c r="O84" s="25"/>
      <c r="P84" s="25"/>
      <c r="Q84" s="26"/>
      <c r="R84" s="22" t="s">
        <v>1147</v>
      </c>
      <c r="S84" s="25"/>
      <c r="T84" s="25"/>
      <c r="U84" s="25"/>
      <c r="V84" s="25"/>
      <c r="W84" s="25"/>
      <c r="X84" s="25"/>
      <c r="Y84" s="25"/>
      <c r="Z84" s="25"/>
      <c r="AA84" s="25"/>
      <c r="AB84" s="26"/>
      <c r="AC84" s="22" t="s">
        <v>1034</v>
      </c>
      <c r="AD84" s="25"/>
      <c r="AE84" s="25"/>
      <c r="AF84" s="25"/>
      <c r="AG84" s="26"/>
      <c r="AH84" s="22"/>
      <c r="AI84" s="26"/>
      <c r="AJ84" s="22" t="s">
        <v>1020</v>
      </c>
      <c r="AK84" s="25"/>
      <c r="AL84" s="26"/>
      <c r="AM84" s="22" t="s">
        <v>1035</v>
      </c>
      <c r="AN84" s="25"/>
      <c r="AO84" s="25"/>
      <c r="AP84" s="25"/>
      <c r="AQ84" s="25"/>
      <c r="AR84" s="25"/>
      <c r="AS84" s="26"/>
      <c r="AT84" s="22" t="s">
        <v>1079</v>
      </c>
      <c r="AU84" s="25"/>
      <c r="AV84" s="25"/>
      <c r="AW84" s="25"/>
      <c r="AX84" s="25"/>
      <c r="AY84" s="25"/>
      <c r="AZ84" s="25"/>
      <c r="BA84" s="25"/>
      <c r="BB84" s="25"/>
      <c r="BC84" s="25"/>
      <c r="BD84" s="25"/>
      <c r="BE84" s="25"/>
      <c r="BF84" s="25"/>
      <c r="BG84" s="25"/>
      <c r="BH84" s="25"/>
      <c r="BI84" s="25"/>
      <c r="BJ84" s="26"/>
      <c r="BK84" s="4"/>
      <c r="BP84" t="str">
        <f t="shared" si="2"/>
        <v>,`payment_class14` INTEGER  COMMENT '支払種別14'</v>
      </c>
    </row>
    <row r="85" spans="1:68" ht="15" customHeight="1">
      <c r="A85" s="1"/>
      <c r="B85" s="23">
        <f t="shared" si="1"/>
        <v>45</v>
      </c>
      <c r="C85" s="24"/>
      <c r="D85" s="22" t="s">
        <v>1148</v>
      </c>
      <c r="E85" s="25"/>
      <c r="F85" s="25"/>
      <c r="G85" s="25"/>
      <c r="H85" s="25"/>
      <c r="I85" s="25"/>
      <c r="J85" s="25"/>
      <c r="K85" s="25"/>
      <c r="L85" s="25"/>
      <c r="M85" s="25"/>
      <c r="N85" s="25"/>
      <c r="O85" s="25"/>
      <c r="P85" s="25"/>
      <c r="Q85" s="26"/>
      <c r="R85" s="22" t="s">
        <v>1149</v>
      </c>
      <c r="S85" s="25"/>
      <c r="T85" s="25"/>
      <c r="U85" s="25"/>
      <c r="V85" s="25"/>
      <c r="W85" s="25"/>
      <c r="X85" s="25"/>
      <c r="Y85" s="25"/>
      <c r="Z85" s="25"/>
      <c r="AA85" s="25"/>
      <c r="AB85" s="26"/>
      <c r="AC85" s="22" t="s">
        <v>1034</v>
      </c>
      <c r="AD85" s="25"/>
      <c r="AE85" s="25"/>
      <c r="AF85" s="25"/>
      <c r="AG85" s="26"/>
      <c r="AH85" s="22"/>
      <c r="AI85" s="26"/>
      <c r="AJ85" s="22" t="s">
        <v>1020</v>
      </c>
      <c r="AK85" s="25"/>
      <c r="AL85" s="26"/>
      <c r="AM85" s="22" t="s">
        <v>1035</v>
      </c>
      <c r="AN85" s="25"/>
      <c r="AO85" s="25"/>
      <c r="AP85" s="25"/>
      <c r="AQ85" s="25"/>
      <c r="AR85" s="25"/>
      <c r="AS85" s="26"/>
      <c r="AT85" s="22" t="s">
        <v>1079</v>
      </c>
      <c r="AU85" s="25"/>
      <c r="AV85" s="25"/>
      <c r="AW85" s="25"/>
      <c r="AX85" s="25"/>
      <c r="AY85" s="25"/>
      <c r="AZ85" s="25"/>
      <c r="BA85" s="25"/>
      <c r="BB85" s="25"/>
      <c r="BC85" s="25"/>
      <c r="BD85" s="25"/>
      <c r="BE85" s="25"/>
      <c r="BF85" s="25"/>
      <c r="BG85" s="25"/>
      <c r="BH85" s="25"/>
      <c r="BI85" s="25"/>
      <c r="BJ85" s="26"/>
      <c r="BK85" s="4"/>
      <c r="BP85" t="str">
        <f t="shared" si="2"/>
        <v>,`payment_class15` INTEGER  COMMENT '支払種別15'</v>
      </c>
    </row>
    <row r="86" spans="1:68" ht="15" customHeight="1">
      <c r="A86" s="1"/>
      <c r="B86" s="23">
        <f t="shared" si="1"/>
        <v>46</v>
      </c>
      <c r="C86" s="24"/>
      <c r="D86" s="22" t="s">
        <v>1150</v>
      </c>
      <c r="E86" s="25"/>
      <c r="F86" s="25"/>
      <c r="G86" s="25"/>
      <c r="H86" s="25"/>
      <c r="I86" s="25"/>
      <c r="J86" s="25"/>
      <c r="K86" s="25"/>
      <c r="L86" s="25"/>
      <c r="M86" s="25"/>
      <c r="N86" s="25"/>
      <c r="O86" s="25"/>
      <c r="P86" s="25"/>
      <c r="Q86" s="26"/>
      <c r="R86" s="22" t="s">
        <v>1151</v>
      </c>
      <c r="S86" s="25"/>
      <c r="T86" s="25"/>
      <c r="U86" s="25"/>
      <c r="V86" s="25"/>
      <c r="W86" s="25"/>
      <c r="X86" s="25"/>
      <c r="Y86" s="25"/>
      <c r="Z86" s="25"/>
      <c r="AA86" s="25"/>
      <c r="AB86" s="26"/>
      <c r="AC86" s="22" t="s">
        <v>1034</v>
      </c>
      <c r="AD86" s="25"/>
      <c r="AE86" s="25"/>
      <c r="AF86" s="25"/>
      <c r="AG86" s="26"/>
      <c r="AH86" s="22"/>
      <c r="AI86" s="26"/>
      <c r="AJ86" s="22" t="s">
        <v>1020</v>
      </c>
      <c r="AK86" s="25"/>
      <c r="AL86" s="26"/>
      <c r="AM86" s="22" t="s">
        <v>1035</v>
      </c>
      <c r="AN86" s="25"/>
      <c r="AO86" s="25"/>
      <c r="AP86" s="25"/>
      <c r="AQ86" s="25"/>
      <c r="AR86" s="25"/>
      <c r="AS86" s="26"/>
      <c r="AT86" s="66" t="s">
        <v>1079</v>
      </c>
      <c r="AU86" s="25"/>
      <c r="AV86" s="25"/>
      <c r="AW86" s="25"/>
      <c r="AX86" s="25"/>
      <c r="AY86" s="25"/>
      <c r="AZ86" s="25"/>
      <c r="BA86" s="25"/>
      <c r="BB86" s="25"/>
      <c r="BC86" s="25"/>
      <c r="BD86" s="25"/>
      <c r="BE86" s="25"/>
      <c r="BF86" s="25"/>
      <c r="BG86" s="25"/>
      <c r="BH86" s="25"/>
      <c r="BI86" s="25"/>
      <c r="BJ86" s="26"/>
      <c r="BK86" s="4"/>
      <c r="BP86" t="str">
        <f t="shared" si="2"/>
        <v>,`payment_class16` INTEGER  COMMENT '支払種別16'</v>
      </c>
    </row>
    <row r="87" spans="1:68" ht="15" customHeight="1">
      <c r="A87" s="1"/>
      <c r="B87" s="23">
        <f t="shared" ref="B87:B90" si="3">B86+1</f>
        <v>47</v>
      </c>
      <c r="C87" s="24"/>
      <c r="D87" s="22" t="s">
        <v>1152</v>
      </c>
      <c r="E87" s="25"/>
      <c r="F87" s="25"/>
      <c r="G87" s="25"/>
      <c r="H87" s="25"/>
      <c r="I87" s="25"/>
      <c r="J87" s="25"/>
      <c r="K87" s="25"/>
      <c r="L87" s="25"/>
      <c r="M87" s="25"/>
      <c r="N87" s="25"/>
      <c r="O87" s="25"/>
      <c r="P87" s="25"/>
      <c r="Q87" s="26"/>
      <c r="R87" s="22" t="s">
        <v>1153</v>
      </c>
      <c r="S87" s="25"/>
      <c r="T87" s="25"/>
      <c r="U87" s="25"/>
      <c r="V87" s="25"/>
      <c r="W87" s="25"/>
      <c r="X87" s="25"/>
      <c r="Y87" s="25"/>
      <c r="Z87" s="25"/>
      <c r="AA87" s="25"/>
      <c r="AB87" s="26"/>
      <c r="AC87" s="22" t="s">
        <v>1034</v>
      </c>
      <c r="AD87" s="25"/>
      <c r="AE87" s="25"/>
      <c r="AF87" s="25"/>
      <c r="AG87" s="26"/>
      <c r="AH87" s="22"/>
      <c r="AI87" s="26"/>
      <c r="AJ87" s="22" t="s">
        <v>1020</v>
      </c>
      <c r="AK87" s="25"/>
      <c r="AL87" s="26"/>
      <c r="AM87" s="22" t="s">
        <v>1035</v>
      </c>
      <c r="AN87" s="25"/>
      <c r="AO87" s="25"/>
      <c r="AP87" s="25"/>
      <c r="AQ87" s="25"/>
      <c r="AR87" s="25"/>
      <c r="AS87" s="26"/>
      <c r="AT87" s="22" t="s">
        <v>1079</v>
      </c>
      <c r="AU87" s="25"/>
      <c r="AV87" s="25"/>
      <c r="AW87" s="25"/>
      <c r="AX87" s="25"/>
      <c r="AY87" s="25"/>
      <c r="AZ87" s="25"/>
      <c r="BA87" s="25"/>
      <c r="BB87" s="25"/>
      <c r="BC87" s="25"/>
      <c r="BD87" s="25"/>
      <c r="BE87" s="25"/>
      <c r="BF87" s="25"/>
      <c r="BG87" s="25"/>
      <c r="BH87" s="25"/>
      <c r="BI87" s="25"/>
      <c r="BJ87" s="26"/>
      <c r="BK87" s="4"/>
      <c r="BP87" t="str">
        <f t="shared" si="2"/>
        <v>,`payment_class17` INTEGER  COMMENT '支払種別17'</v>
      </c>
    </row>
    <row r="88" spans="1:68" ht="15" customHeight="1">
      <c r="A88" s="1"/>
      <c r="B88" s="23">
        <f t="shared" si="3"/>
        <v>48</v>
      </c>
      <c r="C88" s="24"/>
      <c r="D88" s="22" t="s">
        <v>1154</v>
      </c>
      <c r="E88" s="25"/>
      <c r="F88" s="25"/>
      <c r="G88" s="25"/>
      <c r="H88" s="25"/>
      <c r="I88" s="25"/>
      <c r="J88" s="25"/>
      <c r="K88" s="25"/>
      <c r="L88" s="25"/>
      <c r="M88" s="25"/>
      <c r="N88" s="25"/>
      <c r="O88" s="25"/>
      <c r="P88" s="25"/>
      <c r="Q88" s="26"/>
      <c r="R88" s="22" t="s">
        <v>1155</v>
      </c>
      <c r="S88" s="25"/>
      <c r="T88" s="25"/>
      <c r="U88" s="25"/>
      <c r="V88" s="25"/>
      <c r="W88" s="25"/>
      <c r="X88" s="25"/>
      <c r="Y88" s="25"/>
      <c r="Z88" s="25"/>
      <c r="AA88" s="25"/>
      <c r="AB88" s="26"/>
      <c r="AC88" s="22" t="s">
        <v>1034</v>
      </c>
      <c r="AD88" s="25"/>
      <c r="AE88" s="25"/>
      <c r="AF88" s="25"/>
      <c r="AG88" s="26"/>
      <c r="AH88" s="22"/>
      <c r="AI88" s="26"/>
      <c r="AJ88" s="22" t="s">
        <v>1020</v>
      </c>
      <c r="AK88" s="25"/>
      <c r="AL88" s="26"/>
      <c r="AM88" s="22" t="s">
        <v>1035</v>
      </c>
      <c r="AN88" s="25"/>
      <c r="AO88" s="25"/>
      <c r="AP88" s="25"/>
      <c r="AQ88" s="25"/>
      <c r="AR88" s="25"/>
      <c r="AS88" s="26"/>
      <c r="AT88" s="22" t="s">
        <v>1079</v>
      </c>
      <c r="AU88" s="25"/>
      <c r="AV88" s="25"/>
      <c r="AW88" s="25"/>
      <c r="AX88" s="25"/>
      <c r="AY88" s="25"/>
      <c r="AZ88" s="25"/>
      <c r="BA88" s="25"/>
      <c r="BB88" s="25"/>
      <c r="BC88" s="25"/>
      <c r="BD88" s="25"/>
      <c r="BE88" s="25"/>
      <c r="BF88" s="25"/>
      <c r="BG88" s="25"/>
      <c r="BH88" s="25"/>
      <c r="BI88" s="25"/>
      <c r="BJ88" s="26"/>
      <c r="BK88" s="4"/>
      <c r="BP88" t="str">
        <f t="shared" si="2"/>
        <v>,`payment_class18` INTEGER  COMMENT '支払種別18'</v>
      </c>
    </row>
    <row r="89" spans="1:68" ht="15" customHeight="1">
      <c r="A89" s="1"/>
      <c r="B89" s="23">
        <f t="shared" si="3"/>
        <v>49</v>
      </c>
      <c r="C89" s="24"/>
      <c r="D89" s="22" t="s">
        <v>1156</v>
      </c>
      <c r="E89" s="25"/>
      <c r="F89" s="25"/>
      <c r="G89" s="25"/>
      <c r="H89" s="25"/>
      <c r="I89" s="25"/>
      <c r="J89" s="25"/>
      <c r="K89" s="25"/>
      <c r="L89" s="25"/>
      <c r="M89" s="25"/>
      <c r="N89" s="25"/>
      <c r="O89" s="25"/>
      <c r="P89" s="25"/>
      <c r="Q89" s="26"/>
      <c r="R89" s="22" t="s">
        <v>1157</v>
      </c>
      <c r="S89" s="25"/>
      <c r="T89" s="25"/>
      <c r="U89" s="25"/>
      <c r="V89" s="25"/>
      <c r="W89" s="25"/>
      <c r="X89" s="25"/>
      <c r="Y89" s="25"/>
      <c r="Z89" s="25"/>
      <c r="AA89" s="25"/>
      <c r="AB89" s="26"/>
      <c r="AC89" s="22" t="s">
        <v>1034</v>
      </c>
      <c r="AD89" s="25"/>
      <c r="AE89" s="25"/>
      <c r="AF89" s="25"/>
      <c r="AG89" s="26"/>
      <c r="AH89" s="22"/>
      <c r="AI89" s="26"/>
      <c r="AJ89" s="22" t="s">
        <v>1020</v>
      </c>
      <c r="AK89" s="25"/>
      <c r="AL89" s="26"/>
      <c r="AM89" s="22" t="s">
        <v>1035</v>
      </c>
      <c r="AN89" s="25"/>
      <c r="AO89" s="25"/>
      <c r="AP89" s="25"/>
      <c r="AQ89" s="25"/>
      <c r="AR89" s="25"/>
      <c r="AS89" s="26"/>
      <c r="AT89" s="22" t="s">
        <v>1079</v>
      </c>
      <c r="AU89" s="25"/>
      <c r="AV89" s="25"/>
      <c r="AW89" s="25"/>
      <c r="AX89" s="25"/>
      <c r="AY89" s="25"/>
      <c r="AZ89" s="25"/>
      <c r="BA89" s="25"/>
      <c r="BB89" s="25"/>
      <c r="BC89" s="25"/>
      <c r="BD89" s="25"/>
      <c r="BE89" s="25"/>
      <c r="BF89" s="25"/>
      <c r="BG89" s="25"/>
      <c r="BH89" s="25"/>
      <c r="BI89" s="25"/>
      <c r="BJ89" s="26"/>
      <c r="BK89" s="4"/>
      <c r="BP89" t="str">
        <f t="shared" si="2"/>
        <v>,`payment_class19` INTEGER  COMMENT '支払種別19'</v>
      </c>
    </row>
    <row r="90" spans="1:68" ht="15" customHeight="1">
      <c r="A90" s="1"/>
      <c r="B90" s="28">
        <f t="shared" si="3"/>
        <v>50</v>
      </c>
      <c r="C90" s="29"/>
      <c r="D90" s="30" t="s">
        <v>1158</v>
      </c>
      <c r="E90" s="31"/>
      <c r="F90" s="31"/>
      <c r="G90" s="31"/>
      <c r="H90" s="31"/>
      <c r="I90" s="31"/>
      <c r="J90" s="31"/>
      <c r="K90" s="31"/>
      <c r="L90" s="31"/>
      <c r="M90" s="31"/>
      <c r="N90" s="31"/>
      <c r="O90" s="31"/>
      <c r="P90" s="31"/>
      <c r="Q90" s="32"/>
      <c r="R90" s="30" t="s">
        <v>1159</v>
      </c>
      <c r="S90" s="31"/>
      <c r="T90" s="31"/>
      <c r="U90" s="31"/>
      <c r="V90" s="31"/>
      <c r="W90" s="31"/>
      <c r="X90" s="31"/>
      <c r="Y90" s="31"/>
      <c r="Z90" s="31"/>
      <c r="AA90" s="31"/>
      <c r="AB90" s="32"/>
      <c r="AC90" s="30" t="s">
        <v>1034</v>
      </c>
      <c r="AD90" s="31"/>
      <c r="AE90" s="31"/>
      <c r="AF90" s="31"/>
      <c r="AG90" s="32"/>
      <c r="AH90" s="30"/>
      <c r="AI90" s="32"/>
      <c r="AJ90" s="30" t="s">
        <v>1020</v>
      </c>
      <c r="AK90" s="31"/>
      <c r="AL90" s="32"/>
      <c r="AM90" s="30" t="s">
        <v>1035</v>
      </c>
      <c r="AN90" s="31"/>
      <c r="AO90" s="31"/>
      <c r="AP90" s="31"/>
      <c r="AQ90" s="31"/>
      <c r="AR90" s="31"/>
      <c r="AS90" s="32"/>
      <c r="AT90" s="120" t="s">
        <v>1079</v>
      </c>
      <c r="AU90" s="31"/>
      <c r="AV90" s="31"/>
      <c r="AW90" s="31"/>
      <c r="AX90" s="31"/>
      <c r="AY90" s="31"/>
      <c r="AZ90" s="31"/>
      <c r="BA90" s="31"/>
      <c r="BB90" s="31"/>
      <c r="BC90" s="31"/>
      <c r="BD90" s="31"/>
      <c r="BE90" s="31"/>
      <c r="BF90" s="31"/>
      <c r="BG90" s="31"/>
      <c r="BH90" s="31"/>
      <c r="BI90" s="31"/>
      <c r="BJ90" s="32"/>
      <c r="BK90" s="4"/>
      <c r="BP90" t="str">
        <f t="shared" si="2"/>
        <v>,`payment_class20` INTEGER  COMMENT '支払種別20'</v>
      </c>
    </row>
    <row r="91" spans="1:68" ht="15" customHeight="1">
      <c r="A91" s="1"/>
      <c r="BK91" s="4"/>
      <c r="BP9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(`company_code`,`store_code`,`instore_code`),</v>
      </c>
    </row>
    <row r="92" spans="1:68" ht="15" customHeight="1">
      <c r="A92" s="1"/>
      <c r="B92" s="37" t="s">
        <v>49</v>
      </c>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4"/>
      <c r="BP92" s="97" t="s">
        <v>452</v>
      </c>
    </row>
    <row r="93" spans="1:68" ht="15" customHeight="1">
      <c r="A93" s="1"/>
      <c r="B93" s="34" t="s">
        <v>50</v>
      </c>
      <c r="C93" s="35"/>
      <c r="D93" s="34" t="s">
        <v>51</v>
      </c>
      <c r="E93" s="44"/>
      <c r="F93" s="36"/>
      <c r="G93" s="36"/>
      <c r="H93" s="36"/>
      <c r="I93" s="36"/>
      <c r="J93" s="36"/>
      <c r="K93" s="36"/>
      <c r="L93" s="36"/>
      <c r="M93" s="36"/>
      <c r="N93" s="36"/>
      <c r="O93" s="36"/>
      <c r="P93" s="36"/>
      <c r="Q93" s="35"/>
      <c r="R93" s="34" t="s">
        <v>52</v>
      </c>
      <c r="S93" s="44"/>
      <c r="T93" s="36"/>
      <c r="U93" s="36"/>
      <c r="V93" s="36"/>
      <c r="W93" s="36"/>
      <c r="X93" s="36"/>
      <c r="Y93" s="36"/>
      <c r="Z93" s="36"/>
      <c r="AA93" s="36"/>
      <c r="AB93" s="36"/>
      <c r="AC93" s="36"/>
      <c r="AD93" s="36"/>
      <c r="AE93" s="36"/>
      <c r="AF93" s="36"/>
      <c r="AG93" s="36"/>
      <c r="AH93" s="36"/>
      <c r="AI93" s="36"/>
      <c r="AJ93" s="36"/>
      <c r="AK93" s="35"/>
      <c r="AL93" s="34" t="s">
        <v>53</v>
      </c>
      <c r="AM93" s="36"/>
      <c r="AN93" s="36"/>
      <c r="AO93" s="45"/>
      <c r="AP93" s="34" t="s">
        <v>54</v>
      </c>
      <c r="AQ93" s="36"/>
      <c r="AR93" s="36"/>
      <c r="AS93" s="35"/>
      <c r="AT93" s="34" t="s">
        <v>48</v>
      </c>
      <c r="AU93" s="44"/>
      <c r="AV93" s="44"/>
      <c r="AW93" s="36"/>
      <c r="AX93" s="36"/>
      <c r="AY93" s="44"/>
      <c r="AZ93" s="36"/>
      <c r="BA93" s="36"/>
      <c r="BB93" s="36"/>
      <c r="BC93" s="36"/>
      <c r="BD93" s="36"/>
      <c r="BE93" s="36"/>
      <c r="BF93" s="36"/>
      <c r="BG93" s="36"/>
      <c r="BH93" s="36"/>
      <c r="BI93" s="44"/>
      <c r="BJ93" s="35"/>
      <c r="BK93" s="4"/>
      <c r="BP93" s="97" t="str">
        <f>") ENGINE=InnoDB DEFAULT CHARSET=utf8mb4 COLLATE=utf8mb4_0900_ai_ci COMMENT = '"&amp;$G$9&amp;"';"</f>
        <v>) ENGINE=InnoDB DEFAULT CHARSET=utf8mb4 COLLATE=utf8mb4_0900_ai_ci COMMENT = 'POS機器設定';</v>
      </c>
    </row>
    <row r="94" spans="1:68" ht="15" customHeight="1">
      <c r="A94" s="1"/>
      <c r="B94" s="38">
        <v>1</v>
      </c>
      <c r="C94" s="39"/>
      <c r="D94" s="38" t="s">
        <v>55</v>
      </c>
      <c r="E94" s="46"/>
      <c r="F94" s="40"/>
      <c r="G94" s="40"/>
      <c r="H94" s="40"/>
      <c r="I94" s="40"/>
      <c r="J94" s="40"/>
      <c r="K94" s="40"/>
      <c r="L94" s="40"/>
      <c r="M94" s="40"/>
      <c r="N94" s="40"/>
      <c r="O94" s="40"/>
      <c r="P94" s="40"/>
      <c r="Q94" s="39"/>
      <c r="R94" s="38" t="s">
        <v>1160</v>
      </c>
      <c r="S94" s="46"/>
      <c r="T94" s="40"/>
      <c r="U94" s="40"/>
      <c r="V94" s="40"/>
      <c r="W94" s="40"/>
      <c r="X94" s="40"/>
      <c r="Y94" s="40"/>
      <c r="Z94" s="40"/>
      <c r="AA94" s="40"/>
      <c r="AB94" s="40"/>
      <c r="AC94" s="40"/>
      <c r="AD94" s="40"/>
      <c r="AE94" s="40"/>
      <c r="AF94" s="40"/>
      <c r="AG94" s="40"/>
      <c r="AH94" s="40"/>
      <c r="AI94" s="40"/>
      <c r="AJ94" s="40"/>
      <c r="AK94" s="39"/>
      <c r="AL94" s="38" t="s">
        <v>1161</v>
      </c>
      <c r="AM94" s="40"/>
      <c r="AN94" s="40"/>
      <c r="AO94" s="47"/>
      <c r="AP94" s="38" t="s">
        <v>1161</v>
      </c>
      <c r="AQ94" s="40"/>
      <c r="AR94" s="40"/>
      <c r="AS94" s="39"/>
      <c r="AT94" s="38"/>
      <c r="AU94" s="46"/>
      <c r="AV94" s="46"/>
      <c r="AW94" s="40"/>
      <c r="AX94" s="40"/>
      <c r="AY94" s="46"/>
      <c r="AZ94" s="40"/>
      <c r="BA94" s="40"/>
      <c r="BB94" s="40"/>
      <c r="BC94" s="40"/>
      <c r="BD94" s="40"/>
      <c r="BE94" s="40"/>
      <c r="BF94" s="40"/>
      <c r="BG94" s="40"/>
      <c r="BH94" s="40"/>
      <c r="BI94" s="46"/>
      <c r="BJ94" s="39"/>
      <c r="BK94" s="4"/>
      <c r="BP94" s="97"/>
    </row>
    <row r="95" spans="1:68" ht="15" customHeight="1">
      <c r="A95" s="1"/>
      <c r="BK95" s="4"/>
      <c r="BP95" s="97" t="str">
        <f>"CREATE TRIGGER `"&amp;$G$8&amp;"`.`"&amp;$G$10&amp;"_CR_Date_Time` BEFORE INSERT ON `"&amp;$G$10&amp;"` FOR EACH ROW SET NEW.record_create_date = CURRENT_DATE, NEW.record_create_time = CURRENT_TIME, NEW.record_update_date = CURRENT_DATE, NEW.record_update_time = CURRENT_TIME;"</f>
        <v>CREATE TRIGGER `Pos_device`.`PosDeviceSetting_CR_Date_Time` BEFORE INSERT ON `PosDeviceSetting` FOR EACH ROW SET NEW.record_create_date = CURRENT_DATE, NEW.record_create_time = CURRENT_TIME, NEW.record_update_date = CURRENT_DATE, NEW.record_update_time = CURRENT_TIME;</v>
      </c>
    </row>
    <row r="96" spans="1:68" ht="15" customHeight="1">
      <c r="A96" s="1"/>
      <c r="B96" s="37" t="s">
        <v>34</v>
      </c>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4"/>
      <c r="BP96" s="97" t="str">
        <f>"CREATE TRIGGER `"&amp;$G$8&amp;"`.`"&amp;$G$10&amp;"_UP_Date_Time` BEFORE UPDATE ON `"&amp;$G$10&amp;"` FOR EACH ROW SET NEW.record_update_date = CURRENT_DATE, NEW.record_update_time = CURRENT_TIME;"</f>
        <v>CREATE TRIGGER `Pos_device`.`PosDeviceSetting_UP_Date_Time` BEFORE UPDATE ON `PosDeviceSetting` FOR EACH ROW SET NEW.record_update_date = CURRENT_DATE, NEW.record_update_time = CURRENT_TIME;</v>
      </c>
    </row>
    <row r="97" spans="1:65" ht="15" customHeight="1">
      <c r="A97" s="1"/>
      <c r="B97" s="34" t="s">
        <v>35</v>
      </c>
      <c r="C97" s="45"/>
      <c r="D97" s="34" t="s">
        <v>36</v>
      </c>
      <c r="E97" s="44"/>
      <c r="F97" s="44"/>
      <c r="G97" s="44"/>
      <c r="H97" s="44"/>
      <c r="I97" s="44"/>
      <c r="J97" s="44"/>
      <c r="K97" s="44"/>
      <c r="L97" s="36"/>
      <c r="M97" s="36"/>
      <c r="N97" s="36"/>
      <c r="O97" s="36"/>
      <c r="P97" s="36"/>
      <c r="Q97" s="35"/>
      <c r="R97" s="34" t="s">
        <v>37</v>
      </c>
      <c r="S97" s="36"/>
      <c r="T97" s="45"/>
      <c r="U97" s="34" t="s">
        <v>38</v>
      </c>
      <c r="V97" s="36"/>
      <c r="W97" s="44"/>
      <c r="X97" s="45"/>
      <c r="Y97" s="34" t="s">
        <v>39</v>
      </c>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6"/>
      <c r="BE97" s="36"/>
      <c r="BF97" s="36"/>
      <c r="BG97" s="36"/>
      <c r="BH97" s="36"/>
      <c r="BI97" s="36"/>
      <c r="BJ97" s="35"/>
      <c r="BK97" s="4"/>
    </row>
    <row r="98" spans="1:65" ht="15" customHeight="1">
      <c r="A98" s="1"/>
      <c r="B98" s="41">
        <v>1</v>
      </c>
      <c r="C98" s="47"/>
      <c r="D98" s="41" t="str">
        <f>G10&amp;"_"&amp;R98&amp;"_"&amp;"trg"</f>
        <v>PosDeviceSetting_update_trg</v>
      </c>
      <c r="E98" s="46"/>
      <c r="F98" s="46"/>
      <c r="G98" s="46"/>
      <c r="H98" s="46"/>
      <c r="I98" s="46"/>
      <c r="J98" s="46"/>
      <c r="K98" s="46"/>
      <c r="L98" s="42"/>
      <c r="M98" s="42"/>
      <c r="N98" s="42"/>
      <c r="O98" s="42"/>
      <c r="P98" s="42"/>
      <c r="Q98" s="43"/>
      <c r="R98" s="41" t="s">
        <v>40</v>
      </c>
      <c r="S98" s="42"/>
      <c r="T98" s="47"/>
      <c r="U98" s="41" t="s">
        <v>41</v>
      </c>
      <c r="V98" s="42"/>
      <c r="W98" s="46"/>
      <c r="X98" s="47"/>
      <c r="Y98" s="41" t="s">
        <v>42</v>
      </c>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3"/>
      <c r="BK98" s="4"/>
    </row>
    <row r="99" spans="1:65" ht="15" customHeight="1">
      <c r="A99" s="1"/>
      <c r="BK99" s="4"/>
    </row>
    <row r="100" spans="1:65" ht="15" customHeight="1">
      <c r="A100" s="1"/>
      <c r="B100" t="s">
        <v>1162</v>
      </c>
      <c r="BK100" s="4"/>
    </row>
    <row r="101" spans="1:65" ht="15" customHeight="1">
      <c r="A101" s="1"/>
      <c r="B101" s="320" t="s">
        <v>1163</v>
      </c>
      <c r="C101" s="320"/>
      <c r="D101" s="320"/>
      <c r="E101" s="320"/>
      <c r="F101" s="320" t="s">
        <v>1164</v>
      </c>
      <c r="G101" s="320"/>
      <c r="H101" s="320"/>
      <c r="I101" s="320"/>
      <c r="J101" s="320"/>
      <c r="K101" s="320"/>
      <c r="L101" s="320"/>
      <c r="M101" s="320"/>
      <c r="N101" s="320"/>
      <c r="O101" s="320"/>
      <c r="P101" s="320"/>
      <c r="Q101" s="320"/>
      <c r="R101" s="320"/>
      <c r="S101" s="320"/>
      <c r="T101" s="320"/>
      <c r="U101" s="320"/>
      <c r="V101" s="320"/>
      <c r="W101" s="320"/>
      <c r="X101" s="320"/>
      <c r="Y101" s="320"/>
      <c r="Z101" s="320"/>
      <c r="AA101" s="321" t="s">
        <v>1165</v>
      </c>
      <c r="AB101" s="321"/>
      <c r="AC101" s="321"/>
      <c r="AD101" s="321"/>
      <c r="AE101" s="321"/>
      <c r="AF101" s="321" t="s">
        <v>1166</v>
      </c>
      <c r="AG101" s="321"/>
      <c r="AH101" s="321"/>
      <c r="AI101" s="321"/>
      <c r="AJ101" s="321"/>
      <c r="AL101" t="s">
        <v>1167</v>
      </c>
      <c r="BK101" s="4"/>
    </row>
    <row r="102" spans="1:65" ht="15" customHeight="1">
      <c r="A102" s="1"/>
      <c r="B102" s="322" t="s">
        <v>1168</v>
      </c>
      <c r="C102" s="322"/>
      <c r="D102" s="322"/>
      <c r="E102" s="322"/>
      <c r="F102" s="322" t="s">
        <v>1169</v>
      </c>
      <c r="G102" s="322"/>
      <c r="H102" s="322"/>
      <c r="I102" s="322"/>
      <c r="J102" s="322"/>
      <c r="K102" s="322"/>
      <c r="L102" s="322"/>
      <c r="M102" s="322"/>
      <c r="N102" s="322"/>
      <c r="O102" s="322"/>
      <c r="P102" s="322"/>
      <c r="Q102" s="322"/>
      <c r="R102" s="322"/>
      <c r="S102" s="322"/>
      <c r="T102" s="322"/>
      <c r="U102" s="322"/>
      <c r="V102" s="322"/>
      <c r="W102" s="322"/>
      <c r="X102" s="322"/>
      <c r="Y102" s="322"/>
      <c r="Z102" s="322"/>
      <c r="AA102" s="323" t="s">
        <v>1170</v>
      </c>
      <c r="AB102" s="323"/>
      <c r="AC102" s="323"/>
      <c r="AD102" s="323"/>
      <c r="AE102" s="323"/>
      <c r="AF102" s="323" t="s">
        <v>1171</v>
      </c>
      <c r="AG102" s="323"/>
      <c r="AH102" s="323"/>
      <c r="AI102" s="323"/>
      <c r="AJ102" s="323"/>
      <c r="AL102" t="s">
        <v>1172</v>
      </c>
      <c r="BK102" s="4"/>
    </row>
    <row r="103" spans="1:65" ht="15" customHeight="1">
      <c r="A103" s="1"/>
      <c r="BM103" s="4"/>
    </row>
    <row r="104" spans="1:65" ht="15" customHeight="1">
      <c r="A104" s="1"/>
      <c r="B104" s="128" t="s">
        <v>1173</v>
      </c>
      <c r="C104" s="129"/>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29"/>
      <c r="AD104" s="129"/>
      <c r="AE104" s="129"/>
      <c r="AF104" s="129"/>
      <c r="AG104" s="129"/>
      <c r="AH104" s="129"/>
      <c r="AI104" s="129"/>
      <c r="AJ104" s="129"/>
      <c r="AK104" s="129"/>
      <c r="AL104" s="129"/>
      <c r="AM104" s="130"/>
      <c r="AN104" s="131" t="s">
        <v>1174</v>
      </c>
      <c r="AO104" s="132"/>
      <c r="AP104" s="132"/>
      <c r="AQ104" s="132"/>
      <c r="AR104" s="132"/>
      <c r="AS104" s="132"/>
      <c r="AT104" s="132"/>
      <c r="AU104" s="132"/>
      <c r="AV104" s="132"/>
      <c r="AW104" s="132"/>
      <c r="AX104" s="132"/>
      <c r="AY104" s="132"/>
      <c r="AZ104" s="132"/>
      <c r="BA104" s="132"/>
      <c r="BB104" s="132"/>
      <c r="BC104" s="132"/>
      <c r="BD104" s="132"/>
      <c r="BE104" s="132"/>
      <c r="BF104" s="132"/>
      <c r="BG104" s="132"/>
      <c r="BH104" s="133"/>
      <c r="BI104" s="133"/>
      <c r="BJ104" s="134"/>
      <c r="BM104" s="4"/>
    </row>
    <row r="105" spans="1:65" ht="15" customHeight="1">
      <c r="A105" s="1"/>
      <c r="B105" s="135" t="s">
        <v>1175</v>
      </c>
      <c r="C105" s="136"/>
      <c r="D105" s="136"/>
      <c r="E105" s="136"/>
      <c r="F105" s="136"/>
      <c r="G105" s="136"/>
      <c r="H105" s="136"/>
      <c r="I105" s="137" t="s">
        <v>1176</v>
      </c>
      <c r="J105" s="136"/>
      <c r="K105" s="136"/>
      <c r="L105" s="137" t="s">
        <v>1177</v>
      </c>
      <c r="M105" s="138"/>
      <c r="N105" s="138"/>
      <c r="O105" s="139" t="s">
        <v>1178</v>
      </c>
      <c r="P105" s="138"/>
      <c r="Q105" s="136"/>
      <c r="R105" s="137" t="s">
        <v>1179</v>
      </c>
      <c r="S105" s="138"/>
      <c r="T105" s="138"/>
      <c r="U105" s="136"/>
      <c r="V105" s="140"/>
      <c r="W105" s="140"/>
      <c r="X105" s="136"/>
      <c r="Y105" s="136"/>
      <c r="Z105" s="136"/>
      <c r="AA105" s="136"/>
      <c r="AB105" s="137" t="s">
        <v>1180</v>
      </c>
      <c r="AC105" s="136"/>
      <c r="AD105" s="136"/>
      <c r="AE105" s="136"/>
      <c r="AF105" s="140"/>
      <c r="AG105" s="140"/>
      <c r="AH105" s="140"/>
      <c r="AI105" s="136"/>
      <c r="AJ105" s="136"/>
      <c r="AK105" s="136"/>
      <c r="AL105" s="136"/>
      <c r="AM105" s="141"/>
      <c r="AN105" s="142"/>
      <c r="AO105" s="143"/>
      <c r="AP105" s="144"/>
      <c r="AQ105" s="143"/>
      <c r="AR105" s="143"/>
      <c r="AS105" s="143"/>
      <c r="AT105" s="143"/>
      <c r="AU105" s="143"/>
      <c r="AV105" s="143"/>
      <c r="AW105" s="143"/>
      <c r="AX105" s="143"/>
      <c r="AY105" s="143"/>
      <c r="AZ105" s="143"/>
      <c r="BA105" s="143"/>
      <c r="BB105" s="143"/>
      <c r="BC105" s="143"/>
      <c r="BD105" s="143"/>
      <c r="BE105" s="143"/>
      <c r="BF105" s="143"/>
      <c r="BG105" s="143"/>
      <c r="BH105" s="143"/>
      <c r="BI105" s="143"/>
      <c r="BJ105" s="145"/>
      <c r="BM105" s="4"/>
    </row>
    <row r="106" spans="1:65" ht="15" customHeight="1">
      <c r="A106" s="1"/>
      <c r="B106" s="146"/>
      <c r="C106" s="147"/>
      <c r="D106" s="147"/>
      <c r="E106" s="147"/>
      <c r="F106" s="147"/>
      <c r="G106" s="147"/>
      <c r="H106" s="148"/>
      <c r="I106" s="149"/>
      <c r="J106" s="147"/>
      <c r="K106" s="148"/>
      <c r="L106" s="150"/>
      <c r="M106" s="147"/>
      <c r="N106" s="148"/>
      <c r="O106" s="151"/>
      <c r="P106" s="147"/>
      <c r="Q106" s="148"/>
      <c r="R106" s="149"/>
      <c r="S106" s="147"/>
      <c r="T106" s="147"/>
      <c r="U106" s="147"/>
      <c r="V106" s="124"/>
      <c r="W106" s="124"/>
      <c r="X106" s="152"/>
      <c r="Y106" s="152"/>
      <c r="Z106" s="152"/>
      <c r="AA106" s="153"/>
      <c r="AB106" s="154" t="s">
        <v>1181</v>
      </c>
      <c r="AC106" s="155"/>
      <c r="AD106" s="155"/>
      <c r="AE106" s="155"/>
      <c r="AF106" s="156"/>
      <c r="AG106" s="156"/>
      <c r="AH106" s="156"/>
      <c r="AI106" s="155"/>
      <c r="AJ106" s="155"/>
      <c r="AK106" s="155"/>
      <c r="AL106" s="155"/>
      <c r="AM106" s="157"/>
      <c r="AN106" s="158" t="s">
        <v>1182</v>
      </c>
      <c r="AO106" s="159"/>
      <c r="AP106" s="156"/>
      <c r="AQ106" s="160"/>
      <c r="AR106" s="160"/>
      <c r="AS106" s="160"/>
      <c r="AT106" s="160"/>
      <c r="AU106" s="160"/>
      <c r="AV106" s="160"/>
      <c r="AW106" s="160"/>
      <c r="AX106" s="160"/>
      <c r="AY106" s="160"/>
      <c r="AZ106" s="160"/>
      <c r="BA106" s="160"/>
      <c r="BB106" s="160"/>
      <c r="BC106" s="160"/>
      <c r="BD106" s="160"/>
      <c r="BE106" s="160"/>
      <c r="BF106" s="160"/>
      <c r="BG106" s="160"/>
      <c r="BH106" s="160"/>
      <c r="BI106" s="160"/>
      <c r="BJ106" s="157"/>
      <c r="BM106" s="4"/>
    </row>
    <row r="107" spans="1:65" ht="15" customHeight="1">
      <c r="A107" s="2"/>
      <c r="B107" s="161" t="s">
        <v>1183</v>
      </c>
      <c r="C107" s="162"/>
      <c r="D107" s="162"/>
      <c r="E107" s="162"/>
      <c r="F107" s="162"/>
      <c r="G107" s="162"/>
      <c r="H107" s="163"/>
      <c r="I107" s="164" t="s">
        <v>1184</v>
      </c>
      <c r="J107" s="162"/>
      <c r="K107" s="163"/>
      <c r="L107" s="165" t="s">
        <v>1185</v>
      </c>
      <c r="M107" s="162"/>
      <c r="N107" s="163"/>
      <c r="O107" s="166" t="s">
        <v>1187</v>
      </c>
      <c r="P107" s="162"/>
      <c r="Q107" s="163"/>
      <c r="R107" s="164" t="s">
        <v>1188</v>
      </c>
      <c r="S107" s="162"/>
      <c r="T107" s="162"/>
      <c r="U107" s="162"/>
      <c r="V107" s="67"/>
      <c r="W107" s="67"/>
      <c r="X107" s="167"/>
      <c r="Y107" s="167"/>
      <c r="Z107" s="167"/>
      <c r="AA107" s="168"/>
      <c r="AB107" s="169" t="str">
        <f>"  """&amp;B107&amp;": ""300"","""</f>
        <v xml:space="preserve">  "company_code: "300","</v>
      </c>
      <c r="AC107" s="170"/>
      <c r="AD107" s="170"/>
      <c r="AE107" s="170"/>
      <c r="AF107" s="33"/>
      <c r="AG107" s="33"/>
      <c r="AH107" s="33"/>
      <c r="AI107" s="170"/>
      <c r="AJ107" s="170"/>
      <c r="AK107" s="170"/>
      <c r="AL107" s="170"/>
      <c r="AM107" s="171"/>
      <c r="AN107" s="172"/>
      <c r="AO107" s="173"/>
      <c r="AP107" s="33"/>
      <c r="AQ107" s="174"/>
      <c r="AR107" s="174"/>
      <c r="AS107" s="174"/>
      <c r="AT107" s="174"/>
      <c r="AU107" s="174"/>
      <c r="AV107" s="174"/>
      <c r="AW107" s="174"/>
      <c r="AX107" s="174"/>
      <c r="AY107" s="174"/>
      <c r="AZ107" s="174"/>
      <c r="BA107" s="174"/>
      <c r="BB107" s="174"/>
      <c r="BC107" s="174"/>
      <c r="BD107" s="174"/>
      <c r="BE107" s="174"/>
      <c r="BF107" s="174"/>
      <c r="BG107" s="174"/>
      <c r="BH107" s="174"/>
      <c r="BI107" s="174"/>
      <c r="BJ107" s="171"/>
      <c r="BK107" s="3"/>
      <c r="BL107" s="3"/>
      <c r="BM107" s="5"/>
    </row>
    <row r="108" spans="1:65" ht="16.5">
      <c r="B108" s="161" t="s">
        <v>1189</v>
      </c>
      <c r="C108" s="162"/>
      <c r="D108" s="162"/>
      <c r="E108" s="162"/>
      <c r="F108" s="162"/>
      <c r="G108" s="162"/>
      <c r="H108" s="163"/>
      <c r="I108" s="164" t="s">
        <v>1184</v>
      </c>
      <c r="J108" s="162"/>
      <c r="K108" s="163"/>
      <c r="L108" s="175" t="s">
        <v>1185</v>
      </c>
      <c r="M108" s="162"/>
      <c r="N108" s="163"/>
      <c r="O108" s="166" t="s">
        <v>1187</v>
      </c>
      <c r="P108" s="162"/>
      <c r="Q108" s="163"/>
      <c r="R108" s="164" t="s">
        <v>1190</v>
      </c>
      <c r="S108" s="162"/>
      <c r="T108" s="162"/>
      <c r="U108" s="162"/>
      <c r="V108" s="67"/>
      <c r="W108" s="67"/>
      <c r="X108" s="167"/>
      <c r="Y108" s="167"/>
      <c r="Z108" s="167"/>
      <c r="AA108" s="168"/>
      <c r="AB108" s="169" t="str">
        <f>"  """&amp;B108&amp;": ""048405"","""</f>
        <v xml:space="preserve">  "store_code: "048405","</v>
      </c>
      <c r="AC108" s="170"/>
      <c r="AD108" s="170"/>
      <c r="AE108" s="170"/>
      <c r="AF108" s="33"/>
      <c r="AG108" s="33"/>
      <c r="AH108" s="33"/>
      <c r="AI108" s="170"/>
      <c r="AJ108" s="170"/>
      <c r="AK108" s="170"/>
      <c r="AL108" s="170"/>
      <c r="AM108" s="171"/>
      <c r="AN108" s="172"/>
      <c r="AO108" s="173"/>
      <c r="AP108" s="33"/>
      <c r="AQ108" s="174"/>
      <c r="AR108" s="174"/>
      <c r="AS108" s="174"/>
      <c r="AT108" s="174"/>
      <c r="AU108" s="174"/>
      <c r="AV108" s="174"/>
      <c r="AW108" s="174"/>
      <c r="AX108" s="174"/>
      <c r="AY108" s="174"/>
      <c r="AZ108" s="174"/>
      <c r="BA108" s="174"/>
      <c r="BB108" s="174"/>
      <c r="BC108" s="174"/>
      <c r="BD108" s="174"/>
      <c r="BE108" s="174"/>
      <c r="BF108" s="174"/>
      <c r="BG108" s="174"/>
      <c r="BH108" s="174"/>
      <c r="BI108" s="174"/>
      <c r="BJ108" s="171"/>
    </row>
    <row r="109" spans="1:65" ht="16.5">
      <c r="B109" s="161" t="s">
        <v>1191</v>
      </c>
      <c r="C109" s="162"/>
      <c r="D109" s="162"/>
      <c r="E109" s="162"/>
      <c r="F109" s="162"/>
      <c r="G109" s="162"/>
      <c r="H109" s="163"/>
      <c r="I109" s="164" t="s">
        <v>1184</v>
      </c>
      <c r="J109" s="162"/>
      <c r="K109" s="163"/>
      <c r="L109" s="175" t="s">
        <v>1185</v>
      </c>
      <c r="M109" s="162"/>
      <c r="N109" s="163"/>
      <c r="O109" s="166" t="s">
        <v>1187</v>
      </c>
      <c r="P109" s="162"/>
      <c r="Q109" s="163"/>
      <c r="R109" s="164" t="s">
        <v>1192</v>
      </c>
      <c r="S109" s="162"/>
      <c r="T109" s="162"/>
      <c r="U109" s="162"/>
      <c r="V109" s="67"/>
      <c r="W109" s="67"/>
      <c r="X109" s="167"/>
      <c r="Y109" s="167"/>
      <c r="Z109" s="167"/>
      <c r="AA109" s="168"/>
      <c r="AB109" s="169" t="str">
        <f>"  """&amp;B109&amp;": ""901"","""</f>
        <v xml:space="preserve">  "instore_code: "901","</v>
      </c>
      <c r="AC109" s="170"/>
      <c r="AD109" s="170"/>
      <c r="AE109" s="170"/>
      <c r="AF109" s="33"/>
      <c r="AG109" s="33"/>
      <c r="AH109" s="33"/>
      <c r="AI109" s="170"/>
      <c r="AJ109" s="170"/>
      <c r="AK109" s="170"/>
      <c r="AL109" s="170"/>
      <c r="AM109" s="171"/>
      <c r="AN109" s="131" t="s">
        <v>1193</v>
      </c>
      <c r="AO109" s="132"/>
      <c r="AP109" s="132"/>
      <c r="AQ109" s="132"/>
      <c r="AR109" s="132"/>
      <c r="AS109" s="132"/>
      <c r="AT109" s="132"/>
      <c r="AU109" s="132"/>
      <c r="AV109" s="132"/>
      <c r="AW109" s="132"/>
      <c r="AX109" s="132"/>
      <c r="AY109" s="132"/>
      <c r="AZ109" s="132"/>
      <c r="BA109" s="132"/>
      <c r="BB109" s="132"/>
      <c r="BC109" s="132"/>
      <c r="BD109" s="132"/>
      <c r="BE109" s="132"/>
      <c r="BF109" s="132"/>
      <c r="BG109" s="132"/>
      <c r="BH109" s="133"/>
      <c r="BI109" s="133"/>
      <c r="BJ109" s="134"/>
    </row>
    <row r="110" spans="1:65" ht="16.5">
      <c r="B110" s="161" t="s">
        <v>339</v>
      </c>
      <c r="C110" s="162"/>
      <c r="D110" s="162"/>
      <c r="E110" s="162"/>
      <c r="F110" s="162"/>
      <c r="G110" s="162"/>
      <c r="H110" s="163"/>
      <c r="I110" s="164" t="s">
        <v>1184</v>
      </c>
      <c r="J110" s="162"/>
      <c r="K110" s="163"/>
      <c r="L110" s="175" t="s">
        <v>1194</v>
      </c>
      <c r="M110" s="162"/>
      <c r="N110" s="163"/>
      <c r="O110" s="166"/>
      <c r="P110" s="162"/>
      <c r="Q110" s="163"/>
      <c r="R110" s="164" t="s">
        <v>286</v>
      </c>
      <c r="S110" s="162"/>
      <c r="T110" s="162"/>
      <c r="U110" s="162"/>
      <c r="V110" s="67"/>
      <c r="W110" s="67"/>
      <c r="X110" s="167"/>
      <c r="Y110" s="167"/>
      <c r="Z110" s="167"/>
      <c r="AA110" s="168"/>
      <c r="AB110" s="169" t="str">
        <f>"  """&amp;B110&amp;": false,"""</f>
        <v xml:space="preserve">  "RECORD_VOID_FLAG: false,"</v>
      </c>
      <c r="AC110" s="170"/>
      <c r="AD110" s="170"/>
      <c r="AE110" s="170"/>
      <c r="AF110" s="33"/>
      <c r="AG110" s="33"/>
      <c r="AH110" s="33"/>
      <c r="AI110" s="170"/>
      <c r="AJ110" s="170"/>
      <c r="AK110" s="170"/>
      <c r="AL110" s="170"/>
      <c r="AM110" s="171"/>
      <c r="AN110" s="142"/>
      <c r="AO110" s="143"/>
      <c r="AP110" s="144"/>
      <c r="AQ110" s="143"/>
      <c r="AR110" s="143"/>
      <c r="AS110" s="143"/>
      <c r="AT110" s="143"/>
      <c r="AU110" s="143"/>
      <c r="AV110" s="143"/>
      <c r="AW110" s="143"/>
      <c r="AX110" s="143"/>
      <c r="AY110" s="143"/>
      <c r="AZ110" s="143"/>
      <c r="BA110" s="143"/>
      <c r="BB110" s="143"/>
      <c r="BC110" s="143"/>
      <c r="BD110" s="143"/>
      <c r="BE110" s="143"/>
      <c r="BF110" s="143"/>
      <c r="BG110" s="143"/>
      <c r="BH110" s="143"/>
      <c r="BI110" s="143"/>
      <c r="BJ110" s="145"/>
    </row>
    <row r="111" spans="1:65" ht="16.5">
      <c r="B111" s="161" t="s">
        <v>1195</v>
      </c>
      <c r="C111" s="162"/>
      <c r="D111" s="162"/>
      <c r="E111" s="162"/>
      <c r="F111" s="162"/>
      <c r="G111" s="162"/>
      <c r="H111" s="163"/>
      <c r="I111" s="164" t="s">
        <v>437</v>
      </c>
      <c r="J111" s="162"/>
      <c r="K111" s="163"/>
      <c r="L111" s="175"/>
      <c r="M111" s="162"/>
      <c r="N111" s="163"/>
      <c r="O111" s="166"/>
      <c r="P111" s="162"/>
      <c r="Q111" s="163"/>
      <c r="R111" s="164" t="s">
        <v>307</v>
      </c>
      <c r="S111" s="162"/>
      <c r="T111" s="162"/>
      <c r="U111" s="162"/>
      <c r="V111" s="67"/>
      <c r="W111" s="67"/>
      <c r="X111" s="167"/>
      <c r="Y111" s="167"/>
      <c r="Z111" s="167"/>
      <c r="AA111" s="168"/>
      <c r="AB111" s="169" t="str">
        <f>"  """&amp;B111&amp;": 9,"""</f>
        <v xml:space="preserve">  "class: 9,"</v>
      </c>
      <c r="AC111" s="170"/>
      <c r="AD111" s="170"/>
      <c r="AE111" s="170"/>
      <c r="AF111" s="33"/>
      <c r="AG111" s="33"/>
      <c r="AH111" s="33"/>
      <c r="AI111" s="170"/>
      <c r="AJ111" s="170"/>
      <c r="AK111" s="170"/>
      <c r="AL111" s="170"/>
      <c r="AM111" s="171"/>
      <c r="AN111" s="158" t="s">
        <v>1196</v>
      </c>
      <c r="AO111" s="159"/>
      <c r="AP111" s="156"/>
      <c r="AQ111" s="160"/>
      <c r="AR111" s="160"/>
      <c r="AS111" s="176"/>
      <c r="AT111" s="177" t="s">
        <v>837</v>
      </c>
      <c r="AU111" s="174"/>
      <c r="AV111" s="174"/>
      <c r="AW111" s="174"/>
      <c r="AX111" s="174"/>
      <c r="AY111" s="174"/>
      <c r="AZ111" s="174"/>
      <c r="BA111" s="174"/>
      <c r="BB111" s="174"/>
      <c r="BC111" s="174"/>
      <c r="BD111" s="174"/>
      <c r="BE111" s="174"/>
      <c r="BF111" s="174"/>
      <c r="BG111" s="174"/>
      <c r="BH111" s="174"/>
      <c r="BI111" s="174"/>
      <c r="BJ111" s="171"/>
    </row>
    <row r="112" spans="1:65" ht="16.5">
      <c r="B112" s="161" t="s">
        <v>1197</v>
      </c>
      <c r="C112" s="162"/>
      <c r="D112" s="162"/>
      <c r="E112" s="162"/>
      <c r="F112" s="162"/>
      <c r="G112" s="162"/>
      <c r="H112" s="163"/>
      <c r="I112" s="164" t="s">
        <v>1198</v>
      </c>
      <c r="J112" s="162"/>
      <c r="K112" s="163"/>
      <c r="L112" s="175"/>
      <c r="M112" s="162"/>
      <c r="N112" s="163"/>
      <c r="O112" s="166"/>
      <c r="P112" s="162"/>
      <c r="Q112" s="163"/>
      <c r="R112" s="164" t="s">
        <v>1028</v>
      </c>
      <c r="S112" s="162"/>
      <c r="T112" s="162"/>
      <c r="U112" s="162"/>
      <c r="V112" s="67"/>
      <c r="W112" s="67"/>
      <c r="X112" s="167"/>
      <c r="Y112" s="167"/>
      <c r="Z112" s="167"/>
      <c r="AA112" s="168"/>
      <c r="AB112" s="169" t="str">
        <f>"  """&amp;B112&amp;": 1,"""</f>
        <v xml:space="preserve">  "ServiceClass01: 1,"</v>
      </c>
      <c r="AC112" s="170"/>
      <c r="AD112" s="170"/>
      <c r="AE112" s="170"/>
      <c r="AF112" s="33"/>
      <c r="AG112" s="33"/>
      <c r="AH112" s="33"/>
      <c r="AI112" s="170"/>
      <c r="AJ112" s="170"/>
      <c r="AK112" s="170"/>
      <c r="AL112" s="170"/>
      <c r="AM112" s="171"/>
      <c r="AN112" s="172" t="s">
        <v>1199</v>
      </c>
      <c r="AO112" s="178"/>
      <c r="AP112" s="33"/>
      <c r="AQ112" s="174"/>
      <c r="AR112" s="174"/>
      <c r="AS112" s="179"/>
      <c r="AT112" s="180" t="s">
        <v>1200</v>
      </c>
      <c r="AU112" s="174"/>
      <c r="AV112" s="174"/>
      <c r="AW112" s="174"/>
      <c r="AX112" s="174"/>
      <c r="AY112" s="174"/>
      <c r="AZ112" s="174"/>
      <c r="BA112" s="174"/>
      <c r="BB112" s="174"/>
      <c r="BC112" s="174"/>
      <c r="BD112" s="174"/>
      <c r="BE112" s="174"/>
      <c r="BF112" s="174"/>
      <c r="BG112" s="174"/>
      <c r="BH112" s="174"/>
      <c r="BI112" s="174"/>
      <c r="BJ112" s="171"/>
    </row>
    <row r="113" spans="2:62" ht="16.5">
      <c r="B113" s="161" t="s">
        <v>1201</v>
      </c>
      <c r="C113" s="162"/>
      <c r="D113" s="162"/>
      <c r="E113" s="162"/>
      <c r="F113" s="162"/>
      <c r="G113" s="162"/>
      <c r="H113" s="163"/>
      <c r="I113" s="164" t="s">
        <v>437</v>
      </c>
      <c r="J113" s="162"/>
      <c r="K113" s="163"/>
      <c r="L113" s="175"/>
      <c r="M113" s="162"/>
      <c r="N113" s="163"/>
      <c r="O113" s="166"/>
      <c r="P113" s="162"/>
      <c r="Q113" s="163"/>
      <c r="R113" s="164" t="s">
        <v>1032</v>
      </c>
      <c r="S113" s="162"/>
      <c r="T113" s="162"/>
      <c r="U113" s="162"/>
      <c r="V113" s="67"/>
      <c r="W113" s="67"/>
      <c r="X113" s="167"/>
      <c r="Y113" s="167"/>
      <c r="Z113" s="167"/>
      <c r="AA113" s="168"/>
      <c r="AB113" s="169" t="str">
        <f>"  """&amp;B113&amp;": 9,"""</f>
        <v xml:space="preserve">  "ServiceClass02: 9,"</v>
      </c>
      <c r="AC113" s="170"/>
      <c r="AD113" s="170"/>
      <c r="AE113" s="170"/>
      <c r="AF113" s="33"/>
      <c r="AG113" s="33"/>
      <c r="AH113" s="33"/>
      <c r="AI113" s="170"/>
      <c r="AJ113" s="170"/>
      <c r="AK113" s="170"/>
      <c r="AL113" s="170"/>
      <c r="AM113" s="171"/>
      <c r="AN113" s="172" t="s">
        <v>1199</v>
      </c>
      <c r="AO113" s="178"/>
      <c r="AP113" s="33"/>
      <c r="AQ113" s="174"/>
      <c r="AR113" s="174"/>
      <c r="AS113" s="179"/>
      <c r="AT113" s="180" t="s">
        <v>1202</v>
      </c>
      <c r="AU113" s="174"/>
      <c r="AV113" s="174"/>
      <c r="AW113" s="174"/>
      <c r="AX113" s="174"/>
      <c r="AY113" s="174"/>
      <c r="AZ113" s="174"/>
      <c r="BA113" s="174"/>
      <c r="BB113" s="174"/>
      <c r="BC113" s="174"/>
      <c r="BD113" s="174"/>
      <c r="BE113" s="174"/>
      <c r="BF113" s="174"/>
      <c r="BG113" s="174"/>
      <c r="BH113" s="174"/>
      <c r="BI113" s="174"/>
      <c r="BJ113" s="171"/>
    </row>
    <row r="114" spans="2:62" ht="16.5">
      <c r="B114" s="161" t="s">
        <v>1203</v>
      </c>
      <c r="C114" s="162"/>
      <c r="D114" s="162"/>
      <c r="E114" s="162"/>
      <c r="F114" s="162"/>
      <c r="G114" s="162"/>
      <c r="H114" s="163"/>
      <c r="I114" s="164" t="s">
        <v>437</v>
      </c>
      <c r="J114" s="162"/>
      <c r="K114" s="163"/>
      <c r="L114" s="175"/>
      <c r="M114" s="162"/>
      <c r="N114" s="163"/>
      <c r="O114" s="166"/>
      <c r="P114" s="162"/>
      <c r="Q114" s="163"/>
      <c r="R114" s="164" t="s">
        <v>1037</v>
      </c>
      <c r="S114" s="162"/>
      <c r="T114" s="162"/>
      <c r="U114" s="162"/>
      <c r="V114" s="67"/>
      <c r="W114" s="67"/>
      <c r="X114" s="167"/>
      <c r="Y114" s="167"/>
      <c r="Z114" s="167"/>
      <c r="AA114" s="168"/>
      <c r="AB114" s="169" t="str">
        <f t="shared" ref="AB114:AB151" si="4">"  """&amp;B114&amp;": 9,"""</f>
        <v xml:space="preserve">  "ServiceClass03: 9,"</v>
      </c>
      <c r="AC114" s="170"/>
      <c r="AD114" s="170"/>
      <c r="AE114" s="170"/>
      <c r="AF114" s="33"/>
      <c r="AG114" s="33"/>
      <c r="AH114" s="33"/>
      <c r="AI114" s="170"/>
      <c r="AJ114" s="170"/>
      <c r="AK114" s="170"/>
      <c r="AL114" s="170"/>
      <c r="AM114" s="171"/>
      <c r="AN114" s="172" t="s">
        <v>1199</v>
      </c>
      <c r="AO114" s="178"/>
      <c r="AP114" s="33"/>
      <c r="AQ114" s="174"/>
      <c r="AR114" s="174"/>
      <c r="AS114" s="179"/>
      <c r="AT114" s="180" t="s">
        <v>1204</v>
      </c>
      <c r="AU114" s="174"/>
      <c r="AV114" s="174"/>
      <c r="AW114" s="174"/>
      <c r="AX114" s="174"/>
      <c r="AY114" s="174"/>
      <c r="AZ114" s="174"/>
      <c r="BA114" s="174"/>
      <c r="BB114" s="174"/>
      <c r="BC114" s="174"/>
      <c r="BD114" s="174"/>
      <c r="BE114" s="174"/>
      <c r="BF114" s="174"/>
      <c r="BG114" s="174"/>
      <c r="BH114" s="174"/>
      <c r="BI114" s="174"/>
      <c r="BJ114" s="171"/>
    </row>
    <row r="115" spans="2:62" ht="16.5">
      <c r="B115" s="161" t="s">
        <v>1205</v>
      </c>
      <c r="C115" s="162"/>
      <c r="D115" s="162"/>
      <c r="E115" s="162"/>
      <c r="F115" s="162"/>
      <c r="G115" s="162"/>
      <c r="H115" s="163"/>
      <c r="I115" s="164" t="s">
        <v>437</v>
      </c>
      <c r="J115" s="162"/>
      <c r="K115" s="163"/>
      <c r="L115" s="181"/>
      <c r="M115" s="162"/>
      <c r="N115" s="163"/>
      <c r="O115" s="166"/>
      <c r="P115" s="162"/>
      <c r="Q115" s="163"/>
      <c r="R115" s="164" t="s">
        <v>1039</v>
      </c>
      <c r="S115" s="162"/>
      <c r="T115" s="162"/>
      <c r="U115" s="162"/>
      <c r="V115" s="67"/>
      <c r="W115" s="67"/>
      <c r="X115" s="162"/>
      <c r="Y115" s="162"/>
      <c r="Z115" s="162"/>
      <c r="AA115" s="163"/>
      <c r="AB115" s="169" t="str">
        <f t="shared" si="4"/>
        <v xml:space="preserve">  "ServiceClass04: 9,"</v>
      </c>
      <c r="AC115" s="33"/>
      <c r="AD115" s="33"/>
      <c r="AE115" s="33"/>
      <c r="AF115" s="33"/>
      <c r="AG115" s="33"/>
      <c r="AH115" s="33"/>
      <c r="AI115" s="33"/>
      <c r="AJ115" s="33"/>
      <c r="AK115" s="33"/>
      <c r="AL115" s="33"/>
      <c r="AM115" s="171"/>
      <c r="AN115" s="172" t="s">
        <v>1199</v>
      </c>
      <c r="AO115" s="33"/>
      <c r="AP115" s="33"/>
      <c r="AQ115" s="33"/>
      <c r="AR115" s="33"/>
      <c r="AS115" s="182"/>
      <c r="AT115" s="183" t="s">
        <v>1206</v>
      </c>
      <c r="AU115" s="33"/>
      <c r="AV115" s="33"/>
      <c r="AW115" s="33"/>
      <c r="AX115" s="33"/>
      <c r="AY115" s="33"/>
      <c r="AZ115" s="33"/>
      <c r="BA115" s="33"/>
      <c r="BB115" s="33"/>
      <c r="BC115" s="33"/>
      <c r="BD115" s="33"/>
      <c r="BE115" s="33"/>
      <c r="BF115" s="33"/>
      <c r="BG115" s="33"/>
      <c r="BH115" s="33"/>
      <c r="BI115" s="33"/>
      <c r="BJ115" s="171"/>
    </row>
    <row r="116" spans="2:62" ht="16.5">
      <c r="B116" s="66" t="s">
        <v>1207</v>
      </c>
      <c r="C116" s="67"/>
      <c r="D116" s="67"/>
      <c r="E116" s="67"/>
      <c r="F116" s="67"/>
      <c r="G116" s="67"/>
      <c r="H116" s="184"/>
      <c r="I116" s="185" t="s">
        <v>437</v>
      </c>
      <c r="J116" s="67"/>
      <c r="K116" s="184"/>
      <c r="L116" s="185"/>
      <c r="M116" s="67"/>
      <c r="N116" s="184"/>
      <c r="O116" s="185"/>
      <c r="P116" s="67"/>
      <c r="Q116" s="184"/>
      <c r="R116" s="185" t="s">
        <v>1041</v>
      </c>
      <c r="S116" s="67"/>
      <c r="T116" s="67"/>
      <c r="U116" s="67"/>
      <c r="V116" s="67"/>
      <c r="W116" s="67"/>
      <c r="X116" s="67"/>
      <c r="Y116" s="67"/>
      <c r="Z116" s="67"/>
      <c r="AA116" s="184"/>
      <c r="AB116" s="169" t="str">
        <f t="shared" si="4"/>
        <v xml:space="preserve">  "ServiceClass05: 9,"</v>
      </c>
      <c r="AC116" s="33"/>
      <c r="AD116" s="33"/>
      <c r="AE116" s="33"/>
      <c r="AF116" s="33"/>
      <c r="AG116" s="33"/>
      <c r="AH116" s="33"/>
      <c r="AI116" s="33"/>
      <c r="AJ116" s="33"/>
      <c r="AK116" s="33"/>
      <c r="AL116" s="33"/>
      <c r="AM116" s="171"/>
      <c r="AN116" s="186"/>
      <c r="AO116" s="33"/>
      <c r="AP116" s="33"/>
      <c r="AQ116" s="33"/>
      <c r="AR116" s="33"/>
      <c r="AS116" s="182"/>
      <c r="AT116" s="183"/>
      <c r="AU116" s="33"/>
      <c r="AV116" s="33"/>
      <c r="AW116" s="33"/>
      <c r="AX116" s="33"/>
      <c r="AY116" s="33"/>
      <c r="AZ116" s="33"/>
      <c r="BA116" s="33"/>
      <c r="BB116" s="33"/>
      <c r="BC116" s="33"/>
      <c r="BD116" s="33"/>
      <c r="BE116" s="33"/>
      <c r="BF116" s="33"/>
      <c r="BG116" s="33"/>
      <c r="BH116" s="33"/>
      <c r="BI116" s="33"/>
      <c r="BJ116" s="171"/>
    </row>
    <row r="117" spans="2:62" ht="16.5">
      <c r="B117" s="66" t="s">
        <v>1208</v>
      </c>
      <c r="C117" s="67"/>
      <c r="D117" s="67"/>
      <c r="E117" s="67"/>
      <c r="F117" s="67"/>
      <c r="G117" s="67"/>
      <c r="H117" s="184"/>
      <c r="I117" s="185" t="s">
        <v>437</v>
      </c>
      <c r="J117" s="67"/>
      <c r="K117" s="184"/>
      <c r="L117" s="185"/>
      <c r="M117" s="67"/>
      <c r="N117" s="184"/>
      <c r="O117" s="185"/>
      <c r="P117" s="67"/>
      <c r="Q117" s="184"/>
      <c r="R117" s="185" t="s">
        <v>1043</v>
      </c>
      <c r="S117" s="67"/>
      <c r="T117" s="67"/>
      <c r="U117" s="67"/>
      <c r="V117" s="67"/>
      <c r="W117" s="67"/>
      <c r="X117" s="67"/>
      <c r="Y117" s="67"/>
      <c r="Z117" s="67"/>
      <c r="AA117" s="184"/>
      <c r="AB117" s="169" t="str">
        <f t="shared" si="4"/>
        <v xml:space="preserve">  "ServiceClass06: 9,"</v>
      </c>
      <c r="AC117" s="33"/>
      <c r="AD117" s="33"/>
      <c r="AE117" s="33"/>
      <c r="AF117" s="33"/>
      <c r="AG117" s="33"/>
      <c r="AH117" s="33"/>
      <c r="AI117" s="33"/>
      <c r="AJ117" s="33"/>
      <c r="AK117" s="33"/>
      <c r="AL117" s="33"/>
      <c r="AM117" s="171"/>
      <c r="AN117" s="186"/>
      <c r="AO117" s="33"/>
      <c r="AP117" s="33"/>
      <c r="AQ117" s="33"/>
      <c r="AR117" s="33"/>
      <c r="AS117" s="182"/>
      <c r="AT117" s="183"/>
      <c r="AU117" s="33"/>
      <c r="AV117" s="33"/>
      <c r="AW117" s="33"/>
      <c r="AX117" s="33"/>
      <c r="AY117" s="33"/>
      <c r="AZ117" s="33"/>
      <c r="BA117" s="33"/>
      <c r="BB117" s="33"/>
      <c r="BC117" s="33"/>
      <c r="BD117" s="33"/>
      <c r="BE117" s="33"/>
      <c r="BF117" s="33"/>
      <c r="BG117" s="33"/>
      <c r="BH117" s="33"/>
      <c r="BI117" s="33"/>
      <c r="BJ117" s="171"/>
    </row>
    <row r="118" spans="2:62" ht="16.5">
      <c r="B118" s="66" t="s">
        <v>1209</v>
      </c>
      <c r="C118" s="67"/>
      <c r="D118" s="67"/>
      <c r="E118" s="67"/>
      <c r="F118" s="67"/>
      <c r="G118" s="67"/>
      <c r="H118" s="184"/>
      <c r="I118" s="185" t="s">
        <v>437</v>
      </c>
      <c r="J118" s="67"/>
      <c r="K118" s="184"/>
      <c r="L118" s="185"/>
      <c r="M118" s="67"/>
      <c r="N118" s="184"/>
      <c r="O118" s="185"/>
      <c r="P118" s="67"/>
      <c r="Q118" s="184"/>
      <c r="R118" s="185" t="s">
        <v>1210</v>
      </c>
      <c r="S118" s="67"/>
      <c r="T118" s="67"/>
      <c r="U118" s="67"/>
      <c r="V118" s="67"/>
      <c r="W118" s="67"/>
      <c r="X118" s="67"/>
      <c r="Y118" s="67"/>
      <c r="Z118" s="67"/>
      <c r="AA118" s="184"/>
      <c r="AB118" s="169" t="str">
        <f t="shared" si="4"/>
        <v xml:space="preserve">  "ServiceClass07: 9,"</v>
      </c>
      <c r="AC118" s="33"/>
      <c r="AD118" s="33"/>
      <c r="AE118" s="33"/>
      <c r="AF118" s="33"/>
      <c r="AG118" s="33"/>
      <c r="AH118" s="33"/>
      <c r="AI118" s="33"/>
      <c r="AJ118" s="33"/>
      <c r="AK118" s="33"/>
      <c r="AL118" s="33"/>
      <c r="AM118" s="171"/>
      <c r="AN118" s="186"/>
      <c r="AO118" s="33"/>
      <c r="AP118" s="33"/>
      <c r="AQ118" s="33"/>
      <c r="AR118" s="33"/>
      <c r="AS118" s="182"/>
      <c r="AT118" s="183"/>
      <c r="AU118" s="33"/>
      <c r="AV118" s="33"/>
      <c r="AW118" s="33"/>
      <c r="AX118" s="33"/>
      <c r="AY118" s="33"/>
      <c r="AZ118" s="33"/>
      <c r="BA118" s="33"/>
      <c r="BB118" s="33"/>
      <c r="BC118" s="33"/>
      <c r="BD118" s="33"/>
      <c r="BE118" s="33"/>
      <c r="BF118" s="33"/>
      <c r="BG118" s="33"/>
      <c r="BH118" s="33"/>
      <c r="BI118" s="33"/>
      <c r="BJ118" s="171"/>
    </row>
    <row r="119" spans="2:62" ht="16.5">
      <c r="B119" s="66" t="s">
        <v>1211</v>
      </c>
      <c r="C119" s="67"/>
      <c r="D119" s="67"/>
      <c r="E119" s="67"/>
      <c r="F119" s="67"/>
      <c r="G119" s="67"/>
      <c r="H119" s="184"/>
      <c r="I119" s="185" t="s">
        <v>437</v>
      </c>
      <c r="J119" s="67"/>
      <c r="K119" s="184"/>
      <c r="L119" s="185"/>
      <c r="M119" s="67"/>
      <c r="N119" s="184"/>
      <c r="O119" s="185"/>
      <c r="P119" s="67"/>
      <c r="Q119" s="184"/>
      <c r="R119" s="185" t="s">
        <v>1047</v>
      </c>
      <c r="S119" s="67"/>
      <c r="T119" s="67"/>
      <c r="U119" s="67"/>
      <c r="V119" s="67"/>
      <c r="W119" s="67"/>
      <c r="X119" s="67"/>
      <c r="Y119" s="67"/>
      <c r="Z119" s="67"/>
      <c r="AA119" s="184"/>
      <c r="AB119" s="169" t="str">
        <f t="shared" si="4"/>
        <v xml:space="preserve">  "ServiceClass08: 9,"</v>
      </c>
      <c r="AC119" s="33"/>
      <c r="AD119" s="33"/>
      <c r="AE119" s="33"/>
      <c r="AF119" s="33"/>
      <c r="AG119" s="33"/>
      <c r="AH119" s="33"/>
      <c r="AI119" s="33"/>
      <c r="AJ119" s="33"/>
      <c r="AK119" s="33"/>
      <c r="AL119" s="33"/>
      <c r="AM119" s="171"/>
      <c r="AN119" s="186"/>
      <c r="AO119" s="33"/>
      <c r="AP119" s="33"/>
      <c r="AQ119" s="33"/>
      <c r="AR119" s="33"/>
      <c r="AS119" s="182"/>
      <c r="AT119" s="183"/>
      <c r="AU119" s="33"/>
      <c r="AV119" s="33"/>
      <c r="AW119" s="33"/>
      <c r="AX119" s="33"/>
      <c r="AY119" s="33"/>
      <c r="AZ119" s="33"/>
      <c r="BA119" s="33"/>
      <c r="BB119" s="33"/>
      <c r="BC119" s="33"/>
      <c r="BD119" s="33"/>
      <c r="BE119" s="33"/>
      <c r="BF119" s="33"/>
      <c r="BG119" s="33"/>
      <c r="BH119" s="33"/>
      <c r="BI119" s="33"/>
      <c r="BJ119" s="171"/>
    </row>
    <row r="120" spans="2:62" ht="16.5">
      <c r="B120" s="66" t="s">
        <v>1212</v>
      </c>
      <c r="C120" s="67"/>
      <c r="D120" s="67"/>
      <c r="E120" s="67"/>
      <c r="F120" s="67"/>
      <c r="G120" s="67"/>
      <c r="H120" s="184"/>
      <c r="I120" s="185" t="s">
        <v>437</v>
      </c>
      <c r="J120" s="67"/>
      <c r="K120" s="184"/>
      <c r="L120" s="185"/>
      <c r="M120" s="67"/>
      <c r="N120" s="184"/>
      <c r="O120" s="185"/>
      <c r="P120" s="67"/>
      <c r="Q120" s="184"/>
      <c r="R120" s="185" t="s">
        <v>1049</v>
      </c>
      <c r="S120" s="67"/>
      <c r="T120" s="67"/>
      <c r="U120" s="67"/>
      <c r="V120" s="67"/>
      <c r="W120" s="67"/>
      <c r="X120" s="67"/>
      <c r="Y120" s="67"/>
      <c r="Z120" s="67"/>
      <c r="AA120" s="184"/>
      <c r="AB120" s="169" t="str">
        <f t="shared" si="4"/>
        <v xml:space="preserve">  "ServiceClass09: 9,"</v>
      </c>
      <c r="AC120" s="33"/>
      <c r="AD120" s="33"/>
      <c r="AE120" s="33"/>
      <c r="AF120" s="33"/>
      <c r="AG120" s="33"/>
      <c r="AH120" s="33"/>
      <c r="AI120" s="33"/>
      <c r="AJ120" s="33"/>
      <c r="AK120" s="33"/>
      <c r="AL120" s="33"/>
      <c r="AM120" s="171"/>
      <c r="AN120" s="186"/>
      <c r="AO120" s="33"/>
      <c r="AP120" s="33"/>
      <c r="AQ120" s="33"/>
      <c r="AR120" s="33"/>
      <c r="AS120" s="182"/>
      <c r="AT120" s="183"/>
      <c r="AU120" s="33"/>
      <c r="AV120" s="33"/>
      <c r="AW120" s="33"/>
      <c r="AX120" s="33"/>
      <c r="AY120" s="33"/>
      <c r="AZ120" s="33"/>
      <c r="BA120" s="33"/>
      <c r="BB120" s="33"/>
      <c r="BC120" s="33"/>
      <c r="BD120" s="33"/>
      <c r="BE120" s="33"/>
      <c r="BF120" s="33"/>
      <c r="BG120" s="33"/>
      <c r="BH120" s="33"/>
      <c r="BI120" s="33"/>
      <c r="BJ120" s="171"/>
    </row>
    <row r="121" spans="2:62" ht="16.5">
      <c r="B121" s="66" t="s">
        <v>1213</v>
      </c>
      <c r="C121" s="67"/>
      <c r="D121" s="67"/>
      <c r="E121" s="67"/>
      <c r="F121" s="67"/>
      <c r="G121" s="67"/>
      <c r="H121" s="184"/>
      <c r="I121" s="185" t="s">
        <v>437</v>
      </c>
      <c r="J121" s="67"/>
      <c r="K121" s="184"/>
      <c r="L121" s="185"/>
      <c r="M121" s="67"/>
      <c r="N121" s="184"/>
      <c r="O121" s="185"/>
      <c r="P121" s="67"/>
      <c r="Q121" s="184"/>
      <c r="R121" s="185" t="s">
        <v>1051</v>
      </c>
      <c r="S121" s="67"/>
      <c r="T121" s="67"/>
      <c r="U121" s="67"/>
      <c r="V121" s="67"/>
      <c r="W121" s="67"/>
      <c r="X121" s="67"/>
      <c r="Y121" s="67"/>
      <c r="Z121" s="67"/>
      <c r="AA121" s="184"/>
      <c r="AB121" s="169" t="str">
        <f t="shared" si="4"/>
        <v xml:space="preserve">  "ServiceClass10: 9,"</v>
      </c>
      <c r="AC121" s="33"/>
      <c r="AD121" s="33"/>
      <c r="AE121" s="33"/>
      <c r="AF121" s="33"/>
      <c r="AG121" s="33"/>
      <c r="AH121" s="33"/>
      <c r="AI121" s="33"/>
      <c r="AJ121" s="33"/>
      <c r="AK121" s="33"/>
      <c r="AL121" s="33"/>
      <c r="AM121" s="171"/>
      <c r="AN121" s="186"/>
      <c r="AO121" s="33"/>
      <c r="AP121" s="33"/>
      <c r="AQ121" s="33"/>
      <c r="AR121" s="33"/>
      <c r="AS121" s="182"/>
      <c r="AT121" s="183"/>
      <c r="AU121" s="33"/>
      <c r="AV121" s="33"/>
      <c r="AW121" s="33"/>
      <c r="AX121" s="33"/>
      <c r="AY121" s="33"/>
      <c r="AZ121" s="33"/>
      <c r="BA121" s="33"/>
      <c r="BB121" s="33"/>
      <c r="BC121" s="33"/>
      <c r="BD121" s="33"/>
      <c r="BE121" s="33"/>
      <c r="BF121" s="33"/>
      <c r="BG121" s="33"/>
      <c r="BH121" s="33"/>
      <c r="BI121" s="33"/>
      <c r="BJ121" s="171"/>
    </row>
    <row r="122" spans="2:62" ht="16.5">
      <c r="B122" s="66" t="s">
        <v>1214</v>
      </c>
      <c r="C122" s="67"/>
      <c r="D122" s="67"/>
      <c r="E122" s="67"/>
      <c r="F122" s="67"/>
      <c r="G122" s="67"/>
      <c r="H122" s="184"/>
      <c r="I122" s="185" t="s">
        <v>437</v>
      </c>
      <c r="J122" s="67"/>
      <c r="K122" s="184"/>
      <c r="L122" s="185"/>
      <c r="M122" s="67"/>
      <c r="N122" s="184"/>
      <c r="O122" s="185"/>
      <c r="P122" s="67"/>
      <c r="Q122" s="184"/>
      <c r="R122" s="185" t="s">
        <v>1076</v>
      </c>
      <c r="S122" s="67"/>
      <c r="T122" s="67"/>
      <c r="U122" s="67"/>
      <c r="V122" s="67"/>
      <c r="W122" s="67"/>
      <c r="X122" s="67"/>
      <c r="Y122" s="67"/>
      <c r="Z122" s="67"/>
      <c r="AA122" s="184"/>
      <c r="AB122" s="169" t="str">
        <f t="shared" si="4"/>
        <v xml:space="preserve">  "PointClass01: 9,"</v>
      </c>
      <c r="AC122" s="33"/>
      <c r="AD122" s="33"/>
      <c r="AE122" s="33"/>
      <c r="AF122" s="33"/>
      <c r="AG122" s="33"/>
      <c r="AH122" s="33"/>
      <c r="AI122" s="33"/>
      <c r="AJ122" s="33"/>
      <c r="AK122" s="33"/>
      <c r="AL122" s="33"/>
      <c r="AM122" s="171"/>
      <c r="AN122" s="186"/>
      <c r="AO122" s="33"/>
      <c r="AP122" s="33"/>
      <c r="AQ122" s="33"/>
      <c r="AR122" s="33"/>
      <c r="AS122" s="182"/>
      <c r="AT122" s="183"/>
      <c r="AU122" s="33"/>
      <c r="AV122" s="33"/>
      <c r="AW122" s="33"/>
      <c r="AX122" s="33"/>
      <c r="AY122" s="33"/>
      <c r="AZ122" s="33"/>
      <c r="BA122" s="33"/>
      <c r="BB122" s="33"/>
      <c r="BC122" s="33"/>
      <c r="BD122" s="33"/>
      <c r="BE122" s="33"/>
      <c r="BF122" s="33"/>
      <c r="BG122" s="33"/>
      <c r="BH122" s="33"/>
      <c r="BI122" s="33"/>
      <c r="BJ122" s="171"/>
    </row>
    <row r="123" spans="2:62" ht="16.5">
      <c r="B123" s="66" t="s">
        <v>1215</v>
      </c>
      <c r="C123" s="67"/>
      <c r="D123" s="67"/>
      <c r="E123" s="67"/>
      <c r="F123" s="67"/>
      <c r="G123" s="67"/>
      <c r="H123" s="184"/>
      <c r="I123" s="185" t="s">
        <v>437</v>
      </c>
      <c r="J123" s="67"/>
      <c r="K123" s="184"/>
      <c r="L123" s="185"/>
      <c r="M123" s="67"/>
      <c r="N123" s="184"/>
      <c r="O123" s="185"/>
      <c r="P123" s="67"/>
      <c r="Q123" s="184"/>
      <c r="R123" s="185" t="s">
        <v>1080</v>
      </c>
      <c r="S123" s="67"/>
      <c r="T123" s="67"/>
      <c r="U123" s="67"/>
      <c r="V123" s="67"/>
      <c r="W123" s="67"/>
      <c r="X123" s="67"/>
      <c r="Y123" s="67"/>
      <c r="Z123" s="67"/>
      <c r="AA123" s="184"/>
      <c r="AB123" s="169" t="str">
        <f t="shared" si="4"/>
        <v xml:space="preserve">  "PointClass02: 9,"</v>
      </c>
      <c r="AC123" s="33"/>
      <c r="AD123" s="33"/>
      <c r="AE123" s="33"/>
      <c r="AF123" s="33"/>
      <c r="AG123" s="33"/>
      <c r="AH123" s="33"/>
      <c r="AI123" s="33"/>
      <c r="AJ123" s="33"/>
      <c r="AK123" s="33"/>
      <c r="AL123" s="33"/>
      <c r="AM123" s="171"/>
      <c r="AN123" s="186"/>
      <c r="AO123" s="33"/>
      <c r="AP123" s="33"/>
      <c r="AQ123" s="33"/>
      <c r="AR123" s="33"/>
      <c r="AS123" s="182"/>
      <c r="AT123" s="183"/>
      <c r="AU123" s="33"/>
      <c r="AV123" s="33"/>
      <c r="AW123" s="33"/>
      <c r="AX123" s="33"/>
      <c r="AY123" s="33"/>
      <c r="AZ123" s="33"/>
      <c r="BA123" s="33"/>
      <c r="BB123" s="33"/>
      <c r="BC123" s="33"/>
      <c r="BD123" s="33"/>
      <c r="BE123" s="33"/>
      <c r="BF123" s="33"/>
      <c r="BG123" s="33"/>
      <c r="BH123" s="33"/>
      <c r="BI123" s="33"/>
      <c r="BJ123" s="171"/>
    </row>
    <row r="124" spans="2:62" ht="16.5">
      <c r="B124" s="66" t="s">
        <v>1216</v>
      </c>
      <c r="C124" s="67"/>
      <c r="D124" s="67"/>
      <c r="E124" s="67"/>
      <c r="F124" s="67"/>
      <c r="G124" s="67"/>
      <c r="H124" s="184"/>
      <c r="I124" s="185" t="s">
        <v>437</v>
      </c>
      <c r="J124" s="67"/>
      <c r="K124" s="184"/>
      <c r="L124" s="185"/>
      <c r="M124" s="67"/>
      <c r="N124" s="184"/>
      <c r="O124" s="185"/>
      <c r="P124" s="67"/>
      <c r="Q124" s="184"/>
      <c r="R124" s="185" t="s">
        <v>1082</v>
      </c>
      <c r="S124" s="67"/>
      <c r="T124" s="67"/>
      <c r="U124" s="67"/>
      <c r="V124" s="67"/>
      <c r="W124" s="67"/>
      <c r="X124" s="67"/>
      <c r="Y124" s="67"/>
      <c r="Z124" s="67"/>
      <c r="AA124" s="184"/>
      <c r="AB124" s="169" t="str">
        <f t="shared" si="4"/>
        <v xml:space="preserve">  "PointClass03: 9,"</v>
      </c>
      <c r="AC124" s="33"/>
      <c r="AD124" s="33"/>
      <c r="AE124" s="33"/>
      <c r="AF124" s="33"/>
      <c r="AG124" s="33"/>
      <c r="AH124" s="33"/>
      <c r="AI124" s="33"/>
      <c r="AJ124" s="33"/>
      <c r="AK124" s="33"/>
      <c r="AL124" s="33"/>
      <c r="AM124" s="171"/>
      <c r="AN124" s="186"/>
      <c r="AO124" s="33"/>
      <c r="AP124" s="33"/>
      <c r="AQ124" s="33"/>
      <c r="AR124" s="33"/>
      <c r="AS124" s="182"/>
      <c r="AT124" s="183"/>
      <c r="AU124" s="33"/>
      <c r="AV124" s="33"/>
      <c r="AW124" s="33"/>
      <c r="AX124" s="33"/>
      <c r="AY124" s="33"/>
      <c r="AZ124" s="33"/>
      <c r="BA124" s="33"/>
      <c r="BB124" s="33"/>
      <c r="BC124" s="33"/>
      <c r="BD124" s="33"/>
      <c r="BE124" s="33"/>
      <c r="BF124" s="33"/>
      <c r="BG124" s="33"/>
      <c r="BH124" s="33"/>
      <c r="BI124" s="33"/>
      <c r="BJ124" s="171"/>
    </row>
    <row r="125" spans="2:62" ht="16.5">
      <c r="B125" s="66" t="s">
        <v>1217</v>
      </c>
      <c r="C125" s="67"/>
      <c r="D125" s="67"/>
      <c r="E125" s="67"/>
      <c r="F125" s="67"/>
      <c r="G125" s="67"/>
      <c r="H125" s="184"/>
      <c r="I125" s="185" t="s">
        <v>437</v>
      </c>
      <c r="J125" s="67"/>
      <c r="K125" s="184"/>
      <c r="L125" s="185"/>
      <c r="M125" s="67"/>
      <c r="N125" s="184"/>
      <c r="O125" s="185"/>
      <c r="P125" s="67"/>
      <c r="Q125" s="184"/>
      <c r="R125" s="185" t="s">
        <v>1084</v>
      </c>
      <c r="S125" s="67"/>
      <c r="T125" s="67"/>
      <c r="U125" s="67"/>
      <c r="V125" s="67"/>
      <c r="W125" s="67"/>
      <c r="X125" s="67"/>
      <c r="Y125" s="67"/>
      <c r="Z125" s="67"/>
      <c r="AA125" s="184"/>
      <c r="AB125" s="169" t="str">
        <f t="shared" si="4"/>
        <v xml:space="preserve">  "PointClass04: 9,"</v>
      </c>
      <c r="AC125" s="33"/>
      <c r="AD125" s="33"/>
      <c r="AE125" s="33"/>
      <c r="AF125" s="33"/>
      <c r="AG125" s="33"/>
      <c r="AH125" s="33"/>
      <c r="AI125" s="33"/>
      <c r="AJ125" s="33"/>
      <c r="AK125" s="33"/>
      <c r="AL125" s="33"/>
      <c r="AM125" s="171"/>
      <c r="AN125" s="186"/>
      <c r="AO125" s="33"/>
      <c r="AP125" s="33"/>
      <c r="AQ125" s="33"/>
      <c r="AR125" s="33"/>
      <c r="AS125" s="182"/>
      <c r="AT125" s="183"/>
      <c r="AU125" s="33"/>
      <c r="AV125" s="33"/>
      <c r="AW125" s="33"/>
      <c r="AX125" s="33"/>
      <c r="AY125" s="33"/>
      <c r="AZ125" s="33"/>
      <c r="BA125" s="33"/>
      <c r="BB125" s="33"/>
      <c r="BC125" s="33"/>
      <c r="BD125" s="33"/>
      <c r="BE125" s="33"/>
      <c r="BF125" s="33"/>
      <c r="BG125" s="33"/>
      <c r="BH125" s="33"/>
      <c r="BI125" s="33"/>
      <c r="BJ125" s="171"/>
    </row>
    <row r="126" spans="2:62" ht="16.5">
      <c r="B126" s="66" t="s">
        <v>1218</v>
      </c>
      <c r="C126" s="67"/>
      <c r="D126" s="67"/>
      <c r="E126" s="67"/>
      <c r="F126" s="67"/>
      <c r="G126" s="67"/>
      <c r="H126" s="184"/>
      <c r="I126" s="185" t="s">
        <v>437</v>
      </c>
      <c r="J126" s="67"/>
      <c r="K126" s="184"/>
      <c r="L126" s="185"/>
      <c r="M126" s="67"/>
      <c r="N126" s="184"/>
      <c r="O126" s="185"/>
      <c r="P126" s="67"/>
      <c r="Q126" s="184"/>
      <c r="R126" s="185" t="s">
        <v>1086</v>
      </c>
      <c r="S126" s="67"/>
      <c r="T126" s="67"/>
      <c r="U126" s="67"/>
      <c r="V126" s="67"/>
      <c r="W126" s="67"/>
      <c r="X126" s="67"/>
      <c r="Y126" s="67"/>
      <c r="Z126" s="67"/>
      <c r="AA126" s="184"/>
      <c r="AB126" s="169" t="str">
        <f t="shared" si="4"/>
        <v xml:space="preserve">  "PointClass05: 9,"</v>
      </c>
      <c r="AC126" s="33"/>
      <c r="AD126" s="33"/>
      <c r="AE126" s="33"/>
      <c r="AF126" s="33"/>
      <c r="AG126" s="33"/>
      <c r="AH126" s="33"/>
      <c r="AI126" s="33"/>
      <c r="AJ126" s="33"/>
      <c r="AK126" s="33"/>
      <c r="AL126" s="33"/>
      <c r="AM126" s="171"/>
      <c r="AN126" s="186"/>
      <c r="AO126" s="33"/>
      <c r="AP126" s="33"/>
      <c r="AQ126" s="33"/>
      <c r="AR126" s="33"/>
      <c r="AS126" s="182"/>
      <c r="AT126" s="183"/>
      <c r="AU126" s="33"/>
      <c r="AV126" s="33"/>
      <c r="AW126" s="33"/>
      <c r="AX126" s="33"/>
      <c r="AY126" s="33"/>
      <c r="AZ126" s="33"/>
      <c r="BA126" s="33"/>
      <c r="BB126" s="33"/>
      <c r="BC126" s="33"/>
      <c r="BD126" s="33"/>
      <c r="BE126" s="33"/>
      <c r="BF126" s="33"/>
      <c r="BG126" s="33"/>
      <c r="BH126" s="33"/>
      <c r="BI126" s="33"/>
      <c r="BJ126" s="171"/>
    </row>
    <row r="127" spans="2:62" ht="16.5">
      <c r="B127" s="66" t="s">
        <v>1219</v>
      </c>
      <c r="C127" s="67"/>
      <c r="D127" s="67"/>
      <c r="E127" s="67"/>
      <c r="F127" s="67"/>
      <c r="G127" s="67"/>
      <c r="H127" s="184"/>
      <c r="I127" s="185" t="s">
        <v>437</v>
      </c>
      <c r="J127" s="67"/>
      <c r="K127" s="184"/>
      <c r="L127" s="185"/>
      <c r="M127" s="67"/>
      <c r="N127" s="184"/>
      <c r="O127" s="185"/>
      <c r="P127" s="67"/>
      <c r="Q127" s="184"/>
      <c r="R127" s="185" t="s">
        <v>1088</v>
      </c>
      <c r="S127" s="67"/>
      <c r="T127" s="67"/>
      <c r="U127" s="67"/>
      <c r="V127" s="67"/>
      <c r="W127" s="67"/>
      <c r="X127" s="67"/>
      <c r="Y127" s="67"/>
      <c r="Z127" s="67"/>
      <c r="AA127" s="184"/>
      <c r="AB127" s="169" t="str">
        <f t="shared" si="4"/>
        <v xml:space="preserve">  "PointClass06: 9,"</v>
      </c>
      <c r="AC127" s="33"/>
      <c r="AD127" s="33"/>
      <c r="AE127" s="33"/>
      <c r="AF127" s="33"/>
      <c r="AG127" s="33"/>
      <c r="AH127" s="33"/>
      <c r="AI127" s="33"/>
      <c r="AJ127" s="33"/>
      <c r="AK127" s="33"/>
      <c r="AL127" s="33"/>
      <c r="AM127" s="171"/>
      <c r="AN127" s="186"/>
      <c r="AO127" s="33"/>
      <c r="AP127" s="33"/>
      <c r="AQ127" s="33"/>
      <c r="AR127" s="33"/>
      <c r="AS127" s="182"/>
      <c r="AT127" s="183"/>
      <c r="AU127" s="33"/>
      <c r="AV127" s="33"/>
      <c r="AW127" s="33"/>
      <c r="AX127" s="33"/>
      <c r="AY127" s="33"/>
      <c r="AZ127" s="33"/>
      <c r="BA127" s="33"/>
      <c r="BB127" s="33"/>
      <c r="BC127" s="33"/>
      <c r="BD127" s="33"/>
      <c r="BE127" s="33"/>
      <c r="BF127" s="33"/>
      <c r="BG127" s="33"/>
      <c r="BH127" s="33"/>
      <c r="BI127" s="33"/>
      <c r="BJ127" s="171"/>
    </row>
    <row r="128" spans="2:62" ht="16.5">
      <c r="B128" s="66" t="s">
        <v>1220</v>
      </c>
      <c r="C128" s="67"/>
      <c r="D128" s="67"/>
      <c r="E128" s="67"/>
      <c r="F128" s="67"/>
      <c r="G128" s="67"/>
      <c r="H128" s="184"/>
      <c r="I128" s="185" t="s">
        <v>437</v>
      </c>
      <c r="J128" s="67"/>
      <c r="K128" s="184"/>
      <c r="L128" s="185"/>
      <c r="M128" s="67"/>
      <c r="N128" s="184"/>
      <c r="O128" s="185"/>
      <c r="P128" s="67"/>
      <c r="Q128" s="184"/>
      <c r="R128" s="185" t="s">
        <v>1090</v>
      </c>
      <c r="S128" s="67"/>
      <c r="T128" s="67"/>
      <c r="U128" s="67"/>
      <c r="V128" s="67"/>
      <c r="W128" s="67"/>
      <c r="X128" s="67"/>
      <c r="Y128" s="67"/>
      <c r="Z128" s="67"/>
      <c r="AA128" s="184"/>
      <c r="AB128" s="169" t="str">
        <f t="shared" si="4"/>
        <v xml:space="preserve">  "PointClass07: 9,"</v>
      </c>
      <c r="AC128" s="33"/>
      <c r="AD128" s="33"/>
      <c r="AE128" s="33"/>
      <c r="AF128" s="33"/>
      <c r="AG128" s="33"/>
      <c r="AH128" s="33"/>
      <c r="AI128" s="33"/>
      <c r="AJ128" s="33"/>
      <c r="AK128" s="33"/>
      <c r="AL128" s="33"/>
      <c r="AM128" s="171"/>
      <c r="AN128" s="186"/>
      <c r="AO128" s="33"/>
      <c r="AP128" s="33"/>
      <c r="AQ128" s="33"/>
      <c r="AR128" s="33"/>
      <c r="AS128" s="182"/>
      <c r="AT128" s="183"/>
      <c r="AU128" s="33"/>
      <c r="AV128" s="33"/>
      <c r="AW128" s="33"/>
      <c r="AX128" s="33"/>
      <c r="AY128" s="33"/>
      <c r="AZ128" s="33"/>
      <c r="BA128" s="33"/>
      <c r="BB128" s="33"/>
      <c r="BC128" s="33"/>
      <c r="BD128" s="33"/>
      <c r="BE128" s="33"/>
      <c r="BF128" s="33"/>
      <c r="BG128" s="33"/>
      <c r="BH128" s="33"/>
      <c r="BI128" s="33"/>
      <c r="BJ128" s="171"/>
    </row>
    <row r="129" spans="2:62" ht="16.5">
      <c r="B129" s="66" t="s">
        <v>1221</v>
      </c>
      <c r="C129" s="67"/>
      <c r="D129" s="67"/>
      <c r="E129" s="67"/>
      <c r="F129" s="67"/>
      <c r="G129" s="67"/>
      <c r="H129" s="184"/>
      <c r="I129" s="185" t="s">
        <v>437</v>
      </c>
      <c r="J129" s="67"/>
      <c r="K129" s="184"/>
      <c r="L129" s="185"/>
      <c r="M129" s="67"/>
      <c r="N129" s="184"/>
      <c r="O129" s="185"/>
      <c r="P129" s="67"/>
      <c r="Q129" s="184"/>
      <c r="R129" s="185" t="s">
        <v>1092</v>
      </c>
      <c r="S129" s="67"/>
      <c r="T129" s="67"/>
      <c r="U129" s="67"/>
      <c r="V129" s="67"/>
      <c r="W129" s="67"/>
      <c r="X129" s="67"/>
      <c r="Y129" s="67"/>
      <c r="Z129" s="67"/>
      <c r="AA129" s="184"/>
      <c r="AB129" s="169" t="str">
        <f t="shared" si="4"/>
        <v xml:space="preserve">  "PointClass08: 9,"</v>
      </c>
      <c r="AC129" s="33"/>
      <c r="AD129" s="33"/>
      <c r="AE129" s="33"/>
      <c r="AF129" s="33"/>
      <c r="AG129" s="33"/>
      <c r="AH129" s="33"/>
      <c r="AI129" s="33"/>
      <c r="AJ129" s="33"/>
      <c r="AK129" s="33"/>
      <c r="AL129" s="33"/>
      <c r="AM129" s="171"/>
      <c r="AN129" s="186"/>
      <c r="AO129" s="33"/>
      <c r="AP129" s="33"/>
      <c r="AQ129" s="33"/>
      <c r="AR129" s="33"/>
      <c r="AS129" s="182"/>
      <c r="AT129" s="183"/>
      <c r="AU129" s="33"/>
      <c r="AV129" s="33"/>
      <c r="AW129" s="33"/>
      <c r="AX129" s="33"/>
      <c r="AY129" s="33"/>
      <c r="AZ129" s="33"/>
      <c r="BA129" s="33"/>
      <c r="BB129" s="33"/>
      <c r="BC129" s="33"/>
      <c r="BD129" s="33"/>
      <c r="BE129" s="33"/>
      <c r="BF129" s="33"/>
      <c r="BG129" s="33"/>
      <c r="BH129" s="33"/>
      <c r="BI129" s="33"/>
      <c r="BJ129" s="171"/>
    </row>
    <row r="130" spans="2:62" ht="16.5">
      <c r="B130" s="66" t="s">
        <v>1222</v>
      </c>
      <c r="C130" s="67"/>
      <c r="D130" s="67"/>
      <c r="E130" s="67"/>
      <c r="F130" s="67"/>
      <c r="G130" s="67"/>
      <c r="H130" s="184"/>
      <c r="I130" s="185" t="s">
        <v>437</v>
      </c>
      <c r="J130" s="67"/>
      <c r="K130" s="184"/>
      <c r="L130" s="185"/>
      <c r="M130" s="67"/>
      <c r="N130" s="184"/>
      <c r="O130" s="185"/>
      <c r="P130" s="67"/>
      <c r="Q130" s="184"/>
      <c r="R130" s="185" t="s">
        <v>1094</v>
      </c>
      <c r="S130" s="67"/>
      <c r="T130" s="67"/>
      <c r="U130" s="67"/>
      <c r="V130" s="67"/>
      <c r="W130" s="67"/>
      <c r="X130" s="67"/>
      <c r="Y130" s="67"/>
      <c r="Z130" s="67"/>
      <c r="AA130" s="184"/>
      <c r="AB130" s="169" t="str">
        <f t="shared" si="4"/>
        <v xml:space="preserve">  "PointClass09: 9,"</v>
      </c>
      <c r="AC130" s="33"/>
      <c r="AD130" s="33"/>
      <c r="AE130" s="33"/>
      <c r="AF130" s="33"/>
      <c r="AG130" s="33"/>
      <c r="AH130" s="33"/>
      <c r="AI130" s="33"/>
      <c r="AJ130" s="33"/>
      <c r="AK130" s="33"/>
      <c r="AL130" s="33"/>
      <c r="AM130" s="171"/>
      <c r="AN130" s="186"/>
      <c r="AO130" s="33"/>
      <c r="AP130" s="33"/>
      <c r="AQ130" s="33"/>
      <c r="AR130" s="33"/>
      <c r="AS130" s="182"/>
      <c r="AT130" s="183"/>
      <c r="AU130" s="33"/>
      <c r="AV130" s="33"/>
      <c r="AW130" s="33"/>
      <c r="AX130" s="33"/>
      <c r="AY130" s="33"/>
      <c r="AZ130" s="33"/>
      <c r="BA130" s="33"/>
      <c r="BB130" s="33"/>
      <c r="BC130" s="33"/>
      <c r="BD130" s="33"/>
      <c r="BE130" s="33"/>
      <c r="BF130" s="33"/>
      <c r="BG130" s="33"/>
      <c r="BH130" s="33"/>
      <c r="BI130" s="33"/>
      <c r="BJ130" s="171"/>
    </row>
    <row r="131" spans="2:62" ht="16.5">
      <c r="B131" s="66" t="s">
        <v>1223</v>
      </c>
      <c r="C131" s="67"/>
      <c r="D131" s="67"/>
      <c r="E131" s="67"/>
      <c r="F131" s="67"/>
      <c r="G131" s="67"/>
      <c r="H131" s="184"/>
      <c r="I131" s="185" t="s">
        <v>437</v>
      </c>
      <c r="J131" s="67"/>
      <c r="K131" s="184"/>
      <c r="L131" s="185"/>
      <c r="M131" s="67"/>
      <c r="N131" s="184"/>
      <c r="O131" s="185"/>
      <c r="P131" s="67"/>
      <c r="Q131" s="184"/>
      <c r="R131" s="185" t="s">
        <v>1096</v>
      </c>
      <c r="S131" s="67"/>
      <c r="T131" s="67"/>
      <c r="U131" s="67"/>
      <c r="V131" s="67"/>
      <c r="W131" s="67"/>
      <c r="X131" s="67"/>
      <c r="Y131" s="67"/>
      <c r="Z131" s="67"/>
      <c r="AA131" s="184"/>
      <c r="AB131" s="169" t="str">
        <f t="shared" si="4"/>
        <v xml:space="preserve">  "PointClass10: 9,"</v>
      </c>
      <c r="AC131" s="33"/>
      <c r="AD131" s="33"/>
      <c r="AE131" s="33"/>
      <c r="AF131" s="33"/>
      <c r="AG131" s="33"/>
      <c r="AH131" s="33"/>
      <c r="AI131" s="33"/>
      <c r="AJ131" s="33"/>
      <c r="AK131" s="33"/>
      <c r="AL131" s="33"/>
      <c r="AM131" s="171"/>
      <c r="AN131" s="186"/>
      <c r="AO131" s="33"/>
      <c r="AP131" s="33"/>
      <c r="AQ131" s="33"/>
      <c r="AR131" s="33"/>
      <c r="AS131" s="182"/>
      <c r="AT131" s="183"/>
      <c r="AU131" s="33"/>
      <c r="AV131" s="33"/>
      <c r="AW131" s="33"/>
      <c r="AX131" s="33"/>
      <c r="AY131" s="33"/>
      <c r="AZ131" s="33"/>
      <c r="BA131" s="33"/>
      <c r="BB131" s="33"/>
      <c r="BC131" s="33"/>
      <c r="BD131" s="33"/>
      <c r="BE131" s="33"/>
      <c r="BF131" s="33"/>
      <c r="BG131" s="33"/>
      <c r="BH131" s="33"/>
      <c r="BI131" s="33"/>
      <c r="BJ131" s="171"/>
    </row>
    <row r="132" spans="2:62" ht="16.5">
      <c r="B132" s="66" t="s">
        <v>1224</v>
      </c>
      <c r="C132" s="67"/>
      <c r="D132" s="67"/>
      <c r="E132" s="67"/>
      <c r="F132" s="67"/>
      <c r="G132" s="67"/>
      <c r="H132" s="184"/>
      <c r="I132" s="185" t="s">
        <v>437</v>
      </c>
      <c r="J132" s="67"/>
      <c r="K132" s="184"/>
      <c r="L132" s="185"/>
      <c r="M132" s="67"/>
      <c r="N132" s="184"/>
      <c r="O132" s="185"/>
      <c r="P132" s="67"/>
      <c r="Q132" s="184"/>
      <c r="R132" s="185" t="s">
        <v>1118</v>
      </c>
      <c r="S132" s="67"/>
      <c r="T132" s="67"/>
      <c r="U132" s="67"/>
      <c r="V132" s="67"/>
      <c r="W132" s="67"/>
      <c r="X132" s="67"/>
      <c r="Y132" s="67"/>
      <c r="Z132" s="67"/>
      <c r="AA132" s="184"/>
      <c r="AB132" s="169" t="str">
        <f>"  """&amp;B132&amp;": 1,"""</f>
        <v xml:space="preserve">  "PaymentClass01: 1,"</v>
      </c>
      <c r="AC132" s="33"/>
      <c r="AD132" s="33"/>
      <c r="AE132" s="33"/>
      <c r="AF132" s="33"/>
      <c r="AG132" s="33"/>
      <c r="AH132" s="33"/>
      <c r="AI132" s="33"/>
      <c r="AJ132" s="33"/>
      <c r="AK132" s="33"/>
      <c r="AL132" s="33"/>
      <c r="AM132" s="171"/>
      <c r="AN132" s="186"/>
      <c r="AO132" s="33"/>
      <c r="AP132" s="33"/>
      <c r="AQ132" s="33"/>
      <c r="AR132" s="33"/>
      <c r="AS132" s="182"/>
      <c r="AT132" s="183"/>
      <c r="AU132" s="33"/>
      <c r="AV132" s="33"/>
      <c r="AW132" s="33"/>
      <c r="AX132" s="33"/>
      <c r="AY132" s="33"/>
      <c r="AZ132" s="33"/>
      <c r="BA132" s="33"/>
      <c r="BB132" s="33"/>
      <c r="BC132" s="33"/>
      <c r="BD132" s="33"/>
      <c r="BE132" s="33"/>
      <c r="BF132" s="33"/>
      <c r="BG132" s="33"/>
      <c r="BH132" s="33"/>
      <c r="BI132" s="33"/>
      <c r="BJ132" s="171"/>
    </row>
    <row r="133" spans="2:62" ht="16.5">
      <c r="B133" s="66" t="s">
        <v>1225</v>
      </c>
      <c r="C133" s="67"/>
      <c r="D133" s="67"/>
      <c r="E133" s="67"/>
      <c r="F133" s="67"/>
      <c r="G133" s="67"/>
      <c r="H133" s="184"/>
      <c r="I133" s="185" t="s">
        <v>437</v>
      </c>
      <c r="J133" s="67"/>
      <c r="K133" s="184"/>
      <c r="L133" s="185"/>
      <c r="M133" s="67"/>
      <c r="N133" s="184"/>
      <c r="O133" s="185"/>
      <c r="P133" s="67"/>
      <c r="Q133" s="184"/>
      <c r="R133" s="185" t="s">
        <v>1121</v>
      </c>
      <c r="S133" s="67"/>
      <c r="T133" s="67"/>
      <c r="U133" s="67"/>
      <c r="V133" s="67"/>
      <c r="W133" s="67"/>
      <c r="X133" s="67"/>
      <c r="Y133" s="67"/>
      <c r="Z133" s="67"/>
      <c r="AA133" s="184"/>
      <c r="AB133" s="169" t="str">
        <f t="shared" si="4"/>
        <v xml:space="preserve">  "PaymentClass02: 9,"</v>
      </c>
      <c r="AC133" s="33"/>
      <c r="AD133" s="33"/>
      <c r="AE133" s="33"/>
      <c r="AF133" s="33"/>
      <c r="AG133" s="33"/>
      <c r="AH133" s="33"/>
      <c r="AI133" s="33"/>
      <c r="AJ133" s="33"/>
      <c r="AK133" s="33"/>
      <c r="AL133" s="33"/>
      <c r="AM133" s="171"/>
      <c r="AN133" s="186"/>
      <c r="AO133" s="33"/>
      <c r="AP133" s="33"/>
      <c r="AQ133" s="33"/>
      <c r="AR133" s="33"/>
      <c r="AS133" s="182"/>
      <c r="AT133" s="183"/>
      <c r="AU133" s="33"/>
      <c r="AV133" s="33"/>
      <c r="AW133" s="33"/>
      <c r="AX133" s="33"/>
      <c r="AY133" s="33"/>
      <c r="AZ133" s="33"/>
      <c r="BA133" s="33"/>
      <c r="BB133" s="33"/>
      <c r="BC133" s="33"/>
      <c r="BD133" s="33"/>
      <c r="BE133" s="33"/>
      <c r="BF133" s="33"/>
      <c r="BG133" s="33"/>
      <c r="BH133" s="33"/>
      <c r="BI133" s="33"/>
      <c r="BJ133" s="171"/>
    </row>
    <row r="134" spans="2:62" ht="16.5">
      <c r="B134" s="66" t="s">
        <v>1226</v>
      </c>
      <c r="C134" s="67"/>
      <c r="D134" s="67"/>
      <c r="E134" s="67"/>
      <c r="F134" s="67"/>
      <c r="G134" s="67"/>
      <c r="H134" s="184"/>
      <c r="I134" s="185" t="s">
        <v>437</v>
      </c>
      <c r="J134" s="67"/>
      <c r="K134" s="184"/>
      <c r="L134" s="185"/>
      <c r="M134" s="67"/>
      <c r="N134" s="184"/>
      <c r="O134" s="185"/>
      <c r="P134" s="67"/>
      <c r="Q134" s="184"/>
      <c r="R134" s="185" t="s">
        <v>1124</v>
      </c>
      <c r="S134" s="67"/>
      <c r="T134" s="67"/>
      <c r="U134" s="67"/>
      <c r="V134" s="67"/>
      <c r="W134" s="67"/>
      <c r="X134" s="67"/>
      <c r="Y134" s="67"/>
      <c r="Z134" s="67"/>
      <c r="AA134" s="184"/>
      <c r="AB134" s="169" t="str">
        <f t="shared" si="4"/>
        <v xml:space="preserve">  "PaymentClass03: 9,"</v>
      </c>
      <c r="AC134" s="33"/>
      <c r="AD134" s="33"/>
      <c r="AE134" s="33"/>
      <c r="AF134" s="33"/>
      <c r="AG134" s="33"/>
      <c r="AH134" s="33"/>
      <c r="AI134" s="33"/>
      <c r="AJ134" s="33"/>
      <c r="AK134" s="33"/>
      <c r="AL134" s="33"/>
      <c r="AM134" s="171"/>
      <c r="AN134" s="186"/>
      <c r="AO134" s="33"/>
      <c r="AP134" s="33"/>
      <c r="AQ134" s="33"/>
      <c r="AR134" s="33"/>
      <c r="AS134" s="182"/>
      <c r="AT134" s="183"/>
      <c r="AU134" s="33"/>
      <c r="AV134" s="33"/>
      <c r="AW134" s="33"/>
      <c r="AX134" s="33"/>
      <c r="AY134" s="33"/>
      <c r="AZ134" s="33"/>
      <c r="BA134" s="33"/>
      <c r="BB134" s="33"/>
      <c r="BC134" s="33"/>
      <c r="BD134" s="33"/>
      <c r="BE134" s="33"/>
      <c r="BF134" s="33"/>
      <c r="BG134" s="33"/>
      <c r="BH134" s="33"/>
      <c r="BI134" s="33"/>
      <c r="BJ134" s="171"/>
    </row>
    <row r="135" spans="2:62" ht="16.5">
      <c r="B135" s="66" t="s">
        <v>1227</v>
      </c>
      <c r="C135" s="67"/>
      <c r="D135" s="67"/>
      <c r="E135" s="67"/>
      <c r="F135" s="67"/>
      <c r="G135" s="67"/>
      <c r="H135" s="184"/>
      <c r="I135" s="185" t="s">
        <v>437</v>
      </c>
      <c r="J135" s="67"/>
      <c r="K135" s="184"/>
      <c r="L135" s="185"/>
      <c r="M135" s="67"/>
      <c r="N135" s="184"/>
      <c r="O135" s="185"/>
      <c r="P135" s="67"/>
      <c r="Q135" s="184"/>
      <c r="R135" s="185" t="s">
        <v>1126</v>
      </c>
      <c r="S135" s="67"/>
      <c r="T135" s="67"/>
      <c r="U135" s="67"/>
      <c r="V135" s="67"/>
      <c r="W135" s="67"/>
      <c r="X135" s="67"/>
      <c r="Y135" s="67"/>
      <c r="Z135" s="67"/>
      <c r="AA135" s="184"/>
      <c r="AB135" s="169" t="str">
        <f t="shared" si="4"/>
        <v xml:space="preserve">  "PaymentClass04: 9,"</v>
      </c>
      <c r="AC135" s="33"/>
      <c r="AD135" s="33"/>
      <c r="AE135" s="33"/>
      <c r="AF135" s="33"/>
      <c r="AG135" s="33"/>
      <c r="AH135" s="33"/>
      <c r="AI135" s="33"/>
      <c r="AJ135" s="33"/>
      <c r="AK135" s="33"/>
      <c r="AL135" s="33"/>
      <c r="AM135" s="171"/>
      <c r="AN135" s="186"/>
      <c r="AO135" s="33"/>
      <c r="AP135" s="33"/>
      <c r="AQ135" s="33"/>
      <c r="AR135" s="33"/>
      <c r="AS135" s="182"/>
      <c r="AT135" s="183"/>
      <c r="AU135" s="33"/>
      <c r="AV135" s="33"/>
      <c r="AW135" s="33"/>
      <c r="AX135" s="33"/>
      <c r="AY135" s="33"/>
      <c r="AZ135" s="33"/>
      <c r="BA135" s="33"/>
      <c r="BB135" s="33"/>
      <c r="BC135" s="33"/>
      <c r="BD135" s="33"/>
      <c r="BE135" s="33"/>
      <c r="BF135" s="33"/>
      <c r="BG135" s="33"/>
      <c r="BH135" s="33"/>
      <c r="BI135" s="33"/>
      <c r="BJ135" s="171"/>
    </row>
    <row r="136" spans="2:62" ht="16.5">
      <c r="B136" s="66" t="s">
        <v>1228</v>
      </c>
      <c r="C136" s="67"/>
      <c r="D136" s="67"/>
      <c r="E136" s="67"/>
      <c r="F136" s="67"/>
      <c r="G136" s="67"/>
      <c r="H136" s="184"/>
      <c r="I136" s="185" t="s">
        <v>437</v>
      </c>
      <c r="J136" s="67"/>
      <c r="K136" s="184"/>
      <c r="L136" s="185"/>
      <c r="M136" s="67"/>
      <c r="N136" s="184"/>
      <c r="O136" s="185"/>
      <c r="P136" s="67"/>
      <c r="Q136" s="184"/>
      <c r="R136" s="185" t="s">
        <v>1128</v>
      </c>
      <c r="S136" s="67"/>
      <c r="T136" s="67"/>
      <c r="U136" s="67"/>
      <c r="V136" s="67"/>
      <c r="W136" s="67"/>
      <c r="X136" s="67"/>
      <c r="Y136" s="67"/>
      <c r="Z136" s="67"/>
      <c r="AA136" s="184"/>
      <c r="AB136" s="169" t="str">
        <f t="shared" si="4"/>
        <v xml:space="preserve">  "PaymentClass05: 9,"</v>
      </c>
      <c r="AC136" s="33"/>
      <c r="AD136" s="33"/>
      <c r="AE136" s="33"/>
      <c r="AF136" s="33"/>
      <c r="AG136" s="33"/>
      <c r="AH136" s="33"/>
      <c r="AI136" s="33"/>
      <c r="AJ136" s="33"/>
      <c r="AK136" s="33"/>
      <c r="AL136" s="33"/>
      <c r="AM136" s="171"/>
      <c r="AN136" s="186"/>
      <c r="AO136" s="33"/>
      <c r="AP136" s="33"/>
      <c r="AQ136" s="33"/>
      <c r="AR136" s="33"/>
      <c r="AS136" s="182"/>
      <c r="AT136" s="183"/>
      <c r="AU136" s="33"/>
      <c r="AV136" s="33"/>
      <c r="AW136" s="33"/>
      <c r="AX136" s="33"/>
      <c r="AY136" s="33"/>
      <c r="AZ136" s="33"/>
      <c r="BA136" s="33"/>
      <c r="BB136" s="33"/>
      <c r="BC136" s="33"/>
      <c r="BD136" s="33"/>
      <c r="BE136" s="33"/>
      <c r="BF136" s="33"/>
      <c r="BG136" s="33"/>
      <c r="BH136" s="33"/>
      <c r="BI136" s="33"/>
      <c r="BJ136" s="171"/>
    </row>
    <row r="137" spans="2:62" ht="16.5">
      <c r="B137" s="66" t="s">
        <v>1229</v>
      </c>
      <c r="C137" s="67"/>
      <c r="D137" s="67"/>
      <c r="E137" s="67"/>
      <c r="F137" s="67"/>
      <c r="G137" s="67"/>
      <c r="H137" s="184"/>
      <c r="I137" s="185" t="s">
        <v>437</v>
      </c>
      <c r="J137" s="67"/>
      <c r="K137" s="184"/>
      <c r="L137" s="185"/>
      <c r="M137" s="67"/>
      <c r="N137" s="184"/>
      <c r="O137" s="185"/>
      <c r="P137" s="67"/>
      <c r="Q137" s="184"/>
      <c r="R137" s="185" t="s">
        <v>1130</v>
      </c>
      <c r="S137" s="67"/>
      <c r="T137" s="67"/>
      <c r="U137" s="67"/>
      <c r="V137" s="67"/>
      <c r="W137" s="67"/>
      <c r="X137" s="67"/>
      <c r="Y137" s="67"/>
      <c r="Z137" s="67"/>
      <c r="AA137" s="184"/>
      <c r="AB137" s="169" t="str">
        <f t="shared" si="4"/>
        <v xml:space="preserve">  "PaymentClass06: 9,"</v>
      </c>
      <c r="AC137" s="33"/>
      <c r="AD137" s="33"/>
      <c r="AE137" s="33"/>
      <c r="AF137" s="33"/>
      <c r="AG137" s="33"/>
      <c r="AH137" s="33"/>
      <c r="AI137" s="33"/>
      <c r="AJ137" s="33"/>
      <c r="AK137" s="33"/>
      <c r="AL137" s="33"/>
      <c r="AM137" s="171"/>
      <c r="AN137" s="186"/>
      <c r="AO137" s="33"/>
      <c r="AP137" s="33"/>
      <c r="AQ137" s="33"/>
      <c r="AR137" s="33"/>
      <c r="AS137" s="182"/>
      <c r="AT137" s="183"/>
      <c r="AU137" s="33"/>
      <c r="AV137" s="33"/>
      <c r="AW137" s="33"/>
      <c r="AX137" s="33"/>
      <c r="AY137" s="33"/>
      <c r="AZ137" s="33"/>
      <c r="BA137" s="33"/>
      <c r="BB137" s="33"/>
      <c r="BC137" s="33"/>
      <c r="BD137" s="33"/>
      <c r="BE137" s="33"/>
      <c r="BF137" s="33"/>
      <c r="BG137" s="33"/>
      <c r="BH137" s="33"/>
      <c r="BI137" s="33"/>
      <c r="BJ137" s="171"/>
    </row>
    <row r="138" spans="2:62" ht="16.5">
      <c r="B138" s="66" t="s">
        <v>1230</v>
      </c>
      <c r="C138" s="67"/>
      <c r="D138" s="67"/>
      <c r="E138" s="67"/>
      <c r="F138" s="67"/>
      <c r="G138" s="67"/>
      <c r="H138" s="184"/>
      <c r="I138" s="185" t="s">
        <v>437</v>
      </c>
      <c r="J138" s="67"/>
      <c r="K138" s="184"/>
      <c r="L138" s="185"/>
      <c r="M138" s="67"/>
      <c r="N138" s="184"/>
      <c r="O138" s="185"/>
      <c r="P138" s="67"/>
      <c r="Q138" s="184"/>
      <c r="R138" s="185" t="s">
        <v>1132</v>
      </c>
      <c r="S138" s="67"/>
      <c r="T138" s="67"/>
      <c r="U138" s="67"/>
      <c r="V138" s="67"/>
      <c r="W138" s="67"/>
      <c r="X138" s="67"/>
      <c r="Y138" s="67"/>
      <c r="Z138" s="67"/>
      <c r="AA138" s="184"/>
      <c r="AB138" s="169" t="str">
        <f t="shared" si="4"/>
        <v xml:space="preserve">  "PaymentClass07: 9,"</v>
      </c>
      <c r="AC138" s="33"/>
      <c r="AD138" s="33"/>
      <c r="AE138" s="33"/>
      <c r="AF138" s="33"/>
      <c r="AG138" s="33"/>
      <c r="AH138" s="33"/>
      <c r="AI138" s="33"/>
      <c r="AJ138" s="33"/>
      <c r="AK138" s="33"/>
      <c r="AL138" s="33"/>
      <c r="AM138" s="171"/>
      <c r="AN138" s="186"/>
      <c r="AO138" s="33"/>
      <c r="AP138" s="33"/>
      <c r="AQ138" s="33"/>
      <c r="AR138" s="33"/>
      <c r="AS138" s="182"/>
      <c r="AT138" s="183"/>
      <c r="AU138" s="33"/>
      <c r="AV138" s="33"/>
      <c r="AW138" s="33"/>
      <c r="AX138" s="33"/>
      <c r="AY138" s="33"/>
      <c r="AZ138" s="33"/>
      <c r="BA138" s="33"/>
      <c r="BB138" s="33"/>
      <c r="BC138" s="33"/>
      <c r="BD138" s="33"/>
      <c r="BE138" s="33"/>
      <c r="BF138" s="33"/>
      <c r="BG138" s="33"/>
      <c r="BH138" s="33"/>
      <c r="BI138" s="33"/>
      <c r="BJ138" s="171"/>
    </row>
    <row r="139" spans="2:62" ht="16.5">
      <c r="B139" s="66" t="s">
        <v>1231</v>
      </c>
      <c r="C139" s="67"/>
      <c r="D139" s="67"/>
      <c r="E139" s="67"/>
      <c r="F139" s="67"/>
      <c r="G139" s="67"/>
      <c r="H139" s="184"/>
      <c r="I139" s="185" t="s">
        <v>437</v>
      </c>
      <c r="J139" s="67"/>
      <c r="K139" s="184"/>
      <c r="L139" s="185"/>
      <c r="M139" s="67"/>
      <c r="N139" s="184"/>
      <c r="O139" s="185"/>
      <c r="P139" s="67"/>
      <c r="Q139" s="184"/>
      <c r="R139" s="185" t="s">
        <v>1134</v>
      </c>
      <c r="S139" s="67"/>
      <c r="T139" s="67"/>
      <c r="U139" s="67"/>
      <c r="V139" s="67"/>
      <c r="W139" s="67"/>
      <c r="X139" s="67"/>
      <c r="Y139" s="67"/>
      <c r="Z139" s="67"/>
      <c r="AA139" s="184"/>
      <c r="AB139" s="169" t="str">
        <f t="shared" si="4"/>
        <v xml:space="preserve">  "PaymentClass08: 9,"</v>
      </c>
      <c r="AC139" s="33"/>
      <c r="AD139" s="33"/>
      <c r="AE139" s="33"/>
      <c r="AF139" s="33"/>
      <c r="AG139" s="33"/>
      <c r="AH139" s="33"/>
      <c r="AI139" s="33"/>
      <c r="AJ139" s="33"/>
      <c r="AK139" s="33"/>
      <c r="AL139" s="33"/>
      <c r="AM139" s="171"/>
      <c r="AN139" s="186"/>
      <c r="AO139" s="33"/>
      <c r="AP139" s="33"/>
      <c r="AQ139" s="33"/>
      <c r="AR139" s="33"/>
      <c r="AS139" s="182"/>
      <c r="AT139" s="183"/>
      <c r="AU139" s="33"/>
      <c r="AV139" s="33"/>
      <c r="AW139" s="33"/>
      <c r="AX139" s="33"/>
      <c r="AY139" s="33"/>
      <c r="AZ139" s="33"/>
      <c r="BA139" s="33"/>
      <c r="BB139" s="33"/>
      <c r="BC139" s="33"/>
      <c r="BD139" s="33"/>
      <c r="BE139" s="33"/>
      <c r="BF139" s="33"/>
      <c r="BG139" s="33"/>
      <c r="BH139" s="33"/>
      <c r="BI139" s="33"/>
      <c r="BJ139" s="171"/>
    </row>
    <row r="140" spans="2:62" ht="16.5">
      <c r="B140" s="66" t="s">
        <v>1232</v>
      </c>
      <c r="C140" s="67"/>
      <c r="D140" s="67"/>
      <c r="E140" s="67"/>
      <c r="F140" s="67"/>
      <c r="G140" s="67"/>
      <c r="H140" s="184"/>
      <c r="I140" s="185" t="s">
        <v>437</v>
      </c>
      <c r="J140" s="67"/>
      <c r="K140" s="184"/>
      <c r="L140" s="185"/>
      <c r="M140" s="67"/>
      <c r="N140" s="184"/>
      <c r="O140" s="185"/>
      <c r="P140" s="67"/>
      <c r="Q140" s="184"/>
      <c r="R140" s="185" t="s">
        <v>1136</v>
      </c>
      <c r="S140" s="67"/>
      <c r="T140" s="67"/>
      <c r="U140" s="67"/>
      <c r="V140" s="67"/>
      <c r="W140" s="67"/>
      <c r="X140" s="67"/>
      <c r="Y140" s="67"/>
      <c r="Z140" s="67"/>
      <c r="AA140" s="184"/>
      <c r="AB140" s="169" t="str">
        <f t="shared" si="4"/>
        <v xml:space="preserve">  "PaymentClass09: 9,"</v>
      </c>
      <c r="AC140" s="33"/>
      <c r="AD140" s="33"/>
      <c r="AE140" s="33"/>
      <c r="AF140" s="33"/>
      <c r="AG140" s="33"/>
      <c r="AH140" s="33"/>
      <c r="AI140" s="33"/>
      <c r="AJ140" s="33"/>
      <c r="AK140" s="33"/>
      <c r="AL140" s="33"/>
      <c r="AM140" s="171"/>
      <c r="AN140" s="186"/>
      <c r="AO140" s="33"/>
      <c r="AP140" s="33"/>
      <c r="AQ140" s="33"/>
      <c r="AR140" s="33"/>
      <c r="AS140" s="182"/>
      <c r="AT140" s="183"/>
      <c r="AU140" s="33"/>
      <c r="AV140" s="33"/>
      <c r="AW140" s="33"/>
      <c r="AX140" s="33"/>
      <c r="AY140" s="33"/>
      <c r="AZ140" s="33"/>
      <c r="BA140" s="33"/>
      <c r="BB140" s="33"/>
      <c r="BC140" s="33"/>
      <c r="BD140" s="33"/>
      <c r="BE140" s="33"/>
      <c r="BF140" s="33"/>
      <c r="BG140" s="33"/>
      <c r="BH140" s="33"/>
      <c r="BI140" s="33"/>
      <c r="BJ140" s="171"/>
    </row>
    <row r="141" spans="2:62" ht="16.5">
      <c r="B141" s="66" t="s">
        <v>1233</v>
      </c>
      <c r="C141" s="67"/>
      <c r="D141" s="67"/>
      <c r="E141" s="67"/>
      <c r="F141" s="67"/>
      <c r="G141" s="67"/>
      <c r="H141" s="184"/>
      <c r="I141" s="185" t="s">
        <v>437</v>
      </c>
      <c r="J141" s="67"/>
      <c r="K141" s="184"/>
      <c r="L141" s="185"/>
      <c r="M141" s="67"/>
      <c r="N141" s="184"/>
      <c r="O141" s="185"/>
      <c r="P141" s="67"/>
      <c r="Q141" s="184"/>
      <c r="R141" s="185" t="s">
        <v>1138</v>
      </c>
      <c r="S141" s="67"/>
      <c r="T141" s="67"/>
      <c r="U141" s="67"/>
      <c r="V141" s="67"/>
      <c r="W141" s="67"/>
      <c r="X141" s="67"/>
      <c r="Y141" s="67"/>
      <c r="Z141" s="67"/>
      <c r="AA141" s="184"/>
      <c r="AB141" s="169" t="str">
        <f t="shared" si="4"/>
        <v xml:space="preserve">  "PaymentClass10: 9,"</v>
      </c>
      <c r="AC141" s="33"/>
      <c r="AD141" s="33"/>
      <c r="AE141" s="33"/>
      <c r="AF141" s="33"/>
      <c r="AG141" s="33"/>
      <c r="AH141" s="33"/>
      <c r="AI141" s="33"/>
      <c r="AJ141" s="33"/>
      <c r="AK141" s="33"/>
      <c r="AL141" s="33"/>
      <c r="AM141" s="171"/>
      <c r="AN141" s="186"/>
      <c r="AO141" s="33"/>
      <c r="AP141" s="33"/>
      <c r="AQ141" s="33"/>
      <c r="AR141" s="33"/>
      <c r="AS141" s="182"/>
      <c r="AT141" s="183"/>
      <c r="AU141" s="33"/>
      <c r="AV141" s="33"/>
      <c r="AW141" s="33"/>
      <c r="AX141" s="33"/>
      <c r="AY141" s="33"/>
      <c r="AZ141" s="33"/>
      <c r="BA141" s="33"/>
      <c r="BB141" s="33"/>
      <c r="BC141" s="33"/>
      <c r="BD141" s="33"/>
      <c r="BE141" s="33"/>
      <c r="BF141" s="33"/>
      <c r="BG141" s="33"/>
      <c r="BH141" s="33"/>
      <c r="BI141" s="33"/>
      <c r="BJ141" s="171"/>
    </row>
    <row r="142" spans="2:62" ht="16.5">
      <c r="B142" s="66" t="s">
        <v>1234</v>
      </c>
      <c r="C142" s="67"/>
      <c r="D142" s="67"/>
      <c r="E142" s="67"/>
      <c r="F142" s="67"/>
      <c r="G142" s="67"/>
      <c r="H142" s="184"/>
      <c r="I142" s="185" t="s">
        <v>437</v>
      </c>
      <c r="J142" s="67"/>
      <c r="K142" s="184"/>
      <c r="L142" s="185"/>
      <c r="M142" s="67"/>
      <c r="N142" s="184"/>
      <c r="O142" s="185"/>
      <c r="P142" s="67"/>
      <c r="Q142" s="184"/>
      <c r="R142" s="185" t="s">
        <v>1140</v>
      </c>
      <c r="S142" s="67"/>
      <c r="T142" s="67"/>
      <c r="U142" s="67"/>
      <c r="V142" s="67"/>
      <c r="W142" s="67"/>
      <c r="X142" s="67"/>
      <c r="Y142" s="67"/>
      <c r="Z142" s="67"/>
      <c r="AA142" s="184"/>
      <c r="AB142" s="169" t="str">
        <f t="shared" si="4"/>
        <v xml:space="preserve">  "PaymentClass11: 9,"</v>
      </c>
      <c r="AC142" s="33"/>
      <c r="AD142" s="33"/>
      <c r="AE142" s="33"/>
      <c r="AF142" s="33"/>
      <c r="AG142" s="33"/>
      <c r="AH142" s="33"/>
      <c r="AI142" s="33"/>
      <c r="AJ142" s="33"/>
      <c r="AK142" s="33"/>
      <c r="AL142" s="33"/>
      <c r="AM142" s="171"/>
      <c r="AN142" s="186"/>
      <c r="AO142" s="33"/>
      <c r="AP142" s="33"/>
      <c r="AQ142" s="33"/>
      <c r="AR142" s="33"/>
      <c r="AS142" s="182"/>
      <c r="AT142" s="183"/>
      <c r="AU142" s="33"/>
      <c r="AV142" s="33"/>
      <c r="AW142" s="33"/>
      <c r="AX142" s="33"/>
      <c r="AY142" s="33"/>
      <c r="AZ142" s="33"/>
      <c r="BA142" s="33"/>
      <c r="BB142" s="33"/>
      <c r="BC142" s="33"/>
      <c r="BD142" s="33"/>
      <c r="BE142" s="33"/>
      <c r="BF142" s="33"/>
      <c r="BG142" s="33"/>
      <c r="BH142" s="33"/>
      <c r="BI142" s="33"/>
      <c r="BJ142" s="171"/>
    </row>
    <row r="143" spans="2:62" ht="16.5">
      <c r="B143" s="66" t="s">
        <v>1235</v>
      </c>
      <c r="C143" s="67"/>
      <c r="D143" s="67"/>
      <c r="E143" s="67"/>
      <c r="F143" s="67"/>
      <c r="G143" s="67"/>
      <c r="H143" s="184"/>
      <c r="I143" s="185" t="s">
        <v>437</v>
      </c>
      <c r="J143" s="67"/>
      <c r="K143" s="184"/>
      <c r="L143" s="185"/>
      <c r="M143" s="67"/>
      <c r="N143" s="184"/>
      <c r="O143" s="185"/>
      <c r="P143" s="67"/>
      <c r="Q143" s="184"/>
      <c r="R143" s="185" t="s">
        <v>1142</v>
      </c>
      <c r="S143" s="67"/>
      <c r="T143" s="67"/>
      <c r="U143" s="67"/>
      <c r="V143" s="67"/>
      <c r="W143" s="67"/>
      <c r="X143" s="67"/>
      <c r="Y143" s="67"/>
      <c r="Z143" s="67"/>
      <c r="AA143" s="184"/>
      <c r="AB143" s="169" t="str">
        <f t="shared" si="4"/>
        <v xml:space="preserve">  "PaymentClass12: 9,"</v>
      </c>
      <c r="AC143" s="33"/>
      <c r="AD143" s="33"/>
      <c r="AE143" s="33"/>
      <c r="AF143" s="33"/>
      <c r="AG143" s="33"/>
      <c r="AH143" s="33"/>
      <c r="AI143" s="33"/>
      <c r="AJ143" s="33"/>
      <c r="AK143" s="33"/>
      <c r="AL143" s="33"/>
      <c r="AM143" s="171"/>
      <c r="AN143" s="186"/>
      <c r="AO143" s="33"/>
      <c r="AP143" s="33"/>
      <c r="AQ143" s="33"/>
      <c r="AR143" s="33"/>
      <c r="AS143" s="182"/>
      <c r="AT143" s="183"/>
      <c r="AU143" s="33"/>
      <c r="AV143" s="33"/>
      <c r="AW143" s="33"/>
      <c r="AX143" s="33"/>
      <c r="AY143" s="33"/>
      <c r="AZ143" s="33"/>
      <c r="BA143" s="33"/>
      <c r="BB143" s="33"/>
      <c r="BC143" s="33"/>
      <c r="BD143" s="33"/>
      <c r="BE143" s="33"/>
      <c r="BF143" s="33"/>
      <c r="BG143" s="33"/>
      <c r="BH143" s="33"/>
      <c r="BI143" s="33"/>
      <c r="BJ143" s="171"/>
    </row>
    <row r="144" spans="2:62" ht="16.5">
      <c r="B144" s="66" t="s">
        <v>1236</v>
      </c>
      <c r="C144" s="67"/>
      <c r="D144" s="67"/>
      <c r="E144" s="67"/>
      <c r="F144" s="67"/>
      <c r="G144" s="67"/>
      <c r="H144" s="184"/>
      <c r="I144" s="185" t="s">
        <v>437</v>
      </c>
      <c r="J144" s="67"/>
      <c r="K144" s="184"/>
      <c r="L144" s="185"/>
      <c r="M144" s="67"/>
      <c r="N144" s="184"/>
      <c r="O144" s="185"/>
      <c r="P144" s="67"/>
      <c r="Q144" s="184"/>
      <c r="R144" s="185" t="s">
        <v>1144</v>
      </c>
      <c r="S144" s="67"/>
      <c r="T144" s="67"/>
      <c r="U144" s="67"/>
      <c r="V144" s="67"/>
      <c r="W144" s="67"/>
      <c r="X144" s="67"/>
      <c r="Y144" s="67"/>
      <c r="Z144" s="67"/>
      <c r="AA144" s="184"/>
      <c r="AB144" s="169" t="str">
        <f t="shared" si="4"/>
        <v xml:space="preserve">  "PaymentClass13: 9,"</v>
      </c>
      <c r="AC144" s="33"/>
      <c r="AD144" s="33"/>
      <c r="AE144" s="33"/>
      <c r="AF144" s="33"/>
      <c r="AG144" s="33"/>
      <c r="AH144" s="33"/>
      <c r="AI144" s="33"/>
      <c r="AJ144" s="33"/>
      <c r="AK144" s="33"/>
      <c r="AL144" s="33"/>
      <c r="AM144" s="171"/>
      <c r="AN144" s="186"/>
      <c r="AO144" s="33"/>
      <c r="AP144" s="33"/>
      <c r="AQ144" s="33"/>
      <c r="AR144" s="33"/>
      <c r="AS144" s="182"/>
      <c r="AT144" s="183"/>
      <c r="AU144" s="33"/>
      <c r="AV144" s="33"/>
      <c r="AW144" s="33"/>
      <c r="AX144" s="33"/>
      <c r="AY144" s="33"/>
      <c r="AZ144" s="33"/>
      <c r="BA144" s="33"/>
      <c r="BB144" s="33"/>
      <c r="BC144" s="33"/>
      <c r="BD144" s="33"/>
      <c r="BE144" s="33"/>
      <c r="BF144" s="33"/>
      <c r="BG144" s="33"/>
      <c r="BH144" s="33"/>
      <c r="BI144" s="33"/>
      <c r="BJ144" s="171"/>
    </row>
    <row r="145" spans="1:62" ht="16.5">
      <c r="B145" s="66" t="s">
        <v>1237</v>
      </c>
      <c r="C145" s="67"/>
      <c r="D145" s="67"/>
      <c r="E145" s="67"/>
      <c r="F145" s="67"/>
      <c r="G145" s="67"/>
      <c r="H145" s="184"/>
      <c r="I145" s="185" t="s">
        <v>437</v>
      </c>
      <c r="J145" s="67"/>
      <c r="K145" s="184"/>
      <c r="L145" s="185"/>
      <c r="M145" s="67"/>
      <c r="N145" s="184"/>
      <c r="O145" s="185"/>
      <c r="P145" s="67"/>
      <c r="Q145" s="184"/>
      <c r="R145" s="185" t="s">
        <v>1146</v>
      </c>
      <c r="S145" s="67"/>
      <c r="T145" s="67"/>
      <c r="U145" s="67"/>
      <c r="V145" s="67"/>
      <c r="W145" s="67"/>
      <c r="X145" s="67"/>
      <c r="Y145" s="67"/>
      <c r="Z145" s="67"/>
      <c r="AA145" s="184"/>
      <c r="AB145" s="169" t="str">
        <f t="shared" si="4"/>
        <v xml:space="preserve">  "PaymentClass14: 9,"</v>
      </c>
      <c r="AC145" s="33"/>
      <c r="AD145" s="33"/>
      <c r="AE145" s="33"/>
      <c r="AF145" s="33"/>
      <c r="AG145" s="33"/>
      <c r="AH145" s="33"/>
      <c r="AI145" s="33"/>
      <c r="AJ145" s="33"/>
      <c r="AK145" s="33"/>
      <c r="AL145" s="33"/>
      <c r="AM145" s="171"/>
      <c r="AN145" s="186"/>
      <c r="AO145" s="33"/>
      <c r="AP145" s="33"/>
      <c r="AQ145" s="33"/>
      <c r="AR145" s="33"/>
      <c r="AS145" s="182"/>
      <c r="AT145" s="183"/>
      <c r="AU145" s="33"/>
      <c r="AV145" s="33"/>
      <c r="AW145" s="33"/>
      <c r="AX145" s="33"/>
      <c r="AY145" s="33"/>
      <c r="AZ145" s="33"/>
      <c r="BA145" s="33"/>
      <c r="BB145" s="33"/>
      <c r="BC145" s="33"/>
      <c r="BD145" s="33"/>
      <c r="BE145" s="33"/>
      <c r="BF145" s="33"/>
      <c r="BG145" s="33"/>
      <c r="BH145" s="33"/>
      <c r="BI145" s="33"/>
      <c r="BJ145" s="171"/>
    </row>
    <row r="146" spans="1:62" ht="16.5">
      <c r="B146" s="66" t="s">
        <v>1238</v>
      </c>
      <c r="C146" s="67"/>
      <c r="D146" s="67"/>
      <c r="E146" s="67"/>
      <c r="F146" s="67"/>
      <c r="G146" s="67"/>
      <c r="H146" s="184"/>
      <c r="I146" s="185" t="s">
        <v>437</v>
      </c>
      <c r="J146" s="67"/>
      <c r="K146" s="184"/>
      <c r="L146" s="185"/>
      <c r="M146" s="67"/>
      <c r="N146" s="184"/>
      <c r="O146" s="185"/>
      <c r="P146" s="67"/>
      <c r="Q146" s="184"/>
      <c r="R146" s="185" t="s">
        <v>1148</v>
      </c>
      <c r="S146" s="67"/>
      <c r="T146" s="67"/>
      <c r="U146" s="67"/>
      <c r="V146" s="67"/>
      <c r="W146" s="67"/>
      <c r="X146" s="67"/>
      <c r="Y146" s="67"/>
      <c r="Z146" s="67"/>
      <c r="AA146" s="184"/>
      <c r="AB146" s="169" t="str">
        <f t="shared" si="4"/>
        <v xml:space="preserve">  "PaymentClass15: 9,"</v>
      </c>
      <c r="AC146" s="33"/>
      <c r="AD146" s="33"/>
      <c r="AE146" s="33"/>
      <c r="AF146" s="33"/>
      <c r="AG146" s="33"/>
      <c r="AH146" s="33"/>
      <c r="AI146" s="33"/>
      <c r="AJ146" s="33"/>
      <c r="AK146" s="33"/>
      <c r="AL146" s="33"/>
      <c r="AM146" s="171"/>
      <c r="AN146" s="186"/>
      <c r="AO146" s="33"/>
      <c r="AP146" s="33"/>
      <c r="AQ146" s="33"/>
      <c r="AR146" s="33"/>
      <c r="AS146" s="182"/>
      <c r="AT146" s="183"/>
      <c r="AU146" s="33"/>
      <c r="AV146" s="33"/>
      <c r="AW146" s="33"/>
      <c r="AX146" s="33"/>
      <c r="AY146" s="33"/>
      <c r="AZ146" s="33"/>
      <c r="BA146" s="33"/>
      <c r="BB146" s="33"/>
      <c r="BC146" s="33"/>
      <c r="BD146" s="33"/>
      <c r="BE146" s="33"/>
      <c r="BF146" s="33"/>
      <c r="BG146" s="33"/>
      <c r="BH146" s="33"/>
      <c r="BI146" s="33"/>
      <c r="BJ146" s="171"/>
    </row>
    <row r="147" spans="1:62" ht="16.5">
      <c r="B147" s="66" t="s">
        <v>1239</v>
      </c>
      <c r="C147" s="67"/>
      <c r="D147" s="67"/>
      <c r="E147" s="67"/>
      <c r="F147" s="67"/>
      <c r="G147" s="67"/>
      <c r="H147" s="184"/>
      <c r="I147" s="185" t="s">
        <v>437</v>
      </c>
      <c r="J147" s="67"/>
      <c r="K147" s="184"/>
      <c r="L147" s="185"/>
      <c r="M147" s="67"/>
      <c r="N147" s="184"/>
      <c r="O147" s="185"/>
      <c r="P147" s="67"/>
      <c r="Q147" s="184"/>
      <c r="R147" s="185" t="s">
        <v>1150</v>
      </c>
      <c r="S147" s="67"/>
      <c r="T147" s="67"/>
      <c r="U147" s="67"/>
      <c r="V147" s="67"/>
      <c r="W147" s="67"/>
      <c r="X147" s="67"/>
      <c r="Y147" s="67"/>
      <c r="Z147" s="67"/>
      <c r="AA147" s="184"/>
      <c r="AB147" s="169" t="str">
        <f t="shared" si="4"/>
        <v xml:space="preserve">  "PaymentClass16: 9,"</v>
      </c>
      <c r="AC147" s="33"/>
      <c r="AD147" s="33"/>
      <c r="AE147" s="33"/>
      <c r="AF147" s="33"/>
      <c r="AG147" s="33"/>
      <c r="AH147" s="33"/>
      <c r="AI147" s="33"/>
      <c r="AJ147" s="33"/>
      <c r="AK147" s="33"/>
      <c r="AL147" s="33"/>
      <c r="AM147" s="171"/>
      <c r="AN147" s="186"/>
      <c r="AO147" s="33"/>
      <c r="AP147" s="33"/>
      <c r="AQ147" s="33"/>
      <c r="AR147" s="33"/>
      <c r="AS147" s="182"/>
      <c r="AT147" s="183"/>
      <c r="AU147" s="33"/>
      <c r="AV147" s="33"/>
      <c r="AW147" s="33"/>
      <c r="AX147" s="33"/>
      <c r="AY147" s="33"/>
      <c r="AZ147" s="33"/>
      <c r="BA147" s="33"/>
      <c r="BB147" s="33"/>
      <c r="BC147" s="33"/>
      <c r="BD147" s="33"/>
      <c r="BE147" s="33"/>
      <c r="BF147" s="33"/>
      <c r="BG147" s="33"/>
      <c r="BH147" s="33"/>
      <c r="BI147" s="33"/>
      <c r="BJ147" s="171"/>
    </row>
    <row r="148" spans="1:62" ht="16.5">
      <c r="B148" s="66" t="s">
        <v>1240</v>
      </c>
      <c r="C148" s="67"/>
      <c r="D148" s="67"/>
      <c r="E148" s="67"/>
      <c r="F148" s="67"/>
      <c r="G148" s="67"/>
      <c r="H148" s="184"/>
      <c r="I148" s="185" t="s">
        <v>437</v>
      </c>
      <c r="J148" s="67"/>
      <c r="K148" s="184"/>
      <c r="L148" s="185"/>
      <c r="M148" s="67"/>
      <c r="N148" s="184"/>
      <c r="O148" s="185"/>
      <c r="P148" s="67"/>
      <c r="Q148" s="184"/>
      <c r="R148" s="185" t="s">
        <v>1152</v>
      </c>
      <c r="S148" s="67"/>
      <c r="T148" s="67"/>
      <c r="U148" s="67"/>
      <c r="V148" s="67"/>
      <c r="W148" s="67"/>
      <c r="X148" s="67"/>
      <c r="Y148" s="67"/>
      <c r="Z148" s="67"/>
      <c r="AA148" s="184"/>
      <c r="AB148" s="169" t="str">
        <f t="shared" si="4"/>
        <v xml:space="preserve">  "PaymentClass17: 9,"</v>
      </c>
      <c r="AC148" s="33"/>
      <c r="AD148" s="33"/>
      <c r="AE148" s="33"/>
      <c r="AF148" s="33"/>
      <c r="AG148" s="33"/>
      <c r="AH148" s="33"/>
      <c r="AI148" s="33"/>
      <c r="AJ148" s="33"/>
      <c r="AK148" s="33"/>
      <c r="AL148" s="33"/>
      <c r="AM148" s="171"/>
      <c r="AN148" s="186"/>
      <c r="AO148" s="33"/>
      <c r="AP148" s="33"/>
      <c r="AQ148" s="33"/>
      <c r="AR148" s="33"/>
      <c r="AS148" s="182"/>
      <c r="AT148" s="183"/>
      <c r="AU148" s="33"/>
      <c r="AV148" s="33"/>
      <c r="AW148" s="33"/>
      <c r="AX148" s="33"/>
      <c r="AY148" s="33"/>
      <c r="AZ148" s="33"/>
      <c r="BA148" s="33"/>
      <c r="BB148" s="33"/>
      <c r="BC148" s="33"/>
      <c r="BD148" s="33"/>
      <c r="BE148" s="33"/>
      <c r="BF148" s="33"/>
      <c r="BG148" s="33"/>
      <c r="BH148" s="33"/>
      <c r="BI148" s="33"/>
      <c r="BJ148" s="171"/>
    </row>
    <row r="149" spans="1:62" ht="16.5">
      <c r="B149" s="66" t="s">
        <v>1241</v>
      </c>
      <c r="C149" s="67"/>
      <c r="D149" s="67"/>
      <c r="E149" s="67"/>
      <c r="F149" s="67"/>
      <c r="G149" s="67"/>
      <c r="H149" s="184"/>
      <c r="I149" s="185" t="s">
        <v>437</v>
      </c>
      <c r="J149" s="67"/>
      <c r="K149" s="184"/>
      <c r="L149" s="185"/>
      <c r="M149" s="67"/>
      <c r="N149" s="184"/>
      <c r="O149" s="185"/>
      <c r="P149" s="67"/>
      <c r="Q149" s="184"/>
      <c r="R149" s="185" t="s">
        <v>1154</v>
      </c>
      <c r="S149" s="67"/>
      <c r="T149" s="67"/>
      <c r="U149" s="67"/>
      <c r="V149" s="67"/>
      <c r="W149" s="67"/>
      <c r="X149" s="67"/>
      <c r="Y149" s="67"/>
      <c r="Z149" s="67"/>
      <c r="AA149" s="184"/>
      <c r="AB149" s="169" t="str">
        <f t="shared" si="4"/>
        <v xml:space="preserve">  "PaymentClass18: 9,"</v>
      </c>
      <c r="AC149" s="33"/>
      <c r="AD149" s="33"/>
      <c r="AE149" s="33"/>
      <c r="AF149" s="33"/>
      <c r="AG149" s="33"/>
      <c r="AH149" s="33"/>
      <c r="AI149" s="33"/>
      <c r="AJ149" s="33"/>
      <c r="AK149" s="33"/>
      <c r="AL149" s="33"/>
      <c r="AM149" s="171"/>
      <c r="AN149" s="186"/>
      <c r="AO149" s="33"/>
      <c r="AP149" s="33"/>
      <c r="AQ149" s="33"/>
      <c r="AR149" s="33"/>
      <c r="AS149" s="182"/>
      <c r="AT149" s="183"/>
      <c r="AU149" s="33"/>
      <c r="AV149" s="33"/>
      <c r="AW149" s="33"/>
      <c r="AX149" s="33"/>
      <c r="AY149" s="33"/>
      <c r="AZ149" s="33"/>
      <c r="BA149" s="33"/>
      <c r="BB149" s="33"/>
      <c r="BC149" s="33"/>
      <c r="BD149" s="33"/>
      <c r="BE149" s="33"/>
      <c r="BF149" s="33"/>
      <c r="BG149" s="33"/>
      <c r="BH149" s="33"/>
      <c r="BI149" s="33"/>
      <c r="BJ149" s="171"/>
    </row>
    <row r="150" spans="1:62" ht="16.5">
      <c r="B150" s="66" t="s">
        <v>1242</v>
      </c>
      <c r="C150" s="67"/>
      <c r="D150" s="67"/>
      <c r="E150" s="67"/>
      <c r="F150" s="67"/>
      <c r="G150" s="67"/>
      <c r="H150" s="184"/>
      <c r="I150" s="185" t="s">
        <v>437</v>
      </c>
      <c r="J150" s="67"/>
      <c r="K150" s="184"/>
      <c r="L150" s="185"/>
      <c r="M150" s="67"/>
      <c r="N150" s="184"/>
      <c r="O150" s="185"/>
      <c r="P150" s="67"/>
      <c r="Q150" s="184"/>
      <c r="R150" s="185" t="s">
        <v>1156</v>
      </c>
      <c r="S150" s="67"/>
      <c r="T150" s="67"/>
      <c r="U150" s="67"/>
      <c r="V150" s="67"/>
      <c r="W150" s="67"/>
      <c r="X150" s="67"/>
      <c r="Y150" s="67"/>
      <c r="Z150" s="67"/>
      <c r="AA150" s="184"/>
      <c r="AB150" s="169" t="str">
        <f t="shared" si="4"/>
        <v xml:space="preserve">  "PaymentClass19: 9,"</v>
      </c>
      <c r="AC150" s="33"/>
      <c r="AD150" s="33"/>
      <c r="AE150" s="33"/>
      <c r="AF150" s="33"/>
      <c r="AG150" s="33"/>
      <c r="AH150" s="33"/>
      <c r="AI150" s="33"/>
      <c r="AJ150" s="33"/>
      <c r="AK150" s="33"/>
      <c r="AL150" s="33"/>
      <c r="AM150" s="171"/>
      <c r="AN150" s="186"/>
      <c r="AO150" s="33"/>
      <c r="AP150" s="33"/>
      <c r="AQ150" s="33"/>
      <c r="AR150" s="33"/>
      <c r="AS150" s="182"/>
      <c r="AT150" s="183"/>
      <c r="AU150" s="33"/>
      <c r="AV150" s="33"/>
      <c r="AW150" s="33"/>
      <c r="AX150" s="33"/>
      <c r="AY150" s="33"/>
      <c r="AZ150" s="33"/>
      <c r="BA150" s="33"/>
      <c r="BB150" s="33"/>
      <c r="BC150" s="33"/>
      <c r="BD150" s="33"/>
      <c r="BE150" s="33"/>
      <c r="BF150" s="33"/>
      <c r="BG150" s="33"/>
      <c r="BH150" s="33"/>
      <c r="BI150" s="33"/>
      <c r="BJ150" s="171"/>
    </row>
    <row r="151" spans="1:62" ht="16.5">
      <c r="B151" s="66" t="s">
        <v>1243</v>
      </c>
      <c r="C151" s="67"/>
      <c r="D151" s="67"/>
      <c r="E151" s="67"/>
      <c r="F151" s="67"/>
      <c r="G151" s="67"/>
      <c r="H151" s="184"/>
      <c r="I151" s="185" t="s">
        <v>437</v>
      </c>
      <c r="J151" s="67"/>
      <c r="K151" s="184"/>
      <c r="L151" s="185"/>
      <c r="M151" s="67"/>
      <c r="N151" s="184"/>
      <c r="O151" s="185"/>
      <c r="P151" s="67"/>
      <c r="Q151" s="184"/>
      <c r="R151" s="185" t="s">
        <v>1158</v>
      </c>
      <c r="S151" s="67"/>
      <c r="T151" s="67"/>
      <c r="U151" s="67"/>
      <c r="V151" s="67"/>
      <c r="W151" s="67"/>
      <c r="X151" s="67"/>
      <c r="Y151" s="67"/>
      <c r="Z151" s="67"/>
      <c r="AA151" s="184"/>
      <c r="AB151" s="169" t="str">
        <f t="shared" si="4"/>
        <v xml:space="preserve">  "PaymentClass20: 9,"</v>
      </c>
      <c r="AC151" s="33"/>
      <c r="AD151" s="33"/>
      <c r="AE151" s="33"/>
      <c r="AF151" s="33"/>
      <c r="AG151" s="33"/>
      <c r="AH151" s="33"/>
      <c r="AI151" s="33"/>
      <c r="AJ151" s="33"/>
      <c r="AK151" s="33"/>
      <c r="AL151" s="33"/>
      <c r="AM151" s="171"/>
      <c r="AN151" s="186"/>
      <c r="AO151" s="33"/>
      <c r="AP151" s="33"/>
      <c r="AQ151" s="33"/>
      <c r="AR151" s="33"/>
      <c r="AS151" s="182"/>
      <c r="AT151" s="183"/>
      <c r="AU151" s="33"/>
      <c r="AV151" s="33"/>
      <c r="AW151" s="33"/>
      <c r="AX151" s="33"/>
      <c r="AY151" s="33"/>
      <c r="AZ151" s="33"/>
      <c r="BA151" s="33"/>
      <c r="BB151" s="33"/>
      <c r="BC151" s="33"/>
      <c r="BD151" s="33"/>
      <c r="BE151" s="33"/>
      <c r="BF151" s="33"/>
      <c r="BG151" s="33"/>
      <c r="BH151" s="33"/>
      <c r="BI151" s="33"/>
      <c r="BJ151" s="171"/>
    </row>
    <row r="152" spans="1:62" ht="15" customHeight="1">
      <c r="A152" s="1"/>
      <c r="B152" s="120"/>
      <c r="C152" s="121"/>
      <c r="D152" s="121"/>
      <c r="E152" s="121"/>
      <c r="F152" s="121"/>
      <c r="G152" s="121"/>
      <c r="H152" s="187"/>
      <c r="I152" s="188"/>
      <c r="J152" s="121"/>
      <c r="K152" s="187"/>
      <c r="L152" s="188"/>
      <c r="M152" s="121"/>
      <c r="N152" s="187"/>
      <c r="O152" s="188"/>
      <c r="P152" s="121"/>
      <c r="Q152" s="187"/>
      <c r="R152" s="188"/>
      <c r="S152" s="121"/>
      <c r="T152" s="121"/>
      <c r="U152" s="121"/>
      <c r="V152" s="121"/>
      <c r="W152" s="121"/>
      <c r="X152" s="121"/>
      <c r="Y152" s="121"/>
      <c r="Z152" s="121"/>
      <c r="AA152" s="187"/>
      <c r="AB152" s="189" t="s">
        <v>1244</v>
      </c>
      <c r="AC152" s="190"/>
      <c r="AD152" s="190"/>
      <c r="AE152" s="190"/>
      <c r="AF152" s="190"/>
      <c r="AG152" s="190"/>
      <c r="AH152" s="190"/>
      <c r="AI152" s="190"/>
      <c r="AJ152" s="190"/>
      <c r="AK152" s="190"/>
      <c r="AL152" s="190"/>
      <c r="AM152" s="191"/>
      <c r="AN152" s="192"/>
      <c r="AO152" s="190"/>
      <c r="AP152" s="190"/>
      <c r="AQ152" s="190"/>
      <c r="AR152" s="190"/>
      <c r="AS152" s="193"/>
      <c r="AT152" s="189"/>
      <c r="AU152" s="190"/>
      <c r="AV152" s="190"/>
      <c r="AW152" s="190"/>
      <c r="AX152" s="190"/>
      <c r="AY152" s="190"/>
      <c r="AZ152" s="190"/>
      <c r="BA152" s="190"/>
      <c r="BB152" s="190"/>
      <c r="BC152" s="190"/>
      <c r="BD152" s="190"/>
      <c r="BE152" s="190"/>
      <c r="BF152" s="190"/>
      <c r="BG152" s="190"/>
      <c r="BH152" s="190"/>
      <c r="BI152" s="190"/>
      <c r="BJ152" s="191"/>
    </row>
    <row r="153" spans="1:62" ht="15" customHeight="1">
      <c r="A153" s="1"/>
    </row>
    <row r="154" spans="1:62" ht="15" customHeight="1">
      <c r="A154" s="1"/>
      <c r="B154" s="128" t="s">
        <v>1245</v>
      </c>
      <c r="C154" s="129"/>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c r="AB154" s="129"/>
      <c r="AC154" s="129"/>
      <c r="AD154" s="129"/>
      <c r="AE154" s="129"/>
      <c r="AF154" s="129"/>
      <c r="AG154" s="129"/>
      <c r="AH154" s="129"/>
      <c r="AI154" s="129"/>
      <c r="AJ154" s="129"/>
      <c r="AK154" s="129"/>
      <c r="AL154" s="129"/>
      <c r="AM154" s="130"/>
      <c r="AN154" s="131" t="s">
        <v>1174</v>
      </c>
      <c r="AO154" s="132"/>
      <c r="AP154" s="132"/>
      <c r="AQ154" s="132"/>
      <c r="AR154" s="132"/>
      <c r="AS154" s="132"/>
      <c r="AT154" s="132"/>
      <c r="AU154" s="132"/>
      <c r="AV154" s="132"/>
      <c r="AW154" s="132"/>
      <c r="AX154" s="132"/>
      <c r="AY154" s="132"/>
      <c r="AZ154" s="132"/>
      <c r="BA154" s="132"/>
      <c r="BB154" s="132"/>
      <c r="BC154" s="132"/>
      <c r="BD154" s="132"/>
      <c r="BE154" s="132"/>
      <c r="BF154" s="132"/>
      <c r="BG154" s="132"/>
      <c r="BH154" s="133"/>
      <c r="BI154" s="133"/>
      <c r="BJ154" s="134"/>
    </row>
    <row r="155" spans="1:62" ht="15" customHeight="1">
      <c r="A155" s="1"/>
      <c r="B155" s="135" t="s">
        <v>1175</v>
      </c>
      <c r="C155" s="136"/>
      <c r="D155" s="136"/>
      <c r="E155" s="136"/>
      <c r="F155" s="136"/>
      <c r="G155" s="136"/>
      <c r="H155" s="136"/>
      <c r="I155" s="137" t="s">
        <v>1176</v>
      </c>
      <c r="J155" s="136"/>
      <c r="K155" s="136"/>
      <c r="L155" s="137" t="s">
        <v>1177</v>
      </c>
      <c r="M155" s="138"/>
      <c r="N155" s="138"/>
      <c r="O155" s="139" t="s">
        <v>1178</v>
      </c>
      <c r="P155" s="138"/>
      <c r="Q155" s="136"/>
      <c r="R155" s="137" t="s">
        <v>1179</v>
      </c>
      <c r="S155" s="138"/>
      <c r="T155" s="138"/>
      <c r="U155" s="136"/>
      <c r="V155" s="140"/>
      <c r="W155" s="140"/>
      <c r="X155" s="136"/>
      <c r="Y155" s="136"/>
      <c r="Z155" s="136"/>
      <c r="AA155" s="136"/>
      <c r="AB155" s="137" t="s">
        <v>1180</v>
      </c>
      <c r="AC155" s="136"/>
      <c r="AD155" s="136"/>
      <c r="AE155" s="136"/>
      <c r="AF155" s="140"/>
      <c r="AG155" s="140"/>
      <c r="AH155" s="140"/>
      <c r="AI155" s="136"/>
      <c r="AJ155" s="136"/>
      <c r="AK155" s="136"/>
      <c r="AL155" s="136"/>
      <c r="AM155" s="141"/>
      <c r="AN155" s="142"/>
      <c r="AO155" s="143"/>
      <c r="AP155" s="144"/>
      <c r="AQ155" s="143"/>
      <c r="AR155" s="143"/>
      <c r="AS155" s="143"/>
      <c r="AT155" s="143"/>
      <c r="AU155" s="143"/>
      <c r="AV155" s="143"/>
      <c r="AW155" s="143"/>
      <c r="AX155" s="143"/>
      <c r="AY155" s="143"/>
      <c r="AZ155" s="143"/>
      <c r="BA155" s="143"/>
      <c r="BB155" s="143"/>
      <c r="BC155" s="143"/>
      <c r="BD155" s="143"/>
      <c r="BE155" s="143"/>
      <c r="BF155" s="143"/>
      <c r="BG155" s="143"/>
      <c r="BH155" s="143"/>
      <c r="BI155" s="143"/>
      <c r="BJ155" s="145"/>
    </row>
    <row r="156" spans="1:62" ht="15" customHeight="1">
      <c r="A156" s="1"/>
      <c r="B156" s="146"/>
      <c r="C156" s="147"/>
      <c r="D156" s="147"/>
      <c r="E156" s="147"/>
      <c r="F156" s="147"/>
      <c r="G156" s="147"/>
      <c r="H156" s="148"/>
      <c r="I156" s="149"/>
      <c r="J156" s="147"/>
      <c r="K156" s="148"/>
      <c r="L156" s="150"/>
      <c r="M156" s="147"/>
      <c r="N156" s="148"/>
      <c r="O156" s="151"/>
      <c r="P156" s="147"/>
      <c r="Q156" s="148"/>
      <c r="R156" s="149"/>
      <c r="S156" s="147"/>
      <c r="T156" s="147"/>
      <c r="U156" s="147"/>
      <c r="V156" s="124"/>
      <c r="W156" s="124"/>
      <c r="X156" s="152"/>
      <c r="Y156" s="152"/>
      <c r="Z156" s="152"/>
      <c r="AA156" s="153"/>
      <c r="AB156" s="154" t="s">
        <v>1181</v>
      </c>
      <c r="AC156" s="155"/>
      <c r="AD156" s="155"/>
      <c r="AE156" s="155"/>
      <c r="AF156" s="156"/>
      <c r="AG156" s="156"/>
      <c r="AH156" s="156"/>
      <c r="AI156" s="155"/>
      <c r="AJ156" s="155"/>
      <c r="AK156" s="155"/>
      <c r="AL156" s="155"/>
      <c r="AM156" s="157"/>
      <c r="AN156" s="194" t="s">
        <v>1175</v>
      </c>
      <c r="AO156" s="195"/>
      <c r="AP156" s="195"/>
      <c r="AQ156" s="195"/>
      <c r="AR156" s="195"/>
      <c r="AS156" s="195"/>
      <c r="AT156" s="195"/>
      <c r="AU156" s="196" t="s">
        <v>1176</v>
      </c>
      <c r="AV156" s="195"/>
      <c r="AW156" s="195"/>
      <c r="AX156" s="196" t="s">
        <v>1246</v>
      </c>
      <c r="AY156" s="197"/>
      <c r="AZ156" s="197"/>
      <c r="BA156" s="197"/>
      <c r="BB156" s="197"/>
      <c r="BC156" s="197"/>
      <c r="BD156" s="197"/>
      <c r="BE156" s="197"/>
      <c r="BF156" s="197"/>
      <c r="BG156" s="197"/>
      <c r="BH156" s="197"/>
      <c r="BI156" s="197"/>
      <c r="BJ156" s="45"/>
    </row>
    <row r="157" spans="1:62" ht="15" customHeight="1">
      <c r="A157" s="2"/>
      <c r="B157" s="161" t="s">
        <v>1183</v>
      </c>
      <c r="C157" s="162"/>
      <c r="D157" s="162"/>
      <c r="E157" s="162"/>
      <c r="F157" s="162"/>
      <c r="G157" s="162"/>
      <c r="H157" s="163"/>
      <c r="I157" s="164" t="s">
        <v>1184</v>
      </c>
      <c r="J157" s="162"/>
      <c r="K157" s="163"/>
      <c r="L157" s="165" t="s">
        <v>1185</v>
      </c>
      <c r="M157" s="162"/>
      <c r="N157" s="163"/>
      <c r="O157" s="166" t="s">
        <v>1187</v>
      </c>
      <c r="P157" s="162"/>
      <c r="Q157" s="163"/>
      <c r="R157" s="164" t="s">
        <v>1188</v>
      </c>
      <c r="S157" s="162"/>
      <c r="T157" s="162"/>
      <c r="U157" s="162"/>
      <c r="V157" s="67"/>
      <c r="W157" s="67"/>
      <c r="X157" s="167"/>
      <c r="Y157" s="167"/>
      <c r="Z157" s="167"/>
      <c r="AA157" s="168"/>
      <c r="AB157" s="169" t="str">
        <f>"  """&amp;B157&amp;": ""300"","""</f>
        <v xml:space="preserve">  "company_code: "300","</v>
      </c>
      <c r="AC157" s="170"/>
      <c r="AD157" s="170"/>
      <c r="AE157" s="170"/>
      <c r="AF157" s="33"/>
      <c r="AG157" s="33"/>
      <c r="AH157" s="33"/>
      <c r="AI157" s="170"/>
      <c r="AJ157" s="170"/>
      <c r="AK157" s="170"/>
      <c r="AL157" s="170"/>
      <c r="AM157" s="171"/>
      <c r="AN157" s="198"/>
      <c r="AO157" s="199"/>
      <c r="AP157" s="199"/>
      <c r="AQ157" s="199"/>
      <c r="AR157" s="199"/>
      <c r="AS157" s="199"/>
      <c r="AT157" s="200"/>
      <c r="AU157" s="201"/>
      <c r="AV157" s="199"/>
      <c r="AW157" s="200"/>
      <c r="AX157" s="154" t="s">
        <v>1181</v>
      </c>
      <c r="AY157" s="160"/>
      <c r="AZ157" s="160"/>
      <c r="BA157" s="160"/>
      <c r="BB157" s="160"/>
      <c r="BC157" s="160"/>
      <c r="BD157" s="160"/>
      <c r="BE157" s="160"/>
      <c r="BF157" s="160"/>
      <c r="BG157" s="160"/>
      <c r="BH157" s="160"/>
      <c r="BI157" s="160"/>
      <c r="BJ157" s="157"/>
    </row>
    <row r="158" spans="1:62" ht="16.5">
      <c r="B158" s="161" t="s">
        <v>1189</v>
      </c>
      <c r="C158" s="162"/>
      <c r="D158" s="162"/>
      <c r="E158" s="162"/>
      <c r="F158" s="162"/>
      <c r="G158" s="162"/>
      <c r="H158" s="163"/>
      <c r="I158" s="164" t="s">
        <v>1184</v>
      </c>
      <c r="J158" s="162"/>
      <c r="K158" s="163"/>
      <c r="L158" s="175" t="s">
        <v>1185</v>
      </c>
      <c r="M158" s="162"/>
      <c r="N158" s="163"/>
      <c r="O158" s="166" t="s">
        <v>1187</v>
      </c>
      <c r="P158" s="162"/>
      <c r="Q158" s="163"/>
      <c r="R158" s="164" t="s">
        <v>1190</v>
      </c>
      <c r="S158" s="162"/>
      <c r="T158" s="162"/>
      <c r="U158" s="162"/>
      <c r="V158" s="67"/>
      <c r="W158" s="67"/>
      <c r="X158" s="167"/>
      <c r="Y158" s="167"/>
      <c r="Z158" s="167"/>
      <c r="AA158" s="168"/>
      <c r="AB158" s="169" t="str">
        <f>"  """&amp;B158&amp;": ""048405"","""</f>
        <v xml:space="preserve">  "store_code: "048405","</v>
      </c>
      <c r="AC158" s="170"/>
      <c r="AD158" s="170"/>
      <c r="AE158" s="170"/>
      <c r="AF158" s="33"/>
      <c r="AG158" s="33"/>
      <c r="AH158" s="33"/>
      <c r="AI158" s="170"/>
      <c r="AJ158" s="170"/>
      <c r="AK158" s="170"/>
      <c r="AL158" s="170"/>
      <c r="AM158" s="171"/>
      <c r="AN158" s="161" t="s">
        <v>1183</v>
      </c>
      <c r="AO158" s="162"/>
      <c r="AP158" s="162"/>
      <c r="AQ158" s="162"/>
      <c r="AR158" s="162"/>
      <c r="AS158" s="162"/>
      <c r="AT158" s="163"/>
      <c r="AU158" s="164" t="s">
        <v>1184</v>
      </c>
      <c r="AV158" s="162"/>
      <c r="AW158" s="163"/>
      <c r="AX158" s="169" t="s">
        <v>1247</v>
      </c>
      <c r="AY158" s="174"/>
      <c r="AZ158" s="174"/>
      <c r="BA158" s="174"/>
      <c r="BB158" s="174"/>
      <c r="BC158" s="174"/>
      <c r="BD158" s="174"/>
      <c r="BE158" s="174"/>
      <c r="BF158" s="174"/>
      <c r="BG158" s="174"/>
      <c r="BH158" s="174"/>
      <c r="BI158" s="174"/>
      <c r="BJ158" s="171"/>
    </row>
    <row r="159" spans="1:62" ht="16.5">
      <c r="B159" s="161" t="s">
        <v>1191</v>
      </c>
      <c r="C159" s="162"/>
      <c r="D159" s="162"/>
      <c r="E159" s="162"/>
      <c r="F159" s="162"/>
      <c r="G159" s="162"/>
      <c r="H159" s="163"/>
      <c r="I159" s="164" t="s">
        <v>1184</v>
      </c>
      <c r="J159" s="162"/>
      <c r="K159" s="163"/>
      <c r="L159" s="175" t="s">
        <v>1185</v>
      </c>
      <c r="M159" s="162"/>
      <c r="N159" s="163"/>
      <c r="O159" s="166" t="s">
        <v>1187</v>
      </c>
      <c r="P159" s="162"/>
      <c r="Q159" s="163"/>
      <c r="R159" s="164" t="s">
        <v>1192</v>
      </c>
      <c r="S159" s="162"/>
      <c r="T159" s="162"/>
      <c r="U159" s="162"/>
      <c r="V159" s="67"/>
      <c r="W159" s="67"/>
      <c r="X159" s="167"/>
      <c r="Y159" s="167"/>
      <c r="Z159" s="167"/>
      <c r="AA159" s="168"/>
      <c r="AB159" s="169" t="str">
        <f>"  """&amp;B159&amp;": ""901"","""</f>
        <v xml:space="preserve">  "instore_code: "901","</v>
      </c>
      <c r="AC159" s="170"/>
      <c r="AD159" s="170"/>
      <c r="AE159" s="170"/>
      <c r="AF159" s="33"/>
      <c r="AG159" s="33"/>
      <c r="AH159" s="33"/>
      <c r="AI159" s="170"/>
      <c r="AJ159" s="170"/>
      <c r="AK159" s="170"/>
      <c r="AL159" s="170"/>
      <c r="AM159" s="171"/>
      <c r="AN159" s="161" t="s">
        <v>1189</v>
      </c>
      <c r="AO159" s="162"/>
      <c r="AP159" s="162"/>
      <c r="AQ159" s="162"/>
      <c r="AR159" s="162"/>
      <c r="AS159" s="162"/>
      <c r="AT159" s="163"/>
      <c r="AU159" s="164" t="s">
        <v>1184</v>
      </c>
      <c r="AV159" s="162"/>
      <c r="AW159" s="163"/>
      <c r="AX159" s="169" t="s">
        <v>1248</v>
      </c>
      <c r="AY159" s="202"/>
      <c r="AZ159" s="202"/>
      <c r="BA159" s="202"/>
      <c r="BB159" s="202"/>
      <c r="BC159" s="202"/>
      <c r="BD159" s="202"/>
      <c r="BE159" s="202"/>
      <c r="BF159" s="202"/>
      <c r="BG159" s="202"/>
      <c r="BH159" s="33"/>
      <c r="BI159" s="33"/>
      <c r="BJ159" s="171"/>
    </row>
    <row r="160" spans="1:62" ht="16.5">
      <c r="B160" s="161"/>
      <c r="C160" s="162"/>
      <c r="D160" s="162"/>
      <c r="E160" s="162"/>
      <c r="F160" s="162"/>
      <c r="G160" s="162"/>
      <c r="H160" s="163"/>
      <c r="I160" s="164"/>
      <c r="J160" s="162"/>
      <c r="K160" s="163"/>
      <c r="L160" s="175"/>
      <c r="M160" s="162"/>
      <c r="N160" s="163"/>
      <c r="O160" s="166"/>
      <c r="P160" s="162"/>
      <c r="Q160" s="163"/>
      <c r="R160" s="164"/>
      <c r="S160" s="162"/>
      <c r="T160" s="162"/>
      <c r="U160" s="162"/>
      <c r="V160" s="67"/>
      <c r="W160" s="67"/>
      <c r="X160" s="167"/>
      <c r="Y160" s="167"/>
      <c r="Z160" s="167"/>
      <c r="AA160" s="168"/>
      <c r="AB160" s="169" t="s">
        <v>1249</v>
      </c>
      <c r="AC160" s="170"/>
      <c r="AD160" s="170"/>
      <c r="AE160" s="170"/>
      <c r="AF160" s="33"/>
      <c r="AG160" s="33"/>
      <c r="AH160" s="33"/>
      <c r="AI160" s="170"/>
      <c r="AJ160" s="170"/>
      <c r="AK160" s="170"/>
      <c r="AL160" s="170"/>
      <c r="AM160" s="171"/>
      <c r="AN160" s="161" t="s">
        <v>1191</v>
      </c>
      <c r="AO160" s="162"/>
      <c r="AP160" s="162"/>
      <c r="AQ160" s="162"/>
      <c r="AR160" s="162"/>
      <c r="AS160" s="162"/>
      <c r="AT160" s="163"/>
      <c r="AU160" s="164" t="s">
        <v>1184</v>
      </c>
      <c r="AV160" s="162"/>
      <c r="AW160" s="163"/>
      <c r="AX160" s="169" t="s">
        <v>1250</v>
      </c>
      <c r="AY160" s="170"/>
      <c r="AZ160" s="170"/>
      <c r="BA160" s="170"/>
      <c r="BB160" s="170"/>
      <c r="BC160" s="170"/>
      <c r="BD160" s="170"/>
      <c r="BE160" s="170"/>
      <c r="BF160" s="170"/>
      <c r="BG160" s="170"/>
      <c r="BH160" s="170"/>
      <c r="BI160" s="170"/>
      <c r="BJ160" s="171"/>
    </row>
    <row r="161" spans="2:62" ht="16.5">
      <c r="B161" s="161"/>
      <c r="C161" s="162"/>
      <c r="D161" s="162"/>
      <c r="E161" s="162"/>
      <c r="F161" s="162"/>
      <c r="G161" s="162"/>
      <c r="H161" s="163"/>
      <c r="I161" s="164"/>
      <c r="J161" s="162"/>
      <c r="K161" s="163"/>
      <c r="L161" s="175"/>
      <c r="M161" s="162"/>
      <c r="N161" s="163"/>
      <c r="O161" s="166"/>
      <c r="P161" s="162"/>
      <c r="Q161" s="163"/>
      <c r="R161" s="164"/>
      <c r="S161" s="162"/>
      <c r="T161" s="162"/>
      <c r="U161" s="162"/>
      <c r="V161" s="67"/>
      <c r="W161" s="67"/>
      <c r="X161" s="167"/>
      <c r="Y161" s="167"/>
      <c r="Z161" s="167"/>
      <c r="AA161" s="168"/>
      <c r="AB161" s="169"/>
      <c r="AC161" s="170"/>
      <c r="AD161" s="170"/>
      <c r="AE161" s="170"/>
      <c r="AF161" s="33"/>
      <c r="AG161" s="33"/>
      <c r="AH161" s="33"/>
      <c r="AI161" s="170"/>
      <c r="AJ161" s="170"/>
      <c r="AK161" s="170"/>
      <c r="AL161" s="170"/>
      <c r="AM161" s="171"/>
      <c r="AN161" s="161" t="s">
        <v>339</v>
      </c>
      <c r="AO161" s="162"/>
      <c r="AP161" s="162"/>
      <c r="AQ161" s="162"/>
      <c r="AR161" s="162"/>
      <c r="AS161" s="162"/>
      <c r="AT161" s="163"/>
      <c r="AU161" s="164" t="s">
        <v>1184</v>
      </c>
      <c r="AV161" s="162"/>
      <c r="AW161" s="163"/>
      <c r="AX161" s="169" t="s">
        <v>1251</v>
      </c>
      <c r="AY161" s="174"/>
      <c r="AZ161" s="174"/>
      <c r="BA161" s="174"/>
      <c r="BB161" s="174"/>
      <c r="BC161" s="174"/>
      <c r="BD161" s="174"/>
      <c r="BE161" s="174"/>
      <c r="BF161" s="174"/>
      <c r="BG161" s="174"/>
      <c r="BH161" s="174"/>
      <c r="BI161" s="174"/>
      <c r="BJ161" s="171"/>
    </row>
    <row r="162" spans="2:62" ht="16.5">
      <c r="B162" s="161"/>
      <c r="C162" s="162"/>
      <c r="D162" s="162"/>
      <c r="E162" s="162"/>
      <c r="F162" s="162"/>
      <c r="G162" s="162"/>
      <c r="H162" s="163"/>
      <c r="I162" s="164"/>
      <c r="J162" s="162"/>
      <c r="K162" s="163"/>
      <c r="L162" s="175"/>
      <c r="M162" s="162"/>
      <c r="N162" s="163"/>
      <c r="O162" s="166"/>
      <c r="P162" s="162"/>
      <c r="Q162" s="163"/>
      <c r="R162" s="164"/>
      <c r="S162" s="162"/>
      <c r="T162" s="162"/>
      <c r="U162" s="162"/>
      <c r="V162" s="67"/>
      <c r="W162" s="67"/>
      <c r="X162" s="167"/>
      <c r="Y162" s="167"/>
      <c r="Z162" s="167"/>
      <c r="AA162" s="168"/>
      <c r="AB162" s="169"/>
      <c r="AC162" s="170"/>
      <c r="AD162" s="170"/>
      <c r="AE162" s="170"/>
      <c r="AF162" s="33"/>
      <c r="AG162" s="33"/>
      <c r="AH162" s="33"/>
      <c r="AI162" s="170"/>
      <c r="AJ162" s="170"/>
      <c r="AK162" s="170"/>
      <c r="AL162" s="170"/>
      <c r="AM162" s="171"/>
      <c r="AN162" s="161" t="s">
        <v>1195</v>
      </c>
      <c r="AO162" s="162"/>
      <c r="AP162" s="162"/>
      <c r="AQ162" s="162"/>
      <c r="AR162" s="162"/>
      <c r="AS162" s="162"/>
      <c r="AT162" s="163"/>
      <c r="AU162" s="164" t="s">
        <v>437</v>
      </c>
      <c r="AV162" s="162"/>
      <c r="AW162" s="163"/>
      <c r="AX162" s="169" t="s">
        <v>1252</v>
      </c>
      <c r="AY162" s="174"/>
      <c r="AZ162" s="174"/>
      <c r="BA162" s="174"/>
      <c r="BB162" s="174"/>
      <c r="BC162" s="174"/>
      <c r="BD162" s="174"/>
      <c r="BE162" s="174"/>
      <c r="BF162" s="174"/>
      <c r="BG162" s="174"/>
      <c r="BH162" s="174"/>
      <c r="BI162" s="174"/>
      <c r="BJ162" s="171"/>
    </row>
    <row r="163" spans="2:62" ht="16.5">
      <c r="B163" s="161"/>
      <c r="C163" s="162"/>
      <c r="D163" s="162"/>
      <c r="E163" s="162"/>
      <c r="F163" s="162"/>
      <c r="G163" s="162"/>
      <c r="H163" s="163"/>
      <c r="I163" s="164"/>
      <c r="J163" s="162"/>
      <c r="K163" s="163"/>
      <c r="L163" s="175"/>
      <c r="M163" s="162"/>
      <c r="N163" s="163"/>
      <c r="O163" s="166"/>
      <c r="P163" s="162"/>
      <c r="Q163" s="163"/>
      <c r="R163" s="164"/>
      <c r="S163" s="162"/>
      <c r="T163" s="162"/>
      <c r="U163" s="162"/>
      <c r="V163" s="67"/>
      <c r="W163" s="67"/>
      <c r="X163" s="167"/>
      <c r="Y163" s="167"/>
      <c r="Z163" s="167"/>
      <c r="AA163" s="168"/>
      <c r="AB163" s="169"/>
      <c r="AC163" s="170"/>
      <c r="AD163" s="170"/>
      <c r="AE163" s="170"/>
      <c r="AF163" s="33"/>
      <c r="AG163" s="33"/>
      <c r="AH163" s="33"/>
      <c r="AI163" s="170"/>
      <c r="AJ163" s="170"/>
      <c r="AK163" s="170"/>
      <c r="AL163" s="170"/>
      <c r="AM163" s="171"/>
      <c r="AN163" s="161" t="s">
        <v>1197</v>
      </c>
      <c r="AO163" s="162"/>
      <c r="AP163" s="162"/>
      <c r="AQ163" s="162"/>
      <c r="AR163" s="162"/>
      <c r="AS163" s="162"/>
      <c r="AT163" s="163"/>
      <c r="AU163" s="164" t="s">
        <v>1198</v>
      </c>
      <c r="AV163" s="162"/>
      <c r="AW163" s="163"/>
      <c r="AX163" s="169" t="s">
        <v>1253</v>
      </c>
      <c r="AY163" s="174"/>
      <c r="AZ163" s="174"/>
      <c r="BA163" s="174"/>
      <c r="BB163" s="174"/>
      <c r="BC163" s="174"/>
      <c r="BD163" s="174"/>
      <c r="BE163" s="174"/>
      <c r="BF163" s="174"/>
      <c r="BG163" s="174"/>
      <c r="BH163" s="174"/>
      <c r="BI163" s="174"/>
      <c r="BJ163" s="171"/>
    </row>
    <row r="164" spans="2:62" ht="16.5">
      <c r="B164" s="161"/>
      <c r="C164" s="162"/>
      <c r="D164" s="162"/>
      <c r="E164" s="162"/>
      <c r="F164" s="162"/>
      <c r="G164" s="162"/>
      <c r="H164" s="163"/>
      <c r="I164" s="164"/>
      <c r="J164" s="162"/>
      <c r="K164" s="163"/>
      <c r="L164" s="175"/>
      <c r="M164" s="162"/>
      <c r="N164" s="163"/>
      <c r="O164" s="166"/>
      <c r="P164" s="162"/>
      <c r="Q164" s="163"/>
      <c r="R164" s="164"/>
      <c r="S164" s="162"/>
      <c r="T164" s="162"/>
      <c r="U164" s="162"/>
      <c r="V164" s="67"/>
      <c r="W164" s="67"/>
      <c r="X164" s="167"/>
      <c r="Y164" s="167"/>
      <c r="Z164" s="167"/>
      <c r="AA164" s="168"/>
      <c r="AB164" s="169"/>
      <c r="AC164" s="170"/>
      <c r="AD164" s="170"/>
      <c r="AE164" s="170"/>
      <c r="AF164" s="33"/>
      <c r="AG164" s="33"/>
      <c r="AH164" s="33"/>
      <c r="AI164" s="170"/>
      <c r="AJ164" s="170"/>
      <c r="AK164" s="170"/>
      <c r="AL164" s="170"/>
      <c r="AM164" s="171"/>
      <c r="AN164" s="161" t="s">
        <v>1201</v>
      </c>
      <c r="AO164" s="162"/>
      <c r="AP164" s="162"/>
      <c r="AQ164" s="162"/>
      <c r="AR164" s="162"/>
      <c r="AS164" s="162"/>
      <c r="AT164" s="163"/>
      <c r="AU164" s="164" t="s">
        <v>437</v>
      </c>
      <c r="AV164" s="162"/>
      <c r="AW164" s="163"/>
      <c r="AX164" s="169" t="s">
        <v>1254</v>
      </c>
      <c r="AY164" s="174"/>
      <c r="AZ164" s="174"/>
      <c r="BA164" s="174"/>
      <c r="BB164" s="174"/>
      <c r="BC164" s="174"/>
      <c r="BD164" s="174"/>
      <c r="BE164" s="174"/>
      <c r="BF164" s="174"/>
      <c r="BG164" s="174"/>
      <c r="BH164" s="174"/>
      <c r="BI164" s="174"/>
      <c r="BJ164" s="171"/>
    </row>
    <row r="165" spans="2:62" ht="16.5">
      <c r="B165" s="161"/>
      <c r="C165" s="162"/>
      <c r="D165" s="162"/>
      <c r="E165" s="162"/>
      <c r="F165" s="162"/>
      <c r="G165" s="162"/>
      <c r="H165" s="163"/>
      <c r="I165" s="164"/>
      <c r="J165" s="162"/>
      <c r="K165" s="163"/>
      <c r="L165" s="181"/>
      <c r="M165" s="162"/>
      <c r="N165" s="163"/>
      <c r="O165" s="166"/>
      <c r="P165" s="162"/>
      <c r="Q165" s="163"/>
      <c r="R165" s="164"/>
      <c r="S165" s="162"/>
      <c r="T165" s="162"/>
      <c r="U165" s="162"/>
      <c r="V165" s="67"/>
      <c r="W165" s="67"/>
      <c r="X165" s="162"/>
      <c r="Y165" s="162"/>
      <c r="Z165" s="162"/>
      <c r="AA165" s="163"/>
      <c r="AB165" s="169"/>
      <c r="AC165" s="33"/>
      <c r="AD165" s="33"/>
      <c r="AE165" s="33"/>
      <c r="AF165" s="33"/>
      <c r="AG165" s="33"/>
      <c r="AH165" s="33"/>
      <c r="AI165" s="33"/>
      <c r="AJ165" s="33"/>
      <c r="AK165" s="33"/>
      <c r="AL165" s="33"/>
      <c r="AM165" s="171"/>
      <c r="AN165" s="161" t="s">
        <v>1203</v>
      </c>
      <c r="AO165" s="162"/>
      <c r="AP165" s="162"/>
      <c r="AQ165" s="162"/>
      <c r="AR165" s="162"/>
      <c r="AS165" s="162"/>
      <c r="AT165" s="163"/>
      <c r="AU165" s="164" t="s">
        <v>437</v>
      </c>
      <c r="AV165" s="162"/>
      <c r="AW165" s="163"/>
      <c r="AX165" s="169" t="s">
        <v>1255</v>
      </c>
      <c r="AY165" s="33"/>
      <c r="AZ165" s="33"/>
      <c r="BA165" s="33"/>
      <c r="BB165" s="33"/>
      <c r="BC165" s="33"/>
      <c r="BD165" s="33"/>
      <c r="BE165" s="33"/>
      <c r="BF165" s="33"/>
      <c r="BG165" s="33"/>
      <c r="BH165" s="33"/>
      <c r="BI165" s="33"/>
      <c r="BJ165" s="171"/>
    </row>
    <row r="166" spans="2:62" ht="16.5">
      <c r="B166" s="66"/>
      <c r="C166" s="67"/>
      <c r="D166" s="67"/>
      <c r="E166" s="67"/>
      <c r="F166" s="67"/>
      <c r="G166" s="67"/>
      <c r="H166" s="184"/>
      <c r="I166" s="185"/>
      <c r="J166" s="67"/>
      <c r="K166" s="184"/>
      <c r="L166" s="185"/>
      <c r="M166" s="67"/>
      <c r="N166" s="184"/>
      <c r="O166" s="185"/>
      <c r="P166" s="67"/>
      <c r="Q166" s="184"/>
      <c r="R166" s="185"/>
      <c r="S166" s="67"/>
      <c r="T166" s="67"/>
      <c r="U166" s="67"/>
      <c r="V166" s="67"/>
      <c r="W166" s="67"/>
      <c r="X166" s="67"/>
      <c r="Y166" s="67"/>
      <c r="Z166" s="67"/>
      <c r="AA166" s="184"/>
      <c r="AB166" s="169"/>
      <c r="AC166" s="33"/>
      <c r="AD166" s="33"/>
      <c r="AE166" s="33"/>
      <c r="AF166" s="33"/>
      <c r="AG166" s="33"/>
      <c r="AH166" s="33"/>
      <c r="AI166" s="33"/>
      <c r="AJ166" s="33"/>
      <c r="AK166" s="33"/>
      <c r="AL166" s="33"/>
      <c r="AM166" s="171"/>
      <c r="AN166" s="161" t="s">
        <v>1205</v>
      </c>
      <c r="AO166" s="162"/>
      <c r="AP166" s="162"/>
      <c r="AQ166" s="162"/>
      <c r="AR166" s="162"/>
      <c r="AS166" s="162"/>
      <c r="AT166" s="163"/>
      <c r="AU166" s="164" t="s">
        <v>437</v>
      </c>
      <c r="AV166" s="162"/>
      <c r="AW166" s="163"/>
      <c r="AX166" s="169" t="s">
        <v>1256</v>
      </c>
      <c r="AY166" s="33"/>
      <c r="AZ166" s="33"/>
      <c r="BA166" s="33"/>
      <c r="BB166" s="33"/>
      <c r="BC166" s="33"/>
      <c r="BD166" s="33"/>
      <c r="BE166" s="33"/>
      <c r="BF166" s="33"/>
      <c r="BG166" s="33"/>
      <c r="BH166" s="33"/>
      <c r="BI166" s="33"/>
      <c r="BJ166" s="171"/>
    </row>
    <row r="167" spans="2:62" ht="16.5">
      <c r="B167" s="66"/>
      <c r="C167" s="67"/>
      <c r="D167" s="67"/>
      <c r="E167" s="67"/>
      <c r="F167" s="67"/>
      <c r="G167" s="67"/>
      <c r="H167" s="184"/>
      <c r="I167" s="185"/>
      <c r="J167" s="67"/>
      <c r="K167" s="184"/>
      <c r="L167" s="185"/>
      <c r="M167" s="67"/>
      <c r="N167" s="184"/>
      <c r="O167" s="185"/>
      <c r="P167" s="67"/>
      <c r="Q167" s="184"/>
      <c r="R167" s="185"/>
      <c r="S167" s="67"/>
      <c r="T167" s="67"/>
      <c r="U167" s="67"/>
      <c r="V167" s="67"/>
      <c r="W167" s="67"/>
      <c r="X167" s="67"/>
      <c r="Y167" s="67"/>
      <c r="Z167" s="67"/>
      <c r="AA167" s="184"/>
      <c r="AB167" s="169"/>
      <c r="AC167" s="33"/>
      <c r="AD167" s="33"/>
      <c r="AE167" s="33"/>
      <c r="AF167" s="33"/>
      <c r="AG167" s="33"/>
      <c r="AH167" s="33"/>
      <c r="AI167" s="33"/>
      <c r="AJ167" s="33"/>
      <c r="AK167" s="33"/>
      <c r="AL167" s="33"/>
      <c r="AM167" s="171"/>
      <c r="AN167" s="66" t="s">
        <v>1207</v>
      </c>
      <c r="AO167" s="67"/>
      <c r="AP167" s="67"/>
      <c r="AQ167" s="67"/>
      <c r="AR167" s="67"/>
      <c r="AS167" s="67"/>
      <c r="AT167" s="184"/>
      <c r="AU167" s="185" t="s">
        <v>437</v>
      </c>
      <c r="AV167" s="67"/>
      <c r="AW167" s="184"/>
      <c r="AX167" s="169" t="s">
        <v>1257</v>
      </c>
      <c r="AY167" s="33"/>
      <c r="AZ167" s="33"/>
      <c r="BA167" s="33"/>
      <c r="BB167" s="33"/>
      <c r="BC167" s="33"/>
      <c r="BD167" s="33"/>
      <c r="BE167" s="33"/>
      <c r="BF167" s="33"/>
      <c r="BG167" s="33"/>
      <c r="BH167" s="33"/>
      <c r="BI167" s="33"/>
      <c r="BJ167" s="171"/>
    </row>
    <row r="168" spans="2:62" ht="16.5">
      <c r="B168" s="66"/>
      <c r="C168" s="67"/>
      <c r="D168" s="67"/>
      <c r="E168" s="67"/>
      <c r="F168" s="67"/>
      <c r="G168" s="67"/>
      <c r="H168" s="184"/>
      <c r="I168" s="185"/>
      <c r="J168" s="67"/>
      <c r="K168" s="184"/>
      <c r="L168" s="185"/>
      <c r="M168" s="67"/>
      <c r="N168" s="184"/>
      <c r="O168" s="185"/>
      <c r="P168" s="67"/>
      <c r="Q168" s="184"/>
      <c r="R168" s="185"/>
      <c r="S168" s="67"/>
      <c r="T168" s="67"/>
      <c r="U168" s="67"/>
      <c r="V168" s="67"/>
      <c r="W168" s="67"/>
      <c r="X168" s="67"/>
      <c r="Y168" s="67"/>
      <c r="Z168" s="67"/>
      <c r="AA168" s="184"/>
      <c r="AB168" s="169"/>
      <c r="AC168" s="33"/>
      <c r="AD168" s="33"/>
      <c r="AE168" s="33"/>
      <c r="AF168" s="33"/>
      <c r="AG168" s="33"/>
      <c r="AH168" s="33"/>
      <c r="AI168" s="33"/>
      <c r="AJ168" s="33"/>
      <c r="AK168" s="33"/>
      <c r="AL168" s="33"/>
      <c r="AM168" s="171"/>
      <c r="AN168" s="66" t="s">
        <v>1208</v>
      </c>
      <c r="AO168" s="67"/>
      <c r="AP168" s="67"/>
      <c r="AQ168" s="67"/>
      <c r="AR168" s="67"/>
      <c r="AS168" s="67"/>
      <c r="AT168" s="184"/>
      <c r="AU168" s="185" t="s">
        <v>437</v>
      </c>
      <c r="AV168" s="67"/>
      <c r="AW168" s="184"/>
      <c r="AX168" s="169" t="s">
        <v>1258</v>
      </c>
      <c r="AY168" s="33"/>
      <c r="AZ168" s="33"/>
      <c r="BA168" s="33"/>
      <c r="BB168" s="33"/>
      <c r="BC168" s="33"/>
      <c r="BD168" s="33"/>
      <c r="BE168" s="33"/>
      <c r="BF168" s="33"/>
      <c r="BG168" s="33"/>
      <c r="BH168" s="33"/>
      <c r="BI168" s="33"/>
      <c r="BJ168" s="171"/>
    </row>
    <row r="169" spans="2:62" ht="16.5">
      <c r="B169" s="66"/>
      <c r="C169" s="67"/>
      <c r="D169" s="67"/>
      <c r="E169" s="67"/>
      <c r="F169" s="67"/>
      <c r="G169" s="67"/>
      <c r="H169" s="184"/>
      <c r="I169" s="185"/>
      <c r="J169" s="67"/>
      <c r="K169" s="184"/>
      <c r="L169" s="185"/>
      <c r="M169" s="67"/>
      <c r="N169" s="184"/>
      <c r="O169" s="185"/>
      <c r="P169" s="67"/>
      <c r="Q169" s="184"/>
      <c r="R169" s="185"/>
      <c r="S169" s="67"/>
      <c r="T169" s="67"/>
      <c r="U169" s="67"/>
      <c r="V169" s="67"/>
      <c r="W169" s="67"/>
      <c r="X169" s="67"/>
      <c r="Y169" s="67"/>
      <c r="Z169" s="67"/>
      <c r="AA169" s="184"/>
      <c r="AB169" s="169"/>
      <c r="AC169" s="33"/>
      <c r="AD169" s="33"/>
      <c r="AE169" s="33"/>
      <c r="AF169" s="33"/>
      <c r="AG169" s="33"/>
      <c r="AH169" s="33"/>
      <c r="AI169" s="33"/>
      <c r="AJ169" s="33"/>
      <c r="AK169" s="33"/>
      <c r="AL169" s="33"/>
      <c r="AM169" s="171"/>
      <c r="AN169" s="66" t="s">
        <v>1209</v>
      </c>
      <c r="AO169" s="67"/>
      <c r="AP169" s="67"/>
      <c r="AQ169" s="67"/>
      <c r="AR169" s="67"/>
      <c r="AS169" s="67"/>
      <c r="AT169" s="184"/>
      <c r="AU169" s="185" t="s">
        <v>437</v>
      </c>
      <c r="AV169" s="67"/>
      <c r="AW169" s="184"/>
      <c r="AX169" s="169" t="s">
        <v>1259</v>
      </c>
      <c r="AY169" s="33"/>
      <c r="AZ169" s="33"/>
      <c r="BA169" s="33"/>
      <c r="BB169" s="33"/>
      <c r="BC169" s="33"/>
      <c r="BD169" s="33"/>
      <c r="BE169" s="33"/>
      <c r="BF169" s="33"/>
      <c r="BG169" s="33"/>
      <c r="BH169" s="33"/>
      <c r="BI169" s="33"/>
      <c r="BJ169" s="171"/>
    </row>
    <row r="170" spans="2:62" ht="16.5">
      <c r="B170" s="66"/>
      <c r="C170" s="67"/>
      <c r="D170" s="67"/>
      <c r="E170" s="67"/>
      <c r="F170" s="67"/>
      <c r="G170" s="67"/>
      <c r="H170" s="184"/>
      <c r="I170" s="185"/>
      <c r="J170" s="67"/>
      <c r="K170" s="184"/>
      <c r="L170" s="185"/>
      <c r="M170" s="67"/>
      <c r="N170" s="184"/>
      <c r="O170" s="185"/>
      <c r="P170" s="67"/>
      <c r="Q170" s="184"/>
      <c r="R170" s="185"/>
      <c r="S170" s="67"/>
      <c r="T170" s="67"/>
      <c r="U170" s="67"/>
      <c r="V170" s="67"/>
      <c r="W170" s="67"/>
      <c r="X170" s="67"/>
      <c r="Y170" s="67"/>
      <c r="Z170" s="67"/>
      <c r="AA170" s="184"/>
      <c r="AB170" s="169"/>
      <c r="AC170" s="33"/>
      <c r="AD170" s="33"/>
      <c r="AE170" s="33"/>
      <c r="AF170" s="33"/>
      <c r="AG170" s="33"/>
      <c r="AH170" s="33"/>
      <c r="AI170" s="33"/>
      <c r="AJ170" s="33"/>
      <c r="AK170" s="33"/>
      <c r="AL170" s="33"/>
      <c r="AM170" s="171"/>
      <c r="AN170" s="66" t="s">
        <v>1211</v>
      </c>
      <c r="AO170" s="67"/>
      <c r="AP170" s="67"/>
      <c r="AQ170" s="67"/>
      <c r="AR170" s="67"/>
      <c r="AS170" s="67"/>
      <c r="AT170" s="184"/>
      <c r="AU170" s="185" t="s">
        <v>437</v>
      </c>
      <c r="AV170" s="67"/>
      <c r="AW170" s="184"/>
      <c r="AX170" s="169" t="s">
        <v>1260</v>
      </c>
      <c r="AY170" s="33"/>
      <c r="AZ170" s="33"/>
      <c r="BA170" s="33"/>
      <c r="BB170" s="33"/>
      <c r="BC170" s="33"/>
      <c r="BD170" s="33"/>
      <c r="BE170" s="33"/>
      <c r="BF170" s="33"/>
      <c r="BG170" s="33"/>
      <c r="BH170" s="33"/>
      <c r="BI170" s="33"/>
      <c r="BJ170" s="171"/>
    </row>
    <row r="171" spans="2:62" ht="16.5">
      <c r="B171" s="66"/>
      <c r="C171" s="67"/>
      <c r="D171" s="67"/>
      <c r="E171" s="67"/>
      <c r="F171" s="67"/>
      <c r="G171" s="67"/>
      <c r="H171" s="184"/>
      <c r="I171" s="185"/>
      <c r="J171" s="67"/>
      <c r="K171" s="184"/>
      <c r="L171" s="185"/>
      <c r="M171" s="67"/>
      <c r="N171" s="184"/>
      <c r="O171" s="185"/>
      <c r="P171" s="67"/>
      <c r="Q171" s="184"/>
      <c r="R171" s="185"/>
      <c r="S171" s="67"/>
      <c r="T171" s="67"/>
      <c r="U171" s="67"/>
      <c r="V171" s="67"/>
      <c r="W171" s="67"/>
      <c r="X171" s="67"/>
      <c r="Y171" s="67"/>
      <c r="Z171" s="67"/>
      <c r="AA171" s="184"/>
      <c r="AB171" s="169"/>
      <c r="AC171" s="33"/>
      <c r="AD171" s="33"/>
      <c r="AE171" s="33"/>
      <c r="AF171" s="33"/>
      <c r="AG171" s="33"/>
      <c r="AH171" s="33"/>
      <c r="AI171" s="33"/>
      <c r="AJ171" s="33"/>
      <c r="AK171" s="33"/>
      <c r="AL171" s="33"/>
      <c r="AM171" s="171"/>
      <c r="AN171" s="66" t="s">
        <v>1212</v>
      </c>
      <c r="AO171" s="67"/>
      <c r="AP171" s="67"/>
      <c r="AQ171" s="67"/>
      <c r="AR171" s="67"/>
      <c r="AS171" s="67"/>
      <c r="AT171" s="184"/>
      <c r="AU171" s="185" t="s">
        <v>437</v>
      </c>
      <c r="AV171" s="67"/>
      <c r="AW171" s="184"/>
      <c r="AX171" s="169" t="s">
        <v>1261</v>
      </c>
      <c r="AY171" s="33"/>
      <c r="AZ171" s="33"/>
      <c r="BA171" s="33"/>
      <c r="BB171" s="33"/>
      <c r="BC171" s="33"/>
      <c r="BD171" s="33"/>
      <c r="BE171" s="33"/>
      <c r="BF171" s="33"/>
      <c r="BG171" s="33"/>
      <c r="BH171" s="33"/>
      <c r="BI171" s="33"/>
      <c r="BJ171" s="171"/>
    </row>
    <row r="172" spans="2:62" ht="16.5">
      <c r="B172" s="66"/>
      <c r="C172" s="67"/>
      <c r="D172" s="67"/>
      <c r="E172" s="67"/>
      <c r="F172" s="67"/>
      <c r="G172" s="67"/>
      <c r="H172" s="184"/>
      <c r="I172" s="185"/>
      <c r="J172" s="67"/>
      <c r="K172" s="184"/>
      <c r="L172" s="185"/>
      <c r="M172" s="67"/>
      <c r="N172" s="184"/>
      <c r="O172" s="185"/>
      <c r="P172" s="67"/>
      <c r="Q172" s="184"/>
      <c r="R172" s="185"/>
      <c r="S172" s="67"/>
      <c r="T172" s="67"/>
      <c r="U172" s="67"/>
      <c r="V172" s="67"/>
      <c r="W172" s="67"/>
      <c r="X172" s="67"/>
      <c r="Y172" s="67"/>
      <c r="Z172" s="67"/>
      <c r="AA172" s="184"/>
      <c r="AB172" s="169"/>
      <c r="AC172" s="33"/>
      <c r="AD172" s="33"/>
      <c r="AE172" s="33"/>
      <c r="AF172" s="33"/>
      <c r="AG172" s="33"/>
      <c r="AH172" s="33"/>
      <c r="AI172" s="33"/>
      <c r="AJ172" s="33"/>
      <c r="AK172" s="33"/>
      <c r="AL172" s="33"/>
      <c r="AM172" s="171"/>
      <c r="AN172" s="66" t="s">
        <v>1213</v>
      </c>
      <c r="AO172" s="67"/>
      <c r="AP172" s="67"/>
      <c r="AQ172" s="67"/>
      <c r="AR172" s="67"/>
      <c r="AS172" s="67"/>
      <c r="AT172" s="184"/>
      <c r="AU172" s="185" t="s">
        <v>437</v>
      </c>
      <c r="AV172" s="67"/>
      <c r="AW172" s="184"/>
      <c r="AX172" s="169" t="s">
        <v>1262</v>
      </c>
      <c r="AY172" s="33"/>
      <c r="AZ172" s="33"/>
      <c r="BA172" s="33"/>
      <c r="BB172" s="33"/>
      <c r="BC172" s="33"/>
      <c r="BD172" s="33"/>
      <c r="BE172" s="33"/>
      <c r="BF172" s="33"/>
      <c r="BG172" s="33"/>
      <c r="BH172" s="33"/>
      <c r="BI172" s="33"/>
      <c r="BJ172" s="171"/>
    </row>
    <row r="173" spans="2:62" ht="16.5">
      <c r="B173" s="66"/>
      <c r="C173" s="67"/>
      <c r="D173" s="67"/>
      <c r="E173" s="67"/>
      <c r="F173" s="67"/>
      <c r="G173" s="67"/>
      <c r="H173" s="184"/>
      <c r="I173" s="185"/>
      <c r="J173" s="67"/>
      <c r="K173" s="184"/>
      <c r="L173" s="185"/>
      <c r="M173" s="67"/>
      <c r="N173" s="184"/>
      <c r="O173" s="185"/>
      <c r="P173" s="67"/>
      <c r="Q173" s="184"/>
      <c r="R173" s="185"/>
      <c r="S173" s="67"/>
      <c r="T173" s="67"/>
      <c r="U173" s="67"/>
      <c r="V173" s="67"/>
      <c r="W173" s="67"/>
      <c r="X173" s="67"/>
      <c r="Y173" s="67"/>
      <c r="Z173" s="67"/>
      <c r="AA173" s="184"/>
      <c r="AB173" s="169"/>
      <c r="AC173" s="33"/>
      <c r="AD173" s="33"/>
      <c r="AE173" s="33"/>
      <c r="AF173" s="33"/>
      <c r="AG173" s="33"/>
      <c r="AH173" s="33"/>
      <c r="AI173" s="33"/>
      <c r="AJ173" s="33"/>
      <c r="AK173" s="33"/>
      <c r="AL173" s="33"/>
      <c r="AM173" s="171"/>
      <c r="AN173" s="66" t="s">
        <v>1214</v>
      </c>
      <c r="AO173" s="67"/>
      <c r="AP173" s="67"/>
      <c r="AQ173" s="67"/>
      <c r="AR173" s="67"/>
      <c r="AS173" s="67"/>
      <c r="AT173" s="184"/>
      <c r="AU173" s="185" t="s">
        <v>437</v>
      </c>
      <c r="AV173" s="67"/>
      <c r="AW173" s="184"/>
      <c r="AX173" s="169" t="s">
        <v>1263</v>
      </c>
      <c r="AY173" s="33"/>
      <c r="AZ173" s="33"/>
      <c r="BA173" s="33"/>
      <c r="BB173" s="33"/>
      <c r="BC173" s="33"/>
      <c r="BD173" s="33"/>
      <c r="BE173" s="33"/>
      <c r="BF173" s="33"/>
      <c r="BG173" s="33"/>
      <c r="BH173" s="33"/>
      <c r="BI173" s="33"/>
      <c r="BJ173" s="171"/>
    </row>
    <row r="174" spans="2:62" ht="16.5">
      <c r="B174" s="66"/>
      <c r="C174" s="67"/>
      <c r="D174" s="67"/>
      <c r="E174" s="67"/>
      <c r="F174" s="67"/>
      <c r="G174" s="67"/>
      <c r="H174" s="184"/>
      <c r="I174" s="185"/>
      <c r="J174" s="67"/>
      <c r="K174" s="184"/>
      <c r="L174" s="185"/>
      <c r="M174" s="67"/>
      <c r="N174" s="184"/>
      <c r="O174" s="185"/>
      <c r="P174" s="67"/>
      <c r="Q174" s="184"/>
      <c r="R174" s="185"/>
      <c r="S174" s="67"/>
      <c r="T174" s="67"/>
      <c r="U174" s="67"/>
      <c r="V174" s="67"/>
      <c r="W174" s="67"/>
      <c r="X174" s="67"/>
      <c r="Y174" s="67"/>
      <c r="Z174" s="67"/>
      <c r="AA174" s="184"/>
      <c r="AB174" s="169"/>
      <c r="AC174" s="33"/>
      <c r="AD174" s="33"/>
      <c r="AE174" s="33"/>
      <c r="AF174" s="33"/>
      <c r="AG174" s="33"/>
      <c r="AH174" s="33"/>
      <c r="AI174" s="33"/>
      <c r="AJ174" s="33"/>
      <c r="AK174" s="33"/>
      <c r="AL174" s="33"/>
      <c r="AM174" s="171"/>
      <c r="AN174" s="66" t="s">
        <v>1215</v>
      </c>
      <c r="AO174" s="67"/>
      <c r="AP174" s="67"/>
      <c r="AQ174" s="67"/>
      <c r="AR174" s="67"/>
      <c r="AS174" s="67"/>
      <c r="AT174" s="184"/>
      <c r="AU174" s="185" t="s">
        <v>437</v>
      </c>
      <c r="AV174" s="67"/>
      <c r="AW174" s="184"/>
      <c r="AX174" s="169" t="s">
        <v>1264</v>
      </c>
      <c r="AY174" s="33"/>
      <c r="AZ174" s="33"/>
      <c r="BA174" s="33"/>
      <c r="BB174" s="33"/>
      <c r="BC174" s="33"/>
      <c r="BD174" s="33"/>
      <c r="BE174" s="33"/>
      <c r="BF174" s="33"/>
      <c r="BG174" s="33"/>
      <c r="BH174" s="33"/>
      <c r="BI174" s="33"/>
      <c r="BJ174" s="171"/>
    </row>
    <row r="175" spans="2:62" ht="16.5">
      <c r="B175" s="66"/>
      <c r="C175" s="67"/>
      <c r="D175" s="67"/>
      <c r="E175" s="67"/>
      <c r="F175" s="67"/>
      <c r="G175" s="67"/>
      <c r="H175" s="184"/>
      <c r="I175" s="185"/>
      <c r="J175" s="67"/>
      <c r="K175" s="184"/>
      <c r="L175" s="185"/>
      <c r="M175" s="67"/>
      <c r="N175" s="184"/>
      <c r="O175" s="185"/>
      <c r="P175" s="67"/>
      <c r="Q175" s="184"/>
      <c r="R175" s="185"/>
      <c r="S175" s="67"/>
      <c r="T175" s="67"/>
      <c r="U175" s="67"/>
      <c r="V175" s="67"/>
      <c r="W175" s="67"/>
      <c r="X175" s="67"/>
      <c r="Y175" s="67"/>
      <c r="Z175" s="67"/>
      <c r="AA175" s="184"/>
      <c r="AB175" s="169"/>
      <c r="AC175" s="33"/>
      <c r="AD175" s="33"/>
      <c r="AE175" s="33"/>
      <c r="AF175" s="33"/>
      <c r="AG175" s="33"/>
      <c r="AH175" s="33"/>
      <c r="AI175" s="33"/>
      <c r="AJ175" s="33"/>
      <c r="AK175" s="33"/>
      <c r="AL175" s="33"/>
      <c r="AM175" s="171"/>
      <c r="AN175" s="66" t="s">
        <v>1216</v>
      </c>
      <c r="AO175" s="67"/>
      <c r="AP175" s="67"/>
      <c r="AQ175" s="67"/>
      <c r="AR175" s="67"/>
      <c r="AS175" s="67"/>
      <c r="AT175" s="184"/>
      <c r="AU175" s="185" t="s">
        <v>437</v>
      </c>
      <c r="AV175" s="67"/>
      <c r="AW175" s="184"/>
      <c r="AX175" s="169" t="s">
        <v>1265</v>
      </c>
      <c r="AY175" s="33"/>
      <c r="AZ175" s="33"/>
      <c r="BA175" s="33"/>
      <c r="BB175" s="33"/>
      <c r="BC175" s="33"/>
      <c r="BD175" s="33"/>
      <c r="BE175" s="33"/>
      <c r="BF175" s="33"/>
      <c r="BG175" s="33"/>
      <c r="BH175" s="33"/>
      <c r="BI175" s="33"/>
      <c r="BJ175" s="171"/>
    </row>
    <row r="176" spans="2:62" ht="16.5">
      <c r="B176" s="66"/>
      <c r="C176" s="67"/>
      <c r="D176" s="67"/>
      <c r="E176" s="67"/>
      <c r="F176" s="67"/>
      <c r="G176" s="67"/>
      <c r="H176" s="184"/>
      <c r="I176" s="185"/>
      <c r="J176" s="67"/>
      <c r="K176" s="184"/>
      <c r="L176" s="185"/>
      <c r="M176" s="67"/>
      <c r="N176" s="184"/>
      <c r="O176" s="185"/>
      <c r="P176" s="67"/>
      <c r="Q176" s="184"/>
      <c r="R176" s="185"/>
      <c r="S176" s="67"/>
      <c r="T176" s="67"/>
      <c r="U176" s="67"/>
      <c r="V176" s="67"/>
      <c r="W176" s="67"/>
      <c r="X176" s="67"/>
      <c r="Y176" s="67"/>
      <c r="Z176" s="67"/>
      <c r="AA176" s="184"/>
      <c r="AB176" s="169"/>
      <c r="AC176" s="33"/>
      <c r="AD176" s="33"/>
      <c r="AE176" s="33"/>
      <c r="AF176" s="33"/>
      <c r="AG176" s="33"/>
      <c r="AH176" s="33"/>
      <c r="AI176" s="33"/>
      <c r="AJ176" s="33"/>
      <c r="AK176" s="33"/>
      <c r="AL176" s="33"/>
      <c r="AM176" s="171"/>
      <c r="AN176" s="66" t="s">
        <v>1217</v>
      </c>
      <c r="AO176" s="67"/>
      <c r="AP176" s="67"/>
      <c r="AQ176" s="67"/>
      <c r="AR176" s="67"/>
      <c r="AS176" s="67"/>
      <c r="AT176" s="184"/>
      <c r="AU176" s="185" t="s">
        <v>437</v>
      </c>
      <c r="AV176" s="67"/>
      <c r="AW176" s="184"/>
      <c r="AX176" s="169" t="s">
        <v>1266</v>
      </c>
      <c r="AY176" s="33"/>
      <c r="AZ176" s="33"/>
      <c r="BA176" s="33"/>
      <c r="BB176" s="33"/>
      <c r="BC176" s="33"/>
      <c r="BD176" s="33"/>
      <c r="BE176" s="33"/>
      <c r="BF176" s="33"/>
      <c r="BG176" s="33"/>
      <c r="BH176" s="33"/>
      <c r="BI176" s="33"/>
      <c r="BJ176" s="171"/>
    </row>
    <row r="177" spans="2:62" ht="16.5">
      <c r="B177" s="66"/>
      <c r="C177" s="67"/>
      <c r="D177" s="67"/>
      <c r="E177" s="67"/>
      <c r="F177" s="67"/>
      <c r="G177" s="67"/>
      <c r="H177" s="184"/>
      <c r="I177" s="185"/>
      <c r="J177" s="67"/>
      <c r="K177" s="184"/>
      <c r="L177" s="185"/>
      <c r="M177" s="67"/>
      <c r="N177" s="184"/>
      <c r="O177" s="185"/>
      <c r="P177" s="67"/>
      <c r="Q177" s="184"/>
      <c r="R177" s="185"/>
      <c r="S177" s="67"/>
      <c r="T177" s="67"/>
      <c r="U177" s="67"/>
      <c r="V177" s="67"/>
      <c r="W177" s="67"/>
      <c r="X177" s="67"/>
      <c r="Y177" s="67"/>
      <c r="Z177" s="67"/>
      <c r="AA177" s="184"/>
      <c r="AB177" s="169"/>
      <c r="AC177" s="33"/>
      <c r="AD177" s="33"/>
      <c r="AE177" s="33"/>
      <c r="AF177" s="33"/>
      <c r="AG177" s="33"/>
      <c r="AH177" s="33"/>
      <c r="AI177" s="33"/>
      <c r="AJ177" s="33"/>
      <c r="AK177" s="33"/>
      <c r="AL177" s="33"/>
      <c r="AM177" s="171"/>
      <c r="AN177" s="66" t="s">
        <v>1218</v>
      </c>
      <c r="AO177" s="67"/>
      <c r="AP177" s="67"/>
      <c r="AQ177" s="67"/>
      <c r="AR177" s="67"/>
      <c r="AS177" s="67"/>
      <c r="AT177" s="184"/>
      <c r="AU177" s="185" t="s">
        <v>437</v>
      </c>
      <c r="AV177" s="67"/>
      <c r="AW177" s="184"/>
      <c r="AX177" s="169" t="s">
        <v>1267</v>
      </c>
      <c r="AY177" s="33"/>
      <c r="AZ177" s="33"/>
      <c r="BA177" s="33"/>
      <c r="BB177" s="33"/>
      <c r="BC177" s="33"/>
      <c r="BD177" s="33"/>
      <c r="BE177" s="33"/>
      <c r="BF177" s="33"/>
      <c r="BG177" s="33"/>
      <c r="BH177" s="33"/>
      <c r="BI177" s="33"/>
      <c r="BJ177" s="171"/>
    </row>
    <row r="178" spans="2:62" ht="16.5">
      <c r="B178" s="66"/>
      <c r="C178" s="67"/>
      <c r="D178" s="67"/>
      <c r="E178" s="67"/>
      <c r="F178" s="67"/>
      <c r="G178" s="67"/>
      <c r="H178" s="184"/>
      <c r="I178" s="185"/>
      <c r="J178" s="67"/>
      <c r="K178" s="184"/>
      <c r="L178" s="185"/>
      <c r="M178" s="67"/>
      <c r="N178" s="184"/>
      <c r="O178" s="185"/>
      <c r="P178" s="67"/>
      <c r="Q178" s="184"/>
      <c r="R178" s="185"/>
      <c r="S178" s="67"/>
      <c r="T178" s="67"/>
      <c r="U178" s="67"/>
      <c r="V178" s="67"/>
      <c r="W178" s="67"/>
      <c r="X178" s="67"/>
      <c r="Y178" s="67"/>
      <c r="Z178" s="67"/>
      <c r="AA178" s="184"/>
      <c r="AB178" s="169"/>
      <c r="AC178" s="33"/>
      <c r="AD178" s="33"/>
      <c r="AE178" s="33"/>
      <c r="AF178" s="33"/>
      <c r="AG178" s="33"/>
      <c r="AH178" s="33"/>
      <c r="AI178" s="33"/>
      <c r="AJ178" s="33"/>
      <c r="AK178" s="33"/>
      <c r="AL178" s="33"/>
      <c r="AM178" s="171"/>
      <c r="AN178" s="66" t="s">
        <v>1219</v>
      </c>
      <c r="AO178" s="67"/>
      <c r="AP178" s="67"/>
      <c r="AQ178" s="67"/>
      <c r="AR178" s="67"/>
      <c r="AS178" s="67"/>
      <c r="AT178" s="184"/>
      <c r="AU178" s="185" t="s">
        <v>437</v>
      </c>
      <c r="AV178" s="67"/>
      <c r="AW178" s="184"/>
      <c r="AX178" s="169" t="s">
        <v>1268</v>
      </c>
      <c r="AY178" s="33"/>
      <c r="AZ178" s="33"/>
      <c r="BA178" s="33"/>
      <c r="BB178" s="33"/>
      <c r="BC178" s="33"/>
      <c r="BD178" s="33"/>
      <c r="BE178" s="33"/>
      <c r="BF178" s="33"/>
      <c r="BG178" s="33"/>
      <c r="BH178" s="33"/>
      <c r="BI178" s="33"/>
      <c r="BJ178" s="171"/>
    </row>
    <row r="179" spans="2:62" ht="16.5">
      <c r="B179" s="66"/>
      <c r="C179" s="67"/>
      <c r="D179" s="67"/>
      <c r="E179" s="67"/>
      <c r="F179" s="67"/>
      <c r="G179" s="67"/>
      <c r="H179" s="184"/>
      <c r="I179" s="185"/>
      <c r="J179" s="67"/>
      <c r="K179" s="184"/>
      <c r="L179" s="185"/>
      <c r="M179" s="67"/>
      <c r="N179" s="184"/>
      <c r="O179" s="185"/>
      <c r="P179" s="67"/>
      <c r="Q179" s="184"/>
      <c r="R179" s="185"/>
      <c r="S179" s="67"/>
      <c r="T179" s="67"/>
      <c r="U179" s="67"/>
      <c r="V179" s="67"/>
      <c r="W179" s="67"/>
      <c r="X179" s="67"/>
      <c r="Y179" s="67"/>
      <c r="Z179" s="67"/>
      <c r="AA179" s="184"/>
      <c r="AB179" s="169"/>
      <c r="AC179" s="33"/>
      <c r="AD179" s="33"/>
      <c r="AE179" s="33"/>
      <c r="AF179" s="33"/>
      <c r="AG179" s="33"/>
      <c r="AH179" s="33"/>
      <c r="AI179" s="33"/>
      <c r="AJ179" s="33"/>
      <c r="AK179" s="33"/>
      <c r="AL179" s="33"/>
      <c r="AM179" s="171"/>
      <c r="AN179" s="66" t="s">
        <v>1220</v>
      </c>
      <c r="AO179" s="67"/>
      <c r="AP179" s="67"/>
      <c r="AQ179" s="67"/>
      <c r="AR179" s="67"/>
      <c r="AS179" s="67"/>
      <c r="AT179" s="184"/>
      <c r="AU179" s="185" t="s">
        <v>437</v>
      </c>
      <c r="AV179" s="67"/>
      <c r="AW179" s="184"/>
      <c r="AX179" s="169" t="s">
        <v>1269</v>
      </c>
      <c r="AY179" s="33"/>
      <c r="AZ179" s="33"/>
      <c r="BA179" s="33"/>
      <c r="BB179" s="33"/>
      <c r="BC179" s="33"/>
      <c r="BD179" s="33"/>
      <c r="BE179" s="33"/>
      <c r="BF179" s="33"/>
      <c r="BG179" s="33"/>
      <c r="BH179" s="33"/>
      <c r="BI179" s="33"/>
      <c r="BJ179" s="171"/>
    </row>
    <row r="180" spans="2:62" ht="16.5">
      <c r="B180" s="66"/>
      <c r="C180" s="67"/>
      <c r="D180" s="67"/>
      <c r="E180" s="67"/>
      <c r="F180" s="67"/>
      <c r="G180" s="67"/>
      <c r="H180" s="184"/>
      <c r="I180" s="185"/>
      <c r="J180" s="67"/>
      <c r="K180" s="184"/>
      <c r="L180" s="185"/>
      <c r="M180" s="67"/>
      <c r="N180" s="184"/>
      <c r="O180" s="185"/>
      <c r="P180" s="67"/>
      <c r="Q180" s="184"/>
      <c r="R180" s="185"/>
      <c r="S180" s="67"/>
      <c r="T180" s="67"/>
      <c r="U180" s="67"/>
      <c r="V180" s="67"/>
      <c r="W180" s="67"/>
      <c r="X180" s="67"/>
      <c r="Y180" s="67"/>
      <c r="Z180" s="67"/>
      <c r="AA180" s="184"/>
      <c r="AB180" s="169"/>
      <c r="AC180" s="33"/>
      <c r="AD180" s="33"/>
      <c r="AE180" s="33"/>
      <c r="AF180" s="33"/>
      <c r="AG180" s="33"/>
      <c r="AH180" s="33"/>
      <c r="AI180" s="33"/>
      <c r="AJ180" s="33"/>
      <c r="AK180" s="33"/>
      <c r="AL180" s="33"/>
      <c r="AM180" s="171"/>
      <c r="AN180" s="66" t="s">
        <v>1221</v>
      </c>
      <c r="AO180" s="67"/>
      <c r="AP180" s="67"/>
      <c r="AQ180" s="67"/>
      <c r="AR180" s="67"/>
      <c r="AS180" s="67"/>
      <c r="AT180" s="184"/>
      <c r="AU180" s="185" t="s">
        <v>437</v>
      </c>
      <c r="AV180" s="67"/>
      <c r="AW180" s="184"/>
      <c r="AX180" s="169" t="s">
        <v>1270</v>
      </c>
      <c r="AY180" s="33"/>
      <c r="AZ180" s="33"/>
      <c r="BA180" s="33"/>
      <c r="BB180" s="33"/>
      <c r="BC180" s="33"/>
      <c r="BD180" s="33"/>
      <c r="BE180" s="33"/>
      <c r="BF180" s="33"/>
      <c r="BG180" s="33"/>
      <c r="BH180" s="33"/>
      <c r="BI180" s="33"/>
      <c r="BJ180" s="171"/>
    </row>
    <row r="181" spans="2:62" ht="16.5">
      <c r="B181" s="66"/>
      <c r="C181" s="67"/>
      <c r="D181" s="67"/>
      <c r="E181" s="67"/>
      <c r="F181" s="67"/>
      <c r="G181" s="67"/>
      <c r="H181" s="184"/>
      <c r="I181" s="185"/>
      <c r="J181" s="67"/>
      <c r="K181" s="184"/>
      <c r="L181" s="185"/>
      <c r="M181" s="67"/>
      <c r="N181" s="184"/>
      <c r="O181" s="185"/>
      <c r="P181" s="67"/>
      <c r="Q181" s="184"/>
      <c r="R181" s="185"/>
      <c r="S181" s="67"/>
      <c r="T181" s="67"/>
      <c r="U181" s="67"/>
      <c r="V181" s="67"/>
      <c r="W181" s="67"/>
      <c r="X181" s="67"/>
      <c r="Y181" s="67"/>
      <c r="Z181" s="67"/>
      <c r="AA181" s="184"/>
      <c r="AB181" s="169"/>
      <c r="AC181" s="33"/>
      <c r="AD181" s="33"/>
      <c r="AE181" s="33"/>
      <c r="AF181" s="33"/>
      <c r="AG181" s="33"/>
      <c r="AH181" s="33"/>
      <c r="AI181" s="33"/>
      <c r="AJ181" s="33"/>
      <c r="AK181" s="33"/>
      <c r="AL181" s="33"/>
      <c r="AM181" s="171"/>
      <c r="AN181" s="66" t="s">
        <v>1222</v>
      </c>
      <c r="AO181" s="67"/>
      <c r="AP181" s="67"/>
      <c r="AQ181" s="67"/>
      <c r="AR181" s="67"/>
      <c r="AS181" s="67"/>
      <c r="AT181" s="184"/>
      <c r="AU181" s="185" t="s">
        <v>437</v>
      </c>
      <c r="AV181" s="67"/>
      <c r="AW181" s="184"/>
      <c r="AX181" s="169" t="s">
        <v>1271</v>
      </c>
      <c r="AY181" s="33"/>
      <c r="AZ181" s="33"/>
      <c r="BA181" s="33"/>
      <c r="BB181" s="33"/>
      <c r="BC181" s="33"/>
      <c r="BD181" s="33"/>
      <c r="BE181" s="33"/>
      <c r="BF181" s="33"/>
      <c r="BG181" s="33"/>
      <c r="BH181" s="33"/>
      <c r="BI181" s="33"/>
      <c r="BJ181" s="171"/>
    </row>
    <row r="182" spans="2:62" ht="16.5">
      <c r="B182" s="66"/>
      <c r="C182" s="67"/>
      <c r="D182" s="67"/>
      <c r="E182" s="67"/>
      <c r="F182" s="67"/>
      <c r="G182" s="67"/>
      <c r="H182" s="184"/>
      <c r="I182" s="185"/>
      <c r="J182" s="67"/>
      <c r="K182" s="184"/>
      <c r="L182" s="185"/>
      <c r="M182" s="67"/>
      <c r="N182" s="184"/>
      <c r="O182" s="185"/>
      <c r="P182" s="67"/>
      <c r="Q182" s="184"/>
      <c r="R182" s="185"/>
      <c r="S182" s="67"/>
      <c r="T182" s="67"/>
      <c r="U182" s="67"/>
      <c r="V182" s="67"/>
      <c r="W182" s="67"/>
      <c r="X182" s="67"/>
      <c r="Y182" s="67"/>
      <c r="Z182" s="67"/>
      <c r="AA182" s="184"/>
      <c r="AB182" s="169"/>
      <c r="AC182" s="33"/>
      <c r="AD182" s="33"/>
      <c r="AE182" s="33"/>
      <c r="AF182" s="33"/>
      <c r="AG182" s="33"/>
      <c r="AH182" s="33"/>
      <c r="AI182" s="33"/>
      <c r="AJ182" s="33"/>
      <c r="AK182" s="33"/>
      <c r="AL182" s="33"/>
      <c r="AM182" s="171"/>
      <c r="AN182" s="66" t="s">
        <v>1223</v>
      </c>
      <c r="AO182" s="67"/>
      <c r="AP182" s="67"/>
      <c r="AQ182" s="67"/>
      <c r="AR182" s="67"/>
      <c r="AS182" s="67"/>
      <c r="AT182" s="184"/>
      <c r="AU182" s="185" t="s">
        <v>437</v>
      </c>
      <c r="AV182" s="67"/>
      <c r="AW182" s="184"/>
      <c r="AX182" s="169" t="s">
        <v>1272</v>
      </c>
      <c r="AY182" s="33"/>
      <c r="AZ182" s="33"/>
      <c r="BA182" s="33"/>
      <c r="BB182" s="33"/>
      <c r="BC182" s="33"/>
      <c r="BD182" s="33"/>
      <c r="BE182" s="33"/>
      <c r="BF182" s="33"/>
      <c r="BG182" s="33"/>
      <c r="BH182" s="33"/>
      <c r="BI182" s="33"/>
      <c r="BJ182" s="171"/>
    </row>
    <row r="183" spans="2:62" ht="16.5">
      <c r="B183" s="66"/>
      <c r="C183" s="67"/>
      <c r="D183" s="67"/>
      <c r="E183" s="67"/>
      <c r="F183" s="67"/>
      <c r="G183" s="67"/>
      <c r="H183" s="184"/>
      <c r="I183" s="185"/>
      <c r="J183" s="67"/>
      <c r="K183" s="184"/>
      <c r="L183" s="185"/>
      <c r="M183" s="67"/>
      <c r="N183" s="184"/>
      <c r="O183" s="185"/>
      <c r="P183" s="67"/>
      <c r="Q183" s="184"/>
      <c r="R183" s="185"/>
      <c r="S183" s="67"/>
      <c r="T183" s="67"/>
      <c r="U183" s="67"/>
      <c r="V183" s="67"/>
      <c r="W183" s="67"/>
      <c r="X183" s="67"/>
      <c r="Y183" s="67"/>
      <c r="Z183" s="67"/>
      <c r="AA183" s="184"/>
      <c r="AB183" s="169"/>
      <c r="AC183" s="33"/>
      <c r="AD183" s="33"/>
      <c r="AE183" s="33"/>
      <c r="AF183" s="33"/>
      <c r="AG183" s="33"/>
      <c r="AH183" s="33"/>
      <c r="AI183" s="33"/>
      <c r="AJ183" s="33"/>
      <c r="AK183" s="33"/>
      <c r="AL183" s="33"/>
      <c r="AM183" s="171"/>
      <c r="AN183" s="66" t="s">
        <v>1224</v>
      </c>
      <c r="AO183" s="67"/>
      <c r="AP183" s="67"/>
      <c r="AQ183" s="67"/>
      <c r="AR183" s="67"/>
      <c r="AS183" s="67"/>
      <c r="AT183" s="184"/>
      <c r="AU183" s="185" t="s">
        <v>437</v>
      </c>
      <c r="AV183" s="67"/>
      <c r="AW183" s="184"/>
      <c r="AX183" s="169" t="s">
        <v>1273</v>
      </c>
      <c r="AY183" s="33"/>
      <c r="AZ183" s="33"/>
      <c r="BA183" s="33"/>
      <c r="BB183" s="33"/>
      <c r="BC183" s="33"/>
      <c r="BD183" s="33"/>
      <c r="BE183" s="33"/>
      <c r="BF183" s="33"/>
      <c r="BG183" s="33"/>
      <c r="BH183" s="33"/>
      <c r="BI183" s="33"/>
      <c r="BJ183" s="171"/>
    </row>
    <row r="184" spans="2:62" ht="16.5">
      <c r="B184" s="66"/>
      <c r="C184" s="67"/>
      <c r="D184" s="67"/>
      <c r="E184" s="67"/>
      <c r="F184" s="67"/>
      <c r="G184" s="67"/>
      <c r="H184" s="184"/>
      <c r="I184" s="185"/>
      <c r="J184" s="67"/>
      <c r="K184" s="184"/>
      <c r="L184" s="185"/>
      <c r="M184" s="67"/>
      <c r="N184" s="184"/>
      <c r="O184" s="185"/>
      <c r="P184" s="67"/>
      <c r="Q184" s="184"/>
      <c r="R184" s="185"/>
      <c r="S184" s="67"/>
      <c r="T184" s="67"/>
      <c r="U184" s="67"/>
      <c r="V184" s="67"/>
      <c r="W184" s="67"/>
      <c r="X184" s="67"/>
      <c r="Y184" s="67"/>
      <c r="Z184" s="67"/>
      <c r="AA184" s="184"/>
      <c r="AB184" s="169"/>
      <c r="AC184" s="33"/>
      <c r="AD184" s="33"/>
      <c r="AE184" s="33"/>
      <c r="AF184" s="33"/>
      <c r="AG184" s="33"/>
      <c r="AH184" s="33"/>
      <c r="AI184" s="33"/>
      <c r="AJ184" s="33"/>
      <c r="AK184" s="33"/>
      <c r="AL184" s="33"/>
      <c r="AM184" s="171"/>
      <c r="AN184" s="66" t="s">
        <v>1225</v>
      </c>
      <c r="AO184" s="67"/>
      <c r="AP184" s="67"/>
      <c r="AQ184" s="67"/>
      <c r="AR184" s="67"/>
      <c r="AS184" s="67"/>
      <c r="AT184" s="184"/>
      <c r="AU184" s="185" t="s">
        <v>437</v>
      </c>
      <c r="AV184" s="67"/>
      <c r="AW184" s="184"/>
      <c r="AX184" s="169" t="s">
        <v>1274</v>
      </c>
      <c r="AY184" s="33"/>
      <c r="AZ184" s="33"/>
      <c r="BA184" s="33"/>
      <c r="BB184" s="33"/>
      <c r="BC184" s="33"/>
      <c r="BD184" s="33"/>
      <c r="BE184" s="33"/>
      <c r="BF184" s="33"/>
      <c r="BG184" s="33"/>
      <c r="BH184" s="33"/>
      <c r="BI184" s="33"/>
      <c r="BJ184" s="171"/>
    </row>
    <row r="185" spans="2:62" ht="16.5">
      <c r="B185" s="66"/>
      <c r="C185" s="67"/>
      <c r="D185" s="67"/>
      <c r="E185" s="67"/>
      <c r="F185" s="67"/>
      <c r="G185" s="67"/>
      <c r="H185" s="184"/>
      <c r="I185" s="185"/>
      <c r="J185" s="67"/>
      <c r="K185" s="184"/>
      <c r="L185" s="185"/>
      <c r="M185" s="67"/>
      <c r="N185" s="184"/>
      <c r="O185" s="185"/>
      <c r="P185" s="67"/>
      <c r="Q185" s="184"/>
      <c r="R185" s="185"/>
      <c r="S185" s="67"/>
      <c r="T185" s="67"/>
      <c r="U185" s="67"/>
      <c r="V185" s="67"/>
      <c r="W185" s="67"/>
      <c r="X185" s="67"/>
      <c r="Y185" s="67"/>
      <c r="Z185" s="67"/>
      <c r="AA185" s="184"/>
      <c r="AB185" s="169"/>
      <c r="AC185" s="33"/>
      <c r="AD185" s="33"/>
      <c r="AE185" s="33"/>
      <c r="AF185" s="33"/>
      <c r="AG185" s="33"/>
      <c r="AH185" s="33"/>
      <c r="AI185" s="33"/>
      <c r="AJ185" s="33"/>
      <c r="AK185" s="33"/>
      <c r="AL185" s="33"/>
      <c r="AM185" s="171"/>
      <c r="AN185" s="66" t="s">
        <v>1226</v>
      </c>
      <c r="AO185" s="67"/>
      <c r="AP185" s="67"/>
      <c r="AQ185" s="67"/>
      <c r="AR185" s="67"/>
      <c r="AS185" s="67"/>
      <c r="AT185" s="184"/>
      <c r="AU185" s="185" t="s">
        <v>437</v>
      </c>
      <c r="AV185" s="67"/>
      <c r="AW185" s="184"/>
      <c r="AX185" s="169" t="s">
        <v>1275</v>
      </c>
      <c r="AY185" s="33"/>
      <c r="AZ185" s="33"/>
      <c r="BA185" s="33"/>
      <c r="BB185" s="33"/>
      <c r="BC185" s="33"/>
      <c r="BD185" s="33"/>
      <c r="BE185" s="33"/>
      <c r="BF185" s="33"/>
      <c r="BG185" s="33"/>
      <c r="BH185" s="33"/>
      <c r="BI185" s="33"/>
      <c r="BJ185" s="171"/>
    </row>
    <row r="186" spans="2:62" ht="16.5">
      <c r="B186" s="66"/>
      <c r="C186" s="67"/>
      <c r="D186" s="67"/>
      <c r="E186" s="67"/>
      <c r="F186" s="67"/>
      <c r="G186" s="67"/>
      <c r="H186" s="184"/>
      <c r="I186" s="185"/>
      <c r="J186" s="67"/>
      <c r="K186" s="184"/>
      <c r="L186" s="185"/>
      <c r="M186" s="67"/>
      <c r="N186" s="184"/>
      <c r="O186" s="185"/>
      <c r="P186" s="67"/>
      <c r="Q186" s="184"/>
      <c r="R186" s="185"/>
      <c r="S186" s="67"/>
      <c r="T186" s="67"/>
      <c r="U186" s="67"/>
      <c r="V186" s="67"/>
      <c r="W186" s="67"/>
      <c r="X186" s="67"/>
      <c r="Y186" s="67"/>
      <c r="Z186" s="67"/>
      <c r="AA186" s="184"/>
      <c r="AB186" s="169"/>
      <c r="AC186" s="33"/>
      <c r="AD186" s="33"/>
      <c r="AE186" s="33"/>
      <c r="AF186" s="33"/>
      <c r="AG186" s="33"/>
      <c r="AH186" s="33"/>
      <c r="AI186" s="33"/>
      <c r="AJ186" s="33"/>
      <c r="AK186" s="33"/>
      <c r="AL186" s="33"/>
      <c r="AM186" s="171"/>
      <c r="AN186" s="66" t="s">
        <v>1227</v>
      </c>
      <c r="AO186" s="67"/>
      <c r="AP186" s="67"/>
      <c r="AQ186" s="67"/>
      <c r="AR186" s="67"/>
      <c r="AS186" s="67"/>
      <c r="AT186" s="184"/>
      <c r="AU186" s="185" t="s">
        <v>437</v>
      </c>
      <c r="AV186" s="67"/>
      <c r="AW186" s="184"/>
      <c r="AX186" s="169" t="s">
        <v>1276</v>
      </c>
      <c r="AY186" s="33"/>
      <c r="AZ186" s="33"/>
      <c r="BA186" s="33"/>
      <c r="BB186" s="33"/>
      <c r="BC186" s="33"/>
      <c r="BD186" s="33"/>
      <c r="BE186" s="33"/>
      <c r="BF186" s="33"/>
      <c r="BG186" s="33"/>
      <c r="BH186" s="33"/>
      <c r="BI186" s="33"/>
      <c r="BJ186" s="171"/>
    </row>
    <row r="187" spans="2:62" ht="16.5">
      <c r="B187" s="66"/>
      <c r="C187" s="67"/>
      <c r="D187" s="67"/>
      <c r="E187" s="67"/>
      <c r="F187" s="67"/>
      <c r="G187" s="67"/>
      <c r="H187" s="184"/>
      <c r="I187" s="185"/>
      <c r="J187" s="67"/>
      <c r="K187" s="184"/>
      <c r="L187" s="185"/>
      <c r="M187" s="67"/>
      <c r="N187" s="184"/>
      <c r="O187" s="185"/>
      <c r="P187" s="67"/>
      <c r="Q187" s="184"/>
      <c r="R187" s="185"/>
      <c r="S187" s="67"/>
      <c r="T187" s="67"/>
      <c r="U187" s="67"/>
      <c r="V187" s="67"/>
      <c r="W187" s="67"/>
      <c r="X187" s="67"/>
      <c r="Y187" s="67"/>
      <c r="Z187" s="67"/>
      <c r="AA187" s="184"/>
      <c r="AB187" s="169"/>
      <c r="AC187" s="33"/>
      <c r="AD187" s="33"/>
      <c r="AE187" s="33"/>
      <c r="AF187" s="33"/>
      <c r="AG187" s="33"/>
      <c r="AH187" s="33"/>
      <c r="AI187" s="33"/>
      <c r="AJ187" s="33"/>
      <c r="AK187" s="33"/>
      <c r="AL187" s="33"/>
      <c r="AM187" s="171"/>
      <c r="AN187" s="66" t="s">
        <v>1228</v>
      </c>
      <c r="AO187" s="67"/>
      <c r="AP187" s="67"/>
      <c r="AQ187" s="67"/>
      <c r="AR187" s="67"/>
      <c r="AS187" s="67"/>
      <c r="AT187" s="184"/>
      <c r="AU187" s="185" t="s">
        <v>437</v>
      </c>
      <c r="AV187" s="67"/>
      <c r="AW187" s="184"/>
      <c r="AX187" s="169" t="s">
        <v>1277</v>
      </c>
      <c r="AY187" s="33"/>
      <c r="AZ187" s="33"/>
      <c r="BA187" s="33"/>
      <c r="BB187" s="33"/>
      <c r="BC187" s="33"/>
      <c r="BD187" s="33"/>
      <c r="BE187" s="33"/>
      <c r="BF187" s="33"/>
      <c r="BG187" s="33"/>
      <c r="BH187" s="33"/>
      <c r="BI187" s="33"/>
      <c r="BJ187" s="171"/>
    </row>
    <row r="188" spans="2:62" ht="16.5">
      <c r="B188" s="66"/>
      <c r="C188" s="67"/>
      <c r="D188" s="67"/>
      <c r="E188" s="67"/>
      <c r="F188" s="67"/>
      <c r="G188" s="67"/>
      <c r="H188" s="184"/>
      <c r="I188" s="185"/>
      <c r="J188" s="67"/>
      <c r="K188" s="184"/>
      <c r="L188" s="185"/>
      <c r="M188" s="67"/>
      <c r="N188" s="184"/>
      <c r="O188" s="185"/>
      <c r="P188" s="67"/>
      <c r="Q188" s="184"/>
      <c r="R188" s="185"/>
      <c r="S188" s="67"/>
      <c r="T188" s="67"/>
      <c r="U188" s="67"/>
      <c r="V188" s="67"/>
      <c r="W188" s="67"/>
      <c r="X188" s="67"/>
      <c r="Y188" s="67"/>
      <c r="Z188" s="67"/>
      <c r="AA188" s="184"/>
      <c r="AB188" s="169"/>
      <c r="AC188" s="33"/>
      <c r="AD188" s="33"/>
      <c r="AE188" s="33"/>
      <c r="AF188" s="33"/>
      <c r="AG188" s="33"/>
      <c r="AH188" s="33"/>
      <c r="AI188" s="33"/>
      <c r="AJ188" s="33"/>
      <c r="AK188" s="33"/>
      <c r="AL188" s="33"/>
      <c r="AM188" s="171"/>
      <c r="AN188" s="66" t="s">
        <v>1229</v>
      </c>
      <c r="AO188" s="67"/>
      <c r="AP188" s="67"/>
      <c r="AQ188" s="67"/>
      <c r="AR188" s="67"/>
      <c r="AS188" s="67"/>
      <c r="AT188" s="184"/>
      <c r="AU188" s="185" t="s">
        <v>437</v>
      </c>
      <c r="AV188" s="67"/>
      <c r="AW188" s="184"/>
      <c r="AX188" s="169" t="s">
        <v>1278</v>
      </c>
      <c r="AY188" s="33"/>
      <c r="AZ188" s="33"/>
      <c r="BA188" s="33"/>
      <c r="BB188" s="33"/>
      <c r="BC188" s="33"/>
      <c r="BD188" s="33"/>
      <c r="BE188" s="33"/>
      <c r="BF188" s="33"/>
      <c r="BG188" s="33"/>
      <c r="BH188" s="33"/>
      <c r="BI188" s="33"/>
      <c r="BJ188" s="171"/>
    </row>
    <row r="189" spans="2:62" ht="16.5">
      <c r="B189" s="66"/>
      <c r="C189" s="67"/>
      <c r="D189" s="67"/>
      <c r="E189" s="67"/>
      <c r="F189" s="67"/>
      <c r="G189" s="67"/>
      <c r="H189" s="184"/>
      <c r="I189" s="185"/>
      <c r="J189" s="67"/>
      <c r="K189" s="184"/>
      <c r="L189" s="185"/>
      <c r="M189" s="67"/>
      <c r="N189" s="184"/>
      <c r="O189" s="185"/>
      <c r="P189" s="67"/>
      <c r="Q189" s="184"/>
      <c r="R189" s="185"/>
      <c r="S189" s="67"/>
      <c r="T189" s="67"/>
      <c r="U189" s="67"/>
      <c r="V189" s="67"/>
      <c r="W189" s="67"/>
      <c r="X189" s="67"/>
      <c r="Y189" s="67"/>
      <c r="Z189" s="67"/>
      <c r="AA189" s="184"/>
      <c r="AB189" s="169"/>
      <c r="AC189" s="33"/>
      <c r="AD189" s="33"/>
      <c r="AE189" s="33"/>
      <c r="AF189" s="33"/>
      <c r="AG189" s="33"/>
      <c r="AH189" s="33"/>
      <c r="AI189" s="33"/>
      <c r="AJ189" s="33"/>
      <c r="AK189" s="33"/>
      <c r="AL189" s="33"/>
      <c r="AM189" s="171"/>
      <c r="AN189" s="66" t="s">
        <v>1230</v>
      </c>
      <c r="AO189" s="67"/>
      <c r="AP189" s="67"/>
      <c r="AQ189" s="67"/>
      <c r="AR189" s="67"/>
      <c r="AS189" s="67"/>
      <c r="AT189" s="184"/>
      <c r="AU189" s="185" t="s">
        <v>437</v>
      </c>
      <c r="AV189" s="67"/>
      <c r="AW189" s="184"/>
      <c r="AX189" s="169" t="s">
        <v>1279</v>
      </c>
      <c r="AY189" s="33"/>
      <c r="AZ189" s="33"/>
      <c r="BA189" s="33"/>
      <c r="BB189" s="33"/>
      <c r="BC189" s="33"/>
      <c r="BD189" s="33"/>
      <c r="BE189" s="33"/>
      <c r="BF189" s="33"/>
      <c r="BG189" s="33"/>
      <c r="BH189" s="33"/>
      <c r="BI189" s="33"/>
      <c r="BJ189" s="171"/>
    </row>
    <row r="190" spans="2:62" ht="16.5">
      <c r="B190" s="66"/>
      <c r="C190" s="67"/>
      <c r="D190" s="67"/>
      <c r="E190" s="67"/>
      <c r="F190" s="67"/>
      <c r="G190" s="67"/>
      <c r="H190" s="184"/>
      <c r="I190" s="185"/>
      <c r="J190" s="67"/>
      <c r="K190" s="184"/>
      <c r="L190" s="185"/>
      <c r="M190" s="67"/>
      <c r="N190" s="184"/>
      <c r="O190" s="185"/>
      <c r="P190" s="67"/>
      <c r="Q190" s="184"/>
      <c r="R190" s="185"/>
      <c r="S190" s="67"/>
      <c r="T190" s="67"/>
      <c r="U190" s="67"/>
      <c r="V190" s="67"/>
      <c r="W190" s="67"/>
      <c r="X190" s="67"/>
      <c r="Y190" s="67"/>
      <c r="Z190" s="67"/>
      <c r="AA190" s="184"/>
      <c r="AB190" s="169"/>
      <c r="AC190" s="33"/>
      <c r="AD190" s="33"/>
      <c r="AE190" s="33"/>
      <c r="AF190" s="33"/>
      <c r="AG190" s="33"/>
      <c r="AH190" s="33"/>
      <c r="AI190" s="33"/>
      <c r="AJ190" s="33"/>
      <c r="AK190" s="33"/>
      <c r="AL190" s="33"/>
      <c r="AM190" s="171"/>
      <c r="AN190" s="66" t="s">
        <v>1231</v>
      </c>
      <c r="AO190" s="67"/>
      <c r="AP190" s="67"/>
      <c r="AQ190" s="67"/>
      <c r="AR190" s="67"/>
      <c r="AS190" s="67"/>
      <c r="AT190" s="184"/>
      <c r="AU190" s="185" t="s">
        <v>437</v>
      </c>
      <c r="AV190" s="67"/>
      <c r="AW190" s="184"/>
      <c r="AX190" s="169" t="s">
        <v>1280</v>
      </c>
      <c r="AY190" s="33"/>
      <c r="AZ190" s="33"/>
      <c r="BA190" s="33"/>
      <c r="BB190" s="33"/>
      <c r="BC190" s="33"/>
      <c r="BD190" s="33"/>
      <c r="BE190" s="33"/>
      <c r="BF190" s="33"/>
      <c r="BG190" s="33"/>
      <c r="BH190" s="33"/>
      <c r="BI190" s="33"/>
      <c r="BJ190" s="171"/>
    </row>
    <row r="191" spans="2:62" ht="16.5">
      <c r="B191" s="66"/>
      <c r="C191" s="67"/>
      <c r="D191" s="67"/>
      <c r="E191" s="67"/>
      <c r="F191" s="67"/>
      <c r="G191" s="67"/>
      <c r="H191" s="184"/>
      <c r="I191" s="185"/>
      <c r="J191" s="67"/>
      <c r="K191" s="184"/>
      <c r="L191" s="185"/>
      <c r="M191" s="67"/>
      <c r="N191" s="184"/>
      <c r="O191" s="185"/>
      <c r="P191" s="67"/>
      <c r="Q191" s="184"/>
      <c r="R191" s="185"/>
      <c r="S191" s="67"/>
      <c r="T191" s="67"/>
      <c r="U191" s="67"/>
      <c r="V191" s="67"/>
      <c r="W191" s="67"/>
      <c r="X191" s="67"/>
      <c r="Y191" s="67"/>
      <c r="Z191" s="67"/>
      <c r="AA191" s="184"/>
      <c r="AB191" s="169"/>
      <c r="AC191" s="33"/>
      <c r="AD191" s="33"/>
      <c r="AE191" s="33"/>
      <c r="AF191" s="33"/>
      <c r="AG191" s="33"/>
      <c r="AH191" s="33"/>
      <c r="AI191" s="33"/>
      <c r="AJ191" s="33"/>
      <c r="AK191" s="33"/>
      <c r="AL191" s="33"/>
      <c r="AM191" s="171"/>
      <c r="AN191" s="66" t="s">
        <v>1232</v>
      </c>
      <c r="AO191" s="67"/>
      <c r="AP191" s="67"/>
      <c r="AQ191" s="67"/>
      <c r="AR191" s="67"/>
      <c r="AS191" s="67"/>
      <c r="AT191" s="184"/>
      <c r="AU191" s="185" t="s">
        <v>437</v>
      </c>
      <c r="AV191" s="67"/>
      <c r="AW191" s="184"/>
      <c r="AX191" s="169" t="s">
        <v>1281</v>
      </c>
      <c r="AY191" s="33"/>
      <c r="AZ191" s="33"/>
      <c r="BA191" s="33"/>
      <c r="BB191" s="33"/>
      <c r="BC191" s="33"/>
      <c r="BD191" s="33"/>
      <c r="BE191" s="33"/>
      <c r="BF191" s="33"/>
      <c r="BG191" s="33"/>
      <c r="BH191" s="33"/>
      <c r="BI191" s="33"/>
      <c r="BJ191" s="171"/>
    </row>
    <row r="192" spans="2:62" ht="16.5">
      <c r="B192" s="66"/>
      <c r="C192" s="67"/>
      <c r="D192" s="67"/>
      <c r="E192" s="67"/>
      <c r="F192" s="67"/>
      <c r="G192" s="67"/>
      <c r="H192" s="184"/>
      <c r="I192" s="185"/>
      <c r="J192" s="67"/>
      <c r="K192" s="184"/>
      <c r="L192" s="185"/>
      <c r="M192" s="67"/>
      <c r="N192" s="184"/>
      <c r="O192" s="185"/>
      <c r="P192" s="67"/>
      <c r="Q192" s="184"/>
      <c r="R192" s="185"/>
      <c r="S192" s="67"/>
      <c r="T192" s="67"/>
      <c r="U192" s="67"/>
      <c r="V192" s="67"/>
      <c r="W192" s="67"/>
      <c r="X192" s="67"/>
      <c r="Y192" s="67"/>
      <c r="Z192" s="67"/>
      <c r="AA192" s="184"/>
      <c r="AB192" s="169"/>
      <c r="AC192" s="33"/>
      <c r="AD192" s="33"/>
      <c r="AE192" s="33"/>
      <c r="AF192" s="33"/>
      <c r="AG192" s="33"/>
      <c r="AH192" s="33"/>
      <c r="AI192" s="33"/>
      <c r="AJ192" s="33"/>
      <c r="AK192" s="33"/>
      <c r="AL192" s="33"/>
      <c r="AM192" s="171"/>
      <c r="AN192" s="66" t="s">
        <v>1233</v>
      </c>
      <c r="AO192" s="67"/>
      <c r="AP192" s="67"/>
      <c r="AQ192" s="67"/>
      <c r="AR192" s="67"/>
      <c r="AS192" s="67"/>
      <c r="AT192" s="184"/>
      <c r="AU192" s="185" t="s">
        <v>437</v>
      </c>
      <c r="AV192" s="67"/>
      <c r="AW192" s="184"/>
      <c r="AX192" s="169" t="s">
        <v>1282</v>
      </c>
      <c r="AY192" s="33"/>
      <c r="AZ192" s="33"/>
      <c r="BA192" s="33"/>
      <c r="BB192" s="33"/>
      <c r="BC192" s="33"/>
      <c r="BD192" s="33"/>
      <c r="BE192" s="33"/>
      <c r="BF192" s="33"/>
      <c r="BG192" s="33"/>
      <c r="BH192" s="33"/>
      <c r="BI192" s="33"/>
      <c r="BJ192" s="171"/>
    </row>
    <row r="193" spans="2:62" ht="16.5">
      <c r="B193" s="66"/>
      <c r="C193" s="67"/>
      <c r="D193" s="67"/>
      <c r="E193" s="67"/>
      <c r="F193" s="67"/>
      <c r="G193" s="67"/>
      <c r="H193" s="184"/>
      <c r="I193" s="185"/>
      <c r="J193" s="67"/>
      <c r="K193" s="184"/>
      <c r="L193" s="185"/>
      <c r="M193" s="67"/>
      <c r="N193" s="184"/>
      <c r="O193" s="185"/>
      <c r="P193" s="67"/>
      <c r="Q193" s="184"/>
      <c r="R193" s="185"/>
      <c r="S193" s="67"/>
      <c r="T193" s="67"/>
      <c r="U193" s="67"/>
      <c r="V193" s="67"/>
      <c r="W193" s="67"/>
      <c r="X193" s="67"/>
      <c r="Y193" s="67"/>
      <c r="Z193" s="67"/>
      <c r="AA193" s="184"/>
      <c r="AB193" s="169"/>
      <c r="AC193" s="33"/>
      <c r="AD193" s="33"/>
      <c r="AE193" s="33"/>
      <c r="AF193" s="33"/>
      <c r="AG193" s="33"/>
      <c r="AH193" s="33"/>
      <c r="AI193" s="33"/>
      <c r="AJ193" s="33"/>
      <c r="AK193" s="33"/>
      <c r="AL193" s="33"/>
      <c r="AM193" s="171"/>
      <c r="AN193" s="66" t="s">
        <v>1234</v>
      </c>
      <c r="AO193" s="67"/>
      <c r="AP193" s="67"/>
      <c r="AQ193" s="67"/>
      <c r="AR193" s="67"/>
      <c r="AS193" s="67"/>
      <c r="AT193" s="184"/>
      <c r="AU193" s="185" t="s">
        <v>437</v>
      </c>
      <c r="AV193" s="67"/>
      <c r="AW193" s="184"/>
      <c r="AX193" s="169" t="s">
        <v>1283</v>
      </c>
      <c r="AY193" s="33"/>
      <c r="AZ193" s="33"/>
      <c r="BA193" s="33"/>
      <c r="BB193" s="33"/>
      <c r="BC193" s="33"/>
      <c r="BD193" s="33"/>
      <c r="BE193" s="33"/>
      <c r="BF193" s="33"/>
      <c r="BG193" s="33"/>
      <c r="BH193" s="33"/>
      <c r="BI193" s="33"/>
      <c r="BJ193" s="171"/>
    </row>
    <row r="194" spans="2:62" ht="16.5">
      <c r="B194" s="66"/>
      <c r="C194" s="67"/>
      <c r="D194" s="67"/>
      <c r="E194" s="67"/>
      <c r="F194" s="67"/>
      <c r="G194" s="67"/>
      <c r="H194" s="184"/>
      <c r="I194" s="185"/>
      <c r="J194" s="67"/>
      <c r="K194" s="184"/>
      <c r="L194" s="185"/>
      <c r="M194" s="67"/>
      <c r="N194" s="184"/>
      <c r="O194" s="185"/>
      <c r="P194" s="67"/>
      <c r="Q194" s="184"/>
      <c r="R194" s="185"/>
      <c r="S194" s="67"/>
      <c r="T194" s="67"/>
      <c r="U194" s="67"/>
      <c r="V194" s="67"/>
      <c r="W194" s="67"/>
      <c r="X194" s="67"/>
      <c r="Y194" s="67"/>
      <c r="Z194" s="67"/>
      <c r="AA194" s="184"/>
      <c r="AB194" s="169"/>
      <c r="AC194" s="33"/>
      <c r="AD194" s="33"/>
      <c r="AE194" s="33"/>
      <c r="AF194" s="33"/>
      <c r="AG194" s="33"/>
      <c r="AH194" s="33"/>
      <c r="AI194" s="33"/>
      <c r="AJ194" s="33"/>
      <c r="AK194" s="33"/>
      <c r="AL194" s="33"/>
      <c r="AM194" s="171"/>
      <c r="AN194" s="66" t="s">
        <v>1235</v>
      </c>
      <c r="AO194" s="67"/>
      <c r="AP194" s="67"/>
      <c r="AQ194" s="67"/>
      <c r="AR194" s="67"/>
      <c r="AS194" s="67"/>
      <c r="AT194" s="184"/>
      <c r="AU194" s="185" t="s">
        <v>437</v>
      </c>
      <c r="AV194" s="67"/>
      <c r="AW194" s="184"/>
      <c r="AX194" s="169" t="s">
        <v>1284</v>
      </c>
      <c r="AY194" s="33"/>
      <c r="AZ194" s="33"/>
      <c r="BA194" s="33"/>
      <c r="BB194" s="33"/>
      <c r="BC194" s="33"/>
      <c r="BD194" s="33"/>
      <c r="BE194" s="33"/>
      <c r="BF194" s="33"/>
      <c r="BG194" s="33"/>
      <c r="BH194" s="33"/>
      <c r="BI194" s="33"/>
      <c r="BJ194" s="171"/>
    </row>
    <row r="195" spans="2:62" ht="16.5">
      <c r="B195" s="66"/>
      <c r="C195" s="67"/>
      <c r="D195" s="67"/>
      <c r="E195" s="67"/>
      <c r="F195" s="67"/>
      <c r="G195" s="67"/>
      <c r="H195" s="184"/>
      <c r="I195" s="185"/>
      <c r="J195" s="67"/>
      <c r="K195" s="184"/>
      <c r="L195" s="185"/>
      <c r="M195" s="67"/>
      <c r="N195" s="184"/>
      <c r="O195" s="185"/>
      <c r="P195" s="67"/>
      <c r="Q195" s="184"/>
      <c r="R195" s="185"/>
      <c r="S195" s="67"/>
      <c r="T195" s="67"/>
      <c r="U195" s="67"/>
      <c r="V195" s="67"/>
      <c r="W195" s="67"/>
      <c r="X195" s="67"/>
      <c r="Y195" s="67"/>
      <c r="Z195" s="67"/>
      <c r="AA195" s="184"/>
      <c r="AB195" s="169"/>
      <c r="AC195" s="33"/>
      <c r="AD195" s="33"/>
      <c r="AE195" s="33"/>
      <c r="AF195" s="33"/>
      <c r="AG195" s="33"/>
      <c r="AH195" s="33"/>
      <c r="AI195" s="33"/>
      <c r="AJ195" s="33"/>
      <c r="AK195" s="33"/>
      <c r="AL195" s="33"/>
      <c r="AM195" s="171"/>
      <c r="AN195" s="66" t="s">
        <v>1236</v>
      </c>
      <c r="AO195" s="67"/>
      <c r="AP195" s="67"/>
      <c r="AQ195" s="67"/>
      <c r="AR195" s="67"/>
      <c r="AS195" s="67"/>
      <c r="AT195" s="184"/>
      <c r="AU195" s="185" t="s">
        <v>437</v>
      </c>
      <c r="AV195" s="67"/>
      <c r="AW195" s="184"/>
      <c r="AX195" s="169" t="s">
        <v>1285</v>
      </c>
      <c r="AY195" s="33"/>
      <c r="AZ195" s="33"/>
      <c r="BA195" s="33"/>
      <c r="BB195" s="33"/>
      <c r="BC195" s="33"/>
      <c r="BD195" s="33"/>
      <c r="BE195" s="33"/>
      <c r="BF195" s="33"/>
      <c r="BG195" s="33"/>
      <c r="BH195" s="33"/>
      <c r="BI195" s="33"/>
      <c r="BJ195" s="171"/>
    </row>
    <row r="196" spans="2:62" ht="16.5">
      <c r="B196" s="66"/>
      <c r="C196" s="67"/>
      <c r="D196" s="67"/>
      <c r="E196" s="67"/>
      <c r="F196" s="67"/>
      <c r="G196" s="67"/>
      <c r="H196" s="184"/>
      <c r="I196" s="185"/>
      <c r="J196" s="67"/>
      <c r="K196" s="184"/>
      <c r="L196" s="185"/>
      <c r="M196" s="67"/>
      <c r="N196" s="184"/>
      <c r="O196" s="185"/>
      <c r="P196" s="67"/>
      <c r="Q196" s="184"/>
      <c r="R196" s="185"/>
      <c r="S196" s="67"/>
      <c r="T196" s="67"/>
      <c r="U196" s="67"/>
      <c r="V196" s="67"/>
      <c r="W196" s="67"/>
      <c r="X196" s="67"/>
      <c r="Y196" s="67"/>
      <c r="Z196" s="67"/>
      <c r="AA196" s="184"/>
      <c r="AB196" s="169"/>
      <c r="AC196" s="33"/>
      <c r="AD196" s="33"/>
      <c r="AE196" s="33"/>
      <c r="AF196" s="33"/>
      <c r="AG196" s="33"/>
      <c r="AH196" s="33"/>
      <c r="AI196" s="33"/>
      <c r="AJ196" s="33"/>
      <c r="AK196" s="33"/>
      <c r="AL196" s="33"/>
      <c r="AM196" s="171"/>
      <c r="AN196" s="66" t="s">
        <v>1237</v>
      </c>
      <c r="AO196" s="67"/>
      <c r="AP196" s="67"/>
      <c r="AQ196" s="67"/>
      <c r="AR196" s="67"/>
      <c r="AS196" s="67"/>
      <c r="AT196" s="184"/>
      <c r="AU196" s="185" t="s">
        <v>437</v>
      </c>
      <c r="AV196" s="67"/>
      <c r="AW196" s="184"/>
      <c r="AX196" s="169" t="s">
        <v>1286</v>
      </c>
      <c r="AY196" s="33"/>
      <c r="AZ196" s="33"/>
      <c r="BA196" s="33"/>
      <c r="BB196" s="33"/>
      <c r="BC196" s="33"/>
      <c r="BD196" s="33"/>
      <c r="BE196" s="33"/>
      <c r="BF196" s="33"/>
      <c r="BG196" s="33"/>
      <c r="BH196" s="33"/>
      <c r="BI196" s="33"/>
      <c r="BJ196" s="171"/>
    </row>
    <row r="197" spans="2:62" ht="16.5">
      <c r="B197" s="66"/>
      <c r="C197" s="67"/>
      <c r="D197" s="67"/>
      <c r="E197" s="67"/>
      <c r="F197" s="67"/>
      <c r="G197" s="67"/>
      <c r="H197" s="184"/>
      <c r="I197" s="185"/>
      <c r="J197" s="67"/>
      <c r="K197" s="184"/>
      <c r="L197" s="185"/>
      <c r="M197" s="67"/>
      <c r="N197" s="184"/>
      <c r="O197" s="185"/>
      <c r="P197" s="67"/>
      <c r="Q197" s="184"/>
      <c r="R197" s="185"/>
      <c r="S197" s="67"/>
      <c r="T197" s="67"/>
      <c r="U197" s="67"/>
      <c r="V197" s="67"/>
      <c r="W197" s="67"/>
      <c r="X197" s="67"/>
      <c r="Y197" s="67"/>
      <c r="Z197" s="67"/>
      <c r="AA197" s="184"/>
      <c r="AB197" s="169"/>
      <c r="AC197" s="33"/>
      <c r="AD197" s="33"/>
      <c r="AE197" s="33"/>
      <c r="AF197" s="33"/>
      <c r="AG197" s="33"/>
      <c r="AH197" s="33"/>
      <c r="AI197" s="33"/>
      <c r="AJ197" s="33"/>
      <c r="AK197" s="33"/>
      <c r="AL197" s="33"/>
      <c r="AM197" s="171"/>
      <c r="AN197" s="66" t="s">
        <v>1238</v>
      </c>
      <c r="AO197" s="67"/>
      <c r="AP197" s="67"/>
      <c r="AQ197" s="67"/>
      <c r="AR197" s="67"/>
      <c r="AS197" s="67"/>
      <c r="AT197" s="184"/>
      <c r="AU197" s="185" t="s">
        <v>437</v>
      </c>
      <c r="AV197" s="67"/>
      <c r="AW197" s="184"/>
      <c r="AX197" s="169" t="s">
        <v>1287</v>
      </c>
      <c r="AY197" s="33"/>
      <c r="AZ197" s="33"/>
      <c r="BA197" s="33"/>
      <c r="BB197" s="33"/>
      <c r="BC197" s="33"/>
      <c r="BD197" s="33"/>
      <c r="BE197" s="33"/>
      <c r="BF197" s="33"/>
      <c r="BG197" s="33"/>
      <c r="BH197" s="33"/>
      <c r="BI197" s="33"/>
      <c r="BJ197" s="171"/>
    </row>
    <row r="198" spans="2:62" ht="16.5">
      <c r="B198" s="66"/>
      <c r="C198" s="67"/>
      <c r="D198" s="67"/>
      <c r="E198" s="67"/>
      <c r="F198" s="67"/>
      <c r="G198" s="67"/>
      <c r="H198" s="184"/>
      <c r="I198" s="185"/>
      <c r="J198" s="67"/>
      <c r="K198" s="184"/>
      <c r="L198" s="185"/>
      <c r="M198" s="67"/>
      <c r="N198" s="184"/>
      <c r="O198" s="185"/>
      <c r="P198" s="67"/>
      <c r="Q198" s="184"/>
      <c r="R198" s="185"/>
      <c r="S198" s="67"/>
      <c r="T198" s="67"/>
      <c r="U198" s="67"/>
      <c r="V198" s="67"/>
      <c r="W198" s="67"/>
      <c r="X198" s="67"/>
      <c r="Y198" s="67"/>
      <c r="Z198" s="67"/>
      <c r="AA198" s="184"/>
      <c r="AB198" s="169"/>
      <c r="AC198" s="33"/>
      <c r="AD198" s="33"/>
      <c r="AE198" s="33"/>
      <c r="AF198" s="33"/>
      <c r="AG198" s="33"/>
      <c r="AH198" s="33"/>
      <c r="AI198" s="33"/>
      <c r="AJ198" s="33"/>
      <c r="AK198" s="33"/>
      <c r="AL198" s="33"/>
      <c r="AM198" s="171"/>
      <c r="AN198" s="66" t="s">
        <v>1239</v>
      </c>
      <c r="AO198" s="67"/>
      <c r="AP198" s="67"/>
      <c r="AQ198" s="67"/>
      <c r="AR198" s="67"/>
      <c r="AS198" s="67"/>
      <c r="AT198" s="184"/>
      <c r="AU198" s="185" t="s">
        <v>437</v>
      </c>
      <c r="AV198" s="67"/>
      <c r="AW198" s="184"/>
      <c r="AX198" s="169" t="s">
        <v>1288</v>
      </c>
      <c r="AY198" s="33"/>
      <c r="AZ198" s="33"/>
      <c r="BA198" s="33"/>
      <c r="BB198" s="33"/>
      <c r="BC198" s="33"/>
      <c r="BD198" s="33"/>
      <c r="BE198" s="33"/>
      <c r="BF198" s="33"/>
      <c r="BG198" s="33"/>
      <c r="BH198" s="33"/>
      <c r="BI198" s="33"/>
      <c r="BJ198" s="171"/>
    </row>
    <row r="199" spans="2:62" ht="16.5">
      <c r="B199" s="66"/>
      <c r="C199" s="67"/>
      <c r="D199" s="67"/>
      <c r="E199" s="67"/>
      <c r="F199" s="67"/>
      <c r="G199" s="67"/>
      <c r="H199" s="184"/>
      <c r="I199" s="185"/>
      <c r="J199" s="67"/>
      <c r="K199" s="184"/>
      <c r="L199" s="185"/>
      <c r="M199" s="67"/>
      <c r="N199" s="184"/>
      <c r="O199" s="185"/>
      <c r="P199" s="67"/>
      <c r="Q199" s="184"/>
      <c r="R199" s="185"/>
      <c r="S199" s="67"/>
      <c r="T199" s="67"/>
      <c r="U199" s="67"/>
      <c r="V199" s="67"/>
      <c r="W199" s="67"/>
      <c r="X199" s="67"/>
      <c r="Y199" s="67"/>
      <c r="Z199" s="67"/>
      <c r="AA199" s="184"/>
      <c r="AB199" s="169"/>
      <c r="AC199" s="33"/>
      <c r="AD199" s="33"/>
      <c r="AE199" s="33"/>
      <c r="AF199" s="33"/>
      <c r="AG199" s="33"/>
      <c r="AH199" s="33"/>
      <c r="AI199" s="33"/>
      <c r="AJ199" s="33"/>
      <c r="AK199" s="33"/>
      <c r="AL199" s="33"/>
      <c r="AM199" s="171"/>
      <c r="AN199" s="66" t="s">
        <v>1240</v>
      </c>
      <c r="AO199" s="67"/>
      <c r="AP199" s="67"/>
      <c r="AQ199" s="67"/>
      <c r="AR199" s="67"/>
      <c r="AS199" s="67"/>
      <c r="AT199" s="184"/>
      <c r="AU199" s="185" t="s">
        <v>437</v>
      </c>
      <c r="AV199" s="67"/>
      <c r="AW199" s="184"/>
      <c r="AX199" s="169" t="s">
        <v>1289</v>
      </c>
      <c r="AY199" s="33"/>
      <c r="AZ199" s="33"/>
      <c r="BA199" s="33"/>
      <c r="BB199" s="33"/>
      <c r="BC199" s="33"/>
      <c r="BD199" s="33"/>
      <c r="BE199" s="33"/>
      <c r="BF199" s="33"/>
      <c r="BG199" s="33"/>
      <c r="BH199" s="33"/>
      <c r="BI199" s="33"/>
      <c r="BJ199" s="171"/>
    </row>
    <row r="200" spans="2:62" ht="16.5">
      <c r="B200" s="66"/>
      <c r="C200" s="67"/>
      <c r="D200" s="67"/>
      <c r="E200" s="67"/>
      <c r="F200" s="67"/>
      <c r="G200" s="67"/>
      <c r="H200" s="184"/>
      <c r="I200" s="185"/>
      <c r="J200" s="67"/>
      <c r="K200" s="184"/>
      <c r="L200" s="185"/>
      <c r="M200" s="67"/>
      <c r="N200" s="184"/>
      <c r="O200" s="185"/>
      <c r="P200" s="67"/>
      <c r="Q200" s="184"/>
      <c r="R200" s="185"/>
      <c r="S200" s="67"/>
      <c r="T200" s="67"/>
      <c r="U200" s="67"/>
      <c r="V200" s="67"/>
      <c r="W200" s="67"/>
      <c r="X200" s="67"/>
      <c r="Y200" s="67"/>
      <c r="Z200" s="67"/>
      <c r="AA200" s="184"/>
      <c r="AB200" s="169"/>
      <c r="AC200" s="33"/>
      <c r="AD200" s="33"/>
      <c r="AE200" s="33"/>
      <c r="AF200" s="33"/>
      <c r="AG200" s="33"/>
      <c r="AH200" s="33"/>
      <c r="AI200" s="33"/>
      <c r="AJ200" s="33"/>
      <c r="AK200" s="33"/>
      <c r="AL200" s="33"/>
      <c r="AM200" s="171"/>
      <c r="AN200" s="66" t="s">
        <v>1241</v>
      </c>
      <c r="AO200" s="67"/>
      <c r="AP200" s="67"/>
      <c r="AQ200" s="67"/>
      <c r="AR200" s="67"/>
      <c r="AS200" s="67"/>
      <c r="AT200" s="184"/>
      <c r="AU200" s="185" t="s">
        <v>437</v>
      </c>
      <c r="AV200" s="67"/>
      <c r="AW200" s="184"/>
      <c r="AX200" s="169" t="s">
        <v>1290</v>
      </c>
      <c r="AY200" s="33"/>
      <c r="AZ200" s="33"/>
      <c r="BA200" s="33"/>
      <c r="BB200" s="33"/>
      <c r="BC200" s="33"/>
      <c r="BD200" s="33"/>
      <c r="BE200" s="33"/>
      <c r="BF200" s="33"/>
      <c r="BG200" s="33"/>
      <c r="BH200" s="33"/>
      <c r="BI200" s="33"/>
      <c r="BJ200" s="171"/>
    </row>
    <row r="201" spans="2:62" ht="16.5">
      <c r="B201" s="203"/>
      <c r="C201" s="204"/>
      <c r="D201" s="204"/>
      <c r="E201" s="204"/>
      <c r="F201" s="204"/>
      <c r="G201" s="204"/>
      <c r="H201" s="205"/>
      <c r="I201" s="206"/>
      <c r="J201" s="204"/>
      <c r="K201" s="205"/>
      <c r="L201" s="206"/>
      <c r="M201" s="204"/>
      <c r="N201" s="205"/>
      <c r="O201" s="206"/>
      <c r="P201" s="204"/>
      <c r="Q201" s="205"/>
      <c r="R201" s="206"/>
      <c r="S201" s="204"/>
      <c r="T201" s="204"/>
      <c r="U201" s="204"/>
      <c r="V201" s="204"/>
      <c r="W201" s="204"/>
      <c r="X201" s="204"/>
      <c r="Y201" s="204"/>
      <c r="Z201" s="204"/>
      <c r="AA201" s="205"/>
      <c r="AB201" s="169"/>
      <c r="AC201" s="33"/>
      <c r="AD201" s="33"/>
      <c r="AE201" s="33"/>
      <c r="AF201" s="33"/>
      <c r="AG201" s="33"/>
      <c r="AH201" s="33"/>
      <c r="AI201" s="33"/>
      <c r="AJ201" s="33"/>
      <c r="AK201" s="33"/>
      <c r="AL201" s="33"/>
      <c r="AM201" s="171"/>
      <c r="AN201" s="66" t="s">
        <v>1242</v>
      </c>
      <c r="AO201" s="67"/>
      <c r="AP201" s="67"/>
      <c r="AQ201" s="67"/>
      <c r="AR201" s="67"/>
      <c r="AS201" s="67"/>
      <c r="AT201" s="184"/>
      <c r="AU201" s="185" t="s">
        <v>437</v>
      </c>
      <c r="AV201" s="67"/>
      <c r="AW201" s="184"/>
      <c r="AX201" s="169" t="s">
        <v>1291</v>
      </c>
      <c r="AY201" s="33"/>
      <c r="AZ201" s="33"/>
      <c r="BA201" s="33"/>
      <c r="BB201" s="33"/>
      <c r="BC201" s="33"/>
      <c r="BD201" s="33"/>
      <c r="BE201" s="33"/>
      <c r="BF201" s="33"/>
      <c r="BG201" s="33"/>
      <c r="BH201" s="33"/>
      <c r="BI201" s="33"/>
      <c r="BJ201" s="171"/>
    </row>
    <row r="202" spans="2:62" ht="16.5">
      <c r="B202" s="66"/>
      <c r="C202" s="67"/>
      <c r="D202" s="67"/>
      <c r="E202" s="67"/>
      <c r="F202" s="67"/>
      <c r="G202" s="67"/>
      <c r="H202" s="184"/>
      <c r="I202" s="185"/>
      <c r="J202" s="67"/>
      <c r="K202" s="184"/>
      <c r="L202" s="185"/>
      <c r="M202" s="67"/>
      <c r="N202" s="184"/>
      <c r="O202" s="185"/>
      <c r="P202" s="67"/>
      <c r="Q202" s="184"/>
      <c r="R202" s="185"/>
      <c r="S202" s="67"/>
      <c r="T202" s="67"/>
      <c r="U202" s="67"/>
      <c r="V202" s="67"/>
      <c r="W202" s="67"/>
      <c r="X202" s="67"/>
      <c r="Y202" s="67"/>
      <c r="Z202" s="67"/>
      <c r="AA202" s="184"/>
      <c r="AB202" s="183"/>
      <c r="AC202" s="33"/>
      <c r="AD202" s="33"/>
      <c r="AE202" s="33"/>
      <c r="AF202" s="33"/>
      <c r="AG202" s="33"/>
      <c r="AH202" s="33"/>
      <c r="AI202" s="33"/>
      <c r="AJ202" s="33"/>
      <c r="AK202" s="33"/>
      <c r="AL202" s="33"/>
      <c r="AM202" s="171"/>
      <c r="AN202" s="66" t="s">
        <v>1243</v>
      </c>
      <c r="AO202" s="67"/>
      <c r="AP202" s="67"/>
      <c r="AQ202" s="67"/>
      <c r="AR202" s="67"/>
      <c r="AS202" s="67"/>
      <c r="AT202" s="184"/>
      <c r="AU202" s="185" t="s">
        <v>437</v>
      </c>
      <c r="AV202" s="67"/>
      <c r="AW202" s="184"/>
      <c r="AX202" s="169" t="s">
        <v>1292</v>
      </c>
      <c r="AY202" s="33"/>
      <c r="AZ202" s="33"/>
      <c r="BA202" s="33"/>
      <c r="BB202" s="33"/>
      <c r="BC202" s="33"/>
      <c r="BD202" s="33"/>
      <c r="BE202" s="33"/>
      <c r="BF202" s="33"/>
      <c r="BG202" s="33"/>
      <c r="BH202" s="33"/>
      <c r="BI202" s="33"/>
      <c r="BJ202" s="171"/>
    </row>
    <row r="203" spans="2:62">
      <c r="B203" s="66"/>
      <c r="C203" s="67"/>
      <c r="D203" s="67"/>
      <c r="E203" s="67"/>
      <c r="F203" s="67"/>
      <c r="G203" s="67"/>
      <c r="H203" s="184"/>
      <c r="I203" s="185"/>
      <c r="J203" s="67"/>
      <c r="K203" s="184"/>
      <c r="L203" s="185"/>
      <c r="M203" s="67"/>
      <c r="N203" s="184"/>
      <c r="O203" s="185"/>
      <c r="P203" s="67"/>
      <c r="Q203" s="184"/>
      <c r="R203" s="185"/>
      <c r="S203" s="67"/>
      <c r="T203" s="67"/>
      <c r="U203" s="67"/>
      <c r="V203" s="67"/>
      <c r="W203" s="67"/>
      <c r="X203" s="67"/>
      <c r="Y203" s="67"/>
      <c r="Z203" s="67"/>
      <c r="AA203" s="184"/>
      <c r="AB203" s="183"/>
      <c r="AC203" s="33"/>
      <c r="AD203" s="33"/>
      <c r="AE203" s="33"/>
      <c r="AF203" s="33"/>
      <c r="AG203" s="33"/>
      <c r="AH203" s="33"/>
      <c r="AI203" s="33"/>
      <c r="AJ203" s="33"/>
      <c r="AK203" s="33"/>
      <c r="AL203" s="33"/>
      <c r="AM203" s="171"/>
      <c r="AN203" s="120"/>
      <c r="AO203" s="121"/>
      <c r="AP203" s="121"/>
      <c r="AQ203" s="121"/>
      <c r="AR203" s="121"/>
      <c r="AS203" s="121"/>
      <c r="AT203" s="187"/>
      <c r="AU203" s="188"/>
      <c r="AV203" s="121"/>
      <c r="AW203" s="187"/>
      <c r="AX203" s="189" t="s">
        <v>1293</v>
      </c>
      <c r="AY203" s="190"/>
      <c r="AZ203" s="190"/>
      <c r="BA203" s="190"/>
      <c r="BB203" s="190"/>
      <c r="BC203" s="190"/>
      <c r="BD203" s="190"/>
      <c r="BE203" s="190"/>
      <c r="BF203" s="190"/>
      <c r="BG203" s="190"/>
      <c r="BH203" s="190"/>
      <c r="BI203" s="190"/>
      <c r="BJ203" s="191"/>
    </row>
    <row r="204" spans="2:62" ht="16.5">
      <c r="B204" s="66"/>
      <c r="C204" s="67"/>
      <c r="D204" s="67"/>
      <c r="E204" s="67"/>
      <c r="F204" s="67"/>
      <c r="G204" s="67"/>
      <c r="H204" s="184"/>
      <c r="I204" s="185"/>
      <c r="J204" s="67"/>
      <c r="K204" s="184"/>
      <c r="L204" s="185"/>
      <c r="M204" s="67"/>
      <c r="N204" s="184"/>
      <c r="O204" s="185"/>
      <c r="P204" s="67"/>
      <c r="Q204" s="184"/>
      <c r="R204" s="185"/>
      <c r="S204" s="67"/>
      <c r="T204" s="67"/>
      <c r="U204" s="67"/>
      <c r="V204" s="67"/>
      <c r="W204" s="67"/>
      <c r="X204" s="67"/>
      <c r="Y204" s="67"/>
      <c r="Z204" s="67"/>
      <c r="AA204" s="184"/>
      <c r="AB204" s="183"/>
      <c r="AC204" s="33"/>
      <c r="AD204" s="33"/>
      <c r="AE204" s="33"/>
      <c r="AF204" s="33"/>
      <c r="AG204" s="33"/>
      <c r="AH204" s="33"/>
      <c r="AI204" s="33"/>
      <c r="AJ204" s="33"/>
      <c r="AK204" s="33"/>
      <c r="AL204" s="33"/>
      <c r="AM204" s="171"/>
      <c r="AN204" s="131" t="s">
        <v>1193</v>
      </c>
      <c r="AO204" s="132"/>
      <c r="AP204" s="132"/>
      <c r="AQ204" s="132"/>
      <c r="AR204" s="132"/>
      <c r="AS204" s="132"/>
      <c r="AT204" s="132"/>
      <c r="AU204" s="132"/>
      <c r="AV204" s="132"/>
      <c r="AW204" s="132"/>
      <c r="AX204" s="132"/>
      <c r="AY204" s="132"/>
      <c r="AZ204" s="132"/>
      <c r="BA204" s="132"/>
      <c r="BB204" s="132"/>
      <c r="BC204" s="132"/>
      <c r="BD204" s="132"/>
      <c r="BE204" s="132"/>
      <c r="BF204" s="132"/>
      <c r="BG204" s="132"/>
      <c r="BH204" s="133"/>
      <c r="BI204" s="133"/>
      <c r="BJ204" s="134"/>
    </row>
    <row r="205" spans="2:62" ht="16.5">
      <c r="B205" s="66"/>
      <c r="C205" s="67"/>
      <c r="D205" s="67"/>
      <c r="E205" s="67"/>
      <c r="F205" s="67"/>
      <c r="G205" s="67"/>
      <c r="H205" s="184"/>
      <c r="I205" s="185"/>
      <c r="J205" s="67"/>
      <c r="K205" s="184"/>
      <c r="L205" s="185"/>
      <c r="M205" s="67"/>
      <c r="N205" s="184"/>
      <c r="O205" s="185"/>
      <c r="P205" s="67"/>
      <c r="Q205" s="184"/>
      <c r="R205" s="185"/>
      <c r="S205" s="67"/>
      <c r="T205" s="67"/>
      <c r="U205" s="67"/>
      <c r="V205" s="67"/>
      <c r="W205" s="67"/>
      <c r="X205" s="67"/>
      <c r="Y205" s="67"/>
      <c r="Z205" s="67"/>
      <c r="AA205" s="184"/>
      <c r="AB205" s="183"/>
      <c r="AC205" s="33"/>
      <c r="AD205" s="33"/>
      <c r="AE205" s="33"/>
      <c r="AF205" s="33"/>
      <c r="AG205" s="33"/>
      <c r="AH205" s="33"/>
      <c r="AI205" s="33"/>
      <c r="AJ205" s="33"/>
      <c r="AK205" s="33"/>
      <c r="AL205" s="33"/>
      <c r="AM205" s="171"/>
      <c r="AN205" s="142"/>
      <c r="AO205" s="143"/>
      <c r="AP205" s="144"/>
      <c r="AQ205" s="143"/>
      <c r="AR205" s="143"/>
      <c r="AS205" s="143"/>
      <c r="AT205" s="143"/>
      <c r="AU205" s="143"/>
      <c r="AV205" s="143"/>
      <c r="AW205" s="143"/>
      <c r="AX205" s="143"/>
      <c r="AY205" s="143"/>
      <c r="AZ205" s="143"/>
      <c r="BA205" s="143"/>
      <c r="BB205" s="143"/>
      <c r="BC205" s="143"/>
      <c r="BD205" s="143"/>
      <c r="BE205" s="143"/>
      <c r="BF205" s="143"/>
      <c r="BG205" s="143"/>
      <c r="BH205" s="143"/>
      <c r="BI205" s="143"/>
      <c r="BJ205" s="145"/>
    </row>
    <row r="206" spans="2:62" ht="16.5">
      <c r="B206" s="66"/>
      <c r="C206" s="67"/>
      <c r="D206" s="67"/>
      <c r="E206" s="67"/>
      <c r="F206" s="67"/>
      <c r="G206" s="67"/>
      <c r="H206" s="184"/>
      <c r="I206" s="185"/>
      <c r="J206" s="67"/>
      <c r="K206" s="184"/>
      <c r="L206" s="185"/>
      <c r="M206" s="67"/>
      <c r="N206" s="184"/>
      <c r="O206" s="185"/>
      <c r="P206" s="67"/>
      <c r="Q206" s="184"/>
      <c r="R206" s="185"/>
      <c r="S206" s="67"/>
      <c r="T206" s="67"/>
      <c r="U206" s="67"/>
      <c r="V206" s="67"/>
      <c r="W206" s="67"/>
      <c r="X206" s="67"/>
      <c r="Y206" s="67"/>
      <c r="Z206" s="67"/>
      <c r="AA206" s="184"/>
      <c r="AB206" s="183"/>
      <c r="AC206" s="33"/>
      <c r="AD206" s="33"/>
      <c r="AE206" s="33"/>
      <c r="AF206" s="33"/>
      <c r="AG206" s="33"/>
      <c r="AH206" s="33"/>
      <c r="AI206" s="33"/>
      <c r="AJ206" s="33"/>
      <c r="AK206" s="33"/>
      <c r="AL206" s="33"/>
      <c r="AM206" s="171"/>
      <c r="AN206" s="158" t="s">
        <v>1196</v>
      </c>
      <c r="AO206" s="159"/>
      <c r="AP206" s="156"/>
      <c r="AQ206" s="160"/>
      <c r="AR206" s="160"/>
      <c r="AS206" s="176"/>
      <c r="AT206" s="177" t="s">
        <v>837</v>
      </c>
      <c r="AU206" s="174"/>
      <c r="AV206" s="174"/>
      <c r="AW206" s="174"/>
      <c r="AX206" s="174"/>
      <c r="AY206" s="174"/>
      <c r="AZ206" s="174"/>
      <c r="BA206" s="174"/>
      <c r="BB206" s="174"/>
      <c r="BC206" s="174"/>
      <c r="BD206" s="174"/>
      <c r="BE206" s="174"/>
      <c r="BF206" s="174"/>
      <c r="BG206" s="174"/>
      <c r="BH206" s="174"/>
      <c r="BI206" s="174"/>
      <c r="BJ206" s="171"/>
    </row>
    <row r="207" spans="2:62" ht="16.5">
      <c r="B207" s="66"/>
      <c r="C207" s="67"/>
      <c r="D207" s="67"/>
      <c r="E207" s="67"/>
      <c r="F207" s="67"/>
      <c r="G207" s="67"/>
      <c r="H207" s="184"/>
      <c r="I207" s="185"/>
      <c r="J207" s="67"/>
      <c r="K207" s="184"/>
      <c r="L207" s="185"/>
      <c r="M207" s="67"/>
      <c r="N207" s="184"/>
      <c r="O207" s="185"/>
      <c r="P207" s="67"/>
      <c r="Q207" s="184"/>
      <c r="R207" s="185"/>
      <c r="S207" s="67"/>
      <c r="T207" s="67"/>
      <c r="U207" s="67"/>
      <c r="V207" s="67"/>
      <c r="W207" s="67"/>
      <c r="X207" s="67"/>
      <c r="Y207" s="67"/>
      <c r="Z207" s="67"/>
      <c r="AA207" s="184"/>
      <c r="AB207" s="183"/>
      <c r="AC207" s="33"/>
      <c r="AD207" s="33"/>
      <c r="AE207" s="33"/>
      <c r="AF207" s="33"/>
      <c r="AG207" s="33"/>
      <c r="AH207" s="33"/>
      <c r="AI207" s="33"/>
      <c r="AJ207" s="33"/>
      <c r="AK207" s="33"/>
      <c r="AL207" s="33"/>
      <c r="AM207" s="171"/>
      <c r="AN207" s="172" t="s">
        <v>1199</v>
      </c>
      <c r="AO207" s="178"/>
      <c r="AP207" s="33"/>
      <c r="AQ207" s="174"/>
      <c r="AR207" s="174"/>
      <c r="AS207" s="179"/>
      <c r="AT207" s="180" t="s">
        <v>1200</v>
      </c>
      <c r="AU207" s="174"/>
      <c r="AV207" s="174"/>
      <c r="AW207" s="174"/>
      <c r="AX207" s="174"/>
      <c r="AY207" s="174"/>
      <c r="AZ207" s="174"/>
      <c r="BA207" s="174"/>
      <c r="BB207" s="174"/>
      <c r="BC207" s="174"/>
      <c r="BD207" s="174"/>
      <c r="BE207" s="174"/>
      <c r="BF207" s="174"/>
      <c r="BG207" s="174"/>
      <c r="BH207" s="174"/>
      <c r="BI207" s="174"/>
      <c r="BJ207" s="171"/>
    </row>
    <row r="208" spans="2:62" ht="16.5">
      <c r="B208" s="66"/>
      <c r="C208" s="67"/>
      <c r="D208" s="67"/>
      <c r="E208" s="67"/>
      <c r="F208" s="67"/>
      <c r="G208" s="67"/>
      <c r="H208" s="184"/>
      <c r="I208" s="185"/>
      <c r="J208" s="67"/>
      <c r="K208" s="184"/>
      <c r="L208" s="185"/>
      <c r="M208" s="67"/>
      <c r="N208" s="184"/>
      <c r="O208" s="185"/>
      <c r="P208" s="67"/>
      <c r="Q208" s="184"/>
      <c r="R208" s="185"/>
      <c r="S208" s="67"/>
      <c r="T208" s="67"/>
      <c r="U208" s="67"/>
      <c r="V208" s="67"/>
      <c r="W208" s="67"/>
      <c r="X208" s="67"/>
      <c r="Y208" s="67"/>
      <c r="Z208" s="67"/>
      <c r="AA208" s="184"/>
      <c r="AB208" s="183"/>
      <c r="AC208" s="33"/>
      <c r="AD208" s="33"/>
      <c r="AE208" s="33"/>
      <c r="AF208" s="33"/>
      <c r="AG208" s="33"/>
      <c r="AH208" s="33"/>
      <c r="AI208" s="33"/>
      <c r="AJ208" s="33"/>
      <c r="AK208" s="33"/>
      <c r="AL208" s="33"/>
      <c r="AM208" s="171"/>
      <c r="AN208" s="172" t="s">
        <v>1199</v>
      </c>
      <c r="AO208" s="178"/>
      <c r="AP208" s="33"/>
      <c r="AQ208" s="174"/>
      <c r="AR208" s="174"/>
      <c r="AS208" s="179"/>
      <c r="AT208" s="180" t="s">
        <v>1202</v>
      </c>
      <c r="AU208" s="174"/>
      <c r="AV208" s="174"/>
      <c r="AW208" s="174"/>
      <c r="AX208" s="174"/>
      <c r="AY208" s="174"/>
      <c r="AZ208" s="174"/>
      <c r="BA208" s="174"/>
      <c r="BB208" s="174"/>
      <c r="BC208" s="174"/>
      <c r="BD208" s="174"/>
      <c r="BE208" s="174"/>
      <c r="BF208" s="174"/>
      <c r="BG208" s="174"/>
      <c r="BH208" s="174"/>
      <c r="BI208" s="174"/>
      <c r="BJ208" s="171"/>
    </row>
    <row r="209" spans="2:62" ht="16.5">
      <c r="B209" s="66"/>
      <c r="C209" s="67"/>
      <c r="D209" s="67"/>
      <c r="E209" s="67"/>
      <c r="F209" s="67"/>
      <c r="G209" s="67"/>
      <c r="H209" s="184"/>
      <c r="I209" s="185"/>
      <c r="J209" s="67"/>
      <c r="K209" s="184"/>
      <c r="L209" s="185"/>
      <c r="M209" s="67"/>
      <c r="N209" s="184"/>
      <c r="O209" s="185"/>
      <c r="P209" s="67"/>
      <c r="Q209" s="184"/>
      <c r="R209" s="185"/>
      <c r="S209" s="67"/>
      <c r="T209" s="67"/>
      <c r="U209" s="67"/>
      <c r="V209" s="67"/>
      <c r="W209" s="67"/>
      <c r="X209" s="67"/>
      <c r="Y209" s="67"/>
      <c r="Z209" s="67"/>
      <c r="AA209" s="184"/>
      <c r="AB209" s="183"/>
      <c r="AC209" s="33"/>
      <c r="AD209" s="33"/>
      <c r="AE209" s="33"/>
      <c r="AF209" s="33"/>
      <c r="AG209" s="33"/>
      <c r="AH209" s="33"/>
      <c r="AI209" s="33"/>
      <c r="AJ209" s="33"/>
      <c r="AK209" s="33"/>
      <c r="AL209" s="33"/>
      <c r="AM209" s="171"/>
      <c r="AN209" s="172" t="s">
        <v>1199</v>
      </c>
      <c r="AO209" s="178"/>
      <c r="AP209" s="33"/>
      <c r="AQ209" s="174"/>
      <c r="AR209" s="174"/>
      <c r="AS209" s="179"/>
      <c r="AT209" s="180" t="s">
        <v>1204</v>
      </c>
      <c r="AU209" s="174"/>
      <c r="AV209" s="174"/>
      <c r="AW209" s="174"/>
      <c r="AX209" s="174"/>
      <c r="AY209" s="174"/>
      <c r="AZ209" s="174"/>
      <c r="BA209" s="174"/>
      <c r="BB209" s="174"/>
      <c r="BC209" s="174"/>
      <c r="BD209" s="174"/>
      <c r="BE209" s="174"/>
      <c r="BF209" s="174"/>
      <c r="BG209" s="174"/>
      <c r="BH209" s="174"/>
      <c r="BI209" s="174"/>
      <c r="BJ209" s="171"/>
    </row>
    <row r="210" spans="2:62" ht="16.5">
      <c r="B210" s="120"/>
      <c r="C210" s="121"/>
      <c r="D210" s="121"/>
      <c r="E210" s="121"/>
      <c r="F210" s="121"/>
      <c r="G210" s="121"/>
      <c r="H210" s="187"/>
      <c r="I210" s="188"/>
      <c r="J210" s="121"/>
      <c r="K210" s="187"/>
      <c r="L210" s="188"/>
      <c r="M210" s="121"/>
      <c r="N210" s="187"/>
      <c r="O210" s="188"/>
      <c r="P210" s="121"/>
      <c r="Q210" s="187"/>
      <c r="R210" s="188"/>
      <c r="S210" s="121"/>
      <c r="T210" s="121"/>
      <c r="U210" s="121"/>
      <c r="V210" s="121"/>
      <c r="W210" s="121"/>
      <c r="X210" s="121"/>
      <c r="Y210" s="121"/>
      <c r="Z210" s="121"/>
      <c r="AA210" s="187"/>
      <c r="AB210" s="189"/>
      <c r="AC210" s="190"/>
      <c r="AD210" s="190"/>
      <c r="AE210" s="190"/>
      <c r="AF210" s="190"/>
      <c r="AG210" s="190"/>
      <c r="AH210" s="190"/>
      <c r="AI210" s="190"/>
      <c r="AJ210" s="190"/>
      <c r="AK210" s="190"/>
      <c r="AL210" s="190"/>
      <c r="AM210" s="191"/>
      <c r="AN210" s="207" t="s">
        <v>1199</v>
      </c>
      <c r="AO210" s="190"/>
      <c r="AP210" s="190"/>
      <c r="AQ210" s="190"/>
      <c r="AR210" s="190"/>
      <c r="AS210" s="193"/>
      <c r="AT210" s="189" t="s">
        <v>1206</v>
      </c>
      <c r="AU210" s="190"/>
      <c r="AV210" s="190"/>
      <c r="AW210" s="190"/>
      <c r="AX210" s="190"/>
      <c r="AY210" s="190"/>
      <c r="AZ210" s="190"/>
      <c r="BA210" s="190"/>
      <c r="BB210" s="190"/>
      <c r="BC210" s="190"/>
      <c r="BD210" s="190"/>
      <c r="BE210" s="190"/>
      <c r="BF210" s="190"/>
      <c r="BG210" s="190"/>
      <c r="BH210" s="190"/>
      <c r="BI210" s="190"/>
      <c r="BJ210" s="191"/>
    </row>
  </sheetData>
  <mergeCells count="46">
    <mergeCell ref="B101:E101"/>
    <mergeCell ref="F101:Z101"/>
    <mergeCell ref="AA101:AE101"/>
    <mergeCell ref="AF101:AJ101"/>
    <mergeCell ref="B102:E102"/>
    <mergeCell ref="F102:Z102"/>
    <mergeCell ref="AA102:AE102"/>
    <mergeCell ref="AF102:AJ102"/>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0" orientation="landscape" horizontalDpi="300" r:id="rId1"/>
  <headerFooter>
    <oddHeader>&amp;R&amp;F</oddHeader>
    <oddFooter>&amp;C&amp;P / &amp;N ページ</oddFooter>
  </headerFooter>
  <drawing r:id="rId2"/>
  <legacy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678A5-2F2A-42DA-8304-A09BC2C15C6A}">
  <dimension ref="A1:BP96"/>
  <sheetViews>
    <sheetView topLeftCell="A6" zoomScale="80" zoomScaleNormal="80" workbookViewId="0">
      <selection activeCell="G8" sqref="G8:X8"/>
    </sheetView>
  </sheetViews>
  <sheetFormatPr defaultRowHeight="15.75"/>
  <cols>
    <col min="1" max="67" width="2.77734375" customWidth="1"/>
  </cols>
  <sheetData>
    <row r="1" spans="1:63" ht="24.95" customHeight="1">
      <c r="A1" s="238" t="s">
        <v>1003</v>
      </c>
      <c r="B1" s="239"/>
      <c r="C1" s="239"/>
      <c r="D1" s="239"/>
      <c r="E1" s="239"/>
      <c r="F1" s="239"/>
      <c r="G1" s="239"/>
      <c r="H1" s="239"/>
      <c r="I1" s="239"/>
      <c r="J1" s="240"/>
      <c r="K1" s="238" t="s">
        <v>1004</v>
      </c>
      <c r="L1" s="239"/>
      <c r="M1" s="239"/>
      <c r="N1" s="239"/>
      <c r="O1" s="239"/>
      <c r="P1" s="239"/>
      <c r="Q1" s="239"/>
      <c r="R1" s="239"/>
      <c r="S1" s="239"/>
      <c r="T1" s="239"/>
      <c r="U1" s="239"/>
      <c r="V1" s="240"/>
      <c r="W1" s="247" t="s">
        <v>1412</v>
      </c>
      <c r="X1" s="248"/>
      <c r="Y1" s="248"/>
      <c r="Z1" s="248"/>
      <c r="AA1" s="248"/>
      <c r="AB1" s="248"/>
      <c r="AC1" s="248"/>
      <c r="AD1" s="248"/>
      <c r="AE1" s="248"/>
      <c r="AF1" s="248"/>
      <c r="AG1" s="248"/>
      <c r="AH1" s="248"/>
      <c r="AI1" s="248"/>
      <c r="AJ1" s="248"/>
      <c r="AK1" s="248"/>
      <c r="AL1" s="248"/>
      <c r="AM1" s="248"/>
      <c r="AN1" s="248"/>
      <c r="AO1" s="249"/>
      <c r="AP1" s="238" t="s">
        <v>1005</v>
      </c>
      <c r="AQ1" s="239"/>
      <c r="AR1" s="239"/>
      <c r="AS1" s="240"/>
      <c r="AT1" s="238" t="s">
        <v>1006</v>
      </c>
      <c r="AU1" s="239"/>
      <c r="AV1" s="239"/>
      <c r="AW1" s="239"/>
      <c r="AX1" s="240"/>
      <c r="AY1" s="238" t="s">
        <v>1007</v>
      </c>
      <c r="AZ1" s="239"/>
      <c r="BA1" s="239"/>
      <c r="BB1" s="240"/>
      <c r="BC1" s="238" t="s">
        <v>1008</v>
      </c>
      <c r="BD1" s="239"/>
      <c r="BE1" s="239"/>
      <c r="BF1" s="239"/>
      <c r="BG1" s="240"/>
      <c r="BH1" s="238" t="s">
        <v>1009</v>
      </c>
      <c r="BI1" s="239"/>
      <c r="BJ1" s="239"/>
      <c r="BK1" s="240"/>
    </row>
    <row r="2" spans="1:63" ht="15" customHeight="1">
      <c r="A2" s="241" t="s">
        <v>15</v>
      </c>
      <c r="B2" s="242"/>
      <c r="C2" s="242"/>
      <c r="D2" s="242"/>
      <c r="E2" s="242"/>
      <c r="F2" s="242"/>
      <c r="G2" s="242"/>
      <c r="H2" s="242"/>
      <c r="I2" s="242"/>
      <c r="J2" s="243"/>
      <c r="K2" s="241" t="s">
        <v>1413</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
        <v>1414</v>
      </c>
      <c r="AQ2" s="242"/>
      <c r="AR2" s="242"/>
      <c r="AS2" s="243"/>
      <c r="AT2" s="262">
        <v>44874</v>
      </c>
      <c r="AU2" s="263"/>
      <c r="AV2" s="263"/>
      <c r="AW2" s="263"/>
      <c r="AX2" s="264"/>
      <c r="AY2" s="241" t="s">
        <v>1415</v>
      </c>
      <c r="AZ2" s="242"/>
      <c r="BA2" s="242"/>
      <c r="BB2" s="243"/>
      <c r="BC2" s="262">
        <v>45155</v>
      </c>
      <c r="BD2" s="263"/>
      <c r="BE2" s="263"/>
      <c r="BF2" s="263"/>
      <c r="BG2" s="264"/>
      <c r="BH2" s="241">
        <v>1.23</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1010</v>
      </c>
      <c r="B4" s="239"/>
      <c r="C4" s="239"/>
      <c r="D4" s="239"/>
      <c r="E4" s="239"/>
      <c r="F4" s="239"/>
      <c r="G4" s="240"/>
      <c r="H4" s="235" t="s">
        <v>1418</v>
      </c>
      <c r="I4" s="236"/>
      <c r="J4" s="236"/>
      <c r="K4" s="236"/>
      <c r="L4" s="236"/>
      <c r="M4" s="236"/>
      <c r="N4" s="236"/>
      <c r="O4" s="236"/>
      <c r="P4" s="236"/>
      <c r="Q4" s="236"/>
      <c r="R4" s="236"/>
      <c r="S4" s="236"/>
      <c r="T4" s="237"/>
      <c r="U4" s="238" t="s">
        <v>1011</v>
      </c>
      <c r="V4" s="239"/>
      <c r="W4" s="239"/>
      <c r="X4" s="239"/>
      <c r="Y4" s="240"/>
      <c r="Z4" s="235" t="s">
        <v>1417</v>
      </c>
      <c r="AA4" s="236"/>
      <c r="AB4" s="236"/>
      <c r="AC4" s="236"/>
      <c r="AD4" s="236"/>
      <c r="AE4" s="236"/>
      <c r="AF4" s="236"/>
      <c r="AG4" s="236"/>
      <c r="AH4" s="236"/>
      <c r="AI4" s="236"/>
      <c r="AJ4" s="236"/>
      <c r="AK4" s="236"/>
      <c r="AL4" s="236"/>
      <c r="AM4" s="236"/>
      <c r="AN4" s="236"/>
      <c r="AO4" s="237"/>
      <c r="AP4" s="235" t="s">
        <v>1012</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292" t="s">
        <v>43</v>
      </c>
      <c r="C8" s="293"/>
      <c r="D8" s="293"/>
      <c r="E8" s="293"/>
      <c r="F8" s="294"/>
      <c r="G8" s="295" t="s">
        <v>1341</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row>
    <row r="9" spans="1:63" ht="15" customHeight="1">
      <c r="A9" s="1"/>
      <c r="B9" s="301" t="s">
        <v>45</v>
      </c>
      <c r="C9" s="302"/>
      <c r="D9" s="302"/>
      <c r="E9" s="302"/>
      <c r="F9" s="303"/>
      <c r="G9" s="304" t="s">
        <v>1294</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row>
    <row r="10" spans="1:63" ht="15" customHeight="1">
      <c r="A10" s="1"/>
      <c r="B10" s="310" t="s">
        <v>47</v>
      </c>
      <c r="C10" s="311"/>
      <c r="D10" s="311"/>
      <c r="E10" s="311"/>
      <c r="F10" s="312"/>
      <c r="G10" s="298" t="s">
        <v>1295</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row>
    <row r="11" spans="1:63"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row>
    <row r="12" spans="1:63" ht="15" customHeight="1">
      <c r="A12" s="1"/>
      <c r="B12" s="295" t="s">
        <v>1296</v>
      </c>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row>
    <row r="13" spans="1:63"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row>
    <row r="14" spans="1:63"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row>
    <row r="15" spans="1:63"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row>
    <row r="16" spans="1:63"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row>
    <row r="17" spans="1:68" ht="15" customHeight="1">
      <c r="A17" s="1"/>
      <c r="BK17" s="4"/>
    </row>
    <row r="18" spans="1:68" ht="15" customHeight="1">
      <c r="A18" s="1"/>
      <c r="BK18" s="4"/>
    </row>
    <row r="19" spans="1:68" ht="15" customHeight="1">
      <c r="A19" s="1"/>
      <c r="B19" t="s">
        <v>21</v>
      </c>
      <c r="BK19" s="4"/>
      <c r="BP19" s="97" t="str">
        <f>"DROP TABLE IF EXISTS `"&amp;$G$8&amp;"`.`"&amp;$G$10&amp;"`;"</f>
        <v>DROP TABLE IF EXISTS `Pos_device`.`ChangeMachineSetting`;</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`Pos_device`.`ChangeMachineSetting` (</v>
      </c>
    </row>
    <row r="21" spans="1:68"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961</v>
      </c>
    </row>
    <row r="22" spans="1:68"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959</v>
      </c>
    </row>
    <row r="23" spans="1:68"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957</v>
      </c>
    </row>
    <row r="24" spans="1:68"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955</v>
      </c>
    </row>
    <row r="25" spans="1:68"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953</v>
      </c>
    </row>
    <row r="26" spans="1:68" ht="15" customHeight="1">
      <c r="A26" s="1"/>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951</v>
      </c>
    </row>
    <row r="27" spans="1:68" ht="15" customHeight="1">
      <c r="A27" s="1"/>
      <c r="B27" s="62">
        <v>7</v>
      </c>
      <c r="C27" s="63"/>
      <c r="D27" s="21" t="s">
        <v>340</v>
      </c>
      <c r="E27" s="64"/>
      <c r="F27" s="64"/>
      <c r="G27" s="64"/>
      <c r="H27" s="64"/>
      <c r="I27" s="64"/>
      <c r="J27" s="64"/>
      <c r="K27" s="64"/>
      <c r="L27" s="64"/>
      <c r="M27" s="64"/>
      <c r="N27" s="64"/>
      <c r="O27" s="64"/>
      <c r="P27" s="64"/>
      <c r="Q27" s="65"/>
      <c r="R27" s="21" t="s">
        <v>319</v>
      </c>
      <c r="S27" s="64"/>
      <c r="T27" s="64"/>
      <c r="U27" s="64"/>
      <c r="V27" s="64"/>
      <c r="W27" s="64"/>
      <c r="X27" s="64"/>
      <c r="Y27" s="64"/>
      <c r="Z27" s="64"/>
      <c r="AA27" s="64"/>
      <c r="AB27" s="65"/>
      <c r="AC27" s="21" t="s">
        <v>1297</v>
      </c>
      <c r="AD27" s="64"/>
      <c r="AE27" s="64"/>
      <c r="AF27" s="64"/>
      <c r="AG27" s="65"/>
      <c r="AH27" s="21">
        <v>1</v>
      </c>
      <c r="AI27" s="65"/>
      <c r="AJ27" s="21" t="s">
        <v>1020</v>
      </c>
      <c r="AK27" s="64"/>
      <c r="AL27" s="65"/>
      <c r="AM27" s="21"/>
      <c r="AN27" s="64"/>
      <c r="AO27" s="64"/>
      <c r="AP27" s="64"/>
      <c r="AQ27" s="64"/>
      <c r="AR27" s="64"/>
      <c r="AS27" s="65"/>
      <c r="AT27" s="21" t="s">
        <v>1021</v>
      </c>
      <c r="AU27" s="64"/>
      <c r="AV27" s="64"/>
      <c r="AW27" s="64"/>
      <c r="AX27" s="64"/>
      <c r="AY27" s="64"/>
      <c r="AZ27" s="64"/>
      <c r="BA27" s="64"/>
      <c r="BB27" s="64"/>
      <c r="BC27" s="64"/>
      <c r="BD27" s="64"/>
      <c r="BE27" s="64"/>
      <c r="BF27" s="64"/>
      <c r="BG27" s="64"/>
      <c r="BH27" s="64"/>
      <c r="BI27" s="64"/>
      <c r="BJ27" s="65"/>
      <c r="BK27" s="4"/>
      <c r="BP27" t="str">
        <f>",`"&amp;R27&amp;"` "&amp;AC27&amp;" "&amp;IF(AJ27="Y","NOT NULL","")&amp;" COMMENT '"&amp;D27&amp;"'"</f>
        <v>,`company_code` varchar(10)  COMMENT '企業コード'</v>
      </c>
    </row>
    <row r="28" spans="1:68" ht="15" customHeight="1">
      <c r="A28" s="1"/>
      <c r="B28" s="23">
        <f t="shared" ref="B28:B41" si="1">B27+1</f>
        <v>8</v>
      </c>
      <c r="C28" s="24"/>
      <c r="D28" s="22" t="s">
        <v>341</v>
      </c>
      <c r="E28" s="25"/>
      <c r="F28" s="25"/>
      <c r="G28" s="25"/>
      <c r="H28" s="25"/>
      <c r="I28" s="25"/>
      <c r="J28" s="25"/>
      <c r="K28" s="25"/>
      <c r="L28" s="25"/>
      <c r="M28" s="25"/>
      <c r="N28" s="25"/>
      <c r="O28" s="25"/>
      <c r="P28" s="25"/>
      <c r="Q28" s="26"/>
      <c r="R28" s="22" t="s">
        <v>320</v>
      </c>
      <c r="S28" s="25"/>
      <c r="T28" s="25"/>
      <c r="U28" s="25"/>
      <c r="V28" s="25"/>
      <c r="W28" s="25"/>
      <c r="X28" s="25"/>
      <c r="Y28" s="25"/>
      <c r="Z28" s="25"/>
      <c r="AA28" s="25"/>
      <c r="AB28" s="26"/>
      <c r="AC28" s="22" t="s">
        <v>1298</v>
      </c>
      <c r="AD28" s="25"/>
      <c r="AE28" s="25"/>
      <c r="AF28" s="25"/>
      <c r="AG28" s="26"/>
      <c r="AH28" s="22">
        <v>2</v>
      </c>
      <c r="AI28" s="26"/>
      <c r="AJ28" s="22" t="s">
        <v>1020</v>
      </c>
      <c r="AK28" s="25"/>
      <c r="AL28" s="26"/>
      <c r="AM28" s="22"/>
      <c r="AN28" s="25"/>
      <c r="AO28" s="25"/>
      <c r="AP28" s="25"/>
      <c r="AQ28" s="25"/>
      <c r="AR28" s="25"/>
      <c r="AS28" s="26"/>
      <c r="AT28" s="22" t="s">
        <v>1022</v>
      </c>
      <c r="AU28" s="25"/>
      <c r="AV28" s="25"/>
      <c r="AW28" s="25"/>
      <c r="AX28" s="25"/>
      <c r="AY28" s="25"/>
      <c r="AZ28" s="25"/>
      <c r="BA28" s="25"/>
      <c r="BB28" s="25"/>
      <c r="BC28" s="25"/>
      <c r="BD28" s="25"/>
      <c r="BE28" s="25"/>
      <c r="BF28" s="25"/>
      <c r="BG28" s="25"/>
      <c r="BH28" s="25"/>
      <c r="BI28" s="25"/>
      <c r="BJ28" s="26"/>
      <c r="BK28" s="4"/>
      <c r="BP28" t="str">
        <f t="shared" ref="BP28:BP41" si="2">",`"&amp;R28&amp;"` "&amp;AC28&amp;" "&amp;IF(AJ28="Y","NOT NULL","")&amp;" COMMENT '"&amp;D28&amp;"'"</f>
        <v>,`store_code` varchar(10)  COMMENT '店舗コード'</v>
      </c>
    </row>
    <row r="29" spans="1:68" ht="15" customHeight="1">
      <c r="A29" s="1"/>
      <c r="B29" s="28">
        <f t="shared" si="1"/>
        <v>9</v>
      </c>
      <c r="C29" s="29"/>
      <c r="D29" s="30" t="s">
        <v>1023</v>
      </c>
      <c r="E29" s="31"/>
      <c r="F29" s="31"/>
      <c r="G29" s="31"/>
      <c r="H29" s="31"/>
      <c r="I29" s="31"/>
      <c r="J29" s="31"/>
      <c r="K29" s="31"/>
      <c r="L29" s="31"/>
      <c r="M29" s="31"/>
      <c r="N29" s="31"/>
      <c r="O29" s="31"/>
      <c r="P29" s="31"/>
      <c r="Q29" s="32"/>
      <c r="R29" s="30" t="s">
        <v>321</v>
      </c>
      <c r="S29" s="31"/>
      <c r="T29" s="31"/>
      <c r="U29" s="31"/>
      <c r="V29" s="31"/>
      <c r="W29" s="31"/>
      <c r="X29" s="31"/>
      <c r="Y29" s="31"/>
      <c r="Z29" s="31"/>
      <c r="AA29" s="31"/>
      <c r="AB29" s="32"/>
      <c r="AC29" s="30" t="s">
        <v>1298</v>
      </c>
      <c r="AD29" s="31"/>
      <c r="AE29" s="31"/>
      <c r="AF29" s="31"/>
      <c r="AG29" s="32"/>
      <c r="AH29" s="30">
        <v>3</v>
      </c>
      <c r="AI29" s="32"/>
      <c r="AJ29" s="30" t="s">
        <v>1020</v>
      </c>
      <c r="AK29" s="31"/>
      <c r="AL29" s="32"/>
      <c r="AM29" s="30"/>
      <c r="AN29" s="31"/>
      <c r="AO29" s="31"/>
      <c r="AP29" s="31"/>
      <c r="AQ29" s="31"/>
      <c r="AR29" s="31"/>
      <c r="AS29" s="32"/>
      <c r="AT29" s="30" t="s">
        <v>1024</v>
      </c>
      <c r="AU29" s="31"/>
      <c r="AV29" s="31"/>
      <c r="AW29" s="31"/>
      <c r="AX29" s="31"/>
      <c r="AY29" s="31"/>
      <c r="AZ29" s="31"/>
      <c r="BA29" s="31"/>
      <c r="BB29" s="31"/>
      <c r="BC29" s="31"/>
      <c r="BD29" s="31"/>
      <c r="BE29" s="31"/>
      <c r="BF29" s="31"/>
      <c r="BG29" s="31"/>
      <c r="BH29" s="31"/>
      <c r="BI29" s="31"/>
      <c r="BJ29" s="32"/>
      <c r="BK29" s="4"/>
      <c r="BP29" t="str">
        <f t="shared" si="2"/>
        <v>,`instore_code` varchar(10)  COMMENT 'レジ番号'</v>
      </c>
    </row>
    <row r="30" spans="1:68" ht="15" customHeight="1">
      <c r="A30" s="1"/>
      <c r="B30" s="112">
        <f t="shared" si="1"/>
        <v>10</v>
      </c>
      <c r="C30" s="113"/>
      <c r="D30" s="38" t="s">
        <v>307</v>
      </c>
      <c r="E30" s="40"/>
      <c r="F30" s="40"/>
      <c r="G30" s="40"/>
      <c r="H30" s="40"/>
      <c r="I30" s="40"/>
      <c r="J30" s="40"/>
      <c r="K30" s="40"/>
      <c r="L30" s="40"/>
      <c r="M30" s="40"/>
      <c r="N30" s="40"/>
      <c r="O30" s="40"/>
      <c r="P30" s="40"/>
      <c r="Q30" s="39"/>
      <c r="R30" s="38" t="s">
        <v>1299</v>
      </c>
      <c r="S30" s="40"/>
      <c r="T30" s="40"/>
      <c r="U30" s="40"/>
      <c r="V30" s="40"/>
      <c r="W30" s="40"/>
      <c r="X30" s="40"/>
      <c r="Y30" s="40"/>
      <c r="Z30" s="40"/>
      <c r="AA30" s="40"/>
      <c r="AB30" s="39"/>
      <c r="AC30" s="38" t="s">
        <v>1300</v>
      </c>
      <c r="AD30" s="40"/>
      <c r="AE30" s="40"/>
      <c r="AF30" s="40"/>
      <c r="AG30" s="39"/>
      <c r="AH30" s="38">
        <v>4</v>
      </c>
      <c r="AI30" s="39"/>
      <c r="AJ30" s="38" t="s">
        <v>1020</v>
      </c>
      <c r="AK30" s="40"/>
      <c r="AL30" s="39"/>
      <c r="AM30" s="38"/>
      <c r="AN30" s="40"/>
      <c r="AO30" s="40"/>
      <c r="AP30" s="40"/>
      <c r="AQ30" s="40"/>
      <c r="AR30" s="40"/>
      <c r="AS30" s="39"/>
      <c r="AT30" s="38" t="s">
        <v>1301</v>
      </c>
      <c r="AU30" s="40"/>
      <c r="AV30" s="40"/>
      <c r="AW30" s="40"/>
      <c r="AX30" s="40"/>
      <c r="AY30" s="40"/>
      <c r="AZ30" s="40"/>
      <c r="BA30" s="40"/>
      <c r="BB30" s="40"/>
      <c r="BC30" s="40"/>
      <c r="BD30" s="40"/>
      <c r="BE30" s="40"/>
      <c r="BF30" s="40"/>
      <c r="BG30" s="40"/>
      <c r="BH30" s="40"/>
      <c r="BI30" s="40"/>
      <c r="BJ30" s="39"/>
      <c r="BK30" s="4"/>
      <c r="BP30" t="str">
        <f t="shared" si="2"/>
        <v>,`status` decimal(3)  COMMENT '区分'</v>
      </c>
    </row>
    <row r="31" spans="1:68" ht="15" customHeight="1">
      <c r="A31" s="1"/>
      <c r="B31" s="16">
        <f t="shared" si="1"/>
        <v>11</v>
      </c>
      <c r="C31" s="17"/>
      <c r="D31" s="18" t="s">
        <v>291</v>
      </c>
      <c r="E31" s="19"/>
      <c r="F31" s="19"/>
      <c r="G31" s="19"/>
      <c r="H31" s="19"/>
      <c r="I31" s="19"/>
      <c r="J31" s="19"/>
      <c r="K31" s="19"/>
      <c r="L31" s="19"/>
      <c r="M31" s="19"/>
      <c r="N31" s="19"/>
      <c r="O31" s="19"/>
      <c r="P31" s="19"/>
      <c r="Q31" s="20"/>
      <c r="R31" s="18" t="s">
        <v>1302</v>
      </c>
      <c r="S31" s="19"/>
      <c r="T31" s="19"/>
      <c r="U31" s="19"/>
      <c r="V31" s="19"/>
      <c r="W31" s="19"/>
      <c r="X31" s="19"/>
      <c r="Y31" s="19"/>
      <c r="Z31" s="19"/>
      <c r="AA31" s="19"/>
      <c r="AB31" s="20"/>
      <c r="AC31" s="18" t="s">
        <v>1303</v>
      </c>
      <c r="AD31" s="19"/>
      <c r="AE31" s="19"/>
      <c r="AF31" s="19"/>
      <c r="AG31" s="20"/>
      <c r="AH31" s="18"/>
      <c r="AI31" s="20"/>
      <c r="AJ31" s="18" t="s">
        <v>1019</v>
      </c>
      <c r="AK31" s="19"/>
      <c r="AL31" s="20"/>
      <c r="AM31" s="18" t="s">
        <v>1304</v>
      </c>
      <c r="AN31" s="19"/>
      <c r="AO31" s="19"/>
      <c r="AP31" s="19"/>
      <c r="AQ31" s="19"/>
      <c r="AR31" s="19"/>
      <c r="AS31" s="20"/>
      <c r="AT31" s="18"/>
      <c r="AU31" s="19"/>
      <c r="AV31" s="19"/>
      <c r="AW31" s="19"/>
      <c r="AX31" s="19"/>
      <c r="AY31" s="19"/>
      <c r="AZ31" s="19"/>
      <c r="BA31" s="19"/>
      <c r="BB31" s="19"/>
      <c r="BC31" s="19"/>
      <c r="BD31" s="19"/>
      <c r="BE31" s="19"/>
      <c r="BF31" s="19"/>
      <c r="BG31" s="19"/>
      <c r="BH31" s="19"/>
      <c r="BI31" s="19"/>
      <c r="BJ31" s="20"/>
      <c r="BK31" s="4"/>
      <c r="BP31" t="str">
        <f t="shared" si="2"/>
        <v>,`count_10000` decimal(4)  COMMENT '10000円札'</v>
      </c>
    </row>
    <row r="32" spans="1:68" ht="15" customHeight="1">
      <c r="A32" s="1"/>
      <c r="B32" s="23">
        <f t="shared" si="1"/>
        <v>12</v>
      </c>
      <c r="C32" s="24"/>
      <c r="D32" s="22" t="s">
        <v>292</v>
      </c>
      <c r="E32" s="25"/>
      <c r="F32" s="25"/>
      <c r="G32" s="25"/>
      <c r="H32" s="25"/>
      <c r="I32" s="25"/>
      <c r="J32" s="25"/>
      <c r="K32" s="25"/>
      <c r="L32" s="25"/>
      <c r="M32" s="25"/>
      <c r="N32" s="25"/>
      <c r="O32" s="25"/>
      <c r="P32" s="25"/>
      <c r="Q32" s="26"/>
      <c r="R32" s="22" t="s">
        <v>1305</v>
      </c>
      <c r="S32" s="25"/>
      <c r="T32" s="25"/>
      <c r="U32" s="25"/>
      <c r="V32" s="25"/>
      <c r="W32" s="25"/>
      <c r="X32" s="25"/>
      <c r="Y32" s="25"/>
      <c r="Z32" s="25"/>
      <c r="AA32" s="25"/>
      <c r="AB32" s="26"/>
      <c r="AC32" s="22" t="s">
        <v>1306</v>
      </c>
      <c r="AD32" s="25"/>
      <c r="AE32" s="25"/>
      <c r="AF32" s="25"/>
      <c r="AG32" s="26"/>
      <c r="AH32" s="22"/>
      <c r="AI32" s="26"/>
      <c r="AJ32" s="22" t="s">
        <v>1019</v>
      </c>
      <c r="AK32" s="25"/>
      <c r="AL32" s="26"/>
      <c r="AM32" s="22" t="s">
        <v>1307</v>
      </c>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P32" t="str">
        <f t="shared" si="2"/>
        <v>,`count_5000` decimal(4)  COMMENT '5000円札'</v>
      </c>
    </row>
    <row r="33" spans="1:68" ht="15" customHeight="1">
      <c r="A33" s="1"/>
      <c r="B33" s="23">
        <f t="shared" si="1"/>
        <v>13</v>
      </c>
      <c r="C33" s="24"/>
      <c r="D33" s="22" t="s">
        <v>293</v>
      </c>
      <c r="E33" s="25"/>
      <c r="F33" s="25"/>
      <c r="G33" s="25"/>
      <c r="H33" s="25"/>
      <c r="I33" s="25"/>
      <c r="J33" s="25"/>
      <c r="K33" s="25"/>
      <c r="L33" s="25"/>
      <c r="M33" s="25"/>
      <c r="N33" s="25"/>
      <c r="O33" s="25"/>
      <c r="P33" s="25"/>
      <c r="Q33" s="26"/>
      <c r="R33" s="22" t="s">
        <v>1308</v>
      </c>
      <c r="S33" s="25"/>
      <c r="T33" s="25"/>
      <c r="U33" s="25"/>
      <c r="V33" s="25"/>
      <c r="W33" s="25"/>
      <c r="X33" s="25"/>
      <c r="Y33" s="25"/>
      <c r="Z33" s="25"/>
      <c r="AA33" s="25"/>
      <c r="AB33" s="26"/>
      <c r="AC33" s="22" t="s">
        <v>1306</v>
      </c>
      <c r="AD33" s="25"/>
      <c r="AE33" s="25"/>
      <c r="AF33" s="25"/>
      <c r="AG33" s="26"/>
      <c r="AH33" s="22"/>
      <c r="AI33" s="26"/>
      <c r="AJ33" s="22" t="s">
        <v>1019</v>
      </c>
      <c r="AK33" s="25"/>
      <c r="AL33" s="26"/>
      <c r="AM33" s="22" t="s">
        <v>1307</v>
      </c>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P33" t="str">
        <f t="shared" si="2"/>
        <v>,`count_2000` decimal(4)  COMMENT '2000円札'</v>
      </c>
    </row>
    <row r="34" spans="1:68" ht="15" customHeight="1">
      <c r="A34" s="1"/>
      <c r="B34" s="23">
        <f t="shared" si="1"/>
        <v>14</v>
      </c>
      <c r="C34" s="24"/>
      <c r="D34" s="22" t="s">
        <v>294</v>
      </c>
      <c r="E34" s="25"/>
      <c r="F34" s="25"/>
      <c r="G34" s="25"/>
      <c r="H34" s="25"/>
      <c r="I34" s="25"/>
      <c r="J34" s="25"/>
      <c r="K34" s="25"/>
      <c r="L34" s="25"/>
      <c r="M34" s="25"/>
      <c r="N34" s="25"/>
      <c r="O34" s="25"/>
      <c r="P34" s="25"/>
      <c r="Q34" s="26"/>
      <c r="R34" s="22" t="s">
        <v>1309</v>
      </c>
      <c r="S34" s="25"/>
      <c r="T34" s="25"/>
      <c r="U34" s="25"/>
      <c r="V34" s="25"/>
      <c r="W34" s="25"/>
      <c r="X34" s="25"/>
      <c r="Y34" s="25"/>
      <c r="Z34" s="25"/>
      <c r="AA34" s="25"/>
      <c r="AB34" s="26"/>
      <c r="AC34" s="22" t="s">
        <v>1306</v>
      </c>
      <c r="AD34" s="25"/>
      <c r="AE34" s="25"/>
      <c r="AF34" s="25"/>
      <c r="AG34" s="26"/>
      <c r="AH34" s="22"/>
      <c r="AI34" s="26"/>
      <c r="AJ34" s="22" t="s">
        <v>1019</v>
      </c>
      <c r="AK34" s="25"/>
      <c r="AL34" s="26"/>
      <c r="AM34" s="22" t="s">
        <v>1307</v>
      </c>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P34" t="str">
        <f t="shared" si="2"/>
        <v>,`count_1000` decimal(4)  COMMENT '1000円札'</v>
      </c>
    </row>
    <row r="35" spans="1:68" ht="15" customHeight="1">
      <c r="A35" s="1"/>
      <c r="B35" s="23">
        <f t="shared" si="1"/>
        <v>15</v>
      </c>
      <c r="C35" s="24"/>
      <c r="D35" s="22" t="s">
        <v>295</v>
      </c>
      <c r="E35" s="25"/>
      <c r="F35" s="25"/>
      <c r="G35" s="25"/>
      <c r="H35" s="25"/>
      <c r="I35" s="25"/>
      <c r="J35" s="25"/>
      <c r="K35" s="25"/>
      <c r="L35" s="25"/>
      <c r="M35" s="25"/>
      <c r="N35" s="25"/>
      <c r="O35" s="25"/>
      <c r="P35" s="25"/>
      <c r="Q35" s="26"/>
      <c r="R35" s="22" t="s">
        <v>1310</v>
      </c>
      <c r="S35" s="25"/>
      <c r="T35" s="25"/>
      <c r="U35" s="25"/>
      <c r="V35" s="25"/>
      <c r="W35" s="25"/>
      <c r="X35" s="25"/>
      <c r="Y35" s="25"/>
      <c r="Z35" s="25"/>
      <c r="AA35" s="25"/>
      <c r="AB35" s="26"/>
      <c r="AC35" s="22" t="s">
        <v>1306</v>
      </c>
      <c r="AD35" s="25"/>
      <c r="AE35" s="25"/>
      <c r="AF35" s="25"/>
      <c r="AG35" s="26"/>
      <c r="AH35" s="22"/>
      <c r="AI35" s="26"/>
      <c r="AJ35" s="22" t="s">
        <v>1019</v>
      </c>
      <c r="AK35" s="25"/>
      <c r="AL35" s="26"/>
      <c r="AM35" s="22" t="s">
        <v>1307</v>
      </c>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P35" t="str">
        <f t="shared" si="2"/>
        <v>,`count_500` decimal(4)  COMMENT '500円玉'</v>
      </c>
    </row>
    <row r="36" spans="1:68" ht="15" customHeight="1">
      <c r="A36" s="1"/>
      <c r="B36" s="23">
        <f t="shared" si="1"/>
        <v>16</v>
      </c>
      <c r="C36" s="24"/>
      <c r="D36" s="22" t="s">
        <v>296</v>
      </c>
      <c r="E36" s="25"/>
      <c r="F36" s="25"/>
      <c r="G36" s="25"/>
      <c r="H36" s="25"/>
      <c r="I36" s="25"/>
      <c r="J36" s="25"/>
      <c r="K36" s="25"/>
      <c r="L36" s="25"/>
      <c r="M36" s="25"/>
      <c r="N36" s="25"/>
      <c r="O36" s="25"/>
      <c r="P36" s="25"/>
      <c r="Q36" s="26"/>
      <c r="R36" s="22" t="s">
        <v>1311</v>
      </c>
      <c r="S36" s="25"/>
      <c r="T36" s="25"/>
      <c r="U36" s="25"/>
      <c r="V36" s="25"/>
      <c r="W36" s="25"/>
      <c r="X36" s="25"/>
      <c r="Y36" s="25"/>
      <c r="Z36" s="25"/>
      <c r="AA36" s="25"/>
      <c r="AB36" s="26"/>
      <c r="AC36" s="22" t="s">
        <v>1306</v>
      </c>
      <c r="AD36" s="25"/>
      <c r="AE36" s="25"/>
      <c r="AF36" s="25"/>
      <c r="AG36" s="26"/>
      <c r="AH36" s="22"/>
      <c r="AI36" s="26"/>
      <c r="AJ36" s="22" t="s">
        <v>1019</v>
      </c>
      <c r="AK36" s="25"/>
      <c r="AL36" s="26"/>
      <c r="AM36" s="22" t="s">
        <v>1307</v>
      </c>
      <c r="AN36" s="25"/>
      <c r="AO36" s="25"/>
      <c r="AP36" s="25"/>
      <c r="AQ36" s="25"/>
      <c r="AR36" s="25"/>
      <c r="AS36" s="26"/>
      <c r="AT36" s="67"/>
      <c r="AU36" s="25"/>
      <c r="AV36" s="25"/>
      <c r="AW36" s="25"/>
      <c r="AX36" s="25"/>
      <c r="AY36" s="25"/>
      <c r="AZ36" s="25"/>
      <c r="BA36" s="25"/>
      <c r="BB36" s="25"/>
      <c r="BC36" s="25"/>
      <c r="BD36" s="25"/>
      <c r="BE36" s="25"/>
      <c r="BF36" s="25"/>
      <c r="BG36" s="25"/>
      <c r="BH36" s="25"/>
      <c r="BI36" s="25"/>
      <c r="BJ36" s="26"/>
      <c r="BK36" s="4"/>
      <c r="BP36" t="str">
        <f t="shared" si="2"/>
        <v>,`count_100` decimal(4)  COMMENT '100円玉'</v>
      </c>
    </row>
    <row r="37" spans="1:68" ht="15" customHeight="1">
      <c r="A37" s="1"/>
      <c r="B37" s="23">
        <f t="shared" si="1"/>
        <v>17</v>
      </c>
      <c r="C37" s="24"/>
      <c r="D37" s="22" t="s">
        <v>297</v>
      </c>
      <c r="E37" s="25"/>
      <c r="F37" s="25"/>
      <c r="G37" s="25"/>
      <c r="H37" s="25"/>
      <c r="I37" s="25"/>
      <c r="J37" s="25"/>
      <c r="K37" s="25"/>
      <c r="L37" s="25"/>
      <c r="M37" s="25"/>
      <c r="N37" s="25"/>
      <c r="O37" s="25"/>
      <c r="P37" s="25"/>
      <c r="Q37" s="26"/>
      <c r="R37" s="22" t="s">
        <v>1312</v>
      </c>
      <c r="S37" s="25"/>
      <c r="T37" s="25"/>
      <c r="U37" s="25"/>
      <c r="V37" s="25"/>
      <c r="W37" s="25"/>
      <c r="X37" s="25"/>
      <c r="Y37" s="25"/>
      <c r="Z37" s="25"/>
      <c r="AA37" s="25"/>
      <c r="AB37" s="26"/>
      <c r="AC37" s="22" t="s">
        <v>1306</v>
      </c>
      <c r="AD37" s="25"/>
      <c r="AE37" s="25"/>
      <c r="AF37" s="25"/>
      <c r="AG37" s="26"/>
      <c r="AH37" s="22"/>
      <c r="AI37" s="26"/>
      <c r="AJ37" s="22" t="s">
        <v>1019</v>
      </c>
      <c r="AK37" s="25"/>
      <c r="AL37" s="26"/>
      <c r="AM37" s="22" t="s">
        <v>1307</v>
      </c>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P37" t="str">
        <f t="shared" si="2"/>
        <v>,`count_50` decimal(4)  COMMENT '50円玉'</v>
      </c>
    </row>
    <row r="38" spans="1:68" ht="15" customHeight="1">
      <c r="A38" s="1"/>
      <c r="B38" s="23">
        <f t="shared" si="1"/>
        <v>18</v>
      </c>
      <c r="C38" s="24"/>
      <c r="D38" s="22" t="s">
        <v>298</v>
      </c>
      <c r="E38" s="25"/>
      <c r="F38" s="25"/>
      <c r="G38" s="25"/>
      <c r="H38" s="25"/>
      <c r="I38" s="25"/>
      <c r="J38" s="25"/>
      <c r="K38" s="25"/>
      <c r="L38" s="25"/>
      <c r="M38" s="25"/>
      <c r="N38" s="25"/>
      <c r="O38" s="25"/>
      <c r="P38" s="25"/>
      <c r="Q38" s="26"/>
      <c r="R38" s="22" t="s">
        <v>1313</v>
      </c>
      <c r="S38" s="25"/>
      <c r="T38" s="25"/>
      <c r="U38" s="25"/>
      <c r="V38" s="25"/>
      <c r="W38" s="25"/>
      <c r="X38" s="25"/>
      <c r="Y38" s="25"/>
      <c r="Z38" s="25"/>
      <c r="AA38" s="25"/>
      <c r="AB38" s="26"/>
      <c r="AC38" s="22" t="s">
        <v>1306</v>
      </c>
      <c r="AD38" s="25"/>
      <c r="AE38" s="25"/>
      <c r="AF38" s="25"/>
      <c r="AG38" s="26"/>
      <c r="AH38" s="22"/>
      <c r="AI38" s="26"/>
      <c r="AJ38" s="22" t="s">
        <v>1019</v>
      </c>
      <c r="AK38" s="25"/>
      <c r="AL38" s="26"/>
      <c r="AM38" s="22" t="s">
        <v>1307</v>
      </c>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P38" t="str">
        <f t="shared" si="2"/>
        <v>,`count_10` decimal(4)  COMMENT '10円玉'</v>
      </c>
    </row>
    <row r="39" spans="1:68" ht="15" customHeight="1">
      <c r="A39" s="1"/>
      <c r="B39" s="23">
        <f t="shared" si="1"/>
        <v>19</v>
      </c>
      <c r="C39" s="24"/>
      <c r="D39" s="22" t="s">
        <v>299</v>
      </c>
      <c r="E39" s="25"/>
      <c r="F39" s="25"/>
      <c r="G39" s="25"/>
      <c r="H39" s="25"/>
      <c r="I39" s="25"/>
      <c r="J39" s="25"/>
      <c r="K39" s="25"/>
      <c r="L39" s="25"/>
      <c r="M39" s="25"/>
      <c r="N39" s="25"/>
      <c r="O39" s="25"/>
      <c r="P39" s="25"/>
      <c r="Q39" s="26"/>
      <c r="R39" s="22" t="s">
        <v>1314</v>
      </c>
      <c r="S39" s="25"/>
      <c r="T39" s="25"/>
      <c r="U39" s="25"/>
      <c r="V39" s="25"/>
      <c r="W39" s="25"/>
      <c r="X39" s="25"/>
      <c r="Y39" s="25"/>
      <c r="Z39" s="25"/>
      <c r="AA39" s="25"/>
      <c r="AB39" s="26"/>
      <c r="AC39" s="22" t="s">
        <v>1306</v>
      </c>
      <c r="AD39" s="25"/>
      <c r="AE39" s="25"/>
      <c r="AF39" s="25"/>
      <c r="AG39" s="26"/>
      <c r="AH39" s="22"/>
      <c r="AI39" s="26"/>
      <c r="AJ39" s="22" t="s">
        <v>1019</v>
      </c>
      <c r="AK39" s="25"/>
      <c r="AL39" s="26"/>
      <c r="AM39" s="22" t="s">
        <v>1307</v>
      </c>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P39" t="str">
        <f t="shared" si="2"/>
        <v>,`count_5` decimal(4)  COMMENT '5円玉'</v>
      </c>
    </row>
    <row r="40" spans="1:68" ht="15" customHeight="1">
      <c r="A40" s="1"/>
      <c r="B40" s="23">
        <f t="shared" si="1"/>
        <v>20</v>
      </c>
      <c r="C40" s="24"/>
      <c r="D40" s="22" t="s">
        <v>300</v>
      </c>
      <c r="E40" s="25"/>
      <c r="F40" s="25"/>
      <c r="G40" s="25"/>
      <c r="H40" s="25"/>
      <c r="I40" s="25"/>
      <c r="J40" s="25"/>
      <c r="K40" s="25"/>
      <c r="L40" s="25"/>
      <c r="M40" s="25"/>
      <c r="N40" s="25"/>
      <c r="O40" s="25"/>
      <c r="P40" s="25"/>
      <c r="Q40" s="26"/>
      <c r="R40" s="22" t="s">
        <v>1315</v>
      </c>
      <c r="S40" s="25"/>
      <c r="T40" s="25"/>
      <c r="U40" s="25"/>
      <c r="V40" s="25"/>
      <c r="W40" s="25"/>
      <c r="X40" s="25"/>
      <c r="Y40" s="25"/>
      <c r="Z40" s="25"/>
      <c r="AA40" s="25"/>
      <c r="AB40" s="26"/>
      <c r="AC40" s="22" t="s">
        <v>1306</v>
      </c>
      <c r="AD40" s="25"/>
      <c r="AE40" s="25"/>
      <c r="AF40" s="25"/>
      <c r="AG40" s="26"/>
      <c r="AH40" s="22"/>
      <c r="AI40" s="26"/>
      <c r="AJ40" s="22" t="s">
        <v>1019</v>
      </c>
      <c r="AK40" s="25"/>
      <c r="AL40" s="26"/>
      <c r="AM40" s="22" t="s">
        <v>1307</v>
      </c>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P40" t="str">
        <f t="shared" si="2"/>
        <v>,`count_1` decimal(4)  COMMENT '1円玉'</v>
      </c>
    </row>
    <row r="41" spans="1:68" ht="15" customHeight="1">
      <c r="A41" s="1"/>
      <c r="B41" s="28">
        <f t="shared" si="1"/>
        <v>21</v>
      </c>
      <c r="C41" s="29"/>
      <c r="D41" s="30" t="s">
        <v>326</v>
      </c>
      <c r="E41" s="31"/>
      <c r="F41" s="31"/>
      <c r="G41" s="31"/>
      <c r="H41" s="31"/>
      <c r="I41" s="31"/>
      <c r="J41" s="31"/>
      <c r="K41" s="31"/>
      <c r="L41" s="31"/>
      <c r="M41" s="31"/>
      <c r="N41" s="31"/>
      <c r="O41" s="31"/>
      <c r="P41" s="31"/>
      <c r="Q41" s="32"/>
      <c r="R41" s="30" t="s">
        <v>1316</v>
      </c>
      <c r="S41" s="31"/>
      <c r="T41" s="31"/>
      <c r="U41" s="31"/>
      <c r="V41" s="31"/>
      <c r="W41" s="31"/>
      <c r="X41" s="31"/>
      <c r="Y41" s="31"/>
      <c r="Z41" s="31"/>
      <c r="AA41" s="31"/>
      <c r="AB41" s="32"/>
      <c r="AC41" s="30" t="s">
        <v>1306</v>
      </c>
      <c r="AD41" s="31"/>
      <c r="AE41" s="31"/>
      <c r="AF41" s="31"/>
      <c r="AG41" s="32"/>
      <c r="AH41" s="30"/>
      <c r="AI41" s="32"/>
      <c r="AJ41" s="30" t="s">
        <v>1019</v>
      </c>
      <c r="AK41" s="31"/>
      <c r="AL41" s="32"/>
      <c r="AM41" s="30" t="s">
        <v>1307</v>
      </c>
      <c r="AN41" s="31"/>
      <c r="AO41" s="31"/>
      <c r="AP41" s="31"/>
      <c r="AQ41" s="31"/>
      <c r="AR41" s="31"/>
      <c r="AS41" s="32"/>
      <c r="AT41" s="30"/>
      <c r="AU41" s="31"/>
      <c r="AV41" s="31"/>
      <c r="AW41" s="31"/>
      <c r="AX41" s="31"/>
      <c r="AY41" s="31"/>
      <c r="AZ41" s="31"/>
      <c r="BA41" s="31"/>
      <c r="BB41" s="31"/>
      <c r="BC41" s="31"/>
      <c r="BD41" s="31"/>
      <c r="BE41" s="31"/>
      <c r="BF41" s="31"/>
      <c r="BG41" s="31"/>
      <c r="BH41" s="31"/>
      <c r="BI41" s="31"/>
      <c r="BJ41" s="32"/>
      <c r="BK41" s="4"/>
      <c r="BP41" t="str">
        <f t="shared" si="2"/>
        <v>,`cassette` decimal(4)  COMMENT 'カセット'</v>
      </c>
    </row>
    <row r="42" spans="1:68" ht="15" customHeight="1">
      <c r="A42" s="1"/>
      <c r="BK42" s="4"/>
      <c r="BP42"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(`company_code`,`store_code`,`instore_code`,`status`),</v>
      </c>
    </row>
    <row r="43" spans="1:68" ht="15" customHeight="1">
      <c r="A43" s="1"/>
      <c r="B43" s="37" t="s">
        <v>49</v>
      </c>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4"/>
      <c r="BP43" s="97" t="s">
        <v>452</v>
      </c>
    </row>
    <row r="44" spans="1:68" ht="15" customHeight="1">
      <c r="A44" s="1"/>
      <c r="B44" s="34" t="s">
        <v>50</v>
      </c>
      <c r="C44" s="35"/>
      <c r="D44" s="34" t="s">
        <v>51</v>
      </c>
      <c r="E44" s="44"/>
      <c r="F44" s="36"/>
      <c r="G44" s="36"/>
      <c r="H44" s="36"/>
      <c r="I44" s="36"/>
      <c r="J44" s="36"/>
      <c r="K44" s="36"/>
      <c r="L44" s="36"/>
      <c r="M44" s="36"/>
      <c r="N44" s="36"/>
      <c r="O44" s="36"/>
      <c r="P44" s="36"/>
      <c r="Q44" s="35"/>
      <c r="R44" s="34" t="s">
        <v>52</v>
      </c>
      <c r="S44" s="44"/>
      <c r="T44" s="36"/>
      <c r="U44" s="36"/>
      <c r="V44" s="36"/>
      <c r="W44" s="36"/>
      <c r="X44" s="36"/>
      <c r="Y44" s="36"/>
      <c r="Z44" s="36"/>
      <c r="AA44" s="36"/>
      <c r="AB44" s="36"/>
      <c r="AC44" s="36"/>
      <c r="AD44" s="36"/>
      <c r="AE44" s="36"/>
      <c r="AF44" s="36"/>
      <c r="AG44" s="36"/>
      <c r="AH44" s="36"/>
      <c r="AI44" s="36"/>
      <c r="AJ44" s="36"/>
      <c r="AK44" s="35"/>
      <c r="AL44" s="34" t="s">
        <v>53</v>
      </c>
      <c r="AM44" s="36"/>
      <c r="AN44" s="36"/>
      <c r="AO44" s="45"/>
      <c r="AP44" s="34" t="s">
        <v>54</v>
      </c>
      <c r="AQ44" s="36"/>
      <c r="AR44" s="36"/>
      <c r="AS44" s="35"/>
      <c r="AT44" s="34" t="s">
        <v>48</v>
      </c>
      <c r="AU44" s="44"/>
      <c r="AV44" s="44"/>
      <c r="AW44" s="36"/>
      <c r="AX44" s="36"/>
      <c r="AY44" s="44"/>
      <c r="AZ44" s="36"/>
      <c r="BA44" s="36"/>
      <c r="BB44" s="36"/>
      <c r="BC44" s="36"/>
      <c r="BD44" s="36"/>
      <c r="BE44" s="36"/>
      <c r="BF44" s="36"/>
      <c r="BG44" s="36"/>
      <c r="BH44" s="36"/>
      <c r="BI44" s="44"/>
      <c r="BJ44" s="35"/>
      <c r="BK44" s="4"/>
      <c r="BP44" s="97" t="str">
        <f>") ENGINE=InnoDB DEFAULT CHARSET=utf8mb4 COLLATE=utf8mb4_0900_ai_ci COMMENT = '"&amp;$G$9&amp;"';"</f>
        <v>) ENGINE=InnoDB DEFAULT CHARSET=utf8mb4 COLLATE=utf8mb4_0900_ai_ci COMMENT = '釣銭機設定';</v>
      </c>
    </row>
    <row r="45" spans="1:68" ht="15" customHeight="1">
      <c r="A45" s="1"/>
      <c r="B45" s="38">
        <v>1</v>
      </c>
      <c r="C45" s="39"/>
      <c r="D45" s="38" t="s">
        <v>55</v>
      </c>
      <c r="E45" s="46"/>
      <c r="F45" s="40"/>
      <c r="G45" s="40"/>
      <c r="H45" s="40"/>
      <c r="I45" s="40"/>
      <c r="J45" s="40"/>
      <c r="K45" s="40"/>
      <c r="L45" s="40"/>
      <c r="M45" s="40"/>
      <c r="N45" s="40"/>
      <c r="O45" s="40"/>
      <c r="P45" s="40"/>
      <c r="Q45" s="39"/>
      <c r="R45" s="38" t="s">
        <v>1317</v>
      </c>
      <c r="S45" s="46"/>
      <c r="T45" s="40"/>
      <c r="U45" s="40"/>
      <c r="V45" s="40"/>
      <c r="W45" s="40"/>
      <c r="X45" s="40"/>
      <c r="Y45" s="40"/>
      <c r="Z45" s="40"/>
      <c r="AA45" s="40"/>
      <c r="AB45" s="40"/>
      <c r="AC45" s="40"/>
      <c r="AD45" s="40"/>
      <c r="AE45" s="40"/>
      <c r="AF45" s="40"/>
      <c r="AG45" s="40"/>
      <c r="AH45" s="40"/>
      <c r="AI45" s="40"/>
      <c r="AJ45" s="40"/>
      <c r="AK45" s="39"/>
      <c r="AL45" s="38" t="s">
        <v>1161</v>
      </c>
      <c r="AM45" s="40"/>
      <c r="AN45" s="40"/>
      <c r="AO45" s="47"/>
      <c r="AP45" s="38" t="s">
        <v>1161</v>
      </c>
      <c r="AQ45" s="40"/>
      <c r="AR45" s="40"/>
      <c r="AS45" s="39"/>
      <c r="AT45" s="38"/>
      <c r="AU45" s="46"/>
      <c r="AV45" s="46"/>
      <c r="AW45" s="40"/>
      <c r="AX45" s="40"/>
      <c r="AY45" s="46"/>
      <c r="AZ45" s="40"/>
      <c r="BA45" s="40"/>
      <c r="BB45" s="40"/>
      <c r="BC45" s="40"/>
      <c r="BD45" s="40"/>
      <c r="BE45" s="40"/>
      <c r="BF45" s="40"/>
      <c r="BG45" s="40"/>
      <c r="BH45" s="40"/>
      <c r="BI45" s="46"/>
      <c r="BJ45" s="39"/>
      <c r="BK45" s="4"/>
      <c r="BP45" s="97"/>
    </row>
    <row r="46" spans="1:68" ht="15" customHeight="1">
      <c r="A46" s="1"/>
      <c r="BK46" s="4"/>
      <c r="BP46" s="97" t="str">
        <f>"CREATE TRIGGER `"&amp;$G$8&amp;"`.`"&amp;$G$10&amp;"_CR_Date_Time` BEFORE INSERT ON `"&amp;$G$10&amp;"` FOR EACH ROW SET NEW.record_create_date = CURRENT_DATE, NEW.record_create_time = CURRENT_TIME, NEW.record_update_date = CURRENT_DATE, NEW.record_update_time = CURRENT_TIME;"</f>
        <v>CREATE TRIGGER `Pos_device`.`ChangeMachineSetting_CR_Date_Time` BEFORE INSERT ON `ChangeMachineSetting` FOR EACH ROW SET NEW.record_create_date = CURRENT_DATE, NEW.record_create_time = CURRENT_TIME, NEW.record_update_date = CURRENT_DATE, NEW.record_update_time = CURRENT_TIME;</v>
      </c>
    </row>
    <row r="47" spans="1:68" ht="15" customHeight="1">
      <c r="A47" s="1"/>
      <c r="B47" s="37" t="s">
        <v>34</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4"/>
      <c r="BP47" s="97" t="str">
        <f>"CREATE TRIGGER `"&amp;$G$8&amp;"`.`"&amp;$G$10&amp;"_UP_Date_Time` BEFORE UPDATE ON `"&amp;$G$10&amp;"` FOR EACH ROW SET NEW.record_update_date = CURRENT_DATE, NEW.record_update_time = CURRENT_TIME;"</f>
        <v>CREATE TRIGGER `Pos_device`.`ChangeMachineSetting_UP_Date_Time` BEFORE UPDATE ON `ChangeMachineSetting` FOR EACH ROW SET NEW.record_update_date = CURRENT_DATE, NEW.record_update_time = CURRENT_TIME;</v>
      </c>
    </row>
    <row r="48" spans="1:68" ht="15" customHeight="1">
      <c r="A48" s="1"/>
      <c r="B48" s="34" t="s">
        <v>35</v>
      </c>
      <c r="C48" s="45"/>
      <c r="D48" s="34" t="s">
        <v>36</v>
      </c>
      <c r="E48" s="44"/>
      <c r="F48" s="44"/>
      <c r="G48" s="44"/>
      <c r="H48" s="44"/>
      <c r="I48" s="44"/>
      <c r="J48" s="44"/>
      <c r="K48" s="44"/>
      <c r="L48" s="36"/>
      <c r="M48" s="36"/>
      <c r="N48" s="36"/>
      <c r="O48" s="36"/>
      <c r="P48" s="36"/>
      <c r="Q48" s="35"/>
      <c r="R48" s="34" t="s">
        <v>37</v>
      </c>
      <c r="S48" s="36"/>
      <c r="T48" s="45"/>
      <c r="U48" s="34" t="s">
        <v>38</v>
      </c>
      <c r="V48" s="36"/>
      <c r="W48" s="44"/>
      <c r="X48" s="45"/>
      <c r="Y48" s="34" t="s">
        <v>39</v>
      </c>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5"/>
      <c r="BK48" s="4"/>
    </row>
    <row r="49" spans="1:63" ht="15" customHeight="1">
      <c r="A49" s="1"/>
      <c r="B49" s="41">
        <v>1</v>
      </c>
      <c r="C49" s="47"/>
      <c r="D49" s="41" t="str">
        <f>G10&amp;"_"&amp;R49&amp;"_"&amp;"trg"</f>
        <v>ChangeMachineSetting_update_trg</v>
      </c>
      <c r="E49" s="46"/>
      <c r="F49" s="46"/>
      <c r="G49" s="46"/>
      <c r="H49" s="46"/>
      <c r="I49" s="46"/>
      <c r="J49" s="46"/>
      <c r="K49" s="46"/>
      <c r="L49" s="42"/>
      <c r="M49" s="42"/>
      <c r="N49" s="42"/>
      <c r="O49" s="42"/>
      <c r="P49" s="42"/>
      <c r="Q49" s="43"/>
      <c r="R49" s="41" t="s">
        <v>40</v>
      </c>
      <c r="S49" s="42"/>
      <c r="T49" s="47"/>
      <c r="U49" s="41" t="s">
        <v>41</v>
      </c>
      <c r="V49" s="42"/>
      <c r="W49" s="46"/>
      <c r="X49" s="47"/>
      <c r="Y49" s="41" t="s">
        <v>42</v>
      </c>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3"/>
      <c r="BK49" s="4"/>
    </row>
    <row r="50" spans="1:63" ht="15" customHeight="1">
      <c r="A50" s="1"/>
      <c r="BK50" s="4"/>
    </row>
    <row r="51" spans="1:63" ht="15" customHeight="1">
      <c r="A51" s="1"/>
      <c r="B51" t="s">
        <v>1162</v>
      </c>
      <c r="BK51" s="4"/>
    </row>
    <row r="52" spans="1:63" ht="15" customHeight="1">
      <c r="A52" s="1"/>
      <c r="B52" s="320" t="s">
        <v>1163</v>
      </c>
      <c r="C52" s="320"/>
      <c r="D52" s="320"/>
      <c r="E52" s="320"/>
      <c r="F52" s="320" t="s">
        <v>1164</v>
      </c>
      <c r="G52" s="320"/>
      <c r="H52" s="320"/>
      <c r="I52" s="320"/>
      <c r="J52" s="320"/>
      <c r="K52" s="320"/>
      <c r="L52" s="320"/>
      <c r="M52" s="320"/>
      <c r="N52" s="320"/>
      <c r="O52" s="320"/>
      <c r="P52" s="320"/>
      <c r="Q52" s="320"/>
      <c r="R52" s="320"/>
      <c r="S52" s="320"/>
      <c r="T52" s="320"/>
      <c r="U52" s="320"/>
      <c r="V52" s="320"/>
      <c r="W52" s="320"/>
      <c r="X52" s="320"/>
      <c r="Y52" s="320"/>
      <c r="Z52" s="320"/>
      <c r="AA52" s="321" t="s">
        <v>1165</v>
      </c>
      <c r="AB52" s="321"/>
      <c r="AC52" s="321"/>
      <c r="AD52" s="321"/>
      <c r="AE52" s="321"/>
      <c r="AF52" s="321" t="s">
        <v>1166</v>
      </c>
      <c r="AG52" s="321"/>
      <c r="AH52" s="321"/>
      <c r="AI52" s="321"/>
      <c r="AJ52" s="321"/>
      <c r="AL52" t="s">
        <v>1167</v>
      </c>
      <c r="BK52" s="4"/>
    </row>
    <row r="53" spans="1:63" ht="15" customHeight="1">
      <c r="A53" s="1"/>
      <c r="B53" s="322" t="s">
        <v>1168</v>
      </c>
      <c r="C53" s="322"/>
      <c r="D53" s="322"/>
      <c r="E53" s="322"/>
      <c r="F53" s="322" t="s">
        <v>1169</v>
      </c>
      <c r="G53" s="322"/>
      <c r="H53" s="322"/>
      <c r="I53" s="322"/>
      <c r="J53" s="322"/>
      <c r="K53" s="322"/>
      <c r="L53" s="322"/>
      <c r="M53" s="322"/>
      <c r="N53" s="322"/>
      <c r="O53" s="322"/>
      <c r="P53" s="322"/>
      <c r="Q53" s="322"/>
      <c r="R53" s="322"/>
      <c r="S53" s="322"/>
      <c r="T53" s="322"/>
      <c r="U53" s="322"/>
      <c r="V53" s="322"/>
      <c r="W53" s="322"/>
      <c r="X53" s="322"/>
      <c r="Y53" s="322"/>
      <c r="Z53" s="322"/>
      <c r="AA53" s="323" t="s">
        <v>1170</v>
      </c>
      <c r="AB53" s="323"/>
      <c r="AC53" s="323"/>
      <c r="AD53" s="323"/>
      <c r="AE53" s="323"/>
      <c r="AF53" s="323" t="s">
        <v>1171</v>
      </c>
      <c r="AG53" s="323"/>
      <c r="AH53" s="323"/>
      <c r="AI53" s="323"/>
      <c r="AJ53" s="323"/>
      <c r="AL53" t="s">
        <v>1172</v>
      </c>
      <c r="BK53" s="4"/>
    </row>
    <row r="54" spans="1:63" ht="15" customHeight="1">
      <c r="A54" s="2"/>
      <c r="BK54" s="5"/>
    </row>
    <row r="55" spans="1:63" ht="15" customHeight="1">
      <c r="A55" s="1"/>
      <c r="B55" s="208" t="s">
        <v>1173</v>
      </c>
      <c r="C55" s="209"/>
      <c r="D55" s="209"/>
      <c r="E55" s="209"/>
      <c r="F55" s="209"/>
      <c r="G55" s="209"/>
      <c r="H55" s="209"/>
      <c r="I55" s="209"/>
      <c r="J55" s="209"/>
      <c r="K55" s="209"/>
      <c r="L55" s="209"/>
      <c r="M55" s="209"/>
      <c r="N55" s="209"/>
      <c r="O55" s="209"/>
      <c r="P55" s="209"/>
      <c r="Q55" s="209"/>
      <c r="R55" s="209"/>
      <c r="S55" s="209"/>
      <c r="T55" s="209"/>
      <c r="U55" s="209"/>
      <c r="V55" s="209"/>
      <c r="W55" s="209"/>
      <c r="X55" s="209"/>
      <c r="Y55" s="209"/>
      <c r="Z55" s="209"/>
      <c r="AA55" s="209"/>
      <c r="AB55" s="209"/>
      <c r="AC55" s="209"/>
      <c r="AD55" s="209"/>
      <c r="AE55" s="209"/>
      <c r="AF55" s="209"/>
      <c r="AG55" s="209"/>
      <c r="AH55" s="209"/>
      <c r="AI55" s="209"/>
      <c r="AJ55" s="209"/>
      <c r="AK55" s="209"/>
      <c r="AL55" s="209"/>
      <c r="AM55" s="210"/>
      <c r="AN55" s="208" t="s">
        <v>1174</v>
      </c>
      <c r="AO55" s="209"/>
      <c r="AP55" s="209"/>
      <c r="AQ55" s="209"/>
      <c r="AR55" s="209"/>
      <c r="AS55" s="209"/>
      <c r="AT55" s="209"/>
      <c r="AU55" s="209"/>
      <c r="AV55" s="209"/>
      <c r="AW55" s="209"/>
      <c r="AX55" s="209"/>
      <c r="AY55" s="209"/>
      <c r="AZ55" s="209"/>
      <c r="BA55" s="209"/>
      <c r="BB55" s="209"/>
      <c r="BC55" s="209"/>
      <c r="BD55" s="209"/>
      <c r="BE55" s="209"/>
      <c r="BF55" s="209"/>
      <c r="BG55" s="209"/>
      <c r="BH55" s="44"/>
      <c r="BI55" s="44"/>
      <c r="BJ55" s="45"/>
    </row>
    <row r="56" spans="1:63" ht="15" customHeight="1">
      <c r="A56" s="1"/>
      <c r="B56" s="135" t="s">
        <v>1175</v>
      </c>
      <c r="C56" s="136"/>
      <c r="D56" s="136"/>
      <c r="E56" s="136"/>
      <c r="F56" s="136"/>
      <c r="G56" s="136"/>
      <c r="H56" s="136"/>
      <c r="I56" s="211" t="s">
        <v>1176</v>
      </c>
      <c r="J56" s="136"/>
      <c r="K56" s="136"/>
      <c r="L56" s="211" t="s">
        <v>1177</v>
      </c>
      <c r="M56" s="136"/>
      <c r="N56" s="136"/>
      <c r="O56" s="212" t="s">
        <v>1178</v>
      </c>
      <c r="P56" s="136"/>
      <c r="Q56" s="136"/>
      <c r="R56" s="211" t="s">
        <v>1179</v>
      </c>
      <c r="S56" s="136"/>
      <c r="T56" s="136"/>
      <c r="U56" s="136"/>
      <c r="V56" s="140"/>
      <c r="W56" s="140"/>
      <c r="X56" s="136"/>
      <c r="Y56" s="136"/>
      <c r="Z56" s="136"/>
      <c r="AA56" s="136"/>
      <c r="AB56" s="211" t="s">
        <v>1180</v>
      </c>
      <c r="AC56" s="136"/>
      <c r="AD56" s="136"/>
      <c r="AE56" s="136"/>
      <c r="AF56" s="140"/>
      <c r="AG56" s="140"/>
      <c r="AH56" s="140"/>
      <c r="AI56" s="136"/>
      <c r="AJ56" s="136"/>
      <c r="AK56" s="136"/>
      <c r="AL56" s="136"/>
      <c r="AM56" s="141"/>
      <c r="AN56" s="142"/>
      <c r="AO56" s="143"/>
      <c r="AP56" s="144"/>
      <c r="AQ56" s="143"/>
      <c r="AR56" s="143"/>
      <c r="AS56" s="143"/>
      <c r="AT56" s="143"/>
      <c r="AU56" s="143"/>
      <c r="AV56" s="143"/>
      <c r="AW56" s="143"/>
      <c r="AX56" s="143"/>
      <c r="AY56" s="143"/>
      <c r="AZ56" s="143"/>
      <c r="BA56" s="143"/>
      <c r="BB56" s="143"/>
      <c r="BC56" s="143"/>
      <c r="BD56" s="143"/>
      <c r="BE56" s="143"/>
      <c r="BF56" s="143"/>
      <c r="BG56" s="143"/>
      <c r="BH56" s="143"/>
      <c r="BI56" s="143"/>
      <c r="BJ56" s="145"/>
    </row>
    <row r="57" spans="1:63" ht="15" customHeight="1">
      <c r="A57" s="1"/>
      <c r="B57" s="146"/>
      <c r="C57" s="147"/>
      <c r="D57" s="147"/>
      <c r="E57" s="147"/>
      <c r="F57" s="147"/>
      <c r="G57" s="147"/>
      <c r="H57" s="148"/>
      <c r="I57" s="149"/>
      <c r="J57" s="147"/>
      <c r="K57" s="148"/>
      <c r="L57" s="150"/>
      <c r="M57" s="147"/>
      <c r="N57" s="148"/>
      <c r="O57" s="151"/>
      <c r="P57" s="147"/>
      <c r="Q57" s="148"/>
      <c r="R57" s="149"/>
      <c r="S57" s="147"/>
      <c r="T57" s="147"/>
      <c r="U57" s="147"/>
      <c r="V57" s="124"/>
      <c r="W57" s="124"/>
      <c r="X57" s="152"/>
      <c r="Y57" s="152"/>
      <c r="Z57" s="152"/>
      <c r="AA57" s="153"/>
      <c r="AB57" s="154" t="s">
        <v>1181</v>
      </c>
      <c r="AC57" s="155"/>
      <c r="AD57" s="155"/>
      <c r="AE57" s="155"/>
      <c r="AF57" s="156"/>
      <c r="AG57" s="156"/>
      <c r="AH57" s="156"/>
      <c r="AI57" s="155"/>
      <c r="AJ57" s="155"/>
      <c r="AK57" s="155"/>
      <c r="AL57" s="155"/>
      <c r="AM57" s="157"/>
      <c r="AN57" s="158" t="s">
        <v>1182</v>
      </c>
      <c r="AO57" s="159"/>
      <c r="AP57" s="156"/>
      <c r="AQ57" s="160"/>
      <c r="AR57" s="160"/>
      <c r="AS57" s="160"/>
      <c r="AT57" s="160"/>
      <c r="AU57" s="160"/>
      <c r="AV57" s="160"/>
      <c r="AW57" s="160"/>
      <c r="AX57" s="160"/>
      <c r="AY57" s="160"/>
      <c r="AZ57" s="160"/>
      <c r="BA57" s="160"/>
      <c r="BB57" s="160"/>
      <c r="BC57" s="160"/>
      <c r="BD57" s="160"/>
      <c r="BE57" s="160"/>
      <c r="BF57" s="160"/>
      <c r="BG57" s="160"/>
      <c r="BH57" s="160"/>
      <c r="BI57" s="160"/>
      <c r="BJ57" s="157"/>
    </row>
    <row r="58" spans="1:63" ht="15" customHeight="1">
      <c r="A58" s="1"/>
      <c r="B58" s="161" t="s">
        <v>1183</v>
      </c>
      <c r="C58" s="162"/>
      <c r="D58" s="162"/>
      <c r="E58" s="162"/>
      <c r="F58" s="162"/>
      <c r="G58" s="162"/>
      <c r="H58" s="163"/>
      <c r="I58" s="164" t="s">
        <v>1184</v>
      </c>
      <c r="J58" s="162"/>
      <c r="K58" s="163"/>
      <c r="L58" s="165" t="s">
        <v>1185</v>
      </c>
      <c r="M58" s="162"/>
      <c r="N58" s="163"/>
      <c r="O58" s="166" t="s">
        <v>1187</v>
      </c>
      <c r="P58" s="162"/>
      <c r="Q58" s="163"/>
      <c r="R58" s="164" t="s">
        <v>1188</v>
      </c>
      <c r="S58" s="162"/>
      <c r="T58" s="162"/>
      <c r="U58" s="162"/>
      <c r="V58" s="67"/>
      <c r="W58" s="67"/>
      <c r="X58" s="167"/>
      <c r="Y58" s="167"/>
      <c r="Z58" s="167"/>
      <c r="AA58" s="168"/>
      <c r="AB58" s="169" t="str">
        <f>"  """&amp;B58&amp;": ""300"","""</f>
        <v xml:space="preserve">  "company_code: "300","</v>
      </c>
      <c r="AC58" s="170"/>
      <c r="AD58" s="170"/>
      <c r="AE58" s="170"/>
      <c r="AF58" s="33"/>
      <c r="AG58" s="33"/>
      <c r="AH58" s="33"/>
      <c r="AI58" s="170"/>
      <c r="AJ58" s="170"/>
      <c r="AK58" s="170"/>
      <c r="AL58" s="170"/>
      <c r="AM58" s="171"/>
      <c r="AN58" s="172"/>
      <c r="AO58" s="173"/>
      <c r="AP58" s="33"/>
      <c r="AQ58" s="174"/>
      <c r="AR58" s="174"/>
      <c r="AS58" s="174"/>
      <c r="AT58" s="174"/>
      <c r="AU58" s="174"/>
      <c r="AV58" s="174"/>
      <c r="AW58" s="174"/>
      <c r="AX58" s="174"/>
      <c r="AY58" s="174"/>
      <c r="AZ58" s="174"/>
      <c r="BA58" s="174"/>
      <c r="BB58" s="174"/>
      <c r="BC58" s="174"/>
      <c r="BD58" s="174"/>
      <c r="BE58" s="174"/>
      <c r="BF58" s="174"/>
      <c r="BG58" s="174"/>
      <c r="BH58" s="174"/>
      <c r="BI58" s="174"/>
      <c r="BJ58" s="171"/>
    </row>
    <row r="59" spans="1:63" ht="15" customHeight="1">
      <c r="A59" s="1"/>
      <c r="B59" s="161" t="s">
        <v>1189</v>
      </c>
      <c r="C59" s="162"/>
      <c r="D59" s="162"/>
      <c r="E59" s="162"/>
      <c r="F59" s="162"/>
      <c r="G59" s="162"/>
      <c r="H59" s="163"/>
      <c r="I59" s="164" t="s">
        <v>1184</v>
      </c>
      <c r="J59" s="162"/>
      <c r="K59" s="163"/>
      <c r="L59" s="175" t="s">
        <v>1185</v>
      </c>
      <c r="M59" s="162"/>
      <c r="N59" s="163"/>
      <c r="O59" s="166" t="s">
        <v>1187</v>
      </c>
      <c r="P59" s="162"/>
      <c r="Q59" s="163"/>
      <c r="R59" s="164" t="s">
        <v>1190</v>
      </c>
      <c r="S59" s="162"/>
      <c r="T59" s="162"/>
      <c r="U59" s="162"/>
      <c r="V59" s="67"/>
      <c r="W59" s="67"/>
      <c r="X59" s="167"/>
      <c r="Y59" s="167"/>
      <c r="Z59" s="167"/>
      <c r="AA59" s="168"/>
      <c r="AB59" s="169" t="str">
        <f>"  """&amp;B59&amp;": ""048405"","""</f>
        <v xml:space="preserve">  "store_code: "048405","</v>
      </c>
      <c r="AC59" s="170"/>
      <c r="AD59" s="170"/>
      <c r="AE59" s="170"/>
      <c r="AF59" s="33"/>
      <c r="AG59" s="33"/>
      <c r="AH59" s="33"/>
      <c r="AI59" s="170"/>
      <c r="AJ59" s="170"/>
      <c r="AK59" s="170"/>
      <c r="AL59" s="170"/>
      <c r="AM59" s="171"/>
      <c r="AN59" s="172"/>
      <c r="AO59" s="173"/>
      <c r="AP59" s="33"/>
      <c r="AQ59" s="174"/>
      <c r="AR59" s="174"/>
      <c r="AS59" s="174"/>
      <c r="AT59" s="174"/>
      <c r="AU59" s="174"/>
      <c r="AV59" s="174"/>
      <c r="AW59" s="174"/>
      <c r="AX59" s="174"/>
      <c r="AY59" s="174"/>
      <c r="AZ59" s="174"/>
      <c r="BA59" s="174"/>
      <c r="BB59" s="174"/>
      <c r="BC59" s="174"/>
      <c r="BD59" s="174"/>
      <c r="BE59" s="174"/>
      <c r="BF59" s="174"/>
      <c r="BG59" s="174"/>
      <c r="BH59" s="174"/>
      <c r="BI59" s="174"/>
      <c r="BJ59" s="171"/>
    </row>
    <row r="60" spans="1:63" ht="16.5">
      <c r="B60" s="161" t="s">
        <v>1191</v>
      </c>
      <c r="C60" s="162"/>
      <c r="D60" s="162"/>
      <c r="E60" s="162"/>
      <c r="F60" s="162"/>
      <c r="G60" s="162"/>
      <c r="H60" s="163"/>
      <c r="I60" s="164" t="s">
        <v>1184</v>
      </c>
      <c r="J60" s="162"/>
      <c r="K60" s="163"/>
      <c r="L60" s="175" t="s">
        <v>1185</v>
      </c>
      <c r="M60" s="162"/>
      <c r="N60" s="163"/>
      <c r="O60" s="166" t="s">
        <v>1187</v>
      </c>
      <c r="P60" s="162"/>
      <c r="Q60" s="163"/>
      <c r="R60" s="164" t="s">
        <v>1192</v>
      </c>
      <c r="S60" s="162"/>
      <c r="T60" s="162"/>
      <c r="U60" s="162"/>
      <c r="V60" s="67"/>
      <c r="W60" s="67"/>
      <c r="X60" s="167"/>
      <c r="Y60" s="167"/>
      <c r="Z60" s="167"/>
      <c r="AA60" s="168"/>
      <c r="AB60" s="169" t="str">
        <f>"  """&amp;B60&amp;": ""901"","""</f>
        <v xml:space="preserve">  "instore_code: "901","</v>
      </c>
      <c r="AC60" s="170"/>
      <c r="AD60" s="170"/>
      <c r="AE60" s="170"/>
      <c r="AF60" s="33"/>
      <c r="AG60" s="33"/>
      <c r="AH60" s="33"/>
      <c r="AI60" s="170"/>
      <c r="AJ60" s="170"/>
      <c r="AK60" s="170"/>
      <c r="AL60" s="170"/>
      <c r="AM60" s="171"/>
      <c r="AN60" s="131" t="s">
        <v>1193</v>
      </c>
      <c r="AO60" s="132"/>
      <c r="AP60" s="132"/>
      <c r="AQ60" s="132"/>
      <c r="AR60" s="132"/>
      <c r="AS60" s="132"/>
      <c r="AT60" s="132"/>
      <c r="AU60" s="132"/>
      <c r="AV60" s="132"/>
      <c r="AW60" s="132"/>
      <c r="AX60" s="132"/>
      <c r="AY60" s="132"/>
      <c r="AZ60" s="132"/>
      <c r="BA60" s="132"/>
      <c r="BB60" s="132"/>
      <c r="BC60" s="132"/>
      <c r="BD60" s="132"/>
      <c r="BE60" s="132"/>
      <c r="BF60" s="132"/>
      <c r="BG60" s="132"/>
      <c r="BH60" s="133"/>
      <c r="BI60" s="133"/>
      <c r="BJ60" s="134"/>
    </row>
    <row r="61" spans="1:63" ht="16.5">
      <c r="B61" s="161" t="s">
        <v>339</v>
      </c>
      <c r="C61" s="162"/>
      <c r="D61" s="162"/>
      <c r="E61" s="162"/>
      <c r="F61" s="162"/>
      <c r="G61" s="162"/>
      <c r="H61" s="163"/>
      <c r="I61" s="164" t="s">
        <v>1184</v>
      </c>
      <c r="J61" s="162"/>
      <c r="K61" s="163"/>
      <c r="L61" s="175" t="s">
        <v>1194</v>
      </c>
      <c r="M61" s="162"/>
      <c r="N61" s="163"/>
      <c r="O61" s="166"/>
      <c r="P61" s="162"/>
      <c r="Q61" s="163"/>
      <c r="R61" s="164" t="s">
        <v>286</v>
      </c>
      <c r="S61" s="162"/>
      <c r="T61" s="162"/>
      <c r="U61" s="162"/>
      <c r="V61" s="67"/>
      <c r="W61" s="67"/>
      <c r="X61" s="167"/>
      <c r="Y61" s="167"/>
      <c r="Z61" s="167"/>
      <c r="AA61" s="168"/>
      <c r="AB61" s="169" t="str">
        <f>"  """&amp;B61&amp;": false,"""</f>
        <v xml:space="preserve">  "RECORD_VOID_FLAG: false,"</v>
      </c>
      <c r="AC61" s="170"/>
      <c r="AD61" s="170"/>
      <c r="AE61" s="170"/>
      <c r="AF61" s="33"/>
      <c r="AG61" s="33"/>
      <c r="AH61" s="33"/>
      <c r="AI61" s="170"/>
      <c r="AJ61" s="170"/>
      <c r="AK61" s="170"/>
      <c r="AL61" s="170"/>
      <c r="AM61" s="171"/>
      <c r="AN61" s="142"/>
      <c r="AO61" s="143"/>
      <c r="AP61" s="144"/>
      <c r="AQ61" s="143"/>
      <c r="AR61" s="143"/>
      <c r="AS61" s="143"/>
      <c r="AT61" s="143"/>
      <c r="AU61" s="143"/>
      <c r="AV61" s="143"/>
      <c r="AW61" s="143"/>
      <c r="AX61" s="143"/>
      <c r="AY61" s="143"/>
      <c r="AZ61" s="143"/>
      <c r="BA61" s="143"/>
      <c r="BB61" s="143"/>
      <c r="BC61" s="143"/>
      <c r="BD61" s="143"/>
      <c r="BE61" s="143"/>
      <c r="BF61" s="143"/>
      <c r="BG61" s="143"/>
      <c r="BH61" s="143"/>
      <c r="BI61" s="143"/>
      <c r="BJ61" s="145"/>
    </row>
    <row r="62" spans="1:63" ht="16.5">
      <c r="B62" s="161" t="s">
        <v>1195</v>
      </c>
      <c r="C62" s="162"/>
      <c r="D62" s="162"/>
      <c r="E62" s="162"/>
      <c r="F62" s="162"/>
      <c r="G62" s="162"/>
      <c r="H62" s="163"/>
      <c r="I62" s="164" t="s">
        <v>437</v>
      </c>
      <c r="J62" s="162"/>
      <c r="K62" s="163"/>
      <c r="L62" s="175"/>
      <c r="M62" s="162"/>
      <c r="N62" s="163"/>
      <c r="O62" s="166" t="s">
        <v>1186</v>
      </c>
      <c r="P62" s="162"/>
      <c r="Q62" s="163"/>
      <c r="R62" s="164" t="s">
        <v>307</v>
      </c>
      <c r="S62" s="162"/>
      <c r="T62" s="162"/>
      <c r="U62" s="162"/>
      <c r="V62" s="67"/>
      <c r="W62" s="67"/>
      <c r="X62" s="167"/>
      <c r="Y62" s="167"/>
      <c r="Z62" s="167"/>
      <c r="AA62" s="168"/>
      <c r="AB62" s="169" t="str">
        <f>"  """&amp;B62&amp;": 9,"""</f>
        <v xml:space="preserve">  "class: 9,"</v>
      </c>
      <c r="AC62" s="170"/>
      <c r="AD62" s="170"/>
      <c r="AE62" s="170"/>
      <c r="AF62" s="33"/>
      <c r="AG62" s="33"/>
      <c r="AH62" s="33"/>
      <c r="AI62" s="170"/>
      <c r="AJ62" s="170"/>
      <c r="AK62" s="170"/>
      <c r="AL62" s="170"/>
      <c r="AM62" s="171"/>
      <c r="AN62" s="158" t="s">
        <v>1196</v>
      </c>
      <c r="AO62" s="159"/>
      <c r="AP62" s="156"/>
      <c r="AQ62" s="160"/>
      <c r="AR62" s="160"/>
      <c r="AS62" s="176"/>
      <c r="AT62" s="177" t="s">
        <v>837</v>
      </c>
      <c r="AU62" s="174"/>
      <c r="AV62" s="174"/>
      <c r="AW62" s="174"/>
      <c r="AX62" s="174"/>
      <c r="AY62" s="174"/>
      <c r="AZ62" s="174"/>
      <c r="BA62" s="174"/>
      <c r="BB62" s="174"/>
      <c r="BC62" s="174"/>
      <c r="BD62" s="174"/>
      <c r="BE62" s="174"/>
      <c r="BF62" s="174"/>
      <c r="BG62" s="174"/>
      <c r="BH62" s="174"/>
      <c r="BI62" s="174"/>
      <c r="BJ62" s="171"/>
    </row>
    <row r="63" spans="1:63" ht="16.5">
      <c r="B63" s="161" t="s">
        <v>1318</v>
      </c>
      <c r="C63" s="162"/>
      <c r="D63" s="162"/>
      <c r="E63" s="162"/>
      <c r="F63" s="162"/>
      <c r="G63" s="162"/>
      <c r="H63" s="163"/>
      <c r="I63" s="164" t="s">
        <v>1198</v>
      </c>
      <c r="J63" s="162"/>
      <c r="K63" s="163"/>
      <c r="L63" s="175"/>
      <c r="M63" s="162"/>
      <c r="N63" s="163"/>
      <c r="O63" s="166"/>
      <c r="P63" s="162"/>
      <c r="Q63" s="163"/>
      <c r="R63" s="164" t="s">
        <v>291</v>
      </c>
      <c r="S63" s="162"/>
      <c r="T63" s="162"/>
      <c r="U63" s="162"/>
      <c r="V63" s="67"/>
      <c r="W63" s="67"/>
      <c r="X63" s="167"/>
      <c r="Y63" s="167"/>
      <c r="Z63" s="167"/>
      <c r="AA63" s="168"/>
      <c r="AB63" s="169" t="str">
        <f>"  """&amp;B63&amp;": 1,"""</f>
        <v xml:space="preserve">  "10000yen: 1,"</v>
      </c>
      <c r="AC63" s="170"/>
      <c r="AD63" s="170"/>
      <c r="AE63" s="170"/>
      <c r="AF63" s="33"/>
      <c r="AG63" s="33"/>
      <c r="AH63" s="33"/>
      <c r="AI63" s="170"/>
      <c r="AJ63" s="170"/>
      <c r="AK63" s="170"/>
      <c r="AL63" s="170"/>
      <c r="AM63" s="171"/>
      <c r="AN63" s="172" t="s">
        <v>1199</v>
      </c>
      <c r="AO63" s="178"/>
      <c r="AP63" s="33"/>
      <c r="AQ63" s="174"/>
      <c r="AR63" s="174"/>
      <c r="AS63" s="179"/>
      <c r="AT63" s="180" t="s">
        <v>1200</v>
      </c>
      <c r="AU63" s="174"/>
      <c r="AV63" s="174"/>
      <c r="AW63" s="174"/>
      <c r="AX63" s="174"/>
      <c r="AY63" s="174"/>
      <c r="AZ63" s="174"/>
      <c r="BA63" s="174"/>
      <c r="BB63" s="174"/>
      <c r="BC63" s="174"/>
      <c r="BD63" s="174"/>
      <c r="BE63" s="174"/>
      <c r="BF63" s="174"/>
      <c r="BG63" s="174"/>
      <c r="BH63" s="174"/>
      <c r="BI63" s="174"/>
      <c r="BJ63" s="171"/>
    </row>
    <row r="64" spans="1:63" ht="16.5">
      <c r="B64" s="161" t="s">
        <v>1319</v>
      </c>
      <c r="C64" s="162"/>
      <c r="D64" s="162"/>
      <c r="E64" s="162"/>
      <c r="F64" s="162"/>
      <c r="G64" s="162"/>
      <c r="H64" s="163"/>
      <c r="I64" s="164" t="s">
        <v>437</v>
      </c>
      <c r="J64" s="162"/>
      <c r="K64" s="163"/>
      <c r="L64" s="175"/>
      <c r="M64" s="162"/>
      <c r="N64" s="163"/>
      <c r="O64" s="166"/>
      <c r="P64" s="162"/>
      <c r="Q64" s="163"/>
      <c r="R64" s="164" t="s">
        <v>292</v>
      </c>
      <c r="S64" s="162"/>
      <c r="T64" s="162"/>
      <c r="U64" s="162"/>
      <c r="V64" s="67"/>
      <c r="W64" s="67"/>
      <c r="X64" s="167"/>
      <c r="Y64" s="167"/>
      <c r="Z64" s="167"/>
      <c r="AA64" s="168"/>
      <c r="AB64" s="169" t="str">
        <f>"  """&amp;B64&amp;": 9,"""</f>
        <v xml:space="preserve">  "5000yen: 9,"</v>
      </c>
      <c r="AC64" s="170"/>
      <c r="AD64" s="170"/>
      <c r="AE64" s="170"/>
      <c r="AF64" s="33"/>
      <c r="AG64" s="33"/>
      <c r="AH64" s="33"/>
      <c r="AI64" s="170"/>
      <c r="AJ64" s="170"/>
      <c r="AK64" s="170"/>
      <c r="AL64" s="170"/>
      <c r="AM64" s="171"/>
      <c r="AN64" s="172" t="s">
        <v>1199</v>
      </c>
      <c r="AO64" s="178"/>
      <c r="AP64" s="33"/>
      <c r="AQ64" s="174"/>
      <c r="AR64" s="174"/>
      <c r="AS64" s="179"/>
      <c r="AT64" s="180" t="s">
        <v>1202</v>
      </c>
      <c r="AU64" s="174"/>
      <c r="AV64" s="174"/>
      <c r="AW64" s="174"/>
      <c r="AX64" s="174"/>
      <c r="AY64" s="174"/>
      <c r="AZ64" s="174"/>
      <c r="BA64" s="174"/>
      <c r="BB64" s="174"/>
      <c r="BC64" s="174"/>
      <c r="BD64" s="174"/>
      <c r="BE64" s="174"/>
      <c r="BF64" s="174"/>
      <c r="BG64" s="174"/>
      <c r="BH64" s="174"/>
      <c r="BI64" s="174"/>
      <c r="BJ64" s="171"/>
    </row>
    <row r="65" spans="1:62" ht="16.5">
      <c r="B65" s="161" t="s">
        <v>1320</v>
      </c>
      <c r="C65" s="162"/>
      <c r="D65" s="162"/>
      <c r="E65" s="162"/>
      <c r="F65" s="162"/>
      <c r="G65" s="162"/>
      <c r="H65" s="163"/>
      <c r="I65" s="164" t="s">
        <v>437</v>
      </c>
      <c r="J65" s="162"/>
      <c r="K65" s="163"/>
      <c r="L65" s="175"/>
      <c r="M65" s="162"/>
      <c r="N65" s="163"/>
      <c r="O65" s="166"/>
      <c r="P65" s="162"/>
      <c r="Q65" s="163"/>
      <c r="R65" s="164" t="s">
        <v>293</v>
      </c>
      <c r="S65" s="162"/>
      <c r="T65" s="162"/>
      <c r="U65" s="162"/>
      <c r="V65" s="67"/>
      <c r="W65" s="67"/>
      <c r="X65" s="167"/>
      <c r="Y65" s="167"/>
      <c r="Z65" s="167"/>
      <c r="AA65" s="168"/>
      <c r="AB65" s="169" t="str">
        <f t="shared" ref="AB65:AB73" si="3">"  """&amp;B65&amp;": 9,"""</f>
        <v xml:space="preserve">  "2000yen: 9,"</v>
      </c>
      <c r="AC65" s="170"/>
      <c r="AD65" s="170"/>
      <c r="AE65" s="170"/>
      <c r="AF65" s="33"/>
      <c r="AG65" s="33"/>
      <c r="AH65" s="33"/>
      <c r="AI65" s="170"/>
      <c r="AJ65" s="170"/>
      <c r="AK65" s="170"/>
      <c r="AL65" s="170"/>
      <c r="AM65" s="171"/>
      <c r="AN65" s="172" t="s">
        <v>1199</v>
      </c>
      <c r="AO65" s="178"/>
      <c r="AP65" s="33"/>
      <c r="AQ65" s="174"/>
      <c r="AR65" s="174"/>
      <c r="AS65" s="179"/>
      <c r="AT65" s="180" t="s">
        <v>1204</v>
      </c>
      <c r="AU65" s="174"/>
      <c r="AV65" s="174"/>
      <c r="AW65" s="174"/>
      <c r="AX65" s="174"/>
      <c r="AY65" s="174"/>
      <c r="AZ65" s="174"/>
      <c r="BA65" s="174"/>
      <c r="BB65" s="174"/>
      <c r="BC65" s="174"/>
      <c r="BD65" s="174"/>
      <c r="BE65" s="174"/>
      <c r="BF65" s="174"/>
      <c r="BG65" s="174"/>
      <c r="BH65" s="174"/>
      <c r="BI65" s="174"/>
      <c r="BJ65" s="171"/>
    </row>
    <row r="66" spans="1:62" ht="16.5">
      <c r="B66" s="161" t="s">
        <v>1321</v>
      </c>
      <c r="C66" s="162"/>
      <c r="D66" s="162"/>
      <c r="E66" s="162"/>
      <c r="F66" s="162"/>
      <c r="G66" s="162"/>
      <c r="H66" s="163"/>
      <c r="I66" s="164" t="s">
        <v>437</v>
      </c>
      <c r="J66" s="162"/>
      <c r="K66" s="163"/>
      <c r="L66" s="181"/>
      <c r="M66" s="162"/>
      <c r="N66" s="163"/>
      <c r="O66" s="166"/>
      <c r="P66" s="162"/>
      <c r="Q66" s="163"/>
      <c r="R66" s="164" t="s">
        <v>294</v>
      </c>
      <c r="S66" s="162"/>
      <c r="T66" s="162"/>
      <c r="U66" s="162"/>
      <c r="V66" s="67"/>
      <c r="W66" s="67"/>
      <c r="X66" s="162"/>
      <c r="Y66" s="162"/>
      <c r="Z66" s="162"/>
      <c r="AA66" s="163"/>
      <c r="AB66" s="169" t="str">
        <f t="shared" si="3"/>
        <v xml:space="preserve">  "1000yen: 9,"</v>
      </c>
      <c r="AC66" s="33"/>
      <c r="AD66" s="33"/>
      <c r="AE66" s="33"/>
      <c r="AF66" s="33"/>
      <c r="AG66" s="33"/>
      <c r="AH66" s="33"/>
      <c r="AI66" s="33"/>
      <c r="AJ66" s="33"/>
      <c r="AK66" s="33"/>
      <c r="AL66" s="33"/>
      <c r="AM66" s="171"/>
      <c r="AN66" s="172" t="s">
        <v>1199</v>
      </c>
      <c r="AO66" s="33"/>
      <c r="AP66" s="33"/>
      <c r="AQ66" s="33"/>
      <c r="AR66" s="33"/>
      <c r="AS66" s="182"/>
      <c r="AT66" s="183" t="s">
        <v>1206</v>
      </c>
      <c r="AU66" s="33"/>
      <c r="AV66" s="33"/>
      <c r="AW66" s="33"/>
      <c r="AX66" s="33"/>
      <c r="AY66" s="33"/>
      <c r="AZ66" s="33"/>
      <c r="BA66" s="33"/>
      <c r="BB66" s="33"/>
      <c r="BC66" s="33"/>
      <c r="BD66" s="33"/>
      <c r="BE66" s="33"/>
      <c r="BF66" s="33"/>
      <c r="BG66" s="33"/>
      <c r="BH66" s="33"/>
      <c r="BI66" s="33"/>
      <c r="BJ66" s="171"/>
    </row>
    <row r="67" spans="1:62" ht="16.5">
      <c r="B67" s="66" t="s">
        <v>1322</v>
      </c>
      <c r="C67" s="67"/>
      <c r="D67" s="67"/>
      <c r="E67" s="67"/>
      <c r="F67" s="67"/>
      <c r="G67" s="67"/>
      <c r="H67" s="184"/>
      <c r="I67" s="185" t="s">
        <v>437</v>
      </c>
      <c r="J67" s="67"/>
      <c r="K67" s="184"/>
      <c r="L67" s="185"/>
      <c r="M67" s="67"/>
      <c r="N67" s="184"/>
      <c r="O67" s="185"/>
      <c r="P67" s="67"/>
      <c r="Q67" s="184"/>
      <c r="R67" s="185" t="s">
        <v>295</v>
      </c>
      <c r="S67" s="67"/>
      <c r="T67" s="67"/>
      <c r="U67" s="67"/>
      <c r="V67" s="67"/>
      <c r="W67" s="67"/>
      <c r="X67" s="67"/>
      <c r="Y67" s="67"/>
      <c r="Z67" s="67"/>
      <c r="AA67" s="184"/>
      <c r="AB67" s="169" t="str">
        <f t="shared" si="3"/>
        <v xml:space="preserve">  "500yen: 9,"</v>
      </c>
      <c r="AC67" s="33"/>
      <c r="AD67" s="33"/>
      <c r="AE67" s="33"/>
      <c r="AF67" s="33"/>
      <c r="AG67" s="33"/>
      <c r="AH67" s="33"/>
      <c r="AI67" s="33"/>
      <c r="AJ67" s="33"/>
      <c r="AK67" s="33"/>
      <c r="AL67" s="33"/>
      <c r="AM67" s="171"/>
      <c r="AN67" s="186"/>
      <c r="AO67" s="33"/>
      <c r="AP67" s="33"/>
      <c r="AQ67" s="33"/>
      <c r="AR67" s="33"/>
      <c r="AS67" s="182"/>
      <c r="AT67" s="183"/>
      <c r="AU67" s="33"/>
      <c r="AV67" s="33"/>
      <c r="AW67" s="33"/>
      <c r="AX67" s="33"/>
      <c r="AY67" s="33"/>
      <c r="AZ67" s="33"/>
      <c r="BA67" s="33"/>
      <c r="BB67" s="33"/>
      <c r="BC67" s="33"/>
      <c r="BD67" s="33"/>
      <c r="BE67" s="33"/>
      <c r="BF67" s="33"/>
      <c r="BG67" s="33"/>
      <c r="BH67" s="33"/>
      <c r="BI67" s="33"/>
      <c r="BJ67" s="171"/>
    </row>
    <row r="68" spans="1:62" ht="16.5">
      <c r="B68" s="66" t="s">
        <v>1323</v>
      </c>
      <c r="C68" s="67"/>
      <c r="D68" s="67"/>
      <c r="E68" s="67"/>
      <c r="F68" s="67"/>
      <c r="G68" s="67"/>
      <c r="H68" s="184"/>
      <c r="I68" s="185" t="s">
        <v>437</v>
      </c>
      <c r="J68" s="67"/>
      <c r="K68" s="184"/>
      <c r="L68" s="185"/>
      <c r="M68" s="67"/>
      <c r="N68" s="184"/>
      <c r="O68" s="185"/>
      <c r="P68" s="67"/>
      <c r="Q68" s="184"/>
      <c r="R68" s="185" t="s">
        <v>296</v>
      </c>
      <c r="S68" s="67"/>
      <c r="T68" s="67"/>
      <c r="U68" s="67"/>
      <c r="V68" s="67"/>
      <c r="W68" s="67"/>
      <c r="X68" s="67"/>
      <c r="Y68" s="67"/>
      <c r="Z68" s="67"/>
      <c r="AA68" s="184"/>
      <c r="AB68" s="169" t="str">
        <f t="shared" si="3"/>
        <v xml:space="preserve">  "100yen: 9,"</v>
      </c>
      <c r="AC68" s="33"/>
      <c r="AD68" s="33"/>
      <c r="AE68" s="33"/>
      <c r="AF68" s="33"/>
      <c r="AG68" s="33"/>
      <c r="AH68" s="33"/>
      <c r="AI68" s="33"/>
      <c r="AJ68" s="33"/>
      <c r="AK68" s="33"/>
      <c r="AL68" s="33"/>
      <c r="AM68" s="171"/>
      <c r="AN68" s="186"/>
      <c r="AO68" s="33"/>
      <c r="AP68" s="33"/>
      <c r="AQ68" s="33"/>
      <c r="AR68" s="33"/>
      <c r="AS68" s="182"/>
      <c r="AT68" s="183"/>
      <c r="AU68" s="33"/>
      <c r="AV68" s="33"/>
      <c r="AW68" s="33"/>
      <c r="AX68" s="33"/>
      <c r="AY68" s="33"/>
      <c r="AZ68" s="33"/>
      <c r="BA68" s="33"/>
      <c r="BB68" s="33"/>
      <c r="BC68" s="33"/>
      <c r="BD68" s="33"/>
      <c r="BE68" s="33"/>
      <c r="BF68" s="33"/>
      <c r="BG68" s="33"/>
      <c r="BH68" s="33"/>
      <c r="BI68" s="33"/>
      <c r="BJ68" s="171"/>
    </row>
    <row r="69" spans="1:62" ht="16.5">
      <c r="B69" s="66" t="s">
        <v>1324</v>
      </c>
      <c r="C69" s="67"/>
      <c r="D69" s="67"/>
      <c r="E69" s="67"/>
      <c r="F69" s="67"/>
      <c r="G69" s="67"/>
      <c r="H69" s="184"/>
      <c r="I69" s="185" t="s">
        <v>437</v>
      </c>
      <c r="J69" s="67"/>
      <c r="K69" s="184"/>
      <c r="L69" s="185"/>
      <c r="M69" s="67"/>
      <c r="N69" s="184"/>
      <c r="O69" s="185"/>
      <c r="P69" s="67"/>
      <c r="Q69" s="184"/>
      <c r="R69" s="185" t="s">
        <v>297</v>
      </c>
      <c r="S69" s="67"/>
      <c r="T69" s="67"/>
      <c r="U69" s="67"/>
      <c r="V69" s="67"/>
      <c r="W69" s="67"/>
      <c r="X69" s="67"/>
      <c r="Y69" s="67"/>
      <c r="Z69" s="67"/>
      <c r="AA69" s="184"/>
      <c r="AB69" s="169" t="str">
        <f t="shared" si="3"/>
        <v xml:space="preserve">  "50yen: 9,"</v>
      </c>
      <c r="AC69" s="33"/>
      <c r="AD69" s="33"/>
      <c r="AE69" s="33"/>
      <c r="AF69" s="33"/>
      <c r="AG69" s="33"/>
      <c r="AH69" s="33"/>
      <c r="AI69" s="33"/>
      <c r="AJ69" s="33"/>
      <c r="AK69" s="33"/>
      <c r="AL69" s="33"/>
      <c r="AM69" s="171"/>
      <c r="AN69" s="186"/>
      <c r="AO69" s="33"/>
      <c r="AP69" s="33"/>
      <c r="AQ69" s="33"/>
      <c r="AR69" s="33"/>
      <c r="AS69" s="182"/>
      <c r="AT69" s="183"/>
      <c r="AU69" s="33"/>
      <c r="AV69" s="33"/>
      <c r="AW69" s="33"/>
      <c r="AX69" s="33"/>
      <c r="AY69" s="33"/>
      <c r="AZ69" s="33"/>
      <c r="BA69" s="33"/>
      <c r="BB69" s="33"/>
      <c r="BC69" s="33"/>
      <c r="BD69" s="33"/>
      <c r="BE69" s="33"/>
      <c r="BF69" s="33"/>
      <c r="BG69" s="33"/>
      <c r="BH69" s="33"/>
      <c r="BI69" s="33"/>
      <c r="BJ69" s="171"/>
    </row>
    <row r="70" spans="1:62" ht="16.5">
      <c r="B70" s="66" t="s">
        <v>1325</v>
      </c>
      <c r="C70" s="67"/>
      <c r="D70" s="67"/>
      <c r="E70" s="67"/>
      <c r="F70" s="67"/>
      <c r="G70" s="67"/>
      <c r="H70" s="184"/>
      <c r="I70" s="185" t="s">
        <v>437</v>
      </c>
      <c r="J70" s="67"/>
      <c r="K70" s="184"/>
      <c r="L70" s="185"/>
      <c r="M70" s="67"/>
      <c r="N70" s="184"/>
      <c r="O70" s="185"/>
      <c r="P70" s="67"/>
      <c r="Q70" s="184"/>
      <c r="R70" s="185" t="s">
        <v>298</v>
      </c>
      <c r="S70" s="67"/>
      <c r="T70" s="67"/>
      <c r="U70" s="67"/>
      <c r="V70" s="67"/>
      <c r="W70" s="67"/>
      <c r="X70" s="67"/>
      <c r="Y70" s="67"/>
      <c r="Z70" s="67"/>
      <c r="AA70" s="184"/>
      <c r="AB70" s="169" t="str">
        <f t="shared" si="3"/>
        <v xml:space="preserve">  "10yen: 9,"</v>
      </c>
      <c r="AC70" s="33"/>
      <c r="AD70" s="33"/>
      <c r="AE70" s="33"/>
      <c r="AF70" s="33"/>
      <c r="AG70" s="33"/>
      <c r="AH70" s="33"/>
      <c r="AI70" s="33"/>
      <c r="AJ70" s="33"/>
      <c r="AK70" s="33"/>
      <c r="AL70" s="33"/>
      <c r="AM70" s="171"/>
      <c r="AN70" s="186"/>
      <c r="AO70" s="33"/>
      <c r="AP70" s="33"/>
      <c r="AQ70" s="33"/>
      <c r="AR70" s="33"/>
      <c r="AS70" s="182"/>
      <c r="AT70" s="183"/>
      <c r="AU70" s="33"/>
      <c r="AV70" s="33"/>
      <c r="AW70" s="33"/>
      <c r="AX70" s="33"/>
      <c r="AY70" s="33"/>
      <c r="AZ70" s="33"/>
      <c r="BA70" s="33"/>
      <c r="BB70" s="33"/>
      <c r="BC70" s="33"/>
      <c r="BD70" s="33"/>
      <c r="BE70" s="33"/>
      <c r="BF70" s="33"/>
      <c r="BG70" s="33"/>
      <c r="BH70" s="33"/>
      <c r="BI70" s="33"/>
      <c r="BJ70" s="171"/>
    </row>
    <row r="71" spans="1:62" ht="16.5">
      <c r="B71" s="66" t="s">
        <v>1326</v>
      </c>
      <c r="C71" s="67"/>
      <c r="D71" s="67"/>
      <c r="E71" s="67"/>
      <c r="F71" s="67"/>
      <c r="G71" s="67"/>
      <c r="H71" s="184"/>
      <c r="I71" s="185" t="s">
        <v>437</v>
      </c>
      <c r="J71" s="67"/>
      <c r="K71" s="184"/>
      <c r="L71" s="185"/>
      <c r="M71" s="67"/>
      <c r="N71" s="184"/>
      <c r="O71" s="185"/>
      <c r="P71" s="67"/>
      <c r="Q71" s="184"/>
      <c r="R71" s="185" t="s">
        <v>299</v>
      </c>
      <c r="S71" s="67"/>
      <c r="T71" s="67"/>
      <c r="U71" s="67"/>
      <c r="V71" s="67"/>
      <c r="W71" s="67"/>
      <c r="X71" s="67"/>
      <c r="Y71" s="67"/>
      <c r="Z71" s="67"/>
      <c r="AA71" s="184"/>
      <c r="AB71" s="169" t="str">
        <f t="shared" si="3"/>
        <v xml:space="preserve">  "5yen: 9,"</v>
      </c>
      <c r="AC71" s="33"/>
      <c r="AD71" s="33"/>
      <c r="AE71" s="33"/>
      <c r="AF71" s="33"/>
      <c r="AG71" s="33"/>
      <c r="AH71" s="33"/>
      <c r="AI71" s="33"/>
      <c r="AJ71" s="33"/>
      <c r="AK71" s="33"/>
      <c r="AL71" s="33"/>
      <c r="AM71" s="171"/>
      <c r="AN71" s="186"/>
      <c r="AO71" s="33"/>
      <c r="AP71" s="33"/>
      <c r="AQ71" s="33"/>
      <c r="AR71" s="33"/>
      <c r="AS71" s="182"/>
      <c r="AT71" s="183"/>
      <c r="AU71" s="33"/>
      <c r="AV71" s="33"/>
      <c r="AW71" s="33"/>
      <c r="AX71" s="33"/>
      <c r="AY71" s="33"/>
      <c r="AZ71" s="33"/>
      <c r="BA71" s="33"/>
      <c r="BB71" s="33"/>
      <c r="BC71" s="33"/>
      <c r="BD71" s="33"/>
      <c r="BE71" s="33"/>
      <c r="BF71" s="33"/>
      <c r="BG71" s="33"/>
      <c r="BH71" s="33"/>
      <c r="BI71" s="33"/>
      <c r="BJ71" s="171"/>
    </row>
    <row r="72" spans="1:62" ht="16.5">
      <c r="B72" s="66" t="s">
        <v>1327</v>
      </c>
      <c r="C72" s="67"/>
      <c r="D72" s="67"/>
      <c r="E72" s="67"/>
      <c r="F72" s="67"/>
      <c r="G72" s="67"/>
      <c r="H72" s="184"/>
      <c r="I72" s="185" t="s">
        <v>437</v>
      </c>
      <c r="J72" s="67"/>
      <c r="K72" s="184"/>
      <c r="L72" s="185"/>
      <c r="M72" s="67"/>
      <c r="N72" s="184"/>
      <c r="O72" s="185"/>
      <c r="P72" s="67"/>
      <c r="Q72" s="184"/>
      <c r="R72" s="185" t="s">
        <v>300</v>
      </c>
      <c r="S72" s="67"/>
      <c r="T72" s="67"/>
      <c r="U72" s="67"/>
      <c r="V72" s="67"/>
      <c r="W72" s="67"/>
      <c r="X72" s="67"/>
      <c r="Y72" s="67"/>
      <c r="Z72" s="67"/>
      <c r="AA72" s="184"/>
      <c r="AB72" s="169" t="str">
        <f t="shared" si="3"/>
        <v xml:space="preserve">  "1yen: 9,"</v>
      </c>
      <c r="AC72" s="33"/>
      <c r="AD72" s="33"/>
      <c r="AE72" s="33"/>
      <c r="AF72" s="33"/>
      <c r="AG72" s="33"/>
      <c r="AH72" s="33"/>
      <c r="AI72" s="33"/>
      <c r="AJ72" s="33"/>
      <c r="AK72" s="33"/>
      <c r="AL72" s="33"/>
      <c r="AM72" s="171"/>
      <c r="AN72" s="186"/>
      <c r="AO72" s="33"/>
      <c r="AP72" s="33"/>
      <c r="AQ72" s="33"/>
      <c r="AR72" s="33"/>
      <c r="AS72" s="182"/>
      <c r="AT72" s="183"/>
      <c r="AU72" s="33"/>
      <c r="AV72" s="33"/>
      <c r="AW72" s="33"/>
      <c r="AX72" s="33"/>
      <c r="AY72" s="33"/>
      <c r="AZ72" s="33"/>
      <c r="BA72" s="33"/>
      <c r="BB72" s="33"/>
      <c r="BC72" s="33"/>
      <c r="BD72" s="33"/>
      <c r="BE72" s="33"/>
      <c r="BF72" s="33"/>
      <c r="BG72" s="33"/>
      <c r="BH72" s="33"/>
      <c r="BI72" s="33"/>
      <c r="BJ72" s="171"/>
    </row>
    <row r="73" spans="1:62" ht="16.5">
      <c r="B73" s="66" t="s">
        <v>1316</v>
      </c>
      <c r="C73" s="67"/>
      <c r="D73" s="67"/>
      <c r="E73" s="67"/>
      <c r="F73" s="67"/>
      <c r="G73" s="67"/>
      <c r="H73" s="184"/>
      <c r="I73" s="185" t="s">
        <v>437</v>
      </c>
      <c r="J73" s="67"/>
      <c r="K73" s="184"/>
      <c r="L73" s="185"/>
      <c r="M73" s="67"/>
      <c r="N73" s="184"/>
      <c r="O73" s="185"/>
      <c r="P73" s="67"/>
      <c r="Q73" s="184"/>
      <c r="R73" s="185" t="s">
        <v>1328</v>
      </c>
      <c r="S73" s="67"/>
      <c r="T73" s="67"/>
      <c r="U73" s="67"/>
      <c r="V73" s="67"/>
      <c r="W73" s="67"/>
      <c r="X73" s="67"/>
      <c r="Y73" s="67"/>
      <c r="Z73" s="67"/>
      <c r="AA73" s="184"/>
      <c r="AB73" s="169" t="str">
        <f t="shared" si="3"/>
        <v xml:space="preserve">  "cassette: 9,"</v>
      </c>
      <c r="AC73" s="33"/>
      <c r="AD73" s="33"/>
      <c r="AE73" s="33"/>
      <c r="AF73" s="33"/>
      <c r="AG73" s="33"/>
      <c r="AH73" s="33"/>
      <c r="AI73" s="33"/>
      <c r="AJ73" s="33"/>
      <c r="AK73" s="33"/>
      <c r="AL73" s="33"/>
      <c r="AM73" s="171"/>
      <c r="AN73" s="186"/>
      <c r="AO73" s="33"/>
      <c r="AP73" s="33"/>
      <c r="AQ73" s="33"/>
      <c r="AR73" s="33"/>
      <c r="AS73" s="182"/>
      <c r="AT73" s="183"/>
      <c r="AU73" s="33"/>
      <c r="AV73" s="33"/>
      <c r="AW73" s="33"/>
      <c r="AX73" s="33"/>
      <c r="AY73" s="33"/>
      <c r="AZ73" s="33"/>
      <c r="BA73" s="33"/>
      <c r="BB73" s="33"/>
      <c r="BC73" s="33"/>
      <c r="BD73" s="33"/>
      <c r="BE73" s="33"/>
      <c r="BF73" s="33"/>
      <c r="BG73" s="33"/>
      <c r="BH73" s="33"/>
      <c r="BI73" s="33"/>
      <c r="BJ73" s="171"/>
    </row>
    <row r="74" spans="1:62">
      <c r="B74" s="120"/>
      <c r="C74" s="121"/>
      <c r="D74" s="121"/>
      <c r="E74" s="121"/>
      <c r="F74" s="121"/>
      <c r="G74" s="121"/>
      <c r="H74" s="187"/>
      <c r="I74" s="188"/>
      <c r="J74" s="121"/>
      <c r="K74" s="187"/>
      <c r="L74" s="188"/>
      <c r="M74" s="121"/>
      <c r="N74" s="187"/>
      <c r="O74" s="188"/>
      <c r="P74" s="121"/>
      <c r="Q74" s="187"/>
      <c r="R74" s="188"/>
      <c r="S74" s="121"/>
      <c r="T74" s="121"/>
      <c r="U74" s="121"/>
      <c r="V74" s="121"/>
      <c r="W74" s="121"/>
      <c r="X74" s="121"/>
      <c r="Y74" s="121"/>
      <c r="Z74" s="121"/>
      <c r="AA74" s="187"/>
      <c r="AB74" s="189" t="s">
        <v>1244</v>
      </c>
      <c r="AC74" s="190"/>
      <c r="AD74" s="190"/>
      <c r="AE74" s="190"/>
      <c r="AF74" s="190"/>
      <c r="AG74" s="190"/>
      <c r="AH74" s="190"/>
      <c r="AI74" s="190"/>
      <c r="AJ74" s="190"/>
      <c r="AK74" s="190"/>
      <c r="AL74" s="190"/>
      <c r="AM74" s="191"/>
      <c r="AN74" s="192"/>
      <c r="AO74" s="190"/>
      <c r="AP74" s="190"/>
      <c r="AQ74" s="190"/>
      <c r="AR74" s="190"/>
      <c r="AS74" s="193"/>
      <c r="AT74" s="189"/>
      <c r="AU74" s="190"/>
      <c r="AV74" s="190"/>
      <c r="AW74" s="190"/>
      <c r="AX74" s="190"/>
      <c r="AY74" s="190"/>
      <c r="AZ74" s="190"/>
      <c r="BA74" s="190"/>
      <c r="BB74" s="190"/>
      <c r="BC74" s="190"/>
      <c r="BD74" s="190"/>
      <c r="BE74" s="190"/>
      <c r="BF74" s="190"/>
      <c r="BG74" s="190"/>
      <c r="BH74" s="190"/>
      <c r="BI74" s="190"/>
      <c r="BJ74" s="191"/>
    </row>
    <row r="75" spans="1:62" ht="15" customHeight="1">
      <c r="A75" s="1"/>
    </row>
    <row r="76" spans="1:62" ht="15" customHeight="1">
      <c r="A76" s="1"/>
      <c r="B76" s="128" t="s">
        <v>1245</v>
      </c>
      <c r="C76" s="129"/>
      <c r="D76" s="129"/>
      <c r="E76" s="129"/>
      <c r="F76" s="129"/>
      <c r="G76" s="129"/>
      <c r="H76" s="129"/>
      <c r="I76" s="129"/>
      <c r="J76" s="129"/>
      <c r="K76" s="129"/>
      <c r="L76" s="129"/>
      <c r="M76" s="129"/>
      <c r="N76" s="129"/>
      <c r="O76" s="129"/>
      <c r="P76" s="129"/>
      <c r="Q76" s="129"/>
      <c r="R76" s="129"/>
      <c r="S76" s="129"/>
      <c r="T76" s="129"/>
      <c r="U76" s="129"/>
      <c r="V76" s="129"/>
      <c r="W76" s="129"/>
      <c r="X76" s="129"/>
      <c r="Y76" s="129"/>
      <c r="Z76" s="129"/>
      <c r="AA76" s="129"/>
      <c r="AB76" s="129"/>
      <c r="AC76" s="129"/>
      <c r="AD76" s="129"/>
      <c r="AE76" s="129"/>
      <c r="AF76" s="129"/>
      <c r="AG76" s="129"/>
      <c r="AH76" s="129"/>
      <c r="AI76" s="129"/>
      <c r="AJ76" s="129"/>
      <c r="AK76" s="129"/>
      <c r="AL76" s="129"/>
      <c r="AM76" s="130"/>
      <c r="AN76" s="131" t="s">
        <v>1174</v>
      </c>
      <c r="AO76" s="132"/>
      <c r="AP76" s="132"/>
      <c r="AQ76" s="132"/>
      <c r="AR76" s="132"/>
      <c r="AS76" s="132"/>
      <c r="AT76" s="132"/>
      <c r="AU76" s="132"/>
      <c r="AV76" s="132"/>
      <c r="AW76" s="132"/>
      <c r="AX76" s="132"/>
      <c r="AY76" s="132"/>
      <c r="AZ76" s="132"/>
      <c r="BA76" s="132"/>
      <c r="BB76" s="132"/>
      <c r="BC76" s="132"/>
      <c r="BD76" s="132"/>
      <c r="BE76" s="132"/>
      <c r="BF76" s="132"/>
      <c r="BG76" s="132"/>
      <c r="BH76" s="133"/>
      <c r="BI76" s="133"/>
      <c r="BJ76" s="134"/>
    </row>
    <row r="77" spans="1:62" ht="15" customHeight="1">
      <c r="A77" s="1"/>
      <c r="B77" s="135" t="s">
        <v>1175</v>
      </c>
      <c r="C77" s="136"/>
      <c r="D77" s="136"/>
      <c r="E77" s="136"/>
      <c r="F77" s="136"/>
      <c r="G77" s="136"/>
      <c r="H77" s="136"/>
      <c r="I77" s="137" t="s">
        <v>1176</v>
      </c>
      <c r="J77" s="136"/>
      <c r="K77" s="136"/>
      <c r="L77" s="137" t="s">
        <v>1177</v>
      </c>
      <c r="M77" s="138"/>
      <c r="N77" s="138"/>
      <c r="O77" s="139" t="s">
        <v>1178</v>
      </c>
      <c r="P77" s="138"/>
      <c r="Q77" s="136"/>
      <c r="R77" s="137" t="s">
        <v>1179</v>
      </c>
      <c r="S77" s="138"/>
      <c r="T77" s="138"/>
      <c r="U77" s="136"/>
      <c r="V77" s="140"/>
      <c r="W77" s="140"/>
      <c r="X77" s="136"/>
      <c r="Y77" s="136"/>
      <c r="Z77" s="136"/>
      <c r="AA77" s="136"/>
      <c r="AB77" s="137" t="s">
        <v>1180</v>
      </c>
      <c r="AC77" s="136"/>
      <c r="AD77" s="136"/>
      <c r="AE77" s="136"/>
      <c r="AF77" s="140"/>
      <c r="AG77" s="140"/>
      <c r="AH77" s="140"/>
      <c r="AI77" s="136"/>
      <c r="AJ77" s="136"/>
      <c r="AK77" s="136"/>
      <c r="AL77" s="136"/>
      <c r="AM77" s="141"/>
      <c r="AN77" s="142"/>
      <c r="AO77" s="143"/>
      <c r="AP77" s="144"/>
      <c r="AQ77" s="143"/>
      <c r="AR77" s="143"/>
      <c r="AS77" s="143"/>
      <c r="AT77" s="143"/>
      <c r="AU77" s="143"/>
      <c r="AV77" s="143"/>
      <c r="AW77" s="143"/>
      <c r="AX77" s="143"/>
      <c r="AY77" s="143"/>
      <c r="AZ77" s="143"/>
      <c r="BA77" s="143"/>
      <c r="BB77" s="143"/>
      <c r="BC77" s="143"/>
      <c r="BD77" s="143"/>
      <c r="BE77" s="143"/>
      <c r="BF77" s="143"/>
      <c r="BG77" s="143"/>
      <c r="BH77" s="143"/>
      <c r="BI77" s="143"/>
      <c r="BJ77" s="145"/>
    </row>
    <row r="78" spans="1:62" ht="15" customHeight="1">
      <c r="A78" s="1"/>
      <c r="B78" s="146"/>
      <c r="C78" s="147"/>
      <c r="D78" s="147"/>
      <c r="E78" s="147"/>
      <c r="F78" s="147"/>
      <c r="G78" s="147"/>
      <c r="H78" s="148"/>
      <c r="I78" s="149"/>
      <c r="J78" s="147"/>
      <c r="K78" s="148"/>
      <c r="L78" s="150"/>
      <c r="M78" s="147"/>
      <c r="N78" s="148"/>
      <c r="O78" s="151"/>
      <c r="P78" s="147"/>
      <c r="Q78" s="148"/>
      <c r="R78" s="149"/>
      <c r="S78" s="147"/>
      <c r="T78" s="147"/>
      <c r="U78" s="147"/>
      <c r="V78" s="124"/>
      <c r="W78" s="124"/>
      <c r="X78" s="152"/>
      <c r="Y78" s="152"/>
      <c r="Z78" s="152"/>
      <c r="AA78" s="153"/>
      <c r="AB78" s="154" t="s">
        <v>1181</v>
      </c>
      <c r="AC78" s="155"/>
      <c r="AD78" s="155"/>
      <c r="AE78" s="155"/>
      <c r="AF78" s="156"/>
      <c r="AG78" s="156"/>
      <c r="AH78" s="156"/>
      <c r="AI78" s="155"/>
      <c r="AJ78" s="155"/>
      <c r="AK78" s="155"/>
      <c r="AL78" s="155"/>
      <c r="AM78" s="157"/>
      <c r="AN78" s="194" t="s">
        <v>1175</v>
      </c>
      <c r="AO78" s="195"/>
      <c r="AP78" s="195"/>
      <c r="AQ78" s="195"/>
      <c r="AR78" s="195"/>
      <c r="AS78" s="195"/>
      <c r="AT78" s="195"/>
      <c r="AU78" s="196" t="s">
        <v>1176</v>
      </c>
      <c r="AV78" s="195"/>
      <c r="AW78" s="195"/>
      <c r="AX78" s="196" t="s">
        <v>1246</v>
      </c>
      <c r="AY78" s="197"/>
      <c r="AZ78" s="197"/>
      <c r="BA78" s="197"/>
      <c r="BB78" s="197"/>
      <c r="BC78" s="197"/>
      <c r="BD78" s="197"/>
      <c r="BE78" s="197"/>
      <c r="BF78" s="197"/>
      <c r="BG78" s="197"/>
      <c r="BH78" s="197"/>
      <c r="BI78" s="197"/>
      <c r="BJ78" s="45"/>
    </row>
    <row r="79" spans="1:62" ht="15" customHeight="1">
      <c r="A79" s="1"/>
      <c r="B79" s="161" t="s">
        <v>1183</v>
      </c>
      <c r="C79" s="162"/>
      <c r="D79" s="162"/>
      <c r="E79" s="162"/>
      <c r="F79" s="162"/>
      <c r="G79" s="162"/>
      <c r="H79" s="163"/>
      <c r="I79" s="164" t="s">
        <v>1184</v>
      </c>
      <c r="J79" s="162"/>
      <c r="K79" s="163"/>
      <c r="L79" s="165" t="s">
        <v>1185</v>
      </c>
      <c r="M79" s="162"/>
      <c r="N79" s="163"/>
      <c r="O79" s="166" t="s">
        <v>1187</v>
      </c>
      <c r="P79" s="162"/>
      <c r="Q79" s="163"/>
      <c r="R79" s="164" t="s">
        <v>1188</v>
      </c>
      <c r="S79" s="162"/>
      <c r="T79" s="162"/>
      <c r="U79" s="162"/>
      <c r="V79" s="67"/>
      <c r="W79" s="67"/>
      <c r="X79" s="167"/>
      <c r="Y79" s="167"/>
      <c r="Z79" s="167"/>
      <c r="AA79" s="168"/>
      <c r="AB79" s="169" t="str">
        <f>"  """&amp;B79&amp;": ""300"","""</f>
        <v xml:space="preserve">  "company_code: "300","</v>
      </c>
      <c r="AC79" s="170"/>
      <c r="AD79" s="170"/>
      <c r="AE79" s="170"/>
      <c r="AF79" s="33"/>
      <c r="AG79" s="33"/>
      <c r="AH79" s="33"/>
      <c r="AI79" s="170"/>
      <c r="AJ79" s="170"/>
      <c r="AK79" s="170"/>
      <c r="AL79" s="170"/>
      <c r="AM79" s="171"/>
      <c r="AN79" s="146"/>
      <c r="AO79" s="147"/>
      <c r="AP79" s="147"/>
      <c r="AQ79" s="147"/>
      <c r="AR79" s="147"/>
      <c r="AS79" s="147"/>
      <c r="AT79" s="148"/>
      <c r="AU79" s="149"/>
      <c r="AV79" s="147"/>
      <c r="AW79" s="148"/>
      <c r="AX79" s="213" t="s">
        <v>1181</v>
      </c>
      <c r="AY79" s="214"/>
      <c r="AZ79" s="214"/>
      <c r="BA79" s="214"/>
      <c r="BB79" s="214"/>
      <c r="BC79" s="214"/>
      <c r="BD79" s="214"/>
      <c r="BE79" s="214"/>
      <c r="BF79" s="214"/>
      <c r="BG79" s="214"/>
      <c r="BH79" s="214"/>
      <c r="BI79" s="214"/>
      <c r="BJ79" s="125"/>
    </row>
    <row r="80" spans="1:62" ht="15" customHeight="1">
      <c r="A80" s="127"/>
      <c r="B80" s="161" t="s">
        <v>1189</v>
      </c>
      <c r="C80" s="162"/>
      <c r="D80" s="162"/>
      <c r="E80" s="162"/>
      <c r="F80" s="162"/>
      <c r="G80" s="162"/>
      <c r="H80" s="163"/>
      <c r="I80" s="164" t="s">
        <v>1184</v>
      </c>
      <c r="J80" s="162"/>
      <c r="K80" s="163"/>
      <c r="L80" s="175" t="s">
        <v>1185</v>
      </c>
      <c r="M80" s="162"/>
      <c r="N80" s="163"/>
      <c r="O80" s="166" t="s">
        <v>1187</v>
      </c>
      <c r="P80" s="162"/>
      <c r="Q80" s="163"/>
      <c r="R80" s="164" t="s">
        <v>1190</v>
      </c>
      <c r="S80" s="162"/>
      <c r="T80" s="162"/>
      <c r="U80" s="162"/>
      <c r="V80" s="67"/>
      <c r="W80" s="67"/>
      <c r="X80" s="167"/>
      <c r="Y80" s="167"/>
      <c r="Z80" s="167"/>
      <c r="AA80" s="168"/>
      <c r="AB80" s="169" t="str">
        <f>"  """&amp;B80&amp;": ""048405"","""</f>
        <v xml:space="preserve">  "store_code: "048405","</v>
      </c>
      <c r="AC80" s="170"/>
      <c r="AD80" s="170"/>
      <c r="AE80" s="170"/>
      <c r="AF80" s="33"/>
      <c r="AG80" s="33"/>
      <c r="AH80" s="33"/>
      <c r="AI80" s="170"/>
      <c r="AJ80" s="170"/>
      <c r="AK80" s="170"/>
      <c r="AL80" s="170"/>
      <c r="AM80" s="171"/>
      <c r="AN80" s="161" t="s">
        <v>212</v>
      </c>
      <c r="AO80" s="162"/>
      <c r="AP80" s="162"/>
      <c r="AQ80" s="162"/>
      <c r="AR80" s="162"/>
      <c r="AS80" s="162"/>
      <c r="AT80" s="163"/>
      <c r="AU80" s="164" t="s">
        <v>246</v>
      </c>
      <c r="AV80" s="162"/>
      <c r="AW80" s="163"/>
      <c r="AX80" s="215" t="s">
        <v>1247</v>
      </c>
      <c r="AY80" s="216"/>
      <c r="AZ80" s="216"/>
      <c r="BA80" s="216"/>
      <c r="BB80" s="216"/>
      <c r="BC80" s="216"/>
      <c r="BD80" s="216"/>
      <c r="BE80" s="216"/>
      <c r="BF80" s="216"/>
      <c r="BG80" s="216"/>
      <c r="BH80" s="216"/>
      <c r="BI80" s="216"/>
      <c r="BJ80" s="68"/>
    </row>
    <row r="81" spans="1:62" ht="16.5">
      <c r="A81" s="4"/>
      <c r="B81" s="161" t="s">
        <v>1191</v>
      </c>
      <c r="C81" s="162"/>
      <c r="D81" s="162"/>
      <c r="E81" s="162"/>
      <c r="F81" s="162"/>
      <c r="G81" s="162"/>
      <c r="H81" s="163"/>
      <c r="I81" s="164" t="s">
        <v>1184</v>
      </c>
      <c r="J81" s="162"/>
      <c r="K81" s="163"/>
      <c r="L81" s="175" t="s">
        <v>1185</v>
      </c>
      <c r="M81" s="162"/>
      <c r="N81" s="163"/>
      <c r="O81" s="166" t="s">
        <v>1187</v>
      </c>
      <c r="P81" s="162"/>
      <c r="Q81" s="163"/>
      <c r="R81" s="164" t="s">
        <v>1192</v>
      </c>
      <c r="S81" s="162"/>
      <c r="T81" s="162"/>
      <c r="U81" s="162"/>
      <c r="V81" s="67"/>
      <c r="W81" s="67"/>
      <c r="X81" s="167"/>
      <c r="Y81" s="167"/>
      <c r="Z81" s="167"/>
      <c r="AA81" s="168"/>
      <c r="AB81" s="169" t="str">
        <f>"  """&amp;B81&amp;": ""901"","""</f>
        <v xml:space="preserve">  "instore_code: "901","</v>
      </c>
      <c r="AC81" s="170"/>
      <c r="AD81" s="170"/>
      <c r="AE81" s="170"/>
      <c r="AF81" s="33"/>
      <c r="AG81" s="33"/>
      <c r="AH81" s="33"/>
      <c r="AI81" s="170"/>
      <c r="AJ81" s="170"/>
      <c r="AK81" s="170"/>
      <c r="AL81" s="170"/>
      <c r="AM81" s="171"/>
      <c r="AN81" s="161" t="s">
        <v>214</v>
      </c>
      <c r="AO81" s="162"/>
      <c r="AP81" s="162"/>
      <c r="AQ81" s="162"/>
      <c r="AR81" s="162"/>
      <c r="AS81" s="162"/>
      <c r="AT81" s="163"/>
      <c r="AU81" s="164" t="s">
        <v>246</v>
      </c>
      <c r="AV81" s="162"/>
      <c r="AW81" s="163"/>
      <c r="AX81" s="215" t="s">
        <v>1248</v>
      </c>
      <c r="AY81" s="217"/>
      <c r="AZ81" s="217"/>
      <c r="BA81" s="217"/>
      <c r="BB81" s="217"/>
      <c r="BC81" s="217"/>
      <c r="BD81" s="217"/>
      <c r="BE81" s="217"/>
      <c r="BF81" s="217"/>
      <c r="BG81" s="217"/>
      <c r="BH81" s="67"/>
      <c r="BI81" s="67"/>
      <c r="BJ81" s="68"/>
    </row>
    <row r="82" spans="1:62" ht="16.5">
      <c r="B82" s="218" t="s">
        <v>1195</v>
      </c>
      <c r="C82" s="219"/>
      <c r="D82" s="219"/>
      <c r="E82" s="219"/>
      <c r="F82" s="219"/>
      <c r="G82" s="219"/>
      <c r="H82" s="220"/>
      <c r="I82" s="221" t="s">
        <v>437</v>
      </c>
      <c r="J82" s="219"/>
      <c r="K82" s="220"/>
      <c r="L82" s="222"/>
      <c r="M82" s="219"/>
      <c r="N82" s="220"/>
      <c r="O82" s="223" t="s">
        <v>1329</v>
      </c>
      <c r="P82" s="219"/>
      <c r="Q82" s="220"/>
      <c r="R82" s="221" t="s">
        <v>307</v>
      </c>
      <c r="S82" s="219"/>
      <c r="T82" s="219"/>
      <c r="U82" s="219"/>
      <c r="V82" s="204"/>
      <c r="W82" s="204"/>
      <c r="X82" s="224"/>
      <c r="Y82" s="224"/>
      <c r="Z82" s="224"/>
      <c r="AA82" s="225"/>
      <c r="AB82" s="169" t="s">
        <v>1252</v>
      </c>
      <c r="AC82" s="170"/>
      <c r="AD82" s="170"/>
      <c r="AE82" s="170"/>
      <c r="AF82" s="33"/>
      <c r="AG82" s="33"/>
      <c r="AH82" s="33"/>
      <c r="AI82" s="170"/>
      <c r="AJ82" s="170"/>
      <c r="AK82" s="170"/>
      <c r="AL82" s="170"/>
      <c r="AM82" s="171"/>
      <c r="AN82" s="161" t="s">
        <v>216</v>
      </c>
      <c r="AO82" s="162"/>
      <c r="AP82" s="162"/>
      <c r="AQ82" s="162"/>
      <c r="AR82" s="162"/>
      <c r="AS82" s="162"/>
      <c r="AT82" s="163"/>
      <c r="AU82" s="164" t="s">
        <v>246</v>
      </c>
      <c r="AV82" s="162"/>
      <c r="AW82" s="163"/>
      <c r="AX82" s="215" t="s">
        <v>1250</v>
      </c>
      <c r="AY82" s="162"/>
      <c r="AZ82" s="162"/>
      <c r="BA82" s="162"/>
      <c r="BB82" s="162"/>
      <c r="BC82" s="162"/>
      <c r="BD82" s="162"/>
      <c r="BE82" s="162"/>
      <c r="BF82" s="162"/>
      <c r="BG82" s="162"/>
      <c r="BH82" s="162"/>
      <c r="BI82" s="162"/>
      <c r="BJ82" s="68"/>
    </row>
    <row r="83" spans="1:62">
      <c r="B83" s="66"/>
      <c r="C83" s="67"/>
      <c r="D83" s="67"/>
      <c r="E83" s="67"/>
      <c r="F83" s="67"/>
      <c r="G83" s="67"/>
      <c r="H83" s="184"/>
      <c r="I83" s="185"/>
      <c r="J83" s="67"/>
      <c r="K83" s="184"/>
      <c r="L83" s="185"/>
      <c r="M83" s="67"/>
      <c r="N83" s="184"/>
      <c r="O83" s="185"/>
      <c r="P83" s="67"/>
      <c r="Q83" s="184"/>
      <c r="R83" s="185"/>
      <c r="S83" s="67"/>
      <c r="T83" s="67"/>
      <c r="U83" s="67"/>
      <c r="V83" s="67"/>
      <c r="W83" s="67"/>
      <c r="X83" s="67"/>
      <c r="Y83" s="67"/>
      <c r="Z83" s="67"/>
      <c r="AA83" s="184"/>
      <c r="AB83" s="226" t="s">
        <v>1244</v>
      </c>
      <c r="AC83" s="227"/>
      <c r="AD83" s="227"/>
      <c r="AE83" s="227"/>
      <c r="AF83" s="227"/>
      <c r="AG83" s="227"/>
      <c r="AH83" s="227"/>
      <c r="AI83" s="227"/>
      <c r="AJ83" s="227"/>
      <c r="AK83" s="227"/>
      <c r="AL83" s="227"/>
      <c r="AM83" s="228"/>
      <c r="AN83" s="66" t="s">
        <v>60</v>
      </c>
      <c r="AO83" s="67"/>
      <c r="AP83" s="67"/>
      <c r="AQ83" s="67"/>
      <c r="AR83" s="67"/>
      <c r="AS83" s="67"/>
      <c r="AT83" s="184"/>
      <c r="AU83" s="185" t="s">
        <v>246</v>
      </c>
      <c r="AV83" s="67"/>
      <c r="AW83" s="184"/>
      <c r="AX83" s="185" t="s">
        <v>1251</v>
      </c>
      <c r="AY83" s="67"/>
      <c r="AZ83" s="67"/>
      <c r="BA83" s="67"/>
      <c r="BB83" s="67"/>
      <c r="BC83" s="67"/>
      <c r="BD83" s="67"/>
      <c r="BE83" s="67"/>
      <c r="BF83" s="67"/>
      <c r="BG83" s="67"/>
      <c r="BH83" s="67"/>
      <c r="BI83" s="67"/>
      <c r="BJ83" s="68"/>
    </row>
    <row r="84" spans="1:62">
      <c r="B84" s="66"/>
      <c r="C84" s="67"/>
      <c r="D84" s="67"/>
      <c r="E84" s="67"/>
      <c r="F84" s="67"/>
      <c r="G84" s="67"/>
      <c r="H84" s="184"/>
      <c r="I84" s="185"/>
      <c r="J84" s="67"/>
      <c r="K84" s="184"/>
      <c r="L84" s="185"/>
      <c r="M84" s="67"/>
      <c r="N84" s="184"/>
      <c r="O84" s="185"/>
      <c r="P84" s="67"/>
      <c r="Q84" s="184"/>
      <c r="R84" s="185"/>
      <c r="S84" s="67"/>
      <c r="T84" s="67"/>
      <c r="U84" s="67"/>
      <c r="V84" s="67"/>
      <c r="W84" s="67"/>
      <c r="X84" s="67"/>
      <c r="Y84" s="67"/>
      <c r="Z84" s="67"/>
      <c r="AA84" s="184"/>
      <c r="AB84" s="185"/>
      <c r="AC84" s="67"/>
      <c r="AD84" s="67"/>
      <c r="AE84" s="67"/>
      <c r="AF84" s="67"/>
      <c r="AG84" s="67"/>
      <c r="AH84" s="67"/>
      <c r="AI84" s="67"/>
      <c r="AJ84" s="67"/>
      <c r="AK84" s="67"/>
      <c r="AL84" s="67"/>
      <c r="AM84" s="67"/>
      <c r="AN84" s="66" t="s">
        <v>1195</v>
      </c>
      <c r="AO84" s="67"/>
      <c r="AP84" s="67"/>
      <c r="AQ84" s="67"/>
      <c r="AR84" s="67"/>
      <c r="AS84" s="67"/>
      <c r="AT84" s="184"/>
      <c r="AU84" s="185" t="s">
        <v>437</v>
      </c>
      <c r="AV84" s="67"/>
      <c r="AW84" s="184"/>
      <c r="AX84" s="185" t="s">
        <v>1252</v>
      </c>
      <c r="AY84" s="67"/>
      <c r="AZ84" s="67"/>
      <c r="BA84" s="67"/>
      <c r="BB84" s="67"/>
      <c r="BC84" s="67"/>
      <c r="BD84" s="67"/>
      <c r="BE84" s="67"/>
      <c r="BF84" s="67"/>
      <c r="BG84" s="67"/>
      <c r="BH84" s="67"/>
      <c r="BI84" s="67"/>
      <c r="BJ84" s="68"/>
    </row>
    <row r="85" spans="1:62">
      <c r="B85" s="66"/>
      <c r="C85" s="67"/>
      <c r="D85" s="67"/>
      <c r="E85" s="67"/>
      <c r="F85" s="67"/>
      <c r="G85" s="67"/>
      <c r="H85" s="184"/>
      <c r="I85" s="185"/>
      <c r="J85" s="67"/>
      <c r="K85" s="184"/>
      <c r="L85" s="185"/>
      <c r="M85" s="67"/>
      <c r="N85" s="184"/>
      <c r="O85" s="185"/>
      <c r="P85" s="67"/>
      <c r="Q85" s="184"/>
      <c r="R85" s="185"/>
      <c r="S85" s="67"/>
      <c r="T85" s="67"/>
      <c r="U85" s="67"/>
      <c r="V85" s="67"/>
      <c r="W85" s="67"/>
      <c r="X85" s="67"/>
      <c r="Y85" s="67"/>
      <c r="Z85" s="67"/>
      <c r="AA85" s="184"/>
      <c r="AB85" s="185"/>
      <c r="AC85" s="67"/>
      <c r="AD85" s="67"/>
      <c r="AE85" s="67"/>
      <c r="AF85" s="67"/>
      <c r="AG85" s="67"/>
      <c r="AH85" s="67"/>
      <c r="AI85" s="67"/>
      <c r="AJ85" s="67"/>
      <c r="AK85" s="67"/>
      <c r="AL85" s="67"/>
      <c r="AM85" s="67"/>
      <c r="AN85" s="66" t="s">
        <v>1318</v>
      </c>
      <c r="AO85" s="67"/>
      <c r="AP85" s="67"/>
      <c r="AQ85" s="67"/>
      <c r="AR85" s="67"/>
      <c r="AS85" s="67"/>
      <c r="AT85" s="184"/>
      <c r="AU85" s="185" t="s">
        <v>437</v>
      </c>
      <c r="AV85" s="67"/>
      <c r="AW85" s="184"/>
      <c r="AX85" s="185" t="s">
        <v>1330</v>
      </c>
      <c r="AY85" s="67"/>
      <c r="AZ85" s="67"/>
      <c r="BA85" s="67"/>
      <c r="BB85" s="67"/>
      <c r="BC85" s="67"/>
      <c r="BD85" s="67"/>
      <c r="BE85" s="67"/>
      <c r="BF85" s="67"/>
      <c r="BG85" s="67"/>
      <c r="BH85" s="67"/>
      <c r="BI85" s="67"/>
      <c r="BJ85" s="68"/>
    </row>
    <row r="86" spans="1:62">
      <c r="B86" s="66"/>
      <c r="C86" s="67"/>
      <c r="D86" s="67"/>
      <c r="E86" s="67"/>
      <c r="F86" s="67"/>
      <c r="G86" s="67"/>
      <c r="H86" s="184"/>
      <c r="I86" s="185"/>
      <c r="J86" s="67"/>
      <c r="K86" s="184"/>
      <c r="L86" s="185"/>
      <c r="M86" s="67"/>
      <c r="N86" s="184"/>
      <c r="O86" s="185"/>
      <c r="P86" s="67"/>
      <c r="Q86" s="184"/>
      <c r="R86" s="185"/>
      <c r="S86" s="67"/>
      <c r="T86" s="67"/>
      <c r="U86" s="67"/>
      <c r="V86" s="67"/>
      <c r="W86" s="67"/>
      <c r="X86" s="67"/>
      <c r="Y86" s="67"/>
      <c r="Z86" s="67"/>
      <c r="AA86" s="184"/>
      <c r="AB86" s="185"/>
      <c r="AC86" s="67"/>
      <c r="AD86" s="67"/>
      <c r="AE86" s="67"/>
      <c r="AF86" s="67"/>
      <c r="AG86" s="67"/>
      <c r="AH86" s="67"/>
      <c r="AI86" s="67"/>
      <c r="AJ86" s="67"/>
      <c r="AK86" s="67"/>
      <c r="AL86" s="67"/>
      <c r="AM86" s="67"/>
      <c r="AN86" s="66" t="s">
        <v>1319</v>
      </c>
      <c r="AO86" s="67"/>
      <c r="AP86" s="67"/>
      <c r="AQ86" s="67"/>
      <c r="AR86" s="67"/>
      <c r="AS86" s="67"/>
      <c r="AT86" s="184"/>
      <c r="AU86" s="185" t="s">
        <v>437</v>
      </c>
      <c r="AV86" s="67"/>
      <c r="AW86" s="184"/>
      <c r="AX86" s="185" t="s">
        <v>1331</v>
      </c>
      <c r="AY86" s="67"/>
      <c r="AZ86" s="67"/>
      <c r="BA86" s="67"/>
      <c r="BB86" s="67"/>
      <c r="BC86" s="67"/>
      <c r="BD86" s="67"/>
      <c r="BE86" s="67"/>
      <c r="BF86" s="67"/>
      <c r="BG86" s="67"/>
      <c r="BH86" s="67"/>
      <c r="BI86" s="67"/>
      <c r="BJ86" s="68"/>
    </row>
    <row r="87" spans="1:62">
      <c r="B87" s="66"/>
      <c r="C87" s="67"/>
      <c r="D87" s="67"/>
      <c r="E87" s="67"/>
      <c r="F87" s="67"/>
      <c r="G87" s="67"/>
      <c r="H87" s="184"/>
      <c r="I87" s="185"/>
      <c r="J87" s="67"/>
      <c r="K87" s="184"/>
      <c r="L87" s="185"/>
      <c r="M87" s="67"/>
      <c r="N87" s="184"/>
      <c r="O87" s="185"/>
      <c r="P87" s="67"/>
      <c r="Q87" s="184"/>
      <c r="R87" s="185"/>
      <c r="S87" s="67"/>
      <c r="T87" s="67"/>
      <c r="U87" s="67"/>
      <c r="V87" s="67"/>
      <c r="W87" s="67"/>
      <c r="X87" s="67"/>
      <c r="Y87" s="67"/>
      <c r="Z87" s="67"/>
      <c r="AA87" s="184"/>
      <c r="AB87" s="185"/>
      <c r="AC87" s="67"/>
      <c r="AD87" s="67"/>
      <c r="AE87" s="67"/>
      <c r="AF87" s="67"/>
      <c r="AG87" s="67"/>
      <c r="AH87" s="67"/>
      <c r="AI87" s="67"/>
      <c r="AJ87" s="67"/>
      <c r="AK87" s="67"/>
      <c r="AL87" s="67"/>
      <c r="AM87" s="67"/>
      <c r="AN87" s="66" t="s">
        <v>1320</v>
      </c>
      <c r="AO87" s="67"/>
      <c r="AP87" s="67"/>
      <c r="AQ87" s="67"/>
      <c r="AR87" s="67"/>
      <c r="AS87" s="67"/>
      <c r="AT87" s="184"/>
      <c r="AU87" s="185" t="s">
        <v>437</v>
      </c>
      <c r="AV87" s="67"/>
      <c r="AW87" s="184"/>
      <c r="AX87" s="185" t="s">
        <v>1332</v>
      </c>
      <c r="AY87" s="67"/>
      <c r="AZ87" s="67"/>
      <c r="BA87" s="67"/>
      <c r="BB87" s="67"/>
      <c r="BC87" s="67"/>
      <c r="BD87" s="67"/>
      <c r="BE87" s="67"/>
      <c r="BF87" s="67"/>
      <c r="BG87" s="67"/>
      <c r="BH87" s="67"/>
      <c r="BI87" s="67"/>
      <c r="BJ87" s="68"/>
    </row>
    <row r="88" spans="1:62">
      <c r="B88" s="66"/>
      <c r="C88" s="67"/>
      <c r="D88" s="67"/>
      <c r="E88" s="67"/>
      <c r="F88" s="67"/>
      <c r="G88" s="67"/>
      <c r="H88" s="184"/>
      <c r="I88" s="185"/>
      <c r="J88" s="67"/>
      <c r="K88" s="184"/>
      <c r="L88" s="185"/>
      <c r="M88" s="67"/>
      <c r="N88" s="184"/>
      <c r="O88" s="185"/>
      <c r="P88" s="67"/>
      <c r="Q88" s="184"/>
      <c r="R88" s="185"/>
      <c r="S88" s="67"/>
      <c r="T88" s="67"/>
      <c r="U88" s="67"/>
      <c r="V88" s="67"/>
      <c r="W88" s="67"/>
      <c r="X88" s="67"/>
      <c r="Y88" s="67"/>
      <c r="Z88" s="67"/>
      <c r="AA88" s="184"/>
      <c r="AB88" s="185"/>
      <c r="AC88" s="67"/>
      <c r="AD88" s="67"/>
      <c r="AE88" s="67"/>
      <c r="AF88" s="67"/>
      <c r="AG88" s="67"/>
      <c r="AH88" s="67"/>
      <c r="AI88" s="67"/>
      <c r="AJ88" s="67"/>
      <c r="AK88" s="67"/>
      <c r="AL88" s="67"/>
      <c r="AM88" s="67"/>
      <c r="AN88" s="66" t="s">
        <v>1321</v>
      </c>
      <c r="AO88" s="67"/>
      <c r="AP88" s="67"/>
      <c r="AQ88" s="67"/>
      <c r="AR88" s="67"/>
      <c r="AS88" s="67"/>
      <c r="AT88" s="184"/>
      <c r="AU88" s="185" t="s">
        <v>437</v>
      </c>
      <c r="AV88" s="67"/>
      <c r="AW88" s="184"/>
      <c r="AX88" s="185" t="s">
        <v>1333</v>
      </c>
      <c r="AY88" s="67"/>
      <c r="AZ88" s="67"/>
      <c r="BA88" s="67"/>
      <c r="BB88" s="67"/>
      <c r="BC88" s="67"/>
      <c r="BD88" s="67"/>
      <c r="BE88" s="67"/>
      <c r="BF88" s="67"/>
      <c r="BG88" s="67"/>
      <c r="BH88" s="67"/>
      <c r="BI88" s="67"/>
      <c r="BJ88" s="68"/>
    </row>
    <row r="89" spans="1:62">
      <c r="B89" s="66"/>
      <c r="C89" s="67"/>
      <c r="D89" s="67"/>
      <c r="E89" s="67"/>
      <c r="F89" s="67"/>
      <c r="G89" s="67"/>
      <c r="H89" s="184"/>
      <c r="I89" s="185"/>
      <c r="J89" s="67"/>
      <c r="K89" s="184"/>
      <c r="L89" s="185"/>
      <c r="M89" s="67"/>
      <c r="N89" s="184"/>
      <c r="O89" s="185"/>
      <c r="P89" s="67"/>
      <c r="Q89" s="184"/>
      <c r="R89" s="185"/>
      <c r="S89" s="67"/>
      <c r="T89" s="67"/>
      <c r="U89" s="67"/>
      <c r="V89" s="67"/>
      <c r="W89" s="67"/>
      <c r="X89" s="67"/>
      <c r="Y89" s="67"/>
      <c r="Z89" s="67"/>
      <c r="AA89" s="184"/>
      <c r="AB89" s="185"/>
      <c r="AC89" s="67"/>
      <c r="AD89" s="67"/>
      <c r="AE89" s="67"/>
      <c r="AF89" s="67"/>
      <c r="AG89" s="67"/>
      <c r="AH89" s="67"/>
      <c r="AI89" s="67"/>
      <c r="AJ89" s="67"/>
      <c r="AK89" s="67"/>
      <c r="AL89" s="67"/>
      <c r="AM89" s="67"/>
      <c r="AN89" s="66" t="s">
        <v>1322</v>
      </c>
      <c r="AO89" s="67"/>
      <c r="AP89" s="67"/>
      <c r="AQ89" s="67"/>
      <c r="AR89" s="67"/>
      <c r="AS89" s="67"/>
      <c r="AT89" s="184"/>
      <c r="AU89" s="185" t="s">
        <v>437</v>
      </c>
      <c r="AV89" s="67"/>
      <c r="AW89" s="184"/>
      <c r="AX89" s="185" t="s">
        <v>1334</v>
      </c>
      <c r="AY89" s="67"/>
      <c r="AZ89" s="67"/>
      <c r="BA89" s="67"/>
      <c r="BB89" s="67"/>
      <c r="BC89" s="67"/>
      <c r="BD89" s="67"/>
      <c r="BE89" s="67"/>
      <c r="BF89" s="67"/>
      <c r="BG89" s="67"/>
      <c r="BH89" s="67"/>
      <c r="BI89" s="67"/>
      <c r="BJ89" s="68"/>
    </row>
    <row r="90" spans="1:62">
      <c r="B90" s="66"/>
      <c r="C90" s="67"/>
      <c r="D90" s="67"/>
      <c r="E90" s="67"/>
      <c r="F90" s="67"/>
      <c r="G90" s="67"/>
      <c r="H90" s="184"/>
      <c r="I90" s="185"/>
      <c r="J90" s="67"/>
      <c r="K90" s="184"/>
      <c r="L90" s="185"/>
      <c r="M90" s="67"/>
      <c r="N90" s="184"/>
      <c r="O90" s="185"/>
      <c r="P90" s="67"/>
      <c r="Q90" s="184"/>
      <c r="R90" s="185"/>
      <c r="S90" s="67"/>
      <c r="T90" s="67"/>
      <c r="U90" s="67"/>
      <c r="V90" s="67"/>
      <c r="W90" s="67"/>
      <c r="X90" s="67"/>
      <c r="Y90" s="67"/>
      <c r="Z90" s="67"/>
      <c r="AA90" s="184"/>
      <c r="AB90" s="185"/>
      <c r="AC90" s="67"/>
      <c r="AD90" s="67"/>
      <c r="AE90" s="67"/>
      <c r="AF90" s="67"/>
      <c r="AG90" s="67"/>
      <c r="AH90" s="67"/>
      <c r="AI90" s="67"/>
      <c r="AJ90" s="67"/>
      <c r="AK90" s="67"/>
      <c r="AL90" s="67"/>
      <c r="AM90" s="67"/>
      <c r="AN90" s="66" t="s">
        <v>1323</v>
      </c>
      <c r="AO90" s="67"/>
      <c r="AP90" s="67"/>
      <c r="AQ90" s="67"/>
      <c r="AR90" s="67"/>
      <c r="AS90" s="67"/>
      <c r="AT90" s="184"/>
      <c r="AU90" s="185" t="s">
        <v>437</v>
      </c>
      <c r="AV90" s="67"/>
      <c r="AW90" s="184"/>
      <c r="AX90" s="185" t="s">
        <v>1335</v>
      </c>
      <c r="AY90" s="67"/>
      <c r="AZ90" s="67"/>
      <c r="BA90" s="67"/>
      <c r="BB90" s="67"/>
      <c r="BC90" s="67"/>
      <c r="BD90" s="67"/>
      <c r="BE90" s="67"/>
      <c r="BF90" s="67"/>
      <c r="BG90" s="67"/>
      <c r="BH90" s="67"/>
      <c r="BI90" s="67"/>
      <c r="BJ90" s="68"/>
    </row>
    <row r="91" spans="1:62">
      <c r="B91" s="66"/>
      <c r="C91" s="67"/>
      <c r="D91" s="67"/>
      <c r="E91" s="67"/>
      <c r="F91" s="67"/>
      <c r="G91" s="67"/>
      <c r="H91" s="184"/>
      <c r="I91" s="185"/>
      <c r="J91" s="67"/>
      <c r="K91" s="184"/>
      <c r="L91" s="185"/>
      <c r="M91" s="67"/>
      <c r="N91" s="184"/>
      <c r="O91" s="185"/>
      <c r="P91" s="67"/>
      <c r="Q91" s="184"/>
      <c r="R91" s="185"/>
      <c r="S91" s="67"/>
      <c r="T91" s="67"/>
      <c r="U91" s="67"/>
      <c r="V91" s="67"/>
      <c r="W91" s="67"/>
      <c r="X91" s="67"/>
      <c r="Y91" s="67"/>
      <c r="Z91" s="67"/>
      <c r="AA91" s="184"/>
      <c r="AB91" s="185"/>
      <c r="AC91" s="67"/>
      <c r="AD91" s="67"/>
      <c r="AE91" s="67"/>
      <c r="AF91" s="67"/>
      <c r="AG91" s="67"/>
      <c r="AH91" s="67"/>
      <c r="AI91" s="67"/>
      <c r="AJ91" s="67"/>
      <c r="AK91" s="67"/>
      <c r="AL91" s="67"/>
      <c r="AM91" s="67"/>
      <c r="AN91" s="66" t="s">
        <v>1324</v>
      </c>
      <c r="AO91" s="67"/>
      <c r="AP91" s="67"/>
      <c r="AQ91" s="67"/>
      <c r="AR91" s="67"/>
      <c r="AS91" s="67"/>
      <c r="AT91" s="184"/>
      <c r="AU91" s="185" t="s">
        <v>437</v>
      </c>
      <c r="AV91" s="67"/>
      <c r="AW91" s="184"/>
      <c r="AX91" s="185" t="s">
        <v>1336</v>
      </c>
      <c r="AY91" s="67"/>
      <c r="AZ91" s="67"/>
      <c r="BA91" s="67"/>
      <c r="BB91" s="67"/>
      <c r="BC91" s="67"/>
      <c r="BD91" s="67"/>
      <c r="BE91" s="67"/>
      <c r="BF91" s="67"/>
      <c r="BG91" s="67"/>
      <c r="BH91" s="67"/>
      <c r="BI91" s="67"/>
      <c r="BJ91" s="68"/>
    </row>
    <row r="92" spans="1:62">
      <c r="B92" s="66"/>
      <c r="C92" s="67"/>
      <c r="D92" s="67"/>
      <c r="E92" s="67"/>
      <c r="F92" s="67"/>
      <c r="G92" s="67"/>
      <c r="H92" s="184"/>
      <c r="I92" s="185"/>
      <c r="J92" s="67"/>
      <c r="K92" s="184"/>
      <c r="L92" s="185"/>
      <c r="M92" s="67"/>
      <c r="N92" s="184"/>
      <c r="O92" s="185"/>
      <c r="P92" s="67"/>
      <c r="Q92" s="184"/>
      <c r="R92" s="185"/>
      <c r="S92" s="67"/>
      <c r="T92" s="67"/>
      <c r="U92" s="67"/>
      <c r="V92" s="67"/>
      <c r="W92" s="67"/>
      <c r="X92" s="67"/>
      <c r="Y92" s="67"/>
      <c r="Z92" s="67"/>
      <c r="AA92" s="184"/>
      <c r="AB92" s="185"/>
      <c r="AC92" s="67"/>
      <c r="AD92" s="67"/>
      <c r="AE92" s="67"/>
      <c r="AF92" s="67"/>
      <c r="AG92" s="67"/>
      <c r="AH92" s="67"/>
      <c r="AI92" s="67"/>
      <c r="AJ92" s="67"/>
      <c r="AK92" s="67"/>
      <c r="AL92" s="67"/>
      <c r="AM92" s="67"/>
      <c r="AN92" s="66" t="s">
        <v>1325</v>
      </c>
      <c r="AO92" s="67"/>
      <c r="AP92" s="67"/>
      <c r="AQ92" s="67"/>
      <c r="AR92" s="67"/>
      <c r="AS92" s="67"/>
      <c r="AT92" s="184"/>
      <c r="AU92" s="185" t="s">
        <v>437</v>
      </c>
      <c r="AV92" s="67"/>
      <c r="AW92" s="184"/>
      <c r="AX92" s="185" t="s">
        <v>1337</v>
      </c>
      <c r="AY92" s="67"/>
      <c r="AZ92" s="67"/>
      <c r="BA92" s="67"/>
      <c r="BB92" s="67"/>
      <c r="BC92" s="67"/>
      <c r="BD92" s="67"/>
      <c r="BE92" s="67"/>
      <c r="BF92" s="67"/>
      <c r="BG92" s="67"/>
      <c r="BH92" s="67"/>
      <c r="BI92" s="67"/>
      <c r="BJ92" s="68"/>
    </row>
    <row r="93" spans="1:62">
      <c r="B93" s="66"/>
      <c r="C93" s="67"/>
      <c r="D93" s="67"/>
      <c r="E93" s="67"/>
      <c r="F93" s="67"/>
      <c r="G93" s="67"/>
      <c r="H93" s="184"/>
      <c r="I93" s="185"/>
      <c r="J93" s="67"/>
      <c r="K93" s="184"/>
      <c r="L93" s="185"/>
      <c r="M93" s="67"/>
      <c r="N93" s="184"/>
      <c r="O93" s="185"/>
      <c r="P93" s="67"/>
      <c r="Q93" s="184"/>
      <c r="R93" s="185"/>
      <c r="S93" s="67"/>
      <c r="T93" s="67"/>
      <c r="U93" s="67"/>
      <c r="V93" s="67"/>
      <c r="W93" s="67"/>
      <c r="X93" s="67"/>
      <c r="Y93" s="67"/>
      <c r="Z93" s="67"/>
      <c r="AA93" s="184"/>
      <c r="AB93" s="185"/>
      <c r="AC93" s="67"/>
      <c r="AD93" s="67"/>
      <c r="AE93" s="67"/>
      <c r="AF93" s="67"/>
      <c r="AG93" s="67"/>
      <c r="AH93" s="67"/>
      <c r="AI93" s="67"/>
      <c r="AJ93" s="67"/>
      <c r="AK93" s="67"/>
      <c r="AL93" s="67"/>
      <c r="AM93" s="67"/>
      <c r="AN93" s="66" t="s">
        <v>1326</v>
      </c>
      <c r="AO93" s="67"/>
      <c r="AP93" s="67"/>
      <c r="AQ93" s="67"/>
      <c r="AR93" s="67"/>
      <c r="AS93" s="67"/>
      <c r="AT93" s="184"/>
      <c r="AU93" s="185" t="s">
        <v>437</v>
      </c>
      <c r="AV93" s="67"/>
      <c r="AW93" s="184"/>
      <c r="AX93" s="185" t="s">
        <v>1338</v>
      </c>
      <c r="AY93" s="67"/>
      <c r="AZ93" s="67"/>
      <c r="BA93" s="67"/>
      <c r="BB93" s="67"/>
      <c r="BC93" s="67"/>
      <c r="BD93" s="67"/>
      <c r="BE93" s="67"/>
      <c r="BF93" s="67"/>
      <c r="BG93" s="67"/>
      <c r="BH93" s="67"/>
      <c r="BI93" s="67"/>
      <c r="BJ93" s="68"/>
    </row>
    <row r="94" spans="1:62">
      <c r="B94" s="66"/>
      <c r="C94" s="67"/>
      <c r="D94" s="67"/>
      <c r="E94" s="67"/>
      <c r="F94" s="67"/>
      <c r="G94" s="67"/>
      <c r="H94" s="184"/>
      <c r="I94" s="185"/>
      <c r="J94" s="67"/>
      <c r="K94" s="184"/>
      <c r="L94" s="185"/>
      <c r="M94" s="67"/>
      <c r="N94" s="184"/>
      <c r="O94" s="185"/>
      <c r="P94" s="67"/>
      <c r="Q94" s="184"/>
      <c r="R94" s="185"/>
      <c r="S94" s="67"/>
      <c r="T94" s="67"/>
      <c r="U94" s="67"/>
      <c r="V94" s="67"/>
      <c r="W94" s="67"/>
      <c r="X94" s="67"/>
      <c r="Y94" s="67"/>
      <c r="Z94" s="67"/>
      <c r="AA94" s="184"/>
      <c r="AB94" s="185"/>
      <c r="AC94" s="67"/>
      <c r="AD94" s="67"/>
      <c r="AE94" s="67"/>
      <c r="AF94" s="67"/>
      <c r="AG94" s="67"/>
      <c r="AH94" s="67"/>
      <c r="AI94" s="67"/>
      <c r="AJ94" s="67"/>
      <c r="AK94" s="67"/>
      <c r="AL94" s="67"/>
      <c r="AM94" s="67"/>
      <c r="AN94" s="66" t="s">
        <v>1327</v>
      </c>
      <c r="AO94" s="67"/>
      <c r="AP94" s="67"/>
      <c r="AQ94" s="67"/>
      <c r="AR94" s="67"/>
      <c r="AS94" s="67"/>
      <c r="AT94" s="184"/>
      <c r="AU94" s="185" t="s">
        <v>437</v>
      </c>
      <c r="AV94" s="67"/>
      <c r="AW94" s="184"/>
      <c r="AX94" s="185" t="s">
        <v>1339</v>
      </c>
      <c r="AY94" s="67"/>
      <c r="AZ94" s="67"/>
      <c r="BA94" s="67"/>
      <c r="BB94" s="67"/>
      <c r="BC94" s="67"/>
      <c r="BD94" s="67"/>
      <c r="BE94" s="67"/>
      <c r="BF94" s="67"/>
      <c r="BG94" s="67"/>
      <c r="BH94" s="67"/>
      <c r="BI94" s="67"/>
      <c r="BJ94" s="68"/>
    </row>
    <row r="95" spans="1:62">
      <c r="B95" s="66"/>
      <c r="C95" s="67"/>
      <c r="D95" s="67"/>
      <c r="E95" s="67"/>
      <c r="F95" s="67"/>
      <c r="G95" s="67"/>
      <c r="H95" s="184"/>
      <c r="I95" s="185"/>
      <c r="J95" s="67"/>
      <c r="K95" s="184"/>
      <c r="L95" s="185"/>
      <c r="M95" s="67"/>
      <c r="N95" s="184"/>
      <c r="O95" s="185"/>
      <c r="P95" s="67"/>
      <c r="Q95" s="184"/>
      <c r="R95" s="185"/>
      <c r="S95" s="67"/>
      <c r="T95" s="67"/>
      <c r="U95" s="67"/>
      <c r="V95" s="67"/>
      <c r="W95" s="67"/>
      <c r="X95" s="67"/>
      <c r="Y95" s="67"/>
      <c r="Z95" s="67"/>
      <c r="AA95" s="184"/>
      <c r="AB95" s="185"/>
      <c r="AC95" s="67"/>
      <c r="AD95" s="67"/>
      <c r="AE95" s="67"/>
      <c r="AF95" s="67"/>
      <c r="AG95" s="67"/>
      <c r="AH95" s="67"/>
      <c r="AI95" s="67"/>
      <c r="AJ95" s="67"/>
      <c r="AK95" s="67"/>
      <c r="AL95" s="67"/>
      <c r="AM95" s="68"/>
      <c r="AN95" s="66" t="s">
        <v>1316</v>
      </c>
      <c r="AO95" s="67"/>
      <c r="AP95" s="67"/>
      <c r="AQ95" s="67"/>
      <c r="AR95" s="67"/>
      <c r="AS95" s="67"/>
      <c r="AT95" s="184"/>
      <c r="AU95" s="185" t="s">
        <v>437</v>
      </c>
      <c r="AV95" s="67"/>
      <c r="AW95" s="184"/>
      <c r="AX95" s="185" t="s">
        <v>1340</v>
      </c>
      <c r="AY95" s="67"/>
      <c r="AZ95" s="67"/>
      <c r="BA95" s="67"/>
      <c r="BB95" s="67"/>
      <c r="BC95" s="67"/>
      <c r="BD95" s="67"/>
      <c r="BE95" s="67"/>
      <c r="BF95" s="67"/>
      <c r="BG95" s="67"/>
      <c r="BH95" s="67"/>
      <c r="BI95" s="67"/>
      <c r="BJ95" s="68"/>
    </row>
    <row r="96" spans="1:62">
      <c r="B96" s="120"/>
      <c r="C96" s="121"/>
      <c r="D96" s="121"/>
      <c r="E96" s="121"/>
      <c r="F96" s="121"/>
      <c r="G96" s="121"/>
      <c r="H96" s="187"/>
      <c r="I96" s="188"/>
      <c r="J96" s="121"/>
      <c r="K96" s="187"/>
      <c r="L96" s="188"/>
      <c r="M96" s="121"/>
      <c r="N96" s="187"/>
      <c r="O96" s="188"/>
      <c r="P96" s="121"/>
      <c r="Q96" s="187"/>
      <c r="R96" s="188"/>
      <c r="S96" s="121"/>
      <c r="T96" s="121"/>
      <c r="U96" s="121"/>
      <c r="V96" s="121"/>
      <c r="W96" s="121"/>
      <c r="X96" s="121"/>
      <c r="Y96" s="121"/>
      <c r="Z96" s="121"/>
      <c r="AA96" s="187"/>
      <c r="AB96" s="188"/>
      <c r="AC96" s="121"/>
      <c r="AD96" s="121"/>
      <c r="AE96" s="121"/>
      <c r="AF96" s="121"/>
      <c r="AG96" s="121"/>
      <c r="AH96" s="121"/>
      <c r="AI96" s="121"/>
      <c r="AJ96" s="121"/>
      <c r="AK96" s="121"/>
      <c r="AL96" s="121"/>
      <c r="AM96" s="122"/>
      <c r="AN96" s="120"/>
      <c r="AO96" s="121"/>
      <c r="AP96" s="121"/>
      <c r="AQ96" s="121"/>
      <c r="AR96" s="121"/>
      <c r="AS96" s="121"/>
      <c r="AT96" s="187"/>
      <c r="AU96" s="188"/>
      <c r="AV96" s="121"/>
      <c r="AW96" s="187"/>
      <c r="AX96" s="188" t="s">
        <v>1293</v>
      </c>
      <c r="AY96" s="121"/>
      <c r="AZ96" s="121"/>
      <c r="BA96" s="121"/>
      <c r="BB96" s="121"/>
      <c r="BC96" s="121"/>
      <c r="BD96" s="121"/>
      <c r="BE96" s="121"/>
      <c r="BF96" s="121"/>
      <c r="BG96" s="121"/>
      <c r="BH96" s="121"/>
      <c r="BI96" s="121"/>
      <c r="BJ96" s="122"/>
    </row>
  </sheetData>
  <mergeCells count="46">
    <mergeCell ref="B52:E52"/>
    <mergeCell ref="F52:Z52"/>
    <mergeCell ref="AA52:AE52"/>
    <mergeCell ref="AF52:AJ52"/>
    <mergeCell ref="B53:E53"/>
    <mergeCell ref="F53:Z53"/>
    <mergeCell ref="AA53:AE53"/>
    <mergeCell ref="AF53:AJ5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0" orientation="landscape" horizontalDpi="300" r:id="rId1"/>
  <headerFooter>
    <oddHeader>&amp;R&amp;F</oddHeader>
    <oddFooter>&amp;C&amp;P / &amp;N ページ</oddFooter>
  </headerFooter>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0365B-C181-4FD1-A191-FF9C600EAECF}">
  <dimension ref="A1:CA86"/>
  <sheetViews>
    <sheetView view="pageBreakPreview" topLeftCell="A3" zoomScale="80" zoomScaleNormal="75" zoomScaleSheetLayoutView="80" workbookViewId="0">
      <selection activeCell="BP19" sqref="BP19:BP41"/>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19</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t="s">
        <v>887</v>
      </c>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1408</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t="s">
        <v>1407</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`POS_MASTER`.`code_master`;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`POS_MASTER`.`code_master`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V23" s="97" t="s">
        <v>933</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'C:/04_DATAFILE/code_master/TMP/code_master.CSV' </v>
      </c>
      <c r="BU24" t="s">
        <v>626</v>
      </c>
      <c r="BV24" s="97" t="str">
        <f>"UPDATE `POS_MASTER`.`"&amp;$G$10&amp;"` A,`TMP`.`"&amp;$G$10&amp;"` B"</f>
        <v>UPDATE `POS_MASTER`.`code_master` A,`TMP`.`code_master`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`TMP`.`code_master`;</v>
      </c>
      <c r="BS25" t="s">
        <v>626</v>
      </c>
      <c r="BT25" s="97" t="str">
        <f>"REPLACE INTO TABLE TMP.`"&amp;$G$10&amp;"` CHARACTER SET 'UTF8'"</f>
        <v>REPLACE INTO TABLE TMP.`code_master`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`TMP`.`code_master` (</v>
      </c>
      <c r="BS26" t="s">
        <v>626</v>
      </c>
      <c r="BT26" s="97" t="str">
        <f>SUBSTITUTE(SUBSTITUTE("("&amp;A26&amp;","&amp;A27&amp;","&amp;A28&amp;","&amp;A29&amp;","&amp;A30&amp;","&amp;A31&amp;","&amp;A34&amp;","&amp;A35&amp;","&amp;A36&amp;","&amp;A37&amp;","&amp;A38&amp;","&amp;A39&amp;","&amp;A40&amp;","&amp;A41&amp;","&amp;A42&amp;","&amp;A43&amp;","&amp;A44&amp;","&amp;A45&amp;","&amp;A46&amp;","&amp;A47&amp;","&amp;A48&amp;","&amp;A49&amp;","&amp;A50&amp;","&amp;A51&amp;","&amp;A52&amp;","&amp;A53&amp;","&amp;A54&amp;","&amp;A55&amp;","&amp;A56&amp;","&amp;A57&amp;","&amp;A58&amp;","&amp;A59&amp;","&amp;A60&amp;","&amp;A61&amp;","&amp;A62&amp;","&amp;A63&amp;","&amp;A64&amp;")",",,",""),",)",")")</f>
        <v>(@1,@2,@3,@4,@5,@6,@7,@8)</v>
      </c>
      <c r="BU26" t="s">
        <v>626</v>
      </c>
      <c r="BV26" s="97"/>
      <c r="BW26" t="s">
        <v>626</v>
      </c>
      <c r="BX26" s="97" t="str">
        <f>"INSERT INTO `POS_MASTER`.`"&amp;$G$10&amp;"` ("</f>
        <v>INSERT INTO `POS_MASTER`.`code_master` (</v>
      </c>
      <c r="BY26" t="s">
        <v>626</v>
      </c>
      <c r="BZ26" s="97" t="s">
        <v>931</v>
      </c>
      <c r="CA26" t="s">
        <v>626</v>
      </c>
    </row>
    <row r="27" spans="1:79" ht="15" customHeight="1">
      <c r="A27" s="100" t="s">
        <v>964</v>
      </c>
      <c r="B27" s="16">
        <v>7</v>
      </c>
      <c r="C27" s="17"/>
      <c r="D27" s="22" t="s">
        <v>1388</v>
      </c>
      <c r="E27" s="19"/>
      <c r="F27" s="19"/>
      <c r="G27" s="19"/>
      <c r="H27" s="19"/>
      <c r="I27" s="19"/>
      <c r="J27" s="19"/>
      <c r="K27" s="19"/>
      <c r="L27" s="19"/>
      <c r="M27" s="19"/>
      <c r="N27" s="19"/>
      <c r="O27" s="19"/>
      <c r="P27" s="19"/>
      <c r="Q27" s="20"/>
      <c r="R27" s="18" t="s">
        <v>1389</v>
      </c>
      <c r="S27" s="19"/>
      <c r="T27" s="19"/>
      <c r="U27" s="19"/>
      <c r="V27" s="19"/>
      <c r="W27" s="19"/>
      <c r="X27" s="19"/>
      <c r="Y27" s="19"/>
      <c r="Z27" s="19"/>
      <c r="AA27" s="19"/>
      <c r="AB27" s="20"/>
      <c r="AC27" s="18" t="s">
        <v>1298</v>
      </c>
      <c r="AD27" s="19"/>
      <c r="AE27" s="19"/>
      <c r="AF27" s="19"/>
      <c r="AG27" s="20"/>
      <c r="AH27" s="18">
        <v>1</v>
      </c>
      <c r="AI27" s="20"/>
      <c r="AJ27" s="18"/>
      <c r="AK27" s="19"/>
      <c r="AL27" s="20"/>
      <c r="AM27" s="18"/>
      <c r="AN27" s="19"/>
      <c r="AO27" s="19"/>
      <c r="AP27" s="19"/>
      <c r="AQ27" s="19"/>
      <c r="AR27" s="19"/>
      <c r="AS27" s="20"/>
      <c r="AT27" s="18"/>
      <c r="AU27" s="19"/>
      <c r="AV27" s="19"/>
      <c r="AW27" s="19"/>
      <c r="AX27" s="19"/>
      <c r="AY27" s="19"/>
      <c r="AZ27" s="19"/>
      <c r="BA27" s="19"/>
      <c r="BB27" s="19"/>
      <c r="BC27" s="19"/>
      <c r="BD27" s="19"/>
      <c r="BE27" s="19"/>
      <c r="BF27" s="19"/>
      <c r="BG27" s="19"/>
      <c r="BH27" s="19"/>
      <c r="BI27" s="19"/>
      <c r="BJ27" s="20"/>
      <c r="BK27" s="4"/>
      <c r="BP27" t="str">
        <f>",`"&amp;R27&amp;"` "&amp;AC27&amp;" "&amp;IF(AJ27="Y","NOT NULL","")&amp;" COMMENT '"&amp;D27&amp;"'"</f>
        <v>,`MASTER_CODE` varchar(10)  COMMENT 'MASTER_CODE'</v>
      </c>
      <c r="BQ27" t="s">
        <v>626</v>
      </c>
      <c r="BR27" s="97" t="str">
        <f>"`"&amp;R27&amp;"` "&amp;AC27&amp;" "&amp;IF(AJ27="Y","NOT NULL","")</f>
        <v xml:space="preserve">`MASTER_CODE` varchar(10) </v>
      </c>
      <c r="BS27" t="s">
        <v>626</v>
      </c>
      <c r="BT27" s="97" t="str">
        <f>",`"&amp;R27&amp;"` = "&amp;IF(LEFT(AC27,4)="date", "if(@"&amp;B27-5&amp;" &gt; '0000-00-00 00:00:00', if(@"&amp;B27-5&amp;" &gt; '2999-12-31 23:59:59', '2999-12-31 23:59:59', @"&amp;B27-5&amp;"), null)","if(nullif( @"&amp;B27-5&amp;",'') &gt; '', @"&amp;B27-5&amp;", null )")</f>
        <v>,`MASTER_CODE` = if(nullif( @2,'') &gt; '', @2, null )</v>
      </c>
      <c r="BU27" t="s">
        <v>626</v>
      </c>
      <c r="BV27" s="97" t="str">
        <f>"A.`"&amp;R27&amp;"` = B.`"&amp;R27&amp;"`"</f>
        <v>A.`MASTER_CODE` = B.`MASTER_CODE`</v>
      </c>
      <c r="BW27" t="s">
        <v>626</v>
      </c>
      <c r="BX27" s="97" t="str">
        <f>"`"&amp;R27&amp;"`"</f>
        <v>`MASTER_CODE`</v>
      </c>
      <c r="BY27" t="s">
        <v>626</v>
      </c>
      <c r="BZ27" s="97" t="str">
        <f>"`"&amp;R27&amp;"`"</f>
        <v>`MASTER_CODE`</v>
      </c>
      <c r="CA27" t="s">
        <v>626</v>
      </c>
    </row>
    <row r="28" spans="1:79" ht="15" customHeight="1">
      <c r="A28" s="100" t="s">
        <v>965</v>
      </c>
      <c r="B28" s="16">
        <v>8</v>
      </c>
      <c r="C28" s="17"/>
      <c r="D28" s="22" t="s">
        <v>1399</v>
      </c>
      <c r="E28" s="19"/>
      <c r="F28" s="19"/>
      <c r="G28" s="19"/>
      <c r="H28" s="19"/>
      <c r="I28" s="19"/>
      <c r="J28" s="19"/>
      <c r="K28" s="19"/>
      <c r="L28" s="19"/>
      <c r="M28" s="19"/>
      <c r="N28" s="19"/>
      <c r="O28" s="19"/>
      <c r="P28" s="19"/>
      <c r="Q28" s="20"/>
      <c r="R28" s="18" t="s">
        <v>1390</v>
      </c>
      <c r="S28" s="19"/>
      <c r="T28" s="19"/>
      <c r="U28" s="19"/>
      <c r="V28" s="19"/>
      <c r="W28" s="19"/>
      <c r="X28" s="19"/>
      <c r="Y28" s="19"/>
      <c r="Z28" s="19"/>
      <c r="AA28" s="19"/>
      <c r="AB28" s="20"/>
      <c r="AC28" s="18" t="s">
        <v>1398</v>
      </c>
      <c r="AD28" s="19"/>
      <c r="AE28" s="19"/>
      <c r="AF28" s="19"/>
      <c r="AG28" s="20"/>
      <c r="AH28" s="18"/>
      <c r="AI28" s="20"/>
      <c r="AJ28" s="18"/>
      <c r="AK28" s="19"/>
      <c r="AL28" s="20"/>
      <c r="AM28" s="18"/>
      <c r="AN28" s="19"/>
      <c r="AO28" s="19"/>
      <c r="AP28" s="19"/>
      <c r="AQ28" s="19"/>
      <c r="AR28" s="19"/>
      <c r="AS28" s="20"/>
      <c r="AT28" s="18"/>
      <c r="AU28" s="19"/>
      <c r="AV28" s="19"/>
      <c r="AW28" s="19"/>
      <c r="AX28" s="19"/>
      <c r="AY28" s="19"/>
      <c r="AZ28" s="19"/>
      <c r="BA28" s="19"/>
      <c r="BB28" s="19"/>
      <c r="BC28" s="19"/>
      <c r="BD28" s="19"/>
      <c r="BE28" s="19"/>
      <c r="BF28" s="19"/>
      <c r="BG28" s="19"/>
      <c r="BH28" s="19"/>
      <c r="BI28" s="19"/>
      <c r="BJ28" s="20"/>
      <c r="BK28" s="4"/>
      <c r="BP28" t="str">
        <f t="shared" ref="BP28:BP35" si="1">",`"&amp;R28&amp;"` "&amp;AC28&amp;" "&amp;IF(AJ28="Y","NOT NULL","")&amp;" COMMENT '"&amp;D28&amp;"'"</f>
        <v>,`PROPERTY_NAME` varchar(50)  COMMENT 'プロパティ名'</v>
      </c>
      <c r="BQ28" t="s">
        <v>626</v>
      </c>
      <c r="BR28" s="97" t="str">
        <f>",`"&amp;R28&amp;"` "&amp;AC28&amp;" "&amp;IF(AJ28="Y","NOT NULL","")</f>
        <v xml:space="preserve">,`PROPERTY_NAME` varchar(50) </v>
      </c>
      <c r="BS28" t="s">
        <v>626</v>
      </c>
      <c r="BT28" t="str">
        <f t="shared" ref="BT28:BT35" si="2">",`"&amp;R28&amp;"` = "&amp;IF(LEFT(AC28,4)="date", "if(@"&amp;B28-5&amp;" &gt; '0000-00-00 00:00:00', if(@"&amp;B28-5&amp;" &gt; '2999-12-31 23:59:59', '2999-12-31 23:59:59', @"&amp;B28-5&amp;"), null)","if(nullif( @"&amp;B28-5&amp;",'') &gt; '', @"&amp;B28-5&amp;", null )")</f>
        <v>,`PROPERTY_NAME` = if(nullif( @3,'') &gt; '', @3, null )</v>
      </c>
      <c r="BU28" t="s">
        <v>626</v>
      </c>
      <c r="BV28" s="97" t="str">
        <f t="shared" ref="BV28:BV35" si="3">",A.`"&amp;R28&amp;"` = B.`"&amp;R28&amp;"`"</f>
        <v>,A.`PROPERTY_NAME` = B.`PROPERTY_NAME`</v>
      </c>
      <c r="BW28" t="s">
        <v>626</v>
      </c>
      <c r="BX28" s="97" t="str">
        <f t="shared" ref="BX28:BX35" si="4">",`"&amp;R28&amp;"`"</f>
        <v>,`PROPERTY_NAME`</v>
      </c>
      <c r="BY28" t="s">
        <v>626</v>
      </c>
      <c r="BZ28" s="97" t="str">
        <f t="shared" ref="BZ28:BZ64" si="5">",`"&amp;R28&amp;"`"</f>
        <v>,`PROPERTY_NAME`</v>
      </c>
      <c r="CA28" t="s">
        <v>626</v>
      </c>
    </row>
    <row r="29" spans="1:79" ht="15" customHeight="1">
      <c r="A29" s="100" t="s">
        <v>966</v>
      </c>
      <c r="B29" s="16">
        <v>9</v>
      </c>
      <c r="C29" s="24"/>
      <c r="D29" s="22" t="s">
        <v>1401</v>
      </c>
      <c r="E29" s="19"/>
      <c r="F29" s="19"/>
      <c r="G29" s="19"/>
      <c r="H29" s="19"/>
      <c r="I29" s="19"/>
      <c r="J29" s="19"/>
      <c r="K29" s="19"/>
      <c r="L29" s="19"/>
      <c r="M29" s="19"/>
      <c r="N29" s="19"/>
      <c r="O29" s="19"/>
      <c r="P29" s="19"/>
      <c r="Q29" s="20"/>
      <c r="R29" s="18" t="s">
        <v>1392</v>
      </c>
      <c r="S29" s="19"/>
      <c r="T29" s="19"/>
      <c r="U29" s="19"/>
      <c r="V29" s="19"/>
      <c r="W29" s="19"/>
      <c r="X29" s="19"/>
      <c r="Y29" s="19"/>
      <c r="Z29" s="19"/>
      <c r="AA29" s="19"/>
      <c r="AB29" s="20"/>
      <c r="AC29" s="18" t="s">
        <v>1298</v>
      </c>
      <c r="AD29" s="19"/>
      <c r="AE29" s="19"/>
      <c r="AF29" s="19"/>
      <c r="AG29" s="20"/>
      <c r="AH29" s="18">
        <v>2</v>
      </c>
      <c r="AI29" s="20"/>
      <c r="AJ29" s="22"/>
      <c r="AK29" s="19"/>
      <c r="AL29" s="20"/>
      <c r="AM29" s="22"/>
      <c r="AN29" s="19"/>
      <c r="AO29" s="19"/>
      <c r="AP29" s="19"/>
      <c r="AQ29" s="19"/>
      <c r="AR29" s="19"/>
      <c r="AS29" s="20"/>
      <c r="AT29" s="22"/>
      <c r="AU29" s="19"/>
      <c r="AV29" s="19"/>
      <c r="AW29" s="19"/>
      <c r="AX29" s="19"/>
      <c r="AY29" s="19"/>
      <c r="AZ29" s="19"/>
      <c r="BA29" s="19"/>
      <c r="BB29" s="19"/>
      <c r="BC29" s="19"/>
      <c r="BD29" s="19"/>
      <c r="BE29" s="19"/>
      <c r="BF29" s="19"/>
      <c r="BG29" s="19"/>
      <c r="BH29" s="19"/>
      <c r="BI29" s="19"/>
      <c r="BJ29" s="20"/>
      <c r="BK29" s="4"/>
      <c r="BP29" t="str">
        <f t="shared" si="1"/>
        <v>,`COMPANY_CODE` varchar(10)  COMMENT '企業コード'</v>
      </c>
      <c r="BQ29" t="s">
        <v>626</v>
      </c>
      <c r="BR29" t="str">
        <f t="shared" ref="BR29:BR35" si="6">",`"&amp;R29&amp;"` "&amp;AC29&amp;" "&amp;IF(AJ29="Y","NOT NULL","")</f>
        <v xml:space="preserve">,`COMPANY_CODE` varchar(10) </v>
      </c>
      <c r="BS29" t="s">
        <v>626</v>
      </c>
      <c r="BT29" t="str">
        <f t="shared" si="2"/>
        <v>,`COMPANY_CODE` = if(nullif( @4,'') &gt; '', @4, null )</v>
      </c>
      <c r="BU29" t="s">
        <v>626</v>
      </c>
      <c r="BV29" s="97" t="str">
        <f t="shared" si="3"/>
        <v>,A.`COMPANY_CODE` = B.`COMPANY_CODE`</v>
      </c>
      <c r="BW29" t="s">
        <v>626</v>
      </c>
      <c r="BX29" s="97" t="str">
        <f t="shared" si="4"/>
        <v>,`COMPANY_CODE`</v>
      </c>
      <c r="BY29" t="s">
        <v>626</v>
      </c>
      <c r="BZ29" s="97" t="str">
        <f t="shared" si="5"/>
        <v>,`COMPANY_CODE`</v>
      </c>
      <c r="CA29" t="s">
        <v>626</v>
      </c>
    </row>
    <row r="30" spans="1:79" ht="15" customHeight="1">
      <c r="A30" s="100" t="s">
        <v>967</v>
      </c>
      <c r="B30" s="16">
        <v>10</v>
      </c>
      <c r="C30" s="24"/>
      <c r="D30" s="18" t="s">
        <v>1400</v>
      </c>
      <c r="E30" s="19"/>
      <c r="F30" s="19"/>
      <c r="G30" s="19"/>
      <c r="H30" s="19"/>
      <c r="I30" s="19"/>
      <c r="J30" s="19"/>
      <c r="K30" s="19"/>
      <c r="L30" s="19"/>
      <c r="M30" s="19"/>
      <c r="N30" s="19"/>
      <c r="O30" s="19"/>
      <c r="P30" s="19"/>
      <c r="Q30" s="20"/>
      <c r="R30" s="18" t="s">
        <v>1391</v>
      </c>
      <c r="S30" s="19"/>
      <c r="T30" s="19"/>
      <c r="U30" s="19"/>
      <c r="V30" s="19"/>
      <c r="W30" s="19"/>
      <c r="X30" s="19"/>
      <c r="Y30" s="19"/>
      <c r="Z30" s="19"/>
      <c r="AA30" s="19"/>
      <c r="AB30" s="20"/>
      <c r="AC30" s="18" t="s">
        <v>1298</v>
      </c>
      <c r="AD30" s="19"/>
      <c r="AE30" s="19"/>
      <c r="AF30" s="19"/>
      <c r="AG30" s="20"/>
      <c r="AH30" s="18">
        <v>3</v>
      </c>
      <c r="AI30" s="20"/>
      <c r="AJ30" s="22"/>
      <c r="AK30" s="19"/>
      <c r="AL30" s="20"/>
      <c r="AM30" s="18"/>
      <c r="AN30" s="19"/>
      <c r="AO30" s="19"/>
      <c r="AP30" s="19"/>
      <c r="AQ30" s="19"/>
      <c r="AR30" s="19"/>
      <c r="AS30" s="20"/>
      <c r="AT30" s="18"/>
      <c r="AU30" s="19"/>
      <c r="AV30" s="19"/>
      <c r="AW30" s="19"/>
      <c r="AX30" s="19"/>
      <c r="AY30" s="19"/>
      <c r="AZ30" s="19"/>
      <c r="BA30" s="19"/>
      <c r="BB30" s="19"/>
      <c r="BC30" s="19"/>
      <c r="BD30" s="19"/>
      <c r="BE30" s="19"/>
      <c r="BF30" s="19"/>
      <c r="BG30" s="19"/>
      <c r="BH30" s="19"/>
      <c r="BI30" s="19"/>
      <c r="BJ30" s="20"/>
      <c r="BK30" s="4"/>
      <c r="BP30" t="str">
        <f t="shared" si="1"/>
        <v>,`CODE_NO` varchar(10)  COMMENT 'コード番号'</v>
      </c>
      <c r="BQ30" t="s">
        <v>626</v>
      </c>
      <c r="BR30" t="str">
        <f t="shared" si="6"/>
        <v xml:space="preserve">,`CODE_NO` varchar(10) </v>
      </c>
      <c r="BS30" t="s">
        <v>626</v>
      </c>
      <c r="BT30" t="str">
        <f t="shared" si="2"/>
        <v>,`CODE_NO` = if(nullif( @5,'') &gt; '', @5, null )</v>
      </c>
      <c r="BU30" t="s">
        <v>626</v>
      </c>
      <c r="BV30" s="97" t="str">
        <f t="shared" si="3"/>
        <v>,A.`CODE_NO` = B.`CODE_NO`</v>
      </c>
      <c r="BW30" t="s">
        <v>626</v>
      </c>
      <c r="BX30" s="97" t="str">
        <f t="shared" si="4"/>
        <v>,`CODE_NO`</v>
      </c>
      <c r="BY30" t="s">
        <v>626</v>
      </c>
      <c r="BZ30" s="97" t="str">
        <f t="shared" si="5"/>
        <v>,`CODE_NO`</v>
      </c>
      <c r="CA30" t="s">
        <v>626</v>
      </c>
    </row>
    <row r="31" spans="1:79" ht="15" customHeight="1">
      <c r="A31" s="100" t="s">
        <v>968</v>
      </c>
      <c r="B31" s="16">
        <v>11</v>
      </c>
      <c r="C31" s="24"/>
      <c r="D31" s="22" t="s">
        <v>1402</v>
      </c>
      <c r="E31" s="25"/>
      <c r="F31" s="25"/>
      <c r="G31" s="25"/>
      <c r="H31" s="25"/>
      <c r="I31" s="25"/>
      <c r="J31" s="25"/>
      <c r="K31" s="25"/>
      <c r="L31" s="25"/>
      <c r="M31" s="25"/>
      <c r="N31" s="25"/>
      <c r="O31" s="25"/>
      <c r="P31" s="25"/>
      <c r="Q31" s="26"/>
      <c r="R31" s="22" t="s">
        <v>1393</v>
      </c>
      <c r="S31" s="25"/>
      <c r="T31" s="25"/>
      <c r="U31" s="25"/>
      <c r="V31" s="25"/>
      <c r="W31" s="25"/>
      <c r="X31" s="25"/>
      <c r="Y31" s="25"/>
      <c r="Z31" s="25"/>
      <c r="AA31" s="25"/>
      <c r="AB31" s="26"/>
      <c r="AC31" s="18" t="s">
        <v>1398</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P31" t="str">
        <f t="shared" si="1"/>
        <v>,`CODE_VALUE` varchar(50)  COMMENT 'コード値'</v>
      </c>
      <c r="BQ31" t="s">
        <v>626</v>
      </c>
      <c r="BR31" t="str">
        <f t="shared" si="6"/>
        <v xml:space="preserve">,`CODE_VALUE` varchar(50) </v>
      </c>
      <c r="BS31" t="s">
        <v>626</v>
      </c>
      <c r="BT31" t="str">
        <f t="shared" si="2"/>
        <v>,`CODE_VALUE` = if(nullif( @6,'') &gt; '', @6, null )</v>
      </c>
      <c r="BU31" t="s">
        <v>626</v>
      </c>
      <c r="BV31" s="97" t="str">
        <f t="shared" si="3"/>
        <v>,A.`CODE_VALUE` = B.`CODE_VALUE`</v>
      </c>
      <c r="BW31" t="s">
        <v>626</v>
      </c>
      <c r="BX31" s="97" t="str">
        <f t="shared" si="4"/>
        <v>,`CODE_VALUE`</v>
      </c>
      <c r="BY31" t="s">
        <v>626</v>
      </c>
      <c r="BZ31" s="97" t="str">
        <f t="shared" si="5"/>
        <v>,`CODE_VALUE`</v>
      </c>
      <c r="CA31" t="s">
        <v>626</v>
      </c>
    </row>
    <row r="32" spans="1:79" ht="15" customHeight="1">
      <c r="A32" s="100" t="s">
        <v>969</v>
      </c>
      <c r="B32" s="16">
        <v>12</v>
      </c>
      <c r="C32" s="24"/>
      <c r="D32" s="22" t="s">
        <v>1403</v>
      </c>
      <c r="E32" s="25"/>
      <c r="F32" s="25"/>
      <c r="G32" s="25"/>
      <c r="H32" s="25"/>
      <c r="I32" s="25"/>
      <c r="J32" s="25"/>
      <c r="K32" s="25"/>
      <c r="L32" s="25"/>
      <c r="M32" s="25"/>
      <c r="N32" s="25"/>
      <c r="O32" s="25"/>
      <c r="P32" s="25"/>
      <c r="Q32" s="26"/>
      <c r="R32" s="22" t="s">
        <v>1394</v>
      </c>
      <c r="S32" s="25"/>
      <c r="T32" s="25"/>
      <c r="U32" s="25"/>
      <c r="V32" s="25"/>
      <c r="W32" s="25"/>
      <c r="X32" s="25"/>
      <c r="Y32" s="25"/>
      <c r="Z32" s="25"/>
      <c r="AA32" s="25"/>
      <c r="AB32" s="26"/>
      <c r="AC32" s="18" t="s">
        <v>1398</v>
      </c>
      <c r="AD32" s="25"/>
      <c r="AE32" s="25"/>
      <c r="AF32" s="25"/>
      <c r="AG32" s="26"/>
      <c r="AH32" s="22"/>
      <c r="AI32" s="26"/>
      <c r="AJ32" s="22"/>
      <c r="AK32" s="25"/>
      <c r="AL32" s="26"/>
      <c r="AM32" s="22"/>
      <c r="AN32" s="25"/>
      <c r="AO32" s="25"/>
      <c r="AP32" s="25"/>
      <c r="AQ32" s="25"/>
      <c r="AR32" s="25"/>
      <c r="AS32" s="26"/>
      <c r="AT32" s="33"/>
      <c r="AU32" s="25"/>
      <c r="AV32" s="25"/>
      <c r="AW32" s="25"/>
      <c r="AX32" s="25"/>
      <c r="AY32" s="25"/>
      <c r="AZ32" s="25"/>
      <c r="BA32" s="25"/>
      <c r="BB32" s="25"/>
      <c r="BC32" s="25"/>
      <c r="BD32" s="25"/>
      <c r="BE32" s="25"/>
      <c r="BF32" s="25"/>
      <c r="BG32" s="25"/>
      <c r="BH32" s="25"/>
      <c r="BI32" s="25"/>
      <c r="BJ32" s="26"/>
      <c r="BK32" s="4"/>
      <c r="BP32" t="str">
        <f t="shared" si="1"/>
        <v>,`CODE_VALUE_EXT1` varchar(50)  COMMENT 'コード値_その他1'</v>
      </c>
      <c r="BQ32" t="s">
        <v>626</v>
      </c>
      <c r="BR32" t="str">
        <f t="shared" si="6"/>
        <v xml:space="preserve">,`CODE_VALUE_EXT1` varchar(50) </v>
      </c>
      <c r="BS32" t="s">
        <v>626</v>
      </c>
      <c r="BT32" t="str">
        <f t="shared" si="2"/>
        <v>,`CODE_VALUE_EXT1` = if(nullif( @7,'') &gt; '', @7, null )</v>
      </c>
      <c r="BU32" t="s">
        <v>626</v>
      </c>
      <c r="BV32" s="97" t="str">
        <f t="shared" si="3"/>
        <v>,A.`CODE_VALUE_EXT1` = B.`CODE_VALUE_EXT1`</v>
      </c>
      <c r="BW32" t="s">
        <v>626</v>
      </c>
      <c r="BX32" s="97" t="str">
        <f t="shared" si="4"/>
        <v>,`CODE_VALUE_EXT1`</v>
      </c>
      <c r="BY32" t="s">
        <v>626</v>
      </c>
      <c r="BZ32" s="97" t="str">
        <f t="shared" si="5"/>
        <v>,`CODE_VALUE_EXT1`</v>
      </c>
      <c r="CA32" t="s">
        <v>626</v>
      </c>
    </row>
    <row r="33" spans="1:79" ht="15" customHeight="1">
      <c r="A33" s="100" t="s">
        <v>969</v>
      </c>
      <c r="B33" s="16">
        <v>12</v>
      </c>
      <c r="C33" s="24"/>
      <c r="D33" s="22" t="s">
        <v>1404</v>
      </c>
      <c r="E33" s="25"/>
      <c r="F33" s="25"/>
      <c r="G33" s="25"/>
      <c r="H33" s="25"/>
      <c r="I33" s="25"/>
      <c r="J33" s="25"/>
      <c r="K33" s="25"/>
      <c r="L33" s="25"/>
      <c r="M33" s="25"/>
      <c r="N33" s="25"/>
      <c r="O33" s="25"/>
      <c r="P33" s="25"/>
      <c r="Q33" s="26"/>
      <c r="R33" s="22" t="s">
        <v>1395</v>
      </c>
      <c r="S33" s="25"/>
      <c r="T33" s="25"/>
      <c r="U33" s="25"/>
      <c r="V33" s="25"/>
      <c r="W33" s="25"/>
      <c r="X33" s="25"/>
      <c r="Y33" s="25"/>
      <c r="Z33" s="25"/>
      <c r="AA33" s="25"/>
      <c r="AB33" s="26"/>
      <c r="AC33" s="18" t="s">
        <v>1398</v>
      </c>
      <c r="AD33" s="25"/>
      <c r="AE33" s="25"/>
      <c r="AF33" s="25"/>
      <c r="AG33" s="26"/>
      <c r="AH33" s="22"/>
      <c r="AI33" s="26"/>
      <c r="AJ33" s="22"/>
      <c r="AK33" s="25"/>
      <c r="AL33" s="26"/>
      <c r="AM33" s="22"/>
      <c r="AN33" s="25"/>
      <c r="AO33" s="25"/>
      <c r="AP33" s="25"/>
      <c r="AQ33" s="25"/>
      <c r="AR33" s="25"/>
      <c r="AS33" s="26"/>
      <c r="AT33" s="33"/>
      <c r="AU33" s="25"/>
      <c r="AV33" s="25"/>
      <c r="AW33" s="25"/>
      <c r="AX33" s="25"/>
      <c r="AY33" s="25"/>
      <c r="AZ33" s="25"/>
      <c r="BA33" s="25"/>
      <c r="BB33" s="25"/>
      <c r="BC33" s="25"/>
      <c r="BD33" s="25"/>
      <c r="BE33" s="25"/>
      <c r="BF33" s="25"/>
      <c r="BG33" s="25"/>
      <c r="BH33" s="25"/>
      <c r="BI33" s="25"/>
      <c r="BJ33" s="26"/>
      <c r="BK33" s="4"/>
      <c r="BP33" t="str">
        <f t="shared" ref="BP33" si="7">",`"&amp;R33&amp;"` "&amp;AC33&amp;" "&amp;IF(AJ33="Y","NOT NULL","")&amp;" COMMENT '"&amp;D33&amp;"'"</f>
        <v>,`CODE_VALUE_EXT2` varchar(50)  COMMENT 'コード値_その他2'</v>
      </c>
      <c r="BQ33" t="s">
        <v>626</v>
      </c>
      <c r="BR33" t="str">
        <f t="shared" ref="BR33" si="8">",`"&amp;R33&amp;"` "&amp;AC33&amp;" "&amp;IF(AJ33="Y","NOT NULL","")</f>
        <v xml:space="preserve">,`CODE_VALUE_EXT2` varchar(50) </v>
      </c>
      <c r="BS33" t="s">
        <v>626</v>
      </c>
      <c r="BT33" t="str">
        <f t="shared" ref="BT33" si="9">",`"&amp;R33&amp;"` = "&amp;IF(LEFT(AC33,4)="date", "if(@"&amp;B33-5&amp;" &gt; '0000-00-00 00:00:00', if(@"&amp;B33-5&amp;" &gt; '2999-12-31 23:59:59', '2999-12-31 23:59:59', @"&amp;B33-5&amp;"), null)","if(nullif( @"&amp;B33-5&amp;",'') &gt; '', @"&amp;B33-5&amp;", null )")</f>
        <v>,`CODE_VALUE_EXT2` = if(nullif( @7,'') &gt; '', @7, null )</v>
      </c>
      <c r="BU33" t="s">
        <v>626</v>
      </c>
      <c r="BV33" s="97" t="str">
        <f t="shared" ref="BV33" si="10">",A.`"&amp;R33&amp;"` = B.`"&amp;R33&amp;"`"</f>
        <v>,A.`CODE_VALUE_EXT2` = B.`CODE_VALUE_EXT2`</v>
      </c>
      <c r="BW33" t="s">
        <v>626</v>
      </c>
      <c r="BX33" s="97" t="str">
        <f t="shared" ref="BX33" si="11">",`"&amp;R33&amp;"`"</f>
        <v>,`CODE_VALUE_EXT2`</v>
      </c>
      <c r="BY33" t="s">
        <v>626</v>
      </c>
      <c r="BZ33" s="97" t="str">
        <f t="shared" ref="BZ33" si="12">",`"&amp;R33&amp;"`"</f>
        <v>,`CODE_VALUE_EXT2`</v>
      </c>
      <c r="CA33" t="s">
        <v>626</v>
      </c>
    </row>
    <row r="34" spans="1:79" ht="15" customHeight="1">
      <c r="A34" s="100" t="s">
        <v>969</v>
      </c>
      <c r="B34" s="16">
        <v>12</v>
      </c>
      <c r="C34" s="24"/>
      <c r="D34" s="22" t="s">
        <v>1405</v>
      </c>
      <c r="E34" s="25"/>
      <c r="F34" s="25"/>
      <c r="G34" s="25"/>
      <c r="H34" s="25"/>
      <c r="I34" s="25"/>
      <c r="J34" s="25"/>
      <c r="K34" s="25"/>
      <c r="L34" s="25"/>
      <c r="M34" s="25"/>
      <c r="N34" s="25"/>
      <c r="O34" s="25"/>
      <c r="P34" s="25"/>
      <c r="Q34" s="26"/>
      <c r="R34" s="22" t="s">
        <v>1396</v>
      </c>
      <c r="S34" s="25"/>
      <c r="T34" s="25"/>
      <c r="U34" s="25"/>
      <c r="V34" s="25"/>
      <c r="W34" s="25"/>
      <c r="X34" s="25"/>
      <c r="Y34" s="25"/>
      <c r="Z34" s="25"/>
      <c r="AA34" s="25"/>
      <c r="AB34" s="26"/>
      <c r="AC34" s="18" t="s">
        <v>1398</v>
      </c>
      <c r="AD34" s="25"/>
      <c r="AE34" s="25"/>
      <c r="AF34" s="25"/>
      <c r="AG34" s="26"/>
      <c r="AH34" s="22"/>
      <c r="AI34" s="26"/>
      <c r="AJ34" s="22"/>
      <c r="AK34" s="25"/>
      <c r="AL34" s="26"/>
      <c r="AM34" s="22"/>
      <c r="AN34" s="25"/>
      <c r="AO34" s="25"/>
      <c r="AP34" s="25"/>
      <c r="AQ34" s="25"/>
      <c r="AR34" s="25"/>
      <c r="AS34" s="26"/>
      <c r="AT34" s="33"/>
      <c r="AU34" s="25"/>
      <c r="AV34" s="25"/>
      <c r="AW34" s="25"/>
      <c r="AX34" s="25"/>
      <c r="AY34" s="25"/>
      <c r="AZ34" s="25"/>
      <c r="BA34" s="25"/>
      <c r="BB34" s="25"/>
      <c r="BC34" s="25"/>
      <c r="BD34" s="25"/>
      <c r="BE34" s="25"/>
      <c r="BF34" s="25"/>
      <c r="BG34" s="25"/>
      <c r="BH34" s="25"/>
      <c r="BI34" s="25"/>
      <c r="BJ34" s="26"/>
      <c r="BK34" s="4"/>
      <c r="BP34" t="str">
        <f t="shared" si="1"/>
        <v>,`CODE_VALUE_EXT3` varchar(50)  COMMENT 'コード値_その他3'</v>
      </c>
      <c r="BQ34" t="s">
        <v>626</v>
      </c>
      <c r="BR34" t="str">
        <f t="shared" si="6"/>
        <v xml:space="preserve">,`CODE_VALUE_EXT3` varchar(50) </v>
      </c>
      <c r="BS34" t="s">
        <v>626</v>
      </c>
      <c r="BT34" t="str">
        <f t="shared" si="2"/>
        <v>,`CODE_VALUE_EXT3` = if(nullif( @7,'') &gt; '', @7, null )</v>
      </c>
      <c r="BU34" t="s">
        <v>626</v>
      </c>
      <c r="BV34" s="97" t="str">
        <f t="shared" si="3"/>
        <v>,A.`CODE_VALUE_EXT3` = B.`CODE_VALUE_EXT3`</v>
      </c>
      <c r="BW34" t="s">
        <v>626</v>
      </c>
      <c r="BX34" s="97" t="str">
        <f t="shared" si="4"/>
        <v>,`CODE_VALUE_EXT3`</v>
      </c>
      <c r="BY34" t="s">
        <v>626</v>
      </c>
      <c r="BZ34" s="97" t="str">
        <f t="shared" si="5"/>
        <v>,`CODE_VALUE_EXT3`</v>
      </c>
      <c r="CA34" t="s">
        <v>626</v>
      </c>
    </row>
    <row r="35" spans="1:79" ht="15" customHeight="1">
      <c r="A35" s="100" t="s">
        <v>970</v>
      </c>
      <c r="B35" s="28">
        <v>13</v>
      </c>
      <c r="C35" s="29"/>
      <c r="D35" s="30" t="s">
        <v>1406</v>
      </c>
      <c r="E35" s="31"/>
      <c r="F35" s="31"/>
      <c r="G35" s="31"/>
      <c r="H35" s="31"/>
      <c r="I35" s="31"/>
      <c r="J35" s="31"/>
      <c r="K35" s="31"/>
      <c r="L35" s="31"/>
      <c r="M35" s="31"/>
      <c r="N35" s="31"/>
      <c r="O35" s="31"/>
      <c r="P35" s="31"/>
      <c r="Q35" s="32"/>
      <c r="R35" s="30" t="s">
        <v>1397</v>
      </c>
      <c r="S35" s="31"/>
      <c r="T35" s="31"/>
      <c r="U35" s="31"/>
      <c r="V35" s="31"/>
      <c r="W35" s="31"/>
      <c r="X35" s="31"/>
      <c r="Y35" s="31"/>
      <c r="Z35" s="31"/>
      <c r="AA35" s="31"/>
      <c r="AB35" s="32"/>
      <c r="AC35" s="18" t="s">
        <v>1398</v>
      </c>
      <c r="AD35" s="31"/>
      <c r="AE35" s="31"/>
      <c r="AF35" s="31"/>
      <c r="AG35" s="32"/>
      <c r="AH35" s="30"/>
      <c r="AI35" s="32"/>
      <c r="AJ35" s="30"/>
      <c r="AK35" s="31"/>
      <c r="AL35" s="32"/>
      <c r="AM35" s="30"/>
      <c r="AN35" s="31"/>
      <c r="AO35" s="31"/>
      <c r="AP35" s="31"/>
      <c r="AQ35" s="31"/>
      <c r="AR35" s="31"/>
      <c r="AS35" s="32"/>
      <c r="AT35" s="30"/>
      <c r="AU35" s="31"/>
      <c r="AV35" s="31"/>
      <c r="AW35" s="31"/>
      <c r="AX35" s="31"/>
      <c r="AY35" s="31"/>
      <c r="AZ35" s="31"/>
      <c r="BA35" s="31"/>
      <c r="BB35" s="31"/>
      <c r="BC35" s="31"/>
      <c r="BD35" s="31"/>
      <c r="BE35" s="31"/>
      <c r="BF35" s="31"/>
      <c r="BG35" s="31"/>
      <c r="BH35" s="31"/>
      <c r="BI35" s="31"/>
      <c r="BJ35" s="32"/>
      <c r="BK35" s="4"/>
      <c r="BP35" t="str">
        <f t="shared" si="1"/>
        <v>,`CODE_VALUE_EXT4` varchar(50)  COMMENT 'コード値_その他4'</v>
      </c>
      <c r="BQ35" t="s">
        <v>626</v>
      </c>
      <c r="BR35" t="str">
        <f t="shared" si="6"/>
        <v xml:space="preserve">,`CODE_VALUE_EXT4` varchar(50) </v>
      </c>
      <c r="BS35" t="s">
        <v>626</v>
      </c>
      <c r="BT35" t="str">
        <f t="shared" si="2"/>
        <v>,`CODE_VALUE_EXT4` = if(nullif( @8,'') &gt; '', @8, null )</v>
      </c>
      <c r="BU35" t="s">
        <v>626</v>
      </c>
      <c r="BV35" s="97" t="str">
        <f t="shared" si="3"/>
        <v>,A.`CODE_VALUE_EXT4` = B.`CODE_VALUE_EXT4`</v>
      </c>
      <c r="BW35" t="s">
        <v>626</v>
      </c>
      <c r="BX35" s="97" t="str">
        <f t="shared" si="4"/>
        <v>,`CODE_VALUE_EXT4`</v>
      </c>
      <c r="BY35" t="s">
        <v>626</v>
      </c>
      <c r="BZ35" s="97" t="str">
        <f t="shared" si="5"/>
        <v>,`CODE_VALUE_EXT4`</v>
      </c>
      <c r="CA35" t="s">
        <v>626</v>
      </c>
    </row>
    <row r="36" spans="1:79" ht="15" customHeight="1">
      <c r="A36" s="100"/>
      <c r="BK36" s="4"/>
      <c r="BP36"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(`MASTER_CODE`,`COMPANY_CODE`,`CODE_NO`),</v>
      </c>
      <c r="BQ36" t="s">
        <v>626</v>
      </c>
      <c r="BR36"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(`MASTER_CODE`,`COMPANY_CODE`,`CODE_NO`)</v>
      </c>
      <c r="BS36" t="s">
        <v>626</v>
      </c>
      <c r="BT36" s="97" t="s">
        <v>936</v>
      </c>
      <c r="BU36" t="s">
        <v>626</v>
      </c>
      <c r="BV36" s="97" t="s">
        <v>934</v>
      </c>
      <c r="BW36" t="s">
        <v>626</v>
      </c>
      <c r="BY36" t="s">
        <v>626</v>
      </c>
      <c r="BZ36" s="97" t="str">
        <f>"FROM `TMP`.`"&amp;$G$10&amp;"` A"</f>
        <v>FROM `TMP`.`code_master` A</v>
      </c>
      <c r="CA36" t="s">
        <v>626</v>
      </c>
    </row>
    <row r="37" spans="1:79" ht="15" customHeight="1">
      <c r="A37" s="100"/>
      <c r="BK37" s="4"/>
      <c r="BP37" s="97" t="s">
        <v>452</v>
      </c>
      <c r="BQ37" t="s">
        <v>626</v>
      </c>
      <c r="BR37" s="97" t="str">
        <f>") ENGINE=InnoDB DEFAULT CHARSET=utf8mb4 COLLATE=utf8mb4_0900_ai_ci COMMENT = '"&amp;$G$9&amp;"_TMP';"</f>
        <v>) ENGINE=InnoDB DEFAULT CHARSET=utf8mb4 COLLATE=utf8mb4_0900_ai_ci COMMENT = 'コードマスタ_TMP';</v>
      </c>
      <c r="BS37" t="s">
        <v>626</v>
      </c>
      <c r="BU37" t="s">
        <v>626</v>
      </c>
      <c r="BV37" s="97" t="str">
        <f>IF(_xlfn.XLOOKUP(1,$AH:$AH,$R:$R,"",0)="","","A.`"&amp;_xlfn.XLOOKUP(1,$AH:$AH,$R:$R,"",0)&amp;"` = B.`"&amp;_xlfn.XLOOKUP(1,$AH:$AH,$R:$R,"",0)&amp;"`")</f>
        <v>A.`MASTER_CODE` = B.`MASTER_CODE`</v>
      </c>
      <c r="BW37" t="s">
        <v>626</v>
      </c>
      <c r="BY37" t="s">
        <v>626</v>
      </c>
      <c r="BZ37" s="97" t="s">
        <v>935</v>
      </c>
      <c r="CA37" t="s">
        <v>626</v>
      </c>
    </row>
    <row r="38" spans="1:79" ht="15" customHeight="1">
      <c r="A38" s="100"/>
      <c r="B38" s="37" t="s">
        <v>49</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4"/>
      <c r="BP38" s="97" t="str">
        <f>") ENGINE=InnoDB DEFAULT CHARSET=utf8mb4 COLLATE=utf8mb4_0900_ai_ci COMMENT = '"&amp;$G$9&amp;"';"</f>
        <v>) ENGINE=InnoDB DEFAULT CHARSET=utf8mb4 COLLATE=utf8mb4_0900_ai_ci COMMENT = 'コードマスタ';</v>
      </c>
      <c r="BQ38" t="s">
        <v>626</v>
      </c>
      <c r="BS38" t="s">
        <v>626</v>
      </c>
      <c r="BU38" t="s">
        <v>626</v>
      </c>
      <c r="BV38" s="97" t="str">
        <f>IF(_xlfn.XLOOKUP(2,$AH:$AH,$R:$R,"",0)="","","AND A.`"&amp;_xlfn.XLOOKUP(2,$AH:$AH,$R:$R,"",0)&amp;"` = B.`"&amp;_xlfn.XLOOKUP(2,$AH:$AH,$R:$R,"",0)&amp;"`")</f>
        <v>AND A.`COMPANY_CODE` = B.`COMPANY_CODE`</v>
      </c>
      <c r="BW38" t="s">
        <v>626</v>
      </c>
      <c r="BY38" t="s">
        <v>626</v>
      </c>
      <c r="BZ38" s="97" t="str">
        <f>"FROM `POS_MASTER`.`"&amp;$G$10&amp;"` B"</f>
        <v>FROM `POS_MASTER`.`code_master` B</v>
      </c>
      <c r="CA38" t="s">
        <v>626</v>
      </c>
    </row>
    <row r="39" spans="1:79" ht="15" customHeight="1">
      <c r="A39" s="100"/>
      <c r="B39" s="34" t="s">
        <v>50</v>
      </c>
      <c r="C39" s="35"/>
      <c r="D39" s="34" t="s">
        <v>51</v>
      </c>
      <c r="E39" s="44"/>
      <c r="F39" s="36"/>
      <c r="G39" s="36"/>
      <c r="H39" s="36"/>
      <c r="I39" s="36"/>
      <c r="J39" s="36"/>
      <c r="K39" s="36"/>
      <c r="L39" s="36"/>
      <c r="M39" s="36"/>
      <c r="N39" s="36"/>
      <c r="O39" s="36"/>
      <c r="P39" s="36"/>
      <c r="Q39" s="35"/>
      <c r="R39" s="34" t="s">
        <v>52</v>
      </c>
      <c r="S39" s="44"/>
      <c r="T39" s="36"/>
      <c r="U39" s="36"/>
      <c r="V39" s="36"/>
      <c r="W39" s="36"/>
      <c r="X39" s="36"/>
      <c r="Y39" s="36"/>
      <c r="Z39" s="36"/>
      <c r="AA39" s="36"/>
      <c r="AB39" s="36"/>
      <c r="AC39" s="36"/>
      <c r="AD39" s="36"/>
      <c r="AE39" s="36"/>
      <c r="AF39" s="36"/>
      <c r="AG39" s="36"/>
      <c r="AH39" s="36"/>
      <c r="AI39" s="36"/>
      <c r="AJ39" s="36"/>
      <c r="AK39" s="35"/>
      <c r="AL39" s="34" t="s">
        <v>53</v>
      </c>
      <c r="AM39" s="36"/>
      <c r="AN39" s="36"/>
      <c r="AO39" s="45"/>
      <c r="AP39" s="34" t="s">
        <v>54</v>
      </c>
      <c r="AQ39" s="36"/>
      <c r="AR39" s="36"/>
      <c r="AS39" s="35"/>
      <c r="AT39" s="34" t="s">
        <v>48</v>
      </c>
      <c r="AU39" s="44"/>
      <c r="AV39" s="44"/>
      <c r="AW39" s="36"/>
      <c r="AX39" s="36"/>
      <c r="AY39" s="44"/>
      <c r="AZ39" s="36"/>
      <c r="BA39" s="36"/>
      <c r="BB39" s="36"/>
      <c r="BC39" s="36"/>
      <c r="BD39" s="36"/>
      <c r="BE39" s="36"/>
      <c r="BF39" s="36"/>
      <c r="BG39" s="36"/>
      <c r="BH39" s="36"/>
      <c r="BI39" s="44"/>
      <c r="BJ39" s="35"/>
      <c r="BK39" s="4"/>
      <c r="BP39" s="97"/>
      <c r="BQ39" t="s">
        <v>626</v>
      </c>
      <c r="BS39" t="s">
        <v>626</v>
      </c>
      <c r="BU39" t="s">
        <v>626</v>
      </c>
      <c r="BV39" s="97" t="str">
        <f>IF(_xlfn.XLOOKUP(3,$AH:$AH,$R:$R,"",0)="","","AND A.`"&amp;_xlfn.XLOOKUP(3,$AH:$AH,$R:$R,"",0)&amp;"` = B.`"&amp;_xlfn.XLOOKUP(3,$AH:$AH,$R:$R,"",0)&amp;"`")</f>
        <v>AND A.`CODE_NO` = B.`CODE_NO`</v>
      </c>
      <c r="BW39" t="s">
        <v>626</v>
      </c>
      <c r="BY39" t="s">
        <v>626</v>
      </c>
      <c r="BZ39" s="97" t="s">
        <v>932</v>
      </c>
      <c r="CA39" t="s">
        <v>626</v>
      </c>
    </row>
    <row r="40" spans="1:79" ht="15" customHeight="1">
      <c r="A40" s="100"/>
      <c r="B40" s="38">
        <v>1</v>
      </c>
      <c r="C40" s="39"/>
      <c r="D40" s="38" t="s">
        <v>55</v>
      </c>
      <c r="E40" s="46"/>
      <c r="F40" s="40"/>
      <c r="G40" s="40"/>
      <c r="H40" s="40"/>
      <c r="I40" s="40"/>
      <c r="J40" s="40"/>
      <c r="K40" s="40"/>
      <c r="L40" s="40"/>
      <c r="M40" s="40"/>
      <c r="N40" s="40"/>
      <c r="O40" s="40"/>
      <c r="P40" s="40"/>
      <c r="Q40" s="39"/>
      <c r="R40"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`MASTER_CODE`,`COMPANY_CODE`,`CODE_NO`</v>
      </c>
      <c r="S40" s="46"/>
      <c r="T40" s="40"/>
      <c r="U40" s="40"/>
      <c r="V40" s="40"/>
      <c r="W40" s="40"/>
      <c r="X40" s="40"/>
      <c r="Y40" s="40"/>
      <c r="Z40" s="40"/>
      <c r="AA40" s="40"/>
      <c r="AB40" s="40"/>
      <c r="AC40" s="40"/>
      <c r="AD40" s="40"/>
      <c r="AE40" s="40"/>
      <c r="AF40" s="40"/>
      <c r="AG40" s="40"/>
      <c r="AH40" s="40"/>
      <c r="AI40" s="40"/>
      <c r="AJ40" s="40"/>
      <c r="AK40" s="39"/>
      <c r="AL40" s="38" t="s">
        <v>885</v>
      </c>
      <c r="AM40" s="40"/>
      <c r="AN40" s="40"/>
      <c r="AO40" s="47"/>
      <c r="AP40" s="38" t="s">
        <v>885</v>
      </c>
      <c r="AQ40" s="40"/>
      <c r="AR40" s="40"/>
      <c r="AS40" s="39"/>
      <c r="AT40" s="38"/>
      <c r="AU40" s="46"/>
      <c r="AV40" s="46"/>
      <c r="AW40" s="40"/>
      <c r="AX40" s="40"/>
      <c r="AY40" s="46"/>
      <c r="AZ40" s="40"/>
      <c r="BA40" s="40"/>
      <c r="BB40" s="40"/>
      <c r="BC40" s="40"/>
      <c r="BD40" s="40"/>
      <c r="BE40" s="40"/>
      <c r="BF40" s="40"/>
      <c r="BG40" s="40"/>
      <c r="BH40" s="40"/>
      <c r="BI40" s="46"/>
      <c r="BJ40" s="39"/>
      <c r="BK40" s="4"/>
      <c r="BP40" s="97" t="str">
        <f>"CREATE TRIGGER `"&amp;$G$10&amp;"_CR_Date_Time` BEFORE INSERT ON `"&amp;$G$10&amp;"` FOR EACH ROW SET NEW.record_create_date = CURRENT_DATE, NEW.record_create_time = CURRENT_TIME, NEW.record_update_date = CURRENT_DATE, NEW.record_update_time = CURRENT_TIME;"</f>
        <v>CREATE TRIGGER `code_master_CR_Date_Time` BEFORE INSERT ON `code_master` FOR EACH ROW SET NEW.record_create_date = CURRENT_DATE, NEW.record_create_time = CURRENT_TIME, NEW.record_update_date = CURRENT_DATE, NEW.record_update_time = CURRENT_TIME;</v>
      </c>
      <c r="BQ40" t="s">
        <v>626</v>
      </c>
      <c r="BS40" t="s">
        <v>626</v>
      </c>
      <c r="BU40" t="s">
        <v>626</v>
      </c>
      <c r="BV40" s="97" t="str">
        <f>IF(_xlfn.XLOOKUP(4,$AH:$AH,$R:$R,"",0)="","","AND A.`"&amp;_xlfn.XLOOKUP(4,$AH:$AH,$R:$R,"",0)&amp;"` = B.`"&amp;_xlfn.XLOOKUP(4,$AH:$AH,$R:$R,"",0)&amp;"`")</f>
        <v/>
      </c>
      <c r="BW40" t="s">
        <v>626</v>
      </c>
      <c r="BY40" t="s">
        <v>626</v>
      </c>
      <c r="BZ40" s="97" t="str">
        <f>IF(_xlfn.XLOOKUP(1,$AH:$AH,$R:$R,"",0)="","","A.`"&amp;_xlfn.XLOOKUP(1,$AH:$AH,$R:$R,"",0)&amp;"` = B.`"&amp;_xlfn.XLOOKUP(1,$AH:$AH,$R:$R,"",0)&amp;"`")</f>
        <v>A.`MASTER_CODE` = B.`MASTER_CODE`</v>
      </c>
      <c r="CA40" t="s">
        <v>626</v>
      </c>
    </row>
    <row r="41" spans="1:79" ht="15" customHeight="1">
      <c r="A41" s="100"/>
      <c r="BK41" s="4"/>
      <c r="BP41" s="97" t="str">
        <f>"CREATE TRIGGER `"&amp;$G$10&amp;"_UP_Date_Time` BEFORE UPDATE ON `"&amp;$G$10&amp;"` FOR EACH ROW SET NEW.record_update_date = CURRENT_DATE, NEW.record_update_time = CURRENT_TIME;"</f>
        <v>CREATE TRIGGER `code_master_UP_Date_Time` BEFORE UPDATE ON `code_master` FOR EACH ROW SET NEW.record_update_date = CURRENT_DATE, NEW.record_update_time = CURRENT_TIME;</v>
      </c>
      <c r="BQ41" t="s">
        <v>626</v>
      </c>
      <c r="BS41" t="s">
        <v>626</v>
      </c>
      <c r="BU41" t="s">
        <v>626</v>
      </c>
      <c r="BV41" s="97" t="str">
        <f>IF(_xlfn.XLOOKUP(5,$AH:$AH,$R:$R,"",0)="","","AND A.`"&amp;_xlfn.XLOOKUP(5,$AH:$AH,$R:$R,"",0)&amp;"` = B.`"&amp;_xlfn.XLOOKUP(5,$AH:$AH,$R:$R,"",0)&amp;"`")</f>
        <v/>
      </c>
      <c r="BW41" t="s">
        <v>626</v>
      </c>
      <c r="BY41" t="s">
        <v>626</v>
      </c>
      <c r="BZ41" s="97" t="str">
        <f>IF(_xlfn.XLOOKUP(2,$AH:$AH,$R:$R,"",0)="","","AND A.`"&amp;_xlfn.XLOOKUP(2,$AH:$AH,$R:$R,"",0)&amp;"` = B.`"&amp;_xlfn.XLOOKUP(2,$AH:$AH,$R:$R,"",0)&amp;"`")</f>
        <v>AND A.`COMPANY_CODE` = B.`COMPANY_CODE`</v>
      </c>
      <c r="CA41" t="s">
        <v>626</v>
      </c>
    </row>
    <row r="42" spans="1:79" ht="15" customHeight="1">
      <c r="A42" s="100"/>
      <c r="BK42" s="4"/>
      <c r="BQ42" t="s">
        <v>626</v>
      </c>
      <c r="BS42" t="s">
        <v>626</v>
      </c>
      <c r="BU42" t="s">
        <v>626</v>
      </c>
      <c r="BV42" s="97" t="str">
        <f>IF(_xlfn.XLOOKUP(6,$AH:$AH,$R:$R,"",0)="","","AND A.`"&amp;_xlfn.XLOOKUP(6,$AH:$AH,$R:$R,"",0)&amp;"` = B.`"&amp;_xlfn.XLOOKUP(6,$AH:$AH,$R:$R,"",0)&amp;"`")</f>
        <v/>
      </c>
      <c r="BW42" t="s">
        <v>626</v>
      </c>
      <c r="BY42" t="s">
        <v>626</v>
      </c>
      <c r="BZ42" s="97" t="str">
        <f>IF(_xlfn.XLOOKUP(3,$AH:$AH,$R:$R,"",0)="","","AND A.`"&amp;_xlfn.XLOOKUP(3,$AH:$AH,$R:$R,"",0)&amp;"` = B.`"&amp;_xlfn.XLOOKUP(3,$AH:$AH,$R:$R,"",0)&amp;"`")</f>
        <v>AND A.`CODE_NO` = B.`CODE_NO`</v>
      </c>
      <c r="CA42" t="s">
        <v>626</v>
      </c>
    </row>
    <row r="43" spans="1:79" ht="15" customHeight="1">
      <c r="A43" s="100"/>
      <c r="B43" s="37" t="s">
        <v>34</v>
      </c>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4"/>
      <c r="BQ43" t="s">
        <v>626</v>
      </c>
      <c r="BS43" t="s">
        <v>626</v>
      </c>
      <c r="BU43" t="s">
        <v>626</v>
      </c>
      <c r="BV43" s="97" t="str">
        <f>IF(_xlfn.XLOOKUP(7,$AH:$AH,$R:$R,"",0)="","","AND A.`"&amp;_xlfn.XLOOKUP(7,$AH:$AH,$R:$R,"",0)&amp;"` = B.`"&amp;_xlfn.XLOOKUP(7,$AH:$AH,$R:$R,"",0)&amp;"`")</f>
        <v/>
      </c>
      <c r="BW43" t="s">
        <v>626</v>
      </c>
      <c r="BY43" t="s">
        <v>626</v>
      </c>
      <c r="BZ43" s="97" t="str">
        <f>IF(_xlfn.XLOOKUP(4,$AH:$AH,$R:$R,"",0)="","","AND A.`"&amp;_xlfn.XLOOKUP(4,$AH:$AH,$R:$R,"",0)&amp;"` = B.`"&amp;_xlfn.XLOOKUP(4,$AH:$AH,$R:$R,"",0)&amp;"`")</f>
        <v/>
      </c>
      <c r="CA43" t="s">
        <v>626</v>
      </c>
    </row>
    <row r="44" spans="1:79" ht="15" customHeight="1">
      <c r="A44" s="100"/>
      <c r="B44" s="34" t="s">
        <v>35</v>
      </c>
      <c r="C44" s="45"/>
      <c r="D44" s="34" t="s">
        <v>36</v>
      </c>
      <c r="E44" s="44"/>
      <c r="F44" s="44"/>
      <c r="G44" s="44"/>
      <c r="H44" s="44"/>
      <c r="I44" s="44"/>
      <c r="J44" s="44"/>
      <c r="K44" s="44"/>
      <c r="L44" s="36"/>
      <c r="M44" s="36"/>
      <c r="N44" s="36"/>
      <c r="O44" s="36"/>
      <c r="P44" s="36"/>
      <c r="Q44" s="35"/>
      <c r="R44" s="34" t="s">
        <v>37</v>
      </c>
      <c r="S44" s="36"/>
      <c r="T44" s="45"/>
      <c r="U44" s="34" t="s">
        <v>38</v>
      </c>
      <c r="V44" s="36"/>
      <c r="W44" s="44"/>
      <c r="X44" s="45"/>
      <c r="Y44" s="34" t="s">
        <v>39</v>
      </c>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5"/>
      <c r="BK44" s="4"/>
      <c r="BQ44" t="s">
        <v>626</v>
      </c>
      <c r="BS44" t="s">
        <v>626</v>
      </c>
      <c r="BU44" t="s">
        <v>626</v>
      </c>
      <c r="BV44" s="97" t="str">
        <f>IF(_xlfn.XLOOKUP(8,$AH:$AH,$R:$R,"",0)="","","AND A.`"&amp;_xlfn.XLOOKUP(8,$AH:$AH,$R:$R,"",0)&amp;"` = B.`"&amp;_xlfn.XLOOKUP(8,$AH:$AH,$R:$R,"",0)&amp;"`")</f>
        <v/>
      </c>
      <c r="BW44" t="s">
        <v>626</v>
      </c>
      <c r="BY44" t="s">
        <v>626</v>
      </c>
      <c r="BZ44" s="97" t="str">
        <f>IF(_xlfn.XLOOKUP(5,$AH:$AH,$R:$R,"",0)="","","AND A.`"&amp;_xlfn.XLOOKUP(5,$AH:$AH,$R:$R,"",0)&amp;"` = B.`"&amp;_xlfn.XLOOKUP(5,$AH:$AH,$R:$R,"",0)&amp;"`")</f>
        <v/>
      </c>
      <c r="CA44" t="s">
        <v>626</v>
      </c>
    </row>
    <row r="45" spans="1:79" ht="15" customHeight="1">
      <c r="A45" s="100"/>
      <c r="B45" s="41">
        <v>1</v>
      </c>
      <c r="C45" s="47"/>
      <c r="D45" s="41" t="str">
        <f>G10&amp;"_"&amp;R45&amp;"_"&amp;"trg"</f>
        <v>code_master_update_trg</v>
      </c>
      <c r="E45" s="46"/>
      <c r="F45" s="46"/>
      <c r="G45" s="46"/>
      <c r="H45" s="46"/>
      <c r="I45" s="46"/>
      <c r="J45" s="46"/>
      <c r="K45" s="46"/>
      <c r="L45" s="42"/>
      <c r="M45" s="42"/>
      <c r="N45" s="42"/>
      <c r="O45" s="42"/>
      <c r="P45" s="42"/>
      <c r="Q45" s="43"/>
      <c r="R45" s="41" t="s">
        <v>40</v>
      </c>
      <c r="S45" s="42"/>
      <c r="T45" s="47"/>
      <c r="U45" s="41" t="s">
        <v>41</v>
      </c>
      <c r="V45" s="42"/>
      <c r="W45" s="46"/>
      <c r="X45" s="47"/>
      <c r="Y45" s="41" t="s">
        <v>42</v>
      </c>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c r="BI45" s="42"/>
      <c r="BJ45" s="43"/>
      <c r="BK45" s="4"/>
      <c r="BQ45" t="s">
        <v>626</v>
      </c>
      <c r="BS45" t="s">
        <v>626</v>
      </c>
      <c r="BU45" t="s">
        <v>626</v>
      </c>
      <c r="BV45" s="97" t="s">
        <v>936</v>
      </c>
      <c r="BW45" t="s">
        <v>626</v>
      </c>
      <c r="BY45" t="s">
        <v>626</v>
      </c>
      <c r="BZ45" s="97" t="str">
        <f>IF(_xlfn.XLOOKUP(6,$AH:$AH,$R:$R,"",0)="","","AND A.`"&amp;_xlfn.XLOOKUP(6,$AH:$AH,$R:$R,"",0)&amp;"` = B.`"&amp;_xlfn.XLOOKUP(6,$AH:$AH,$R:$R,"",0)&amp;"`")</f>
        <v/>
      </c>
      <c r="CA45" t="s">
        <v>626</v>
      </c>
    </row>
    <row r="46" spans="1:79" ht="15" customHeight="1">
      <c r="A46" s="100"/>
      <c r="BK46" s="4"/>
      <c r="BQ46" t="s">
        <v>626</v>
      </c>
      <c r="BS46" t="s">
        <v>626</v>
      </c>
      <c r="BU46" t="s">
        <v>626</v>
      </c>
      <c r="BW46" t="s">
        <v>626</v>
      </c>
      <c r="BY46" t="s">
        <v>626</v>
      </c>
      <c r="BZ46" s="97" t="str">
        <f>IF(_xlfn.XLOOKUP(7,$AH:$AH,$R:$R,"",0)="","","AND A.`"&amp;_xlfn.XLOOKUP(7,$AH:$AH,$R:$R,"",0)&amp;"` = B.`"&amp;_xlfn.XLOOKUP(7,$AH:$AH,$R:$R,"",0)&amp;"`")</f>
        <v/>
      </c>
      <c r="CA46" t="s">
        <v>626</v>
      </c>
    </row>
    <row r="47" spans="1:79" ht="15" customHeight="1">
      <c r="A47" s="100"/>
      <c r="BK47" s="4"/>
      <c r="BQ47" t="s">
        <v>626</v>
      </c>
      <c r="BS47" t="s">
        <v>626</v>
      </c>
      <c r="BU47" t="s">
        <v>626</v>
      </c>
      <c r="BW47" t="s">
        <v>626</v>
      </c>
      <c r="BY47" t="s">
        <v>626</v>
      </c>
      <c r="BZ47" s="97" t="str">
        <f>IF(_xlfn.XLOOKUP(8,$AH:$AH,$R:$R,"",0)="","","AND A.`"&amp;_xlfn.XLOOKUP(8,$AH:$AH,$R:$R,"",0)&amp;"` = B.`"&amp;_xlfn.XLOOKUP(8,$AH:$AH,$R:$R,"",0)&amp;"`")</f>
        <v/>
      </c>
      <c r="CA47" t="s">
        <v>626</v>
      </c>
    </row>
    <row r="48" spans="1:79" ht="15" customHeight="1">
      <c r="A48" s="100"/>
      <c r="BK48" s="4"/>
      <c r="BQ48" t="s">
        <v>626</v>
      </c>
      <c r="BS48" t="s">
        <v>626</v>
      </c>
      <c r="BU48" t="s">
        <v>626</v>
      </c>
      <c r="BW48" t="s">
        <v>626</v>
      </c>
      <c r="BY48" t="s">
        <v>626</v>
      </c>
      <c r="BZ48" s="97" t="s">
        <v>929</v>
      </c>
      <c r="CA48" t="s">
        <v>626</v>
      </c>
    </row>
    <row r="49" spans="1:79" ht="15" customHeight="1">
      <c r="A49" s="100"/>
      <c r="BK49" s="4"/>
      <c r="BQ49" t="s">
        <v>626</v>
      </c>
      <c r="BS49" t="s">
        <v>626</v>
      </c>
      <c r="BU49" t="s">
        <v>626</v>
      </c>
      <c r="BW49" t="s">
        <v>626</v>
      </c>
      <c r="BY49" t="s">
        <v>626</v>
      </c>
      <c r="CA49" t="s">
        <v>626</v>
      </c>
    </row>
    <row r="50" spans="1:79" ht="15" customHeight="1">
      <c r="A50" s="100"/>
      <c r="BK50" s="4"/>
      <c r="BQ50" t="s">
        <v>626</v>
      </c>
      <c r="BS50" t="s">
        <v>626</v>
      </c>
      <c r="BU50" t="s">
        <v>626</v>
      </c>
      <c r="BW50" t="s">
        <v>626</v>
      </c>
      <c r="BY50" t="s">
        <v>626</v>
      </c>
      <c r="BZ50" s="98"/>
      <c r="CA50" t="s">
        <v>626</v>
      </c>
    </row>
    <row r="51" spans="1:79" ht="15" customHeight="1">
      <c r="A51" s="100"/>
      <c r="BK51" s="4"/>
      <c r="BQ51" t="s">
        <v>626</v>
      </c>
      <c r="BS51" t="s">
        <v>626</v>
      </c>
      <c r="BU51" t="s">
        <v>626</v>
      </c>
      <c r="BW51" t="s">
        <v>626</v>
      </c>
      <c r="BY51" t="s">
        <v>626</v>
      </c>
      <c r="BZ51" t="str">
        <f>"DROP TABLE IF EXISTS `TMP`.`"&amp;$G$10&amp;"`;"</f>
        <v>DROP TABLE IF EXISTS `TMP`.`code_master`;</v>
      </c>
      <c r="CA51" t="s">
        <v>626</v>
      </c>
    </row>
    <row r="52" spans="1:79" ht="15" customHeight="1">
      <c r="A52" s="100"/>
      <c r="BK52" s="4"/>
      <c r="BQ52" t="s">
        <v>626</v>
      </c>
      <c r="BS52" t="s">
        <v>626</v>
      </c>
      <c r="BU52" t="s">
        <v>626</v>
      </c>
      <c r="BW52" t="s">
        <v>626</v>
      </c>
      <c r="BY52" t="s">
        <v>626</v>
      </c>
      <c r="BZ52" t="s">
        <v>937</v>
      </c>
      <c r="CA52" t="s">
        <v>626</v>
      </c>
    </row>
    <row r="53" spans="1:79" ht="15" customHeight="1">
      <c r="A53" s="100"/>
      <c r="BK53" s="4"/>
      <c r="BQ53" t="s">
        <v>626</v>
      </c>
      <c r="BS53" t="s">
        <v>626</v>
      </c>
      <c r="BU53" t="s">
        <v>626</v>
      </c>
      <c r="BW53" t="s">
        <v>626</v>
      </c>
      <c r="BY53" t="s">
        <v>626</v>
      </c>
      <c r="CA53" t="s">
        <v>626</v>
      </c>
    </row>
    <row r="54" spans="1:79" ht="15" customHeight="1">
      <c r="A54" s="100"/>
      <c r="BK54" s="4"/>
      <c r="BQ54" t="s">
        <v>626</v>
      </c>
      <c r="BS54" t="s">
        <v>626</v>
      </c>
      <c r="BU54" t="s">
        <v>626</v>
      </c>
      <c r="BW54" t="s">
        <v>626</v>
      </c>
      <c r="BY54" t="s">
        <v>626</v>
      </c>
      <c r="CA54" t="s">
        <v>626</v>
      </c>
    </row>
    <row r="55" spans="1:79" ht="15" customHeight="1">
      <c r="A55" s="100"/>
      <c r="BK55" s="4"/>
      <c r="BQ55" t="s">
        <v>626</v>
      </c>
      <c r="BS55" t="s">
        <v>626</v>
      </c>
      <c r="BU55" t="s">
        <v>626</v>
      </c>
      <c r="BW55" t="s">
        <v>626</v>
      </c>
      <c r="BY55" t="s">
        <v>626</v>
      </c>
      <c r="CA55" t="s">
        <v>626</v>
      </c>
    </row>
    <row r="56" spans="1:79" ht="15" customHeight="1">
      <c r="A56" s="100"/>
      <c r="BK56" s="4"/>
      <c r="BQ56" t="s">
        <v>626</v>
      </c>
      <c r="BS56" t="s">
        <v>626</v>
      </c>
      <c r="BU56" t="s">
        <v>626</v>
      </c>
      <c r="BW56" t="s">
        <v>626</v>
      </c>
      <c r="BY56" t="s">
        <v>626</v>
      </c>
      <c r="CA56" t="s">
        <v>626</v>
      </c>
    </row>
    <row r="57" spans="1:79" ht="15" customHeight="1">
      <c r="A57" s="100"/>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5"/>
      <c r="BQ57" t="s">
        <v>626</v>
      </c>
      <c r="BS57" t="s">
        <v>626</v>
      </c>
      <c r="BU57" t="s">
        <v>626</v>
      </c>
      <c r="BV57" s="97" t="str">
        <f t="shared" ref="BV57:BV64" si="13">",A.`"&amp;R57&amp;"` = B.`"&amp;R57&amp;"`"</f>
        <v>,A.`` = B.``</v>
      </c>
      <c r="BW57" t="s">
        <v>626</v>
      </c>
      <c r="BX57" s="97" t="str">
        <f t="shared" ref="BX57:BX64" si="14">",`"&amp;R57&amp;"`"</f>
        <v>,``</v>
      </c>
      <c r="BY57" t="s">
        <v>626</v>
      </c>
      <c r="BZ57" s="97" t="str">
        <f t="shared" si="5"/>
        <v>,``</v>
      </c>
      <c r="CA57" t="s">
        <v>626</v>
      </c>
    </row>
    <row r="58" spans="1:79">
      <c r="A58" s="100"/>
      <c r="BQ58" t="s">
        <v>626</v>
      </c>
      <c r="BS58" t="s">
        <v>626</v>
      </c>
      <c r="BU58" t="s">
        <v>626</v>
      </c>
      <c r="BV58" s="97" t="str">
        <f t="shared" si="13"/>
        <v>,A.`` = B.``</v>
      </c>
      <c r="BW58" t="s">
        <v>626</v>
      </c>
      <c r="BX58" s="97" t="str">
        <f t="shared" si="14"/>
        <v>,``</v>
      </c>
      <c r="BY58" t="s">
        <v>626</v>
      </c>
      <c r="BZ58" s="97" t="str">
        <f t="shared" si="5"/>
        <v>,``</v>
      </c>
      <c r="CA58" t="s">
        <v>626</v>
      </c>
    </row>
    <row r="59" spans="1:79">
      <c r="A59" s="100"/>
      <c r="BQ59" t="s">
        <v>626</v>
      </c>
      <c r="BS59" t="s">
        <v>626</v>
      </c>
      <c r="BU59" t="s">
        <v>626</v>
      </c>
      <c r="BV59" s="97" t="str">
        <f t="shared" si="13"/>
        <v>,A.`` = B.``</v>
      </c>
      <c r="BW59" t="s">
        <v>626</v>
      </c>
      <c r="BX59" s="97" t="str">
        <f t="shared" si="14"/>
        <v>,``</v>
      </c>
      <c r="BY59" t="s">
        <v>626</v>
      </c>
      <c r="BZ59" s="97" t="str">
        <f t="shared" si="5"/>
        <v>,``</v>
      </c>
      <c r="CA59" t="s">
        <v>626</v>
      </c>
    </row>
    <row r="60" spans="1:79">
      <c r="A60" s="100"/>
      <c r="BQ60" t="s">
        <v>626</v>
      </c>
      <c r="BS60" t="s">
        <v>626</v>
      </c>
      <c r="BU60" t="s">
        <v>626</v>
      </c>
      <c r="BV60" s="97" t="str">
        <f t="shared" si="13"/>
        <v>,A.`` = B.``</v>
      </c>
      <c r="BW60" t="s">
        <v>626</v>
      </c>
      <c r="BX60" s="97" t="str">
        <f t="shared" si="14"/>
        <v>,``</v>
      </c>
      <c r="BY60" t="s">
        <v>626</v>
      </c>
      <c r="BZ60" s="97" t="str">
        <f t="shared" si="5"/>
        <v>,``</v>
      </c>
      <c r="CA60" t="s">
        <v>626</v>
      </c>
    </row>
    <row r="61" spans="1:79">
      <c r="A61" s="100"/>
      <c r="BQ61" t="s">
        <v>626</v>
      </c>
      <c r="BS61" t="s">
        <v>626</v>
      </c>
      <c r="BU61" t="s">
        <v>626</v>
      </c>
      <c r="BV61" s="97" t="str">
        <f t="shared" si="13"/>
        <v>,A.`` = B.``</v>
      </c>
      <c r="BW61" t="s">
        <v>626</v>
      </c>
      <c r="BX61" s="97" t="str">
        <f t="shared" si="14"/>
        <v>,``</v>
      </c>
      <c r="BY61" t="s">
        <v>626</v>
      </c>
      <c r="BZ61" s="97" t="str">
        <f t="shared" si="5"/>
        <v>,``</v>
      </c>
      <c r="CA61" t="s">
        <v>626</v>
      </c>
    </row>
    <row r="62" spans="1:79">
      <c r="A62" s="100"/>
      <c r="BQ62" t="s">
        <v>626</v>
      </c>
      <c r="BS62" t="s">
        <v>626</v>
      </c>
      <c r="BU62" t="s">
        <v>626</v>
      </c>
      <c r="BV62" s="97" t="str">
        <f t="shared" si="13"/>
        <v>,A.`` = B.``</v>
      </c>
      <c r="BW62" t="s">
        <v>626</v>
      </c>
      <c r="BX62" s="97" t="str">
        <f t="shared" si="14"/>
        <v>,``</v>
      </c>
      <c r="BY62" t="s">
        <v>626</v>
      </c>
      <c r="BZ62" s="97" t="str">
        <f t="shared" si="5"/>
        <v>,``</v>
      </c>
      <c r="CA62" t="s">
        <v>626</v>
      </c>
    </row>
    <row r="63" spans="1:79">
      <c r="A63" s="100"/>
      <c r="BQ63" t="s">
        <v>626</v>
      </c>
      <c r="BS63" t="s">
        <v>626</v>
      </c>
      <c r="BU63" t="s">
        <v>626</v>
      </c>
      <c r="BV63" s="97" t="str">
        <f t="shared" si="13"/>
        <v>,A.`` = B.``</v>
      </c>
      <c r="BW63" t="s">
        <v>626</v>
      </c>
      <c r="BX63" s="97" t="str">
        <f t="shared" si="14"/>
        <v>,``</v>
      </c>
      <c r="BY63" t="s">
        <v>626</v>
      </c>
      <c r="BZ63" s="97" t="str">
        <f t="shared" si="5"/>
        <v>,``</v>
      </c>
      <c r="CA63" t="s">
        <v>626</v>
      </c>
    </row>
    <row r="64" spans="1:79">
      <c r="A64" s="98"/>
      <c r="BQ64" t="s">
        <v>626</v>
      </c>
      <c r="BS64" t="s">
        <v>626</v>
      </c>
      <c r="BU64" t="s">
        <v>626</v>
      </c>
      <c r="BV64" s="97" t="str">
        <f t="shared" si="13"/>
        <v>,A.`` = B.``</v>
      </c>
      <c r="BW64" t="s">
        <v>626</v>
      </c>
      <c r="BX64" s="97" t="str">
        <f t="shared" si="14"/>
        <v>,``</v>
      </c>
      <c r="BY64" t="s">
        <v>626</v>
      </c>
      <c r="BZ64" s="97" t="str">
        <f t="shared" si="5"/>
        <v>,``</v>
      </c>
      <c r="CA64" t="s">
        <v>626</v>
      </c>
    </row>
    <row r="65" spans="69:79">
      <c r="BQ65" t="s">
        <v>626</v>
      </c>
      <c r="BS65" t="s">
        <v>626</v>
      </c>
      <c r="BU65" t="s">
        <v>626</v>
      </c>
      <c r="BV65" s="97" t="s">
        <v>934</v>
      </c>
      <c r="BW65" t="s">
        <v>626</v>
      </c>
      <c r="BY65" t="s">
        <v>626</v>
      </c>
      <c r="BZ65" s="97" t="str">
        <f>"FROM `TMP`.`"&amp;$G$10&amp;"` A"</f>
        <v>FROM `TMP`.`code_master` A</v>
      </c>
      <c r="CA65" t="s">
        <v>626</v>
      </c>
    </row>
    <row r="66" spans="69:79">
      <c r="BQ66" t="s">
        <v>626</v>
      </c>
      <c r="BS66" t="s">
        <v>626</v>
      </c>
      <c r="BU66" t="s">
        <v>626</v>
      </c>
      <c r="BV66" s="97" t="str">
        <f>IF(_xlfn.XLOOKUP(1,$AH:$AH,$R:$R,"",0)="","","A.`"&amp;_xlfn.XLOOKUP(1,$AH:$AH,$R:$R,"",0)&amp;"` = B.`"&amp;_xlfn.XLOOKUP(1,$AH:$AH,$R:$R,"",0)&amp;"`")</f>
        <v>A.`MASTER_CODE` = B.`MASTER_CODE`</v>
      </c>
      <c r="BW66" t="s">
        <v>626</v>
      </c>
      <c r="BY66" t="s">
        <v>626</v>
      </c>
      <c r="BZ66" s="97" t="s">
        <v>935</v>
      </c>
      <c r="CA66" t="s">
        <v>626</v>
      </c>
    </row>
    <row r="67" spans="69:79">
      <c r="BQ67" t="s">
        <v>626</v>
      </c>
      <c r="BS67" t="s">
        <v>626</v>
      </c>
      <c r="BU67" t="s">
        <v>626</v>
      </c>
      <c r="BV67" s="97" t="str">
        <f>IF(_xlfn.XLOOKUP(2,$AH:$AH,$R:$R,"",0)="","","AND A.`"&amp;_xlfn.XLOOKUP(2,$AH:$AH,$R:$R,"",0)&amp;"` = B.`"&amp;_xlfn.XLOOKUP(2,$AH:$AH,$R:$R,"",0)&amp;"`")</f>
        <v>AND A.`COMPANY_CODE` = B.`COMPANY_CODE`</v>
      </c>
      <c r="BW67" t="s">
        <v>626</v>
      </c>
      <c r="BY67" t="s">
        <v>626</v>
      </c>
      <c r="BZ67" s="97" t="str">
        <f>"FROM `POS_MASTER`.`"&amp;$G$10&amp;"` B"</f>
        <v>FROM `POS_MASTER`.`code_master` B</v>
      </c>
      <c r="CA67" t="s">
        <v>626</v>
      </c>
    </row>
    <row r="68" spans="69:79">
      <c r="BQ68" t="s">
        <v>626</v>
      </c>
      <c r="BS68" t="s">
        <v>626</v>
      </c>
      <c r="BU68" t="s">
        <v>626</v>
      </c>
      <c r="BV68" s="97" t="str">
        <f>IF(_xlfn.XLOOKUP(3,$AH:$AH,$R:$R,"",0)="","","AND A.`"&amp;_xlfn.XLOOKUP(3,$AH:$AH,$R:$R,"",0)&amp;"` = B.`"&amp;_xlfn.XLOOKUP(3,$AH:$AH,$R:$R,"",0)&amp;"`")</f>
        <v>AND A.`CODE_NO` = B.`CODE_NO`</v>
      </c>
      <c r="BW68" t="s">
        <v>626</v>
      </c>
      <c r="BY68" t="s">
        <v>626</v>
      </c>
      <c r="BZ68" s="97" t="s">
        <v>932</v>
      </c>
      <c r="CA68" t="s">
        <v>626</v>
      </c>
    </row>
    <row r="69" spans="69:79">
      <c r="BQ69" t="s">
        <v>626</v>
      </c>
      <c r="BS69" t="s">
        <v>626</v>
      </c>
      <c r="BU69" t="s">
        <v>626</v>
      </c>
      <c r="BV69" s="97" t="str">
        <f>IF(_xlfn.XLOOKUP(4,$AH:$AH,$R:$R,"",0)="","","AND A.`"&amp;_xlfn.XLOOKUP(4,$AH:$AH,$R:$R,"",0)&amp;"` = B.`"&amp;_xlfn.XLOOKUP(4,$AH:$AH,$R:$R,"",0)&amp;"`")</f>
        <v/>
      </c>
      <c r="BW69" t="s">
        <v>626</v>
      </c>
      <c r="BY69" t="s">
        <v>626</v>
      </c>
      <c r="BZ69" s="97" t="str">
        <f>IF(_xlfn.XLOOKUP(1,$AH:$AH,$R:$R,"",0)="","","A.`"&amp;_xlfn.XLOOKUP(1,$AH:$AH,$R:$R,"",0)&amp;"` = B.`"&amp;_xlfn.XLOOKUP(1,$AH:$AH,$R:$R,"",0)&amp;"`")</f>
        <v>A.`MASTER_CODE` = B.`MASTER_CODE`</v>
      </c>
      <c r="CA69" t="s">
        <v>626</v>
      </c>
    </row>
    <row r="70" spans="69:79">
      <c r="BQ70" t="s">
        <v>626</v>
      </c>
      <c r="BS70" t="s">
        <v>626</v>
      </c>
      <c r="BU70" t="s">
        <v>626</v>
      </c>
      <c r="BV70" s="97" t="str">
        <f>IF(_xlfn.XLOOKUP(5,$AH:$AH,$R:$R,"",0)="","","AND A.`"&amp;_xlfn.XLOOKUP(5,$AH:$AH,$R:$R,"",0)&amp;"` = B.`"&amp;_xlfn.XLOOKUP(5,$AH:$AH,$R:$R,"",0)&amp;"`")</f>
        <v/>
      </c>
      <c r="BW70" t="s">
        <v>626</v>
      </c>
      <c r="BY70" t="s">
        <v>626</v>
      </c>
      <c r="BZ70" s="97" t="str">
        <f>IF(_xlfn.XLOOKUP(2,$AH:$AH,$R:$R,"",0)="","","AND A.`"&amp;_xlfn.XLOOKUP(2,$AH:$AH,$R:$R,"",0)&amp;"` = B.`"&amp;_xlfn.XLOOKUP(2,$AH:$AH,$R:$R,"",0)&amp;"`")</f>
        <v>AND A.`COMPANY_CODE` = B.`COMPANY_CODE`</v>
      </c>
      <c r="CA70" t="s">
        <v>626</v>
      </c>
    </row>
    <row r="71" spans="69:79">
      <c r="BQ71" t="s">
        <v>626</v>
      </c>
      <c r="BS71" t="s">
        <v>626</v>
      </c>
      <c r="BU71" t="s">
        <v>626</v>
      </c>
      <c r="BV71" s="97" t="str">
        <f>IF(_xlfn.XLOOKUP(6,$AH:$AH,$R:$R,"",0)="","","AND A.`"&amp;_xlfn.XLOOKUP(6,$AH:$AH,$R:$R,"",0)&amp;"` = B.`"&amp;_xlfn.XLOOKUP(6,$AH:$AH,$R:$R,"",0)&amp;"`")</f>
        <v/>
      </c>
      <c r="BW71" t="s">
        <v>626</v>
      </c>
      <c r="BY71" t="s">
        <v>626</v>
      </c>
      <c r="BZ71" s="97" t="str">
        <f>IF(_xlfn.XLOOKUP(3,$AH:$AH,$R:$R,"",0)="","","AND A.`"&amp;_xlfn.XLOOKUP(3,$AH:$AH,$R:$R,"",0)&amp;"` = B.`"&amp;_xlfn.XLOOKUP(3,$AH:$AH,$R:$R,"",0)&amp;"`")</f>
        <v>AND A.`CODE_NO` = B.`CODE_NO`</v>
      </c>
      <c r="CA71" t="s">
        <v>626</v>
      </c>
    </row>
    <row r="72" spans="69:79">
      <c r="BQ72" t="s">
        <v>626</v>
      </c>
      <c r="BS72" t="s">
        <v>626</v>
      </c>
      <c r="BU72" t="s">
        <v>626</v>
      </c>
      <c r="BV72" s="97" t="str">
        <f>IF(_xlfn.XLOOKUP(7,$AH:$AH,$R:$R,"",0)="","","AND A.`"&amp;_xlfn.XLOOKUP(7,$AH:$AH,$R:$R,"",0)&amp;"` = B.`"&amp;_xlfn.XLOOKUP(7,$AH:$AH,$R:$R,"",0)&amp;"`")</f>
        <v/>
      </c>
      <c r="BW72" t="s">
        <v>626</v>
      </c>
      <c r="BY72" t="s">
        <v>626</v>
      </c>
      <c r="BZ72" s="97" t="str">
        <f>IF(_xlfn.XLOOKUP(4,$AH:$AH,$R:$R,"",0)="","","AND A.`"&amp;_xlfn.XLOOKUP(4,$AH:$AH,$R:$R,"",0)&amp;"` = B.`"&amp;_xlfn.XLOOKUP(4,$AH:$AH,$R:$R,"",0)&amp;"`")</f>
        <v/>
      </c>
      <c r="CA72" t="s">
        <v>626</v>
      </c>
    </row>
    <row r="73" spans="69:79">
      <c r="BQ73" t="s">
        <v>626</v>
      </c>
      <c r="BS73" t="s">
        <v>626</v>
      </c>
      <c r="BU73" t="s">
        <v>626</v>
      </c>
      <c r="BV73" s="97" t="str">
        <f>IF(_xlfn.XLOOKUP(8,$AH:$AH,$R:$R,"",0)="","","AND A.`"&amp;_xlfn.XLOOKUP(8,$AH:$AH,$R:$R,"",0)&amp;"` = B.`"&amp;_xlfn.XLOOKUP(8,$AH:$AH,$R:$R,"",0)&amp;"`")</f>
        <v/>
      </c>
      <c r="BW73" t="s">
        <v>626</v>
      </c>
      <c r="BY73" t="s">
        <v>626</v>
      </c>
      <c r="BZ73" s="97" t="str">
        <f>IF(_xlfn.XLOOKUP(5,$AH:$AH,$R:$R,"",0)="","","AND A.`"&amp;_xlfn.XLOOKUP(5,$AH:$AH,$R:$R,"",0)&amp;"` = B.`"&amp;_xlfn.XLOOKUP(5,$AH:$AH,$R:$R,"",0)&amp;"`")</f>
        <v/>
      </c>
      <c r="CA73" t="s">
        <v>626</v>
      </c>
    </row>
    <row r="74" spans="69:79">
      <c r="BQ74" t="s">
        <v>626</v>
      </c>
      <c r="BS74" t="s">
        <v>626</v>
      </c>
      <c r="BU74" t="s">
        <v>626</v>
      </c>
      <c r="BV74" s="97" t="s">
        <v>936</v>
      </c>
      <c r="BW74" t="s">
        <v>626</v>
      </c>
      <c r="BY74" t="s">
        <v>626</v>
      </c>
      <c r="BZ74" s="97" t="str">
        <f>IF(_xlfn.XLOOKUP(6,$AH:$AH,$R:$R,"",0)="","","AND A.`"&amp;_xlfn.XLOOKUP(6,$AH:$AH,$R:$R,"",0)&amp;"` = B.`"&amp;_xlfn.XLOOKUP(6,$AH:$AH,$R:$R,"",0)&amp;"`")</f>
        <v/>
      </c>
      <c r="CA74" t="s">
        <v>626</v>
      </c>
    </row>
    <row r="75" spans="69:79">
      <c r="BQ75" t="s">
        <v>626</v>
      </c>
      <c r="BS75" t="s">
        <v>626</v>
      </c>
      <c r="BU75" t="s">
        <v>626</v>
      </c>
      <c r="BW75" t="s">
        <v>626</v>
      </c>
      <c r="BY75" t="s">
        <v>626</v>
      </c>
      <c r="BZ75" s="97" t="str">
        <f>IF(_xlfn.XLOOKUP(7,$AH:$AH,$R:$R,"",0)="","","AND A.`"&amp;_xlfn.XLOOKUP(7,$AH:$AH,$R:$R,"",0)&amp;"` = B.`"&amp;_xlfn.XLOOKUP(7,$AH:$AH,$R:$R,"",0)&amp;"`")</f>
        <v/>
      </c>
      <c r="CA75" t="s">
        <v>626</v>
      </c>
    </row>
    <row r="76" spans="69:79">
      <c r="BQ76" t="s">
        <v>626</v>
      </c>
      <c r="BS76" t="s">
        <v>626</v>
      </c>
      <c r="BU76" t="s">
        <v>626</v>
      </c>
      <c r="BW76" t="s">
        <v>626</v>
      </c>
      <c r="BY76" t="s">
        <v>626</v>
      </c>
      <c r="BZ76" s="97" t="str">
        <f>IF(_xlfn.XLOOKUP(8,$AH:$AH,$R:$R,"",0)="","","AND A.`"&amp;_xlfn.XLOOKUP(8,$AH:$AH,$R:$R,"",0)&amp;"` = B.`"&amp;_xlfn.XLOOKUP(8,$AH:$AH,$R:$R,"",0)&amp;"`")</f>
        <v/>
      </c>
      <c r="CA76" t="s">
        <v>626</v>
      </c>
    </row>
    <row r="77" spans="69:79">
      <c r="BQ77" t="s">
        <v>626</v>
      </c>
      <c r="BS77" t="s">
        <v>626</v>
      </c>
      <c r="BU77" t="s">
        <v>626</v>
      </c>
      <c r="BW77" t="s">
        <v>626</v>
      </c>
      <c r="BY77" t="s">
        <v>626</v>
      </c>
      <c r="BZ77" s="97" t="s">
        <v>929</v>
      </c>
      <c r="CA77" t="s">
        <v>626</v>
      </c>
    </row>
    <row r="78" spans="69:79">
      <c r="BQ78" t="s">
        <v>626</v>
      </c>
      <c r="BS78" t="s">
        <v>626</v>
      </c>
      <c r="BU78" t="s">
        <v>626</v>
      </c>
      <c r="BW78" t="s">
        <v>626</v>
      </c>
      <c r="BY78" t="s">
        <v>626</v>
      </c>
      <c r="CA78" t="s">
        <v>626</v>
      </c>
    </row>
    <row r="79" spans="69:79">
      <c r="BQ79" t="s">
        <v>626</v>
      </c>
      <c r="BS79" t="s">
        <v>626</v>
      </c>
      <c r="BU79" t="s">
        <v>626</v>
      </c>
      <c r="BW79" t="s">
        <v>626</v>
      </c>
      <c r="BY79" t="s">
        <v>626</v>
      </c>
      <c r="BZ79" s="98"/>
      <c r="CA79" t="s">
        <v>626</v>
      </c>
    </row>
    <row r="80" spans="69:79">
      <c r="BQ80" t="s">
        <v>626</v>
      </c>
      <c r="BS80" t="s">
        <v>626</v>
      </c>
      <c r="BU80" t="s">
        <v>626</v>
      </c>
      <c r="BW80" t="s">
        <v>626</v>
      </c>
      <c r="BY80" t="s">
        <v>626</v>
      </c>
      <c r="BZ80" t="str">
        <f>"DROP TABLE IF EXISTS `TMP`.`"&amp;$G$10&amp;"`;"</f>
        <v>DROP TABLE IF EXISTS `TMP`.`code_master`;</v>
      </c>
      <c r="CA80" t="s">
        <v>626</v>
      </c>
    </row>
    <row r="81" spans="69:79">
      <c r="BQ81" t="s">
        <v>626</v>
      </c>
      <c r="BS81" t="s">
        <v>626</v>
      </c>
      <c r="BU81" t="s">
        <v>626</v>
      </c>
      <c r="BW81" t="s">
        <v>626</v>
      </c>
      <c r="BY81" t="s">
        <v>626</v>
      </c>
      <c r="BZ81" t="s">
        <v>937</v>
      </c>
      <c r="CA81" t="s">
        <v>626</v>
      </c>
    </row>
    <row r="82" spans="69:79">
      <c r="BQ82" t="s">
        <v>626</v>
      </c>
      <c r="BS82" t="s">
        <v>626</v>
      </c>
      <c r="BU82" t="s">
        <v>626</v>
      </c>
      <c r="BW82" t="s">
        <v>626</v>
      </c>
      <c r="BY82" t="s">
        <v>626</v>
      </c>
      <c r="CA82" t="s">
        <v>626</v>
      </c>
    </row>
    <row r="83" spans="69:79">
      <c r="BQ83" t="s">
        <v>626</v>
      </c>
      <c r="BS83" t="s">
        <v>626</v>
      </c>
      <c r="BU83" t="s">
        <v>626</v>
      </c>
      <c r="BW83" t="s">
        <v>626</v>
      </c>
      <c r="BY83" t="s">
        <v>626</v>
      </c>
      <c r="CA83" t="s">
        <v>626</v>
      </c>
    </row>
    <row r="84" spans="69:79">
      <c r="BQ84" t="s">
        <v>626</v>
      </c>
      <c r="BS84" t="s">
        <v>626</v>
      </c>
      <c r="BU84" t="s">
        <v>626</v>
      </c>
      <c r="BW84" t="s">
        <v>626</v>
      </c>
      <c r="BY84" t="s">
        <v>626</v>
      </c>
      <c r="CA84" t="s">
        <v>626</v>
      </c>
    </row>
    <row r="85" spans="69:79">
      <c r="BQ85" t="s">
        <v>626</v>
      </c>
      <c r="BS85" t="s">
        <v>626</v>
      </c>
      <c r="BU85" t="s">
        <v>626</v>
      </c>
      <c r="BW85" t="s">
        <v>626</v>
      </c>
      <c r="BY85" t="s">
        <v>626</v>
      </c>
      <c r="CA85" t="s">
        <v>626</v>
      </c>
    </row>
    <row r="86" spans="69:79">
      <c r="BQ86" t="s">
        <v>626</v>
      </c>
      <c r="BS86" t="s">
        <v>626</v>
      </c>
      <c r="BU86" t="s">
        <v>626</v>
      </c>
      <c r="BW86" t="s">
        <v>626</v>
      </c>
      <c r="BY86" t="s">
        <v>626</v>
      </c>
      <c r="CA86" t="s">
        <v>626</v>
      </c>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EE18E-48E6-4316-B5ED-170A7BDF41C9}">
  <dimension ref="A1:CA84"/>
  <sheetViews>
    <sheetView view="pageBreakPreview" topLeftCell="A3" zoomScale="80" zoomScaleNormal="75" zoomScaleSheetLayoutView="80" workbookViewId="0">
      <selection activeCell="BP19" sqref="BP19:BP20"/>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IF(表紙!W1="","",表紙!W1)</f>
        <v>DB定義書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c r="BQ1" t="s">
        <v>626</v>
      </c>
      <c r="BS1" t="s">
        <v>626</v>
      </c>
      <c r="BU1" t="s">
        <v>626</v>
      </c>
      <c r="BW1" t="s">
        <v>626</v>
      </c>
      <c r="BY1" t="s">
        <v>626</v>
      </c>
      <c r="CA1" t="s">
        <v>626</v>
      </c>
    </row>
    <row r="2" spans="1:79" ht="15" customHeight="1">
      <c r="A2" s="241" t="str">
        <f>IF(表紙!A2="","",表紙!A2)</f>
        <v>現金専用簡易セルフPOS</v>
      </c>
      <c r="B2" s="242"/>
      <c r="C2" s="242"/>
      <c r="D2" s="242"/>
      <c r="E2" s="242"/>
      <c r="F2" s="242"/>
      <c r="G2" s="242"/>
      <c r="H2" s="242"/>
      <c r="I2" s="242"/>
      <c r="J2" s="243"/>
      <c r="K2" s="241" t="str">
        <f>IF(表紙!K2="","",表紙!K2)</f>
        <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IF(表紙!AP2="","",表紙!AP2)</f>
        <v>きよはら</v>
      </c>
      <c r="AQ2" s="242"/>
      <c r="AR2" s="242"/>
      <c r="AS2" s="243"/>
      <c r="AT2" s="262">
        <f>IF(表紙!AT2="","",表紙!AT2)</f>
        <v>44652</v>
      </c>
      <c r="AU2" s="263"/>
      <c r="AV2" s="263"/>
      <c r="AW2" s="263"/>
      <c r="AX2" s="264"/>
      <c r="AY2" s="241" t="str">
        <f>IF(表紙!AY2="","",表紙!AY2)</f>
        <v>Thanh Nguyên</v>
      </c>
      <c r="AZ2" s="242"/>
      <c r="BA2" s="242"/>
      <c r="BB2" s="243"/>
      <c r="BC2" s="262">
        <f>IF(表紙!BC2="","",表紙!BC2)</f>
        <v>45285</v>
      </c>
      <c r="BD2" s="263"/>
      <c r="BE2" s="263"/>
      <c r="BF2" s="263"/>
      <c r="BG2" s="264"/>
      <c r="BH2" s="241">
        <f>IF(表紙!BH2="","",表紙!BH2)</f>
        <v>0.2</v>
      </c>
      <c r="BI2" s="242"/>
      <c r="BJ2" s="242"/>
      <c r="BK2" s="243"/>
      <c r="BQ2" t="s">
        <v>626</v>
      </c>
      <c r="BS2" t="s">
        <v>626</v>
      </c>
      <c r="BU2" t="s">
        <v>626</v>
      </c>
      <c r="BW2" t="s">
        <v>626</v>
      </c>
      <c r="BY2" t="s">
        <v>626</v>
      </c>
      <c r="CA2" t="s">
        <v>626</v>
      </c>
    </row>
    <row r="3" spans="1:79"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c r="BQ3" t="s">
        <v>626</v>
      </c>
      <c r="BS3" t="s">
        <v>626</v>
      </c>
      <c r="BU3" t="s">
        <v>626</v>
      </c>
      <c r="BW3" t="s">
        <v>626</v>
      </c>
      <c r="BY3" t="s">
        <v>626</v>
      </c>
      <c r="CA3" t="s">
        <v>626</v>
      </c>
    </row>
    <row r="4" spans="1:79" ht="24.95" customHeight="1">
      <c r="A4" s="238" t="s">
        <v>1</v>
      </c>
      <c r="B4" s="239"/>
      <c r="C4" s="239"/>
      <c r="D4" s="239"/>
      <c r="E4" s="239"/>
      <c r="F4" s="239"/>
      <c r="G4" s="240"/>
      <c r="H4" s="235" t="str">
        <f>IF(表紙!H4="","",表紙!H4)</f>
        <v>共通</v>
      </c>
      <c r="I4" s="236"/>
      <c r="J4" s="236"/>
      <c r="K4" s="236"/>
      <c r="L4" s="236"/>
      <c r="M4" s="236"/>
      <c r="N4" s="236"/>
      <c r="O4" s="236"/>
      <c r="P4" s="236"/>
      <c r="Q4" s="236"/>
      <c r="R4" s="236"/>
      <c r="S4" s="236"/>
      <c r="T4" s="237"/>
      <c r="U4" s="238" t="s">
        <v>8</v>
      </c>
      <c r="V4" s="239"/>
      <c r="W4" s="239"/>
      <c r="X4" s="239"/>
      <c r="Y4" s="240"/>
      <c r="Z4" s="235" t="str">
        <f>IF(表紙!Z4="","",表紙!Z4)</f>
        <v/>
      </c>
      <c r="AA4" s="236"/>
      <c r="AB4" s="236"/>
      <c r="AC4" s="236"/>
      <c r="AD4" s="236"/>
      <c r="AE4" s="236"/>
      <c r="AF4" s="236"/>
      <c r="AG4" s="236"/>
      <c r="AH4" s="236"/>
      <c r="AI4" s="236"/>
      <c r="AJ4" s="236"/>
      <c r="AK4" s="236"/>
      <c r="AL4" s="236"/>
      <c r="AM4" s="236"/>
      <c r="AN4" s="236"/>
      <c r="AO4" s="237"/>
      <c r="AP4" s="235" t="s">
        <v>19</v>
      </c>
      <c r="AQ4" s="236"/>
      <c r="AR4" s="236"/>
      <c r="AS4" s="236"/>
      <c r="AT4" s="236"/>
      <c r="AU4" s="236"/>
      <c r="AV4" s="236"/>
      <c r="AW4" s="236"/>
      <c r="AX4" s="236"/>
      <c r="AY4" s="236"/>
      <c r="AZ4" s="236"/>
      <c r="BA4" s="236"/>
      <c r="BB4" s="236"/>
      <c r="BC4" s="236"/>
      <c r="BD4" s="236"/>
      <c r="BE4" s="236"/>
      <c r="BF4" s="236"/>
      <c r="BG4" s="236"/>
      <c r="BH4" s="236"/>
      <c r="BI4" s="236"/>
      <c r="BJ4" s="236"/>
      <c r="BK4" s="237"/>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292" t="s">
        <v>43</v>
      </c>
      <c r="C8" s="293"/>
      <c r="D8" s="293"/>
      <c r="E8" s="293"/>
      <c r="F8" s="294"/>
      <c r="G8" s="295"/>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c r="BQ8" t="s">
        <v>626</v>
      </c>
      <c r="BS8" t="s">
        <v>626</v>
      </c>
      <c r="BU8" t="s">
        <v>626</v>
      </c>
      <c r="BW8" t="s">
        <v>626</v>
      </c>
      <c r="BY8" t="s">
        <v>626</v>
      </c>
      <c r="CA8" t="s">
        <v>626</v>
      </c>
    </row>
    <row r="9" spans="1:79" ht="15" customHeight="1">
      <c r="A9" s="1"/>
      <c r="B9" s="301" t="s">
        <v>45</v>
      </c>
      <c r="C9" s="302"/>
      <c r="D9" s="302"/>
      <c r="E9" s="302"/>
      <c r="F9" s="303"/>
      <c r="G9" s="304" t="s">
        <v>886</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c r="BQ9" t="s">
        <v>626</v>
      </c>
      <c r="BS9" t="s">
        <v>626</v>
      </c>
      <c r="BU9" t="s">
        <v>626</v>
      </c>
      <c r="BW9" t="s">
        <v>626</v>
      </c>
      <c r="BY9" t="s">
        <v>626</v>
      </c>
      <c r="CA9" t="s">
        <v>626</v>
      </c>
    </row>
    <row r="10" spans="1:79" ht="15" customHeight="1">
      <c r="A10" s="1"/>
      <c r="B10" s="310" t="s">
        <v>47</v>
      </c>
      <c r="C10" s="311"/>
      <c r="D10" s="311"/>
      <c r="E10" s="311"/>
      <c r="F10" s="312"/>
      <c r="G10" s="298"/>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c r="BQ10" t="s">
        <v>626</v>
      </c>
      <c r="BS10" t="s">
        <v>626</v>
      </c>
      <c r="BU10" t="s">
        <v>626</v>
      </c>
      <c r="BW10" t="s">
        <v>626</v>
      </c>
      <c r="BY10" t="s">
        <v>626</v>
      </c>
      <c r="CA10" t="s">
        <v>626</v>
      </c>
    </row>
    <row r="11" spans="1:79"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c r="BQ11" t="s">
        <v>626</v>
      </c>
      <c r="BS11" t="s">
        <v>626</v>
      </c>
      <c r="BU11" t="s">
        <v>626</v>
      </c>
      <c r="BW11" t="s">
        <v>626</v>
      </c>
      <c r="BY11" t="s">
        <v>626</v>
      </c>
      <c r="CA11" t="s">
        <v>626</v>
      </c>
    </row>
    <row r="12" spans="1:79" ht="15" customHeight="1">
      <c r="A12" s="1"/>
      <c r="B12" s="295"/>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c r="BQ12" t="s">
        <v>626</v>
      </c>
      <c r="BS12" t="s">
        <v>626</v>
      </c>
      <c r="BU12" t="s">
        <v>626</v>
      </c>
      <c r="BW12" t="s">
        <v>626</v>
      </c>
      <c r="BY12" t="s">
        <v>626</v>
      </c>
      <c r="CA12" t="s">
        <v>626</v>
      </c>
    </row>
    <row r="13" spans="1:79"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c r="BQ13" t="s">
        <v>626</v>
      </c>
      <c r="BS13" t="s">
        <v>626</v>
      </c>
      <c r="BU13" t="s">
        <v>626</v>
      </c>
      <c r="BW13" t="s">
        <v>626</v>
      </c>
      <c r="BY13" t="s">
        <v>626</v>
      </c>
      <c r="CA13" t="s">
        <v>626</v>
      </c>
    </row>
    <row r="14" spans="1:79"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c r="BQ14" t="s">
        <v>626</v>
      </c>
      <c r="BS14" t="s">
        <v>626</v>
      </c>
      <c r="BU14" t="s">
        <v>626</v>
      </c>
      <c r="BW14" t="s">
        <v>626</v>
      </c>
      <c r="BY14" t="s">
        <v>626</v>
      </c>
      <c r="CA14" t="s">
        <v>626</v>
      </c>
    </row>
    <row r="15" spans="1:79"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c r="BQ15" t="s">
        <v>626</v>
      </c>
      <c r="BS15" t="s">
        <v>626</v>
      </c>
      <c r="BU15" t="s">
        <v>626</v>
      </c>
      <c r="BW15" t="s">
        <v>626</v>
      </c>
      <c r="BY15" t="s">
        <v>626</v>
      </c>
      <c r="CA15" t="s">
        <v>626</v>
      </c>
    </row>
    <row r="16" spans="1:79"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V23" s="97" t="s">
        <v>933</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'C:/04_DATAFILE//TMP/.CSV' </v>
      </c>
      <c r="BU24" t="s">
        <v>626</v>
      </c>
      <c r="BV24" s="97" t="str">
        <f>"UPDATE `POS_MASTER`.`"&amp;$G$10&amp;"` A,`TMP`.`"&amp;$G$10&amp;"` B"</f>
        <v>UPDATE `POS_MASTER`.`` A,`TMP`.``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v>
      </c>
      <c r="BS25" t="s">
        <v>626</v>
      </c>
      <c r="BT25" s="97" t="str">
        <f>"REPLACE INTO TABLE TMP.`"&amp;$G$10&amp;"` CHARACTER SET 'UTF8'"</f>
        <v>REPLACE INTO TABLE TMP.``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v>
      </c>
      <c r="BU26" t="s">
        <v>626</v>
      </c>
      <c r="BV26" s="97"/>
      <c r="BW26" t="s">
        <v>626</v>
      </c>
      <c r="BX26" s="97" t="str">
        <f>"INSERT INTO `POS_MASTER`.`"&amp;$G$10&amp;"` ("</f>
        <v>INSERT INTO `POS_MASTER`.`` (</v>
      </c>
      <c r="BY26" t="s">
        <v>626</v>
      </c>
      <c r="BZ26" s="97" t="s">
        <v>931</v>
      </c>
      <c r="CA26" t="s">
        <v>626</v>
      </c>
    </row>
    <row r="27" spans="1:79" ht="15" customHeight="1">
      <c r="A27" s="100" t="s">
        <v>964</v>
      </c>
      <c r="B27" s="16">
        <v>7</v>
      </c>
      <c r="C27" s="17"/>
      <c r="D27" s="22"/>
      <c r="E27" s="19"/>
      <c r="F27" s="19"/>
      <c r="G27" s="19"/>
      <c r="H27" s="19"/>
      <c r="I27" s="19"/>
      <c r="J27" s="19"/>
      <c r="K27" s="19"/>
      <c r="L27" s="19"/>
      <c r="M27" s="19"/>
      <c r="N27" s="19"/>
      <c r="O27" s="19"/>
      <c r="P27" s="19"/>
      <c r="Q27" s="20"/>
      <c r="R27" s="18"/>
      <c r="S27" s="19"/>
      <c r="T27" s="19"/>
      <c r="U27" s="19"/>
      <c r="V27" s="19"/>
      <c r="W27" s="19"/>
      <c r="X27" s="19"/>
      <c r="Y27" s="19"/>
      <c r="Z27" s="19"/>
      <c r="AA27" s="19"/>
      <c r="AB27" s="20"/>
      <c r="AC27" s="18" t="e" cm="1">
        <f t="array" ref="AC27">_xlfn.SWITCH(BM27,"nvarchar","varchar("&amp;BN27&amp;")","smallint","smallint","date","date","money","decimal(19,4)","numeric","numeric("&amp;BN27&amp;")","int","int","bit","char(1)","datetime2","datetime","time","time")</f>
        <v>#N/A</v>
      </c>
      <c r="AD27" s="19"/>
      <c r="AE27" s="19"/>
      <c r="AF27" s="19"/>
      <c r="AG27" s="20"/>
      <c r="AH27" s="18"/>
      <c r="AI27" s="20"/>
      <c r="AJ27" s="18"/>
      <c r="AK27" s="19"/>
      <c r="AL27" s="20"/>
      <c r="AM27" s="18"/>
      <c r="AN27" s="19"/>
      <c r="AO27" s="19"/>
      <c r="AP27" s="19"/>
      <c r="AQ27" s="19"/>
      <c r="AR27" s="19"/>
      <c r="AS27" s="20"/>
      <c r="AT27" s="18"/>
      <c r="AU27" s="19"/>
      <c r="AV27" s="19"/>
      <c r="AW27" s="19"/>
      <c r="AX27" s="19"/>
      <c r="AY27" s="19"/>
      <c r="AZ27" s="19"/>
      <c r="BA27" s="19"/>
      <c r="BB27" s="19"/>
      <c r="BC27" s="19"/>
      <c r="BD27" s="19"/>
      <c r="BE27" s="19"/>
      <c r="BF27" s="19"/>
      <c r="BG27" s="19"/>
      <c r="BH27" s="19"/>
      <c r="BI27" s="19"/>
      <c r="BJ27" s="20"/>
      <c r="BK27" s="4"/>
      <c r="BP27" t="e">
        <f>",`"&amp;R27&amp;"` "&amp;AC27&amp;" "&amp;IF(AJ27="Y","NOT NULL","")&amp;" COMMENT '"&amp;D27&amp;"'"</f>
        <v>#N/A</v>
      </c>
      <c r="BQ27" t="s">
        <v>626</v>
      </c>
      <c r="BR27" s="97" t="e">
        <f>"`"&amp;R27&amp;"` "&amp;AC27&amp;" "&amp;IF(AJ27="Y","NOT NULL","")</f>
        <v>#N/A</v>
      </c>
      <c r="BS27" t="s">
        <v>626</v>
      </c>
      <c r="BT27" s="97" t="e">
        <f>",`"&amp;R27&amp;"` = "&amp;IF(LEFT(AC27,4)="date", "if(@"&amp;B27-5&amp;" &gt; '0000-00-00 00:00:00', if(@"&amp;B27-5&amp;" &gt; '2999-12-31 23:59:59', '2999-12-31 23:59:59', @"&amp;B27-5&amp;"), null)","if(nullif( @"&amp;B27-5&amp;",'') &gt; '', @"&amp;B27-5&amp;", null )")</f>
        <v>#N/A</v>
      </c>
      <c r="BU27" t="s">
        <v>626</v>
      </c>
      <c r="BV27" s="97" t="str">
        <f>"A.`"&amp;R27&amp;"` = B.`"&amp;R27&amp;"`"</f>
        <v>A.`` = B.``</v>
      </c>
      <c r="BW27" t="s">
        <v>626</v>
      </c>
      <c r="BX27" s="97" t="str">
        <f>"`"&amp;R27&amp;"`"</f>
        <v>``</v>
      </c>
      <c r="BY27" t="s">
        <v>626</v>
      </c>
      <c r="BZ27" s="97" t="str">
        <f>"`"&amp;R27&amp;"`"</f>
        <v>``</v>
      </c>
      <c r="CA27" t="s">
        <v>626</v>
      </c>
    </row>
    <row r="28" spans="1:79" ht="15" customHeight="1">
      <c r="A28" s="100" t="s">
        <v>965</v>
      </c>
      <c r="B28" s="16">
        <v>8</v>
      </c>
      <c r="C28" s="17"/>
      <c r="D28" s="22"/>
      <c r="E28" s="19"/>
      <c r="F28" s="19"/>
      <c r="G28" s="19"/>
      <c r="H28" s="19"/>
      <c r="I28" s="19"/>
      <c r="J28" s="19"/>
      <c r="K28" s="19"/>
      <c r="L28" s="19"/>
      <c r="M28" s="19"/>
      <c r="N28" s="19"/>
      <c r="O28" s="19"/>
      <c r="P28" s="19"/>
      <c r="Q28" s="20"/>
      <c r="R28" s="18"/>
      <c r="S28" s="19"/>
      <c r="T28" s="19"/>
      <c r="U28" s="19"/>
      <c r="V28" s="19"/>
      <c r="W28" s="19"/>
      <c r="X28" s="19"/>
      <c r="Y28" s="19"/>
      <c r="Z28" s="19"/>
      <c r="AA28" s="19"/>
      <c r="AB28" s="20"/>
      <c r="AC28" s="18"/>
      <c r="AD28" s="19"/>
      <c r="AE28" s="19"/>
      <c r="AF28" s="19"/>
      <c r="AG28" s="20"/>
      <c r="AH28" s="18"/>
      <c r="AI28" s="20"/>
      <c r="AJ28" s="18"/>
      <c r="AK28" s="19"/>
      <c r="AL28" s="20"/>
      <c r="AM28" s="18"/>
      <c r="AN28" s="19"/>
      <c r="AO28" s="19"/>
      <c r="AP28" s="19"/>
      <c r="AQ28" s="19"/>
      <c r="AR28" s="19"/>
      <c r="AS28" s="20"/>
      <c r="AT28" s="18"/>
      <c r="AU28" s="19"/>
      <c r="AV28" s="19"/>
      <c r="AW28" s="19"/>
      <c r="AX28" s="19"/>
      <c r="AY28" s="19"/>
      <c r="AZ28" s="19"/>
      <c r="BA28" s="19"/>
      <c r="BB28" s="19"/>
      <c r="BC28" s="19"/>
      <c r="BD28" s="19"/>
      <c r="BE28" s="19"/>
      <c r="BF28" s="19"/>
      <c r="BG28" s="19"/>
      <c r="BH28" s="19"/>
      <c r="BI28" s="19"/>
      <c r="BJ28" s="20"/>
      <c r="BK28" s="4"/>
      <c r="BP28" t="str">
        <f t="shared" ref="BP28:BP33" si="1">",`"&amp;R28&amp;"` "&amp;AC28&amp;" "&amp;IF(AJ28="Y","NOT NULL","")&amp;" COMMENT '"&amp;D28&amp;"'"</f>
        <v>,``   COMMENT ''</v>
      </c>
      <c r="BQ28" t="s">
        <v>626</v>
      </c>
      <c r="BR28" s="97" t="str">
        <f>",`"&amp;R28&amp;"` "&amp;AC28&amp;" "&amp;IF(AJ28="Y","NOT NULL","")</f>
        <v xml:space="preserve">,``  </v>
      </c>
      <c r="BS28" t="s">
        <v>626</v>
      </c>
      <c r="BT28" t="str">
        <f t="shared" ref="BT28:BT33" si="2">",`"&amp;R28&amp;"` = "&amp;IF(LEFT(AC28,4)="date", "if(@"&amp;B28-5&amp;" &gt; '0000-00-00 00:00:00', if(@"&amp;B28-5&amp;" &gt; '2999-12-31 23:59:59', '2999-12-31 23:59:59', @"&amp;B28-5&amp;"), null)","if(nullif( @"&amp;B28-5&amp;",'') &gt; '', @"&amp;B28-5&amp;", null )")</f>
        <v>,`` = if(nullif( @3,'') &gt; '', @3, null )</v>
      </c>
      <c r="BU28" t="s">
        <v>626</v>
      </c>
      <c r="BV28" s="97" t="str">
        <f t="shared" ref="BV28:BV33" si="3">",A.`"&amp;R28&amp;"` = B.`"&amp;R28&amp;"`"</f>
        <v>,A.`` = B.``</v>
      </c>
      <c r="BW28" t="s">
        <v>626</v>
      </c>
      <c r="BX28" s="97" t="str">
        <f t="shared" ref="BX28:BX33" si="4">",`"&amp;R28&amp;"`"</f>
        <v>,``</v>
      </c>
      <c r="BY28" t="s">
        <v>626</v>
      </c>
      <c r="BZ28" s="97" t="str">
        <f t="shared" ref="BZ28:BZ62" si="5">",`"&amp;R28&amp;"`"</f>
        <v>,``</v>
      </c>
      <c r="CA28" t="s">
        <v>626</v>
      </c>
    </row>
    <row r="29" spans="1:79" ht="15" customHeight="1">
      <c r="A29" s="100" t="s">
        <v>966</v>
      </c>
      <c r="B29" s="16">
        <v>9</v>
      </c>
      <c r="C29" s="24"/>
      <c r="D29" s="22"/>
      <c r="E29" s="19"/>
      <c r="F29" s="19"/>
      <c r="G29" s="19"/>
      <c r="H29" s="19"/>
      <c r="I29" s="19"/>
      <c r="J29" s="19"/>
      <c r="K29" s="19"/>
      <c r="L29" s="19"/>
      <c r="M29" s="19"/>
      <c r="N29" s="19"/>
      <c r="O29" s="19"/>
      <c r="P29" s="19"/>
      <c r="Q29" s="20"/>
      <c r="R29" s="18"/>
      <c r="S29" s="19"/>
      <c r="T29" s="19"/>
      <c r="U29" s="19"/>
      <c r="V29" s="19"/>
      <c r="W29" s="19"/>
      <c r="X29" s="19"/>
      <c r="Y29" s="19"/>
      <c r="Z29" s="19"/>
      <c r="AA29" s="19"/>
      <c r="AB29" s="20"/>
      <c r="AC29" s="18"/>
      <c r="AD29" s="19"/>
      <c r="AE29" s="19"/>
      <c r="AF29" s="19"/>
      <c r="AG29" s="20"/>
      <c r="AH29" s="18"/>
      <c r="AI29" s="20"/>
      <c r="AJ29" s="22"/>
      <c r="AK29" s="19"/>
      <c r="AL29" s="20"/>
      <c r="AM29" s="22"/>
      <c r="AN29" s="19"/>
      <c r="AO29" s="19"/>
      <c r="AP29" s="19"/>
      <c r="AQ29" s="19"/>
      <c r="AR29" s="19"/>
      <c r="AS29" s="20"/>
      <c r="AT29" s="22"/>
      <c r="AU29" s="19"/>
      <c r="AV29" s="19"/>
      <c r="AW29" s="19"/>
      <c r="AX29" s="19"/>
      <c r="AY29" s="19"/>
      <c r="AZ29" s="19"/>
      <c r="BA29" s="19"/>
      <c r="BB29" s="19"/>
      <c r="BC29" s="19"/>
      <c r="BD29" s="19"/>
      <c r="BE29" s="19"/>
      <c r="BF29" s="19"/>
      <c r="BG29" s="19"/>
      <c r="BH29" s="19"/>
      <c r="BI29" s="19"/>
      <c r="BJ29" s="20"/>
      <c r="BK29" s="4"/>
      <c r="BP29" t="str">
        <f t="shared" si="1"/>
        <v>,``   COMMENT ''</v>
      </c>
      <c r="BQ29" t="s">
        <v>626</v>
      </c>
      <c r="BR29" t="str">
        <f t="shared" ref="BR29:BR33" si="6">",`"&amp;R29&amp;"` "&amp;AC29&amp;" "&amp;IF(AJ29="Y","NOT NULL","")</f>
        <v xml:space="preserve">,``  </v>
      </c>
      <c r="BS29" t="s">
        <v>626</v>
      </c>
      <c r="BT29" t="str">
        <f t="shared" si="2"/>
        <v>,`` = if(nullif( @4,'') &gt; '', @4, null )</v>
      </c>
      <c r="BU29" t="s">
        <v>626</v>
      </c>
      <c r="BV29" s="97" t="str">
        <f t="shared" si="3"/>
        <v>,A.`` = B.``</v>
      </c>
      <c r="BW29" t="s">
        <v>626</v>
      </c>
      <c r="BX29" s="97" t="str">
        <f t="shared" si="4"/>
        <v>,``</v>
      </c>
      <c r="BY29" t="s">
        <v>626</v>
      </c>
      <c r="BZ29" s="97" t="str">
        <f t="shared" si="5"/>
        <v>,``</v>
      </c>
      <c r="CA29" t="s">
        <v>626</v>
      </c>
    </row>
    <row r="30" spans="1:79" ht="15" customHeight="1">
      <c r="A30" s="100" t="s">
        <v>967</v>
      </c>
      <c r="B30" s="16">
        <v>10</v>
      </c>
      <c r="C30" s="24"/>
      <c r="D30" s="18"/>
      <c r="E30" s="19"/>
      <c r="F30" s="19"/>
      <c r="G30" s="19"/>
      <c r="H30" s="19"/>
      <c r="I30" s="19"/>
      <c r="J30" s="19"/>
      <c r="K30" s="19"/>
      <c r="L30" s="19"/>
      <c r="M30" s="19"/>
      <c r="N30" s="19"/>
      <c r="O30" s="19"/>
      <c r="P30" s="19"/>
      <c r="Q30" s="20"/>
      <c r="R30" s="18"/>
      <c r="S30" s="19"/>
      <c r="T30" s="19"/>
      <c r="U30" s="19"/>
      <c r="V30" s="19"/>
      <c r="W30" s="19"/>
      <c r="X30" s="19"/>
      <c r="Y30" s="19"/>
      <c r="Z30" s="19"/>
      <c r="AA30" s="19"/>
      <c r="AB30" s="20"/>
      <c r="AC30" s="18"/>
      <c r="AD30" s="19"/>
      <c r="AE30" s="19"/>
      <c r="AF30" s="19"/>
      <c r="AG30" s="20"/>
      <c r="AH30" s="18"/>
      <c r="AI30" s="20"/>
      <c r="AJ30" s="22"/>
      <c r="AK30" s="19"/>
      <c r="AL30" s="20"/>
      <c r="AM30" s="18"/>
      <c r="AN30" s="19"/>
      <c r="AO30" s="19"/>
      <c r="AP30" s="19"/>
      <c r="AQ30" s="19"/>
      <c r="AR30" s="19"/>
      <c r="AS30" s="20"/>
      <c r="AT30" s="18"/>
      <c r="AU30" s="19"/>
      <c r="AV30" s="19"/>
      <c r="AW30" s="19"/>
      <c r="AX30" s="19"/>
      <c r="AY30" s="19"/>
      <c r="AZ30" s="19"/>
      <c r="BA30" s="19"/>
      <c r="BB30" s="19"/>
      <c r="BC30" s="19"/>
      <c r="BD30" s="19"/>
      <c r="BE30" s="19"/>
      <c r="BF30" s="19"/>
      <c r="BG30" s="19"/>
      <c r="BH30" s="19"/>
      <c r="BI30" s="19"/>
      <c r="BJ30" s="20"/>
      <c r="BK30" s="4"/>
      <c r="BP30" t="str">
        <f t="shared" si="1"/>
        <v>,``   COMMENT ''</v>
      </c>
      <c r="BQ30" t="s">
        <v>626</v>
      </c>
      <c r="BR30" t="str">
        <f t="shared" si="6"/>
        <v xml:space="preserve">,``  </v>
      </c>
      <c r="BS30" t="s">
        <v>626</v>
      </c>
      <c r="BT30" t="str">
        <f t="shared" si="2"/>
        <v>,`` = if(nullif( @5,'') &gt; '', @5, null )</v>
      </c>
      <c r="BU30" t="s">
        <v>626</v>
      </c>
      <c r="BV30" s="97" t="str">
        <f t="shared" si="3"/>
        <v>,A.`` = B.``</v>
      </c>
      <c r="BW30" t="s">
        <v>626</v>
      </c>
      <c r="BX30" s="97" t="str">
        <f t="shared" si="4"/>
        <v>,``</v>
      </c>
      <c r="BY30" t="s">
        <v>626</v>
      </c>
      <c r="BZ30" s="97" t="str">
        <f t="shared" si="5"/>
        <v>,``</v>
      </c>
      <c r="CA30" t="s">
        <v>626</v>
      </c>
    </row>
    <row r="31" spans="1:79" ht="15" customHeight="1">
      <c r="A31" s="100" t="s">
        <v>968</v>
      </c>
      <c r="B31" s="16">
        <v>11</v>
      </c>
      <c r="C31" s="24"/>
      <c r="D31" s="22"/>
      <c r="E31" s="25"/>
      <c r="F31" s="25"/>
      <c r="G31" s="25"/>
      <c r="H31" s="25"/>
      <c r="I31" s="25"/>
      <c r="J31" s="25"/>
      <c r="K31" s="25"/>
      <c r="L31" s="25"/>
      <c r="M31" s="25"/>
      <c r="N31" s="25"/>
      <c r="O31" s="25"/>
      <c r="P31" s="25"/>
      <c r="Q31" s="26"/>
      <c r="R31" s="22"/>
      <c r="S31" s="25"/>
      <c r="T31" s="25"/>
      <c r="U31" s="25"/>
      <c r="V31" s="25"/>
      <c r="W31" s="25"/>
      <c r="X31" s="25"/>
      <c r="Y31" s="25"/>
      <c r="Z31" s="25"/>
      <c r="AA31" s="25"/>
      <c r="AB31" s="26"/>
      <c r="AC31" s="22"/>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P31" t="str">
        <f t="shared" si="1"/>
        <v>,``   COMMENT ''</v>
      </c>
      <c r="BQ31" t="s">
        <v>626</v>
      </c>
      <c r="BR31" t="str">
        <f t="shared" si="6"/>
        <v xml:space="preserve">,``  </v>
      </c>
      <c r="BS31" t="s">
        <v>626</v>
      </c>
      <c r="BT31" t="str">
        <f t="shared" si="2"/>
        <v>,`` = if(nullif( @6,'') &gt; '', @6, null )</v>
      </c>
      <c r="BU31" t="s">
        <v>626</v>
      </c>
      <c r="BV31" s="97" t="str">
        <f t="shared" si="3"/>
        <v>,A.`` = B.``</v>
      </c>
      <c r="BW31" t="s">
        <v>626</v>
      </c>
      <c r="BX31" s="97" t="str">
        <f t="shared" si="4"/>
        <v>,``</v>
      </c>
      <c r="BY31" t="s">
        <v>626</v>
      </c>
      <c r="BZ31" s="97" t="str">
        <f t="shared" si="5"/>
        <v>,``</v>
      </c>
      <c r="CA31" t="s">
        <v>626</v>
      </c>
    </row>
    <row r="32" spans="1:79" ht="15" customHeight="1">
      <c r="A32" s="100" t="s">
        <v>969</v>
      </c>
      <c r="B32" s="16">
        <v>12</v>
      </c>
      <c r="C32" s="24"/>
      <c r="D32" s="22"/>
      <c r="E32" s="25"/>
      <c r="F32" s="25"/>
      <c r="G32" s="25"/>
      <c r="H32" s="25"/>
      <c r="I32" s="25"/>
      <c r="J32" s="25"/>
      <c r="K32" s="25"/>
      <c r="L32" s="25"/>
      <c r="M32" s="25"/>
      <c r="N32" s="25"/>
      <c r="O32" s="25"/>
      <c r="P32" s="25"/>
      <c r="Q32" s="26"/>
      <c r="R32" s="22"/>
      <c r="S32" s="25"/>
      <c r="T32" s="25"/>
      <c r="U32" s="25"/>
      <c r="V32" s="25"/>
      <c r="W32" s="25"/>
      <c r="X32" s="25"/>
      <c r="Y32" s="25"/>
      <c r="Z32" s="25"/>
      <c r="AA32" s="25"/>
      <c r="AB32" s="26"/>
      <c r="AC32" s="22"/>
      <c r="AD32" s="25"/>
      <c r="AE32" s="25"/>
      <c r="AF32" s="25"/>
      <c r="AG32" s="26"/>
      <c r="AH32" s="22"/>
      <c r="AI32" s="26"/>
      <c r="AJ32" s="22"/>
      <c r="AK32" s="25"/>
      <c r="AL32" s="26"/>
      <c r="AM32" s="22"/>
      <c r="AN32" s="25"/>
      <c r="AO32" s="25"/>
      <c r="AP32" s="25"/>
      <c r="AQ32" s="25"/>
      <c r="AR32" s="25"/>
      <c r="AS32" s="26"/>
      <c r="AT32" s="33"/>
      <c r="AU32" s="25"/>
      <c r="AV32" s="25"/>
      <c r="AW32" s="25"/>
      <c r="AX32" s="25"/>
      <c r="AY32" s="25"/>
      <c r="AZ32" s="25"/>
      <c r="BA32" s="25"/>
      <c r="BB32" s="25"/>
      <c r="BC32" s="25"/>
      <c r="BD32" s="25"/>
      <c r="BE32" s="25"/>
      <c r="BF32" s="25"/>
      <c r="BG32" s="25"/>
      <c r="BH32" s="25"/>
      <c r="BI32" s="25"/>
      <c r="BJ32" s="26"/>
      <c r="BK32" s="4"/>
      <c r="BP32" t="str">
        <f t="shared" si="1"/>
        <v>,``   COMMENT ''</v>
      </c>
      <c r="BQ32" t="s">
        <v>626</v>
      </c>
      <c r="BR32" t="str">
        <f t="shared" si="6"/>
        <v xml:space="preserve">,``  </v>
      </c>
      <c r="BS32" t="s">
        <v>626</v>
      </c>
      <c r="BT32" t="str">
        <f t="shared" si="2"/>
        <v>,`` = if(nullif( @7,'') &gt; '', @7, null )</v>
      </c>
      <c r="BU32" t="s">
        <v>626</v>
      </c>
      <c r="BV32" s="97" t="str">
        <f t="shared" si="3"/>
        <v>,A.`` = B.``</v>
      </c>
      <c r="BW32" t="s">
        <v>626</v>
      </c>
      <c r="BX32" s="97" t="str">
        <f t="shared" si="4"/>
        <v>,``</v>
      </c>
      <c r="BY32" t="s">
        <v>626</v>
      </c>
      <c r="BZ32" s="97" t="str">
        <f t="shared" si="5"/>
        <v>,``</v>
      </c>
      <c r="CA32" t="s">
        <v>626</v>
      </c>
    </row>
    <row r="33" spans="1:79" ht="15" customHeight="1">
      <c r="A33" s="100" t="s">
        <v>970</v>
      </c>
      <c r="B33" s="28">
        <v>13</v>
      </c>
      <c r="C33" s="29"/>
      <c r="D33" s="30"/>
      <c r="E33" s="31"/>
      <c r="F33" s="31"/>
      <c r="G33" s="31"/>
      <c r="H33" s="31"/>
      <c r="I33" s="31"/>
      <c r="J33" s="31"/>
      <c r="K33" s="31"/>
      <c r="L33" s="31"/>
      <c r="M33" s="31"/>
      <c r="N33" s="31"/>
      <c r="O33" s="31"/>
      <c r="P33" s="31"/>
      <c r="Q33" s="32"/>
      <c r="R33" s="30"/>
      <c r="S33" s="31"/>
      <c r="T33" s="31"/>
      <c r="U33" s="31"/>
      <c r="V33" s="31"/>
      <c r="W33" s="31"/>
      <c r="X33" s="31"/>
      <c r="Y33" s="31"/>
      <c r="Z33" s="31"/>
      <c r="AA33" s="31"/>
      <c r="AB33" s="32"/>
      <c r="AC33" s="30"/>
      <c r="AD33" s="31"/>
      <c r="AE33" s="31"/>
      <c r="AF33" s="31"/>
      <c r="AG33" s="32"/>
      <c r="AH33" s="30"/>
      <c r="AI33" s="32"/>
      <c r="AJ33" s="30"/>
      <c r="AK33" s="31"/>
      <c r="AL33" s="32"/>
      <c r="AM33" s="30"/>
      <c r="AN33" s="31"/>
      <c r="AO33" s="31"/>
      <c r="AP33" s="31"/>
      <c r="AQ33" s="31"/>
      <c r="AR33" s="31"/>
      <c r="AS33" s="32"/>
      <c r="AT33" s="30"/>
      <c r="AU33" s="31"/>
      <c r="AV33" s="31"/>
      <c r="AW33" s="31"/>
      <c r="AX33" s="31"/>
      <c r="AY33" s="31"/>
      <c r="AZ33" s="31"/>
      <c r="BA33" s="31"/>
      <c r="BB33" s="31"/>
      <c r="BC33" s="31"/>
      <c r="BD33" s="31"/>
      <c r="BE33" s="31"/>
      <c r="BF33" s="31"/>
      <c r="BG33" s="31"/>
      <c r="BH33" s="31"/>
      <c r="BI33" s="31"/>
      <c r="BJ33" s="32"/>
      <c r="BK33" s="4"/>
      <c r="BP33" t="str">
        <f t="shared" si="1"/>
        <v>,``   COMMENT ''</v>
      </c>
      <c r="BQ33" t="s">
        <v>626</v>
      </c>
      <c r="BR33" t="str">
        <f t="shared" si="6"/>
        <v xml:space="preserve">,``  </v>
      </c>
      <c r="BS33" t="s">
        <v>626</v>
      </c>
      <c r="BT33" t="str">
        <f t="shared" si="2"/>
        <v>,`` = if(nullif( @8,'') &gt; '', @8, null )</v>
      </c>
      <c r="BU33" t="s">
        <v>626</v>
      </c>
      <c r="BV33" s="97" t="str">
        <f t="shared" si="3"/>
        <v>,A.`` = B.``</v>
      </c>
      <c r="BW33" t="s">
        <v>626</v>
      </c>
      <c r="BX33" s="97" t="str">
        <f t="shared" si="4"/>
        <v>,``</v>
      </c>
      <c r="BY33" t="s">
        <v>626</v>
      </c>
      <c r="BZ33" s="97" t="str">
        <f t="shared" si="5"/>
        <v>,``</v>
      </c>
      <c r="CA33" t="s">
        <v>626</v>
      </c>
    </row>
    <row r="34" spans="1:79" ht="15" customHeight="1">
      <c r="A34" s="100"/>
      <c r="BK34" s="4"/>
      <c r="BP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Q34" t="s">
        <v>626</v>
      </c>
      <c r="BR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S34" t="s">
        <v>626</v>
      </c>
      <c r="BT34" s="97" t="s">
        <v>936</v>
      </c>
      <c r="BU34" t="s">
        <v>626</v>
      </c>
      <c r="BV34" s="97" t="s">
        <v>934</v>
      </c>
      <c r="BW34" t="s">
        <v>626</v>
      </c>
      <c r="BY34" t="s">
        <v>626</v>
      </c>
      <c r="BZ34" s="97" t="str">
        <f>"FROM `TMP`.`"&amp;$G$10&amp;"` A"</f>
        <v>FROM `TMP`.`` A</v>
      </c>
      <c r="CA34" t="s">
        <v>626</v>
      </c>
    </row>
    <row r="35" spans="1:79" ht="15" customHeight="1">
      <c r="A35" s="100"/>
      <c r="BK35" s="4"/>
      <c r="BP35" s="97" t="s">
        <v>452</v>
      </c>
      <c r="BQ35" t="s">
        <v>626</v>
      </c>
      <c r="BR35" s="97" t="str">
        <f>") ENGINE=InnoDB DEFAULT CHARSET=utf8mb4 COLLATE=utf8mb4_0900_ai_ci COMMENT = '"&amp;$G$9&amp;"_TMP';"</f>
        <v>) ENGINE=InnoDB DEFAULT CHARSET=utf8mb4 COLLATE=utf8mb4_0900_ai_ci COMMENT = 'template_TMP';</v>
      </c>
      <c r="BS35" t="s">
        <v>626</v>
      </c>
      <c r="BU35" t="s">
        <v>626</v>
      </c>
      <c r="BV35" s="97" t="str">
        <f>IF(_xlfn.XLOOKUP(1,$AH:$AH,$R:$R,"",0)="","","A.`"&amp;_xlfn.XLOOKUP(1,$AH:$AH,$R:$R,"",0)&amp;"` = B.`"&amp;_xlfn.XLOOKUP(1,$AH:$AH,$R:$R,"",0)&amp;"`")</f>
        <v/>
      </c>
      <c r="BW35" t="s">
        <v>626</v>
      </c>
      <c r="BY35" t="s">
        <v>626</v>
      </c>
      <c r="BZ35" s="97" t="s">
        <v>935</v>
      </c>
      <c r="CA35" t="s">
        <v>626</v>
      </c>
    </row>
    <row r="36" spans="1:79" ht="15" customHeight="1">
      <c r="A36" s="100"/>
      <c r="B36" s="37" t="s">
        <v>49</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4"/>
      <c r="BP36" s="97" t="str">
        <f>") ENGINE=InnoDB DEFAULT CHARSET=utf8mb4 COLLATE=utf8mb4_0900_ai_ci COMMENT = '"&amp;$G$9&amp;"';"</f>
        <v>) ENGINE=InnoDB DEFAULT CHARSET=utf8mb4 COLLATE=utf8mb4_0900_ai_ci COMMENT = 'template';</v>
      </c>
      <c r="BQ36" t="s">
        <v>626</v>
      </c>
      <c r="BS36" t="s">
        <v>626</v>
      </c>
      <c r="BU36" t="s">
        <v>626</v>
      </c>
      <c r="BV36" s="97" t="str">
        <f>IF(_xlfn.XLOOKUP(2,$AH:$AH,$R:$R,"",0)="","","AND A.`"&amp;_xlfn.XLOOKUP(2,$AH:$AH,$R:$R,"",0)&amp;"` = B.`"&amp;_xlfn.XLOOKUP(2,$AH:$AH,$R:$R,"",0)&amp;"`")</f>
        <v/>
      </c>
      <c r="BW36" t="s">
        <v>626</v>
      </c>
      <c r="BY36" t="s">
        <v>626</v>
      </c>
      <c r="BZ36" s="97" t="str">
        <f>"FROM `POS_MASTER`.`"&amp;$G$10&amp;"` B"</f>
        <v>FROM `POS_MASTER`.`` B</v>
      </c>
      <c r="CA36" t="s">
        <v>626</v>
      </c>
    </row>
    <row r="37" spans="1:79" ht="15" customHeight="1">
      <c r="A37" s="100"/>
      <c r="B37" s="34" t="s">
        <v>50</v>
      </c>
      <c r="C37" s="35"/>
      <c r="D37" s="34" t="s">
        <v>51</v>
      </c>
      <c r="E37" s="44"/>
      <c r="F37" s="36"/>
      <c r="G37" s="36"/>
      <c r="H37" s="36"/>
      <c r="I37" s="36"/>
      <c r="J37" s="36"/>
      <c r="K37" s="36"/>
      <c r="L37" s="36"/>
      <c r="M37" s="36"/>
      <c r="N37" s="36"/>
      <c r="O37" s="36"/>
      <c r="P37" s="36"/>
      <c r="Q37" s="35"/>
      <c r="R37" s="34" t="s">
        <v>52</v>
      </c>
      <c r="S37" s="44"/>
      <c r="T37" s="36"/>
      <c r="U37" s="36"/>
      <c r="V37" s="36"/>
      <c r="W37" s="36"/>
      <c r="X37" s="36"/>
      <c r="Y37" s="36"/>
      <c r="Z37" s="36"/>
      <c r="AA37" s="36"/>
      <c r="AB37" s="36"/>
      <c r="AC37" s="36"/>
      <c r="AD37" s="36"/>
      <c r="AE37" s="36"/>
      <c r="AF37" s="36"/>
      <c r="AG37" s="36"/>
      <c r="AH37" s="36"/>
      <c r="AI37" s="36"/>
      <c r="AJ37" s="36"/>
      <c r="AK37" s="35"/>
      <c r="AL37" s="34" t="s">
        <v>53</v>
      </c>
      <c r="AM37" s="36"/>
      <c r="AN37" s="36"/>
      <c r="AO37" s="45"/>
      <c r="AP37" s="34" t="s">
        <v>54</v>
      </c>
      <c r="AQ37" s="36"/>
      <c r="AR37" s="36"/>
      <c r="AS37" s="35"/>
      <c r="AT37" s="34" t="s">
        <v>48</v>
      </c>
      <c r="AU37" s="44"/>
      <c r="AV37" s="44"/>
      <c r="AW37" s="36"/>
      <c r="AX37" s="36"/>
      <c r="AY37" s="44"/>
      <c r="AZ37" s="36"/>
      <c r="BA37" s="36"/>
      <c r="BB37" s="36"/>
      <c r="BC37" s="36"/>
      <c r="BD37" s="36"/>
      <c r="BE37" s="36"/>
      <c r="BF37" s="36"/>
      <c r="BG37" s="36"/>
      <c r="BH37" s="36"/>
      <c r="BI37" s="44"/>
      <c r="BJ37" s="35"/>
      <c r="BK37" s="4"/>
      <c r="BP37" s="97"/>
      <c r="BQ37" t="s">
        <v>626</v>
      </c>
      <c r="BS37" t="s">
        <v>626</v>
      </c>
      <c r="BU37" t="s">
        <v>626</v>
      </c>
      <c r="BV37" s="97" t="str">
        <f>IF(_xlfn.XLOOKUP(3,$AH:$AH,$R:$R,"",0)="","","AND A.`"&amp;_xlfn.XLOOKUP(3,$AH:$AH,$R:$R,"",0)&amp;"` = B.`"&amp;_xlfn.XLOOKUP(3,$AH:$AH,$R:$R,"",0)&amp;"`")</f>
        <v/>
      </c>
      <c r="BW37" t="s">
        <v>626</v>
      </c>
      <c r="BY37" t="s">
        <v>626</v>
      </c>
      <c r="BZ37" s="97" t="s">
        <v>932</v>
      </c>
      <c r="CA37" t="s">
        <v>626</v>
      </c>
    </row>
    <row r="38" spans="1:79" ht="15" customHeight="1">
      <c r="A38" s="100"/>
      <c r="B38" s="38">
        <v>1</v>
      </c>
      <c r="C38" s="39"/>
      <c r="D38" s="38" t="s">
        <v>55</v>
      </c>
      <c r="E38" s="46"/>
      <c r="F38" s="40"/>
      <c r="G38" s="40"/>
      <c r="H38" s="40"/>
      <c r="I38" s="40"/>
      <c r="J38" s="40"/>
      <c r="K38" s="40"/>
      <c r="L38" s="40"/>
      <c r="M38" s="40"/>
      <c r="N38" s="40"/>
      <c r="O38" s="40"/>
      <c r="P38" s="40"/>
      <c r="Q38" s="39"/>
      <c r="R38"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
      </c>
      <c r="S38" s="46"/>
      <c r="T38" s="40"/>
      <c r="U38" s="40"/>
      <c r="V38" s="40"/>
      <c r="W38" s="40"/>
      <c r="X38" s="40"/>
      <c r="Y38" s="40"/>
      <c r="Z38" s="40"/>
      <c r="AA38" s="40"/>
      <c r="AB38" s="40"/>
      <c r="AC38" s="40"/>
      <c r="AD38" s="40"/>
      <c r="AE38" s="40"/>
      <c r="AF38" s="40"/>
      <c r="AG38" s="40"/>
      <c r="AH38" s="40"/>
      <c r="AI38" s="40"/>
      <c r="AJ38" s="40"/>
      <c r="AK38" s="39"/>
      <c r="AL38" s="38" t="s">
        <v>885</v>
      </c>
      <c r="AM38" s="40"/>
      <c r="AN38" s="40"/>
      <c r="AO38" s="47"/>
      <c r="AP38" s="38" t="s">
        <v>885</v>
      </c>
      <c r="AQ38" s="40"/>
      <c r="AR38" s="40"/>
      <c r="AS38" s="39"/>
      <c r="AT38" s="38"/>
      <c r="AU38" s="46"/>
      <c r="AV38" s="46"/>
      <c r="AW38" s="40"/>
      <c r="AX38" s="40"/>
      <c r="AY38" s="46"/>
      <c r="AZ38" s="40"/>
      <c r="BA38" s="40"/>
      <c r="BB38" s="40"/>
      <c r="BC38" s="40"/>
      <c r="BD38" s="40"/>
      <c r="BE38" s="40"/>
      <c r="BF38" s="40"/>
      <c r="BG38" s="40"/>
      <c r="BH38" s="40"/>
      <c r="BI38" s="46"/>
      <c r="BJ38" s="39"/>
      <c r="BK38" s="4"/>
      <c r="BP38" s="97" t="str">
        <f>"CREATE TRIGGER `"&amp;$G$10&amp;"_CR_Date_Time` BEFORE INSERT ON `"&amp;$G$10&amp;"`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c r="BQ38" t="s">
        <v>626</v>
      </c>
      <c r="BS38" t="s">
        <v>626</v>
      </c>
      <c r="BU38" t="s">
        <v>626</v>
      </c>
      <c r="BV38" s="97" t="str">
        <f>IF(_xlfn.XLOOKUP(4,$AH:$AH,$R:$R,"",0)="","","AND A.`"&amp;_xlfn.XLOOKUP(4,$AH:$AH,$R:$R,"",0)&amp;"` = B.`"&amp;_xlfn.XLOOKUP(4,$AH:$AH,$R:$R,"",0)&amp;"`")</f>
        <v/>
      </c>
      <c r="BW38" t="s">
        <v>626</v>
      </c>
      <c r="BY38" t="s">
        <v>626</v>
      </c>
      <c r="BZ38" s="97" t="str">
        <f>IF(_xlfn.XLOOKUP(1,$AH:$AH,$R:$R,"",0)="","","A.`"&amp;_xlfn.XLOOKUP(1,$AH:$AH,$R:$R,"",0)&amp;"` = B.`"&amp;_xlfn.XLOOKUP(1,$AH:$AH,$R:$R,"",0)&amp;"`")</f>
        <v/>
      </c>
      <c r="CA38" t="s">
        <v>626</v>
      </c>
    </row>
    <row r="39" spans="1:79" ht="15" customHeight="1">
      <c r="A39" s="100"/>
      <c r="BK39" s="4"/>
      <c r="BP39" s="97" t="str">
        <f>"CREATE TRIGGER `"&amp;$G$10&amp;"_UP_Date_Time` BEFORE UPDATE ON `"&amp;$G$10&amp;"` FOR EACH ROW SET NEW.record_update_date = CURRENT_DATE, NEW.record_update_time = CURRENT_TIME;"</f>
        <v>CREATE TRIGGER `_UP_Date_Time` BEFORE UPDATE ON `` FOR EACH ROW SET NEW.record_update_date = CURRENT_DATE, NEW.record_update_time = CURRENT_TIME;</v>
      </c>
      <c r="BQ39" t="s">
        <v>626</v>
      </c>
      <c r="BS39" t="s">
        <v>626</v>
      </c>
      <c r="BU39" t="s">
        <v>626</v>
      </c>
      <c r="BV39" s="97" t="str">
        <f>IF(_xlfn.XLOOKUP(5,$AH:$AH,$R:$R,"",0)="","","AND A.`"&amp;_xlfn.XLOOKUP(5,$AH:$AH,$R:$R,"",0)&amp;"` = B.`"&amp;_xlfn.XLOOKUP(5,$AH:$AH,$R:$R,"",0)&amp;"`")</f>
        <v/>
      </c>
      <c r="BW39" t="s">
        <v>626</v>
      </c>
      <c r="BY39" t="s">
        <v>626</v>
      </c>
      <c r="BZ39" s="97" t="str">
        <f>IF(_xlfn.XLOOKUP(2,$AH:$AH,$R:$R,"",0)="","","AND A.`"&amp;_xlfn.XLOOKUP(2,$AH:$AH,$R:$R,"",0)&amp;"` = B.`"&amp;_xlfn.XLOOKUP(2,$AH:$AH,$R:$R,"",0)&amp;"`")</f>
        <v/>
      </c>
      <c r="CA39" t="s">
        <v>626</v>
      </c>
    </row>
    <row r="40" spans="1:79" ht="15" customHeight="1">
      <c r="A40" s="100"/>
      <c r="BK40" s="4"/>
      <c r="BQ40" t="s">
        <v>626</v>
      </c>
      <c r="BS40" t="s">
        <v>626</v>
      </c>
      <c r="BU40" t="s">
        <v>626</v>
      </c>
      <c r="BV40" s="97" t="str">
        <f>IF(_xlfn.XLOOKUP(6,$AH:$AH,$R:$R,"",0)="","","AND A.`"&amp;_xlfn.XLOOKUP(6,$AH:$AH,$R:$R,"",0)&amp;"` = B.`"&amp;_xlfn.XLOOKUP(6,$AH:$AH,$R:$R,"",0)&amp;"`")</f>
        <v/>
      </c>
      <c r="BW40" t="s">
        <v>626</v>
      </c>
      <c r="BY40" t="s">
        <v>626</v>
      </c>
      <c r="BZ40" s="97" t="str">
        <f>IF(_xlfn.XLOOKUP(3,$AH:$AH,$R:$R,"",0)="","","AND A.`"&amp;_xlfn.XLOOKUP(3,$AH:$AH,$R:$R,"",0)&amp;"` = B.`"&amp;_xlfn.XLOOKUP(3,$AH:$AH,$R:$R,"",0)&amp;"`")</f>
        <v/>
      </c>
      <c r="CA40" t="s">
        <v>626</v>
      </c>
    </row>
    <row r="41" spans="1:79" ht="15" customHeight="1">
      <c r="A41" s="100"/>
      <c r="B41" s="37" t="s">
        <v>34</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4"/>
      <c r="BQ41" t="s">
        <v>626</v>
      </c>
      <c r="BS41" t="s">
        <v>626</v>
      </c>
      <c r="BU41" t="s">
        <v>626</v>
      </c>
      <c r="BV41" s="97" t="str">
        <f>IF(_xlfn.XLOOKUP(7,$AH:$AH,$R:$R,"",0)="","","AND A.`"&amp;_xlfn.XLOOKUP(7,$AH:$AH,$R:$R,"",0)&amp;"` = B.`"&amp;_xlfn.XLOOKUP(7,$AH:$AH,$R:$R,"",0)&amp;"`")</f>
        <v/>
      </c>
      <c r="BW41" t="s">
        <v>626</v>
      </c>
      <c r="BY41" t="s">
        <v>626</v>
      </c>
      <c r="BZ41" s="97" t="str">
        <f>IF(_xlfn.XLOOKUP(4,$AH:$AH,$R:$R,"",0)="","","AND A.`"&amp;_xlfn.XLOOKUP(4,$AH:$AH,$R:$R,"",0)&amp;"` = B.`"&amp;_xlfn.XLOOKUP(4,$AH:$AH,$R:$R,"",0)&amp;"`")</f>
        <v/>
      </c>
      <c r="CA41" t="s">
        <v>626</v>
      </c>
    </row>
    <row r="42" spans="1:79" ht="15" customHeight="1">
      <c r="A42" s="100"/>
      <c r="B42" s="34" t="s">
        <v>35</v>
      </c>
      <c r="C42" s="45"/>
      <c r="D42" s="34" t="s">
        <v>36</v>
      </c>
      <c r="E42" s="44"/>
      <c r="F42" s="44"/>
      <c r="G42" s="44"/>
      <c r="H42" s="44"/>
      <c r="I42" s="44"/>
      <c r="J42" s="44"/>
      <c r="K42" s="44"/>
      <c r="L42" s="36"/>
      <c r="M42" s="36"/>
      <c r="N42" s="36"/>
      <c r="O42" s="36"/>
      <c r="P42" s="36"/>
      <c r="Q42" s="35"/>
      <c r="R42" s="34" t="s">
        <v>37</v>
      </c>
      <c r="S42" s="36"/>
      <c r="T42" s="45"/>
      <c r="U42" s="34" t="s">
        <v>38</v>
      </c>
      <c r="V42" s="36"/>
      <c r="W42" s="44"/>
      <c r="X42" s="45"/>
      <c r="Y42" s="34" t="s">
        <v>39</v>
      </c>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5"/>
      <c r="BK42" s="4"/>
      <c r="BQ42" t="s">
        <v>626</v>
      </c>
      <c r="BS42" t="s">
        <v>626</v>
      </c>
      <c r="BU42" t="s">
        <v>626</v>
      </c>
      <c r="BV42" s="97" t="str">
        <f>IF(_xlfn.XLOOKUP(8,$AH:$AH,$R:$R,"",0)="","","AND A.`"&amp;_xlfn.XLOOKUP(8,$AH:$AH,$R:$R,"",0)&amp;"` = B.`"&amp;_xlfn.XLOOKUP(8,$AH:$AH,$R:$R,"",0)&amp;"`")</f>
        <v/>
      </c>
      <c r="BW42" t="s">
        <v>626</v>
      </c>
      <c r="BY42" t="s">
        <v>626</v>
      </c>
      <c r="BZ42" s="97" t="str">
        <f>IF(_xlfn.XLOOKUP(5,$AH:$AH,$R:$R,"",0)="","","AND A.`"&amp;_xlfn.XLOOKUP(5,$AH:$AH,$R:$R,"",0)&amp;"` = B.`"&amp;_xlfn.XLOOKUP(5,$AH:$AH,$R:$R,"",0)&amp;"`")</f>
        <v/>
      </c>
      <c r="CA42" t="s">
        <v>626</v>
      </c>
    </row>
    <row r="43" spans="1:79" ht="15" customHeight="1">
      <c r="A43" s="100"/>
      <c r="B43" s="41">
        <v>1</v>
      </c>
      <c r="C43" s="47"/>
      <c r="D43" s="41" t="str">
        <f>G10&amp;"_"&amp;R43&amp;"_"&amp;"trg"</f>
        <v>_update_trg</v>
      </c>
      <c r="E43" s="46"/>
      <c r="F43" s="46"/>
      <c r="G43" s="46"/>
      <c r="H43" s="46"/>
      <c r="I43" s="46"/>
      <c r="J43" s="46"/>
      <c r="K43" s="46"/>
      <c r="L43" s="42"/>
      <c r="M43" s="42"/>
      <c r="N43" s="42"/>
      <c r="O43" s="42"/>
      <c r="P43" s="42"/>
      <c r="Q43" s="43"/>
      <c r="R43" s="41" t="s">
        <v>40</v>
      </c>
      <c r="S43" s="42"/>
      <c r="T43" s="47"/>
      <c r="U43" s="41" t="s">
        <v>41</v>
      </c>
      <c r="V43" s="42"/>
      <c r="W43" s="46"/>
      <c r="X43" s="47"/>
      <c r="Y43" s="41" t="s">
        <v>42</v>
      </c>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3"/>
      <c r="BK43" s="4"/>
      <c r="BQ43" t="s">
        <v>626</v>
      </c>
      <c r="BS43" t="s">
        <v>626</v>
      </c>
      <c r="BU43" t="s">
        <v>626</v>
      </c>
      <c r="BV43" s="97" t="s">
        <v>936</v>
      </c>
      <c r="BW43" t="s">
        <v>626</v>
      </c>
      <c r="BY43" t="s">
        <v>626</v>
      </c>
      <c r="BZ43" s="97" t="str">
        <f>IF(_xlfn.XLOOKUP(6,$AH:$AH,$R:$R,"",0)="","","AND A.`"&amp;_xlfn.XLOOKUP(6,$AH:$AH,$R:$R,"",0)&amp;"` = B.`"&amp;_xlfn.XLOOKUP(6,$AH:$AH,$R:$R,"",0)&amp;"`")</f>
        <v/>
      </c>
      <c r="CA43" t="s">
        <v>626</v>
      </c>
    </row>
    <row r="44" spans="1:79" ht="15" customHeight="1">
      <c r="A44" s="100"/>
      <c r="BK44" s="4"/>
      <c r="BQ44" t="s">
        <v>626</v>
      </c>
      <c r="BS44" t="s">
        <v>626</v>
      </c>
      <c r="BU44" t="s">
        <v>626</v>
      </c>
      <c r="BW44" t="s">
        <v>626</v>
      </c>
      <c r="BY44" t="s">
        <v>626</v>
      </c>
      <c r="BZ44" s="97" t="str">
        <f>IF(_xlfn.XLOOKUP(7,$AH:$AH,$R:$R,"",0)="","","AND A.`"&amp;_xlfn.XLOOKUP(7,$AH:$AH,$R:$R,"",0)&amp;"` = B.`"&amp;_xlfn.XLOOKUP(7,$AH:$AH,$R:$R,"",0)&amp;"`")</f>
        <v/>
      </c>
      <c r="CA44" t="s">
        <v>626</v>
      </c>
    </row>
    <row r="45" spans="1:79" ht="15" customHeight="1">
      <c r="A45" s="100"/>
      <c r="BK45" s="4"/>
      <c r="BQ45" t="s">
        <v>626</v>
      </c>
      <c r="BS45" t="s">
        <v>626</v>
      </c>
      <c r="BU45" t="s">
        <v>626</v>
      </c>
      <c r="BW45" t="s">
        <v>626</v>
      </c>
      <c r="BY45" t="s">
        <v>626</v>
      </c>
      <c r="BZ45" s="97" t="str">
        <f>IF(_xlfn.XLOOKUP(8,$AH:$AH,$R:$R,"",0)="","","AND A.`"&amp;_xlfn.XLOOKUP(8,$AH:$AH,$R:$R,"",0)&amp;"` = B.`"&amp;_xlfn.XLOOKUP(8,$AH:$AH,$R:$R,"",0)&amp;"`")</f>
        <v/>
      </c>
      <c r="CA45" t="s">
        <v>626</v>
      </c>
    </row>
    <row r="46" spans="1:79" ht="15" customHeight="1">
      <c r="A46" s="100"/>
      <c r="BK46" s="4"/>
      <c r="BQ46" t="s">
        <v>626</v>
      </c>
      <c r="BS46" t="s">
        <v>626</v>
      </c>
      <c r="BU46" t="s">
        <v>626</v>
      </c>
      <c r="BW46" t="s">
        <v>626</v>
      </c>
      <c r="BY46" t="s">
        <v>626</v>
      </c>
      <c r="BZ46" s="97" t="s">
        <v>929</v>
      </c>
      <c r="CA46" t="s">
        <v>626</v>
      </c>
    </row>
    <row r="47" spans="1:79" ht="15" customHeight="1">
      <c r="A47" s="100"/>
      <c r="BK47" s="4"/>
      <c r="BQ47" t="s">
        <v>626</v>
      </c>
      <c r="BS47" t="s">
        <v>626</v>
      </c>
      <c r="BU47" t="s">
        <v>626</v>
      </c>
      <c r="BW47" t="s">
        <v>626</v>
      </c>
      <c r="BY47" t="s">
        <v>626</v>
      </c>
      <c r="CA47" t="s">
        <v>626</v>
      </c>
    </row>
    <row r="48" spans="1:79" ht="15" customHeight="1">
      <c r="A48" s="100"/>
      <c r="BK48" s="4"/>
      <c r="BQ48" t="s">
        <v>626</v>
      </c>
      <c r="BS48" t="s">
        <v>626</v>
      </c>
      <c r="BU48" t="s">
        <v>626</v>
      </c>
      <c r="BW48" t="s">
        <v>626</v>
      </c>
      <c r="BY48" t="s">
        <v>626</v>
      </c>
      <c r="BZ48" s="98"/>
      <c r="CA48" t="s">
        <v>626</v>
      </c>
    </row>
    <row r="49" spans="1:79" ht="15" customHeight="1">
      <c r="A49" s="100"/>
      <c r="BK49" s="4"/>
      <c r="BQ49" t="s">
        <v>626</v>
      </c>
      <c r="BS49" t="s">
        <v>626</v>
      </c>
      <c r="BU49" t="s">
        <v>626</v>
      </c>
      <c r="BW49" t="s">
        <v>626</v>
      </c>
      <c r="BY49" t="s">
        <v>626</v>
      </c>
      <c r="BZ49" t="str">
        <f>"DROP TABLE IF EXISTS `TMP`.`"&amp;$G$10&amp;"`;"</f>
        <v>DROP TABLE IF EXISTS `TMP`.``;</v>
      </c>
      <c r="CA49" t="s">
        <v>626</v>
      </c>
    </row>
    <row r="50" spans="1:79" ht="15" customHeight="1">
      <c r="A50" s="100"/>
      <c r="BK50" s="4"/>
      <c r="BQ50" t="s">
        <v>626</v>
      </c>
      <c r="BS50" t="s">
        <v>626</v>
      </c>
      <c r="BU50" t="s">
        <v>626</v>
      </c>
      <c r="BW50" t="s">
        <v>626</v>
      </c>
      <c r="BY50" t="s">
        <v>626</v>
      </c>
      <c r="BZ50" t="s">
        <v>937</v>
      </c>
      <c r="CA50" t="s">
        <v>626</v>
      </c>
    </row>
    <row r="51" spans="1:79" ht="15" customHeight="1">
      <c r="A51" s="100"/>
      <c r="BK51" s="4"/>
      <c r="BQ51" t="s">
        <v>626</v>
      </c>
      <c r="BS51" t="s">
        <v>626</v>
      </c>
      <c r="BU51" t="s">
        <v>626</v>
      </c>
      <c r="BW51" t="s">
        <v>626</v>
      </c>
      <c r="BY51" t="s">
        <v>626</v>
      </c>
      <c r="CA51" t="s">
        <v>626</v>
      </c>
    </row>
    <row r="52" spans="1:79" ht="15" customHeight="1">
      <c r="A52" s="100"/>
      <c r="BK52" s="4"/>
      <c r="BQ52" t="s">
        <v>626</v>
      </c>
      <c r="BS52" t="s">
        <v>626</v>
      </c>
      <c r="BU52" t="s">
        <v>626</v>
      </c>
      <c r="BW52" t="s">
        <v>626</v>
      </c>
      <c r="BY52" t="s">
        <v>626</v>
      </c>
      <c r="CA52" t="s">
        <v>626</v>
      </c>
    </row>
    <row r="53" spans="1:79" ht="15" customHeight="1">
      <c r="A53" s="100"/>
      <c r="BK53" s="4"/>
      <c r="BQ53" t="s">
        <v>626</v>
      </c>
      <c r="BS53" t="s">
        <v>626</v>
      </c>
      <c r="BU53" t="s">
        <v>626</v>
      </c>
      <c r="BW53" t="s">
        <v>626</v>
      </c>
      <c r="BY53" t="s">
        <v>626</v>
      </c>
      <c r="CA53" t="s">
        <v>626</v>
      </c>
    </row>
    <row r="54" spans="1:79" ht="15" customHeight="1">
      <c r="A54" s="100"/>
      <c r="BK54" s="4"/>
      <c r="BQ54" t="s">
        <v>626</v>
      </c>
      <c r="BS54" t="s">
        <v>626</v>
      </c>
      <c r="BU54" t="s">
        <v>626</v>
      </c>
      <c r="BW54" t="s">
        <v>626</v>
      </c>
      <c r="BY54" t="s">
        <v>626</v>
      </c>
      <c r="CA54" t="s">
        <v>626</v>
      </c>
    </row>
    <row r="55" spans="1:79" ht="15" customHeight="1">
      <c r="A55" s="100"/>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c r="BQ55" t="s">
        <v>626</v>
      </c>
      <c r="BS55" t="s">
        <v>626</v>
      </c>
      <c r="BU55" t="s">
        <v>626</v>
      </c>
      <c r="BV55" s="97" t="str">
        <f t="shared" ref="BV55:BV62" si="7">",A.`"&amp;R55&amp;"` = B.`"&amp;R55&amp;"`"</f>
        <v>,A.`` = B.``</v>
      </c>
      <c r="BW55" t="s">
        <v>626</v>
      </c>
      <c r="BX55" s="97" t="str">
        <f t="shared" ref="BX55:BX62" si="8">",`"&amp;R55&amp;"`"</f>
        <v>,``</v>
      </c>
      <c r="BY55" t="s">
        <v>626</v>
      </c>
      <c r="BZ55" s="97" t="str">
        <f t="shared" si="5"/>
        <v>,``</v>
      </c>
      <c r="CA55" t="s">
        <v>626</v>
      </c>
    </row>
    <row r="56" spans="1:79">
      <c r="A56" s="100"/>
      <c r="BQ56" t="s">
        <v>626</v>
      </c>
      <c r="BS56" t="s">
        <v>626</v>
      </c>
      <c r="BU56" t="s">
        <v>626</v>
      </c>
      <c r="BV56" s="97" t="str">
        <f t="shared" si="7"/>
        <v>,A.`` = B.``</v>
      </c>
      <c r="BW56" t="s">
        <v>626</v>
      </c>
      <c r="BX56" s="97" t="str">
        <f t="shared" si="8"/>
        <v>,``</v>
      </c>
      <c r="BY56" t="s">
        <v>626</v>
      </c>
      <c r="BZ56" s="97" t="str">
        <f t="shared" si="5"/>
        <v>,``</v>
      </c>
      <c r="CA56" t="s">
        <v>626</v>
      </c>
    </row>
    <row r="57" spans="1:79">
      <c r="A57" s="100"/>
      <c r="BQ57" t="s">
        <v>626</v>
      </c>
      <c r="BS57" t="s">
        <v>626</v>
      </c>
      <c r="BU57" t="s">
        <v>626</v>
      </c>
      <c r="BV57" s="97" t="str">
        <f t="shared" si="7"/>
        <v>,A.`` = B.``</v>
      </c>
      <c r="BW57" t="s">
        <v>626</v>
      </c>
      <c r="BX57" s="97" t="str">
        <f t="shared" si="8"/>
        <v>,``</v>
      </c>
      <c r="BY57" t="s">
        <v>626</v>
      </c>
      <c r="BZ57" s="97" t="str">
        <f t="shared" si="5"/>
        <v>,``</v>
      </c>
      <c r="CA57" t="s">
        <v>626</v>
      </c>
    </row>
    <row r="58" spans="1:79">
      <c r="A58" s="100"/>
      <c r="BQ58" t="s">
        <v>626</v>
      </c>
      <c r="BS58" t="s">
        <v>626</v>
      </c>
      <c r="BU58" t="s">
        <v>626</v>
      </c>
      <c r="BV58" s="97" t="str">
        <f t="shared" si="7"/>
        <v>,A.`` = B.``</v>
      </c>
      <c r="BW58" t="s">
        <v>626</v>
      </c>
      <c r="BX58" s="97" t="str">
        <f t="shared" si="8"/>
        <v>,``</v>
      </c>
      <c r="BY58" t="s">
        <v>626</v>
      </c>
      <c r="BZ58" s="97" t="str">
        <f t="shared" si="5"/>
        <v>,``</v>
      </c>
      <c r="CA58" t="s">
        <v>626</v>
      </c>
    </row>
    <row r="59" spans="1:79">
      <c r="A59" s="100"/>
      <c r="BQ59" t="s">
        <v>626</v>
      </c>
      <c r="BS59" t="s">
        <v>626</v>
      </c>
      <c r="BU59" t="s">
        <v>626</v>
      </c>
      <c r="BV59" s="97" t="str">
        <f t="shared" si="7"/>
        <v>,A.`` = B.``</v>
      </c>
      <c r="BW59" t="s">
        <v>626</v>
      </c>
      <c r="BX59" s="97" t="str">
        <f t="shared" si="8"/>
        <v>,``</v>
      </c>
      <c r="BY59" t="s">
        <v>626</v>
      </c>
      <c r="BZ59" s="97" t="str">
        <f t="shared" si="5"/>
        <v>,``</v>
      </c>
      <c r="CA59" t="s">
        <v>626</v>
      </c>
    </row>
    <row r="60" spans="1:79">
      <c r="A60" s="100"/>
      <c r="BQ60" t="s">
        <v>626</v>
      </c>
      <c r="BS60" t="s">
        <v>626</v>
      </c>
      <c r="BU60" t="s">
        <v>626</v>
      </c>
      <c r="BV60" s="97" t="str">
        <f t="shared" si="7"/>
        <v>,A.`` = B.``</v>
      </c>
      <c r="BW60" t="s">
        <v>626</v>
      </c>
      <c r="BX60" s="97" t="str">
        <f t="shared" si="8"/>
        <v>,``</v>
      </c>
      <c r="BY60" t="s">
        <v>626</v>
      </c>
      <c r="BZ60" s="97" t="str">
        <f t="shared" si="5"/>
        <v>,``</v>
      </c>
      <c r="CA60" t="s">
        <v>626</v>
      </c>
    </row>
    <row r="61" spans="1:79">
      <c r="A61" s="100"/>
      <c r="BQ61" t="s">
        <v>626</v>
      </c>
      <c r="BS61" t="s">
        <v>626</v>
      </c>
      <c r="BU61" t="s">
        <v>626</v>
      </c>
      <c r="BV61" s="97" t="str">
        <f t="shared" si="7"/>
        <v>,A.`` = B.``</v>
      </c>
      <c r="BW61" t="s">
        <v>626</v>
      </c>
      <c r="BX61" s="97" t="str">
        <f t="shared" si="8"/>
        <v>,``</v>
      </c>
      <c r="BY61" t="s">
        <v>626</v>
      </c>
      <c r="BZ61" s="97" t="str">
        <f t="shared" si="5"/>
        <v>,``</v>
      </c>
      <c r="CA61" t="s">
        <v>626</v>
      </c>
    </row>
    <row r="62" spans="1:79">
      <c r="A62" s="98"/>
      <c r="BQ62" t="s">
        <v>626</v>
      </c>
      <c r="BS62" t="s">
        <v>626</v>
      </c>
      <c r="BU62" t="s">
        <v>626</v>
      </c>
      <c r="BV62" s="97" t="str">
        <f t="shared" si="7"/>
        <v>,A.`` = B.``</v>
      </c>
      <c r="BW62" t="s">
        <v>626</v>
      </c>
      <c r="BX62" s="97" t="str">
        <f t="shared" si="8"/>
        <v>,``</v>
      </c>
      <c r="BY62" t="s">
        <v>626</v>
      </c>
      <c r="BZ62" s="97" t="str">
        <f t="shared" si="5"/>
        <v>,``</v>
      </c>
      <c r="CA62" t="s">
        <v>626</v>
      </c>
    </row>
    <row r="63" spans="1:79">
      <c r="BQ63" t="s">
        <v>626</v>
      </c>
      <c r="BS63" t="s">
        <v>626</v>
      </c>
      <c r="BU63" t="s">
        <v>626</v>
      </c>
      <c r="BV63" s="97" t="s">
        <v>934</v>
      </c>
      <c r="BW63" t="s">
        <v>626</v>
      </c>
      <c r="BY63" t="s">
        <v>626</v>
      </c>
      <c r="BZ63" s="97" t="str">
        <f>"FROM `TMP`.`"&amp;$G$10&amp;"` A"</f>
        <v>FROM `TMP`.`` A</v>
      </c>
      <c r="CA63" t="s">
        <v>626</v>
      </c>
    </row>
    <row r="64" spans="1:79">
      <c r="BQ64" t="s">
        <v>626</v>
      </c>
      <c r="BS64" t="s">
        <v>626</v>
      </c>
      <c r="BU64" t="s">
        <v>626</v>
      </c>
      <c r="BV64" s="97" t="str">
        <f>IF(_xlfn.XLOOKUP(1,$AH:$AH,$R:$R,"",0)="","","A.`"&amp;_xlfn.XLOOKUP(1,$AH:$AH,$R:$R,"",0)&amp;"` = B.`"&amp;_xlfn.XLOOKUP(1,$AH:$AH,$R:$R,"",0)&amp;"`")</f>
        <v/>
      </c>
      <c r="BW64" t="s">
        <v>626</v>
      </c>
      <c r="BY64" t="s">
        <v>626</v>
      </c>
      <c r="BZ64" s="97" t="s">
        <v>935</v>
      </c>
      <c r="CA64" t="s">
        <v>626</v>
      </c>
    </row>
    <row r="65" spans="69:79">
      <c r="BQ65" t="s">
        <v>626</v>
      </c>
      <c r="BS65" t="s">
        <v>626</v>
      </c>
      <c r="BU65" t="s">
        <v>626</v>
      </c>
      <c r="BV65" s="97" t="str">
        <f>IF(_xlfn.XLOOKUP(2,$AH:$AH,$R:$R,"",0)="","","AND A.`"&amp;_xlfn.XLOOKUP(2,$AH:$AH,$R:$R,"",0)&amp;"` = B.`"&amp;_xlfn.XLOOKUP(2,$AH:$AH,$R:$R,"",0)&amp;"`")</f>
        <v/>
      </c>
      <c r="BW65" t="s">
        <v>626</v>
      </c>
      <c r="BY65" t="s">
        <v>626</v>
      </c>
      <c r="BZ65" s="97" t="str">
        <f>"FROM `POS_MASTER`.`"&amp;$G$10&amp;"` B"</f>
        <v>FROM `POS_MASTER`.`` B</v>
      </c>
      <c r="CA65" t="s">
        <v>626</v>
      </c>
    </row>
    <row r="66" spans="69:79">
      <c r="BQ66" t="s">
        <v>626</v>
      </c>
      <c r="BS66" t="s">
        <v>626</v>
      </c>
      <c r="BU66" t="s">
        <v>626</v>
      </c>
      <c r="BV66" s="97" t="str">
        <f>IF(_xlfn.XLOOKUP(3,$AH:$AH,$R:$R,"",0)="","","AND A.`"&amp;_xlfn.XLOOKUP(3,$AH:$AH,$R:$R,"",0)&amp;"` = B.`"&amp;_xlfn.XLOOKUP(3,$AH:$AH,$R:$R,"",0)&amp;"`")</f>
        <v/>
      </c>
      <c r="BW66" t="s">
        <v>626</v>
      </c>
      <c r="BY66" t="s">
        <v>626</v>
      </c>
      <c r="BZ66" s="97" t="s">
        <v>932</v>
      </c>
      <c r="CA66" t="s">
        <v>626</v>
      </c>
    </row>
    <row r="67" spans="69:79">
      <c r="BQ67" t="s">
        <v>626</v>
      </c>
      <c r="BS67" t="s">
        <v>626</v>
      </c>
      <c r="BU67" t="s">
        <v>626</v>
      </c>
      <c r="BV67" s="97" t="str">
        <f>IF(_xlfn.XLOOKUP(4,$AH:$AH,$R:$R,"",0)="","","AND A.`"&amp;_xlfn.XLOOKUP(4,$AH:$AH,$R:$R,"",0)&amp;"` = B.`"&amp;_xlfn.XLOOKUP(4,$AH:$AH,$R:$R,"",0)&amp;"`")</f>
        <v/>
      </c>
      <c r="BW67" t="s">
        <v>626</v>
      </c>
      <c r="BY67" t="s">
        <v>626</v>
      </c>
      <c r="BZ67" s="97" t="str">
        <f>IF(_xlfn.XLOOKUP(1,$AH:$AH,$R:$R,"",0)="","","A.`"&amp;_xlfn.XLOOKUP(1,$AH:$AH,$R:$R,"",0)&amp;"` = B.`"&amp;_xlfn.XLOOKUP(1,$AH:$AH,$R:$R,"",0)&amp;"`")</f>
        <v/>
      </c>
      <c r="CA67" t="s">
        <v>626</v>
      </c>
    </row>
    <row r="68" spans="69:79">
      <c r="BQ68" t="s">
        <v>626</v>
      </c>
      <c r="BS68" t="s">
        <v>626</v>
      </c>
      <c r="BU68" t="s">
        <v>626</v>
      </c>
      <c r="BV68" s="97" t="str">
        <f>IF(_xlfn.XLOOKUP(5,$AH:$AH,$R:$R,"",0)="","","AND A.`"&amp;_xlfn.XLOOKUP(5,$AH:$AH,$R:$R,"",0)&amp;"` = B.`"&amp;_xlfn.XLOOKUP(5,$AH:$AH,$R:$R,"",0)&amp;"`")</f>
        <v/>
      </c>
      <c r="BW68" t="s">
        <v>626</v>
      </c>
      <c r="BY68" t="s">
        <v>626</v>
      </c>
      <c r="BZ68" s="97" t="str">
        <f>IF(_xlfn.XLOOKUP(2,$AH:$AH,$R:$R,"",0)="","","AND A.`"&amp;_xlfn.XLOOKUP(2,$AH:$AH,$R:$R,"",0)&amp;"` = B.`"&amp;_xlfn.XLOOKUP(2,$AH:$AH,$R:$R,"",0)&amp;"`")</f>
        <v/>
      </c>
      <c r="CA68" t="s">
        <v>626</v>
      </c>
    </row>
    <row r="69" spans="69:79">
      <c r="BQ69" t="s">
        <v>626</v>
      </c>
      <c r="BS69" t="s">
        <v>626</v>
      </c>
      <c r="BU69" t="s">
        <v>626</v>
      </c>
      <c r="BV69" s="97" t="str">
        <f>IF(_xlfn.XLOOKUP(6,$AH:$AH,$R:$R,"",0)="","","AND A.`"&amp;_xlfn.XLOOKUP(6,$AH:$AH,$R:$R,"",0)&amp;"` = B.`"&amp;_xlfn.XLOOKUP(6,$AH:$AH,$R:$R,"",0)&amp;"`")</f>
        <v/>
      </c>
      <c r="BW69" t="s">
        <v>626</v>
      </c>
      <c r="BY69" t="s">
        <v>626</v>
      </c>
      <c r="BZ69" s="97" t="str">
        <f>IF(_xlfn.XLOOKUP(3,$AH:$AH,$R:$R,"",0)="","","AND A.`"&amp;_xlfn.XLOOKUP(3,$AH:$AH,$R:$R,"",0)&amp;"` = B.`"&amp;_xlfn.XLOOKUP(3,$AH:$AH,$R:$R,"",0)&amp;"`")</f>
        <v/>
      </c>
      <c r="CA69" t="s">
        <v>626</v>
      </c>
    </row>
    <row r="70" spans="69:79">
      <c r="BQ70" t="s">
        <v>626</v>
      </c>
      <c r="BS70" t="s">
        <v>626</v>
      </c>
      <c r="BU70" t="s">
        <v>626</v>
      </c>
      <c r="BV70" s="97" t="str">
        <f>IF(_xlfn.XLOOKUP(7,$AH:$AH,$R:$R,"",0)="","","AND A.`"&amp;_xlfn.XLOOKUP(7,$AH:$AH,$R:$R,"",0)&amp;"` = B.`"&amp;_xlfn.XLOOKUP(7,$AH:$AH,$R:$R,"",0)&amp;"`")</f>
        <v/>
      </c>
      <c r="BW70" t="s">
        <v>626</v>
      </c>
      <c r="BY70" t="s">
        <v>626</v>
      </c>
      <c r="BZ70" s="97" t="str">
        <f>IF(_xlfn.XLOOKUP(4,$AH:$AH,$R:$R,"",0)="","","AND A.`"&amp;_xlfn.XLOOKUP(4,$AH:$AH,$R:$R,"",0)&amp;"` = B.`"&amp;_xlfn.XLOOKUP(4,$AH:$AH,$R:$R,"",0)&amp;"`")</f>
        <v/>
      </c>
      <c r="CA70" t="s">
        <v>626</v>
      </c>
    </row>
    <row r="71" spans="69:79">
      <c r="BQ71" t="s">
        <v>626</v>
      </c>
      <c r="BS71" t="s">
        <v>626</v>
      </c>
      <c r="BU71" t="s">
        <v>626</v>
      </c>
      <c r="BV71" s="97" t="str">
        <f>IF(_xlfn.XLOOKUP(8,$AH:$AH,$R:$R,"",0)="","","AND A.`"&amp;_xlfn.XLOOKUP(8,$AH:$AH,$R:$R,"",0)&amp;"` = B.`"&amp;_xlfn.XLOOKUP(8,$AH:$AH,$R:$R,"",0)&amp;"`")</f>
        <v/>
      </c>
      <c r="BW71" t="s">
        <v>626</v>
      </c>
      <c r="BY71" t="s">
        <v>626</v>
      </c>
      <c r="BZ71" s="97" t="str">
        <f>IF(_xlfn.XLOOKUP(5,$AH:$AH,$R:$R,"",0)="","","AND A.`"&amp;_xlfn.XLOOKUP(5,$AH:$AH,$R:$R,"",0)&amp;"` = B.`"&amp;_xlfn.XLOOKUP(5,$AH:$AH,$R:$R,"",0)&amp;"`")</f>
        <v/>
      </c>
      <c r="CA71" t="s">
        <v>626</v>
      </c>
    </row>
    <row r="72" spans="69:79">
      <c r="BQ72" t="s">
        <v>626</v>
      </c>
      <c r="BS72" t="s">
        <v>626</v>
      </c>
      <c r="BU72" t="s">
        <v>626</v>
      </c>
      <c r="BV72" s="97" t="s">
        <v>936</v>
      </c>
      <c r="BW72" t="s">
        <v>626</v>
      </c>
      <c r="BY72" t="s">
        <v>626</v>
      </c>
      <c r="BZ72" s="97" t="str">
        <f>IF(_xlfn.XLOOKUP(6,$AH:$AH,$R:$R,"",0)="","","AND A.`"&amp;_xlfn.XLOOKUP(6,$AH:$AH,$R:$R,"",0)&amp;"` = B.`"&amp;_xlfn.XLOOKUP(6,$AH:$AH,$R:$R,"",0)&amp;"`")</f>
        <v/>
      </c>
      <c r="CA72" t="s">
        <v>626</v>
      </c>
    </row>
    <row r="73" spans="69:79">
      <c r="BQ73" t="s">
        <v>626</v>
      </c>
      <c r="BS73" t="s">
        <v>626</v>
      </c>
      <c r="BU73" t="s">
        <v>626</v>
      </c>
      <c r="BW73" t="s">
        <v>626</v>
      </c>
      <c r="BY73" t="s">
        <v>626</v>
      </c>
      <c r="BZ73" s="97" t="str">
        <f>IF(_xlfn.XLOOKUP(7,$AH:$AH,$R:$R,"",0)="","","AND A.`"&amp;_xlfn.XLOOKUP(7,$AH:$AH,$R:$R,"",0)&amp;"` = B.`"&amp;_xlfn.XLOOKUP(7,$AH:$AH,$R:$R,"",0)&amp;"`")</f>
        <v/>
      </c>
      <c r="CA73" t="s">
        <v>626</v>
      </c>
    </row>
    <row r="74" spans="69:79">
      <c r="BQ74" t="s">
        <v>626</v>
      </c>
      <c r="BS74" t="s">
        <v>626</v>
      </c>
      <c r="BU74" t="s">
        <v>626</v>
      </c>
      <c r="BW74" t="s">
        <v>626</v>
      </c>
      <c r="BY74" t="s">
        <v>626</v>
      </c>
      <c r="BZ74" s="97" t="str">
        <f>IF(_xlfn.XLOOKUP(8,$AH:$AH,$R:$R,"",0)="","","AND A.`"&amp;_xlfn.XLOOKUP(8,$AH:$AH,$R:$R,"",0)&amp;"` = B.`"&amp;_xlfn.XLOOKUP(8,$AH:$AH,$R:$R,"",0)&amp;"`")</f>
        <v/>
      </c>
      <c r="CA74" t="s">
        <v>626</v>
      </c>
    </row>
    <row r="75" spans="69:79">
      <c r="BQ75" t="s">
        <v>626</v>
      </c>
      <c r="BS75" t="s">
        <v>626</v>
      </c>
      <c r="BU75" t="s">
        <v>626</v>
      </c>
      <c r="BW75" t="s">
        <v>626</v>
      </c>
      <c r="BY75" t="s">
        <v>626</v>
      </c>
      <c r="BZ75" s="97" t="s">
        <v>929</v>
      </c>
      <c r="CA75" t="s">
        <v>626</v>
      </c>
    </row>
    <row r="76" spans="69:79">
      <c r="BQ76" t="s">
        <v>626</v>
      </c>
      <c r="BS76" t="s">
        <v>626</v>
      </c>
      <c r="BU76" t="s">
        <v>626</v>
      </c>
      <c r="BW76" t="s">
        <v>626</v>
      </c>
      <c r="BY76" t="s">
        <v>626</v>
      </c>
      <c r="CA76" t="s">
        <v>626</v>
      </c>
    </row>
    <row r="77" spans="69:79">
      <c r="BQ77" t="s">
        <v>626</v>
      </c>
      <c r="BS77" t="s">
        <v>626</v>
      </c>
      <c r="BU77" t="s">
        <v>626</v>
      </c>
      <c r="BW77" t="s">
        <v>626</v>
      </c>
      <c r="BY77" t="s">
        <v>626</v>
      </c>
      <c r="BZ77" s="98"/>
      <c r="CA77" t="s">
        <v>626</v>
      </c>
    </row>
    <row r="78" spans="69:79">
      <c r="BQ78" t="s">
        <v>626</v>
      </c>
      <c r="BS78" t="s">
        <v>626</v>
      </c>
      <c r="BU78" t="s">
        <v>626</v>
      </c>
      <c r="BW78" t="s">
        <v>626</v>
      </c>
      <c r="BY78" t="s">
        <v>626</v>
      </c>
      <c r="BZ78" t="str">
        <f>"DROP TABLE IF EXISTS `TMP`.`"&amp;$G$10&amp;"`;"</f>
        <v>DROP TABLE IF EXISTS `TMP`.``;</v>
      </c>
      <c r="CA78" t="s">
        <v>626</v>
      </c>
    </row>
    <row r="79" spans="69:79">
      <c r="BQ79" t="s">
        <v>626</v>
      </c>
      <c r="BS79" t="s">
        <v>626</v>
      </c>
      <c r="BU79" t="s">
        <v>626</v>
      </c>
      <c r="BW79" t="s">
        <v>626</v>
      </c>
      <c r="BY79" t="s">
        <v>626</v>
      </c>
      <c r="BZ79" t="s">
        <v>937</v>
      </c>
      <c r="CA79" t="s">
        <v>626</v>
      </c>
    </row>
    <row r="80" spans="69:79">
      <c r="BQ80" t="s">
        <v>626</v>
      </c>
      <c r="BS80" t="s">
        <v>626</v>
      </c>
      <c r="BU80" t="s">
        <v>626</v>
      </c>
      <c r="BW80" t="s">
        <v>626</v>
      </c>
      <c r="BY80" t="s">
        <v>626</v>
      </c>
      <c r="CA80" t="s">
        <v>626</v>
      </c>
    </row>
    <row r="81" spans="69:79">
      <c r="BQ81" t="s">
        <v>626</v>
      </c>
      <c r="BS81" t="s">
        <v>626</v>
      </c>
      <c r="BU81" t="s">
        <v>626</v>
      </c>
      <c r="BW81" t="s">
        <v>626</v>
      </c>
      <c r="BY81" t="s">
        <v>626</v>
      </c>
      <c r="CA81" t="s">
        <v>626</v>
      </c>
    </row>
    <row r="82" spans="69:79">
      <c r="BQ82" t="s">
        <v>626</v>
      </c>
      <c r="BS82" t="s">
        <v>626</v>
      </c>
      <c r="BU82" t="s">
        <v>626</v>
      </c>
      <c r="BW82" t="s">
        <v>626</v>
      </c>
      <c r="BY82" t="s">
        <v>626</v>
      </c>
      <c r="CA82" t="s">
        <v>626</v>
      </c>
    </row>
    <row r="83" spans="69:79">
      <c r="BQ83" t="s">
        <v>626</v>
      </c>
      <c r="BS83" t="s">
        <v>626</v>
      </c>
      <c r="BU83" t="s">
        <v>626</v>
      </c>
      <c r="BW83" t="s">
        <v>626</v>
      </c>
      <c r="BY83" t="s">
        <v>626</v>
      </c>
      <c r="CA83" t="s">
        <v>626</v>
      </c>
    </row>
    <row r="84" spans="69:79">
      <c r="BQ84" t="s">
        <v>626</v>
      </c>
      <c r="BS84" t="s">
        <v>626</v>
      </c>
      <c r="BU84" t="s">
        <v>626</v>
      </c>
      <c r="BW84" t="s">
        <v>626</v>
      </c>
      <c r="BY84" t="s">
        <v>626</v>
      </c>
      <c r="CA84" t="s">
        <v>626</v>
      </c>
    </row>
  </sheetData>
  <mergeCells count="38">
    <mergeCell ref="B14:AN14"/>
    <mergeCell ref="B15:AN15"/>
    <mergeCell ref="B16:AN16"/>
    <mergeCell ref="B8:F8"/>
    <mergeCell ref="G8:X8"/>
    <mergeCell ref="Y8:AC8"/>
    <mergeCell ref="AD8:AN8"/>
    <mergeCell ref="B11:AN11"/>
    <mergeCell ref="B12:AN12"/>
    <mergeCell ref="B13:AN13"/>
    <mergeCell ref="B9:F9"/>
    <mergeCell ref="G9:X9"/>
    <mergeCell ref="Y9:AC9"/>
    <mergeCell ref="AD9:AN9"/>
    <mergeCell ref="B10:F10"/>
    <mergeCell ref="G10:X10"/>
    <mergeCell ref="Y10:AC10"/>
    <mergeCell ref="AD10:AN10"/>
    <mergeCell ref="K2:V3"/>
    <mergeCell ref="A2:J3"/>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5C084-B55F-43D1-BD2D-CF74742AC75F}">
  <dimension ref="B2:E39"/>
  <sheetViews>
    <sheetView topLeftCell="A7" zoomScale="80" zoomScaleNormal="80" workbookViewId="0">
      <selection activeCell="BP19" sqref="BP19:BP51"/>
    </sheetView>
  </sheetViews>
  <sheetFormatPr defaultRowHeight="14.25"/>
  <cols>
    <col min="1" max="2" width="8.88671875" style="69"/>
    <col min="3" max="3" width="15.109375" style="69" bestFit="1" customWidth="1"/>
    <col min="4" max="4" width="19" style="69" bestFit="1" customWidth="1"/>
    <col min="5" max="5" width="19.109375" style="69" bestFit="1" customWidth="1"/>
    <col min="6" max="16384" width="8.88671875" style="69"/>
  </cols>
  <sheetData>
    <row r="2" spans="2:5">
      <c r="B2" s="69" t="s">
        <v>86</v>
      </c>
      <c r="C2" s="69" t="s">
        <v>87</v>
      </c>
      <c r="D2" s="69" t="s">
        <v>88</v>
      </c>
      <c r="E2" s="69" t="s">
        <v>89</v>
      </c>
    </row>
    <row r="3" spans="2:5">
      <c r="C3" s="69" t="s">
        <v>90</v>
      </c>
      <c r="D3" s="69" t="s">
        <v>91</v>
      </c>
      <c r="E3" s="69" t="s">
        <v>92</v>
      </c>
    </row>
    <row r="4" spans="2:5">
      <c r="C4" s="69" t="s">
        <v>93</v>
      </c>
      <c r="D4" s="69" t="s">
        <v>94</v>
      </c>
      <c r="E4" s="69" t="s">
        <v>95</v>
      </c>
    </row>
    <row r="5" spans="2:5">
      <c r="C5" s="69" t="s">
        <v>96</v>
      </c>
      <c r="D5" s="69" t="s">
        <v>97</v>
      </c>
      <c r="E5" s="69" t="s">
        <v>98</v>
      </c>
    </row>
    <row r="6" spans="2:5">
      <c r="C6" s="69" t="s">
        <v>99</v>
      </c>
      <c r="D6" s="69" t="s">
        <v>100</v>
      </c>
      <c r="E6" s="69" t="s">
        <v>101</v>
      </c>
    </row>
    <row r="7" spans="2:5">
      <c r="B7" s="69" t="s">
        <v>102</v>
      </c>
      <c r="C7" s="69" t="s">
        <v>103</v>
      </c>
      <c r="D7" s="69" t="s">
        <v>104</v>
      </c>
      <c r="E7" s="69" t="s">
        <v>105</v>
      </c>
    </row>
    <row r="8" spans="2:5">
      <c r="C8" s="69" t="s">
        <v>106</v>
      </c>
      <c r="D8" s="69" t="s">
        <v>107</v>
      </c>
      <c r="E8" s="69" t="s">
        <v>108</v>
      </c>
    </row>
    <row r="9" spans="2:5">
      <c r="C9" s="69" t="s">
        <v>109</v>
      </c>
      <c r="D9" s="69" t="s">
        <v>110</v>
      </c>
      <c r="E9" s="69" t="s">
        <v>111</v>
      </c>
    </row>
    <row r="10" spans="2:5">
      <c r="C10" s="69" t="s">
        <v>112</v>
      </c>
      <c r="D10" s="69" t="s">
        <v>113</v>
      </c>
      <c r="E10" s="69" t="s">
        <v>114</v>
      </c>
    </row>
    <row r="11" spans="2:5">
      <c r="B11" s="69" t="s">
        <v>115</v>
      </c>
      <c r="C11" s="69" t="s">
        <v>116</v>
      </c>
      <c r="D11" s="69" t="s">
        <v>117</v>
      </c>
      <c r="E11" s="69" t="s">
        <v>118</v>
      </c>
    </row>
    <row r="12" spans="2:5">
      <c r="C12" s="69" t="s">
        <v>119</v>
      </c>
      <c r="D12" s="69" t="s">
        <v>120</v>
      </c>
      <c r="E12" s="69" t="s">
        <v>210</v>
      </c>
    </row>
    <row r="13" spans="2:5">
      <c r="C13" s="69" t="s">
        <v>121</v>
      </c>
      <c r="D13" s="69" t="s">
        <v>122</v>
      </c>
      <c r="E13" s="69" t="s">
        <v>123</v>
      </c>
    </row>
    <row r="14" spans="2:5">
      <c r="C14" s="69" t="s">
        <v>124</v>
      </c>
      <c r="D14" s="69" t="s">
        <v>125</v>
      </c>
      <c r="E14" s="69" t="s">
        <v>126</v>
      </c>
    </row>
    <row r="15" spans="2:5">
      <c r="C15" s="69" t="s">
        <v>127</v>
      </c>
      <c r="D15" s="69" t="s">
        <v>128</v>
      </c>
      <c r="E15" s="69" t="s">
        <v>129</v>
      </c>
    </row>
    <row r="16" spans="2:5">
      <c r="B16" s="69" t="s">
        <v>130</v>
      </c>
      <c r="C16" s="69" t="s">
        <v>131</v>
      </c>
      <c r="D16" s="69" t="s">
        <v>132</v>
      </c>
      <c r="E16" s="69" t="s">
        <v>133</v>
      </c>
    </row>
    <row r="17" spans="2:5">
      <c r="C17" s="69" t="s">
        <v>134</v>
      </c>
      <c r="D17" s="69" t="s">
        <v>135</v>
      </c>
      <c r="E17" s="69" t="s">
        <v>136</v>
      </c>
    </row>
    <row r="18" spans="2:5">
      <c r="C18" s="69" t="s">
        <v>137</v>
      </c>
      <c r="D18" s="69" t="s">
        <v>138</v>
      </c>
      <c r="E18" s="69" t="s">
        <v>139</v>
      </c>
    </row>
    <row r="19" spans="2:5">
      <c r="C19" s="69" t="s">
        <v>140</v>
      </c>
      <c r="D19" s="69" t="s">
        <v>141</v>
      </c>
      <c r="E19" s="69" t="s">
        <v>142</v>
      </c>
    </row>
    <row r="20" spans="2:5">
      <c r="B20" s="69" t="s">
        <v>143</v>
      </c>
      <c r="C20" s="69" t="s">
        <v>144</v>
      </c>
      <c r="D20" s="69" t="s">
        <v>145</v>
      </c>
      <c r="E20" s="69" t="s">
        <v>146</v>
      </c>
    </row>
    <row r="21" spans="2:5">
      <c r="B21" s="69" t="s">
        <v>147</v>
      </c>
      <c r="C21" s="69" t="s">
        <v>148</v>
      </c>
      <c r="D21" s="69" t="s">
        <v>149</v>
      </c>
      <c r="E21" s="69" t="s">
        <v>150</v>
      </c>
    </row>
    <row r="22" spans="2:5">
      <c r="C22" s="69" t="s">
        <v>151</v>
      </c>
      <c r="D22" s="69" t="s">
        <v>152</v>
      </c>
      <c r="E22" s="69" t="s">
        <v>153</v>
      </c>
    </row>
    <row r="23" spans="2:5">
      <c r="C23" s="69" t="s">
        <v>154</v>
      </c>
      <c r="D23" s="69" t="s">
        <v>155</v>
      </c>
      <c r="E23" s="69" t="s">
        <v>156</v>
      </c>
    </row>
    <row r="24" spans="2:5">
      <c r="C24" s="69" t="s">
        <v>157</v>
      </c>
      <c r="D24" s="69" t="s">
        <v>158</v>
      </c>
      <c r="E24" s="69" t="s">
        <v>159</v>
      </c>
    </row>
    <row r="25" spans="2:5">
      <c r="B25" s="69" t="s">
        <v>160</v>
      </c>
      <c r="C25" s="69" t="s">
        <v>161</v>
      </c>
      <c r="D25" s="69" t="s">
        <v>162</v>
      </c>
      <c r="E25" s="69" t="s">
        <v>163</v>
      </c>
    </row>
    <row r="26" spans="2:5">
      <c r="C26" s="69" t="s">
        <v>164</v>
      </c>
      <c r="D26" s="69" t="s">
        <v>165</v>
      </c>
      <c r="E26" s="69" t="s">
        <v>166</v>
      </c>
    </row>
    <row r="27" spans="2:5">
      <c r="C27" s="69" t="s">
        <v>167</v>
      </c>
      <c r="D27" s="69" t="s">
        <v>168</v>
      </c>
      <c r="E27" s="69" t="s">
        <v>169</v>
      </c>
    </row>
    <row r="28" spans="2:5">
      <c r="C28" s="69" t="s">
        <v>170</v>
      </c>
      <c r="D28" s="69" t="s">
        <v>171</v>
      </c>
      <c r="E28" s="69" t="s">
        <v>172</v>
      </c>
    </row>
    <row r="29" spans="2:5">
      <c r="B29" s="69" t="s">
        <v>173</v>
      </c>
      <c r="C29" s="69" t="s">
        <v>174</v>
      </c>
      <c r="D29" s="69" t="s">
        <v>175</v>
      </c>
      <c r="E29" s="69" t="s">
        <v>176</v>
      </c>
    </row>
    <row r="30" spans="2:5">
      <c r="C30" s="69" t="s">
        <v>177</v>
      </c>
      <c r="D30" s="69" t="s">
        <v>178</v>
      </c>
      <c r="E30" s="69" t="s">
        <v>179</v>
      </c>
    </row>
    <row r="31" spans="2:5">
      <c r="B31" s="69" t="s">
        <v>180</v>
      </c>
      <c r="C31" s="69" t="s">
        <v>181</v>
      </c>
      <c r="D31" s="69" t="s">
        <v>182</v>
      </c>
      <c r="E31" s="69" t="s">
        <v>183</v>
      </c>
    </row>
    <row r="32" spans="2:5">
      <c r="C32" s="69" t="s">
        <v>184</v>
      </c>
      <c r="D32" s="69" t="s">
        <v>185</v>
      </c>
      <c r="E32" s="69" t="s">
        <v>186</v>
      </c>
    </row>
    <row r="33" spans="2:5">
      <c r="B33" s="69" t="s">
        <v>187</v>
      </c>
      <c r="C33" s="69" t="s">
        <v>188</v>
      </c>
      <c r="D33" s="69" t="s">
        <v>189</v>
      </c>
      <c r="E33" s="69" t="s">
        <v>190</v>
      </c>
    </row>
    <row r="34" spans="2:5">
      <c r="C34" s="69" t="s">
        <v>191</v>
      </c>
      <c r="D34" s="69" t="s">
        <v>192</v>
      </c>
      <c r="E34" s="69" t="s">
        <v>193</v>
      </c>
    </row>
    <row r="35" spans="2:5">
      <c r="B35" s="69" t="s">
        <v>194</v>
      </c>
      <c r="C35" s="69" t="s">
        <v>195</v>
      </c>
      <c r="D35" s="69" t="s">
        <v>196</v>
      </c>
      <c r="E35" s="69" t="s">
        <v>197</v>
      </c>
    </row>
    <row r="36" spans="2:5">
      <c r="C36" s="69" t="s">
        <v>198</v>
      </c>
      <c r="D36" s="69" t="s">
        <v>199</v>
      </c>
      <c r="E36" s="69" t="s">
        <v>200</v>
      </c>
    </row>
    <row r="37" spans="2:5">
      <c r="C37" s="69" t="s">
        <v>201</v>
      </c>
      <c r="D37" s="69" t="s">
        <v>202</v>
      </c>
      <c r="E37" s="69" t="s">
        <v>203</v>
      </c>
    </row>
    <row r="38" spans="2:5">
      <c r="C38" s="69" t="s">
        <v>204</v>
      </c>
      <c r="D38" s="69" t="s">
        <v>205</v>
      </c>
      <c r="E38" s="69" t="s">
        <v>206</v>
      </c>
    </row>
    <row r="39" spans="2:5">
      <c r="C39" s="69" t="s">
        <v>207</v>
      </c>
      <c r="D39" s="69" t="s">
        <v>208</v>
      </c>
      <c r="E39" s="69" t="s">
        <v>209</v>
      </c>
    </row>
  </sheetData>
  <phoneticPr fontId="2"/>
  <pageMargins left="0.7" right="0.7" top="0.75" bottom="0.75" header="0.3" footer="0.3"/>
  <pageSetup paperSize="9" orientation="portrait" horizontalDpi="300" verticalDpi="0"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00FF6-2801-4A69-8673-3EC9336F8C6D}">
  <dimension ref="A1:BM189"/>
  <sheetViews>
    <sheetView view="pageBreakPreview" topLeftCell="A6" zoomScale="75" zoomScaleNormal="75" zoomScaleSheetLayoutView="75" workbookViewId="0">
      <selection activeCell="G9" sqref="G9:X9"/>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IF([1]表紙!W1="","",[1]表紙!W1)</f>
        <v>基本設計書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tr">
        <f>IF([1]表紙!A2="","",[1]表紙!A2)</f>
        <v>現金専用簡易セルフPOS</v>
      </c>
      <c r="B2" s="242"/>
      <c r="C2" s="242"/>
      <c r="D2" s="242"/>
      <c r="E2" s="242"/>
      <c r="F2" s="242"/>
      <c r="G2" s="242"/>
      <c r="H2" s="242"/>
      <c r="I2" s="242"/>
      <c r="J2" s="243"/>
      <c r="K2" s="241" t="str">
        <f>IF([1]表紙!K2="","",[1]表紙!K2)</f>
        <v>API</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IF([1]表紙!AP2="","",[1]表紙!AP2)</f>
        <v>きよはら</v>
      </c>
      <c r="AQ2" s="242"/>
      <c r="AR2" s="242"/>
      <c r="AS2" s="243"/>
      <c r="AT2" s="262">
        <f>IF([1]表紙!AT2="","",[1]表紙!AT2)</f>
        <v>44867</v>
      </c>
      <c r="AU2" s="263"/>
      <c r="AV2" s="263"/>
      <c r="AW2" s="263"/>
      <c r="AX2" s="264"/>
      <c r="AY2" s="241" t="str">
        <f>IF([1]表紙!AY2="","",[1]表紙!AY2)</f>
        <v>きよはら</v>
      </c>
      <c r="AZ2" s="242"/>
      <c r="BA2" s="242"/>
      <c r="BB2" s="243"/>
      <c r="BC2" s="262">
        <f>IF([1]表紙!BC2="","",[1]表紙!BC2)</f>
        <v>44867</v>
      </c>
      <c r="BD2" s="263"/>
      <c r="BE2" s="263"/>
      <c r="BF2" s="263"/>
      <c r="BG2" s="264"/>
      <c r="BH2" s="241">
        <f>IF([1]表紙!BH2="","",[1]表紙!BH2)</f>
        <v>0.1</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v>
      </c>
      <c r="B4" s="239"/>
      <c r="C4" s="239"/>
      <c r="D4" s="239"/>
      <c r="E4" s="239"/>
      <c r="F4" s="239"/>
      <c r="G4" s="240"/>
      <c r="H4" s="235" t="str">
        <f>IF([1]表紙!H4="","",[1]表紙!H4)</f>
        <v>共通</v>
      </c>
      <c r="I4" s="236"/>
      <c r="J4" s="236"/>
      <c r="K4" s="236"/>
      <c r="L4" s="236"/>
      <c r="M4" s="236"/>
      <c r="N4" s="236"/>
      <c r="O4" s="236"/>
      <c r="P4" s="236"/>
      <c r="Q4" s="236"/>
      <c r="R4" s="236"/>
      <c r="S4" s="236"/>
      <c r="T4" s="237"/>
      <c r="U4" s="238" t="s">
        <v>8</v>
      </c>
      <c r="V4" s="239"/>
      <c r="W4" s="239"/>
      <c r="X4" s="239"/>
      <c r="Y4" s="240"/>
      <c r="Z4" s="235" t="str">
        <f>IF([1]表紙!Z4="","",[1]表紙!Z4)</f>
        <v>API(設定)定義書</v>
      </c>
      <c r="AA4" s="236"/>
      <c r="AB4" s="236"/>
      <c r="AC4" s="236"/>
      <c r="AD4" s="236"/>
      <c r="AE4" s="236"/>
      <c r="AF4" s="236"/>
      <c r="AG4" s="236"/>
      <c r="AH4" s="236"/>
      <c r="AI4" s="236"/>
      <c r="AJ4" s="236"/>
      <c r="AK4" s="236"/>
      <c r="AL4" s="236"/>
      <c r="AM4" s="236"/>
      <c r="AN4" s="236"/>
      <c r="AO4" s="237"/>
      <c r="AP4" s="235" t="s">
        <v>19</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292" t="s">
        <v>43</v>
      </c>
      <c r="C8" s="293"/>
      <c r="D8" s="293"/>
      <c r="E8" s="293"/>
      <c r="F8" s="294"/>
      <c r="G8" s="295"/>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row>
    <row r="9" spans="1:63" ht="15" customHeight="1">
      <c r="A9" s="1"/>
      <c r="B9" s="301" t="s">
        <v>45</v>
      </c>
      <c r="C9" s="302"/>
      <c r="D9" s="302"/>
      <c r="E9" s="302"/>
      <c r="F9" s="303"/>
      <c r="G9" s="304"/>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row>
    <row r="10" spans="1:63" ht="15" customHeight="1">
      <c r="A10" s="1"/>
      <c r="B10" s="310" t="s">
        <v>47</v>
      </c>
      <c r="C10" s="311"/>
      <c r="D10" s="311"/>
      <c r="E10" s="311"/>
      <c r="F10" s="312"/>
      <c r="G10" s="298" t="s">
        <v>1014</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row>
    <row r="11" spans="1:63"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row>
    <row r="12" spans="1:63" ht="15" customHeight="1">
      <c r="A12" s="1"/>
      <c r="B12" s="295" t="s">
        <v>1015</v>
      </c>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row>
    <row r="13" spans="1:63" ht="15" customHeight="1">
      <c r="A13" s="1"/>
      <c r="B13" s="304" t="s">
        <v>1016</v>
      </c>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row>
    <row r="14" spans="1:63" ht="15" customHeight="1">
      <c r="A14" s="1"/>
      <c r="B14" s="304" t="s">
        <v>1017</v>
      </c>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row>
    <row r="15" spans="1:63" ht="15" customHeight="1">
      <c r="A15" s="1"/>
      <c r="B15" s="304" t="s">
        <v>1018</v>
      </c>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row>
    <row r="16" spans="1:63"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row>
    <row r="17" spans="1:63" ht="15" customHeight="1">
      <c r="A17" s="1"/>
      <c r="BK17" s="4"/>
    </row>
    <row r="18" spans="1:63" ht="15" customHeight="1">
      <c r="A18" s="1"/>
      <c r="B18" t="s">
        <v>21</v>
      </c>
      <c r="BK18" s="4"/>
    </row>
    <row r="19" spans="1:63" ht="15" customHeight="1">
      <c r="A19" s="1"/>
      <c r="B19" s="34" t="s">
        <v>22</v>
      </c>
      <c r="C19" s="35"/>
      <c r="D19" s="34" t="s">
        <v>23</v>
      </c>
      <c r="E19" s="36"/>
      <c r="F19" s="36"/>
      <c r="G19" s="36"/>
      <c r="H19" s="36"/>
      <c r="I19" s="36"/>
      <c r="J19" s="36"/>
      <c r="K19" s="36"/>
      <c r="L19" s="36"/>
      <c r="M19" s="36"/>
      <c r="N19" s="36"/>
      <c r="O19" s="36"/>
      <c r="P19" s="36"/>
      <c r="Q19" s="35"/>
      <c r="R19" s="34" t="s">
        <v>24</v>
      </c>
      <c r="S19" s="36"/>
      <c r="T19" s="36"/>
      <c r="U19" s="36"/>
      <c r="V19" s="36"/>
      <c r="W19" s="36"/>
      <c r="X19" s="36"/>
      <c r="Y19" s="36"/>
      <c r="Z19" s="36"/>
      <c r="AA19" s="36"/>
      <c r="AB19" s="35"/>
      <c r="AC19" s="34" t="s">
        <v>25</v>
      </c>
      <c r="AD19" s="36"/>
      <c r="AE19" s="36"/>
      <c r="AF19" s="36"/>
      <c r="AG19" s="35"/>
      <c r="AH19" s="34" t="s">
        <v>26</v>
      </c>
      <c r="AI19" s="35"/>
      <c r="AJ19" s="34" t="s">
        <v>27</v>
      </c>
      <c r="AK19" s="36"/>
      <c r="AL19" s="35"/>
      <c r="AM19" s="34" t="s">
        <v>28</v>
      </c>
      <c r="AN19" s="36"/>
      <c r="AO19" s="36"/>
      <c r="AP19" s="36"/>
      <c r="AQ19" s="36"/>
      <c r="AR19" s="36"/>
      <c r="AS19" s="35"/>
      <c r="AT19" s="34" t="s">
        <v>29</v>
      </c>
      <c r="AU19" s="36"/>
      <c r="AV19" s="36"/>
      <c r="AW19" s="36"/>
      <c r="AX19" s="36"/>
      <c r="AY19" s="36"/>
      <c r="AZ19" s="36"/>
      <c r="BA19" s="36"/>
      <c r="BB19" s="36"/>
      <c r="BC19" s="36"/>
      <c r="BD19" s="36"/>
      <c r="BE19" s="36"/>
      <c r="BF19" s="36"/>
      <c r="BG19" s="36"/>
      <c r="BH19" s="36"/>
      <c r="BI19" s="36"/>
      <c r="BJ19" s="35"/>
      <c r="BK19" s="4"/>
    </row>
    <row r="20" spans="1:63" ht="15" customHeight="1">
      <c r="A20" s="1"/>
      <c r="B20" s="62">
        <v>1</v>
      </c>
      <c r="C20" s="63"/>
      <c r="D20" s="21" t="s">
        <v>1433</v>
      </c>
      <c r="E20" s="64"/>
      <c r="F20" s="64"/>
      <c r="G20" s="64"/>
      <c r="H20" s="64"/>
      <c r="I20" s="64"/>
      <c r="J20" s="64"/>
      <c r="K20" s="64"/>
      <c r="L20" s="64"/>
      <c r="M20" s="64"/>
      <c r="N20" s="64"/>
      <c r="O20" s="64"/>
      <c r="P20" s="64"/>
      <c r="Q20" s="65"/>
      <c r="R20" s="21" t="s">
        <v>62</v>
      </c>
      <c r="S20" s="64"/>
      <c r="T20" s="64"/>
      <c r="U20" s="64"/>
      <c r="V20" s="64"/>
      <c r="W20" s="64"/>
      <c r="X20" s="64"/>
      <c r="Y20" s="64"/>
      <c r="Z20" s="64"/>
      <c r="AA20" s="64"/>
      <c r="AB20" s="65"/>
      <c r="AC20" s="21" t="s">
        <v>31</v>
      </c>
      <c r="AD20" s="64"/>
      <c r="AE20" s="64"/>
      <c r="AF20" s="64"/>
      <c r="AG20" s="65"/>
      <c r="AH20" s="21"/>
      <c r="AI20" s="65"/>
      <c r="AJ20" s="21" t="s">
        <v>1019</v>
      </c>
      <c r="AK20" s="64"/>
      <c r="AL20" s="65"/>
      <c r="AM20" s="21" t="s">
        <v>32</v>
      </c>
      <c r="AN20" s="64"/>
      <c r="AO20" s="64"/>
      <c r="AP20" s="64"/>
      <c r="AQ20" s="64"/>
      <c r="AR20" s="64"/>
      <c r="AS20" s="65"/>
      <c r="AT20" s="21"/>
      <c r="AU20" s="64"/>
      <c r="AV20" s="64"/>
      <c r="AW20" s="64"/>
      <c r="AX20" s="64"/>
      <c r="AY20" s="64"/>
      <c r="AZ20" s="64"/>
      <c r="BA20" s="64"/>
      <c r="BB20" s="64"/>
      <c r="BC20" s="64"/>
      <c r="BD20" s="64"/>
      <c r="BE20" s="64"/>
      <c r="BF20" s="64"/>
      <c r="BG20" s="64"/>
      <c r="BH20" s="64"/>
      <c r="BI20" s="64"/>
      <c r="BJ20" s="65"/>
      <c r="BK20" s="4"/>
    </row>
    <row r="21" spans="1:63" ht="15" customHeight="1">
      <c r="A21" s="1"/>
      <c r="B21" s="23">
        <f t="shared" ref="B21:B52" si="0">B20+1</f>
        <v>2</v>
      </c>
      <c r="C21" s="24"/>
      <c r="D21" s="22" t="s">
        <v>282</v>
      </c>
      <c r="E21" s="25"/>
      <c r="F21" s="25"/>
      <c r="G21" s="25"/>
      <c r="H21" s="25"/>
      <c r="I21" s="25"/>
      <c r="J21" s="25"/>
      <c r="K21" s="25"/>
      <c r="L21" s="25"/>
      <c r="M21" s="25"/>
      <c r="N21" s="25"/>
      <c r="O21" s="25"/>
      <c r="P21" s="25"/>
      <c r="Q21" s="26"/>
      <c r="R21" s="22" t="s">
        <v>61</v>
      </c>
      <c r="S21" s="25"/>
      <c r="T21" s="25"/>
      <c r="U21" s="25"/>
      <c r="V21" s="25"/>
      <c r="W21" s="25"/>
      <c r="X21" s="25"/>
      <c r="Y21" s="25"/>
      <c r="Z21" s="25"/>
      <c r="AA21" s="25"/>
      <c r="AB21" s="26"/>
      <c r="AC21" s="22" t="s">
        <v>33</v>
      </c>
      <c r="AD21" s="25"/>
      <c r="AE21" s="25"/>
      <c r="AF21" s="25"/>
      <c r="AG21" s="26"/>
      <c r="AH21" s="22"/>
      <c r="AI21" s="26"/>
      <c r="AJ21" s="22" t="s">
        <v>1019</v>
      </c>
      <c r="AK21" s="25"/>
      <c r="AL21" s="26"/>
      <c r="AM21" s="22" t="s">
        <v>71</v>
      </c>
      <c r="AN21" s="25"/>
      <c r="AO21" s="25"/>
      <c r="AP21" s="25"/>
      <c r="AQ21" s="25"/>
      <c r="AR21" s="25"/>
      <c r="AS21" s="26"/>
      <c r="AT21" s="22"/>
      <c r="AU21" s="25"/>
      <c r="AV21" s="25"/>
      <c r="AW21" s="25"/>
      <c r="AX21" s="25"/>
      <c r="AY21" s="25"/>
      <c r="AZ21" s="25"/>
      <c r="BA21" s="25"/>
      <c r="BB21" s="25"/>
      <c r="BC21" s="25"/>
      <c r="BD21" s="25"/>
      <c r="BE21" s="25"/>
      <c r="BF21" s="25"/>
      <c r="BG21" s="25"/>
      <c r="BH21" s="25"/>
      <c r="BI21" s="25"/>
      <c r="BJ21" s="26"/>
      <c r="BK21" s="4"/>
    </row>
    <row r="22" spans="1:63" ht="15" customHeight="1">
      <c r="A22" s="1"/>
      <c r="B22" s="23">
        <f t="shared" si="0"/>
        <v>3</v>
      </c>
      <c r="C22" s="24"/>
      <c r="D22" s="22" t="s">
        <v>283</v>
      </c>
      <c r="E22" s="25"/>
      <c r="F22" s="25"/>
      <c r="G22" s="25"/>
      <c r="H22" s="25"/>
      <c r="I22" s="25"/>
      <c r="J22" s="25"/>
      <c r="K22" s="25"/>
      <c r="L22" s="25"/>
      <c r="M22" s="25"/>
      <c r="N22" s="25"/>
      <c r="O22" s="25"/>
      <c r="P22" s="25"/>
      <c r="Q22" s="26"/>
      <c r="R22" s="22" t="s">
        <v>63</v>
      </c>
      <c r="S22" s="25"/>
      <c r="T22" s="25"/>
      <c r="U22" s="25"/>
      <c r="V22" s="25"/>
      <c r="W22" s="25"/>
      <c r="X22" s="25"/>
      <c r="Y22" s="25"/>
      <c r="Z22" s="25"/>
      <c r="AA22" s="25"/>
      <c r="AB22" s="26"/>
      <c r="AC22" s="22" t="s">
        <v>31</v>
      </c>
      <c r="AD22" s="25"/>
      <c r="AE22" s="25"/>
      <c r="AF22" s="25"/>
      <c r="AG22" s="26"/>
      <c r="AH22" s="22"/>
      <c r="AI22" s="26"/>
      <c r="AJ22" s="22" t="s">
        <v>1019</v>
      </c>
      <c r="AK22" s="25"/>
      <c r="AL22" s="26"/>
      <c r="AM22" s="22" t="s">
        <v>72</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row>
    <row r="23" spans="1:63" ht="15" customHeight="1">
      <c r="A23" s="1"/>
      <c r="B23" s="23">
        <f t="shared" si="0"/>
        <v>4</v>
      </c>
      <c r="C23" s="24"/>
      <c r="D23" s="22" t="s">
        <v>284</v>
      </c>
      <c r="E23" s="25"/>
      <c r="F23" s="25"/>
      <c r="G23" s="25"/>
      <c r="H23" s="25"/>
      <c r="I23" s="25"/>
      <c r="J23" s="25"/>
      <c r="K23" s="25"/>
      <c r="L23" s="25"/>
      <c r="M23" s="25"/>
      <c r="N23" s="25"/>
      <c r="O23" s="25"/>
      <c r="P23" s="25"/>
      <c r="Q23" s="26"/>
      <c r="R23" s="22" t="s">
        <v>64</v>
      </c>
      <c r="S23" s="25"/>
      <c r="T23" s="25"/>
      <c r="U23" s="25"/>
      <c r="V23" s="25"/>
      <c r="W23" s="25"/>
      <c r="X23" s="25"/>
      <c r="Y23" s="25"/>
      <c r="Z23" s="25"/>
      <c r="AA23" s="25"/>
      <c r="AB23" s="26"/>
      <c r="AC23" s="22" t="s">
        <v>1432</v>
      </c>
      <c r="AD23" s="25"/>
      <c r="AE23" s="25"/>
      <c r="AF23" s="25"/>
      <c r="AG23" s="26"/>
      <c r="AH23" s="22"/>
      <c r="AI23" s="26"/>
      <c r="AJ23" s="22" t="s">
        <v>1019</v>
      </c>
      <c r="AK23" s="25"/>
      <c r="AL23" s="26"/>
      <c r="AM23" s="22" t="s">
        <v>71</v>
      </c>
      <c r="AN23" s="25"/>
      <c r="AO23" s="25"/>
      <c r="AP23" s="25"/>
      <c r="AQ23" s="25"/>
      <c r="AR23" s="25"/>
      <c r="AS23" s="26"/>
      <c r="AT23" s="27" t="s">
        <v>73</v>
      </c>
      <c r="AU23" s="234"/>
      <c r="AV23" s="234"/>
      <c r="AW23" s="234"/>
      <c r="AX23" s="234"/>
      <c r="AY23" s="234"/>
      <c r="AZ23" s="234"/>
      <c r="BA23" s="234"/>
      <c r="BB23" s="234"/>
      <c r="BC23" s="234"/>
      <c r="BD23" s="234"/>
      <c r="BE23" s="234"/>
      <c r="BF23" s="234"/>
      <c r="BG23" s="234"/>
      <c r="BH23" s="234"/>
      <c r="BI23" s="234"/>
      <c r="BJ23" s="233"/>
      <c r="BK23" s="4"/>
    </row>
    <row r="24" spans="1:63" ht="15" customHeight="1">
      <c r="A24" s="1"/>
      <c r="B24" s="23">
        <f t="shared" si="0"/>
        <v>5</v>
      </c>
      <c r="C24" s="24"/>
      <c r="D24" s="22" t="s">
        <v>285</v>
      </c>
      <c r="E24" s="25"/>
      <c r="F24" s="25"/>
      <c r="G24" s="25"/>
      <c r="H24" s="25"/>
      <c r="I24" s="25"/>
      <c r="J24" s="25"/>
      <c r="K24" s="25"/>
      <c r="L24" s="25"/>
      <c r="M24" s="25"/>
      <c r="N24" s="25"/>
      <c r="O24" s="25"/>
      <c r="P24" s="25"/>
      <c r="Q24" s="26"/>
      <c r="R24" s="22" t="s">
        <v>65</v>
      </c>
      <c r="S24" s="25"/>
      <c r="T24" s="25"/>
      <c r="U24" s="25"/>
      <c r="V24" s="25"/>
      <c r="W24" s="25"/>
      <c r="X24" s="25"/>
      <c r="Y24" s="25"/>
      <c r="Z24" s="25"/>
      <c r="AA24" s="25"/>
      <c r="AB24" s="26"/>
      <c r="AC24" s="22" t="s">
        <v>83</v>
      </c>
      <c r="AD24" s="25"/>
      <c r="AE24" s="25"/>
      <c r="AF24" s="25"/>
      <c r="AG24" s="26"/>
      <c r="AH24" s="22"/>
      <c r="AI24" s="26"/>
      <c r="AJ24" s="22" t="s">
        <v>1020</v>
      </c>
      <c r="AK24" s="25"/>
      <c r="AL24" s="26"/>
      <c r="AM24" s="22" t="s">
        <v>72</v>
      </c>
      <c r="AN24" s="25"/>
      <c r="AO24" s="25"/>
      <c r="AP24" s="25"/>
      <c r="AQ24" s="25"/>
      <c r="AR24" s="25"/>
      <c r="AS24" s="26"/>
      <c r="AT24" s="27" t="s">
        <v>73</v>
      </c>
      <c r="AU24" s="234"/>
      <c r="AV24" s="234"/>
      <c r="AW24" s="234"/>
      <c r="AX24" s="234"/>
      <c r="AY24" s="234"/>
      <c r="AZ24" s="234"/>
      <c r="BA24" s="234"/>
      <c r="BB24" s="234"/>
      <c r="BC24" s="234"/>
      <c r="BD24" s="234"/>
      <c r="BE24" s="234"/>
      <c r="BF24" s="234"/>
      <c r="BG24" s="234"/>
      <c r="BH24" s="234"/>
      <c r="BI24" s="234"/>
      <c r="BJ24" s="233"/>
      <c r="BK24" s="4"/>
    </row>
    <row r="25" spans="1:63" ht="15" customHeight="1">
      <c r="A25" s="1"/>
      <c r="B25" s="107">
        <f t="shared" si="0"/>
        <v>6</v>
      </c>
      <c r="C25" s="108"/>
      <c r="D25" s="109" t="s">
        <v>286</v>
      </c>
      <c r="E25" s="110"/>
      <c r="F25" s="110"/>
      <c r="G25" s="110"/>
      <c r="H25" s="110"/>
      <c r="I25" s="110"/>
      <c r="J25" s="110"/>
      <c r="K25" s="110"/>
      <c r="L25" s="110"/>
      <c r="M25" s="110"/>
      <c r="N25" s="110"/>
      <c r="O25" s="110"/>
      <c r="P25" s="110"/>
      <c r="Q25" s="111"/>
      <c r="R25" s="109" t="s">
        <v>339</v>
      </c>
      <c r="S25" s="110"/>
      <c r="T25" s="110"/>
      <c r="U25" s="110"/>
      <c r="V25" s="110"/>
      <c r="W25" s="110"/>
      <c r="X25" s="110"/>
      <c r="Y25" s="110"/>
      <c r="Z25" s="110"/>
      <c r="AA25" s="110"/>
      <c r="AB25" s="111"/>
      <c r="AC25" s="109" t="s">
        <v>280</v>
      </c>
      <c r="AD25" s="110"/>
      <c r="AE25" s="110"/>
      <c r="AF25" s="110"/>
      <c r="AG25" s="111"/>
      <c r="AH25" s="109"/>
      <c r="AI25" s="111"/>
      <c r="AJ25" s="109" t="s">
        <v>1020</v>
      </c>
      <c r="AK25" s="110"/>
      <c r="AL25" s="111"/>
      <c r="AM25" s="109" t="s">
        <v>84</v>
      </c>
      <c r="AN25" s="110"/>
      <c r="AO25" s="110"/>
      <c r="AP25" s="110"/>
      <c r="AQ25" s="110"/>
      <c r="AR25" s="110"/>
      <c r="AS25" s="111"/>
      <c r="AT25" s="109" t="s">
        <v>279</v>
      </c>
      <c r="AU25" s="110"/>
      <c r="AV25" s="110"/>
      <c r="AW25" s="110"/>
      <c r="AX25" s="110"/>
      <c r="AY25" s="110"/>
      <c r="AZ25" s="110"/>
      <c r="BA25" s="110"/>
      <c r="BB25" s="110"/>
      <c r="BC25" s="110"/>
      <c r="BD25" s="110"/>
      <c r="BE25" s="110"/>
      <c r="BF25" s="110"/>
      <c r="BG25" s="110"/>
      <c r="BH25" s="110"/>
      <c r="BI25" s="110"/>
      <c r="BJ25" s="111"/>
      <c r="BK25" s="4"/>
    </row>
    <row r="26" spans="1:63" ht="15" customHeight="1">
      <c r="A26" s="1"/>
      <c r="B26" s="62">
        <f t="shared" si="0"/>
        <v>7</v>
      </c>
      <c r="C26" s="63"/>
      <c r="D26" s="21" t="s">
        <v>340</v>
      </c>
      <c r="E26" s="64"/>
      <c r="F26" s="64"/>
      <c r="G26" s="64"/>
      <c r="H26" s="64"/>
      <c r="I26" s="64"/>
      <c r="J26" s="64"/>
      <c r="K26" s="64"/>
      <c r="L26" s="64"/>
      <c r="M26" s="64"/>
      <c r="N26" s="64"/>
      <c r="O26" s="64"/>
      <c r="P26" s="64"/>
      <c r="Q26" s="65"/>
      <c r="R26" s="21" t="s">
        <v>319</v>
      </c>
      <c r="S26" s="64"/>
      <c r="T26" s="64"/>
      <c r="U26" s="64"/>
      <c r="V26" s="64"/>
      <c r="W26" s="64"/>
      <c r="X26" s="64"/>
      <c r="Y26" s="64"/>
      <c r="Z26" s="64"/>
      <c r="AA26" s="64"/>
      <c r="AB26" s="65"/>
      <c r="AC26" s="21" t="s">
        <v>1431</v>
      </c>
      <c r="AD26" s="64"/>
      <c r="AE26" s="64"/>
      <c r="AF26" s="64"/>
      <c r="AG26" s="65"/>
      <c r="AH26" s="21" t="s">
        <v>1020</v>
      </c>
      <c r="AI26" s="65"/>
      <c r="AJ26" s="21"/>
      <c r="AK26" s="64"/>
      <c r="AL26" s="65"/>
      <c r="AM26" s="21"/>
      <c r="AN26" s="64"/>
      <c r="AO26" s="64"/>
      <c r="AP26" s="64"/>
      <c r="AQ26" s="64"/>
      <c r="AR26" s="64"/>
      <c r="AS26" s="65"/>
      <c r="AT26" s="21"/>
      <c r="AU26" s="64"/>
      <c r="AV26" s="64"/>
      <c r="AW26" s="64"/>
      <c r="AX26" s="64"/>
      <c r="AY26" s="64"/>
      <c r="AZ26" s="64"/>
      <c r="BA26" s="64"/>
      <c r="BB26" s="64"/>
      <c r="BC26" s="64"/>
      <c r="BD26" s="64"/>
      <c r="BE26" s="64"/>
      <c r="BF26" s="64"/>
      <c r="BG26" s="64"/>
      <c r="BH26" s="64"/>
      <c r="BI26" s="64"/>
      <c r="BJ26" s="65"/>
      <c r="BK26" s="4"/>
    </row>
    <row r="27" spans="1:63" ht="15" customHeight="1">
      <c r="A27" s="1"/>
      <c r="B27" s="23">
        <f t="shared" si="0"/>
        <v>8</v>
      </c>
      <c r="C27" s="24"/>
      <c r="D27" s="22" t="s">
        <v>341</v>
      </c>
      <c r="E27" s="25"/>
      <c r="F27" s="25"/>
      <c r="G27" s="25"/>
      <c r="H27" s="25"/>
      <c r="I27" s="25"/>
      <c r="J27" s="25"/>
      <c r="K27" s="25"/>
      <c r="L27" s="25"/>
      <c r="M27" s="25"/>
      <c r="N27" s="25"/>
      <c r="O27" s="25"/>
      <c r="P27" s="25"/>
      <c r="Q27" s="26"/>
      <c r="R27" s="22" t="s">
        <v>320</v>
      </c>
      <c r="S27" s="25"/>
      <c r="T27" s="25"/>
      <c r="U27" s="25"/>
      <c r="V27" s="25"/>
      <c r="W27" s="25"/>
      <c r="X27" s="25"/>
      <c r="Y27" s="25"/>
      <c r="Z27" s="25"/>
      <c r="AA27" s="25"/>
      <c r="AB27" s="26"/>
      <c r="AC27" s="22" t="s">
        <v>1431</v>
      </c>
      <c r="AD27" s="25"/>
      <c r="AE27" s="25"/>
      <c r="AF27" s="25"/>
      <c r="AG27" s="26"/>
      <c r="AH27" s="22" t="s">
        <v>1020</v>
      </c>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row>
    <row r="28" spans="1:63" ht="15" customHeight="1">
      <c r="A28" s="1"/>
      <c r="B28" s="107">
        <f t="shared" si="0"/>
        <v>9</v>
      </c>
      <c r="C28" s="108"/>
      <c r="D28" s="109" t="s">
        <v>1023</v>
      </c>
      <c r="E28" s="110"/>
      <c r="F28" s="110"/>
      <c r="G28" s="110"/>
      <c r="H28" s="110"/>
      <c r="I28" s="110"/>
      <c r="J28" s="110"/>
      <c r="K28" s="110"/>
      <c r="L28" s="110"/>
      <c r="M28" s="110"/>
      <c r="N28" s="110"/>
      <c r="O28" s="110"/>
      <c r="P28" s="110"/>
      <c r="Q28" s="111"/>
      <c r="R28" s="109" t="s">
        <v>321</v>
      </c>
      <c r="S28" s="110"/>
      <c r="T28" s="110"/>
      <c r="U28" s="110"/>
      <c r="V28" s="110"/>
      <c r="W28" s="110"/>
      <c r="X28" s="110"/>
      <c r="Y28" s="110"/>
      <c r="Z28" s="110"/>
      <c r="AA28" s="110"/>
      <c r="AB28" s="111"/>
      <c r="AC28" s="109" t="s">
        <v>1431</v>
      </c>
      <c r="AD28" s="110"/>
      <c r="AE28" s="110"/>
      <c r="AF28" s="110"/>
      <c r="AG28" s="111"/>
      <c r="AH28" s="109" t="s">
        <v>1020</v>
      </c>
      <c r="AI28" s="111"/>
      <c r="AJ28" s="109"/>
      <c r="AK28" s="110"/>
      <c r="AL28" s="111"/>
      <c r="AM28" s="109"/>
      <c r="AN28" s="110"/>
      <c r="AO28" s="110"/>
      <c r="AP28" s="110"/>
      <c r="AQ28" s="110"/>
      <c r="AR28" s="110"/>
      <c r="AS28" s="111"/>
      <c r="AT28" s="109"/>
      <c r="AU28" s="110"/>
      <c r="AV28" s="110"/>
      <c r="AW28" s="110"/>
      <c r="AX28" s="110"/>
      <c r="AY28" s="110"/>
      <c r="AZ28" s="110"/>
      <c r="BA28" s="110"/>
      <c r="BB28" s="110"/>
      <c r="BC28" s="110"/>
      <c r="BD28" s="110"/>
      <c r="BE28" s="110"/>
      <c r="BF28" s="110"/>
      <c r="BG28" s="110"/>
      <c r="BH28" s="110"/>
      <c r="BI28" s="110"/>
      <c r="BJ28" s="111"/>
      <c r="BK28" s="4"/>
    </row>
    <row r="29" spans="1:63" ht="15" customHeight="1">
      <c r="A29" s="1"/>
      <c r="B29" s="112">
        <f t="shared" si="0"/>
        <v>10</v>
      </c>
      <c r="C29" s="113"/>
      <c r="D29" s="38" t="s">
        <v>307</v>
      </c>
      <c r="E29" s="40"/>
      <c r="F29" s="40"/>
      <c r="G29" s="40"/>
      <c r="H29" s="40"/>
      <c r="I29" s="40"/>
      <c r="J29" s="40"/>
      <c r="K29" s="40"/>
      <c r="L29" s="40"/>
      <c r="M29" s="40"/>
      <c r="N29" s="40"/>
      <c r="O29" s="40"/>
      <c r="P29" s="40"/>
      <c r="Q29" s="39"/>
      <c r="R29" s="38" t="s">
        <v>306</v>
      </c>
      <c r="S29" s="40"/>
      <c r="T29" s="40"/>
      <c r="U29" s="40"/>
      <c r="V29" s="40"/>
      <c r="W29" s="40"/>
      <c r="X29" s="40"/>
      <c r="Y29" s="40"/>
      <c r="Z29" s="40"/>
      <c r="AA29" s="40"/>
      <c r="AB29" s="39"/>
      <c r="AC29" s="38" t="s">
        <v>1026</v>
      </c>
      <c r="AD29" s="40"/>
      <c r="AE29" s="40"/>
      <c r="AF29" s="40"/>
      <c r="AG29" s="39"/>
      <c r="AH29" s="38"/>
      <c r="AI29" s="39"/>
      <c r="AJ29" s="38"/>
      <c r="AK29" s="40"/>
      <c r="AL29" s="39"/>
      <c r="AM29" s="38"/>
      <c r="AN29" s="40"/>
      <c r="AO29" s="40"/>
      <c r="AP29" s="40"/>
      <c r="AQ29" s="40"/>
      <c r="AR29" s="40"/>
      <c r="AS29" s="39"/>
      <c r="AT29" s="38" t="s">
        <v>1027</v>
      </c>
      <c r="AU29" s="40"/>
      <c r="AV29" s="40"/>
      <c r="AW29" s="40"/>
      <c r="AX29" s="40"/>
      <c r="AY29" s="40"/>
      <c r="AZ29" s="40"/>
      <c r="BA29" s="40"/>
      <c r="BB29" s="40"/>
      <c r="BC29" s="40"/>
      <c r="BD29" s="40"/>
      <c r="BE29" s="40"/>
      <c r="BF29" s="40"/>
      <c r="BG29" s="40"/>
      <c r="BH29" s="40"/>
      <c r="BI29" s="40"/>
      <c r="BJ29" s="39"/>
      <c r="BK29" s="4"/>
    </row>
    <row r="30" spans="1:63" ht="15" customHeight="1">
      <c r="A30" s="1"/>
      <c r="B30" s="62">
        <f t="shared" si="0"/>
        <v>11</v>
      </c>
      <c r="C30" s="114"/>
      <c r="D30" s="21" t="s">
        <v>1028</v>
      </c>
      <c r="E30" s="64"/>
      <c r="F30" s="64"/>
      <c r="G30" s="64"/>
      <c r="H30" s="64"/>
      <c r="I30" s="64"/>
      <c r="J30" s="64"/>
      <c r="K30" s="64"/>
      <c r="L30" s="64"/>
      <c r="M30" s="64"/>
      <c r="N30" s="64"/>
      <c r="O30" s="64"/>
      <c r="P30" s="64"/>
      <c r="Q30" s="65"/>
      <c r="R30" s="21" t="s">
        <v>1430</v>
      </c>
      <c r="S30" s="64"/>
      <c r="T30" s="64"/>
      <c r="U30" s="64"/>
      <c r="V30" s="64"/>
      <c r="W30" s="64"/>
      <c r="X30" s="64"/>
      <c r="Y30" s="64"/>
      <c r="Z30" s="64"/>
      <c r="AA30" s="64"/>
      <c r="AB30" s="65"/>
      <c r="AC30" s="64" t="s">
        <v>1026</v>
      </c>
      <c r="AD30" s="64"/>
      <c r="AE30" s="64"/>
      <c r="AF30" s="64"/>
      <c r="AG30" s="65"/>
      <c r="AH30" s="21"/>
      <c r="AI30" s="65"/>
      <c r="AJ30" s="21" t="s">
        <v>1020</v>
      </c>
      <c r="AK30" s="64"/>
      <c r="AL30" s="65"/>
      <c r="AM30" s="115" t="s">
        <v>1030</v>
      </c>
      <c r="AN30" s="116"/>
      <c r="AO30" s="116"/>
      <c r="AP30" s="116"/>
      <c r="AQ30" s="116"/>
      <c r="AR30" s="116"/>
      <c r="AS30" s="117"/>
      <c r="AT30" s="21" t="s">
        <v>1429</v>
      </c>
      <c r="AU30" s="64"/>
      <c r="AV30" s="64"/>
      <c r="AW30" s="64"/>
      <c r="AX30" s="64"/>
      <c r="AY30" s="64"/>
      <c r="AZ30" s="64"/>
      <c r="BA30" s="64"/>
      <c r="BB30" s="64"/>
      <c r="BC30" s="64"/>
      <c r="BD30" s="64"/>
      <c r="BE30" s="64"/>
      <c r="BF30" s="64"/>
      <c r="BG30" s="64"/>
      <c r="BH30" s="64"/>
      <c r="BI30" s="64"/>
      <c r="BJ30" s="65"/>
      <c r="BK30" s="4"/>
    </row>
    <row r="31" spans="1:63" ht="15" customHeight="1">
      <c r="A31" s="1"/>
      <c r="B31" s="23">
        <f t="shared" si="0"/>
        <v>12</v>
      </c>
      <c r="C31" s="118"/>
      <c r="D31" s="22" t="s">
        <v>1032</v>
      </c>
      <c r="E31" s="25"/>
      <c r="F31" s="25"/>
      <c r="G31" s="25"/>
      <c r="H31" s="25"/>
      <c r="I31" s="25"/>
      <c r="J31" s="25"/>
      <c r="K31" s="25"/>
      <c r="L31" s="25"/>
      <c r="M31" s="25"/>
      <c r="N31" s="25"/>
      <c r="O31" s="25"/>
      <c r="P31" s="25"/>
      <c r="Q31" s="26"/>
      <c r="R31" s="22" t="s">
        <v>1201</v>
      </c>
      <c r="S31" s="25"/>
      <c r="T31" s="25"/>
      <c r="U31" s="25"/>
      <c r="V31" s="25"/>
      <c r="W31" s="25"/>
      <c r="X31" s="25"/>
      <c r="Y31" s="25"/>
      <c r="Z31" s="25"/>
      <c r="AA31" s="25"/>
      <c r="AB31" s="26"/>
      <c r="AC31" s="25" t="s">
        <v>1034</v>
      </c>
      <c r="AD31" s="25"/>
      <c r="AE31" s="25"/>
      <c r="AF31" s="25"/>
      <c r="AG31" s="26"/>
      <c r="AH31" s="22"/>
      <c r="AI31" s="26"/>
      <c r="AJ31" s="22" t="s">
        <v>1020</v>
      </c>
      <c r="AK31" s="25"/>
      <c r="AL31" s="26"/>
      <c r="AM31" s="22" t="s">
        <v>1425</v>
      </c>
      <c r="AN31" s="25"/>
      <c r="AO31" s="25"/>
      <c r="AP31" s="25"/>
      <c r="AQ31" s="25"/>
      <c r="AR31" s="25"/>
      <c r="AS31" s="26"/>
      <c r="AT31" s="22" t="s">
        <v>1424</v>
      </c>
      <c r="AU31" s="25"/>
      <c r="AV31" s="25"/>
      <c r="AW31" s="25"/>
      <c r="AX31" s="25"/>
      <c r="AY31" s="25"/>
      <c r="AZ31" s="25"/>
      <c r="BA31" s="25"/>
      <c r="BB31" s="25"/>
      <c r="BC31" s="25"/>
      <c r="BD31" s="25"/>
      <c r="BE31" s="25"/>
      <c r="BF31" s="25"/>
      <c r="BG31" s="25"/>
      <c r="BH31" s="25"/>
      <c r="BI31" s="25"/>
      <c r="BJ31" s="26"/>
      <c r="BK31" s="4"/>
    </row>
    <row r="32" spans="1:63" ht="15" customHeight="1">
      <c r="A32" s="1"/>
      <c r="B32" s="23">
        <f t="shared" si="0"/>
        <v>13</v>
      </c>
      <c r="C32" s="118"/>
      <c r="D32" s="22" t="s">
        <v>1037</v>
      </c>
      <c r="E32" s="25"/>
      <c r="F32" s="25"/>
      <c r="G32" s="25"/>
      <c r="H32" s="25"/>
      <c r="I32" s="25"/>
      <c r="J32" s="25"/>
      <c r="K32" s="25"/>
      <c r="L32" s="25"/>
      <c r="M32" s="25"/>
      <c r="N32" s="25"/>
      <c r="O32" s="25"/>
      <c r="P32" s="25"/>
      <c r="Q32" s="26"/>
      <c r="R32" s="22" t="s">
        <v>1203</v>
      </c>
      <c r="S32" s="25"/>
      <c r="T32" s="25"/>
      <c r="U32" s="25"/>
      <c r="V32" s="25"/>
      <c r="W32" s="25"/>
      <c r="X32" s="25"/>
      <c r="Y32" s="25"/>
      <c r="Z32" s="25"/>
      <c r="AA32" s="25"/>
      <c r="AB32" s="26"/>
      <c r="AC32" s="25" t="s">
        <v>1034</v>
      </c>
      <c r="AD32" s="25"/>
      <c r="AE32" s="25"/>
      <c r="AF32" s="25"/>
      <c r="AG32" s="26"/>
      <c r="AH32" s="22"/>
      <c r="AI32" s="26"/>
      <c r="AJ32" s="22" t="s">
        <v>1020</v>
      </c>
      <c r="AK32" s="25"/>
      <c r="AL32" s="26"/>
      <c r="AM32" s="22" t="s">
        <v>1425</v>
      </c>
      <c r="AN32" s="25"/>
      <c r="AO32" s="25"/>
      <c r="AP32" s="25"/>
      <c r="AQ32" s="25"/>
      <c r="AR32" s="25"/>
      <c r="AS32" s="26"/>
      <c r="AT32" s="22" t="s">
        <v>1424</v>
      </c>
      <c r="AU32" s="25"/>
      <c r="AV32" s="25"/>
      <c r="AW32" s="25"/>
      <c r="AX32" s="25"/>
      <c r="AY32" s="25"/>
      <c r="AZ32" s="25"/>
      <c r="BA32" s="25"/>
      <c r="BB32" s="25"/>
      <c r="BC32" s="25"/>
      <c r="BD32" s="25"/>
      <c r="BE32" s="25"/>
      <c r="BF32" s="25"/>
      <c r="BG32" s="25"/>
      <c r="BH32" s="25"/>
      <c r="BI32" s="25"/>
      <c r="BJ32" s="26"/>
      <c r="BK32" s="4"/>
    </row>
    <row r="33" spans="1:63" ht="15" customHeight="1">
      <c r="A33" s="1"/>
      <c r="B33" s="23">
        <f t="shared" si="0"/>
        <v>14</v>
      </c>
      <c r="C33" s="118"/>
      <c r="D33" s="22" t="s">
        <v>1039</v>
      </c>
      <c r="E33" s="25"/>
      <c r="F33" s="25"/>
      <c r="G33" s="25"/>
      <c r="H33" s="25"/>
      <c r="I33" s="25"/>
      <c r="J33" s="25"/>
      <c r="K33" s="25"/>
      <c r="L33" s="25"/>
      <c r="M33" s="25"/>
      <c r="N33" s="25"/>
      <c r="O33" s="25"/>
      <c r="P33" s="25"/>
      <c r="Q33" s="26"/>
      <c r="R33" s="22" t="s">
        <v>1205</v>
      </c>
      <c r="S33" s="25"/>
      <c r="T33" s="25"/>
      <c r="U33" s="25"/>
      <c r="V33" s="25"/>
      <c r="W33" s="25"/>
      <c r="X33" s="25"/>
      <c r="Y33" s="25"/>
      <c r="Z33" s="25"/>
      <c r="AA33" s="25"/>
      <c r="AB33" s="26"/>
      <c r="AC33" s="25" t="s">
        <v>1034</v>
      </c>
      <c r="AD33" s="25"/>
      <c r="AE33" s="25"/>
      <c r="AF33" s="25"/>
      <c r="AG33" s="26"/>
      <c r="AH33" s="22"/>
      <c r="AI33" s="26"/>
      <c r="AJ33" s="22" t="s">
        <v>1020</v>
      </c>
      <c r="AK33" s="25"/>
      <c r="AL33" s="26"/>
      <c r="AM33" s="22" t="s">
        <v>1425</v>
      </c>
      <c r="AN33" s="25"/>
      <c r="AO33" s="25"/>
      <c r="AP33" s="25"/>
      <c r="AQ33" s="25"/>
      <c r="AR33" s="25"/>
      <c r="AS33" s="26"/>
      <c r="AT33" s="22" t="s">
        <v>1424</v>
      </c>
      <c r="AU33" s="25"/>
      <c r="AV33" s="25"/>
      <c r="AW33" s="25"/>
      <c r="AX33" s="25"/>
      <c r="AY33" s="25"/>
      <c r="AZ33" s="25"/>
      <c r="BA33" s="25"/>
      <c r="BB33" s="25"/>
      <c r="BC33" s="25"/>
      <c r="BD33" s="25"/>
      <c r="BE33" s="25"/>
      <c r="BF33" s="25"/>
      <c r="BG33" s="25"/>
      <c r="BH33" s="25"/>
      <c r="BI33" s="25"/>
      <c r="BJ33" s="26"/>
      <c r="BK33" s="4"/>
    </row>
    <row r="34" spans="1:63" ht="15" customHeight="1">
      <c r="A34" s="1"/>
      <c r="B34" s="23">
        <f t="shared" si="0"/>
        <v>15</v>
      </c>
      <c r="C34" s="118"/>
      <c r="D34" s="22" t="s">
        <v>1041</v>
      </c>
      <c r="E34" s="25"/>
      <c r="F34" s="25"/>
      <c r="G34" s="25"/>
      <c r="H34" s="25"/>
      <c r="I34" s="25"/>
      <c r="J34" s="25"/>
      <c r="K34" s="25"/>
      <c r="L34" s="25"/>
      <c r="M34" s="25"/>
      <c r="N34" s="25"/>
      <c r="O34" s="25"/>
      <c r="P34" s="25"/>
      <c r="Q34" s="26"/>
      <c r="R34" s="22" t="s">
        <v>1207</v>
      </c>
      <c r="S34" s="25"/>
      <c r="T34" s="25"/>
      <c r="U34" s="25"/>
      <c r="V34" s="25"/>
      <c r="W34" s="25"/>
      <c r="X34" s="25"/>
      <c r="Y34" s="25"/>
      <c r="Z34" s="25"/>
      <c r="AA34" s="25"/>
      <c r="AB34" s="26"/>
      <c r="AC34" s="25" t="s">
        <v>1034</v>
      </c>
      <c r="AD34" s="25"/>
      <c r="AE34" s="25"/>
      <c r="AF34" s="25"/>
      <c r="AG34" s="26"/>
      <c r="AH34" s="22"/>
      <c r="AI34" s="26"/>
      <c r="AJ34" s="22" t="s">
        <v>1020</v>
      </c>
      <c r="AK34" s="25"/>
      <c r="AL34" s="26"/>
      <c r="AM34" s="22" t="s">
        <v>1425</v>
      </c>
      <c r="AN34" s="25"/>
      <c r="AO34" s="25"/>
      <c r="AP34" s="25"/>
      <c r="AQ34" s="25"/>
      <c r="AR34" s="25"/>
      <c r="AS34" s="26"/>
      <c r="AT34" s="22" t="s">
        <v>1424</v>
      </c>
      <c r="AU34" s="25"/>
      <c r="AV34" s="25"/>
      <c r="AW34" s="25"/>
      <c r="AX34" s="25"/>
      <c r="AY34" s="25"/>
      <c r="AZ34" s="25"/>
      <c r="BA34" s="25"/>
      <c r="BB34" s="25"/>
      <c r="BC34" s="25"/>
      <c r="BD34" s="25"/>
      <c r="BE34" s="25"/>
      <c r="BF34" s="25"/>
      <c r="BG34" s="25"/>
      <c r="BH34" s="25"/>
      <c r="BI34" s="25"/>
      <c r="BJ34" s="26"/>
      <c r="BK34" s="4"/>
    </row>
    <row r="35" spans="1:63" ht="15" customHeight="1">
      <c r="A35" s="1"/>
      <c r="B35" s="23">
        <f t="shared" si="0"/>
        <v>16</v>
      </c>
      <c r="C35" s="118"/>
      <c r="D35" s="22" t="s">
        <v>1043</v>
      </c>
      <c r="E35" s="25"/>
      <c r="F35" s="25"/>
      <c r="G35" s="25"/>
      <c r="H35" s="25"/>
      <c r="I35" s="25"/>
      <c r="J35" s="25"/>
      <c r="K35" s="25"/>
      <c r="L35" s="25"/>
      <c r="M35" s="25"/>
      <c r="N35" s="25"/>
      <c r="O35" s="25"/>
      <c r="P35" s="25"/>
      <c r="Q35" s="26"/>
      <c r="R35" s="22" t="s">
        <v>1208</v>
      </c>
      <c r="S35" s="25"/>
      <c r="T35" s="25"/>
      <c r="U35" s="25"/>
      <c r="V35" s="25"/>
      <c r="W35" s="25"/>
      <c r="X35" s="25"/>
      <c r="Y35" s="25"/>
      <c r="Z35" s="25"/>
      <c r="AA35" s="25"/>
      <c r="AB35" s="26"/>
      <c r="AC35" s="25" t="s">
        <v>1034</v>
      </c>
      <c r="AD35" s="25"/>
      <c r="AE35" s="25"/>
      <c r="AF35" s="25"/>
      <c r="AG35" s="26"/>
      <c r="AH35" s="22"/>
      <c r="AI35" s="26"/>
      <c r="AJ35" s="22" t="s">
        <v>1020</v>
      </c>
      <c r="AK35" s="25"/>
      <c r="AL35" s="26"/>
      <c r="AM35" s="22" t="s">
        <v>1425</v>
      </c>
      <c r="AN35" s="25"/>
      <c r="AO35" s="25"/>
      <c r="AP35" s="25"/>
      <c r="AQ35" s="25"/>
      <c r="AR35" s="25"/>
      <c r="AS35" s="26"/>
      <c r="AT35" s="66" t="s">
        <v>1424</v>
      </c>
      <c r="AU35" s="67"/>
      <c r="AV35" s="67"/>
      <c r="AW35" s="67"/>
      <c r="AX35" s="67"/>
      <c r="AY35" s="67"/>
      <c r="AZ35" s="67"/>
      <c r="BA35" s="67"/>
      <c r="BB35" s="67"/>
      <c r="BC35" s="67"/>
      <c r="BD35" s="67"/>
      <c r="BE35" s="67"/>
      <c r="BF35" s="67"/>
      <c r="BG35" s="67"/>
      <c r="BH35" s="67"/>
      <c r="BI35" s="67"/>
      <c r="BJ35" s="68"/>
      <c r="BK35" s="4"/>
    </row>
    <row r="36" spans="1:63" ht="15" customHeight="1">
      <c r="A36" s="1"/>
      <c r="B36" s="23">
        <f t="shared" si="0"/>
        <v>17</v>
      </c>
      <c r="C36" s="118"/>
      <c r="D36" s="22" t="s">
        <v>1210</v>
      </c>
      <c r="E36" s="25"/>
      <c r="F36" s="25"/>
      <c r="G36" s="25"/>
      <c r="H36" s="25"/>
      <c r="I36" s="25"/>
      <c r="J36" s="25"/>
      <c r="K36" s="25"/>
      <c r="L36" s="25"/>
      <c r="M36" s="25"/>
      <c r="N36" s="25"/>
      <c r="O36" s="25"/>
      <c r="P36" s="25"/>
      <c r="Q36" s="26"/>
      <c r="R36" s="22" t="s">
        <v>1209</v>
      </c>
      <c r="S36" s="25"/>
      <c r="T36" s="25"/>
      <c r="U36" s="25"/>
      <c r="V36" s="25"/>
      <c r="W36" s="25"/>
      <c r="X36" s="25"/>
      <c r="Y36" s="25"/>
      <c r="Z36" s="25"/>
      <c r="AA36" s="25"/>
      <c r="AB36" s="26"/>
      <c r="AC36" s="25" t="s">
        <v>1034</v>
      </c>
      <c r="AD36" s="25"/>
      <c r="AE36" s="25"/>
      <c r="AF36" s="25"/>
      <c r="AG36" s="26"/>
      <c r="AH36" s="22"/>
      <c r="AI36" s="26"/>
      <c r="AJ36" s="22" t="s">
        <v>1020</v>
      </c>
      <c r="AK36" s="25"/>
      <c r="AL36" s="26"/>
      <c r="AM36" s="22" t="s">
        <v>1425</v>
      </c>
      <c r="AN36" s="25"/>
      <c r="AO36" s="25"/>
      <c r="AP36" s="25"/>
      <c r="AQ36" s="25"/>
      <c r="AR36" s="25"/>
      <c r="AS36" s="26"/>
      <c r="AT36" s="22" t="s">
        <v>1424</v>
      </c>
      <c r="AU36" s="25"/>
      <c r="AV36" s="25"/>
      <c r="AW36" s="25"/>
      <c r="AX36" s="25"/>
      <c r="AY36" s="25"/>
      <c r="AZ36" s="25"/>
      <c r="BA36" s="25"/>
      <c r="BB36" s="25"/>
      <c r="BC36" s="25"/>
      <c r="BD36" s="25"/>
      <c r="BE36" s="25"/>
      <c r="BF36" s="25"/>
      <c r="BG36" s="25"/>
      <c r="BH36" s="25"/>
      <c r="BI36" s="25"/>
      <c r="BJ36" s="26"/>
      <c r="BK36" s="4"/>
    </row>
    <row r="37" spans="1:63" ht="15" customHeight="1">
      <c r="A37" s="1"/>
      <c r="B37" s="23">
        <f t="shared" si="0"/>
        <v>18</v>
      </c>
      <c r="C37" s="118"/>
      <c r="D37" s="22" t="s">
        <v>1047</v>
      </c>
      <c r="E37" s="25"/>
      <c r="F37" s="25"/>
      <c r="G37" s="25"/>
      <c r="H37" s="25"/>
      <c r="I37" s="25"/>
      <c r="J37" s="25"/>
      <c r="K37" s="25"/>
      <c r="L37" s="25"/>
      <c r="M37" s="25"/>
      <c r="N37" s="25"/>
      <c r="O37" s="25"/>
      <c r="P37" s="25"/>
      <c r="Q37" s="26"/>
      <c r="R37" s="22" t="s">
        <v>1211</v>
      </c>
      <c r="S37" s="25"/>
      <c r="T37" s="25"/>
      <c r="U37" s="25"/>
      <c r="V37" s="25"/>
      <c r="W37" s="25"/>
      <c r="X37" s="25"/>
      <c r="Y37" s="25"/>
      <c r="Z37" s="25"/>
      <c r="AA37" s="25"/>
      <c r="AB37" s="26"/>
      <c r="AC37" s="25" t="s">
        <v>1034</v>
      </c>
      <c r="AD37" s="25"/>
      <c r="AE37" s="25"/>
      <c r="AF37" s="25"/>
      <c r="AG37" s="26"/>
      <c r="AH37" s="22"/>
      <c r="AI37" s="26"/>
      <c r="AJ37" s="22" t="s">
        <v>1020</v>
      </c>
      <c r="AK37" s="25"/>
      <c r="AL37" s="26"/>
      <c r="AM37" s="22" t="s">
        <v>1425</v>
      </c>
      <c r="AN37" s="25"/>
      <c r="AO37" s="25"/>
      <c r="AP37" s="25"/>
      <c r="AQ37" s="25"/>
      <c r="AR37" s="25"/>
      <c r="AS37" s="26"/>
      <c r="AT37" s="22" t="s">
        <v>1424</v>
      </c>
      <c r="AU37" s="25"/>
      <c r="AV37" s="25"/>
      <c r="AW37" s="25"/>
      <c r="AX37" s="25"/>
      <c r="AY37" s="25"/>
      <c r="AZ37" s="25"/>
      <c r="BA37" s="25"/>
      <c r="BB37" s="25"/>
      <c r="BC37" s="25"/>
      <c r="BD37" s="25"/>
      <c r="BE37" s="25"/>
      <c r="BF37" s="25"/>
      <c r="BG37" s="25"/>
      <c r="BH37" s="25"/>
      <c r="BI37" s="25"/>
      <c r="BJ37" s="26"/>
      <c r="BK37" s="4"/>
    </row>
    <row r="38" spans="1:63" ht="15" customHeight="1">
      <c r="A38" s="1"/>
      <c r="B38" s="23">
        <f t="shared" si="0"/>
        <v>19</v>
      </c>
      <c r="C38" s="118"/>
      <c r="D38" s="22" t="s">
        <v>1049</v>
      </c>
      <c r="E38" s="25"/>
      <c r="F38" s="25"/>
      <c r="G38" s="25"/>
      <c r="H38" s="25"/>
      <c r="I38" s="25"/>
      <c r="J38" s="25"/>
      <c r="K38" s="25"/>
      <c r="L38" s="25"/>
      <c r="M38" s="25"/>
      <c r="N38" s="25"/>
      <c r="O38" s="25"/>
      <c r="P38" s="25"/>
      <c r="Q38" s="26"/>
      <c r="R38" s="22" t="s">
        <v>1212</v>
      </c>
      <c r="S38" s="25"/>
      <c r="T38" s="25"/>
      <c r="U38" s="25"/>
      <c r="V38" s="25"/>
      <c r="W38" s="25"/>
      <c r="X38" s="25"/>
      <c r="Y38" s="25"/>
      <c r="Z38" s="25"/>
      <c r="AA38" s="25"/>
      <c r="AB38" s="26"/>
      <c r="AC38" s="25" t="s">
        <v>1034</v>
      </c>
      <c r="AD38" s="25"/>
      <c r="AE38" s="25"/>
      <c r="AF38" s="25"/>
      <c r="AG38" s="26"/>
      <c r="AH38" s="22"/>
      <c r="AI38" s="26"/>
      <c r="AJ38" s="22" t="s">
        <v>1020</v>
      </c>
      <c r="AK38" s="25"/>
      <c r="AL38" s="26"/>
      <c r="AM38" s="22" t="s">
        <v>1425</v>
      </c>
      <c r="AN38" s="25"/>
      <c r="AO38" s="25"/>
      <c r="AP38" s="25"/>
      <c r="AQ38" s="25"/>
      <c r="AR38" s="25"/>
      <c r="AS38" s="26"/>
      <c r="AT38" s="22" t="s">
        <v>1424</v>
      </c>
      <c r="AU38" s="25"/>
      <c r="AV38" s="25"/>
      <c r="AW38" s="25"/>
      <c r="AX38" s="25"/>
      <c r="AY38" s="25"/>
      <c r="AZ38" s="25"/>
      <c r="BA38" s="25"/>
      <c r="BB38" s="25"/>
      <c r="BC38" s="25"/>
      <c r="BD38" s="25"/>
      <c r="BE38" s="25"/>
      <c r="BF38" s="25"/>
      <c r="BG38" s="25"/>
      <c r="BH38" s="25"/>
      <c r="BI38" s="25"/>
      <c r="BJ38" s="26"/>
      <c r="BK38" s="4"/>
    </row>
    <row r="39" spans="1:63" ht="15" customHeight="1">
      <c r="A39" s="1"/>
      <c r="B39" s="28">
        <f t="shared" si="0"/>
        <v>20</v>
      </c>
      <c r="C39" s="119"/>
      <c r="D39" s="30" t="s">
        <v>1051</v>
      </c>
      <c r="E39" s="31"/>
      <c r="F39" s="31"/>
      <c r="G39" s="31"/>
      <c r="H39" s="31"/>
      <c r="I39" s="31"/>
      <c r="J39" s="31"/>
      <c r="K39" s="31"/>
      <c r="L39" s="31"/>
      <c r="M39" s="31"/>
      <c r="N39" s="31"/>
      <c r="O39" s="31"/>
      <c r="P39" s="31"/>
      <c r="Q39" s="32"/>
      <c r="R39" s="30" t="s">
        <v>1213</v>
      </c>
      <c r="S39" s="31"/>
      <c r="T39" s="31"/>
      <c r="U39" s="31"/>
      <c r="V39" s="31"/>
      <c r="W39" s="31"/>
      <c r="X39" s="31"/>
      <c r="Y39" s="31"/>
      <c r="Z39" s="31"/>
      <c r="AA39" s="31"/>
      <c r="AB39" s="32"/>
      <c r="AC39" s="31" t="s">
        <v>1034</v>
      </c>
      <c r="AD39" s="31"/>
      <c r="AE39" s="31"/>
      <c r="AF39" s="31"/>
      <c r="AG39" s="32"/>
      <c r="AH39" s="30"/>
      <c r="AI39" s="32"/>
      <c r="AJ39" s="30" t="s">
        <v>1020</v>
      </c>
      <c r="AK39" s="31"/>
      <c r="AL39" s="32"/>
      <c r="AM39" s="30" t="s">
        <v>1425</v>
      </c>
      <c r="AN39" s="31"/>
      <c r="AO39" s="31"/>
      <c r="AP39" s="31"/>
      <c r="AQ39" s="31"/>
      <c r="AR39" s="31"/>
      <c r="AS39" s="32"/>
      <c r="AT39" s="120" t="s">
        <v>1424</v>
      </c>
      <c r="AU39" s="121"/>
      <c r="AV39" s="121"/>
      <c r="AW39" s="121"/>
      <c r="AX39" s="121"/>
      <c r="AY39" s="121"/>
      <c r="AZ39" s="121"/>
      <c r="BA39" s="121"/>
      <c r="BB39" s="121"/>
      <c r="BC39" s="121"/>
      <c r="BD39" s="121"/>
      <c r="BE39" s="121"/>
      <c r="BF39" s="121"/>
      <c r="BG39" s="121"/>
      <c r="BH39" s="121"/>
      <c r="BI39" s="121"/>
      <c r="BJ39" s="122"/>
      <c r="BK39" s="4"/>
    </row>
    <row r="40" spans="1:63" ht="15" customHeight="1">
      <c r="A40" s="1"/>
      <c r="B40" s="62">
        <f t="shared" si="0"/>
        <v>21</v>
      </c>
      <c r="C40" s="114"/>
      <c r="D40" s="21" t="s">
        <v>1076</v>
      </c>
      <c r="E40" s="64"/>
      <c r="F40" s="64"/>
      <c r="G40" s="64"/>
      <c r="H40" s="64"/>
      <c r="I40" s="64"/>
      <c r="J40" s="64"/>
      <c r="K40" s="64"/>
      <c r="L40" s="64"/>
      <c r="M40" s="64"/>
      <c r="N40" s="64"/>
      <c r="O40" s="64"/>
      <c r="P40" s="64"/>
      <c r="Q40" s="65"/>
      <c r="R40" s="21" t="s">
        <v>1428</v>
      </c>
      <c r="S40" s="64"/>
      <c r="T40" s="64"/>
      <c r="U40" s="64"/>
      <c r="V40" s="64"/>
      <c r="W40" s="64"/>
      <c r="X40" s="64"/>
      <c r="Y40" s="64"/>
      <c r="Z40" s="64"/>
      <c r="AA40" s="64"/>
      <c r="AB40" s="65"/>
      <c r="AC40" s="21" t="s">
        <v>1034</v>
      </c>
      <c r="AD40" s="64"/>
      <c r="AE40" s="64"/>
      <c r="AF40" s="64"/>
      <c r="AG40" s="65"/>
      <c r="AH40" s="21"/>
      <c r="AI40" s="65"/>
      <c r="AJ40" s="21" t="s">
        <v>1020</v>
      </c>
      <c r="AK40" s="64"/>
      <c r="AL40" s="65"/>
      <c r="AM40" s="21" t="s">
        <v>1425</v>
      </c>
      <c r="AN40" s="64"/>
      <c r="AO40" s="64"/>
      <c r="AP40" s="64"/>
      <c r="AQ40" s="64"/>
      <c r="AR40" s="64"/>
      <c r="AS40" s="65"/>
      <c r="AT40" s="123" t="s">
        <v>1424</v>
      </c>
      <c r="AU40" s="124"/>
      <c r="AV40" s="124"/>
      <c r="AW40" s="124"/>
      <c r="AX40" s="124"/>
      <c r="AY40" s="124"/>
      <c r="AZ40" s="124"/>
      <c r="BA40" s="124"/>
      <c r="BB40" s="124"/>
      <c r="BC40" s="124"/>
      <c r="BD40" s="124"/>
      <c r="BE40" s="124"/>
      <c r="BF40" s="124"/>
      <c r="BG40" s="124"/>
      <c r="BH40" s="124"/>
      <c r="BI40" s="124"/>
      <c r="BJ40" s="125"/>
      <c r="BK40" s="4"/>
    </row>
    <row r="41" spans="1:63" ht="15" customHeight="1">
      <c r="A41" s="1"/>
      <c r="B41" s="23">
        <f t="shared" si="0"/>
        <v>22</v>
      </c>
      <c r="C41" s="118"/>
      <c r="D41" s="22" t="s">
        <v>1080</v>
      </c>
      <c r="E41" s="25"/>
      <c r="F41" s="25"/>
      <c r="G41" s="25"/>
      <c r="H41" s="25"/>
      <c r="I41" s="25"/>
      <c r="J41" s="25"/>
      <c r="K41" s="25"/>
      <c r="L41" s="25"/>
      <c r="M41" s="25"/>
      <c r="N41" s="25"/>
      <c r="O41" s="25"/>
      <c r="P41" s="25"/>
      <c r="Q41" s="26"/>
      <c r="R41" s="22" t="s">
        <v>1215</v>
      </c>
      <c r="S41" s="25"/>
      <c r="T41" s="25"/>
      <c r="U41" s="25"/>
      <c r="V41" s="25"/>
      <c r="W41" s="25"/>
      <c r="X41" s="25"/>
      <c r="Y41" s="25"/>
      <c r="Z41" s="25"/>
      <c r="AA41" s="25"/>
      <c r="AB41" s="26"/>
      <c r="AC41" s="22" t="s">
        <v>1034</v>
      </c>
      <c r="AD41" s="25"/>
      <c r="AE41" s="25"/>
      <c r="AF41" s="25"/>
      <c r="AG41" s="26"/>
      <c r="AH41" s="22"/>
      <c r="AI41" s="26"/>
      <c r="AJ41" s="22" t="s">
        <v>1020</v>
      </c>
      <c r="AK41" s="25"/>
      <c r="AL41" s="26"/>
      <c r="AM41" s="22" t="s">
        <v>1425</v>
      </c>
      <c r="AN41" s="25"/>
      <c r="AO41" s="25"/>
      <c r="AP41" s="25"/>
      <c r="AQ41" s="25"/>
      <c r="AR41" s="25"/>
      <c r="AS41" s="26"/>
      <c r="AT41" s="66" t="s">
        <v>1424</v>
      </c>
      <c r="AU41" s="67"/>
      <c r="AV41" s="67"/>
      <c r="AW41" s="67"/>
      <c r="AX41" s="67"/>
      <c r="AY41" s="67"/>
      <c r="AZ41" s="67"/>
      <c r="BA41" s="67"/>
      <c r="BB41" s="67"/>
      <c r="BC41" s="67"/>
      <c r="BD41" s="67"/>
      <c r="BE41" s="67"/>
      <c r="BF41" s="67"/>
      <c r="BG41" s="67"/>
      <c r="BH41" s="67"/>
      <c r="BI41" s="67"/>
      <c r="BJ41" s="68"/>
      <c r="BK41" s="4"/>
    </row>
    <row r="42" spans="1:63" ht="15" customHeight="1">
      <c r="A42" s="1"/>
      <c r="B42" s="23">
        <f t="shared" si="0"/>
        <v>23</v>
      </c>
      <c r="C42" s="118"/>
      <c r="D42" s="22" t="s">
        <v>1082</v>
      </c>
      <c r="E42" s="25"/>
      <c r="F42" s="25"/>
      <c r="G42" s="25"/>
      <c r="H42" s="25"/>
      <c r="I42" s="25"/>
      <c r="J42" s="25"/>
      <c r="K42" s="25"/>
      <c r="L42" s="25"/>
      <c r="M42" s="25"/>
      <c r="N42" s="25"/>
      <c r="O42" s="25"/>
      <c r="P42" s="25"/>
      <c r="Q42" s="26"/>
      <c r="R42" s="22" t="s">
        <v>1216</v>
      </c>
      <c r="S42" s="25"/>
      <c r="T42" s="25"/>
      <c r="U42" s="25"/>
      <c r="V42" s="25"/>
      <c r="W42" s="25"/>
      <c r="X42" s="25"/>
      <c r="Y42" s="25"/>
      <c r="Z42" s="25"/>
      <c r="AA42" s="25"/>
      <c r="AB42" s="26"/>
      <c r="AC42" s="22" t="s">
        <v>1034</v>
      </c>
      <c r="AD42" s="25"/>
      <c r="AE42" s="25"/>
      <c r="AF42" s="25"/>
      <c r="AG42" s="26"/>
      <c r="AH42" s="22"/>
      <c r="AI42" s="26"/>
      <c r="AJ42" s="22" t="s">
        <v>1020</v>
      </c>
      <c r="AK42" s="25"/>
      <c r="AL42" s="26"/>
      <c r="AM42" s="22" t="s">
        <v>1425</v>
      </c>
      <c r="AN42" s="25"/>
      <c r="AO42" s="25"/>
      <c r="AP42" s="25"/>
      <c r="AQ42" s="25"/>
      <c r="AR42" s="25"/>
      <c r="AS42" s="26"/>
      <c r="AT42" s="66" t="s">
        <v>1424</v>
      </c>
      <c r="AU42" s="67"/>
      <c r="AV42" s="67"/>
      <c r="AW42" s="67"/>
      <c r="AX42" s="67"/>
      <c r="AY42" s="67"/>
      <c r="AZ42" s="67"/>
      <c r="BA42" s="67"/>
      <c r="BB42" s="67"/>
      <c r="BC42" s="67"/>
      <c r="BD42" s="67"/>
      <c r="BE42" s="67"/>
      <c r="BF42" s="67"/>
      <c r="BG42" s="67"/>
      <c r="BH42" s="67"/>
      <c r="BI42" s="67"/>
      <c r="BJ42" s="68"/>
      <c r="BK42" s="4"/>
    </row>
    <row r="43" spans="1:63" ht="15" customHeight="1">
      <c r="A43" s="1"/>
      <c r="B43" s="23">
        <f t="shared" si="0"/>
        <v>24</v>
      </c>
      <c r="C43" s="118"/>
      <c r="D43" s="22" t="s">
        <v>1084</v>
      </c>
      <c r="E43" s="25"/>
      <c r="F43" s="25"/>
      <c r="G43" s="25"/>
      <c r="H43" s="25"/>
      <c r="I43" s="25"/>
      <c r="J43" s="25"/>
      <c r="K43" s="25"/>
      <c r="L43" s="25"/>
      <c r="M43" s="25"/>
      <c r="N43" s="25"/>
      <c r="O43" s="25"/>
      <c r="P43" s="25"/>
      <c r="Q43" s="26"/>
      <c r="R43" s="22" t="s">
        <v>1217</v>
      </c>
      <c r="S43" s="25"/>
      <c r="T43" s="25"/>
      <c r="U43" s="25"/>
      <c r="V43" s="25"/>
      <c r="W43" s="25"/>
      <c r="X43" t="str">
        <f>"{ ""company_code"": """&amp;T43&amp;""",""store_code"": """&amp;U43&amp;""",""instore_code"": """&amp;V43&amp;""",""status"": "&amp;LEFT(W43,1)&amp;"}"</f>
        <v>{ "company_code": "","store_code": "","instore_code": "","status": }</v>
      </c>
      <c r="Y43" s="25"/>
      <c r="Z43" s="25"/>
      <c r="AA43" s="25"/>
      <c r="AB43" s="26"/>
      <c r="AC43" s="22" t="s">
        <v>1034</v>
      </c>
      <c r="AD43" s="25"/>
      <c r="AE43" s="25"/>
      <c r="AF43" s="25"/>
      <c r="AG43" s="26"/>
      <c r="AH43" s="22"/>
      <c r="AI43" s="26"/>
      <c r="AJ43" s="22" t="s">
        <v>1020</v>
      </c>
      <c r="AK43" s="25"/>
      <c r="AL43" s="26"/>
      <c r="AM43" s="22" t="s">
        <v>1425</v>
      </c>
      <c r="AN43" s="25"/>
      <c r="AO43" s="25"/>
      <c r="AP43" s="25"/>
      <c r="AQ43" s="25"/>
      <c r="AR43" s="25"/>
      <c r="AS43" s="26"/>
      <c r="AT43" s="66" t="s">
        <v>1424</v>
      </c>
      <c r="AU43" s="67"/>
      <c r="AV43" s="67"/>
      <c r="AW43" s="67"/>
      <c r="AX43" s="67"/>
      <c r="AY43" s="67"/>
      <c r="AZ43" s="67"/>
      <c r="BA43" s="67"/>
      <c r="BB43" s="67"/>
      <c r="BC43" s="67"/>
      <c r="BD43" s="67"/>
      <c r="BE43" s="67"/>
      <c r="BF43" s="67"/>
      <c r="BG43" s="67"/>
      <c r="BH43" s="67"/>
      <c r="BI43" s="67"/>
      <c r="BJ43" s="68"/>
      <c r="BK43" s="4"/>
    </row>
    <row r="44" spans="1:63" ht="15" customHeight="1">
      <c r="A44" s="1"/>
      <c r="B44" s="23">
        <f t="shared" si="0"/>
        <v>25</v>
      </c>
      <c r="C44" s="118"/>
      <c r="D44" s="22" t="s">
        <v>1086</v>
      </c>
      <c r="E44" s="25"/>
      <c r="F44" s="25"/>
      <c r="G44" s="25"/>
      <c r="H44" s="25"/>
      <c r="I44" s="25"/>
      <c r="J44" s="25"/>
      <c r="K44" s="25"/>
      <c r="L44" s="25"/>
      <c r="M44" s="25"/>
      <c r="N44" s="25"/>
      <c r="O44" s="25"/>
      <c r="P44" s="25"/>
      <c r="Q44" s="26"/>
      <c r="R44" s="22" t="s">
        <v>1218</v>
      </c>
      <c r="S44" s="25"/>
      <c r="T44" s="25"/>
      <c r="U44" s="25"/>
      <c r="V44" s="25"/>
      <c r="W44" s="25"/>
      <c r="X44" s="25"/>
      <c r="Y44" s="25"/>
      <c r="Z44" s="25"/>
      <c r="AA44" s="25"/>
      <c r="AB44" s="26"/>
      <c r="AC44" s="22" t="s">
        <v>1034</v>
      </c>
      <c r="AD44" s="25"/>
      <c r="AE44" s="25"/>
      <c r="AF44" s="25"/>
      <c r="AG44" s="26"/>
      <c r="AH44" s="22"/>
      <c r="AI44" s="26"/>
      <c r="AJ44" s="22" t="s">
        <v>1020</v>
      </c>
      <c r="AK44" s="25"/>
      <c r="AL44" s="26"/>
      <c r="AM44" s="22" t="s">
        <v>1425</v>
      </c>
      <c r="AN44" s="25"/>
      <c r="AO44" s="25"/>
      <c r="AP44" s="25"/>
      <c r="AQ44" s="25"/>
      <c r="AR44" s="25"/>
      <c r="AS44" s="26"/>
      <c r="AT44" s="66" t="s">
        <v>1424</v>
      </c>
      <c r="AU44" s="67"/>
      <c r="AV44" s="67"/>
      <c r="AW44" s="67"/>
      <c r="AX44" s="67"/>
      <c r="AY44" s="67"/>
      <c r="AZ44" s="67"/>
      <c r="BA44" s="67"/>
      <c r="BB44" s="67"/>
      <c r="BC44" s="67"/>
      <c r="BD44" s="67"/>
      <c r="BE44" s="67"/>
      <c r="BF44" s="67"/>
      <c r="BG44" s="67"/>
      <c r="BH44" s="67"/>
      <c r="BI44" s="67"/>
      <c r="BJ44" s="68"/>
      <c r="BK44" s="4"/>
    </row>
    <row r="45" spans="1:63" ht="15" customHeight="1">
      <c r="A45" s="1"/>
      <c r="B45" s="23">
        <f t="shared" si="0"/>
        <v>26</v>
      </c>
      <c r="C45" s="118"/>
      <c r="D45" s="22" t="s">
        <v>1088</v>
      </c>
      <c r="E45" s="25"/>
      <c r="F45" s="25"/>
      <c r="G45" s="25"/>
      <c r="H45" s="25"/>
      <c r="I45" s="25"/>
      <c r="J45" s="25"/>
      <c r="K45" s="25"/>
      <c r="L45" s="25"/>
      <c r="M45" s="25"/>
      <c r="N45" s="25"/>
      <c r="O45" s="25"/>
      <c r="P45" s="25"/>
      <c r="Q45" s="26"/>
      <c r="R45" s="22" t="s">
        <v>1219</v>
      </c>
      <c r="S45" s="25"/>
      <c r="T45" s="25"/>
      <c r="U45" s="25"/>
      <c r="V45" s="25"/>
      <c r="W45" s="25"/>
      <c r="X45" s="25"/>
      <c r="Y45" s="25"/>
      <c r="Z45" s="25"/>
      <c r="AA45" s="25"/>
      <c r="AB45" s="26"/>
      <c r="AC45" s="22" t="s">
        <v>1034</v>
      </c>
      <c r="AD45" s="25"/>
      <c r="AE45" s="25"/>
      <c r="AF45" s="25"/>
      <c r="AG45" s="26"/>
      <c r="AH45" s="22"/>
      <c r="AI45" s="26"/>
      <c r="AJ45" s="22" t="s">
        <v>1020</v>
      </c>
      <c r="AK45" s="25"/>
      <c r="AL45" s="26"/>
      <c r="AM45" s="22" t="s">
        <v>1425</v>
      </c>
      <c r="AN45" s="25"/>
      <c r="AO45" s="25"/>
      <c r="AP45" s="25"/>
      <c r="AQ45" s="25"/>
      <c r="AR45" s="25"/>
      <c r="AS45" s="26"/>
      <c r="AT45" s="66" t="s">
        <v>1424</v>
      </c>
      <c r="AU45" s="67"/>
      <c r="AV45" s="67"/>
      <c r="AW45" s="67"/>
      <c r="AX45" s="67"/>
      <c r="AY45" s="67"/>
      <c r="AZ45" s="67"/>
      <c r="BA45" s="67"/>
      <c r="BB45" s="67"/>
      <c r="BC45" s="67"/>
      <c r="BD45" s="67"/>
      <c r="BE45" s="67"/>
      <c r="BF45" s="67"/>
      <c r="BG45" s="67"/>
      <c r="BH45" s="67"/>
      <c r="BI45" s="67"/>
      <c r="BJ45" s="68"/>
      <c r="BK45" s="4"/>
    </row>
    <row r="46" spans="1:63" ht="15" customHeight="1">
      <c r="A46" s="1"/>
      <c r="B46" s="23">
        <f t="shared" si="0"/>
        <v>27</v>
      </c>
      <c r="C46" s="118"/>
      <c r="D46" s="22" t="s">
        <v>1090</v>
      </c>
      <c r="E46" s="25"/>
      <c r="F46" s="25"/>
      <c r="G46" s="25"/>
      <c r="H46" s="25"/>
      <c r="I46" s="25"/>
      <c r="J46" s="25"/>
      <c r="K46" s="25"/>
      <c r="L46" s="25"/>
      <c r="M46" s="25"/>
      <c r="N46" s="25"/>
      <c r="O46" s="25"/>
      <c r="P46" s="25"/>
      <c r="Q46" s="26"/>
      <c r="R46" s="22" t="s">
        <v>1220</v>
      </c>
      <c r="S46" s="25"/>
      <c r="T46" s="25"/>
      <c r="U46" s="25"/>
      <c r="V46" s="25"/>
      <c r="W46" s="25"/>
      <c r="X46" s="25"/>
      <c r="Y46" s="25"/>
      <c r="Z46" s="25"/>
      <c r="AA46" s="25"/>
      <c r="AB46" s="26"/>
      <c r="AC46" s="22" t="s">
        <v>1034</v>
      </c>
      <c r="AD46" s="25"/>
      <c r="AE46" s="25"/>
      <c r="AF46" s="25"/>
      <c r="AG46" s="26"/>
      <c r="AH46" s="22"/>
      <c r="AI46" s="26"/>
      <c r="AJ46" s="22" t="s">
        <v>1020</v>
      </c>
      <c r="AK46" s="25"/>
      <c r="AL46" s="26"/>
      <c r="AM46" s="22" t="s">
        <v>1425</v>
      </c>
      <c r="AN46" s="25"/>
      <c r="AO46" s="25"/>
      <c r="AP46" s="25"/>
      <c r="AQ46" s="25"/>
      <c r="AR46" s="25"/>
      <c r="AS46" s="26"/>
      <c r="AT46" s="66" t="s">
        <v>1424</v>
      </c>
      <c r="AU46" s="67"/>
      <c r="AV46" s="67"/>
      <c r="AW46" s="67"/>
      <c r="AX46" s="67"/>
      <c r="AY46" s="67"/>
      <c r="AZ46" s="67"/>
      <c r="BA46" s="67"/>
      <c r="BB46" s="67"/>
      <c r="BC46" s="67"/>
      <c r="BD46" s="67"/>
      <c r="BE46" s="67"/>
      <c r="BF46" s="67"/>
      <c r="BG46" s="67"/>
      <c r="BH46" s="67"/>
      <c r="BI46" s="67"/>
      <c r="BJ46" s="68"/>
      <c r="BK46" s="4"/>
    </row>
    <row r="47" spans="1:63" ht="15" customHeight="1">
      <c r="A47" s="1"/>
      <c r="B47" s="23">
        <f t="shared" si="0"/>
        <v>28</v>
      </c>
      <c r="C47" s="118"/>
      <c r="D47" s="22" t="s">
        <v>1092</v>
      </c>
      <c r="E47" s="25"/>
      <c r="F47" s="25"/>
      <c r="G47" s="25"/>
      <c r="H47" s="25"/>
      <c r="I47" s="25"/>
      <c r="J47" s="25"/>
      <c r="K47" s="25"/>
      <c r="L47" s="25"/>
      <c r="M47" s="25"/>
      <c r="N47" s="25"/>
      <c r="O47" s="25"/>
      <c r="P47" s="25"/>
      <c r="Q47" s="26"/>
      <c r="R47" s="22" t="s">
        <v>1221</v>
      </c>
      <c r="S47" s="25"/>
      <c r="T47" s="25"/>
      <c r="U47" s="25"/>
      <c r="V47" s="25"/>
      <c r="W47" s="25"/>
      <c r="X47" s="25"/>
      <c r="Y47" s="25"/>
      <c r="Z47" s="25"/>
      <c r="AA47" s="25"/>
      <c r="AB47" s="26"/>
      <c r="AC47" s="22" t="s">
        <v>1034</v>
      </c>
      <c r="AD47" s="25"/>
      <c r="AE47" s="25"/>
      <c r="AF47" s="25"/>
      <c r="AG47" s="26"/>
      <c r="AH47" s="22"/>
      <c r="AI47" s="26"/>
      <c r="AJ47" s="22" t="s">
        <v>1020</v>
      </c>
      <c r="AK47" s="25"/>
      <c r="AL47" s="26"/>
      <c r="AM47" s="22" t="s">
        <v>1425</v>
      </c>
      <c r="AN47" s="25"/>
      <c r="AO47" s="25"/>
      <c r="AP47" s="25"/>
      <c r="AQ47" s="25"/>
      <c r="AR47" s="25"/>
      <c r="AS47" s="26"/>
      <c r="AT47" s="66" t="s">
        <v>1424</v>
      </c>
      <c r="AU47" s="67"/>
      <c r="AV47" s="67"/>
      <c r="AW47" s="67"/>
      <c r="AX47" s="67"/>
      <c r="AY47" s="67"/>
      <c r="AZ47" s="67"/>
      <c r="BA47" s="67"/>
      <c r="BB47" s="67"/>
      <c r="BC47" s="67"/>
      <c r="BD47" s="67"/>
      <c r="BE47" s="67"/>
      <c r="BF47" s="67"/>
      <c r="BG47" s="67"/>
      <c r="BH47" s="67"/>
      <c r="BI47" s="67"/>
      <c r="BJ47" s="68"/>
      <c r="BK47" s="4"/>
    </row>
    <row r="48" spans="1:63" ht="15" customHeight="1">
      <c r="A48" s="1"/>
      <c r="B48" s="23">
        <f t="shared" si="0"/>
        <v>29</v>
      </c>
      <c r="C48" s="118"/>
      <c r="D48" s="22" t="s">
        <v>1094</v>
      </c>
      <c r="E48" s="25"/>
      <c r="F48" s="25"/>
      <c r="G48" s="25"/>
      <c r="H48" s="25"/>
      <c r="I48" s="25"/>
      <c r="J48" s="25"/>
      <c r="K48" s="25"/>
      <c r="L48" s="25"/>
      <c r="M48" s="25"/>
      <c r="N48" s="25"/>
      <c r="O48" s="25"/>
      <c r="P48" s="25"/>
      <c r="Q48" s="26"/>
      <c r="R48" s="22" t="s">
        <v>1222</v>
      </c>
      <c r="S48" s="25"/>
      <c r="T48" s="25"/>
      <c r="U48" s="25"/>
      <c r="V48" s="25"/>
      <c r="W48" s="25"/>
      <c r="X48" s="25"/>
      <c r="Y48" s="25"/>
      <c r="Z48" s="25"/>
      <c r="AA48" s="25"/>
      <c r="AB48" s="26"/>
      <c r="AC48" s="22" t="s">
        <v>1034</v>
      </c>
      <c r="AD48" s="25"/>
      <c r="AE48" s="25"/>
      <c r="AF48" s="25"/>
      <c r="AG48" s="26"/>
      <c r="AH48" s="22"/>
      <c r="AI48" s="26"/>
      <c r="AJ48" s="22" t="s">
        <v>1020</v>
      </c>
      <c r="AK48" s="25"/>
      <c r="AL48" s="26"/>
      <c r="AM48" s="22" t="s">
        <v>1425</v>
      </c>
      <c r="AN48" s="25"/>
      <c r="AO48" s="25"/>
      <c r="AP48" s="25"/>
      <c r="AQ48" s="25"/>
      <c r="AR48" s="25"/>
      <c r="AS48" s="26"/>
      <c r="AT48" s="66" t="s">
        <v>1424</v>
      </c>
      <c r="AU48" s="67"/>
      <c r="AV48" s="67"/>
      <c r="AW48" s="67"/>
      <c r="AX48" s="67"/>
      <c r="AY48" s="67"/>
      <c r="AZ48" s="67"/>
      <c r="BA48" s="67"/>
      <c r="BB48" s="67"/>
      <c r="BC48" s="67"/>
      <c r="BD48" s="67"/>
      <c r="BE48" s="67"/>
      <c r="BF48" s="67"/>
      <c r="BG48" s="67"/>
      <c r="BH48" s="67"/>
      <c r="BI48" s="67"/>
      <c r="BJ48" s="68"/>
      <c r="BK48" s="4"/>
    </row>
    <row r="49" spans="1:63" ht="15" customHeight="1">
      <c r="A49" s="1"/>
      <c r="B49" s="28">
        <f t="shared" si="0"/>
        <v>30</v>
      </c>
      <c r="C49" s="119"/>
      <c r="D49" s="30" t="s">
        <v>1096</v>
      </c>
      <c r="E49" s="31"/>
      <c r="F49" s="31"/>
      <c r="G49" s="31"/>
      <c r="H49" s="31"/>
      <c r="I49" s="31"/>
      <c r="J49" s="31"/>
      <c r="K49" s="31"/>
      <c r="L49" s="31"/>
      <c r="M49" s="31"/>
      <c r="N49" s="31"/>
      <c r="O49" s="31"/>
      <c r="P49" s="31"/>
      <c r="Q49" s="32"/>
      <c r="R49" s="30" t="s">
        <v>1223</v>
      </c>
      <c r="S49" s="31"/>
      <c r="T49" s="31"/>
      <c r="U49" s="31"/>
      <c r="V49" s="31"/>
      <c r="W49" s="31"/>
      <c r="X49" s="31"/>
      <c r="Y49" s="31"/>
      <c r="Z49" s="31"/>
      <c r="AA49" s="31"/>
      <c r="AB49" s="32"/>
      <c r="AC49" s="30" t="s">
        <v>1034</v>
      </c>
      <c r="AD49" s="31"/>
      <c r="AE49" s="31"/>
      <c r="AF49" s="31"/>
      <c r="AG49" s="32"/>
      <c r="AH49" s="30"/>
      <c r="AI49" s="32"/>
      <c r="AJ49" s="30" t="s">
        <v>1020</v>
      </c>
      <c r="AK49" s="31"/>
      <c r="AL49" s="32"/>
      <c r="AM49" s="30" t="s">
        <v>1425</v>
      </c>
      <c r="AN49" s="31"/>
      <c r="AO49" s="31"/>
      <c r="AP49" s="31"/>
      <c r="AQ49" s="31"/>
      <c r="AR49" s="31"/>
      <c r="AS49" s="32"/>
      <c r="AT49" s="120" t="s">
        <v>1424</v>
      </c>
      <c r="AU49" s="121"/>
      <c r="AV49" s="121"/>
      <c r="AW49" s="121"/>
      <c r="AX49" s="121"/>
      <c r="AY49" s="121"/>
      <c r="AZ49" s="121"/>
      <c r="BA49" s="121"/>
      <c r="BB49" s="121"/>
      <c r="BC49" s="121"/>
      <c r="BD49" s="121"/>
      <c r="BE49" s="121"/>
      <c r="BF49" s="121"/>
      <c r="BG49" s="121"/>
      <c r="BH49" s="121"/>
      <c r="BI49" s="121"/>
      <c r="BJ49" s="122"/>
      <c r="BK49" s="4"/>
    </row>
    <row r="50" spans="1:63" ht="15" customHeight="1">
      <c r="A50" s="1"/>
      <c r="B50" s="62">
        <f t="shared" si="0"/>
        <v>31</v>
      </c>
      <c r="C50" s="63"/>
      <c r="D50" s="21" t="s">
        <v>1118</v>
      </c>
      <c r="E50" s="64"/>
      <c r="F50" s="64"/>
      <c r="G50" s="64"/>
      <c r="H50" s="64"/>
      <c r="I50" s="64"/>
      <c r="J50" s="64"/>
      <c r="K50" s="64"/>
      <c r="L50" s="64"/>
      <c r="M50" s="64"/>
      <c r="N50" s="64"/>
      <c r="O50" s="64"/>
      <c r="P50" s="64"/>
      <c r="Q50" s="65"/>
      <c r="R50" s="21" t="s">
        <v>1427</v>
      </c>
      <c r="S50" s="64"/>
      <c r="T50" s="64"/>
      <c r="U50" s="64"/>
      <c r="V50" s="64"/>
      <c r="W50" s="64"/>
      <c r="X50" s="64"/>
      <c r="Y50" s="64"/>
      <c r="Z50" s="64"/>
      <c r="AA50" s="64"/>
      <c r="AB50" s="65"/>
      <c r="AC50" s="21" t="s">
        <v>1034</v>
      </c>
      <c r="AD50" s="64"/>
      <c r="AE50" s="64"/>
      <c r="AF50" s="64"/>
      <c r="AG50" s="65"/>
      <c r="AH50" s="21"/>
      <c r="AI50" s="65"/>
      <c r="AJ50" s="21" t="s">
        <v>1020</v>
      </c>
      <c r="AK50" s="64"/>
      <c r="AL50" s="65"/>
      <c r="AM50" s="115" t="s">
        <v>1030</v>
      </c>
      <c r="AN50" s="116"/>
      <c r="AO50" s="116"/>
      <c r="AP50" s="116"/>
      <c r="AQ50" s="116"/>
      <c r="AR50" s="116"/>
      <c r="AS50" s="117"/>
      <c r="AT50" s="64" t="s">
        <v>1426</v>
      </c>
      <c r="AU50" s="64"/>
      <c r="AV50" s="64"/>
      <c r="AW50" s="64"/>
      <c r="AX50" s="64"/>
      <c r="AY50" s="64"/>
      <c r="AZ50" s="64"/>
      <c r="BA50" s="64"/>
      <c r="BB50" s="64"/>
      <c r="BC50" s="64"/>
      <c r="BD50" s="64"/>
      <c r="BE50" s="64"/>
      <c r="BF50" s="64"/>
      <c r="BG50" s="64"/>
      <c r="BH50" s="64"/>
      <c r="BI50" s="64"/>
      <c r="BJ50" s="65"/>
      <c r="BK50" s="4"/>
    </row>
    <row r="51" spans="1:63" ht="15" customHeight="1">
      <c r="A51" s="1"/>
      <c r="B51" s="23">
        <f t="shared" si="0"/>
        <v>32</v>
      </c>
      <c r="C51" s="24"/>
      <c r="D51" s="22" t="s">
        <v>1121</v>
      </c>
      <c r="E51" s="25"/>
      <c r="F51" s="25"/>
      <c r="G51" s="25"/>
      <c r="H51" s="25"/>
      <c r="I51" s="25"/>
      <c r="J51" s="25"/>
      <c r="K51" s="25"/>
      <c r="L51" s="25"/>
      <c r="M51" s="25"/>
      <c r="N51" s="25"/>
      <c r="O51" s="25"/>
      <c r="P51" s="25"/>
      <c r="Q51" s="26"/>
      <c r="R51" s="22" t="s">
        <v>1225</v>
      </c>
      <c r="S51" s="25"/>
      <c r="T51" s="25"/>
      <c r="U51" s="25"/>
      <c r="V51" s="25"/>
      <c r="W51" s="25"/>
      <c r="X51" s="25"/>
      <c r="Y51" s="25"/>
      <c r="Z51" s="25"/>
      <c r="AA51" s="25"/>
      <c r="AB51" s="26"/>
      <c r="AC51" s="22" t="s">
        <v>1034</v>
      </c>
      <c r="AD51" s="25"/>
      <c r="AE51" s="25"/>
      <c r="AF51" s="25"/>
      <c r="AG51" s="26"/>
      <c r="AH51" s="22"/>
      <c r="AI51" s="26"/>
      <c r="AJ51" s="22" t="s">
        <v>1020</v>
      </c>
      <c r="AK51" s="25"/>
      <c r="AL51" s="26"/>
      <c r="AM51" s="22" t="s">
        <v>1425</v>
      </c>
      <c r="AN51" s="25"/>
      <c r="AO51" s="25"/>
      <c r="AP51" s="25"/>
      <c r="AQ51" s="25"/>
      <c r="AR51" s="25"/>
      <c r="AS51" s="26"/>
      <c r="AT51" s="25" t="s">
        <v>1424</v>
      </c>
      <c r="AU51" s="25"/>
      <c r="AV51" s="25"/>
      <c r="AW51" s="25"/>
      <c r="AX51" s="25"/>
      <c r="AY51" s="25"/>
      <c r="AZ51" s="25"/>
      <c r="BA51" s="25"/>
      <c r="BB51" s="25"/>
      <c r="BC51" s="25"/>
      <c r="BD51" s="25"/>
      <c r="BE51" s="25"/>
      <c r="BF51" s="25"/>
      <c r="BG51" s="25"/>
      <c r="BH51" s="25"/>
      <c r="BI51" s="25"/>
      <c r="BJ51" s="26"/>
      <c r="BK51" s="4"/>
    </row>
    <row r="52" spans="1:63" ht="15" customHeight="1">
      <c r="A52" s="1"/>
      <c r="B52" s="23">
        <f t="shared" si="0"/>
        <v>33</v>
      </c>
      <c r="C52" s="24"/>
      <c r="D52" s="22" t="s">
        <v>1124</v>
      </c>
      <c r="E52" s="25"/>
      <c r="F52" s="25"/>
      <c r="G52" s="25"/>
      <c r="H52" s="25"/>
      <c r="I52" s="25"/>
      <c r="J52" s="25"/>
      <c r="K52" s="25"/>
      <c r="L52" s="25"/>
      <c r="M52" s="25"/>
      <c r="N52" s="25"/>
      <c r="O52" s="25"/>
      <c r="P52" s="25"/>
      <c r="Q52" s="26"/>
      <c r="R52" s="22" t="s">
        <v>1226</v>
      </c>
      <c r="S52" s="25"/>
      <c r="T52" s="25"/>
      <c r="U52" s="25"/>
      <c r="V52" s="25"/>
      <c r="W52" s="25"/>
      <c r="X52" s="25"/>
      <c r="Y52" s="25"/>
      <c r="Z52" s="25"/>
      <c r="AA52" s="25"/>
      <c r="AB52" s="26"/>
      <c r="AC52" s="22" t="s">
        <v>1034</v>
      </c>
      <c r="AD52" s="25"/>
      <c r="AE52" s="25"/>
      <c r="AF52" s="25"/>
      <c r="AG52" s="26"/>
      <c r="AH52" s="22"/>
      <c r="AI52" s="26"/>
      <c r="AJ52" s="22" t="s">
        <v>1020</v>
      </c>
      <c r="AK52" s="25"/>
      <c r="AL52" s="26"/>
      <c r="AM52" s="22" t="s">
        <v>1425</v>
      </c>
      <c r="AN52" s="25"/>
      <c r="AO52" s="25"/>
      <c r="AP52" s="25"/>
      <c r="AQ52" s="25"/>
      <c r="AR52" s="25"/>
      <c r="AS52" s="26"/>
      <c r="AT52" s="25" t="s">
        <v>1424</v>
      </c>
      <c r="AU52" s="25"/>
      <c r="AV52" s="25"/>
      <c r="AW52" s="25"/>
      <c r="AX52" s="25"/>
      <c r="AY52" s="25"/>
      <c r="AZ52" s="25"/>
      <c r="BA52" s="25"/>
      <c r="BB52" s="25"/>
      <c r="BC52" s="25"/>
      <c r="BD52" s="25"/>
      <c r="BE52" s="25"/>
      <c r="BF52" s="25"/>
      <c r="BG52" s="25"/>
      <c r="BH52" s="25"/>
      <c r="BI52" s="25"/>
      <c r="BJ52" s="26"/>
      <c r="BK52" s="4"/>
    </row>
    <row r="53" spans="1:63" ht="15" customHeight="1">
      <c r="A53" s="1"/>
      <c r="B53" s="23">
        <f t="shared" ref="B53:B69" si="1">B52+1</f>
        <v>34</v>
      </c>
      <c r="C53" s="24"/>
      <c r="D53" s="22" t="s">
        <v>1126</v>
      </c>
      <c r="E53" s="25"/>
      <c r="F53" s="25"/>
      <c r="G53" s="25"/>
      <c r="H53" s="25"/>
      <c r="I53" s="25"/>
      <c r="J53" s="25"/>
      <c r="K53" s="25"/>
      <c r="L53" s="25"/>
      <c r="M53" s="25"/>
      <c r="N53" s="25"/>
      <c r="O53" s="25"/>
      <c r="P53" s="25"/>
      <c r="Q53" s="26"/>
      <c r="R53" s="22" t="s">
        <v>1227</v>
      </c>
      <c r="S53" s="25"/>
      <c r="T53" s="25"/>
      <c r="U53" s="25"/>
      <c r="V53" s="25"/>
      <c r="W53" s="25"/>
      <c r="X53" s="25"/>
      <c r="Y53" s="25"/>
      <c r="Z53" s="25"/>
      <c r="AA53" s="25"/>
      <c r="AB53" s="26"/>
      <c r="AC53" s="22" t="s">
        <v>1034</v>
      </c>
      <c r="AD53" s="25"/>
      <c r="AE53" s="25"/>
      <c r="AF53" s="25"/>
      <c r="AG53" s="26"/>
      <c r="AH53" s="22"/>
      <c r="AI53" s="26"/>
      <c r="AJ53" s="22" t="s">
        <v>1020</v>
      </c>
      <c r="AK53" s="25"/>
      <c r="AL53" s="26"/>
      <c r="AM53" s="22" t="s">
        <v>1425</v>
      </c>
      <c r="AN53" s="25"/>
      <c r="AO53" s="25"/>
      <c r="AP53" s="25"/>
      <c r="AQ53" s="25"/>
      <c r="AR53" s="25"/>
      <c r="AS53" s="26"/>
      <c r="AT53" s="25" t="s">
        <v>1424</v>
      </c>
      <c r="AU53" s="25"/>
      <c r="AV53" s="25"/>
      <c r="AW53" s="25"/>
      <c r="AX53" s="25"/>
      <c r="AY53" s="25"/>
      <c r="AZ53" s="25"/>
      <c r="BA53" s="25"/>
      <c r="BB53" s="25"/>
      <c r="BC53" s="25"/>
      <c r="BD53" s="25"/>
      <c r="BE53" s="25"/>
      <c r="BF53" s="25"/>
      <c r="BG53" s="25"/>
      <c r="BH53" s="25"/>
      <c r="BI53" s="25"/>
      <c r="BJ53" s="26"/>
      <c r="BK53" s="4"/>
    </row>
    <row r="54" spans="1:63" ht="15" customHeight="1">
      <c r="A54" s="1"/>
      <c r="B54" s="23">
        <f t="shared" si="1"/>
        <v>35</v>
      </c>
      <c r="C54" s="24"/>
      <c r="D54" s="22" t="s">
        <v>1128</v>
      </c>
      <c r="E54" s="25"/>
      <c r="F54" s="25"/>
      <c r="G54" s="25"/>
      <c r="H54" s="25"/>
      <c r="I54" s="25"/>
      <c r="J54" s="25"/>
      <c r="K54" s="25"/>
      <c r="L54" s="25"/>
      <c r="M54" s="25"/>
      <c r="N54" s="25"/>
      <c r="O54" s="25"/>
      <c r="P54" s="25"/>
      <c r="Q54" s="26"/>
      <c r="R54" s="22" t="s">
        <v>1228</v>
      </c>
      <c r="S54" s="25"/>
      <c r="T54" s="25"/>
      <c r="U54" s="25"/>
      <c r="V54" s="25"/>
      <c r="W54" s="25"/>
      <c r="X54" s="25"/>
      <c r="Y54" s="25"/>
      <c r="Z54" s="25"/>
      <c r="AA54" s="25"/>
      <c r="AB54" s="26"/>
      <c r="AC54" s="22" t="s">
        <v>1034</v>
      </c>
      <c r="AD54" s="25"/>
      <c r="AE54" s="25"/>
      <c r="AF54" s="25"/>
      <c r="AG54" s="26"/>
      <c r="AH54" s="22"/>
      <c r="AI54" s="26"/>
      <c r="AJ54" s="22" t="s">
        <v>1020</v>
      </c>
      <c r="AK54" s="25"/>
      <c r="AL54" s="26"/>
      <c r="AM54" s="22" t="s">
        <v>1425</v>
      </c>
      <c r="AN54" s="25"/>
      <c r="AO54" s="25"/>
      <c r="AP54" s="25"/>
      <c r="AQ54" s="25"/>
      <c r="AR54" s="25"/>
      <c r="AS54" s="26"/>
      <c r="AT54" s="25" t="s">
        <v>1424</v>
      </c>
      <c r="AU54" s="25"/>
      <c r="AV54" s="25"/>
      <c r="AW54" s="25"/>
      <c r="AX54" s="25"/>
      <c r="AY54" s="25"/>
      <c r="AZ54" s="25"/>
      <c r="BA54" s="25"/>
      <c r="BB54" s="25"/>
      <c r="BC54" s="25"/>
      <c r="BD54" s="25"/>
      <c r="BE54" s="25"/>
      <c r="BF54" s="25"/>
      <c r="BG54" s="25"/>
      <c r="BH54" s="25"/>
      <c r="BI54" s="25"/>
      <c r="BJ54" s="26"/>
      <c r="BK54" s="4"/>
    </row>
    <row r="55" spans="1:63" ht="15" customHeight="1">
      <c r="A55" s="1"/>
      <c r="B55" s="23">
        <f t="shared" si="1"/>
        <v>36</v>
      </c>
      <c r="C55" s="24"/>
      <c r="D55" s="22" t="s">
        <v>1130</v>
      </c>
      <c r="E55" s="25"/>
      <c r="F55" s="25"/>
      <c r="G55" s="25"/>
      <c r="H55" s="25"/>
      <c r="I55" s="25"/>
      <c r="J55" s="25"/>
      <c r="K55" s="25"/>
      <c r="L55" s="25"/>
      <c r="M55" s="25"/>
      <c r="N55" s="25"/>
      <c r="O55" s="25"/>
      <c r="P55" s="25"/>
      <c r="Q55" s="26"/>
      <c r="R55" s="22" t="s">
        <v>1229</v>
      </c>
      <c r="S55" s="25"/>
      <c r="T55" s="25"/>
      <c r="U55" s="25"/>
      <c r="V55" s="25"/>
      <c r="W55" s="25"/>
      <c r="X55" s="25"/>
      <c r="Y55" s="25"/>
      <c r="Z55" s="25"/>
      <c r="AA55" s="25"/>
      <c r="AB55" s="26"/>
      <c r="AC55" s="22" t="s">
        <v>1034</v>
      </c>
      <c r="AD55" s="25"/>
      <c r="AE55" s="25"/>
      <c r="AF55" s="25"/>
      <c r="AG55" s="26"/>
      <c r="AH55" s="22"/>
      <c r="AI55" s="26"/>
      <c r="AJ55" s="22" t="s">
        <v>1020</v>
      </c>
      <c r="AK55" s="25"/>
      <c r="AL55" s="26"/>
      <c r="AM55" s="22" t="s">
        <v>1425</v>
      </c>
      <c r="AN55" s="25"/>
      <c r="AO55" s="25"/>
      <c r="AP55" s="25"/>
      <c r="AQ55" s="25"/>
      <c r="AR55" s="25"/>
      <c r="AS55" s="26"/>
      <c r="AT55" s="25" t="s">
        <v>1424</v>
      </c>
      <c r="AU55" s="25"/>
      <c r="AV55" s="25"/>
      <c r="AW55" s="25"/>
      <c r="AX55" s="25"/>
      <c r="AY55" s="25"/>
      <c r="AZ55" s="25"/>
      <c r="BA55" s="25"/>
      <c r="BB55" s="25"/>
      <c r="BC55" s="25"/>
      <c r="BD55" s="25"/>
      <c r="BE55" s="25"/>
      <c r="BF55" s="25"/>
      <c r="BG55" s="25"/>
      <c r="BH55" s="25"/>
      <c r="BI55" s="25"/>
      <c r="BJ55" s="26"/>
      <c r="BK55" s="4"/>
    </row>
    <row r="56" spans="1:63" ht="15" customHeight="1">
      <c r="A56" s="1"/>
      <c r="B56" s="23">
        <f t="shared" si="1"/>
        <v>37</v>
      </c>
      <c r="C56" s="24"/>
      <c r="D56" s="22" t="s">
        <v>1132</v>
      </c>
      <c r="E56" s="25"/>
      <c r="F56" s="25"/>
      <c r="G56" s="25"/>
      <c r="H56" s="25"/>
      <c r="I56" s="25"/>
      <c r="J56" s="25"/>
      <c r="K56" s="25"/>
      <c r="L56" s="25"/>
      <c r="M56" s="25"/>
      <c r="N56" s="25"/>
      <c r="O56" s="25"/>
      <c r="P56" s="25"/>
      <c r="Q56" s="26"/>
      <c r="R56" s="22" t="s">
        <v>1230</v>
      </c>
      <c r="S56" s="25"/>
      <c r="T56" s="25"/>
      <c r="U56" s="25"/>
      <c r="V56" s="25"/>
      <c r="W56" s="25"/>
      <c r="X56" s="25"/>
      <c r="Y56" s="25"/>
      <c r="Z56" s="25"/>
      <c r="AA56" s="25"/>
      <c r="AB56" s="26"/>
      <c r="AC56" s="22" t="s">
        <v>1034</v>
      </c>
      <c r="AD56" s="25"/>
      <c r="AE56" s="25"/>
      <c r="AF56" s="25"/>
      <c r="AG56" s="26"/>
      <c r="AH56" s="22"/>
      <c r="AI56" s="26"/>
      <c r="AJ56" s="22" t="s">
        <v>1020</v>
      </c>
      <c r="AK56" s="25"/>
      <c r="AL56" s="26"/>
      <c r="AM56" s="22" t="s">
        <v>1425</v>
      </c>
      <c r="AN56" s="25"/>
      <c r="AO56" s="25"/>
      <c r="AP56" s="25"/>
      <c r="AQ56" s="25"/>
      <c r="AR56" s="25"/>
      <c r="AS56" s="26"/>
      <c r="AT56" s="25" t="s">
        <v>1424</v>
      </c>
      <c r="AU56" s="25"/>
      <c r="AV56" s="25"/>
      <c r="AW56" s="25"/>
      <c r="AX56" s="25"/>
      <c r="AY56" s="25"/>
      <c r="AZ56" s="25"/>
      <c r="BA56" s="25"/>
      <c r="BB56" s="25"/>
      <c r="BC56" s="25"/>
      <c r="BD56" s="25"/>
      <c r="BE56" s="25"/>
      <c r="BF56" s="25"/>
      <c r="BG56" s="25"/>
      <c r="BH56" s="25"/>
      <c r="BI56" s="25"/>
      <c r="BJ56" s="26"/>
      <c r="BK56" s="4"/>
    </row>
    <row r="57" spans="1:63" ht="15" customHeight="1">
      <c r="A57" s="1"/>
      <c r="B57" s="23">
        <f t="shared" si="1"/>
        <v>38</v>
      </c>
      <c r="C57" s="24"/>
      <c r="D57" s="22" t="s">
        <v>1134</v>
      </c>
      <c r="E57" s="25"/>
      <c r="F57" s="25"/>
      <c r="G57" s="25"/>
      <c r="H57" s="25"/>
      <c r="I57" s="25"/>
      <c r="J57" s="25"/>
      <c r="K57" s="25"/>
      <c r="L57" s="25"/>
      <c r="M57" s="25"/>
      <c r="N57" s="25"/>
      <c r="O57" s="25"/>
      <c r="P57" s="25"/>
      <c r="Q57" s="26"/>
      <c r="R57" s="22" t="s">
        <v>1231</v>
      </c>
      <c r="S57" s="25"/>
      <c r="T57" s="25"/>
      <c r="U57" s="25"/>
      <c r="V57" s="25"/>
      <c r="W57" s="25"/>
      <c r="X57" s="25"/>
      <c r="Y57" s="25"/>
      <c r="Z57" s="25"/>
      <c r="AA57" s="25"/>
      <c r="AB57" s="26"/>
      <c r="AC57" s="22" t="s">
        <v>1034</v>
      </c>
      <c r="AD57" s="25"/>
      <c r="AE57" s="25"/>
      <c r="AF57" s="25"/>
      <c r="AG57" s="26"/>
      <c r="AH57" s="22"/>
      <c r="AI57" s="26"/>
      <c r="AJ57" s="22" t="s">
        <v>1020</v>
      </c>
      <c r="AK57" s="25"/>
      <c r="AL57" s="26"/>
      <c r="AM57" s="22" t="s">
        <v>1425</v>
      </c>
      <c r="AN57" s="25"/>
      <c r="AO57" s="25"/>
      <c r="AP57" s="25"/>
      <c r="AQ57" s="25"/>
      <c r="AR57" s="25"/>
      <c r="AS57" s="26"/>
      <c r="AT57" s="25" t="s">
        <v>1424</v>
      </c>
      <c r="AU57" s="25"/>
      <c r="AV57" s="25"/>
      <c r="AW57" s="25"/>
      <c r="AX57" s="25"/>
      <c r="AY57" s="25"/>
      <c r="AZ57" s="25"/>
      <c r="BA57" s="25"/>
      <c r="BB57" s="25"/>
      <c r="BC57" s="25"/>
      <c r="BD57" s="25"/>
      <c r="BE57" s="25"/>
      <c r="BF57" s="25"/>
      <c r="BG57" s="25"/>
      <c r="BH57" s="25"/>
      <c r="BI57" s="25"/>
      <c r="BJ57" s="26"/>
      <c r="BK57" s="4"/>
    </row>
    <row r="58" spans="1:63" ht="15" customHeight="1">
      <c r="A58" s="1"/>
      <c r="B58" s="23">
        <f t="shared" si="1"/>
        <v>39</v>
      </c>
      <c r="C58" s="24"/>
      <c r="D58" s="22" t="s">
        <v>1136</v>
      </c>
      <c r="E58" s="25"/>
      <c r="F58" s="25"/>
      <c r="G58" s="25"/>
      <c r="H58" s="25"/>
      <c r="I58" s="25"/>
      <c r="J58" s="25"/>
      <c r="K58" s="25"/>
      <c r="L58" s="25"/>
      <c r="M58" s="25"/>
      <c r="N58" s="25"/>
      <c r="O58" s="25"/>
      <c r="P58" s="25"/>
      <c r="Q58" s="26"/>
      <c r="R58" s="22" t="s">
        <v>1232</v>
      </c>
      <c r="S58" s="25"/>
      <c r="T58" s="25"/>
      <c r="U58" s="25"/>
      <c r="V58" s="25"/>
      <c r="W58" s="25"/>
      <c r="X58" s="25"/>
      <c r="Y58" s="25"/>
      <c r="Z58" s="25"/>
      <c r="AA58" s="25"/>
      <c r="AB58" s="26"/>
      <c r="AC58" s="22" t="s">
        <v>1034</v>
      </c>
      <c r="AD58" s="25"/>
      <c r="AE58" s="25"/>
      <c r="AF58" s="25"/>
      <c r="AG58" s="26"/>
      <c r="AH58" s="22"/>
      <c r="AI58" s="26"/>
      <c r="AJ58" s="22" t="s">
        <v>1020</v>
      </c>
      <c r="AK58" s="25"/>
      <c r="AL58" s="26"/>
      <c r="AM58" s="22" t="s">
        <v>1425</v>
      </c>
      <c r="AN58" s="25"/>
      <c r="AO58" s="25"/>
      <c r="AP58" s="25"/>
      <c r="AQ58" s="25"/>
      <c r="AR58" s="25"/>
      <c r="AS58" s="26"/>
      <c r="AT58" s="25" t="s">
        <v>1424</v>
      </c>
      <c r="AU58" s="25"/>
      <c r="AV58" s="25"/>
      <c r="AW58" s="25"/>
      <c r="AX58" s="25"/>
      <c r="AY58" s="25"/>
      <c r="AZ58" s="25"/>
      <c r="BA58" s="25"/>
      <c r="BB58" s="25"/>
      <c r="BC58" s="25"/>
      <c r="BD58" s="25"/>
      <c r="BE58" s="25"/>
      <c r="BF58" s="25"/>
      <c r="BG58" s="25"/>
      <c r="BH58" s="25"/>
      <c r="BI58" s="25"/>
      <c r="BJ58" s="26"/>
      <c r="BK58" s="4"/>
    </row>
    <row r="59" spans="1:63" ht="15" customHeight="1">
      <c r="A59" s="1"/>
      <c r="B59" s="23">
        <f t="shared" si="1"/>
        <v>40</v>
      </c>
      <c r="C59" s="24"/>
      <c r="D59" s="22" t="s">
        <v>1138</v>
      </c>
      <c r="E59" s="25"/>
      <c r="F59" s="25"/>
      <c r="G59" s="25"/>
      <c r="H59" s="25"/>
      <c r="I59" s="25"/>
      <c r="J59" s="25"/>
      <c r="K59" s="25"/>
      <c r="L59" s="25"/>
      <c r="M59" s="25"/>
      <c r="N59" s="25"/>
      <c r="O59" s="25"/>
      <c r="P59" s="25"/>
      <c r="Q59" s="26"/>
      <c r="R59" s="22" t="s">
        <v>1233</v>
      </c>
      <c r="S59" s="25"/>
      <c r="T59" s="25"/>
      <c r="U59" s="25"/>
      <c r="V59" s="25"/>
      <c r="W59" s="25"/>
      <c r="X59" s="25"/>
      <c r="Y59" s="25"/>
      <c r="Z59" s="25"/>
      <c r="AA59" s="25"/>
      <c r="AB59" s="26"/>
      <c r="AC59" s="22" t="s">
        <v>1034</v>
      </c>
      <c r="AD59" s="25"/>
      <c r="AE59" s="25"/>
      <c r="AF59" s="25"/>
      <c r="AG59" s="26"/>
      <c r="AH59" s="22"/>
      <c r="AI59" s="26"/>
      <c r="AJ59" s="22" t="s">
        <v>1020</v>
      </c>
      <c r="AK59" s="25"/>
      <c r="AL59" s="26"/>
      <c r="AM59" s="22" t="s">
        <v>1425</v>
      </c>
      <c r="AN59" s="25"/>
      <c r="AO59" s="25"/>
      <c r="AP59" s="25"/>
      <c r="AQ59" s="25"/>
      <c r="AR59" s="25"/>
      <c r="AS59" s="26"/>
      <c r="AT59" s="25" t="s">
        <v>1424</v>
      </c>
      <c r="AU59" s="25"/>
      <c r="AV59" s="25"/>
      <c r="AW59" s="25"/>
      <c r="AX59" s="25"/>
      <c r="AY59" s="25"/>
      <c r="AZ59" s="25"/>
      <c r="BA59" s="25"/>
      <c r="BB59" s="25"/>
      <c r="BC59" s="25"/>
      <c r="BD59" s="25"/>
      <c r="BE59" s="25"/>
      <c r="BF59" s="25"/>
      <c r="BG59" s="25"/>
      <c r="BH59" s="25"/>
      <c r="BI59" s="25"/>
      <c r="BJ59" s="26"/>
      <c r="BK59" s="4"/>
    </row>
    <row r="60" spans="1:63" ht="15" customHeight="1">
      <c r="A60" s="1"/>
      <c r="B60" s="23">
        <f t="shared" si="1"/>
        <v>41</v>
      </c>
      <c r="C60" s="24"/>
      <c r="D60" s="22" t="s">
        <v>1140</v>
      </c>
      <c r="E60" s="25"/>
      <c r="F60" s="25"/>
      <c r="G60" s="25"/>
      <c r="H60" s="25"/>
      <c r="I60" s="25"/>
      <c r="J60" s="25"/>
      <c r="K60" s="25"/>
      <c r="L60" s="25"/>
      <c r="M60" s="25"/>
      <c r="N60" s="25"/>
      <c r="O60" s="25"/>
      <c r="P60" s="25"/>
      <c r="Q60" s="26"/>
      <c r="R60" s="22" t="s">
        <v>1234</v>
      </c>
      <c r="S60" s="25"/>
      <c r="T60" s="25"/>
      <c r="U60" s="25"/>
      <c r="V60" s="25"/>
      <c r="W60" s="25"/>
      <c r="X60" s="25"/>
      <c r="Y60" s="25"/>
      <c r="Z60" s="25"/>
      <c r="AA60" s="25"/>
      <c r="AB60" s="26"/>
      <c r="AC60" s="22" t="s">
        <v>1034</v>
      </c>
      <c r="AD60" s="25"/>
      <c r="AE60" s="25"/>
      <c r="AF60" s="25"/>
      <c r="AG60" s="26"/>
      <c r="AH60" s="22"/>
      <c r="AI60" s="26"/>
      <c r="AJ60" s="22" t="s">
        <v>1020</v>
      </c>
      <c r="AK60" s="25"/>
      <c r="AL60" s="26"/>
      <c r="AM60" s="22" t="s">
        <v>1425</v>
      </c>
      <c r="AN60" s="25"/>
      <c r="AO60" s="25"/>
      <c r="AP60" s="25"/>
      <c r="AQ60" s="25"/>
      <c r="AR60" s="25"/>
      <c r="AS60" s="26"/>
      <c r="AT60" s="25" t="s">
        <v>1424</v>
      </c>
      <c r="AU60" s="25"/>
      <c r="AV60" s="25"/>
      <c r="AW60" s="25"/>
      <c r="AX60" s="25"/>
      <c r="AY60" s="25"/>
      <c r="AZ60" s="25"/>
      <c r="BA60" s="25"/>
      <c r="BB60" s="25"/>
      <c r="BC60" s="25"/>
      <c r="BD60" s="25"/>
      <c r="BE60" s="25"/>
      <c r="BF60" s="25"/>
      <c r="BG60" s="25"/>
      <c r="BH60" s="25"/>
      <c r="BI60" s="25"/>
      <c r="BJ60" s="26"/>
      <c r="BK60" s="4"/>
    </row>
    <row r="61" spans="1:63" ht="15" customHeight="1">
      <c r="A61" s="1"/>
      <c r="B61" s="23">
        <f t="shared" si="1"/>
        <v>42</v>
      </c>
      <c r="C61" s="24"/>
      <c r="D61" s="22" t="s">
        <v>1142</v>
      </c>
      <c r="E61" s="25"/>
      <c r="F61" s="25"/>
      <c r="G61" s="25"/>
      <c r="H61" s="25"/>
      <c r="I61" s="25"/>
      <c r="J61" s="25"/>
      <c r="K61" s="25"/>
      <c r="L61" s="25"/>
      <c r="M61" s="25"/>
      <c r="N61" s="25"/>
      <c r="O61" s="25"/>
      <c r="P61" s="25"/>
      <c r="Q61" s="26"/>
      <c r="R61" s="22" t="s">
        <v>1235</v>
      </c>
      <c r="S61" s="25"/>
      <c r="T61" s="25"/>
      <c r="U61" s="25"/>
      <c r="V61" s="25"/>
      <c r="W61" s="25"/>
      <c r="X61" s="25"/>
      <c r="Y61" s="25"/>
      <c r="Z61" s="25"/>
      <c r="AA61" s="25"/>
      <c r="AB61" s="26"/>
      <c r="AC61" s="22" t="s">
        <v>1034</v>
      </c>
      <c r="AD61" s="25"/>
      <c r="AE61" s="25"/>
      <c r="AF61" s="25"/>
      <c r="AG61" s="26"/>
      <c r="AH61" s="22"/>
      <c r="AI61" s="26"/>
      <c r="AJ61" s="22" t="s">
        <v>1020</v>
      </c>
      <c r="AK61" s="25"/>
      <c r="AL61" s="26"/>
      <c r="AM61" s="22" t="s">
        <v>1425</v>
      </c>
      <c r="AN61" s="25"/>
      <c r="AO61" s="25"/>
      <c r="AP61" s="25"/>
      <c r="AQ61" s="25"/>
      <c r="AR61" s="25"/>
      <c r="AS61" s="26"/>
      <c r="AT61" s="25" t="s">
        <v>1424</v>
      </c>
      <c r="AU61" s="25"/>
      <c r="AV61" s="25"/>
      <c r="AW61" s="25"/>
      <c r="AX61" s="25"/>
      <c r="AY61" s="25"/>
      <c r="AZ61" s="25"/>
      <c r="BA61" s="25"/>
      <c r="BB61" s="25"/>
      <c r="BC61" s="25"/>
      <c r="BD61" s="25"/>
      <c r="BE61" s="25"/>
      <c r="BF61" s="25"/>
      <c r="BG61" s="25"/>
      <c r="BH61" s="25"/>
      <c r="BI61" s="25"/>
      <c r="BJ61" s="26"/>
      <c r="BK61" s="4"/>
    </row>
    <row r="62" spans="1:63" ht="15" customHeight="1">
      <c r="A62" s="1"/>
      <c r="B62" s="23">
        <f t="shared" si="1"/>
        <v>43</v>
      </c>
      <c r="C62" s="24"/>
      <c r="D62" s="22" t="s">
        <v>1144</v>
      </c>
      <c r="E62" s="25"/>
      <c r="F62" s="25"/>
      <c r="G62" s="25"/>
      <c r="H62" s="25"/>
      <c r="I62" s="25"/>
      <c r="J62" s="25"/>
      <c r="K62" s="25"/>
      <c r="L62" s="25"/>
      <c r="M62" s="25"/>
      <c r="N62" s="25"/>
      <c r="O62" s="25"/>
      <c r="P62" s="25"/>
      <c r="Q62" s="26"/>
      <c r="R62" s="22" t="s">
        <v>1236</v>
      </c>
      <c r="S62" s="25"/>
      <c r="T62" s="25"/>
      <c r="U62" s="25"/>
      <c r="V62" s="25"/>
      <c r="W62" s="25"/>
      <c r="X62" s="25"/>
      <c r="Y62" s="25"/>
      <c r="Z62" s="25"/>
      <c r="AA62" s="25"/>
      <c r="AB62" s="26"/>
      <c r="AC62" s="22" t="s">
        <v>1034</v>
      </c>
      <c r="AD62" s="25"/>
      <c r="AE62" s="25"/>
      <c r="AF62" s="25"/>
      <c r="AG62" s="26"/>
      <c r="AH62" s="22"/>
      <c r="AI62" s="26"/>
      <c r="AJ62" s="22" t="s">
        <v>1020</v>
      </c>
      <c r="AK62" s="25"/>
      <c r="AL62" s="26"/>
      <c r="AM62" s="22" t="s">
        <v>1425</v>
      </c>
      <c r="AN62" s="25"/>
      <c r="AO62" s="25"/>
      <c r="AP62" s="25"/>
      <c r="AQ62" s="25"/>
      <c r="AR62" s="25"/>
      <c r="AS62" s="26"/>
      <c r="AT62" s="25" t="s">
        <v>1424</v>
      </c>
      <c r="AU62" s="25"/>
      <c r="AV62" s="25"/>
      <c r="AW62" s="25"/>
      <c r="AX62" s="25"/>
      <c r="AY62" s="25"/>
      <c r="AZ62" s="25"/>
      <c r="BA62" s="25"/>
      <c r="BB62" s="25"/>
      <c r="BC62" s="25"/>
      <c r="BD62" s="25"/>
      <c r="BE62" s="25"/>
      <c r="BF62" s="25"/>
      <c r="BG62" s="25"/>
      <c r="BH62" s="25"/>
      <c r="BI62" s="25"/>
      <c r="BJ62" s="26"/>
      <c r="BK62" s="4"/>
    </row>
    <row r="63" spans="1:63" ht="15" customHeight="1">
      <c r="A63" s="1"/>
      <c r="B63" s="23">
        <f t="shared" si="1"/>
        <v>44</v>
      </c>
      <c r="C63" s="24"/>
      <c r="D63" s="22" t="s">
        <v>1146</v>
      </c>
      <c r="E63" s="25"/>
      <c r="F63" s="25"/>
      <c r="G63" s="25"/>
      <c r="H63" s="25"/>
      <c r="I63" s="25"/>
      <c r="J63" s="25"/>
      <c r="K63" s="25"/>
      <c r="L63" s="25"/>
      <c r="M63" s="25"/>
      <c r="N63" s="25"/>
      <c r="O63" s="25"/>
      <c r="P63" s="25"/>
      <c r="Q63" s="26"/>
      <c r="R63" s="22" t="s">
        <v>1237</v>
      </c>
      <c r="S63" s="25"/>
      <c r="T63" s="25"/>
      <c r="U63" s="25"/>
      <c r="V63" s="25"/>
      <c r="W63" s="25"/>
      <c r="X63" s="25"/>
      <c r="Y63" s="25"/>
      <c r="Z63" s="25"/>
      <c r="AA63" s="25"/>
      <c r="AB63" s="26"/>
      <c r="AC63" s="22" t="s">
        <v>1034</v>
      </c>
      <c r="AD63" s="25"/>
      <c r="AE63" s="25"/>
      <c r="AF63" s="25"/>
      <c r="AG63" s="26"/>
      <c r="AH63" s="22"/>
      <c r="AI63" s="26"/>
      <c r="AJ63" s="22" t="s">
        <v>1020</v>
      </c>
      <c r="AK63" s="25"/>
      <c r="AL63" s="26"/>
      <c r="AM63" s="22" t="s">
        <v>1425</v>
      </c>
      <c r="AN63" s="25"/>
      <c r="AO63" s="25"/>
      <c r="AP63" s="25"/>
      <c r="AQ63" s="25"/>
      <c r="AR63" s="25"/>
      <c r="AS63" s="26"/>
      <c r="AT63" s="25" t="s">
        <v>1424</v>
      </c>
      <c r="AU63" s="25"/>
      <c r="AV63" s="25"/>
      <c r="AW63" s="25"/>
      <c r="AX63" s="25"/>
      <c r="AY63" s="25"/>
      <c r="AZ63" s="25"/>
      <c r="BA63" s="25"/>
      <c r="BB63" s="25"/>
      <c r="BC63" s="25"/>
      <c r="BD63" s="25"/>
      <c r="BE63" s="25"/>
      <c r="BF63" s="25"/>
      <c r="BG63" s="25"/>
      <c r="BH63" s="25"/>
      <c r="BI63" s="25"/>
      <c r="BJ63" s="26"/>
      <c r="BK63" s="4"/>
    </row>
    <row r="64" spans="1:63" ht="15" customHeight="1">
      <c r="A64" s="1"/>
      <c r="B64" s="23">
        <f t="shared" si="1"/>
        <v>45</v>
      </c>
      <c r="C64" s="24"/>
      <c r="D64" s="22" t="s">
        <v>1148</v>
      </c>
      <c r="E64" s="25"/>
      <c r="F64" s="25"/>
      <c r="G64" s="25"/>
      <c r="H64" s="25"/>
      <c r="I64" s="25"/>
      <c r="J64" s="25"/>
      <c r="K64" s="25"/>
      <c r="L64" s="25"/>
      <c r="M64" s="25"/>
      <c r="N64" s="25"/>
      <c r="O64" s="25"/>
      <c r="P64" s="25"/>
      <c r="Q64" s="26"/>
      <c r="R64" s="22" t="s">
        <v>1238</v>
      </c>
      <c r="S64" s="25"/>
      <c r="T64" s="25"/>
      <c r="U64" s="25"/>
      <c r="V64" s="25"/>
      <c r="W64" s="25"/>
      <c r="X64" s="25"/>
      <c r="Y64" s="25"/>
      <c r="Z64" s="25"/>
      <c r="AA64" s="25"/>
      <c r="AB64" s="26"/>
      <c r="AC64" s="22" t="s">
        <v>1034</v>
      </c>
      <c r="AD64" s="25"/>
      <c r="AE64" s="25"/>
      <c r="AF64" s="25"/>
      <c r="AG64" s="26"/>
      <c r="AH64" s="22"/>
      <c r="AI64" s="26"/>
      <c r="AJ64" s="22" t="s">
        <v>1020</v>
      </c>
      <c r="AK64" s="25"/>
      <c r="AL64" s="26"/>
      <c r="AM64" s="22" t="s">
        <v>1425</v>
      </c>
      <c r="AN64" s="25"/>
      <c r="AO64" s="25"/>
      <c r="AP64" s="25"/>
      <c r="AQ64" s="25"/>
      <c r="AR64" s="25"/>
      <c r="AS64" s="26"/>
      <c r="AT64" s="25" t="s">
        <v>1424</v>
      </c>
      <c r="AU64" s="25"/>
      <c r="AV64" s="25"/>
      <c r="AW64" s="25"/>
      <c r="AX64" s="25"/>
      <c r="AY64" s="25"/>
      <c r="AZ64" s="25"/>
      <c r="BA64" s="25"/>
      <c r="BB64" s="25"/>
      <c r="BC64" s="25"/>
      <c r="BD64" s="25"/>
      <c r="BE64" s="25"/>
      <c r="BF64" s="25"/>
      <c r="BG64" s="25"/>
      <c r="BH64" s="25"/>
      <c r="BI64" s="25"/>
      <c r="BJ64" s="26"/>
      <c r="BK64" s="4"/>
    </row>
    <row r="65" spans="1:63" ht="15" customHeight="1">
      <c r="A65" s="1"/>
      <c r="B65" s="23">
        <f t="shared" si="1"/>
        <v>46</v>
      </c>
      <c r="C65" s="24"/>
      <c r="D65" s="22" t="s">
        <v>1150</v>
      </c>
      <c r="E65" s="25"/>
      <c r="F65" s="25"/>
      <c r="G65" s="25"/>
      <c r="H65" s="25"/>
      <c r="I65" s="25"/>
      <c r="J65" s="25"/>
      <c r="K65" s="25"/>
      <c r="L65" s="25"/>
      <c r="M65" s="25"/>
      <c r="N65" s="25"/>
      <c r="O65" s="25"/>
      <c r="P65" s="25"/>
      <c r="Q65" s="26"/>
      <c r="R65" s="22" t="s">
        <v>1239</v>
      </c>
      <c r="S65" s="25"/>
      <c r="T65" s="25"/>
      <c r="U65" s="25"/>
      <c r="V65" s="25"/>
      <c r="W65" s="25"/>
      <c r="X65" s="25"/>
      <c r="Y65" s="25"/>
      <c r="Z65" s="25"/>
      <c r="AA65" s="25"/>
      <c r="AB65" s="26"/>
      <c r="AC65" s="22" t="s">
        <v>1034</v>
      </c>
      <c r="AD65" s="25"/>
      <c r="AE65" s="25"/>
      <c r="AF65" s="25"/>
      <c r="AG65" s="26"/>
      <c r="AH65" s="22"/>
      <c r="AI65" s="26"/>
      <c r="AJ65" s="22" t="s">
        <v>1020</v>
      </c>
      <c r="AK65" s="25"/>
      <c r="AL65" s="26"/>
      <c r="AM65" s="22" t="s">
        <v>1425</v>
      </c>
      <c r="AN65" s="25"/>
      <c r="AO65" s="25"/>
      <c r="AP65" s="25"/>
      <c r="AQ65" s="25"/>
      <c r="AR65" s="25"/>
      <c r="AS65" s="26"/>
      <c r="AT65" s="25" t="s">
        <v>1424</v>
      </c>
      <c r="AU65" s="25"/>
      <c r="AV65" s="25"/>
      <c r="AW65" s="25"/>
      <c r="AX65" s="25"/>
      <c r="AY65" s="25"/>
      <c r="AZ65" s="25"/>
      <c r="BA65" s="25"/>
      <c r="BB65" s="25"/>
      <c r="BC65" s="25"/>
      <c r="BD65" s="25"/>
      <c r="BE65" s="25"/>
      <c r="BF65" s="25"/>
      <c r="BG65" s="25"/>
      <c r="BH65" s="25"/>
      <c r="BI65" s="25"/>
      <c r="BJ65" s="26"/>
      <c r="BK65" s="4"/>
    </row>
    <row r="66" spans="1:63" ht="15" customHeight="1">
      <c r="A66" s="1"/>
      <c r="B66" s="23">
        <f t="shared" si="1"/>
        <v>47</v>
      </c>
      <c r="C66" s="24"/>
      <c r="D66" s="22" t="s">
        <v>1152</v>
      </c>
      <c r="E66" s="25"/>
      <c r="F66" s="25"/>
      <c r="G66" s="25"/>
      <c r="H66" s="25"/>
      <c r="I66" s="25"/>
      <c r="J66" s="25"/>
      <c r="K66" s="25"/>
      <c r="L66" s="25"/>
      <c r="M66" s="25"/>
      <c r="N66" s="25"/>
      <c r="O66" s="25"/>
      <c r="P66" s="25"/>
      <c r="Q66" s="26"/>
      <c r="R66" s="22" t="s">
        <v>1240</v>
      </c>
      <c r="S66" s="25"/>
      <c r="T66" s="25"/>
      <c r="U66" s="25"/>
      <c r="V66" s="25"/>
      <c r="W66" s="25"/>
      <c r="X66" s="25"/>
      <c r="Y66" s="25"/>
      <c r="Z66" s="25"/>
      <c r="AA66" s="25"/>
      <c r="AB66" s="26"/>
      <c r="AC66" s="22" t="s">
        <v>1034</v>
      </c>
      <c r="AD66" s="25"/>
      <c r="AE66" s="25"/>
      <c r="AF66" s="25"/>
      <c r="AG66" s="26"/>
      <c r="AH66" s="22"/>
      <c r="AI66" s="26"/>
      <c r="AJ66" s="22" t="s">
        <v>1020</v>
      </c>
      <c r="AK66" s="25"/>
      <c r="AL66" s="26"/>
      <c r="AM66" s="22" t="s">
        <v>1425</v>
      </c>
      <c r="AN66" s="25"/>
      <c r="AO66" s="25"/>
      <c r="AP66" s="25"/>
      <c r="AQ66" s="25"/>
      <c r="AR66" s="25"/>
      <c r="AS66" s="26"/>
      <c r="AT66" s="25" t="s">
        <v>1424</v>
      </c>
      <c r="AU66" s="25"/>
      <c r="AV66" s="25"/>
      <c r="AW66" s="25"/>
      <c r="AX66" s="25"/>
      <c r="AY66" s="25"/>
      <c r="AZ66" s="25"/>
      <c r="BA66" s="25"/>
      <c r="BB66" s="25"/>
      <c r="BC66" s="25"/>
      <c r="BD66" s="25"/>
      <c r="BE66" s="25"/>
      <c r="BF66" s="25"/>
      <c r="BG66" s="25"/>
      <c r="BH66" s="25"/>
      <c r="BI66" s="25"/>
      <c r="BJ66" s="26"/>
      <c r="BK66" s="4"/>
    </row>
    <row r="67" spans="1:63" ht="15" customHeight="1">
      <c r="A67" s="1"/>
      <c r="B67" s="23">
        <f t="shared" si="1"/>
        <v>48</v>
      </c>
      <c r="C67" s="24"/>
      <c r="D67" s="22" t="s">
        <v>1154</v>
      </c>
      <c r="E67" s="25"/>
      <c r="F67" s="25"/>
      <c r="G67" s="25"/>
      <c r="H67" s="25"/>
      <c r="I67" s="25"/>
      <c r="J67" s="25"/>
      <c r="K67" s="25"/>
      <c r="L67" s="25"/>
      <c r="M67" s="25"/>
      <c r="N67" s="25"/>
      <c r="O67" s="25"/>
      <c r="P67" s="25"/>
      <c r="Q67" s="26"/>
      <c r="R67" s="22" t="s">
        <v>1241</v>
      </c>
      <c r="S67" s="25"/>
      <c r="T67" s="25"/>
      <c r="U67" s="25"/>
      <c r="V67" s="25"/>
      <c r="W67" s="25"/>
      <c r="X67" s="25"/>
      <c r="Y67" s="25"/>
      <c r="Z67" s="25"/>
      <c r="AA67" s="25"/>
      <c r="AB67" s="26"/>
      <c r="AC67" s="22" t="s">
        <v>1034</v>
      </c>
      <c r="AD67" s="25"/>
      <c r="AE67" s="25"/>
      <c r="AF67" s="25"/>
      <c r="AG67" s="26"/>
      <c r="AH67" s="22"/>
      <c r="AI67" s="26"/>
      <c r="AJ67" s="22" t="s">
        <v>1020</v>
      </c>
      <c r="AK67" s="25"/>
      <c r="AL67" s="26"/>
      <c r="AM67" s="22" t="s">
        <v>1425</v>
      </c>
      <c r="AN67" s="25"/>
      <c r="AO67" s="25"/>
      <c r="AP67" s="25"/>
      <c r="AQ67" s="25"/>
      <c r="AR67" s="25"/>
      <c r="AS67" s="26"/>
      <c r="AT67" s="25" t="s">
        <v>1424</v>
      </c>
      <c r="AU67" s="25"/>
      <c r="AV67" s="25"/>
      <c r="AW67" s="25"/>
      <c r="AX67" s="25"/>
      <c r="AY67" s="25"/>
      <c r="AZ67" s="25"/>
      <c r="BA67" s="25"/>
      <c r="BB67" s="25"/>
      <c r="BC67" s="25"/>
      <c r="BD67" s="25"/>
      <c r="BE67" s="25"/>
      <c r="BF67" s="25"/>
      <c r="BG67" s="25"/>
      <c r="BH67" s="25"/>
      <c r="BI67" s="25"/>
      <c r="BJ67" s="26"/>
      <c r="BK67" s="4"/>
    </row>
    <row r="68" spans="1:63" ht="15" customHeight="1">
      <c r="A68" s="1"/>
      <c r="B68" s="23">
        <f t="shared" si="1"/>
        <v>49</v>
      </c>
      <c r="C68" s="24"/>
      <c r="D68" s="22" t="s">
        <v>1156</v>
      </c>
      <c r="E68" s="25"/>
      <c r="F68" s="25"/>
      <c r="G68" s="25"/>
      <c r="H68" s="25"/>
      <c r="I68" s="25"/>
      <c r="J68" s="25"/>
      <c r="K68" s="25"/>
      <c r="L68" s="25"/>
      <c r="M68" s="25"/>
      <c r="N68" s="25"/>
      <c r="O68" s="25"/>
      <c r="P68" s="25"/>
      <c r="Q68" s="26"/>
      <c r="R68" s="22" t="s">
        <v>1242</v>
      </c>
      <c r="S68" s="25"/>
      <c r="T68" s="25"/>
      <c r="U68" s="25"/>
      <c r="V68" s="25"/>
      <c r="W68" s="25"/>
      <c r="X68" s="25"/>
      <c r="Y68" s="25"/>
      <c r="Z68" s="25"/>
      <c r="AA68" s="25"/>
      <c r="AB68" s="26"/>
      <c r="AC68" s="22" t="s">
        <v>1034</v>
      </c>
      <c r="AD68" s="25"/>
      <c r="AE68" s="25"/>
      <c r="AF68" s="25"/>
      <c r="AG68" s="26"/>
      <c r="AH68" s="22"/>
      <c r="AI68" s="26"/>
      <c r="AJ68" s="22" t="s">
        <v>1020</v>
      </c>
      <c r="AK68" s="25"/>
      <c r="AL68" s="26"/>
      <c r="AM68" s="22" t="s">
        <v>1425</v>
      </c>
      <c r="AN68" s="25"/>
      <c r="AO68" s="25"/>
      <c r="AP68" s="25"/>
      <c r="AQ68" s="25"/>
      <c r="AR68" s="25"/>
      <c r="AS68" s="26"/>
      <c r="AT68" s="25" t="s">
        <v>1424</v>
      </c>
      <c r="AU68" s="25"/>
      <c r="AV68" s="25"/>
      <c r="AW68" s="25"/>
      <c r="AX68" s="25"/>
      <c r="AY68" s="25"/>
      <c r="AZ68" s="25"/>
      <c r="BA68" s="25"/>
      <c r="BB68" s="25"/>
      <c r="BC68" s="25"/>
      <c r="BD68" s="25"/>
      <c r="BE68" s="25"/>
      <c r="BF68" s="25"/>
      <c r="BG68" s="25"/>
      <c r="BH68" s="25"/>
      <c r="BI68" s="25"/>
      <c r="BJ68" s="26"/>
      <c r="BK68" s="4"/>
    </row>
    <row r="69" spans="1:63" ht="15" customHeight="1">
      <c r="A69" s="1"/>
      <c r="B69" s="28">
        <f t="shared" si="1"/>
        <v>50</v>
      </c>
      <c r="C69" s="29"/>
      <c r="D69" s="30" t="s">
        <v>1158</v>
      </c>
      <c r="E69" s="31"/>
      <c r="F69" s="31"/>
      <c r="G69" s="31"/>
      <c r="H69" s="31"/>
      <c r="I69" s="31"/>
      <c r="J69" s="31"/>
      <c r="K69" s="31"/>
      <c r="L69" s="31"/>
      <c r="M69" s="31"/>
      <c r="N69" s="31"/>
      <c r="O69" s="31"/>
      <c r="P69" s="31"/>
      <c r="Q69" s="32"/>
      <c r="R69" s="30" t="s">
        <v>1243</v>
      </c>
      <c r="S69" s="31"/>
      <c r="T69" s="31"/>
      <c r="U69" s="31"/>
      <c r="V69" s="31"/>
      <c r="W69" s="31"/>
      <c r="X69" s="31"/>
      <c r="Y69" s="31"/>
      <c r="Z69" s="31"/>
      <c r="AA69" s="31"/>
      <c r="AB69" s="32"/>
      <c r="AC69" s="30" t="s">
        <v>1034</v>
      </c>
      <c r="AD69" s="31"/>
      <c r="AE69" s="31"/>
      <c r="AF69" s="31"/>
      <c r="AG69" s="32"/>
      <c r="AH69" s="30"/>
      <c r="AI69" s="32"/>
      <c r="AJ69" s="30" t="s">
        <v>1020</v>
      </c>
      <c r="AK69" s="31"/>
      <c r="AL69" s="32"/>
      <c r="AM69" s="30" t="s">
        <v>1425</v>
      </c>
      <c r="AN69" s="31"/>
      <c r="AO69" s="31"/>
      <c r="AP69" s="31"/>
      <c r="AQ69" s="31"/>
      <c r="AR69" s="31"/>
      <c r="AS69" s="32"/>
      <c r="AT69" s="31" t="s">
        <v>1424</v>
      </c>
      <c r="AU69" s="31"/>
      <c r="AV69" s="31"/>
      <c r="AW69" s="31"/>
      <c r="AX69" s="31"/>
      <c r="AY69" s="31"/>
      <c r="AZ69" s="31"/>
      <c r="BA69" s="31"/>
      <c r="BB69" s="31"/>
      <c r="BC69" s="31"/>
      <c r="BD69" s="31"/>
      <c r="BE69" s="31"/>
      <c r="BF69" s="31"/>
      <c r="BG69" s="31"/>
      <c r="BH69" s="31"/>
      <c r="BI69" s="31"/>
      <c r="BJ69" s="32"/>
      <c r="BK69" s="4"/>
    </row>
    <row r="70" spans="1:63" ht="15" customHeight="1">
      <c r="A70" s="1"/>
      <c r="BK70" s="4"/>
    </row>
    <row r="71" spans="1:63" ht="15" customHeight="1">
      <c r="A71" s="1"/>
      <c r="B71" s="37" t="s">
        <v>49</v>
      </c>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4"/>
    </row>
    <row r="72" spans="1:63" ht="15" customHeight="1">
      <c r="A72" s="1"/>
      <c r="B72" s="34" t="s">
        <v>50</v>
      </c>
      <c r="C72" s="35"/>
      <c r="D72" s="34" t="s">
        <v>51</v>
      </c>
      <c r="E72" s="44"/>
      <c r="F72" s="36"/>
      <c r="G72" s="36"/>
      <c r="H72" s="36"/>
      <c r="I72" s="36"/>
      <c r="J72" s="36"/>
      <c r="K72" s="36"/>
      <c r="L72" s="36"/>
      <c r="M72" s="36"/>
      <c r="N72" s="36"/>
      <c r="O72" s="36"/>
      <c r="P72" s="36"/>
      <c r="Q72" s="35"/>
      <c r="R72" s="34" t="s">
        <v>52</v>
      </c>
      <c r="S72" s="44"/>
      <c r="T72" s="36"/>
      <c r="U72" s="36"/>
      <c r="V72" s="36"/>
      <c r="W72" s="36"/>
      <c r="X72" s="36"/>
      <c r="Y72" s="36"/>
      <c r="Z72" s="36"/>
      <c r="AA72" s="36"/>
      <c r="AB72" s="36"/>
      <c r="AC72" s="36"/>
      <c r="AD72" s="36"/>
      <c r="AE72" s="36"/>
      <c r="AF72" s="36"/>
      <c r="AG72" s="36"/>
      <c r="AH72" s="36"/>
      <c r="AI72" s="36"/>
      <c r="AJ72" s="36"/>
      <c r="AK72" s="35"/>
      <c r="AL72" s="34" t="s">
        <v>53</v>
      </c>
      <c r="AM72" s="36"/>
      <c r="AN72" s="36"/>
      <c r="AO72" s="45"/>
      <c r="AP72" s="34" t="s">
        <v>54</v>
      </c>
      <c r="AQ72" s="36"/>
      <c r="AR72" s="36"/>
      <c r="AS72" s="35"/>
      <c r="AT72" s="34" t="s">
        <v>48</v>
      </c>
      <c r="AU72" s="44"/>
      <c r="AV72" s="44"/>
      <c r="AW72" s="36"/>
      <c r="AX72" s="36"/>
      <c r="AY72" s="44"/>
      <c r="AZ72" s="36"/>
      <c r="BA72" s="36"/>
      <c r="BB72" s="36"/>
      <c r="BC72" s="36"/>
      <c r="BD72" s="36"/>
      <c r="BE72" s="36"/>
      <c r="BF72" s="36"/>
      <c r="BG72" s="36"/>
      <c r="BH72" s="36"/>
      <c r="BI72" s="44"/>
      <c r="BJ72" s="35"/>
      <c r="BK72" s="4"/>
    </row>
    <row r="73" spans="1:63" ht="15" customHeight="1">
      <c r="A73" s="1"/>
      <c r="B73" s="38">
        <v>1</v>
      </c>
      <c r="C73" s="39"/>
      <c r="D73" s="38" t="s">
        <v>55</v>
      </c>
      <c r="E73" s="46"/>
      <c r="F73" s="40"/>
      <c r="G73" s="40"/>
      <c r="H73" s="40"/>
      <c r="I73" s="40"/>
      <c r="J73" s="40"/>
      <c r="K73" s="40"/>
      <c r="L73" s="40"/>
      <c r="M73" s="40"/>
      <c r="N73" s="40"/>
      <c r="O73" s="40"/>
      <c r="P73" s="40"/>
      <c r="Q73" s="39"/>
      <c r="R73" s="38" t="s">
        <v>1160</v>
      </c>
      <c r="S73" s="46"/>
      <c r="T73" s="40"/>
      <c r="U73" s="40"/>
      <c r="V73" s="40"/>
      <c r="W73" s="40"/>
      <c r="X73" s="40"/>
      <c r="Y73" s="40"/>
      <c r="Z73" s="40"/>
      <c r="AA73" s="40"/>
      <c r="AB73" s="40"/>
      <c r="AC73" s="40"/>
      <c r="AD73" s="40"/>
      <c r="AE73" s="40"/>
      <c r="AF73" s="40"/>
      <c r="AG73" s="40"/>
      <c r="AH73" s="40"/>
      <c r="AI73" s="40"/>
      <c r="AJ73" s="40"/>
      <c r="AK73" s="39"/>
      <c r="AL73" s="38" t="s">
        <v>1161</v>
      </c>
      <c r="AM73" s="40"/>
      <c r="AN73" s="40"/>
      <c r="AO73" s="47"/>
      <c r="AP73" s="38" t="s">
        <v>1161</v>
      </c>
      <c r="AQ73" s="40"/>
      <c r="AR73" s="40"/>
      <c r="AS73" s="39"/>
      <c r="AT73" s="38"/>
      <c r="AU73" s="46"/>
      <c r="AV73" s="46"/>
      <c r="AW73" s="40"/>
      <c r="AX73" s="40"/>
      <c r="AY73" s="46"/>
      <c r="AZ73" s="40"/>
      <c r="BA73" s="40"/>
      <c r="BB73" s="40"/>
      <c r="BC73" s="40"/>
      <c r="BD73" s="40"/>
      <c r="BE73" s="40"/>
      <c r="BF73" s="40"/>
      <c r="BG73" s="40"/>
      <c r="BH73" s="40"/>
      <c r="BI73" s="46"/>
      <c r="BJ73" s="39"/>
      <c r="BK73" s="4"/>
    </row>
    <row r="74" spans="1:63" ht="15" customHeight="1">
      <c r="A74" s="1"/>
      <c r="BK74" s="4"/>
    </row>
    <row r="75" spans="1:63" ht="15" customHeight="1">
      <c r="A75" s="1"/>
      <c r="B75" s="37" t="s">
        <v>34</v>
      </c>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4"/>
    </row>
    <row r="76" spans="1:63" ht="15" customHeight="1">
      <c r="A76" s="1"/>
      <c r="B76" s="34" t="s">
        <v>35</v>
      </c>
      <c r="C76" s="45"/>
      <c r="D76" s="34" t="s">
        <v>36</v>
      </c>
      <c r="E76" s="44"/>
      <c r="F76" s="44"/>
      <c r="G76" s="44"/>
      <c r="H76" s="44"/>
      <c r="I76" s="44"/>
      <c r="J76" s="44"/>
      <c r="K76" s="44"/>
      <c r="L76" s="36"/>
      <c r="M76" s="36"/>
      <c r="N76" s="36"/>
      <c r="O76" s="36"/>
      <c r="P76" s="36"/>
      <c r="Q76" s="35"/>
      <c r="R76" s="34" t="s">
        <v>37</v>
      </c>
      <c r="S76" s="36"/>
      <c r="T76" s="45"/>
      <c r="U76" s="34" t="s">
        <v>38</v>
      </c>
      <c r="V76" s="36"/>
      <c r="W76" s="44"/>
      <c r="X76" s="45"/>
      <c r="Y76" s="34" t="s">
        <v>39</v>
      </c>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5"/>
      <c r="BK76" s="4"/>
    </row>
    <row r="77" spans="1:63" ht="15" customHeight="1">
      <c r="A77" s="1"/>
      <c r="B77" s="41">
        <v>1</v>
      </c>
      <c r="C77" s="47"/>
      <c r="D77" s="41" t="str">
        <f>G10&amp;"_"&amp;R77&amp;"_"&amp;"trg"</f>
        <v>PosDeviceSetting_update_trg</v>
      </c>
      <c r="E77" s="46"/>
      <c r="F77" s="46"/>
      <c r="G77" s="46"/>
      <c r="H77" s="46"/>
      <c r="I77" s="46"/>
      <c r="J77" s="46"/>
      <c r="K77" s="46"/>
      <c r="L77" s="42"/>
      <c r="M77" s="42"/>
      <c r="N77" s="42"/>
      <c r="O77" s="42"/>
      <c r="P77" s="42"/>
      <c r="Q77" s="43"/>
      <c r="R77" s="41" t="s">
        <v>40</v>
      </c>
      <c r="S77" s="42"/>
      <c r="T77" s="47"/>
      <c r="U77" s="41" t="s">
        <v>41</v>
      </c>
      <c r="V77" s="42"/>
      <c r="W77" s="46"/>
      <c r="X77" s="47"/>
      <c r="Y77" s="41" t="s">
        <v>42</v>
      </c>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3"/>
      <c r="BK77" s="4"/>
    </row>
    <row r="78" spans="1:63" ht="15" customHeight="1">
      <c r="A78" s="1"/>
      <c r="BK78" s="4"/>
    </row>
    <row r="79" spans="1:63" ht="15" customHeight="1">
      <c r="A79" s="1"/>
      <c r="B79" t="s">
        <v>1162</v>
      </c>
      <c r="BK79" s="4"/>
    </row>
    <row r="80" spans="1:63" ht="15" customHeight="1">
      <c r="A80" s="1"/>
      <c r="B80" s="320" t="s">
        <v>1163</v>
      </c>
      <c r="C80" s="320"/>
      <c r="D80" s="320"/>
      <c r="E80" s="320"/>
      <c r="F80" s="320" t="s">
        <v>1164</v>
      </c>
      <c r="G80" s="320"/>
      <c r="H80" s="320"/>
      <c r="I80" s="320"/>
      <c r="J80" s="320"/>
      <c r="K80" s="320"/>
      <c r="L80" s="320"/>
      <c r="M80" s="320"/>
      <c r="N80" s="320"/>
      <c r="O80" s="320"/>
      <c r="P80" s="320"/>
      <c r="Q80" s="320"/>
      <c r="R80" s="320"/>
      <c r="S80" s="320"/>
      <c r="T80" s="320"/>
      <c r="U80" s="320"/>
      <c r="V80" s="320"/>
      <c r="W80" s="320"/>
      <c r="X80" s="320"/>
      <c r="Y80" s="320"/>
      <c r="Z80" s="320"/>
      <c r="AA80" s="321" t="s">
        <v>1165</v>
      </c>
      <c r="AB80" s="321"/>
      <c r="AC80" s="321"/>
      <c r="AD80" s="321"/>
      <c r="AE80" s="321"/>
      <c r="AF80" s="321" t="s">
        <v>1166</v>
      </c>
      <c r="AG80" s="321"/>
      <c r="AH80" s="321"/>
      <c r="AI80" s="321"/>
      <c r="AJ80" s="321"/>
      <c r="AL80" t="s">
        <v>1167</v>
      </c>
      <c r="BK80" s="4"/>
    </row>
    <row r="81" spans="1:65" ht="15" customHeight="1">
      <c r="A81" s="1"/>
      <c r="B81" s="322" t="s">
        <v>1168</v>
      </c>
      <c r="C81" s="322"/>
      <c r="D81" s="322"/>
      <c r="E81" s="322"/>
      <c r="F81" s="322" t="s">
        <v>1169</v>
      </c>
      <c r="G81" s="322"/>
      <c r="H81" s="322"/>
      <c r="I81" s="322"/>
      <c r="J81" s="322"/>
      <c r="K81" s="322"/>
      <c r="L81" s="322"/>
      <c r="M81" s="322"/>
      <c r="N81" s="322"/>
      <c r="O81" s="322"/>
      <c r="P81" s="322"/>
      <c r="Q81" s="322"/>
      <c r="R81" s="322"/>
      <c r="S81" s="322"/>
      <c r="T81" s="322"/>
      <c r="U81" s="322"/>
      <c r="V81" s="322"/>
      <c r="W81" s="322"/>
      <c r="X81" s="322"/>
      <c r="Y81" s="322"/>
      <c r="Z81" s="322"/>
      <c r="AA81" s="323" t="s">
        <v>1170</v>
      </c>
      <c r="AB81" s="323"/>
      <c r="AC81" s="323"/>
      <c r="AD81" s="323"/>
      <c r="AE81" s="323"/>
      <c r="AF81" s="323" t="s">
        <v>1171</v>
      </c>
      <c r="AG81" s="323"/>
      <c r="AH81" s="323"/>
      <c r="AI81" s="323"/>
      <c r="AJ81" s="323"/>
      <c r="AL81" t="s">
        <v>1172</v>
      </c>
      <c r="BK81" s="4"/>
    </row>
    <row r="82" spans="1:65" ht="15" customHeight="1">
      <c r="A82" s="1"/>
      <c r="BK82" s="4"/>
    </row>
    <row r="83" spans="1:65" ht="15" customHeight="1">
      <c r="A83" s="1"/>
      <c r="B83" s="128" t="s">
        <v>1173</v>
      </c>
      <c r="C83" s="129"/>
      <c r="D83" s="129"/>
      <c r="E83" s="129"/>
      <c r="F83" s="129"/>
      <c r="G83" s="129"/>
      <c r="H83" s="129"/>
      <c r="I83" s="129"/>
      <c r="J83" s="129"/>
      <c r="K83" s="129"/>
      <c r="L83" s="129"/>
      <c r="M83" s="129"/>
      <c r="N83" s="129"/>
      <c r="O83" s="129"/>
      <c r="P83" s="129"/>
      <c r="Q83" s="129"/>
      <c r="R83" s="129"/>
      <c r="S83" s="129"/>
      <c r="T83" s="129"/>
      <c r="U83" s="129"/>
      <c r="V83" s="129"/>
      <c r="W83" s="129"/>
      <c r="X83" s="129"/>
      <c r="Y83" s="129"/>
      <c r="Z83" s="129"/>
      <c r="AA83" s="129"/>
      <c r="AB83" s="129"/>
      <c r="AC83" s="129"/>
      <c r="AD83" s="129"/>
      <c r="AE83" s="129"/>
      <c r="AF83" s="129"/>
      <c r="AG83" s="129"/>
      <c r="AH83" s="129"/>
      <c r="AI83" s="129"/>
      <c r="AJ83" s="129"/>
      <c r="AK83" s="129"/>
      <c r="AL83" s="129"/>
      <c r="AM83" s="130"/>
      <c r="AN83" s="131" t="s">
        <v>1174</v>
      </c>
      <c r="AO83" s="132"/>
      <c r="AP83" s="132"/>
      <c r="AQ83" s="132"/>
      <c r="AR83" s="132"/>
      <c r="AS83" s="132"/>
      <c r="AT83" s="132"/>
      <c r="AU83" s="132"/>
      <c r="AV83" s="132"/>
      <c r="AW83" s="132"/>
      <c r="AX83" s="132"/>
      <c r="AY83" s="132"/>
      <c r="AZ83" s="132"/>
      <c r="BA83" s="132"/>
      <c r="BB83" s="132"/>
      <c r="BC83" s="132"/>
      <c r="BD83" s="132"/>
      <c r="BE83" s="132"/>
      <c r="BF83" s="132"/>
      <c r="BG83" s="132"/>
      <c r="BH83" s="133"/>
      <c r="BI83" s="133"/>
      <c r="BJ83" s="134"/>
      <c r="BK83" s="4"/>
    </row>
    <row r="84" spans="1:65" ht="15" customHeight="1">
      <c r="A84" s="1"/>
      <c r="B84" s="135" t="s">
        <v>1175</v>
      </c>
      <c r="C84" s="136"/>
      <c r="D84" s="136"/>
      <c r="E84" s="136"/>
      <c r="F84" s="136"/>
      <c r="G84" s="136"/>
      <c r="H84" s="136"/>
      <c r="I84" s="137" t="s">
        <v>1176</v>
      </c>
      <c r="J84" s="136"/>
      <c r="K84" s="136"/>
      <c r="L84" s="137" t="s">
        <v>1177</v>
      </c>
      <c r="M84" s="138"/>
      <c r="N84" s="138"/>
      <c r="O84" s="139" t="s">
        <v>1178</v>
      </c>
      <c r="P84" s="138"/>
      <c r="Q84" s="136"/>
      <c r="R84" s="137" t="s">
        <v>1179</v>
      </c>
      <c r="S84" s="138"/>
      <c r="T84" s="138"/>
      <c r="U84" s="136"/>
      <c r="V84" s="140"/>
      <c r="W84" s="140"/>
      <c r="X84" s="136"/>
      <c r="Y84" s="136"/>
      <c r="Z84" s="136"/>
      <c r="AA84" s="136"/>
      <c r="AB84" s="137" t="s">
        <v>1180</v>
      </c>
      <c r="AC84" s="136"/>
      <c r="AD84" s="136"/>
      <c r="AE84" s="136"/>
      <c r="AF84" s="140"/>
      <c r="AG84" s="140"/>
      <c r="AH84" s="140"/>
      <c r="AI84" s="136"/>
      <c r="AJ84" s="136"/>
      <c r="AK84" s="136"/>
      <c r="AL84" s="136"/>
      <c r="AM84" s="141"/>
      <c r="AN84" s="142"/>
      <c r="AO84" s="143"/>
      <c r="AP84" s="144"/>
      <c r="AQ84" s="143"/>
      <c r="AR84" s="143"/>
      <c r="AS84" s="143"/>
      <c r="AT84" s="143"/>
      <c r="AU84" s="143"/>
      <c r="AV84" s="143"/>
      <c r="AW84" s="143"/>
      <c r="AX84" s="143"/>
      <c r="AY84" s="143"/>
      <c r="AZ84" s="143"/>
      <c r="BA84" s="143"/>
      <c r="BB84" s="143"/>
      <c r="BC84" s="143"/>
      <c r="BD84" s="143"/>
      <c r="BE84" s="143"/>
      <c r="BF84" s="143"/>
      <c r="BG84" s="143"/>
      <c r="BH84" s="143"/>
      <c r="BI84" s="143"/>
      <c r="BJ84" s="145"/>
      <c r="BM84" s="4"/>
    </row>
    <row r="85" spans="1:65" ht="15" customHeight="1">
      <c r="A85" s="1"/>
      <c r="B85" s="146"/>
      <c r="C85" s="147"/>
      <c r="D85" s="147"/>
      <c r="E85" s="147"/>
      <c r="F85" s="147"/>
      <c r="G85" s="147"/>
      <c r="H85" s="148"/>
      <c r="I85" s="149"/>
      <c r="J85" s="147"/>
      <c r="K85" s="148"/>
      <c r="L85" s="150"/>
      <c r="M85" s="147"/>
      <c r="N85" s="148"/>
      <c r="O85" s="151"/>
      <c r="P85" s="147"/>
      <c r="Q85" s="148"/>
      <c r="R85" s="149"/>
      <c r="S85" s="147"/>
      <c r="T85" s="147"/>
      <c r="U85" s="147"/>
      <c r="V85" s="124"/>
      <c r="W85" s="124"/>
      <c r="X85" s="152"/>
      <c r="Y85" s="152"/>
      <c r="Z85" s="152"/>
      <c r="AA85" s="153"/>
      <c r="AB85" s="154" t="s">
        <v>1181</v>
      </c>
      <c r="AC85" s="155"/>
      <c r="AD85" s="155"/>
      <c r="AE85" s="155"/>
      <c r="AF85" s="156"/>
      <c r="AG85" s="156"/>
      <c r="AH85" s="156"/>
      <c r="AI85" s="155"/>
      <c r="AJ85" s="155"/>
      <c r="AK85" s="155"/>
      <c r="AL85" s="155"/>
      <c r="AM85" s="157"/>
      <c r="AN85" s="158" t="s">
        <v>1182</v>
      </c>
      <c r="AO85" s="159"/>
      <c r="AP85" s="156"/>
      <c r="AQ85" s="160"/>
      <c r="AR85" s="160"/>
      <c r="AS85" s="160"/>
      <c r="AT85" s="160"/>
      <c r="AU85" s="160"/>
      <c r="AV85" s="160"/>
      <c r="AW85" s="160"/>
      <c r="AX85" s="160"/>
      <c r="AY85" s="160"/>
      <c r="AZ85" s="160"/>
      <c r="BA85" s="160"/>
      <c r="BB85" s="160"/>
      <c r="BC85" s="160"/>
      <c r="BD85" s="160"/>
      <c r="BE85" s="160"/>
      <c r="BF85" s="160"/>
      <c r="BG85" s="160"/>
      <c r="BH85" s="160"/>
      <c r="BI85" s="160"/>
      <c r="BJ85" s="157"/>
      <c r="BM85" s="4"/>
    </row>
    <row r="86" spans="1:65" ht="15" customHeight="1">
      <c r="A86" s="1"/>
      <c r="B86" s="161" t="s">
        <v>1183</v>
      </c>
      <c r="C86" s="162"/>
      <c r="D86" s="162"/>
      <c r="E86" s="162"/>
      <c r="F86" s="162"/>
      <c r="G86" s="162"/>
      <c r="H86" s="163"/>
      <c r="I86" s="164" t="s">
        <v>1184</v>
      </c>
      <c r="J86" s="162"/>
      <c r="K86" s="163"/>
      <c r="L86" s="165" t="s">
        <v>1185</v>
      </c>
      <c r="M86" s="162"/>
      <c r="N86" s="163"/>
      <c r="O86" s="166" t="s">
        <v>1187</v>
      </c>
      <c r="P86" s="162"/>
      <c r="Q86" s="163"/>
      <c r="R86" s="164" t="s">
        <v>1188</v>
      </c>
      <c r="S86" s="162"/>
      <c r="T86" s="162"/>
      <c r="U86" s="162"/>
      <c r="V86" s="67"/>
      <c r="W86" s="67"/>
      <c r="X86" s="167"/>
      <c r="Y86" s="167"/>
      <c r="Z86" s="167"/>
      <c r="AA86" s="168"/>
      <c r="AB86" s="169" t="str">
        <f>"  """&amp;B86&amp;": ""300"","""</f>
        <v xml:space="preserve">  "company_code: "300","</v>
      </c>
      <c r="AC86" s="170"/>
      <c r="AD86" s="170"/>
      <c r="AE86" s="170"/>
      <c r="AF86" s="33"/>
      <c r="AG86" s="33"/>
      <c r="AH86" s="33"/>
      <c r="AI86" s="170"/>
      <c r="AJ86" s="170"/>
      <c r="AK86" s="170"/>
      <c r="AL86" s="170"/>
      <c r="AM86" s="171"/>
      <c r="AN86" s="172"/>
      <c r="AO86" s="173"/>
      <c r="AP86" s="33"/>
      <c r="AQ86" s="174"/>
      <c r="AR86" s="174"/>
      <c r="AS86" s="174"/>
      <c r="AT86" s="174"/>
      <c r="AU86" s="174"/>
      <c r="AV86" s="174"/>
      <c r="AW86" s="174"/>
      <c r="AX86" s="174"/>
      <c r="AY86" s="174"/>
      <c r="AZ86" s="174"/>
      <c r="BA86" s="174"/>
      <c r="BB86" s="174"/>
      <c r="BC86" s="174"/>
      <c r="BD86" s="174"/>
      <c r="BE86" s="174"/>
      <c r="BF86" s="174"/>
      <c r="BG86" s="174"/>
      <c r="BH86" s="174"/>
      <c r="BI86" s="174"/>
      <c r="BJ86" s="171"/>
      <c r="BM86" s="4"/>
    </row>
    <row r="87" spans="1:65" ht="15" customHeight="1">
      <c r="A87" s="1"/>
      <c r="B87" s="161" t="s">
        <v>1189</v>
      </c>
      <c r="C87" s="162"/>
      <c r="D87" s="162"/>
      <c r="E87" s="162"/>
      <c r="F87" s="162"/>
      <c r="G87" s="162"/>
      <c r="H87" s="163"/>
      <c r="I87" s="164" t="s">
        <v>1184</v>
      </c>
      <c r="J87" s="162"/>
      <c r="K87" s="163"/>
      <c r="L87" s="175" t="s">
        <v>1185</v>
      </c>
      <c r="M87" s="162"/>
      <c r="N87" s="163"/>
      <c r="O87" s="166" t="s">
        <v>1187</v>
      </c>
      <c r="P87" s="162"/>
      <c r="Q87" s="163"/>
      <c r="R87" s="164" t="s">
        <v>1190</v>
      </c>
      <c r="S87" s="162"/>
      <c r="T87" s="162"/>
      <c r="U87" s="162"/>
      <c r="V87" s="67"/>
      <c r="W87" s="67"/>
      <c r="X87" s="167"/>
      <c r="Y87" s="167"/>
      <c r="Z87" s="167"/>
      <c r="AA87" s="168"/>
      <c r="AB87" s="169" t="str">
        <f>"  """&amp;B87&amp;": ""048405"","""</f>
        <v xml:space="preserve">  "store_code: "048405","</v>
      </c>
      <c r="AC87" s="170"/>
      <c r="AD87" s="170"/>
      <c r="AE87" s="170"/>
      <c r="AF87" s="33"/>
      <c r="AG87" s="33"/>
      <c r="AH87" s="33"/>
      <c r="AI87" s="170"/>
      <c r="AJ87" s="170"/>
      <c r="AK87" s="170"/>
      <c r="AL87" s="170"/>
      <c r="AM87" s="171"/>
      <c r="AN87" s="172"/>
      <c r="AO87" s="173"/>
      <c r="AP87" s="33"/>
      <c r="AQ87" s="174"/>
      <c r="AR87" s="174"/>
      <c r="AS87" s="174"/>
      <c r="AT87" s="174"/>
      <c r="AU87" s="174"/>
      <c r="AV87" s="174"/>
      <c r="AW87" s="174"/>
      <c r="AX87" s="174"/>
      <c r="AY87" s="174"/>
      <c r="AZ87" s="174"/>
      <c r="BA87" s="174"/>
      <c r="BB87" s="174"/>
      <c r="BC87" s="174"/>
      <c r="BD87" s="174"/>
      <c r="BE87" s="174"/>
      <c r="BF87" s="174"/>
      <c r="BG87" s="174"/>
      <c r="BH87" s="174"/>
      <c r="BI87" s="174"/>
      <c r="BJ87" s="171"/>
      <c r="BM87" s="4"/>
    </row>
    <row r="88" spans="1:65" ht="15" customHeight="1">
      <c r="A88" s="2"/>
      <c r="B88" s="161" t="s">
        <v>1191</v>
      </c>
      <c r="C88" s="162"/>
      <c r="D88" s="162"/>
      <c r="E88" s="162"/>
      <c r="F88" s="162"/>
      <c r="G88" s="162"/>
      <c r="H88" s="163"/>
      <c r="I88" s="164" t="s">
        <v>1184</v>
      </c>
      <c r="J88" s="162"/>
      <c r="K88" s="163"/>
      <c r="L88" s="175" t="s">
        <v>1185</v>
      </c>
      <c r="M88" s="162"/>
      <c r="N88" s="163"/>
      <c r="O88" s="166" t="s">
        <v>1187</v>
      </c>
      <c r="P88" s="162"/>
      <c r="Q88" s="163"/>
      <c r="R88" s="164" t="s">
        <v>1192</v>
      </c>
      <c r="S88" s="162"/>
      <c r="T88" s="162"/>
      <c r="U88" s="162"/>
      <c r="V88" s="67"/>
      <c r="W88" s="67"/>
      <c r="X88" s="167"/>
      <c r="Y88" s="167"/>
      <c r="Z88" s="167"/>
      <c r="AA88" s="168"/>
      <c r="AB88" s="169" t="str">
        <f>"  """&amp;B88&amp;": ""901"","""</f>
        <v xml:space="preserve">  "instore_code: "901","</v>
      </c>
      <c r="AC88" s="170"/>
      <c r="AD88" s="170"/>
      <c r="AE88" s="170"/>
      <c r="AF88" s="33"/>
      <c r="AG88" s="33"/>
      <c r="AH88" s="33"/>
      <c r="AI88" s="170"/>
      <c r="AJ88" s="170"/>
      <c r="AK88" s="170"/>
      <c r="AL88" s="170"/>
      <c r="AM88" s="171"/>
      <c r="AN88" s="131" t="s">
        <v>1193</v>
      </c>
      <c r="AO88" s="132"/>
      <c r="AP88" s="132"/>
      <c r="AQ88" s="132"/>
      <c r="AR88" s="132"/>
      <c r="AS88" s="132"/>
      <c r="AT88" s="132"/>
      <c r="AU88" s="132"/>
      <c r="AV88" s="132"/>
      <c r="AW88" s="132"/>
      <c r="AX88" s="132"/>
      <c r="AY88" s="132"/>
      <c r="AZ88" s="132"/>
      <c r="BA88" s="132"/>
      <c r="BB88" s="132"/>
      <c r="BC88" s="132"/>
      <c r="BD88" s="132"/>
      <c r="BE88" s="132"/>
      <c r="BF88" s="132"/>
      <c r="BG88" s="132"/>
      <c r="BH88" s="133"/>
      <c r="BI88" s="133"/>
      <c r="BJ88" s="134"/>
      <c r="BK88" s="3"/>
      <c r="BL88" s="3"/>
      <c r="BM88" s="5"/>
    </row>
    <row r="89" spans="1:65" ht="16.5">
      <c r="B89" s="161" t="s">
        <v>339</v>
      </c>
      <c r="C89" s="162"/>
      <c r="D89" s="162"/>
      <c r="E89" s="162"/>
      <c r="F89" s="162"/>
      <c r="G89" s="162"/>
      <c r="H89" s="163"/>
      <c r="I89" s="164" t="s">
        <v>1184</v>
      </c>
      <c r="J89" s="162"/>
      <c r="K89" s="163"/>
      <c r="L89" s="175" t="s">
        <v>1194</v>
      </c>
      <c r="M89" s="162"/>
      <c r="N89" s="163"/>
      <c r="O89" s="166"/>
      <c r="P89" s="162"/>
      <c r="Q89" s="163"/>
      <c r="R89" s="164" t="s">
        <v>286</v>
      </c>
      <c r="S89" s="162"/>
      <c r="T89" s="162"/>
      <c r="U89" s="162"/>
      <c r="V89" s="67"/>
      <c r="W89" s="67"/>
      <c r="X89" s="167"/>
      <c r="Y89" s="167"/>
      <c r="Z89" s="167"/>
      <c r="AA89" s="168"/>
      <c r="AB89" s="169" t="str">
        <f>"  """&amp;B89&amp;": false,"""</f>
        <v xml:space="preserve">  "RECORD_VOID_FLAG: false,"</v>
      </c>
      <c r="AC89" s="170"/>
      <c r="AD89" s="170"/>
      <c r="AE89" s="170"/>
      <c r="AF89" s="33"/>
      <c r="AG89" s="33"/>
      <c r="AH89" s="33"/>
      <c r="AI89" s="170"/>
      <c r="AJ89" s="170"/>
      <c r="AK89" s="170"/>
      <c r="AL89" s="170"/>
      <c r="AM89" s="171"/>
      <c r="AN89" s="142"/>
      <c r="AO89" s="143"/>
      <c r="AP89" s="144"/>
      <c r="AQ89" s="143"/>
      <c r="AR89" s="143"/>
      <c r="AS89" s="143"/>
      <c r="AT89" s="143"/>
      <c r="AU89" s="143"/>
      <c r="AV89" s="143"/>
      <c r="AW89" s="143"/>
      <c r="AX89" s="143"/>
      <c r="AY89" s="143"/>
      <c r="AZ89" s="143"/>
      <c r="BA89" s="143"/>
      <c r="BB89" s="143"/>
      <c r="BC89" s="143"/>
      <c r="BD89" s="143"/>
      <c r="BE89" s="143"/>
      <c r="BF89" s="143"/>
      <c r="BG89" s="143"/>
      <c r="BH89" s="143"/>
      <c r="BI89" s="143"/>
      <c r="BJ89" s="145"/>
    </row>
    <row r="90" spans="1:65" ht="16.5">
      <c r="B90" s="161" t="s">
        <v>1195</v>
      </c>
      <c r="C90" s="162"/>
      <c r="D90" s="162"/>
      <c r="E90" s="162"/>
      <c r="F90" s="162"/>
      <c r="G90" s="162"/>
      <c r="H90" s="163"/>
      <c r="I90" s="164" t="s">
        <v>437</v>
      </c>
      <c r="J90" s="162"/>
      <c r="K90" s="163"/>
      <c r="L90" s="175"/>
      <c r="M90" s="162"/>
      <c r="N90" s="163"/>
      <c r="O90" s="166"/>
      <c r="P90" s="162"/>
      <c r="Q90" s="163"/>
      <c r="R90" s="164" t="s">
        <v>307</v>
      </c>
      <c r="S90" s="162"/>
      <c r="T90" s="162"/>
      <c r="U90" s="162"/>
      <c r="V90" s="67"/>
      <c r="W90" s="67"/>
      <c r="X90" s="167"/>
      <c r="Y90" s="167"/>
      <c r="Z90" s="167"/>
      <c r="AA90" s="168"/>
      <c r="AB90" s="169" t="str">
        <f>"  """&amp;B90&amp;": 9,"""</f>
        <v xml:space="preserve">  "class: 9,"</v>
      </c>
      <c r="AC90" s="170"/>
      <c r="AD90" s="170"/>
      <c r="AE90" s="170"/>
      <c r="AF90" s="33"/>
      <c r="AG90" s="33"/>
      <c r="AH90" s="33"/>
      <c r="AI90" s="170"/>
      <c r="AJ90" s="170"/>
      <c r="AK90" s="170"/>
      <c r="AL90" s="170"/>
      <c r="AM90" s="171"/>
      <c r="AN90" s="158" t="s">
        <v>1196</v>
      </c>
      <c r="AO90" s="159"/>
      <c r="AP90" s="156"/>
      <c r="AQ90" s="160"/>
      <c r="AR90" s="160"/>
      <c r="AS90" s="176"/>
      <c r="AT90" s="177" t="s">
        <v>837</v>
      </c>
      <c r="AU90" s="174"/>
      <c r="AV90" s="174"/>
      <c r="AW90" s="174"/>
      <c r="AX90" s="174"/>
      <c r="AY90" s="174"/>
      <c r="AZ90" s="174"/>
      <c r="BA90" s="174"/>
      <c r="BB90" s="174"/>
      <c r="BC90" s="174"/>
      <c r="BD90" s="174"/>
      <c r="BE90" s="174"/>
      <c r="BF90" s="174"/>
      <c r="BG90" s="174"/>
      <c r="BH90" s="174"/>
      <c r="BI90" s="174"/>
      <c r="BJ90" s="171"/>
    </row>
    <row r="91" spans="1:65" ht="16.5">
      <c r="B91" s="161" t="s">
        <v>1197</v>
      </c>
      <c r="C91" s="162"/>
      <c r="D91" s="162"/>
      <c r="E91" s="162"/>
      <c r="F91" s="162"/>
      <c r="G91" s="162"/>
      <c r="H91" s="163"/>
      <c r="I91" s="164" t="s">
        <v>1198</v>
      </c>
      <c r="J91" s="162"/>
      <c r="K91" s="163"/>
      <c r="L91" s="175"/>
      <c r="M91" s="162"/>
      <c r="N91" s="163"/>
      <c r="O91" s="166"/>
      <c r="P91" s="162"/>
      <c r="Q91" s="163"/>
      <c r="R91" s="164" t="s">
        <v>1028</v>
      </c>
      <c r="S91" s="162"/>
      <c r="T91" s="162"/>
      <c r="U91" s="162"/>
      <c r="V91" s="67"/>
      <c r="W91" s="67"/>
      <c r="X91" s="167"/>
      <c r="Y91" s="167"/>
      <c r="Z91" s="167"/>
      <c r="AA91" s="168"/>
      <c r="AB91" s="169" t="str">
        <f>"  """&amp;B91&amp;": 1,"""</f>
        <v xml:space="preserve">  "ServiceClass01: 1,"</v>
      </c>
      <c r="AC91" s="170"/>
      <c r="AD91" s="170"/>
      <c r="AE91" s="170"/>
      <c r="AF91" s="33"/>
      <c r="AG91" s="33"/>
      <c r="AH91" s="33"/>
      <c r="AI91" s="170"/>
      <c r="AJ91" s="170"/>
      <c r="AK91" s="170"/>
      <c r="AL91" s="170"/>
      <c r="AM91" s="171"/>
      <c r="AN91" s="172" t="s">
        <v>1199</v>
      </c>
      <c r="AO91" s="178"/>
      <c r="AP91" s="33"/>
      <c r="AQ91" s="174"/>
      <c r="AR91" s="174"/>
      <c r="AS91" s="179"/>
      <c r="AT91" s="180" t="s">
        <v>1200</v>
      </c>
      <c r="AU91" s="174"/>
      <c r="AV91" s="174"/>
      <c r="AW91" s="174"/>
      <c r="AX91" s="174"/>
      <c r="AY91" s="174"/>
      <c r="AZ91" s="174"/>
      <c r="BA91" s="174"/>
      <c r="BB91" s="174"/>
      <c r="BC91" s="174"/>
      <c r="BD91" s="174"/>
      <c r="BE91" s="174"/>
      <c r="BF91" s="174"/>
      <c r="BG91" s="174"/>
      <c r="BH91" s="174"/>
      <c r="BI91" s="174"/>
      <c r="BJ91" s="171"/>
    </row>
    <row r="92" spans="1:65" ht="16.5">
      <c r="B92" s="161" t="s">
        <v>1201</v>
      </c>
      <c r="C92" s="162"/>
      <c r="D92" s="162"/>
      <c r="E92" s="162"/>
      <c r="F92" s="162"/>
      <c r="G92" s="162"/>
      <c r="H92" s="163"/>
      <c r="I92" s="164" t="s">
        <v>437</v>
      </c>
      <c r="J92" s="162"/>
      <c r="K92" s="163"/>
      <c r="L92" s="175"/>
      <c r="M92" s="162"/>
      <c r="N92" s="163"/>
      <c r="O92" s="166"/>
      <c r="P92" s="162"/>
      <c r="Q92" s="163"/>
      <c r="R92" s="164" t="s">
        <v>1032</v>
      </c>
      <c r="S92" s="162"/>
      <c r="T92" s="162"/>
      <c r="U92" s="162"/>
      <c r="V92" s="67"/>
      <c r="W92" s="67"/>
      <c r="X92" s="167"/>
      <c r="Y92" s="167"/>
      <c r="Z92" s="167"/>
      <c r="AA92" s="168"/>
      <c r="AB92" s="169" t="str">
        <f t="shared" ref="AB92:AB110" si="2">"  """&amp;B92&amp;": 9,"""</f>
        <v xml:space="preserve">  "ServiceClass02: 9,"</v>
      </c>
      <c r="AC92" s="170"/>
      <c r="AD92" s="170"/>
      <c r="AE92" s="170"/>
      <c r="AF92" s="33"/>
      <c r="AG92" s="33"/>
      <c r="AH92" s="33"/>
      <c r="AI92" s="170"/>
      <c r="AJ92" s="170"/>
      <c r="AK92" s="170"/>
      <c r="AL92" s="170"/>
      <c r="AM92" s="171"/>
      <c r="AN92" s="172" t="s">
        <v>1199</v>
      </c>
      <c r="AO92" s="178"/>
      <c r="AP92" s="33"/>
      <c r="AQ92" s="174"/>
      <c r="AR92" s="174"/>
      <c r="AS92" s="179"/>
      <c r="AT92" s="180" t="s">
        <v>1202</v>
      </c>
      <c r="AU92" s="174"/>
      <c r="AV92" s="174"/>
      <c r="AW92" s="174"/>
      <c r="AX92" s="174"/>
      <c r="AY92" s="174"/>
      <c r="AZ92" s="174"/>
      <c r="BA92" s="174"/>
      <c r="BB92" s="174"/>
      <c r="BC92" s="174"/>
      <c r="BD92" s="174"/>
      <c r="BE92" s="174"/>
      <c r="BF92" s="174"/>
      <c r="BG92" s="174"/>
      <c r="BH92" s="174"/>
      <c r="BI92" s="174"/>
      <c r="BJ92" s="171"/>
    </row>
    <row r="93" spans="1:65" ht="16.5">
      <c r="B93" s="161" t="s">
        <v>1203</v>
      </c>
      <c r="C93" s="162"/>
      <c r="D93" s="162"/>
      <c r="E93" s="162"/>
      <c r="F93" s="162"/>
      <c r="G93" s="162"/>
      <c r="H93" s="163"/>
      <c r="I93" s="164" t="s">
        <v>437</v>
      </c>
      <c r="J93" s="162"/>
      <c r="K93" s="163"/>
      <c r="L93" s="175"/>
      <c r="M93" s="162"/>
      <c r="N93" s="163"/>
      <c r="O93" s="166"/>
      <c r="P93" s="162"/>
      <c r="Q93" s="163"/>
      <c r="R93" s="164" t="s">
        <v>1037</v>
      </c>
      <c r="S93" s="162"/>
      <c r="T93" s="162"/>
      <c r="U93" s="162"/>
      <c r="V93" s="67"/>
      <c r="W93" s="67"/>
      <c r="X93" s="167"/>
      <c r="Y93" s="167"/>
      <c r="Z93" s="167"/>
      <c r="AA93" s="168"/>
      <c r="AB93" s="169" t="str">
        <f t="shared" si="2"/>
        <v xml:space="preserve">  "ServiceClass03: 9,"</v>
      </c>
      <c r="AC93" s="170"/>
      <c r="AD93" s="170"/>
      <c r="AE93" s="170"/>
      <c r="AF93" s="33"/>
      <c r="AG93" s="33"/>
      <c r="AH93" s="33"/>
      <c r="AI93" s="170"/>
      <c r="AJ93" s="170"/>
      <c r="AK93" s="170"/>
      <c r="AL93" s="170"/>
      <c r="AM93" s="171"/>
      <c r="AN93" s="172" t="s">
        <v>1199</v>
      </c>
      <c r="AO93" s="178"/>
      <c r="AP93" s="33"/>
      <c r="AQ93" s="174"/>
      <c r="AR93" s="174"/>
      <c r="AS93" s="179"/>
      <c r="AT93" s="180" t="s">
        <v>1204</v>
      </c>
      <c r="AU93" s="174"/>
      <c r="AV93" s="174"/>
      <c r="AW93" s="174"/>
      <c r="AX93" s="174"/>
      <c r="AY93" s="174"/>
      <c r="AZ93" s="174"/>
      <c r="BA93" s="174"/>
      <c r="BB93" s="174"/>
      <c r="BC93" s="174"/>
      <c r="BD93" s="174"/>
      <c r="BE93" s="174"/>
      <c r="BF93" s="174"/>
      <c r="BG93" s="174"/>
      <c r="BH93" s="174"/>
      <c r="BI93" s="174"/>
      <c r="BJ93" s="171"/>
    </row>
    <row r="94" spans="1:65" ht="16.5">
      <c r="B94" s="161" t="s">
        <v>1205</v>
      </c>
      <c r="C94" s="162"/>
      <c r="D94" s="162"/>
      <c r="E94" s="162"/>
      <c r="F94" s="162"/>
      <c r="G94" s="162"/>
      <c r="H94" s="163"/>
      <c r="I94" s="164" t="s">
        <v>437</v>
      </c>
      <c r="J94" s="162"/>
      <c r="K94" s="163"/>
      <c r="L94" s="181"/>
      <c r="M94" s="162"/>
      <c r="N94" s="163"/>
      <c r="O94" s="166"/>
      <c r="P94" s="162"/>
      <c r="Q94" s="163"/>
      <c r="R94" s="164" t="s">
        <v>1039</v>
      </c>
      <c r="S94" s="162"/>
      <c r="T94" s="162"/>
      <c r="U94" s="162"/>
      <c r="V94" s="67"/>
      <c r="W94" s="67"/>
      <c r="X94" s="162"/>
      <c r="Y94" s="162"/>
      <c r="Z94" s="162"/>
      <c r="AA94" s="163"/>
      <c r="AB94" s="169" t="str">
        <f t="shared" si="2"/>
        <v xml:space="preserve">  "ServiceClass04: 9,"</v>
      </c>
      <c r="AC94" s="33"/>
      <c r="AD94" s="33"/>
      <c r="AE94" s="33"/>
      <c r="AF94" s="33"/>
      <c r="AG94" s="33"/>
      <c r="AH94" s="33"/>
      <c r="AI94" s="33"/>
      <c r="AJ94" s="33"/>
      <c r="AK94" s="33"/>
      <c r="AL94" s="33"/>
      <c r="AM94" s="171"/>
      <c r="AN94" s="172" t="s">
        <v>1199</v>
      </c>
      <c r="AO94" s="33"/>
      <c r="AP94" s="33"/>
      <c r="AQ94" s="33"/>
      <c r="AR94" s="33"/>
      <c r="AS94" s="182"/>
      <c r="AT94" s="183" t="s">
        <v>1206</v>
      </c>
      <c r="AU94" s="33"/>
      <c r="AV94" s="33"/>
      <c r="AW94" s="33"/>
      <c r="AX94" s="33"/>
      <c r="AY94" s="33"/>
      <c r="AZ94" s="33"/>
      <c r="BA94" s="33"/>
      <c r="BB94" s="33"/>
      <c r="BC94" s="33"/>
      <c r="BD94" s="33"/>
      <c r="BE94" s="33"/>
      <c r="BF94" s="33"/>
      <c r="BG94" s="33"/>
      <c r="BH94" s="33"/>
      <c r="BI94" s="33"/>
      <c r="BJ94" s="171"/>
    </row>
    <row r="95" spans="1:65" ht="16.5">
      <c r="B95" s="66" t="s">
        <v>1207</v>
      </c>
      <c r="C95" s="67"/>
      <c r="D95" s="67"/>
      <c r="E95" s="67"/>
      <c r="F95" s="67"/>
      <c r="G95" s="67"/>
      <c r="H95" s="184"/>
      <c r="I95" s="185" t="s">
        <v>437</v>
      </c>
      <c r="J95" s="67"/>
      <c r="K95" s="184"/>
      <c r="L95" s="185"/>
      <c r="M95" s="67"/>
      <c r="N95" s="184"/>
      <c r="O95" s="185"/>
      <c r="P95" s="67"/>
      <c r="Q95" s="184"/>
      <c r="R95" s="185" t="s">
        <v>1041</v>
      </c>
      <c r="S95" s="67"/>
      <c r="T95" s="67"/>
      <c r="U95" s="67"/>
      <c r="V95" s="67"/>
      <c r="W95" s="67"/>
      <c r="X95" s="67"/>
      <c r="Y95" s="67"/>
      <c r="Z95" s="67"/>
      <c r="AA95" s="184"/>
      <c r="AB95" s="169" t="str">
        <f t="shared" si="2"/>
        <v xml:space="preserve">  "ServiceClass05: 9,"</v>
      </c>
      <c r="AC95" s="33"/>
      <c r="AD95" s="33"/>
      <c r="AE95" s="33"/>
      <c r="AF95" s="33"/>
      <c r="AG95" s="33"/>
      <c r="AH95" s="33"/>
      <c r="AI95" s="33"/>
      <c r="AJ95" s="33"/>
      <c r="AK95" s="33"/>
      <c r="AL95" s="33"/>
      <c r="AM95" s="171"/>
      <c r="AN95" s="186"/>
      <c r="AO95" s="33"/>
      <c r="AP95" s="33"/>
      <c r="AQ95" s="33"/>
      <c r="AR95" s="33"/>
      <c r="AS95" s="182"/>
      <c r="AT95" s="183"/>
      <c r="AU95" s="33"/>
      <c r="AV95" s="33"/>
      <c r="AW95" s="33"/>
      <c r="AX95" s="33"/>
      <c r="AY95" s="33"/>
      <c r="AZ95" s="33"/>
      <c r="BA95" s="33"/>
      <c r="BB95" s="33"/>
      <c r="BC95" s="33"/>
      <c r="BD95" s="33"/>
      <c r="BE95" s="33"/>
      <c r="BF95" s="33"/>
      <c r="BG95" s="33"/>
      <c r="BH95" s="33"/>
      <c r="BI95" s="33"/>
      <c r="BJ95" s="171"/>
    </row>
    <row r="96" spans="1:65" ht="16.5">
      <c r="B96" s="66" t="s">
        <v>1208</v>
      </c>
      <c r="C96" s="67"/>
      <c r="D96" s="67"/>
      <c r="E96" s="67"/>
      <c r="F96" s="67"/>
      <c r="G96" s="67"/>
      <c r="H96" s="184"/>
      <c r="I96" s="185" t="s">
        <v>437</v>
      </c>
      <c r="J96" s="67"/>
      <c r="K96" s="184"/>
      <c r="L96" s="185"/>
      <c r="M96" s="67"/>
      <c r="N96" s="184"/>
      <c r="O96" s="185"/>
      <c r="P96" s="67"/>
      <c r="Q96" s="184"/>
      <c r="R96" s="185" t="s">
        <v>1043</v>
      </c>
      <c r="S96" s="67"/>
      <c r="T96" s="67"/>
      <c r="U96" s="67"/>
      <c r="V96" s="67"/>
      <c r="W96" s="67"/>
      <c r="X96" s="67"/>
      <c r="Y96" s="67"/>
      <c r="Z96" s="67"/>
      <c r="AA96" s="184"/>
      <c r="AB96" s="169" t="str">
        <f t="shared" si="2"/>
        <v xml:space="preserve">  "ServiceClass06: 9,"</v>
      </c>
      <c r="AC96" s="33"/>
      <c r="AD96" s="33"/>
      <c r="AE96" s="33"/>
      <c r="AF96" s="33"/>
      <c r="AG96" s="33"/>
      <c r="AH96" s="33"/>
      <c r="AI96" s="33"/>
      <c r="AJ96" s="33"/>
      <c r="AK96" s="33"/>
      <c r="AL96" s="33"/>
      <c r="AM96" s="171"/>
      <c r="AN96" s="186"/>
      <c r="AO96" s="33"/>
      <c r="AP96" s="33"/>
      <c r="AQ96" s="33"/>
      <c r="AR96" s="33"/>
      <c r="AS96" s="182"/>
      <c r="AT96" s="183"/>
      <c r="AU96" s="33"/>
      <c r="AV96" s="33"/>
      <c r="AW96" s="33"/>
      <c r="AX96" s="33"/>
      <c r="AY96" s="33"/>
      <c r="AZ96" s="33"/>
      <c r="BA96" s="33"/>
      <c r="BB96" s="33"/>
      <c r="BC96" s="33"/>
      <c r="BD96" s="33"/>
      <c r="BE96" s="33"/>
      <c r="BF96" s="33"/>
      <c r="BG96" s="33"/>
      <c r="BH96" s="33"/>
      <c r="BI96" s="33"/>
      <c r="BJ96" s="171"/>
    </row>
    <row r="97" spans="2:62" ht="16.5">
      <c r="B97" s="66" t="s">
        <v>1209</v>
      </c>
      <c r="C97" s="67"/>
      <c r="D97" s="67"/>
      <c r="E97" s="67"/>
      <c r="F97" s="67"/>
      <c r="G97" s="67"/>
      <c r="H97" s="184"/>
      <c r="I97" s="185" t="s">
        <v>437</v>
      </c>
      <c r="J97" s="67"/>
      <c r="K97" s="184"/>
      <c r="L97" s="185"/>
      <c r="M97" s="67"/>
      <c r="N97" s="184"/>
      <c r="O97" s="185"/>
      <c r="P97" s="67"/>
      <c r="Q97" s="184"/>
      <c r="R97" s="185" t="s">
        <v>1210</v>
      </c>
      <c r="S97" s="67"/>
      <c r="T97" s="67"/>
      <c r="U97" s="67"/>
      <c r="V97" s="67"/>
      <c r="W97" s="67"/>
      <c r="X97" s="67"/>
      <c r="Y97" s="67"/>
      <c r="Z97" s="67"/>
      <c r="AA97" s="184"/>
      <c r="AB97" s="169" t="str">
        <f t="shared" si="2"/>
        <v xml:space="preserve">  "ServiceClass07: 9,"</v>
      </c>
      <c r="AC97" s="33"/>
      <c r="AD97" s="33"/>
      <c r="AE97" s="33"/>
      <c r="AF97" s="33"/>
      <c r="AG97" s="33"/>
      <c r="AH97" s="33"/>
      <c r="AI97" s="33"/>
      <c r="AJ97" s="33"/>
      <c r="AK97" s="33"/>
      <c r="AL97" s="33"/>
      <c r="AM97" s="171"/>
      <c r="AN97" s="186"/>
      <c r="AO97" s="33"/>
      <c r="AP97" s="33"/>
      <c r="AQ97" s="33"/>
      <c r="AR97" s="33"/>
      <c r="AS97" s="182"/>
      <c r="AT97" s="183"/>
      <c r="AU97" s="33"/>
      <c r="AV97" s="33"/>
      <c r="AW97" s="33"/>
      <c r="AX97" s="33"/>
      <c r="AY97" s="33"/>
      <c r="AZ97" s="33"/>
      <c r="BA97" s="33"/>
      <c r="BB97" s="33"/>
      <c r="BC97" s="33"/>
      <c r="BD97" s="33"/>
      <c r="BE97" s="33"/>
      <c r="BF97" s="33"/>
      <c r="BG97" s="33"/>
      <c r="BH97" s="33"/>
      <c r="BI97" s="33"/>
      <c r="BJ97" s="171"/>
    </row>
    <row r="98" spans="2:62" ht="16.5">
      <c r="B98" s="66" t="s">
        <v>1211</v>
      </c>
      <c r="C98" s="67"/>
      <c r="D98" s="67"/>
      <c r="E98" s="67"/>
      <c r="F98" s="67"/>
      <c r="G98" s="67"/>
      <c r="H98" s="184"/>
      <c r="I98" s="185" t="s">
        <v>437</v>
      </c>
      <c r="J98" s="67"/>
      <c r="K98" s="184"/>
      <c r="L98" s="185"/>
      <c r="M98" s="67"/>
      <c r="N98" s="184"/>
      <c r="O98" s="185"/>
      <c r="P98" s="67"/>
      <c r="Q98" s="184"/>
      <c r="R98" s="185" t="s">
        <v>1047</v>
      </c>
      <c r="S98" s="67"/>
      <c r="T98" s="67"/>
      <c r="U98" s="67"/>
      <c r="V98" s="67"/>
      <c r="W98" s="67"/>
      <c r="X98" s="67"/>
      <c r="Y98" s="67"/>
      <c r="Z98" s="67"/>
      <c r="AA98" s="184"/>
      <c r="AB98" s="169" t="str">
        <f t="shared" si="2"/>
        <v xml:space="preserve">  "ServiceClass08: 9,"</v>
      </c>
      <c r="AC98" s="33"/>
      <c r="AD98" s="33"/>
      <c r="AE98" s="33"/>
      <c r="AF98" s="33"/>
      <c r="AG98" s="33"/>
      <c r="AH98" s="33"/>
      <c r="AI98" s="33"/>
      <c r="AJ98" s="33"/>
      <c r="AK98" s="33"/>
      <c r="AL98" s="33"/>
      <c r="AM98" s="171"/>
      <c r="AN98" s="186"/>
      <c r="AO98" s="33"/>
      <c r="AP98" s="33"/>
      <c r="AQ98" s="33"/>
      <c r="AR98" s="33"/>
      <c r="AS98" s="182"/>
      <c r="AT98" s="183"/>
      <c r="AU98" s="33"/>
      <c r="AV98" s="33"/>
      <c r="AW98" s="33"/>
      <c r="AX98" s="33"/>
      <c r="AY98" s="33"/>
      <c r="AZ98" s="33"/>
      <c r="BA98" s="33"/>
      <c r="BB98" s="33"/>
      <c r="BC98" s="33"/>
      <c r="BD98" s="33"/>
      <c r="BE98" s="33"/>
      <c r="BF98" s="33"/>
      <c r="BG98" s="33"/>
      <c r="BH98" s="33"/>
      <c r="BI98" s="33"/>
      <c r="BJ98" s="171"/>
    </row>
    <row r="99" spans="2:62" ht="16.5">
      <c r="B99" s="66" t="s">
        <v>1212</v>
      </c>
      <c r="C99" s="67"/>
      <c r="D99" s="67"/>
      <c r="E99" s="67"/>
      <c r="F99" s="67"/>
      <c r="G99" s="67"/>
      <c r="H99" s="184"/>
      <c r="I99" s="185" t="s">
        <v>437</v>
      </c>
      <c r="J99" s="67"/>
      <c r="K99" s="184"/>
      <c r="L99" s="185"/>
      <c r="M99" s="67"/>
      <c r="N99" s="184"/>
      <c r="O99" s="185"/>
      <c r="P99" s="67"/>
      <c r="Q99" s="184"/>
      <c r="R99" s="185" t="s">
        <v>1049</v>
      </c>
      <c r="S99" s="67"/>
      <c r="T99" s="67"/>
      <c r="U99" s="67"/>
      <c r="V99" s="67"/>
      <c r="W99" s="67"/>
      <c r="X99" s="67"/>
      <c r="Y99" s="67"/>
      <c r="Z99" s="67"/>
      <c r="AA99" s="184"/>
      <c r="AB99" s="169" t="str">
        <f t="shared" si="2"/>
        <v xml:space="preserve">  "ServiceClass09: 9,"</v>
      </c>
      <c r="AC99" s="33"/>
      <c r="AD99" s="33"/>
      <c r="AE99" s="33"/>
      <c r="AF99" s="33"/>
      <c r="AG99" s="33"/>
      <c r="AH99" s="33"/>
      <c r="AI99" s="33"/>
      <c r="AJ99" s="33"/>
      <c r="AK99" s="33"/>
      <c r="AL99" s="33"/>
      <c r="AM99" s="171"/>
      <c r="AN99" s="186"/>
      <c r="AO99" s="33"/>
      <c r="AP99" s="33"/>
      <c r="AQ99" s="33"/>
      <c r="AR99" s="33"/>
      <c r="AS99" s="182"/>
      <c r="AT99" s="183"/>
      <c r="AU99" s="33"/>
      <c r="AV99" s="33"/>
      <c r="AW99" s="33"/>
      <c r="AX99" s="33"/>
      <c r="AY99" s="33"/>
      <c r="AZ99" s="33"/>
      <c r="BA99" s="33"/>
      <c r="BB99" s="33"/>
      <c r="BC99" s="33"/>
      <c r="BD99" s="33"/>
      <c r="BE99" s="33"/>
      <c r="BF99" s="33"/>
      <c r="BG99" s="33"/>
      <c r="BH99" s="33"/>
      <c r="BI99" s="33"/>
      <c r="BJ99" s="171"/>
    </row>
    <row r="100" spans="2:62" ht="16.5">
      <c r="B100" s="66" t="s">
        <v>1213</v>
      </c>
      <c r="C100" s="67"/>
      <c r="D100" s="67"/>
      <c r="E100" s="67"/>
      <c r="F100" s="67"/>
      <c r="G100" s="67"/>
      <c r="H100" s="184"/>
      <c r="I100" s="185" t="s">
        <v>437</v>
      </c>
      <c r="J100" s="67"/>
      <c r="K100" s="184"/>
      <c r="L100" s="185"/>
      <c r="M100" s="67"/>
      <c r="N100" s="184"/>
      <c r="O100" s="185"/>
      <c r="P100" s="67"/>
      <c r="Q100" s="184"/>
      <c r="R100" s="185" t="s">
        <v>1051</v>
      </c>
      <c r="S100" s="67"/>
      <c r="T100" s="67"/>
      <c r="U100" s="67"/>
      <c r="V100" s="67"/>
      <c r="W100" s="67"/>
      <c r="X100" s="67"/>
      <c r="Y100" s="67"/>
      <c r="Z100" s="67"/>
      <c r="AA100" s="184"/>
      <c r="AB100" s="169" t="str">
        <f t="shared" si="2"/>
        <v xml:space="preserve">  "ServiceClass10: 9,"</v>
      </c>
      <c r="AC100" s="33"/>
      <c r="AD100" s="33"/>
      <c r="AE100" s="33"/>
      <c r="AF100" s="33"/>
      <c r="AG100" s="33"/>
      <c r="AH100" s="33"/>
      <c r="AI100" s="33"/>
      <c r="AJ100" s="33"/>
      <c r="AK100" s="33"/>
      <c r="AL100" s="33"/>
      <c r="AM100" s="171"/>
      <c r="AN100" s="186"/>
      <c r="AO100" s="33"/>
      <c r="AP100" s="33"/>
      <c r="AQ100" s="33"/>
      <c r="AR100" s="33"/>
      <c r="AS100" s="182"/>
      <c r="AT100" s="183"/>
      <c r="AU100" s="33"/>
      <c r="AV100" s="33"/>
      <c r="AW100" s="33"/>
      <c r="AX100" s="33"/>
      <c r="AY100" s="33"/>
      <c r="AZ100" s="33"/>
      <c r="BA100" s="33"/>
      <c r="BB100" s="33"/>
      <c r="BC100" s="33"/>
      <c r="BD100" s="33"/>
      <c r="BE100" s="33"/>
      <c r="BF100" s="33"/>
      <c r="BG100" s="33"/>
      <c r="BH100" s="33"/>
      <c r="BI100" s="33"/>
      <c r="BJ100" s="171"/>
    </row>
    <row r="101" spans="2:62" ht="16.5">
      <c r="B101" s="66" t="s">
        <v>1214</v>
      </c>
      <c r="C101" s="67"/>
      <c r="D101" s="67"/>
      <c r="E101" s="67"/>
      <c r="F101" s="67"/>
      <c r="G101" s="67"/>
      <c r="H101" s="184"/>
      <c r="I101" s="185" t="s">
        <v>437</v>
      </c>
      <c r="J101" s="67"/>
      <c r="K101" s="184"/>
      <c r="L101" s="185"/>
      <c r="M101" s="67"/>
      <c r="N101" s="184"/>
      <c r="O101" s="185"/>
      <c r="P101" s="67"/>
      <c r="Q101" s="184"/>
      <c r="R101" s="185" t="s">
        <v>1076</v>
      </c>
      <c r="S101" s="67"/>
      <c r="T101" s="67"/>
      <c r="U101" s="67"/>
      <c r="V101" s="67"/>
      <c r="W101" s="67"/>
      <c r="X101" s="67"/>
      <c r="Y101" s="67"/>
      <c r="Z101" s="67"/>
      <c r="AA101" s="184"/>
      <c r="AB101" s="169" t="str">
        <f t="shared" si="2"/>
        <v xml:space="preserve">  "PointClass01: 9,"</v>
      </c>
      <c r="AC101" s="33"/>
      <c r="AD101" s="33"/>
      <c r="AE101" s="33"/>
      <c r="AF101" s="33"/>
      <c r="AG101" s="33"/>
      <c r="AH101" s="33"/>
      <c r="AI101" s="33"/>
      <c r="AJ101" s="33"/>
      <c r="AK101" s="33"/>
      <c r="AL101" s="33"/>
      <c r="AM101" s="171"/>
      <c r="AN101" s="186"/>
      <c r="AO101" s="33"/>
      <c r="AP101" s="33"/>
      <c r="AQ101" s="33"/>
      <c r="AR101" s="33"/>
      <c r="AS101" s="182"/>
      <c r="AT101" s="183"/>
      <c r="AU101" s="33"/>
      <c r="AV101" s="33"/>
      <c r="AW101" s="33"/>
      <c r="AX101" s="33"/>
      <c r="AY101" s="33"/>
      <c r="AZ101" s="33"/>
      <c r="BA101" s="33"/>
      <c r="BB101" s="33"/>
      <c r="BC101" s="33"/>
      <c r="BD101" s="33"/>
      <c r="BE101" s="33"/>
      <c r="BF101" s="33"/>
      <c r="BG101" s="33"/>
      <c r="BH101" s="33"/>
      <c r="BI101" s="33"/>
      <c r="BJ101" s="171"/>
    </row>
    <row r="102" spans="2:62" ht="16.5">
      <c r="B102" s="66" t="s">
        <v>1215</v>
      </c>
      <c r="C102" s="67"/>
      <c r="D102" s="67"/>
      <c r="E102" s="67"/>
      <c r="F102" s="67"/>
      <c r="G102" s="67"/>
      <c r="H102" s="184"/>
      <c r="I102" s="185" t="s">
        <v>437</v>
      </c>
      <c r="J102" s="67"/>
      <c r="K102" s="184"/>
      <c r="L102" s="185"/>
      <c r="M102" s="67"/>
      <c r="N102" s="184"/>
      <c r="O102" s="185"/>
      <c r="P102" s="67"/>
      <c r="Q102" s="184"/>
      <c r="R102" s="185" t="s">
        <v>1080</v>
      </c>
      <c r="S102" s="67"/>
      <c r="T102" s="67"/>
      <c r="U102" s="67"/>
      <c r="V102" s="67"/>
      <c r="W102" s="67"/>
      <c r="X102" s="67"/>
      <c r="Y102" s="67"/>
      <c r="Z102" s="67"/>
      <c r="AA102" s="184"/>
      <c r="AB102" s="169" t="str">
        <f t="shared" si="2"/>
        <v xml:space="preserve">  "PointClass02: 9,"</v>
      </c>
      <c r="AC102" s="33"/>
      <c r="AD102" s="33"/>
      <c r="AE102" s="33"/>
      <c r="AF102" s="33"/>
      <c r="AG102" s="33"/>
      <c r="AH102" s="33"/>
      <c r="AI102" s="33"/>
      <c r="AJ102" s="33"/>
      <c r="AK102" s="33"/>
      <c r="AL102" s="33"/>
      <c r="AM102" s="171"/>
      <c r="AN102" s="186"/>
      <c r="AO102" s="33"/>
      <c r="AP102" s="33"/>
      <c r="AQ102" s="33"/>
      <c r="AR102" s="33"/>
      <c r="AS102" s="182"/>
      <c r="AT102" s="183"/>
      <c r="AU102" s="33"/>
      <c r="AV102" s="33"/>
      <c r="AW102" s="33"/>
      <c r="AX102" s="33"/>
      <c r="AY102" s="33"/>
      <c r="AZ102" s="33"/>
      <c r="BA102" s="33"/>
      <c r="BB102" s="33"/>
      <c r="BC102" s="33"/>
      <c r="BD102" s="33"/>
      <c r="BE102" s="33"/>
      <c r="BF102" s="33"/>
      <c r="BG102" s="33"/>
      <c r="BH102" s="33"/>
      <c r="BI102" s="33"/>
      <c r="BJ102" s="171"/>
    </row>
    <row r="103" spans="2:62" ht="16.5">
      <c r="B103" s="66" t="s">
        <v>1216</v>
      </c>
      <c r="C103" s="67"/>
      <c r="D103" s="67"/>
      <c r="E103" s="67"/>
      <c r="F103" s="67"/>
      <c r="G103" s="67"/>
      <c r="H103" s="184"/>
      <c r="I103" s="185" t="s">
        <v>437</v>
      </c>
      <c r="J103" s="67"/>
      <c r="K103" s="184"/>
      <c r="L103" s="185"/>
      <c r="M103" s="67"/>
      <c r="N103" s="184"/>
      <c r="O103" s="185"/>
      <c r="P103" s="67"/>
      <c r="Q103" s="184"/>
      <c r="R103" s="185" t="s">
        <v>1082</v>
      </c>
      <c r="S103" s="67"/>
      <c r="T103" s="67"/>
      <c r="U103" s="67"/>
      <c r="V103" s="67"/>
      <c r="W103" s="67"/>
      <c r="X103" s="67"/>
      <c r="Y103" s="67"/>
      <c r="Z103" s="67"/>
      <c r="AA103" s="184"/>
      <c r="AB103" s="169" t="str">
        <f t="shared" si="2"/>
        <v xml:space="preserve">  "PointClass03: 9,"</v>
      </c>
      <c r="AC103" s="33"/>
      <c r="AD103" s="33"/>
      <c r="AE103" s="33"/>
      <c r="AF103" s="33"/>
      <c r="AG103" s="33"/>
      <c r="AH103" s="33"/>
      <c r="AI103" s="33"/>
      <c r="AJ103" s="33"/>
      <c r="AK103" s="33"/>
      <c r="AL103" s="33"/>
      <c r="AM103" s="171"/>
      <c r="AN103" s="186"/>
      <c r="AO103" s="33"/>
      <c r="AP103" s="33"/>
      <c r="AQ103" s="33"/>
      <c r="AR103" s="33"/>
      <c r="AS103" s="182"/>
      <c r="AT103" s="183"/>
      <c r="AU103" s="33"/>
      <c r="AV103" s="33"/>
      <c r="AW103" s="33"/>
      <c r="AX103" s="33"/>
      <c r="AY103" s="33"/>
      <c r="AZ103" s="33"/>
      <c r="BA103" s="33"/>
      <c r="BB103" s="33"/>
      <c r="BC103" s="33"/>
      <c r="BD103" s="33"/>
      <c r="BE103" s="33"/>
      <c r="BF103" s="33"/>
      <c r="BG103" s="33"/>
      <c r="BH103" s="33"/>
      <c r="BI103" s="33"/>
      <c r="BJ103" s="171"/>
    </row>
    <row r="104" spans="2:62" ht="16.5">
      <c r="B104" s="66" t="s">
        <v>1217</v>
      </c>
      <c r="C104" s="67"/>
      <c r="D104" s="67"/>
      <c r="E104" s="67"/>
      <c r="F104" s="67"/>
      <c r="G104" s="67"/>
      <c r="H104" s="184"/>
      <c r="I104" s="185" t="s">
        <v>437</v>
      </c>
      <c r="J104" s="67"/>
      <c r="K104" s="184"/>
      <c r="L104" s="185"/>
      <c r="M104" s="67"/>
      <c r="N104" s="184"/>
      <c r="O104" s="185"/>
      <c r="P104" s="67"/>
      <c r="Q104" s="184"/>
      <c r="R104" s="185" t="s">
        <v>1084</v>
      </c>
      <c r="S104" s="67"/>
      <c r="T104" s="67"/>
      <c r="U104" s="67"/>
      <c r="V104" s="67"/>
      <c r="W104" s="67"/>
      <c r="X104" s="67"/>
      <c r="Y104" s="67"/>
      <c r="Z104" s="67"/>
      <c r="AA104" s="184"/>
      <c r="AB104" s="169" t="str">
        <f t="shared" si="2"/>
        <v xml:space="preserve">  "PointClass04: 9,"</v>
      </c>
      <c r="AC104" s="33"/>
      <c r="AD104" s="33"/>
      <c r="AE104" s="33"/>
      <c r="AF104" s="33"/>
      <c r="AG104" s="33"/>
      <c r="AH104" s="33"/>
      <c r="AI104" s="33"/>
      <c r="AJ104" s="33"/>
      <c r="AK104" s="33"/>
      <c r="AL104" s="33"/>
      <c r="AM104" s="171"/>
      <c r="AN104" s="186"/>
      <c r="AO104" s="33"/>
      <c r="AP104" s="33"/>
      <c r="AQ104" s="33"/>
      <c r="AR104" s="33"/>
      <c r="AS104" s="182"/>
      <c r="AT104" s="183"/>
      <c r="AU104" s="33"/>
      <c r="AV104" s="33"/>
      <c r="AW104" s="33"/>
      <c r="AX104" s="33"/>
      <c r="AY104" s="33"/>
      <c r="AZ104" s="33"/>
      <c r="BA104" s="33"/>
      <c r="BB104" s="33"/>
      <c r="BC104" s="33"/>
      <c r="BD104" s="33"/>
      <c r="BE104" s="33"/>
      <c r="BF104" s="33"/>
      <c r="BG104" s="33"/>
      <c r="BH104" s="33"/>
      <c r="BI104" s="33"/>
      <c r="BJ104" s="171"/>
    </row>
    <row r="105" spans="2:62" ht="16.5">
      <c r="B105" s="66" t="s">
        <v>1218</v>
      </c>
      <c r="C105" s="67"/>
      <c r="D105" s="67"/>
      <c r="E105" s="67"/>
      <c r="F105" s="67"/>
      <c r="G105" s="67"/>
      <c r="H105" s="184"/>
      <c r="I105" s="185" t="s">
        <v>437</v>
      </c>
      <c r="J105" s="67"/>
      <c r="K105" s="184"/>
      <c r="L105" s="185"/>
      <c r="M105" s="67"/>
      <c r="N105" s="184"/>
      <c r="O105" s="185"/>
      <c r="P105" s="67"/>
      <c r="Q105" s="184"/>
      <c r="R105" s="185" t="s">
        <v>1086</v>
      </c>
      <c r="S105" s="67"/>
      <c r="T105" s="67"/>
      <c r="U105" s="67"/>
      <c r="V105" s="67"/>
      <c r="W105" s="67"/>
      <c r="X105" s="67"/>
      <c r="Y105" s="67"/>
      <c r="Z105" s="67"/>
      <c r="AA105" s="184"/>
      <c r="AB105" s="169" t="str">
        <f t="shared" si="2"/>
        <v xml:space="preserve">  "PointClass05: 9,"</v>
      </c>
      <c r="AC105" s="33"/>
      <c r="AD105" s="33"/>
      <c r="AE105" s="33"/>
      <c r="AF105" s="33"/>
      <c r="AG105" s="33"/>
      <c r="AH105" s="33"/>
      <c r="AI105" s="33"/>
      <c r="AJ105" s="33"/>
      <c r="AK105" s="33"/>
      <c r="AL105" s="33"/>
      <c r="AM105" s="171"/>
      <c r="AN105" s="186"/>
      <c r="AO105" s="33"/>
      <c r="AP105" s="33"/>
      <c r="AQ105" s="33"/>
      <c r="AR105" s="33"/>
      <c r="AS105" s="182"/>
      <c r="AT105" s="183"/>
      <c r="AU105" s="33"/>
      <c r="AV105" s="33"/>
      <c r="AW105" s="33"/>
      <c r="AX105" s="33"/>
      <c r="AY105" s="33"/>
      <c r="AZ105" s="33"/>
      <c r="BA105" s="33"/>
      <c r="BB105" s="33"/>
      <c r="BC105" s="33"/>
      <c r="BD105" s="33"/>
      <c r="BE105" s="33"/>
      <c r="BF105" s="33"/>
      <c r="BG105" s="33"/>
      <c r="BH105" s="33"/>
      <c r="BI105" s="33"/>
      <c r="BJ105" s="171"/>
    </row>
    <row r="106" spans="2:62" ht="16.5">
      <c r="B106" s="66" t="s">
        <v>1219</v>
      </c>
      <c r="C106" s="67"/>
      <c r="D106" s="67"/>
      <c r="E106" s="67"/>
      <c r="F106" s="67"/>
      <c r="G106" s="67"/>
      <c r="H106" s="184"/>
      <c r="I106" s="185" t="s">
        <v>437</v>
      </c>
      <c r="J106" s="67"/>
      <c r="K106" s="184"/>
      <c r="L106" s="185"/>
      <c r="M106" s="67"/>
      <c r="N106" s="184"/>
      <c r="O106" s="185"/>
      <c r="P106" s="67"/>
      <c r="Q106" s="184"/>
      <c r="R106" s="185" t="s">
        <v>1088</v>
      </c>
      <c r="S106" s="67"/>
      <c r="T106" s="67"/>
      <c r="U106" s="67"/>
      <c r="V106" s="67"/>
      <c r="W106" s="67"/>
      <c r="X106" s="67"/>
      <c r="Y106" s="67"/>
      <c r="Z106" s="67"/>
      <c r="AA106" s="184"/>
      <c r="AB106" s="169" t="str">
        <f t="shared" si="2"/>
        <v xml:space="preserve">  "PointClass06: 9,"</v>
      </c>
      <c r="AC106" s="33"/>
      <c r="AD106" s="33"/>
      <c r="AE106" s="33"/>
      <c r="AF106" s="33"/>
      <c r="AG106" s="33"/>
      <c r="AH106" s="33"/>
      <c r="AI106" s="33"/>
      <c r="AJ106" s="33"/>
      <c r="AK106" s="33"/>
      <c r="AL106" s="33"/>
      <c r="AM106" s="171"/>
      <c r="AN106" s="186"/>
      <c r="AO106" s="33"/>
      <c r="AP106" s="33"/>
      <c r="AQ106" s="33"/>
      <c r="AR106" s="33"/>
      <c r="AS106" s="182"/>
      <c r="AT106" s="183"/>
      <c r="AU106" s="33"/>
      <c r="AV106" s="33"/>
      <c r="AW106" s="33"/>
      <c r="AX106" s="33"/>
      <c r="AY106" s="33"/>
      <c r="AZ106" s="33"/>
      <c r="BA106" s="33"/>
      <c r="BB106" s="33"/>
      <c r="BC106" s="33"/>
      <c r="BD106" s="33"/>
      <c r="BE106" s="33"/>
      <c r="BF106" s="33"/>
      <c r="BG106" s="33"/>
      <c r="BH106" s="33"/>
      <c r="BI106" s="33"/>
      <c r="BJ106" s="171"/>
    </row>
    <row r="107" spans="2:62" ht="16.5">
      <c r="B107" s="66" t="s">
        <v>1220</v>
      </c>
      <c r="C107" s="67"/>
      <c r="D107" s="67"/>
      <c r="E107" s="67"/>
      <c r="F107" s="67"/>
      <c r="G107" s="67"/>
      <c r="H107" s="184"/>
      <c r="I107" s="185" t="s">
        <v>437</v>
      </c>
      <c r="J107" s="67"/>
      <c r="K107" s="184"/>
      <c r="L107" s="185"/>
      <c r="M107" s="67"/>
      <c r="N107" s="184"/>
      <c r="O107" s="185"/>
      <c r="P107" s="67"/>
      <c r="Q107" s="184"/>
      <c r="R107" s="185" t="s">
        <v>1090</v>
      </c>
      <c r="S107" s="67"/>
      <c r="T107" s="67"/>
      <c r="U107" s="67"/>
      <c r="V107" s="67"/>
      <c r="W107" s="67"/>
      <c r="X107" s="67"/>
      <c r="Y107" s="67"/>
      <c r="Z107" s="67"/>
      <c r="AA107" s="184"/>
      <c r="AB107" s="169" t="str">
        <f t="shared" si="2"/>
        <v xml:space="preserve">  "PointClass07: 9,"</v>
      </c>
      <c r="AC107" s="33"/>
      <c r="AD107" s="33"/>
      <c r="AE107" s="33"/>
      <c r="AF107" s="33"/>
      <c r="AG107" s="33"/>
      <c r="AH107" s="33"/>
      <c r="AI107" s="33"/>
      <c r="AJ107" s="33"/>
      <c r="AK107" s="33"/>
      <c r="AL107" s="33"/>
      <c r="AM107" s="171"/>
      <c r="AN107" s="186"/>
      <c r="AO107" s="33"/>
      <c r="AP107" s="33"/>
      <c r="AQ107" s="33"/>
      <c r="AR107" s="33"/>
      <c r="AS107" s="182"/>
      <c r="AT107" s="183"/>
      <c r="AU107" s="33"/>
      <c r="AV107" s="33"/>
      <c r="AW107" s="33"/>
      <c r="AX107" s="33"/>
      <c r="AY107" s="33"/>
      <c r="AZ107" s="33"/>
      <c r="BA107" s="33"/>
      <c r="BB107" s="33"/>
      <c r="BC107" s="33"/>
      <c r="BD107" s="33"/>
      <c r="BE107" s="33"/>
      <c r="BF107" s="33"/>
      <c r="BG107" s="33"/>
      <c r="BH107" s="33"/>
      <c r="BI107" s="33"/>
      <c r="BJ107" s="171"/>
    </row>
    <row r="108" spans="2:62" ht="16.5">
      <c r="B108" s="66" t="s">
        <v>1221</v>
      </c>
      <c r="C108" s="67"/>
      <c r="D108" s="67"/>
      <c r="E108" s="67"/>
      <c r="F108" s="67"/>
      <c r="G108" s="67"/>
      <c r="H108" s="184"/>
      <c r="I108" s="185" t="s">
        <v>437</v>
      </c>
      <c r="J108" s="67"/>
      <c r="K108" s="184"/>
      <c r="L108" s="185"/>
      <c r="M108" s="67"/>
      <c r="N108" s="184"/>
      <c r="O108" s="185"/>
      <c r="P108" s="67"/>
      <c r="Q108" s="184"/>
      <c r="R108" s="185" t="s">
        <v>1092</v>
      </c>
      <c r="S108" s="67"/>
      <c r="T108" s="67"/>
      <c r="U108" s="67"/>
      <c r="V108" s="67"/>
      <c r="W108" s="67"/>
      <c r="X108" s="67"/>
      <c r="Y108" s="67"/>
      <c r="Z108" s="67"/>
      <c r="AA108" s="184"/>
      <c r="AB108" s="169" t="str">
        <f t="shared" si="2"/>
        <v xml:space="preserve">  "PointClass08: 9,"</v>
      </c>
      <c r="AC108" s="33"/>
      <c r="AD108" s="33"/>
      <c r="AE108" s="33"/>
      <c r="AF108" s="33"/>
      <c r="AG108" s="33"/>
      <c r="AH108" s="33"/>
      <c r="AI108" s="33"/>
      <c r="AJ108" s="33"/>
      <c r="AK108" s="33"/>
      <c r="AL108" s="33"/>
      <c r="AM108" s="171"/>
      <c r="AN108" s="186"/>
      <c r="AO108" s="33"/>
      <c r="AP108" s="33"/>
      <c r="AQ108" s="33"/>
      <c r="AR108" s="33"/>
      <c r="AS108" s="182"/>
      <c r="AT108" s="183"/>
      <c r="AU108" s="33"/>
      <c r="AV108" s="33"/>
      <c r="AW108" s="33"/>
      <c r="AX108" s="33"/>
      <c r="AY108" s="33"/>
      <c r="AZ108" s="33"/>
      <c r="BA108" s="33"/>
      <c r="BB108" s="33"/>
      <c r="BC108" s="33"/>
      <c r="BD108" s="33"/>
      <c r="BE108" s="33"/>
      <c r="BF108" s="33"/>
      <c r="BG108" s="33"/>
      <c r="BH108" s="33"/>
      <c r="BI108" s="33"/>
      <c r="BJ108" s="171"/>
    </row>
    <row r="109" spans="2:62" ht="16.5">
      <c r="B109" s="66" t="s">
        <v>1222</v>
      </c>
      <c r="C109" s="67"/>
      <c r="D109" s="67"/>
      <c r="E109" s="67"/>
      <c r="F109" s="67"/>
      <c r="G109" s="67"/>
      <c r="H109" s="184"/>
      <c r="I109" s="185" t="s">
        <v>437</v>
      </c>
      <c r="J109" s="67"/>
      <c r="K109" s="184"/>
      <c r="L109" s="185"/>
      <c r="M109" s="67"/>
      <c r="N109" s="184"/>
      <c r="O109" s="185"/>
      <c r="P109" s="67"/>
      <c r="Q109" s="184"/>
      <c r="R109" s="185" t="s">
        <v>1094</v>
      </c>
      <c r="S109" s="67"/>
      <c r="T109" s="67"/>
      <c r="U109" s="67"/>
      <c r="V109" s="67"/>
      <c r="W109" s="67"/>
      <c r="X109" s="67"/>
      <c r="Y109" s="67"/>
      <c r="Z109" s="67"/>
      <c r="AA109" s="184"/>
      <c r="AB109" s="169" t="str">
        <f t="shared" si="2"/>
        <v xml:space="preserve">  "PointClass09: 9,"</v>
      </c>
      <c r="AC109" s="33"/>
      <c r="AD109" s="33"/>
      <c r="AE109" s="33"/>
      <c r="AF109" s="33"/>
      <c r="AG109" s="33"/>
      <c r="AH109" s="33"/>
      <c r="AI109" s="33"/>
      <c r="AJ109" s="33"/>
      <c r="AK109" s="33"/>
      <c r="AL109" s="33"/>
      <c r="AM109" s="171"/>
      <c r="AN109" s="186"/>
      <c r="AO109" s="33"/>
      <c r="AP109" s="33"/>
      <c r="AQ109" s="33"/>
      <c r="AR109" s="33"/>
      <c r="AS109" s="182"/>
      <c r="AT109" s="183"/>
      <c r="AU109" s="33"/>
      <c r="AV109" s="33"/>
      <c r="AW109" s="33"/>
      <c r="AX109" s="33"/>
      <c r="AY109" s="33"/>
      <c r="AZ109" s="33"/>
      <c r="BA109" s="33"/>
      <c r="BB109" s="33"/>
      <c r="BC109" s="33"/>
      <c r="BD109" s="33"/>
      <c r="BE109" s="33"/>
      <c r="BF109" s="33"/>
      <c r="BG109" s="33"/>
      <c r="BH109" s="33"/>
      <c r="BI109" s="33"/>
      <c r="BJ109" s="171"/>
    </row>
    <row r="110" spans="2:62" ht="16.5">
      <c r="B110" s="66" t="s">
        <v>1223</v>
      </c>
      <c r="C110" s="67"/>
      <c r="D110" s="67"/>
      <c r="E110" s="67"/>
      <c r="F110" s="67"/>
      <c r="G110" s="67"/>
      <c r="H110" s="184"/>
      <c r="I110" s="185" t="s">
        <v>437</v>
      </c>
      <c r="J110" s="67"/>
      <c r="K110" s="184"/>
      <c r="L110" s="185"/>
      <c r="M110" s="67"/>
      <c r="N110" s="184"/>
      <c r="O110" s="185"/>
      <c r="P110" s="67"/>
      <c r="Q110" s="184"/>
      <c r="R110" s="185" t="s">
        <v>1096</v>
      </c>
      <c r="S110" s="67"/>
      <c r="T110" s="67"/>
      <c r="U110" s="67"/>
      <c r="V110" s="67"/>
      <c r="W110" s="67"/>
      <c r="X110" s="67"/>
      <c r="Y110" s="67"/>
      <c r="Z110" s="67"/>
      <c r="AA110" s="184"/>
      <c r="AB110" s="169" t="str">
        <f t="shared" si="2"/>
        <v xml:space="preserve">  "PointClass10: 9,"</v>
      </c>
      <c r="AC110" s="33"/>
      <c r="AD110" s="33"/>
      <c r="AE110" s="33"/>
      <c r="AF110" s="33"/>
      <c r="AG110" s="33"/>
      <c r="AH110" s="33"/>
      <c r="AI110" s="33"/>
      <c r="AJ110" s="33"/>
      <c r="AK110" s="33"/>
      <c r="AL110" s="33"/>
      <c r="AM110" s="171"/>
      <c r="AN110" s="186"/>
      <c r="AO110" s="33"/>
      <c r="AP110" s="33"/>
      <c r="AQ110" s="33"/>
      <c r="AR110" s="33"/>
      <c r="AS110" s="182"/>
      <c r="AT110" s="183"/>
      <c r="AU110" s="33"/>
      <c r="AV110" s="33"/>
      <c r="AW110" s="33"/>
      <c r="AX110" s="33"/>
      <c r="AY110" s="33"/>
      <c r="AZ110" s="33"/>
      <c r="BA110" s="33"/>
      <c r="BB110" s="33"/>
      <c r="BC110" s="33"/>
      <c r="BD110" s="33"/>
      <c r="BE110" s="33"/>
      <c r="BF110" s="33"/>
      <c r="BG110" s="33"/>
      <c r="BH110" s="33"/>
      <c r="BI110" s="33"/>
      <c r="BJ110" s="171"/>
    </row>
    <row r="111" spans="2:62" ht="16.5">
      <c r="B111" s="66" t="s">
        <v>1224</v>
      </c>
      <c r="C111" s="67"/>
      <c r="D111" s="67"/>
      <c r="E111" s="67"/>
      <c r="F111" s="67"/>
      <c r="G111" s="67"/>
      <c r="H111" s="184"/>
      <c r="I111" s="185" t="s">
        <v>437</v>
      </c>
      <c r="J111" s="67"/>
      <c r="K111" s="184"/>
      <c r="L111" s="185"/>
      <c r="M111" s="67"/>
      <c r="N111" s="184"/>
      <c r="O111" s="185"/>
      <c r="P111" s="67"/>
      <c r="Q111" s="184"/>
      <c r="R111" s="185" t="s">
        <v>1118</v>
      </c>
      <c r="S111" s="67"/>
      <c r="T111" s="67"/>
      <c r="U111" s="67"/>
      <c r="V111" s="67"/>
      <c r="W111" s="67"/>
      <c r="X111" s="67"/>
      <c r="Y111" s="67"/>
      <c r="Z111" s="67"/>
      <c r="AA111" s="184"/>
      <c r="AB111" s="169" t="str">
        <f>"  """&amp;B111&amp;": 1,"""</f>
        <v xml:space="preserve">  "PaymentClass01: 1,"</v>
      </c>
      <c r="AC111" s="33"/>
      <c r="AD111" s="33"/>
      <c r="AE111" s="33"/>
      <c r="AF111" s="33"/>
      <c r="AG111" s="33"/>
      <c r="AH111" s="33"/>
      <c r="AI111" s="33"/>
      <c r="AJ111" s="33"/>
      <c r="AK111" s="33"/>
      <c r="AL111" s="33"/>
      <c r="AM111" s="171"/>
      <c r="AN111" s="186"/>
      <c r="AO111" s="33"/>
      <c r="AP111" s="33"/>
      <c r="AQ111" s="33"/>
      <c r="AR111" s="33"/>
      <c r="AS111" s="182"/>
      <c r="AT111" s="183"/>
      <c r="AU111" s="33"/>
      <c r="AV111" s="33"/>
      <c r="AW111" s="33"/>
      <c r="AX111" s="33"/>
      <c r="AY111" s="33"/>
      <c r="AZ111" s="33"/>
      <c r="BA111" s="33"/>
      <c r="BB111" s="33"/>
      <c r="BC111" s="33"/>
      <c r="BD111" s="33"/>
      <c r="BE111" s="33"/>
      <c r="BF111" s="33"/>
      <c r="BG111" s="33"/>
      <c r="BH111" s="33"/>
      <c r="BI111" s="33"/>
      <c r="BJ111" s="171"/>
    </row>
    <row r="112" spans="2:62" ht="16.5">
      <c r="B112" s="66" t="s">
        <v>1225</v>
      </c>
      <c r="C112" s="67"/>
      <c r="D112" s="67"/>
      <c r="E112" s="67"/>
      <c r="F112" s="67"/>
      <c r="G112" s="67"/>
      <c r="H112" s="184"/>
      <c r="I112" s="185" t="s">
        <v>437</v>
      </c>
      <c r="J112" s="67"/>
      <c r="K112" s="184"/>
      <c r="L112" s="185"/>
      <c r="M112" s="67"/>
      <c r="N112" s="184"/>
      <c r="O112" s="185"/>
      <c r="P112" s="67"/>
      <c r="Q112" s="184"/>
      <c r="R112" s="185" t="s">
        <v>1121</v>
      </c>
      <c r="S112" s="67"/>
      <c r="T112" s="67"/>
      <c r="U112" s="67"/>
      <c r="V112" s="67"/>
      <c r="W112" s="67"/>
      <c r="X112" s="67"/>
      <c r="Y112" s="67"/>
      <c r="Z112" s="67"/>
      <c r="AA112" s="184"/>
      <c r="AB112" s="169" t="str">
        <f t="shared" ref="AB112:AB130" si="3">"  """&amp;B112&amp;": 9,"""</f>
        <v xml:space="preserve">  "PaymentClass02: 9,"</v>
      </c>
      <c r="AC112" s="33"/>
      <c r="AD112" s="33"/>
      <c r="AE112" s="33"/>
      <c r="AF112" s="33"/>
      <c r="AG112" s="33"/>
      <c r="AH112" s="33"/>
      <c r="AI112" s="33"/>
      <c r="AJ112" s="33"/>
      <c r="AK112" s="33"/>
      <c r="AL112" s="33"/>
      <c r="AM112" s="171"/>
      <c r="AN112" s="186"/>
      <c r="AO112" s="33"/>
      <c r="AP112" s="33"/>
      <c r="AQ112" s="33"/>
      <c r="AR112" s="33"/>
      <c r="AS112" s="182"/>
      <c r="AT112" s="183"/>
      <c r="AU112" s="33"/>
      <c r="AV112" s="33"/>
      <c r="AW112" s="33"/>
      <c r="AX112" s="33"/>
      <c r="AY112" s="33"/>
      <c r="AZ112" s="33"/>
      <c r="BA112" s="33"/>
      <c r="BB112" s="33"/>
      <c r="BC112" s="33"/>
      <c r="BD112" s="33"/>
      <c r="BE112" s="33"/>
      <c r="BF112" s="33"/>
      <c r="BG112" s="33"/>
      <c r="BH112" s="33"/>
      <c r="BI112" s="33"/>
      <c r="BJ112" s="171"/>
    </row>
    <row r="113" spans="2:62" ht="16.5">
      <c r="B113" s="66" t="s">
        <v>1226</v>
      </c>
      <c r="C113" s="67"/>
      <c r="D113" s="67"/>
      <c r="E113" s="67"/>
      <c r="F113" s="67"/>
      <c r="G113" s="67"/>
      <c r="H113" s="184"/>
      <c r="I113" s="185" t="s">
        <v>437</v>
      </c>
      <c r="J113" s="67"/>
      <c r="K113" s="184"/>
      <c r="L113" s="185"/>
      <c r="M113" s="67"/>
      <c r="N113" s="184"/>
      <c r="O113" s="185"/>
      <c r="P113" s="67"/>
      <c r="Q113" s="184"/>
      <c r="R113" s="185" t="s">
        <v>1124</v>
      </c>
      <c r="S113" s="67"/>
      <c r="T113" s="67"/>
      <c r="U113" s="67"/>
      <c r="V113" s="67"/>
      <c r="W113" s="67"/>
      <c r="X113" s="67"/>
      <c r="Y113" s="67"/>
      <c r="Z113" s="67"/>
      <c r="AA113" s="184"/>
      <c r="AB113" s="169" t="str">
        <f t="shared" si="3"/>
        <v xml:space="preserve">  "PaymentClass03: 9,"</v>
      </c>
      <c r="AC113" s="33"/>
      <c r="AD113" s="33"/>
      <c r="AE113" s="33"/>
      <c r="AF113" s="33"/>
      <c r="AG113" s="33"/>
      <c r="AH113" s="33"/>
      <c r="AI113" s="33"/>
      <c r="AJ113" s="33"/>
      <c r="AK113" s="33"/>
      <c r="AL113" s="33"/>
      <c r="AM113" s="171"/>
      <c r="AN113" s="186"/>
      <c r="AO113" s="33"/>
      <c r="AP113" s="33"/>
      <c r="AQ113" s="33"/>
      <c r="AR113" s="33"/>
      <c r="AS113" s="182"/>
      <c r="AT113" s="183"/>
      <c r="AU113" s="33"/>
      <c r="AV113" s="33"/>
      <c r="AW113" s="33"/>
      <c r="AX113" s="33"/>
      <c r="AY113" s="33"/>
      <c r="AZ113" s="33"/>
      <c r="BA113" s="33"/>
      <c r="BB113" s="33"/>
      <c r="BC113" s="33"/>
      <c r="BD113" s="33"/>
      <c r="BE113" s="33"/>
      <c r="BF113" s="33"/>
      <c r="BG113" s="33"/>
      <c r="BH113" s="33"/>
      <c r="BI113" s="33"/>
      <c r="BJ113" s="171"/>
    </row>
    <row r="114" spans="2:62" ht="16.5">
      <c r="B114" s="66" t="s">
        <v>1227</v>
      </c>
      <c r="C114" s="67"/>
      <c r="D114" s="67"/>
      <c r="E114" s="67"/>
      <c r="F114" s="67"/>
      <c r="G114" s="67"/>
      <c r="H114" s="184"/>
      <c r="I114" s="185" t="s">
        <v>437</v>
      </c>
      <c r="J114" s="67"/>
      <c r="K114" s="184"/>
      <c r="L114" s="185"/>
      <c r="M114" s="67"/>
      <c r="N114" s="184"/>
      <c r="O114" s="185"/>
      <c r="P114" s="67"/>
      <c r="Q114" s="184"/>
      <c r="R114" s="185" t="s">
        <v>1126</v>
      </c>
      <c r="S114" s="67"/>
      <c r="T114" s="67"/>
      <c r="U114" s="67"/>
      <c r="V114" s="67"/>
      <c r="W114" s="67"/>
      <c r="X114" s="67"/>
      <c r="Y114" s="67"/>
      <c r="Z114" s="67"/>
      <c r="AA114" s="184"/>
      <c r="AB114" s="169" t="str">
        <f t="shared" si="3"/>
        <v xml:space="preserve">  "PaymentClass04: 9,"</v>
      </c>
      <c r="AC114" s="33"/>
      <c r="AD114" s="33"/>
      <c r="AE114" s="33"/>
      <c r="AF114" s="33"/>
      <c r="AG114" s="33"/>
      <c r="AH114" s="33"/>
      <c r="AI114" s="33"/>
      <c r="AJ114" s="33"/>
      <c r="AK114" s="33"/>
      <c r="AL114" s="33"/>
      <c r="AM114" s="171"/>
      <c r="AN114" s="186"/>
      <c r="AO114" s="33"/>
      <c r="AP114" s="33"/>
      <c r="AQ114" s="33"/>
      <c r="AR114" s="33"/>
      <c r="AS114" s="182"/>
      <c r="AT114" s="183"/>
      <c r="AU114" s="33"/>
      <c r="AV114" s="33"/>
      <c r="AW114" s="33"/>
      <c r="AX114" s="33"/>
      <c r="AY114" s="33"/>
      <c r="AZ114" s="33"/>
      <c r="BA114" s="33"/>
      <c r="BB114" s="33"/>
      <c r="BC114" s="33"/>
      <c r="BD114" s="33"/>
      <c r="BE114" s="33"/>
      <c r="BF114" s="33"/>
      <c r="BG114" s="33"/>
      <c r="BH114" s="33"/>
      <c r="BI114" s="33"/>
      <c r="BJ114" s="171"/>
    </row>
    <row r="115" spans="2:62" ht="16.5">
      <c r="B115" s="66" t="s">
        <v>1228</v>
      </c>
      <c r="C115" s="67"/>
      <c r="D115" s="67"/>
      <c r="E115" s="67"/>
      <c r="F115" s="67"/>
      <c r="G115" s="67"/>
      <c r="H115" s="184"/>
      <c r="I115" s="185" t="s">
        <v>437</v>
      </c>
      <c r="J115" s="67"/>
      <c r="K115" s="184"/>
      <c r="L115" s="185"/>
      <c r="M115" s="67"/>
      <c r="N115" s="184"/>
      <c r="O115" s="185"/>
      <c r="P115" s="67"/>
      <c r="Q115" s="184"/>
      <c r="R115" s="185" t="s">
        <v>1128</v>
      </c>
      <c r="S115" s="67"/>
      <c r="T115" s="67"/>
      <c r="U115" s="67"/>
      <c r="V115" s="67"/>
      <c r="W115" s="67"/>
      <c r="X115" s="67"/>
      <c r="Y115" s="67"/>
      <c r="Z115" s="67"/>
      <c r="AA115" s="184"/>
      <c r="AB115" s="169" t="str">
        <f t="shared" si="3"/>
        <v xml:space="preserve">  "PaymentClass05: 9,"</v>
      </c>
      <c r="AC115" s="33"/>
      <c r="AD115" s="33"/>
      <c r="AE115" s="33"/>
      <c r="AF115" s="33"/>
      <c r="AG115" s="33"/>
      <c r="AH115" s="33"/>
      <c r="AI115" s="33"/>
      <c r="AJ115" s="33"/>
      <c r="AK115" s="33"/>
      <c r="AL115" s="33"/>
      <c r="AM115" s="171"/>
      <c r="AN115" s="186"/>
      <c r="AO115" s="33"/>
      <c r="AP115" s="33"/>
      <c r="AQ115" s="33"/>
      <c r="AR115" s="33"/>
      <c r="AS115" s="182"/>
      <c r="AT115" s="183"/>
      <c r="AU115" s="33"/>
      <c r="AV115" s="33"/>
      <c r="AW115" s="33"/>
      <c r="AX115" s="33"/>
      <c r="AY115" s="33"/>
      <c r="AZ115" s="33"/>
      <c r="BA115" s="33"/>
      <c r="BB115" s="33"/>
      <c r="BC115" s="33"/>
      <c r="BD115" s="33"/>
      <c r="BE115" s="33"/>
      <c r="BF115" s="33"/>
      <c r="BG115" s="33"/>
      <c r="BH115" s="33"/>
      <c r="BI115" s="33"/>
      <c r="BJ115" s="171"/>
    </row>
    <row r="116" spans="2:62" ht="16.5">
      <c r="B116" s="66" t="s">
        <v>1229</v>
      </c>
      <c r="C116" s="67"/>
      <c r="D116" s="67"/>
      <c r="E116" s="67"/>
      <c r="F116" s="67"/>
      <c r="G116" s="67"/>
      <c r="H116" s="184"/>
      <c r="I116" s="185" t="s">
        <v>437</v>
      </c>
      <c r="J116" s="67"/>
      <c r="K116" s="184"/>
      <c r="L116" s="185"/>
      <c r="M116" s="67"/>
      <c r="N116" s="184"/>
      <c r="O116" s="185"/>
      <c r="P116" s="67"/>
      <c r="Q116" s="184"/>
      <c r="R116" s="185" t="s">
        <v>1130</v>
      </c>
      <c r="S116" s="67"/>
      <c r="T116" s="67"/>
      <c r="U116" s="67"/>
      <c r="V116" s="67"/>
      <c r="W116" s="67"/>
      <c r="X116" s="67"/>
      <c r="Y116" s="67"/>
      <c r="Z116" s="67"/>
      <c r="AA116" s="184"/>
      <c r="AB116" s="169" t="str">
        <f t="shared" si="3"/>
        <v xml:space="preserve">  "PaymentClass06: 9,"</v>
      </c>
      <c r="AC116" s="33"/>
      <c r="AD116" s="33"/>
      <c r="AE116" s="33"/>
      <c r="AF116" s="33"/>
      <c r="AG116" s="33"/>
      <c r="AH116" s="33"/>
      <c r="AI116" s="33"/>
      <c r="AJ116" s="33"/>
      <c r="AK116" s="33"/>
      <c r="AL116" s="33"/>
      <c r="AM116" s="171"/>
      <c r="AN116" s="186"/>
      <c r="AO116" s="33"/>
      <c r="AP116" s="33"/>
      <c r="AQ116" s="33"/>
      <c r="AR116" s="33"/>
      <c r="AS116" s="182"/>
      <c r="AT116" s="183"/>
      <c r="AU116" s="33"/>
      <c r="AV116" s="33"/>
      <c r="AW116" s="33"/>
      <c r="AX116" s="33"/>
      <c r="AY116" s="33"/>
      <c r="AZ116" s="33"/>
      <c r="BA116" s="33"/>
      <c r="BB116" s="33"/>
      <c r="BC116" s="33"/>
      <c r="BD116" s="33"/>
      <c r="BE116" s="33"/>
      <c r="BF116" s="33"/>
      <c r="BG116" s="33"/>
      <c r="BH116" s="33"/>
      <c r="BI116" s="33"/>
      <c r="BJ116" s="171"/>
    </row>
    <row r="117" spans="2:62" ht="16.5">
      <c r="B117" s="66" t="s">
        <v>1230</v>
      </c>
      <c r="C117" s="67"/>
      <c r="D117" s="67"/>
      <c r="E117" s="67"/>
      <c r="F117" s="67"/>
      <c r="G117" s="67"/>
      <c r="H117" s="184"/>
      <c r="I117" s="185" t="s">
        <v>437</v>
      </c>
      <c r="J117" s="67"/>
      <c r="K117" s="184"/>
      <c r="L117" s="185"/>
      <c r="M117" s="67"/>
      <c r="N117" s="184"/>
      <c r="O117" s="185"/>
      <c r="P117" s="67"/>
      <c r="Q117" s="184"/>
      <c r="R117" s="185" t="s">
        <v>1132</v>
      </c>
      <c r="S117" s="67"/>
      <c r="T117" s="67"/>
      <c r="U117" s="67"/>
      <c r="V117" s="67"/>
      <c r="W117" s="67"/>
      <c r="X117" s="67"/>
      <c r="Y117" s="67"/>
      <c r="Z117" s="67"/>
      <c r="AA117" s="184"/>
      <c r="AB117" s="169" t="str">
        <f t="shared" si="3"/>
        <v xml:space="preserve">  "PaymentClass07: 9,"</v>
      </c>
      <c r="AC117" s="33"/>
      <c r="AD117" s="33"/>
      <c r="AE117" s="33"/>
      <c r="AF117" s="33"/>
      <c r="AG117" s="33"/>
      <c r="AH117" s="33"/>
      <c r="AI117" s="33"/>
      <c r="AJ117" s="33"/>
      <c r="AK117" s="33"/>
      <c r="AL117" s="33"/>
      <c r="AM117" s="171"/>
      <c r="AN117" s="186"/>
      <c r="AO117" s="33"/>
      <c r="AP117" s="33"/>
      <c r="AQ117" s="33"/>
      <c r="AR117" s="33"/>
      <c r="AS117" s="182"/>
      <c r="AT117" s="183"/>
      <c r="AU117" s="33"/>
      <c r="AV117" s="33"/>
      <c r="AW117" s="33"/>
      <c r="AX117" s="33"/>
      <c r="AY117" s="33"/>
      <c r="AZ117" s="33"/>
      <c r="BA117" s="33"/>
      <c r="BB117" s="33"/>
      <c r="BC117" s="33"/>
      <c r="BD117" s="33"/>
      <c r="BE117" s="33"/>
      <c r="BF117" s="33"/>
      <c r="BG117" s="33"/>
      <c r="BH117" s="33"/>
      <c r="BI117" s="33"/>
      <c r="BJ117" s="171"/>
    </row>
    <row r="118" spans="2:62" ht="16.5">
      <c r="B118" s="66" t="s">
        <v>1231</v>
      </c>
      <c r="C118" s="67"/>
      <c r="D118" s="67"/>
      <c r="E118" s="67"/>
      <c r="F118" s="67"/>
      <c r="G118" s="67"/>
      <c r="H118" s="184"/>
      <c r="I118" s="185" t="s">
        <v>437</v>
      </c>
      <c r="J118" s="67"/>
      <c r="K118" s="184"/>
      <c r="L118" s="185"/>
      <c r="M118" s="67"/>
      <c r="N118" s="184"/>
      <c r="O118" s="185"/>
      <c r="P118" s="67"/>
      <c r="Q118" s="184"/>
      <c r="R118" s="185" t="s">
        <v>1134</v>
      </c>
      <c r="S118" s="67"/>
      <c r="T118" s="67"/>
      <c r="U118" s="67"/>
      <c r="V118" s="67"/>
      <c r="W118" s="67"/>
      <c r="X118" s="67"/>
      <c r="Y118" s="67"/>
      <c r="Z118" s="67"/>
      <c r="AA118" s="184"/>
      <c r="AB118" s="169" t="str">
        <f t="shared" si="3"/>
        <v xml:space="preserve">  "PaymentClass08: 9,"</v>
      </c>
      <c r="AC118" s="33"/>
      <c r="AD118" s="33"/>
      <c r="AE118" s="33"/>
      <c r="AF118" s="33"/>
      <c r="AG118" s="33"/>
      <c r="AH118" s="33"/>
      <c r="AI118" s="33"/>
      <c r="AJ118" s="33"/>
      <c r="AK118" s="33"/>
      <c r="AL118" s="33"/>
      <c r="AM118" s="171"/>
      <c r="AN118" s="186"/>
      <c r="AO118" s="33"/>
      <c r="AP118" s="33"/>
      <c r="AQ118" s="33"/>
      <c r="AR118" s="33"/>
      <c r="AS118" s="182"/>
      <c r="AT118" s="183"/>
      <c r="AU118" s="33"/>
      <c r="AV118" s="33"/>
      <c r="AW118" s="33"/>
      <c r="AX118" s="33"/>
      <c r="AY118" s="33"/>
      <c r="AZ118" s="33"/>
      <c r="BA118" s="33"/>
      <c r="BB118" s="33"/>
      <c r="BC118" s="33"/>
      <c r="BD118" s="33"/>
      <c r="BE118" s="33"/>
      <c r="BF118" s="33"/>
      <c r="BG118" s="33"/>
      <c r="BH118" s="33"/>
      <c r="BI118" s="33"/>
      <c r="BJ118" s="171"/>
    </row>
    <row r="119" spans="2:62" ht="16.5">
      <c r="B119" s="66" t="s">
        <v>1232</v>
      </c>
      <c r="C119" s="67"/>
      <c r="D119" s="67"/>
      <c r="E119" s="67"/>
      <c r="F119" s="67"/>
      <c r="G119" s="67"/>
      <c r="H119" s="184"/>
      <c r="I119" s="185" t="s">
        <v>437</v>
      </c>
      <c r="J119" s="67"/>
      <c r="K119" s="184"/>
      <c r="L119" s="185"/>
      <c r="M119" s="67"/>
      <c r="N119" s="184"/>
      <c r="O119" s="185"/>
      <c r="P119" s="67"/>
      <c r="Q119" s="184"/>
      <c r="R119" s="185" t="s">
        <v>1136</v>
      </c>
      <c r="S119" s="67"/>
      <c r="T119" s="67"/>
      <c r="U119" s="67"/>
      <c r="V119" s="67"/>
      <c r="W119" s="67"/>
      <c r="X119" s="67"/>
      <c r="Y119" s="67"/>
      <c r="Z119" s="67"/>
      <c r="AA119" s="184"/>
      <c r="AB119" s="169" t="str">
        <f t="shared" si="3"/>
        <v xml:space="preserve">  "PaymentClass09: 9,"</v>
      </c>
      <c r="AC119" s="33"/>
      <c r="AD119" s="33"/>
      <c r="AE119" s="33"/>
      <c r="AF119" s="33"/>
      <c r="AG119" s="33"/>
      <c r="AH119" s="33"/>
      <c r="AI119" s="33"/>
      <c r="AJ119" s="33"/>
      <c r="AK119" s="33"/>
      <c r="AL119" s="33"/>
      <c r="AM119" s="171"/>
      <c r="AN119" s="186"/>
      <c r="AO119" s="33"/>
      <c r="AP119" s="33"/>
      <c r="AQ119" s="33"/>
      <c r="AR119" s="33"/>
      <c r="AS119" s="182"/>
      <c r="AT119" s="183"/>
      <c r="AU119" s="33"/>
      <c r="AV119" s="33"/>
      <c r="AW119" s="33"/>
      <c r="AX119" s="33"/>
      <c r="AY119" s="33"/>
      <c r="AZ119" s="33"/>
      <c r="BA119" s="33"/>
      <c r="BB119" s="33"/>
      <c r="BC119" s="33"/>
      <c r="BD119" s="33"/>
      <c r="BE119" s="33"/>
      <c r="BF119" s="33"/>
      <c r="BG119" s="33"/>
      <c r="BH119" s="33"/>
      <c r="BI119" s="33"/>
      <c r="BJ119" s="171"/>
    </row>
    <row r="120" spans="2:62" ht="16.5">
      <c r="B120" s="66" t="s">
        <v>1233</v>
      </c>
      <c r="C120" s="67"/>
      <c r="D120" s="67"/>
      <c r="E120" s="67"/>
      <c r="F120" s="67"/>
      <c r="G120" s="67"/>
      <c r="H120" s="184"/>
      <c r="I120" s="185" t="s">
        <v>437</v>
      </c>
      <c r="J120" s="67"/>
      <c r="K120" s="184"/>
      <c r="L120" s="185"/>
      <c r="M120" s="67"/>
      <c r="N120" s="184"/>
      <c r="O120" s="185"/>
      <c r="P120" s="67"/>
      <c r="Q120" s="184"/>
      <c r="R120" s="185" t="s">
        <v>1138</v>
      </c>
      <c r="S120" s="67"/>
      <c r="T120" s="67"/>
      <c r="U120" s="67"/>
      <c r="V120" s="67"/>
      <c r="W120" s="67"/>
      <c r="X120" s="67"/>
      <c r="Y120" s="67"/>
      <c r="Z120" s="67"/>
      <c r="AA120" s="184"/>
      <c r="AB120" s="169" t="str">
        <f t="shared" si="3"/>
        <v xml:space="preserve">  "PaymentClass10: 9,"</v>
      </c>
      <c r="AC120" s="33"/>
      <c r="AD120" s="33"/>
      <c r="AE120" s="33"/>
      <c r="AF120" s="33"/>
      <c r="AG120" s="33"/>
      <c r="AH120" s="33"/>
      <c r="AI120" s="33"/>
      <c r="AJ120" s="33"/>
      <c r="AK120" s="33"/>
      <c r="AL120" s="33"/>
      <c r="AM120" s="171"/>
      <c r="AN120" s="186"/>
      <c r="AO120" s="33"/>
      <c r="AP120" s="33"/>
      <c r="AQ120" s="33"/>
      <c r="AR120" s="33"/>
      <c r="AS120" s="182"/>
      <c r="AT120" s="183"/>
      <c r="AU120" s="33"/>
      <c r="AV120" s="33"/>
      <c r="AW120" s="33"/>
      <c r="AX120" s="33"/>
      <c r="AY120" s="33"/>
      <c r="AZ120" s="33"/>
      <c r="BA120" s="33"/>
      <c r="BB120" s="33"/>
      <c r="BC120" s="33"/>
      <c r="BD120" s="33"/>
      <c r="BE120" s="33"/>
      <c r="BF120" s="33"/>
      <c r="BG120" s="33"/>
      <c r="BH120" s="33"/>
      <c r="BI120" s="33"/>
      <c r="BJ120" s="171"/>
    </row>
    <row r="121" spans="2:62" ht="16.5">
      <c r="B121" s="66" t="s">
        <v>1234</v>
      </c>
      <c r="C121" s="67"/>
      <c r="D121" s="67"/>
      <c r="E121" s="67"/>
      <c r="F121" s="67"/>
      <c r="G121" s="67"/>
      <c r="H121" s="184"/>
      <c r="I121" s="185" t="s">
        <v>437</v>
      </c>
      <c r="J121" s="67"/>
      <c r="K121" s="184"/>
      <c r="L121" s="185"/>
      <c r="M121" s="67"/>
      <c r="N121" s="184"/>
      <c r="O121" s="185"/>
      <c r="P121" s="67"/>
      <c r="Q121" s="184"/>
      <c r="R121" s="185" t="s">
        <v>1140</v>
      </c>
      <c r="S121" s="67"/>
      <c r="T121" s="67"/>
      <c r="U121" s="67"/>
      <c r="V121" s="67"/>
      <c r="W121" s="67"/>
      <c r="X121" s="67"/>
      <c r="Y121" s="67"/>
      <c r="Z121" s="67"/>
      <c r="AA121" s="184"/>
      <c r="AB121" s="169" t="str">
        <f t="shared" si="3"/>
        <v xml:space="preserve">  "PaymentClass11: 9,"</v>
      </c>
      <c r="AC121" s="33"/>
      <c r="AD121" s="33"/>
      <c r="AE121" s="33"/>
      <c r="AF121" s="33"/>
      <c r="AG121" s="33"/>
      <c r="AH121" s="33"/>
      <c r="AI121" s="33"/>
      <c r="AJ121" s="33"/>
      <c r="AK121" s="33"/>
      <c r="AL121" s="33"/>
      <c r="AM121" s="171"/>
      <c r="AN121" s="186"/>
      <c r="AO121" s="33"/>
      <c r="AP121" s="33"/>
      <c r="AQ121" s="33"/>
      <c r="AR121" s="33"/>
      <c r="AS121" s="182"/>
      <c r="AT121" s="183"/>
      <c r="AU121" s="33"/>
      <c r="AV121" s="33"/>
      <c r="AW121" s="33"/>
      <c r="AX121" s="33"/>
      <c r="AY121" s="33"/>
      <c r="AZ121" s="33"/>
      <c r="BA121" s="33"/>
      <c r="BB121" s="33"/>
      <c r="BC121" s="33"/>
      <c r="BD121" s="33"/>
      <c r="BE121" s="33"/>
      <c r="BF121" s="33"/>
      <c r="BG121" s="33"/>
      <c r="BH121" s="33"/>
      <c r="BI121" s="33"/>
      <c r="BJ121" s="171"/>
    </row>
    <row r="122" spans="2:62" ht="16.5">
      <c r="B122" s="66" t="s">
        <v>1235</v>
      </c>
      <c r="C122" s="67"/>
      <c r="D122" s="67"/>
      <c r="E122" s="67"/>
      <c r="F122" s="67"/>
      <c r="G122" s="67"/>
      <c r="H122" s="184"/>
      <c r="I122" s="185" t="s">
        <v>437</v>
      </c>
      <c r="J122" s="67"/>
      <c r="K122" s="184"/>
      <c r="L122" s="185"/>
      <c r="M122" s="67"/>
      <c r="N122" s="184"/>
      <c r="O122" s="185"/>
      <c r="P122" s="67"/>
      <c r="Q122" s="184"/>
      <c r="R122" s="185" t="s">
        <v>1142</v>
      </c>
      <c r="S122" s="67"/>
      <c r="T122" s="67"/>
      <c r="U122" s="67"/>
      <c r="V122" s="67"/>
      <c r="W122" s="67"/>
      <c r="X122" s="67"/>
      <c r="Y122" s="67"/>
      <c r="Z122" s="67"/>
      <c r="AA122" s="184"/>
      <c r="AB122" s="169" t="str">
        <f t="shared" si="3"/>
        <v xml:space="preserve">  "PaymentClass12: 9,"</v>
      </c>
      <c r="AC122" s="33"/>
      <c r="AD122" s="33"/>
      <c r="AE122" s="33"/>
      <c r="AF122" s="33"/>
      <c r="AG122" s="33"/>
      <c r="AH122" s="33"/>
      <c r="AI122" s="33"/>
      <c r="AJ122" s="33"/>
      <c r="AK122" s="33"/>
      <c r="AL122" s="33"/>
      <c r="AM122" s="171"/>
      <c r="AN122" s="186"/>
      <c r="AO122" s="33"/>
      <c r="AP122" s="33"/>
      <c r="AQ122" s="33"/>
      <c r="AR122" s="33"/>
      <c r="AS122" s="182"/>
      <c r="AT122" s="183"/>
      <c r="AU122" s="33"/>
      <c r="AV122" s="33"/>
      <c r="AW122" s="33"/>
      <c r="AX122" s="33"/>
      <c r="AY122" s="33"/>
      <c r="AZ122" s="33"/>
      <c r="BA122" s="33"/>
      <c r="BB122" s="33"/>
      <c r="BC122" s="33"/>
      <c r="BD122" s="33"/>
      <c r="BE122" s="33"/>
      <c r="BF122" s="33"/>
      <c r="BG122" s="33"/>
      <c r="BH122" s="33"/>
      <c r="BI122" s="33"/>
      <c r="BJ122" s="171"/>
    </row>
    <row r="123" spans="2:62" ht="16.5">
      <c r="B123" s="66" t="s">
        <v>1236</v>
      </c>
      <c r="C123" s="67"/>
      <c r="D123" s="67"/>
      <c r="E123" s="67"/>
      <c r="F123" s="67"/>
      <c r="G123" s="67"/>
      <c r="H123" s="184"/>
      <c r="I123" s="185" t="s">
        <v>437</v>
      </c>
      <c r="J123" s="67"/>
      <c r="K123" s="184"/>
      <c r="L123" s="185"/>
      <c r="M123" s="67"/>
      <c r="N123" s="184"/>
      <c r="O123" s="185"/>
      <c r="P123" s="67"/>
      <c r="Q123" s="184"/>
      <c r="R123" s="185" t="s">
        <v>1144</v>
      </c>
      <c r="S123" s="67"/>
      <c r="T123" s="67"/>
      <c r="U123" s="67"/>
      <c r="V123" s="67"/>
      <c r="W123" s="67"/>
      <c r="X123" s="67"/>
      <c r="Y123" s="67"/>
      <c r="Z123" s="67"/>
      <c r="AA123" s="184"/>
      <c r="AB123" s="169" t="str">
        <f t="shared" si="3"/>
        <v xml:space="preserve">  "PaymentClass13: 9,"</v>
      </c>
      <c r="AC123" s="33"/>
      <c r="AD123" s="33"/>
      <c r="AE123" s="33"/>
      <c r="AF123" s="33"/>
      <c r="AG123" s="33"/>
      <c r="AH123" s="33"/>
      <c r="AI123" s="33"/>
      <c r="AJ123" s="33"/>
      <c r="AK123" s="33"/>
      <c r="AL123" s="33"/>
      <c r="AM123" s="171"/>
      <c r="AN123" s="186"/>
      <c r="AO123" s="33"/>
      <c r="AP123" s="33"/>
      <c r="AQ123" s="33"/>
      <c r="AR123" s="33"/>
      <c r="AS123" s="182"/>
      <c r="AT123" s="183"/>
      <c r="AU123" s="33"/>
      <c r="AV123" s="33"/>
      <c r="AW123" s="33"/>
      <c r="AX123" s="33"/>
      <c r="AY123" s="33"/>
      <c r="AZ123" s="33"/>
      <c r="BA123" s="33"/>
      <c r="BB123" s="33"/>
      <c r="BC123" s="33"/>
      <c r="BD123" s="33"/>
      <c r="BE123" s="33"/>
      <c r="BF123" s="33"/>
      <c r="BG123" s="33"/>
      <c r="BH123" s="33"/>
      <c r="BI123" s="33"/>
      <c r="BJ123" s="171"/>
    </row>
    <row r="124" spans="2:62" ht="16.5">
      <c r="B124" s="66" t="s">
        <v>1237</v>
      </c>
      <c r="C124" s="67"/>
      <c r="D124" s="67"/>
      <c r="E124" s="67"/>
      <c r="F124" s="67"/>
      <c r="G124" s="67"/>
      <c r="H124" s="184"/>
      <c r="I124" s="185" t="s">
        <v>437</v>
      </c>
      <c r="J124" s="67"/>
      <c r="K124" s="184"/>
      <c r="L124" s="185"/>
      <c r="M124" s="67"/>
      <c r="N124" s="184"/>
      <c r="O124" s="185"/>
      <c r="P124" s="67"/>
      <c r="Q124" s="184"/>
      <c r="R124" s="185" t="s">
        <v>1146</v>
      </c>
      <c r="S124" s="67"/>
      <c r="T124" s="67"/>
      <c r="U124" s="67"/>
      <c r="V124" s="67"/>
      <c r="W124" s="67"/>
      <c r="X124" s="67"/>
      <c r="Y124" s="67"/>
      <c r="Z124" s="67"/>
      <c r="AA124" s="184"/>
      <c r="AB124" s="169" t="str">
        <f t="shared" si="3"/>
        <v xml:space="preserve">  "PaymentClass14: 9,"</v>
      </c>
      <c r="AC124" s="33"/>
      <c r="AD124" s="33"/>
      <c r="AE124" s="33"/>
      <c r="AF124" s="33"/>
      <c r="AG124" s="33"/>
      <c r="AH124" s="33"/>
      <c r="AI124" s="33"/>
      <c r="AJ124" s="33"/>
      <c r="AK124" s="33"/>
      <c r="AL124" s="33"/>
      <c r="AM124" s="171"/>
      <c r="AN124" s="186"/>
      <c r="AO124" s="33"/>
      <c r="AP124" s="33"/>
      <c r="AQ124" s="33"/>
      <c r="AR124" s="33"/>
      <c r="AS124" s="182"/>
      <c r="AT124" s="183"/>
      <c r="AU124" s="33"/>
      <c r="AV124" s="33"/>
      <c r="AW124" s="33"/>
      <c r="AX124" s="33"/>
      <c r="AY124" s="33"/>
      <c r="AZ124" s="33"/>
      <c r="BA124" s="33"/>
      <c r="BB124" s="33"/>
      <c r="BC124" s="33"/>
      <c r="BD124" s="33"/>
      <c r="BE124" s="33"/>
      <c r="BF124" s="33"/>
      <c r="BG124" s="33"/>
      <c r="BH124" s="33"/>
      <c r="BI124" s="33"/>
      <c r="BJ124" s="171"/>
    </row>
    <row r="125" spans="2:62" ht="16.5">
      <c r="B125" s="66" t="s">
        <v>1238</v>
      </c>
      <c r="C125" s="67"/>
      <c r="D125" s="67"/>
      <c r="E125" s="67"/>
      <c r="F125" s="67"/>
      <c r="G125" s="67"/>
      <c r="H125" s="184"/>
      <c r="I125" s="185" t="s">
        <v>437</v>
      </c>
      <c r="J125" s="67"/>
      <c r="K125" s="184"/>
      <c r="L125" s="185"/>
      <c r="M125" s="67"/>
      <c r="N125" s="184"/>
      <c r="O125" s="185"/>
      <c r="P125" s="67"/>
      <c r="Q125" s="184"/>
      <c r="R125" s="185" t="s">
        <v>1148</v>
      </c>
      <c r="S125" s="67"/>
      <c r="T125" s="67"/>
      <c r="U125" s="67"/>
      <c r="V125" s="67"/>
      <c r="W125" s="67"/>
      <c r="X125" s="67"/>
      <c r="Y125" s="67"/>
      <c r="Z125" s="67"/>
      <c r="AA125" s="184"/>
      <c r="AB125" s="169" t="str">
        <f t="shared" si="3"/>
        <v xml:space="preserve">  "PaymentClass15: 9,"</v>
      </c>
      <c r="AC125" s="33"/>
      <c r="AD125" s="33"/>
      <c r="AE125" s="33"/>
      <c r="AF125" s="33"/>
      <c r="AG125" s="33"/>
      <c r="AH125" s="33"/>
      <c r="AI125" s="33"/>
      <c r="AJ125" s="33"/>
      <c r="AK125" s="33"/>
      <c r="AL125" s="33"/>
      <c r="AM125" s="171"/>
      <c r="AN125" s="186"/>
      <c r="AO125" s="33"/>
      <c r="AP125" s="33"/>
      <c r="AQ125" s="33"/>
      <c r="AR125" s="33"/>
      <c r="AS125" s="182"/>
      <c r="AT125" s="183"/>
      <c r="AU125" s="33"/>
      <c r="AV125" s="33"/>
      <c r="AW125" s="33"/>
      <c r="AX125" s="33"/>
      <c r="AY125" s="33"/>
      <c r="AZ125" s="33"/>
      <c r="BA125" s="33"/>
      <c r="BB125" s="33"/>
      <c r="BC125" s="33"/>
      <c r="BD125" s="33"/>
      <c r="BE125" s="33"/>
      <c r="BF125" s="33"/>
      <c r="BG125" s="33"/>
      <c r="BH125" s="33"/>
      <c r="BI125" s="33"/>
      <c r="BJ125" s="171"/>
    </row>
    <row r="126" spans="2:62" ht="16.5">
      <c r="B126" s="66" t="s">
        <v>1239</v>
      </c>
      <c r="C126" s="67"/>
      <c r="D126" s="67"/>
      <c r="E126" s="67"/>
      <c r="F126" s="67"/>
      <c r="G126" s="67"/>
      <c r="H126" s="184"/>
      <c r="I126" s="185" t="s">
        <v>437</v>
      </c>
      <c r="J126" s="67"/>
      <c r="K126" s="184"/>
      <c r="L126" s="185"/>
      <c r="M126" s="67"/>
      <c r="N126" s="184"/>
      <c r="O126" s="185"/>
      <c r="P126" s="67"/>
      <c r="Q126" s="184"/>
      <c r="R126" s="185" t="s">
        <v>1150</v>
      </c>
      <c r="S126" s="67"/>
      <c r="T126" s="67"/>
      <c r="U126" s="67"/>
      <c r="V126" s="67"/>
      <c r="W126" s="67"/>
      <c r="X126" s="67"/>
      <c r="Y126" s="67"/>
      <c r="Z126" s="67"/>
      <c r="AA126" s="184"/>
      <c r="AB126" s="169" t="str">
        <f t="shared" si="3"/>
        <v xml:space="preserve">  "PaymentClass16: 9,"</v>
      </c>
      <c r="AC126" s="33"/>
      <c r="AD126" s="33"/>
      <c r="AE126" s="33"/>
      <c r="AF126" s="33"/>
      <c r="AG126" s="33"/>
      <c r="AH126" s="33"/>
      <c r="AI126" s="33"/>
      <c r="AJ126" s="33"/>
      <c r="AK126" s="33"/>
      <c r="AL126" s="33"/>
      <c r="AM126" s="171"/>
      <c r="AN126" s="186"/>
      <c r="AO126" s="33"/>
      <c r="AP126" s="33"/>
      <c r="AQ126" s="33"/>
      <c r="AR126" s="33"/>
      <c r="AS126" s="182"/>
      <c r="AT126" s="183"/>
      <c r="AU126" s="33"/>
      <c r="AV126" s="33"/>
      <c r="AW126" s="33"/>
      <c r="AX126" s="33"/>
      <c r="AY126" s="33"/>
      <c r="AZ126" s="33"/>
      <c r="BA126" s="33"/>
      <c r="BB126" s="33"/>
      <c r="BC126" s="33"/>
      <c r="BD126" s="33"/>
      <c r="BE126" s="33"/>
      <c r="BF126" s="33"/>
      <c r="BG126" s="33"/>
      <c r="BH126" s="33"/>
      <c r="BI126" s="33"/>
      <c r="BJ126" s="171"/>
    </row>
    <row r="127" spans="2:62" ht="16.5">
      <c r="B127" s="66" t="s">
        <v>1240</v>
      </c>
      <c r="C127" s="67"/>
      <c r="D127" s="67"/>
      <c r="E127" s="67"/>
      <c r="F127" s="67"/>
      <c r="G127" s="67"/>
      <c r="H127" s="184"/>
      <c r="I127" s="185" t="s">
        <v>437</v>
      </c>
      <c r="J127" s="67"/>
      <c r="K127" s="184"/>
      <c r="L127" s="185"/>
      <c r="M127" s="67"/>
      <c r="N127" s="184"/>
      <c r="O127" s="185"/>
      <c r="P127" s="67"/>
      <c r="Q127" s="184"/>
      <c r="R127" s="185" t="s">
        <v>1152</v>
      </c>
      <c r="S127" s="67"/>
      <c r="T127" s="67"/>
      <c r="U127" s="67"/>
      <c r="V127" s="67"/>
      <c r="W127" s="67"/>
      <c r="X127" s="67"/>
      <c r="Y127" s="67"/>
      <c r="Z127" s="67"/>
      <c r="AA127" s="184"/>
      <c r="AB127" s="169" t="str">
        <f t="shared" si="3"/>
        <v xml:space="preserve">  "PaymentClass17: 9,"</v>
      </c>
      <c r="AC127" s="33"/>
      <c r="AD127" s="33"/>
      <c r="AE127" s="33"/>
      <c r="AF127" s="33"/>
      <c r="AG127" s="33"/>
      <c r="AH127" s="33"/>
      <c r="AI127" s="33"/>
      <c r="AJ127" s="33"/>
      <c r="AK127" s="33"/>
      <c r="AL127" s="33"/>
      <c r="AM127" s="171"/>
      <c r="AN127" s="186"/>
      <c r="AO127" s="33"/>
      <c r="AP127" s="33"/>
      <c r="AQ127" s="33"/>
      <c r="AR127" s="33"/>
      <c r="AS127" s="182"/>
      <c r="AT127" s="183"/>
      <c r="AU127" s="33"/>
      <c r="AV127" s="33"/>
      <c r="AW127" s="33"/>
      <c r="AX127" s="33"/>
      <c r="AY127" s="33"/>
      <c r="AZ127" s="33"/>
      <c r="BA127" s="33"/>
      <c r="BB127" s="33"/>
      <c r="BC127" s="33"/>
      <c r="BD127" s="33"/>
      <c r="BE127" s="33"/>
      <c r="BF127" s="33"/>
      <c r="BG127" s="33"/>
      <c r="BH127" s="33"/>
      <c r="BI127" s="33"/>
      <c r="BJ127" s="171"/>
    </row>
    <row r="128" spans="2:62" ht="16.5">
      <c r="B128" s="66" t="s">
        <v>1241</v>
      </c>
      <c r="C128" s="67"/>
      <c r="D128" s="67"/>
      <c r="E128" s="67"/>
      <c r="F128" s="67"/>
      <c r="G128" s="67"/>
      <c r="H128" s="184"/>
      <c r="I128" s="185" t="s">
        <v>437</v>
      </c>
      <c r="J128" s="67"/>
      <c r="K128" s="184"/>
      <c r="L128" s="185"/>
      <c r="M128" s="67"/>
      <c r="N128" s="184"/>
      <c r="O128" s="185"/>
      <c r="P128" s="67"/>
      <c r="Q128" s="184"/>
      <c r="R128" s="185" t="s">
        <v>1154</v>
      </c>
      <c r="S128" s="67"/>
      <c r="T128" s="67"/>
      <c r="U128" s="67"/>
      <c r="V128" s="67"/>
      <c r="W128" s="67"/>
      <c r="X128" s="67"/>
      <c r="Y128" s="67"/>
      <c r="Z128" s="67"/>
      <c r="AA128" s="184"/>
      <c r="AB128" s="169" t="str">
        <f t="shared" si="3"/>
        <v xml:space="preserve">  "PaymentClass18: 9,"</v>
      </c>
      <c r="AC128" s="33"/>
      <c r="AD128" s="33"/>
      <c r="AE128" s="33"/>
      <c r="AF128" s="33"/>
      <c r="AG128" s="33"/>
      <c r="AH128" s="33"/>
      <c r="AI128" s="33"/>
      <c r="AJ128" s="33"/>
      <c r="AK128" s="33"/>
      <c r="AL128" s="33"/>
      <c r="AM128" s="171"/>
      <c r="AN128" s="186"/>
      <c r="AO128" s="33"/>
      <c r="AP128" s="33"/>
      <c r="AQ128" s="33"/>
      <c r="AR128" s="33"/>
      <c r="AS128" s="182"/>
      <c r="AT128" s="183"/>
      <c r="AU128" s="33"/>
      <c r="AV128" s="33"/>
      <c r="AW128" s="33"/>
      <c r="AX128" s="33"/>
      <c r="AY128" s="33"/>
      <c r="AZ128" s="33"/>
      <c r="BA128" s="33"/>
      <c r="BB128" s="33"/>
      <c r="BC128" s="33"/>
      <c r="BD128" s="33"/>
      <c r="BE128" s="33"/>
      <c r="BF128" s="33"/>
      <c r="BG128" s="33"/>
      <c r="BH128" s="33"/>
      <c r="BI128" s="33"/>
      <c r="BJ128" s="171"/>
    </row>
    <row r="129" spans="1:62" ht="16.5">
      <c r="B129" s="66" t="s">
        <v>1242</v>
      </c>
      <c r="C129" s="67"/>
      <c r="D129" s="67"/>
      <c r="E129" s="67"/>
      <c r="F129" s="67"/>
      <c r="G129" s="67"/>
      <c r="H129" s="184"/>
      <c r="I129" s="185" t="s">
        <v>437</v>
      </c>
      <c r="J129" s="67"/>
      <c r="K129" s="184"/>
      <c r="L129" s="185"/>
      <c r="M129" s="67"/>
      <c r="N129" s="184"/>
      <c r="O129" s="185"/>
      <c r="P129" s="67"/>
      <c r="Q129" s="184"/>
      <c r="R129" s="185" t="s">
        <v>1156</v>
      </c>
      <c r="S129" s="67"/>
      <c r="T129" s="67"/>
      <c r="U129" s="67"/>
      <c r="V129" s="67"/>
      <c r="W129" s="67"/>
      <c r="X129" s="67"/>
      <c r="Y129" s="67"/>
      <c r="Z129" s="67"/>
      <c r="AA129" s="184"/>
      <c r="AB129" s="169" t="str">
        <f t="shared" si="3"/>
        <v xml:space="preserve">  "PaymentClass19: 9,"</v>
      </c>
      <c r="AC129" s="33"/>
      <c r="AD129" s="33"/>
      <c r="AE129" s="33"/>
      <c r="AF129" s="33"/>
      <c r="AG129" s="33"/>
      <c r="AH129" s="33"/>
      <c r="AI129" s="33"/>
      <c r="AJ129" s="33"/>
      <c r="AK129" s="33"/>
      <c r="AL129" s="33"/>
      <c r="AM129" s="171"/>
      <c r="AN129" s="186"/>
      <c r="AO129" s="33"/>
      <c r="AP129" s="33"/>
      <c r="AQ129" s="33"/>
      <c r="AR129" s="33"/>
      <c r="AS129" s="182"/>
      <c r="AT129" s="183"/>
      <c r="AU129" s="33"/>
      <c r="AV129" s="33"/>
      <c r="AW129" s="33"/>
      <c r="AX129" s="33"/>
      <c r="AY129" s="33"/>
      <c r="AZ129" s="33"/>
      <c r="BA129" s="33"/>
      <c r="BB129" s="33"/>
      <c r="BC129" s="33"/>
      <c r="BD129" s="33"/>
      <c r="BE129" s="33"/>
      <c r="BF129" s="33"/>
      <c r="BG129" s="33"/>
      <c r="BH129" s="33"/>
      <c r="BI129" s="33"/>
      <c r="BJ129" s="171"/>
    </row>
    <row r="130" spans="1:62" ht="16.5">
      <c r="B130" s="66" t="s">
        <v>1243</v>
      </c>
      <c r="C130" s="67"/>
      <c r="D130" s="67"/>
      <c r="E130" s="67"/>
      <c r="F130" s="67"/>
      <c r="G130" s="67"/>
      <c r="H130" s="184"/>
      <c r="I130" s="185" t="s">
        <v>437</v>
      </c>
      <c r="J130" s="67"/>
      <c r="K130" s="184"/>
      <c r="L130" s="185"/>
      <c r="M130" s="67"/>
      <c r="N130" s="184"/>
      <c r="O130" s="185"/>
      <c r="P130" s="67"/>
      <c r="Q130" s="184"/>
      <c r="R130" s="185" t="s">
        <v>1158</v>
      </c>
      <c r="S130" s="67"/>
      <c r="T130" s="67"/>
      <c r="U130" s="67"/>
      <c r="V130" s="67"/>
      <c r="W130" s="67"/>
      <c r="X130" s="67"/>
      <c r="Y130" s="67"/>
      <c r="Z130" s="67"/>
      <c r="AA130" s="184"/>
      <c r="AB130" s="169" t="str">
        <f t="shared" si="3"/>
        <v xml:space="preserve">  "PaymentClass20: 9,"</v>
      </c>
      <c r="AC130" s="33"/>
      <c r="AD130" s="33"/>
      <c r="AE130" s="33"/>
      <c r="AF130" s="33"/>
      <c r="AG130" s="33"/>
      <c r="AH130" s="33"/>
      <c r="AI130" s="33"/>
      <c r="AJ130" s="33"/>
      <c r="AK130" s="33"/>
      <c r="AL130" s="33"/>
      <c r="AM130" s="171"/>
      <c r="AN130" s="186"/>
      <c r="AO130" s="33"/>
      <c r="AP130" s="33"/>
      <c r="AQ130" s="33"/>
      <c r="AR130" s="33"/>
      <c r="AS130" s="182"/>
      <c r="AT130" s="183"/>
      <c r="AU130" s="33"/>
      <c r="AV130" s="33"/>
      <c r="AW130" s="33"/>
      <c r="AX130" s="33"/>
      <c r="AY130" s="33"/>
      <c r="AZ130" s="33"/>
      <c r="BA130" s="33"/>
      <c r="BB130" s="33"/>
      <c r="BC130" s="33"/>
      <c r="BD130" s="33"/>
      <c r="BE130" s="33"/>
      <c r="BF130" s="33"/>
      <c r="BG130" s="33"/>
      <c r="BH130" s="33"/>
      <c r="BI130" s="33"/>
      <c r="BJ130" s="171"/>
    </row>
    <row r="131" spans="1:62">
      <c r="B131" s="120"/>
      <c r="C131" s="121"/>
      <c r="D131" s="121"/>
      <c r="E131" s="121"/>
      <c r="F131" s="121"/>
      <c r="G131" s="121"/>
      <c r="H131" s="187"/>
      <c r="I131" s="188"/>
      <c r="J131" s="121"/>
      <c r="K131" s="187"/>
      <c r="L131" s="188"/>
      <c r="M131" s="121"/>
      <c r="N131" s="187"/>
      <c r="O131" s="188"/>
      <c r="P131" s="121"/>
      <c r="Q131" s="187"/>
      <c r="R131" s="188"/>
      <c r="S131" s="121"/>
      <c r="T131" s="121"/>
      <c r="U131" s="121"/>
      <c r="V131" s="121"/>
      <c r="W131" s="121"/>
      <c r="X131" s="121"/>
      <c r="Y131" s="121"/>
      <c r="Z131" s="121"/>
      <c r="AA131" s="187"/>
      <c r="AB131" s="189" t="s">
        <v>1244</v>
      </c>
      <c r="AC131" s="190"/>
      <c r="AD131" s="190"/>
      <c r="AE131" s="190"/>
      <c r="AF131" s="190"/>
      <c r="AG131" s="190"/>
      <c r="AH131" s="190"/>
      <c r="AI131" s="190"/>
      <c r="AJ131" s="190"/>
      <c r="AK131" s="190"/>
      <c r="AL131" s="190"/>
      <c r="AM131" s="191"/>
      <c r="AN131" s="192"/>
      <c r="AO131" s="190"/>
      <c r="AP131" s="190"/>
      <c r="AQ131" s="190"/>
      <c r="AR131" s="190"/>
      <c r="AS131" s="193"/>
      <c r="AT131" s="189"/>
      <c r="AU131" s="190"/>
      <c r="AV131" s="190"/>
      <c r="AW131" s="190"/>
      <c r="AX131" s="190"/>
      <c r="AY131" s="190"/>
      <c r="AZ131" s="190"/>
      <c r="BA131" s="190"/>
      <c r="BB131" s="190"/>
      <c r="BC131" s="190"/>
      <c r="BD131" s="190"/>
      <c r="BE131" s="190"/>
      <c r="BF131" s="190"/>
      <c r="BG131" s="190"/>
      <c r="BH131" s="190"/>
      <c r="BI131" s="190"/>
      <c r="BJ131" s="191"/>
    </row>
    <row r="133" spans="1:62" ht="15" customHeight="1">
      <c r="A133" s="1"/>
      <c r="B133" s="128" t="s">
        <v>1245</v>
      </c>
      <c r="C133" s="129"/>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c r="AC133" s="129"/>
      <c r="AD133" s="129"/>
      <c r="AE133" s="129"/>
      <c r="AF133" s="129"/>
      <c r="AG133" s="129"/>
      <c r="AH133" s="129"/>
      <c r="AI133" s="129"/>
      <c r="AJ133" s="129"/>
      <c r="AK133" s="129"/>
      <c r="AL133" s="129"/>
      <c r="AM133" s="130"/>
      <c r="AN133" s="131" t="s">
        <v>1174</v>
      </c>
      <c r="AO133" s="132"/>
      <c r="AP133" s="132"/>
      <c r="AQ133" s="132"/>
      <c r="AR133" s="132"/>
      <c r="AS133" s="132"/>
      <c r="AT133" s="132"/>
      <c r="AU133" s="132"/>
      <c r="AV133" s="132"/>
      <c r="AW133" s="132"/>
      <c r="AX133" s="132"/>
      <c r="AY133" s="132"/>
      <c r="AZ133" s="132"/>
      <c r="BA133" s="132"/>
      <c r="BB133" s="132"/>
      <c r="BC133" s="132"/>
      <c r="BD133" s="132"/>
      <c r="BE133" s="132"/>
      <c r="BF133" s="132"/>
      <c r="BG133" s="132"/>
      <c r="BH133" s="133"/>
      <c r="BI133" s="133"/>
      <c r="BJ133" s="134"/>
    </row>
    <row r="134" spans="1:62" ht="15" customHeight="1">
      <c r="A134" s="1"/>
      <c r="B134" s="135" t="s">
        <v>1175</v>
      </c>
      <c r="C134" s="136"/>
      <c r="D134" s="136"/>
      <c r="E134" s="136"/>
      <c r="F134" s="136"/>
      <c r="G134" s="136"/>
      <c r="H134" s="136"/>
      <c r="I134" s="137" t="s">
        <v>1176</v>
      </c>
      <c r="J134" s="136"/>
      <c r="K134" s="136"/>
      <c r="L134" s="137" t="s">
        <v>1177</v>
      </c>
      <c r="M134" s="138"/>
      <c r="N134" s="138"/>
      <c r="O134" s="139" t="s">
        <v>1178</v>
      </c>
      <c r="P134" s="138"/>
      <c r="Q134" s="136"/>
      <c r="R134" s="137" t="s">
        <v>1179</v>
      </c>
      <c r="S134" s="138"/>
      <c r="T134" s="138"/>
      <c r="U134" s="136"/>
      <c r="V134" s="140"/>
      <c r="W134" s="140"/>
      <c r="X134" s="136"/>
      <c r="Y134" s="136"/>
      <c r="Z134" s="136"/>
      <c r="AA134" s="136"/>
      <c r="AB134" s="137" t="s">
        <v>1180</v>
      </c>
      <c r="AC134" s="136"/>
      <c r="AD134" s="136"/>
      <c r="AE134" s="136"/>
      <c r="AF134" s="140"/>
      <c r="AG134" s="140"/>
      <c r="AH134" s="140"/>
      <c r="AI134" s="136"/>
      <c r="AJ134" s="136"/>
      <c r="AK134" s="136"/>
      <c r="AL134" s="136"/>
      <c r="AM134" s="141"/>
      <c r="AN134" s="142"/>
      <c r="AO134" s="143"/>
      <c r="AP134" s="144"/>
      <c r="AQ134" s="143"/>
      <c r="AR134" s="143"/>
      <c r="AS134" s="143"/>
      <c r="AT134" s="143"/>
      <c r="AU134" s="143"/>
      <c r="AV134" s="143"/>
      <c r="AW134" s="143"/>
      <c r="AX134" s="143"/>
      <c r="AY134" s="143"/>
      <c r="AZ134" s="143"/>
      <c r="BA134" s="143"/>
      <c r="BB134" s="143"/>
      <c r="BC134" s="143"/>
      <c r="BD134" s="143"/>
      <c r="BE134" s="143"/>
      <c r="BF134" s="143"/>
      <c r="BG134" s="143"/>
      <c r="BH134" s="143"/>
      <c r="BI134" s="143"/>
      <c r="BJ134" s="145"/>
    </row>
    <row r="135" spans="1:62" ht="15" customHeight="1">
      <c r="A135" s="1"/>
      <c r="B135" s="146"/>
      <c r="C135" s="147"/>
      <c r="D135" s="147"/>
      <c r="E135" s="147"/>
      <c r="F135" s="147"/>
      <c r="G135" s="147"/>
      <c r="H135" s="148"/>
      <c r="I135" s="149"/>
      <c r="J135" s="147"/>
      <c r="K135" s="148"/>
      <c r="L135" s="150"/>
      <c r="M135" s="147"/>
      <c r="N135" s="148"/>
      <c r="O135" s="151"/>
      <c r="P135" s="147"/>
      <c r="Q135" s="148"/>
      <c r="R135" s="149"/>
      <c r="S135" s="147"/>
      <c r="T135" s="147"/>
      <c r="U135" s="147"/>
      <c r="V135" s="124"/>
      <c r="W135" s="124"/>
      <c r="X135" s="152"/>
      <c r="Y135" s="152"/>
      <c r="Z135" s="152"/>
      <c r="AA135" s="153"/>
      <c r="AB135" s="154" t="s">
        <v>1181</v>
      </c>
      <c r="AC135" s="155"/>
      <c r="AD135" s="155"/>
      <c r="AE135" s="155"/>
      <c r="AF135" s="156"/>
      <c r="AG135" s="156"/>
      <c r="AH135" s="156"/>
      <c r="AI135" s="155"/>
      <c r="AJ135" s="155"/>
      <c r="AK135" s="155"/>
      <c r="AL135" s="155"/>
      <c r="AM135" s="157"/>
      <c r="AN135" s="194" t="s">
        <v>1175</v>
      </c>
      <c r="AO135" s="195"/>
      <c r="AP135" s="195"/>
      <c r="AQ135" s="195"/>
      <c r="AR135" s="195"/>
      <c r="AS135" s="195"/>
      <c r="AT135" s="195"/>
      <c r="AU135" s="196" t="s">
        <v>1176</v>
      </c>
      <c r="AV135" s="195"/>
      <c r="AW135" s="195"/>
      <c r="AX135" s="196" t="s">
        <v>1246</v>
      </c>
      <c r="AY135" s="197"/>
      <c r="AZ135" s="197"/>
      <c r="BA135" s="197"/>
      <c r="BB135" s="197"/>
      <c r="BC135" s="197"/>
      <c r="BD135" s="197"/>
      <c r="BE135" s="197"/>
      <c r="BF135" s="197"/>
      <c r="BG135" s="197"/>
      <c r="BH135" s="197"/>
      <c r="BI135" s="197"/>
      <c r="BJ135" s="45"/>
    </row>
    <row r="136" spans="1:62" ht="15" customHeight="1">
      <c r="A136" s="1"/>
      <c r="B136" s="161" t="s">
        <v>1183</v>
      </c>
      <c r="C136" s="162"/>
      <c r="D136" s="162"/>
      <c r="E136" s="162"/>
      <c r="F136" s="162"/>
      <c r="G136" s="162"/>
      <c r="H136" s="163"/>
      <c r="I136" s="164" t="s">
        <v>1184</v>
      </c>
      <c r="J136" s="162"/>
      <c r="K136" s="163"/>
      <c r="L136" s="165" t="s">
        <v>1185</v>
      </c>
      <c r="M136" s="162"/>
      <c r="N136" s="163"/>
      <c r="O136" s="166" t="s">
        <v>1187</v>
      </c>
      <c r="P136" s="162"/>
      <c r="Q136" s="163"/>
      <c r="R136" s="164" t="s">
        <v>1188</v>
      </c>
      <c r="S136" s="162"/>
      <c r="T136" s="162"/>
      <c r="U136" s="162"/>
      <c r="V136" s="67"/>
      <c r="W136" s="67"/>
      <c r="X136" s="167"/>
      <c r="Y136" s="167"/>
      <c r="Z136" s="167"/>
      <c r="AA136" s="168"/>
      <c r="AB136" s="169" t="str">
        <f>"  """&amp;B136&amp;": ""300"","""</f>
        <v xml:space="preserve">  "company_code: "300","</v>
      </c>
      <c r="AC136" s="170"/>
      <c r="AD136" s="170"/>
      <c r="AE136" s="170"/>
      <c r="AF136" s="33"/>
      <c r="AG136" s="33"/>
      <c r="AH136" s="33"/>
      <c r="AI136" s="170"/>
      <c r="AJ136" s="170"/>
      <c r="AK136" s="170"/>
      <c r="AL136" s="170"/>
      <c r="AM136" s="171"/>
      <c r="AN136" s="198"/>
      <c r="AO136" s="199"/>
      <c r="AP136" s="199"/>
      <c r="AQ136" s="199"/>
      <c r="AR136" s="199"/>
      <c r="AS136" s="199"/>
      <c r="AT136" s="200"/>
      <c r="AU136" s="201"/>
      <c r="AV136" s="199"/>
      <c r="AW136" s="200"/>
      <c r="AX136" s="154" t="s">
        <v>1181</v>
      </c>
      <c r="AY136" s="160"/>
      <c r="AZ136" s="160"/>
      <c r="BA136" s="160"/>
      <c r="BB136" s="160"/>
      <c r="BC136" s="160"/>
      <c r="BD136" s="160"/>
      <c r="BE136" s="160"/>
      <c r="BF136" s="160"/>
      <c r="BG136" s="160"/>
      <c r="BH136" s="160"/>
      <c r="BI136" s="160"/>
      <c r="BJ136" s="157"/>
    </row>
    <row r="137" spans="1:62" ht="15" customHeight="1">
      <c r="A137" s="1"/>
      <c r="B137" s="161" t="s">
        <v>1189</v>
      </c>
      <c r="C137" s="162"/>
      <c r="D137" s="162"/>
      <c r="E137" s="162"/>
      <c r="F137" s="162"/>
      <c r="G137" s="162"/>
      <c r="H137" s="163"/>
      <c r="I137" s="164" t="s">
        <v>1184</v>
      </c>
      <c r="J137" s="162"/>
      <c r="K137" s="163"/>
      <c r="L137" s="175" t="s">
        <v>1185</v>
      </c>
      <c r="M137" s="162"/>
      <c r="N137" s="163"/>
      <c r="O137" s="166" t="s">
        <v>1187</v>
      </c>
      <c r="P137" s="162"/>
      <c r="Q137" s="163"/>
      <c r="R137" s="164" t="s">
        <v>1190</v>
      </c>
      <c r="S137" s="162"/>
      <c r="T137" s="162"/>
      <c r="U137" s="162"/>
      <c r="V137" s="67"/>
      <c r="W137" s="67"/>
      <c r="X137" s="167"/>
      <c r="Y137" s="167"/>
      <c r="Z137" s="167"/>
      <c r="AA137" s="168"/>
      <c r="AB137" s="169" t="str">
        <f>"  """&amp;B137&amp;": ""048405"","""</f>
        <v xml:space="preserve">  "store_code: "048405","</v>
      </c>
      <c r="AC137" s="170"/>
      <c r="AD137" s="170"/>
      <c r="AE137" s="170"/>
      <c r="AF137" s="33"/>
      <c r="AG137" s="33"/>
      <c r="AH137" s="33"/>
      <c r="AI137" s="170"/>
      <c r="AJ137" s="170"/>
      <c r="AK137" s="170"/>
      <c r="AL137" s="170"/>
      <c r="AM137" s="171"/>
      <c r="AN137" s="161" t="s">
        <v>1183</v>
      </c>
      <c r="AO137" s="162"/>
      <c r="AP137" s="162"/>
      <c r="AQ137" s="162"/>
      <c r="AR137" s="162"/>
      <c r="AS137" s="162"/>
      <c r="AT137" s="163"/>
      <c r="AU137" s="164" t="s">
        <v>1184</v>
      </c>
      <c r="AV137" s="162"/>
      <c r="AW137" s="163"/>
      <c r="AX137" s="169" t="s">
        <v>1247</v>
      </c>
      <c r="AY137" s="174"/>
      <c r="AZ137" s="174"/>
      <c r="BA137" s="174"/>
      <c r="BB137" s="174"/>
      <c r="BC137" s="174"/>
      <c r="BD137" s="174"/>
      <c r="BE137" s="174"/>
      <c r="BF137" s="174"/>
      <c r="BG137" s="174"/>
      <c r="BH137" s="174"/>
      <c r="BI137" s="174"/>
      <c r="BJ137" s="171"/>
    </row>
    <row r="138" spans="1:62" ht="15" customHeight="1">
      <c r="A138" s="2"/>
      <c r="B138" s="161" t="s">
        <v>1191</v>
      </c>
      <c r="C138" s="162"/>
      <c r="D138" s="162"/>
      <c r="E138" s="162"/>
      <c r="F138" s="162"/>
      <c r="G138" s="162"/>
      <c r="H138" s="163"/>
      <c r="I138" s="164" t="s">
        <v>1184</v>
      </c>
      <c r="J138" s="162"/>
      <c r="K138" s="163"/>
      <c r="L138" s="175" t="s">
        <v>1185</v>
      </c>
      <c r="M138" s="162"/>
      <c r="N138" s="163"/>
      <c r="O138" s="166" t="s">
        <v>1187</v>
      </c>
      <c r="P138" s="162"/>
      <c r="Q138" s="163"/>
      <c r="R138" s="164" t="s">
        <v>1192</v>
      </c>
      <c r="S138" s="162"/>
      <c r="T138" s="162"/>
      <c r="U138" s="162"/>
      <c r="V138" s="67"/>
      <c r="W138" s="67"/>
      <c r="X138" s="167"/>
      <c r="Y138" s="167"/>
      <c r="Z138" s="167"/>
      <c r="AA138" s="168"/>
      <c r="AB138" s="169" t="str">
        <f>"  """&amp;B138&amp;": ""901"","""</f>
        <v xml:space="preserve">  "instore_code: "901","</v>
      </c>
      <c r="AC138" s="170"/>
      <c r="AD138" s="170"/>
      <c r="AE138" s="170"/>
      <c r="AF138" s="33"/>
      <c r="AG138" s="33"/>
      <c r="AH138" s="33"/>
      <c r="AI138" s="170"/>
      <c r="AJ138" s="170"/>
      <c r="AK138" s="170"/>
      <c r="AL138" s="170"/>
      <c r="AM138" s="171"/>
      <c r="AN138" s="161" t="s">
        <v>1189</v>
      </c>
      <c r="AO138" s="162"/>
      <c r="AP138" s="162"/>
      <c r="AQ138" s="162"/>
      <c r="AR138" s="162"/>
      <c r="AS138" s="162"/>
      <c r="AT138" s="163"/>
      <c r="AU138" s="164" t="s">
        <v>1184</v>
      </c>
      <c r="AV138" s="162"/>
      <c r="AW138" s="163"/>
      <c r="AX138" s="169" t="s">
        <v>1248</v>
      </c>
      <c r="AY138" s="202"/>
      <c r="AZ138" s="202"/>
      <c r="BA138" s="202"/>
      <c r="BB138" s="202"/>
      <c r="BC138" s="202"/>
      <c r="BD138" s="202"/>
      <c r="BE138" s="202"/>
      <c r="BF138" s="202"/>
      <c r="BG138" s="202"/>
      <c r="BH138" s="33"/>
      <c r="BI138" s="33"/>
      <c r="BJ138" s="171"/>
    </row>
    <row r="139" spans="1:62" ht="16.5">
      <c r="B139" s="161"/>
      <c r="C139" s="162"/>
      <c r="D139" s="162"/>
      <c r="E139" s="162"/>
      <c r="F139" s="162"/>
      <c r="G139" s="162"/>
      <c r="H139" s="163"/>
      <c r="I139" s="164"/>
      <c r="J139" s="162"/>
      <c r="K139" s="163"/>
      <c r="L139" s="175"/>
      <c r="M139" s="162"/>
      <c r="N139" s="163"/>
      <c r="O139" s="166"/>
      <c r="P139" s="162"/>
      <c r="Q139" s="163"/>
      <c r="R139" s="164"/>
      <c r="S139" s="162"/>
      <c r="T139" s="162"/>
      <c r="U139" s="162"/>
      <c r="V139" s="67"/>
      <c r="W139" s="67"/>
      <c r="X139" s="167"/>
      <c r="Y139" s="167"/>
      <c r="Z139" s="167"/>
      <c r="AA139" s="168"/>
      <c r="AB139" s="169" t="s">
        <v>1249</v>
      </c>
      <c r="AC139" s="170"/>
      <c r="AD139" s="170"/>
      <c r="AE139" s="170"/>
      <c r="AF139" s="33"/>
      <c r="AG139" s="33"/>
      <c r="AH139" s="33"/>
      <c r="AI139" s="170"/>
      <c r="AJ139" s="170"/>
      <c r="AK139" s="170"/>
      <c r="AL139" s="170"/>
      <c r="AM139" s="171"/>
      <c r="AN139" s="161" t="s">
        <v>1191</v>
      </c>
      <c r="AO139" s="162"/>
      <c r="AP139" s="162"/>
      <c r="AQ139" s="162"/>
      <c r="AR139" s="162"/>
      <c r="AS139" s="162"/>
      <c r="AT139" s="163"/>
      <c r="AU139" s="164" t="s">
        <v>1184</v>
      </c>
      <c r="AV139" s="162"/>
      <c r="AW139" s="163"/>
      <c r="AX139" s="169" t="s">
        <v>1250</v>
      </c>
      <c r="AY139" s="170"/>
      <c r="AZ139" s="170"/>
      <c r="BA139" s="170"/>
      <c r="BB139" s="170"/>
      <c r="BC139" s="170"/>
      <c r="BD139" s="170"/>
      <c r="BE139" s="170"/>
      <c r="BF139" s="170"/>
      <c r="BG139" s="170"/>
      <c r="BH139" s="170"/>
      <c r="BI139" s="170"/>
      <c r="BJ139" s="171"/>
    </row>
    <row r="140" spans="1:62" ht="16.5">
      <c r="B140" s="161"/>
      <c r="C140" s="162"/>
      <c r="D140" s="162"/>
      <c r="E140" s="162"/>
      <c r="F140" s="162"/>
      <c r="G140" s="162"/>
      <c r="H140" s="163"/>
      <c r="I140" s="164"/>
      <c r="J140" s="162"/>
      <c r="K140" s="163"/>
      <c r="L140" s="175"/>
      <c r="M140" s="162"/>
      <c r="N140" s="163"/>
      <c r="O140" s="166"/>
      <c r="P140" s="162"/>
      <c r="Q140" s="163"/>
      <c r="R140" s="164"/>
      <c r="S140" s="162"/>
      <c r="T140" s="162"/>
      <c r="U140" s="162"/>
      <c r="V140" s="67"/>
      <c r="W140" s="67"/>
      <c r="X140" s="167"/>
      <c r="Y140" s="167"/>
      <c r="Z140" s="167"/>
      <c r="AA140" s="168"/>
      <c r="AB140" s="169"/>
      <c r="AC140" s="170"/>
      <c r="AD140" s="170"/>
      <c r="AE140" s="170"/>
      <c r="AF140" s="33"/>
      <c r="AG140" s="33"/>
      <c r="AH140" s="33"/>
      <c r="AI140" s="170"/>
      <c r="AJ140" s="170"/>
      <c r="AK140" s="170"/>
      <c r="AL140" s="170"/>
      <c r="AM140" s="171"/>
      <c r="AN140" s="161" t="s">
        <v>339</v>
      </c>
      <c r="AO140" s="162"/>
      <c r="AP140" s="162"/>
      <c r="AQ140" s="162"/>
      <c r="AR140" s="162"/>
      <c r="AS140" s="162"/>
      <c r="AT140" s="163"/>
      <c r="AU140" s="164" t="s">
        <v>1184</v>
      </c>
      <c r="AV140" s="162"/>
      <c r="AW140" s="163"/>
      <c r="AX140" s="169" t="s">
        <v>1251</v>
      </c>
      <c r="AY140" s="174"/>
      <c r="AZ140" s="174"/>
      <c r="BA140" s="174"/>
      <c r="BB140" s="174"/>
      <c r="BC140" s="174"/>
      <c r="BD140" s="174"/>
      <c r="BE140" s="174"/>
      <c r="BF140" s="174"/>
      <c r="BG140" s="174"/>
      <c r="BH140" s="174"/>
      <c r="BI140" s="174"/>
      <c r="BJ140" s="171"/>
    </row>
    <row r="141" spans="1:62" ht="16.5">
      <c r="B141" s="161"/>
      <c r="C141" s="162"/>
      <c r="D141" s="162"/>
      <c r="E141" s="162"/>
      <c r="F141" s="162"/>
      <c r="G141" s="162"/>
      <c r="H141" s="163"/>
      <c r="I141" s="164"/>
      <c r="J141" s="162"/>
      <c r="K141" s="163"/>
      <c r="L141" s="175"/>
      <c r="M141" s="162"/>
      <c r="N141" s="163"/>
      <c r="O141" s="166"/>
      <c r="P141" s="162"/>
      <c r="Q141" s="163"/>
      <c r="R141" s="164"/>
      <c r="S141" s="162"/>
      <c r="T141" s="162"/>
      <c r="U141" s="162"/>
      <c r="V141" s="67"/>
      <c r="W141" s="67"/>
      <c r="X141" s="167"/>
      <c r="Y141" s="167"/>
      <c r="Z141" s="167"/>
      <c r="AA141" s="168"/>
      <c r="AB141" s="169"/>
      <c r="AC141" s="170"/>
      <c r="AD141" s="170"/>
      <c r="AE141" s="170"/>
      <c r="AF141" s="33"/>
      <c r="AG141" s="33"/>
      <c r="AH141" s="33"/>
      <c r="AI141" s="170"/>
      <c r="AJ141" s="170"/>
      <c r="AK141" s="170"/>
      <c r="AL141" s="170"/>
      <c r="AM141" s="171"/>
      <c r="AN141" s="161" t="s">
        <v>1195</v>
      </c>
      <c r="AO141" s="162"/>
      <c r="AP141" s="162"/>
      <c r="AQ141" s="162"/>
      <c r="AR141" s="162"/>
      <c r="AS141" s="162"/>
      <c r="AT141" s="163"/>
      <c r="AU141" s="164" t="s">
        <v>437</v>
      </c>
      <c r="AV141" s="162"/>
      <c r="AW141" s="163"/>
      <c r="AX141" s="169" t="s">
        <v>1252</v>
      </c>
      <c r="AY141" s="174"/>
      <c r="AZ141" s="174"/>
      <c r="BA141" s="174"/>
      <c r="BB141" s="174"/>
      <c r="BC141" s="174"/>
      <c r="BD141" s="174"/>
      <c r="BE141" s="174"/>
      <c r="BF141" s="174"/>
      <c r="BG141" s="174"/>
      <c r="BH141" s="174"/>
      <c r="BI141" s="174"/>
      <c r="BJ141" s="171"/>
    </row>
    <row r="142" spans="1:62" ht="16.5">
      <c r="B142" s="161"/>
      <c r="C142" s="162"/>
      <c r="D142" s="162"/>
      <c r="E142" s="162"/>
      <c r="F142" s="162"/>
      <c r="G142" s="162"/>
      <c r="H142" s="163"/>
      <c r="I142" s="164"/>
      <c r="J142" s="162"/>
      <c r="K142" s="163"/>
      <c r="L142" s="175"/>
      <c r="M142" s="162"/>
      <c r="N142" s="163"/>
      <c r="O142" s="166"/>
      <c r="P142" s="162"/>
      <c r="Q142" s="163"/>
      <c r="R142" s="164"/>
      <c r="S142" s="162"/>
      <c r="T142" s="162"/>
      <c r="U142" s="162"/>
      <c r="V142" s="67"/>
      <c r="W142" s="67"/>
      <c r="X142" s="167"/>
      <c r="Y142" s="167"/>
      <c r="Z142" s="167"/>
      <c r="AA142" s="168"/>
      <c r="AB142" s="169"/>
      <c r="AC142" s="170"/>
      <c r="AD142" s="170"/>
      <c r="AE142" s="170"/>
      <c r="AF142" s="33"/>
      <c r="AG142" s="33"/>
      <c r="AH142" s="33"/>
      <c r="AI142" s="170"/>
      <c r="AJ142" s="170"/>
      <c r="AK142" s="170"/>
      <c r="AL142" s="170"/>
      <c r="AM142" s="171"/>
      <c r="AN142" s="161" t="s">
        <v>1197</v>
      </c>
      <c r="AO142" s="162"/>
      <c r="AP142" s="162"/>
      <c r="AQ142" s="162"/>
      <c r="AR142" s="162"/>
      <c r="AS142" s="162"/>
      <c r="AT142" s="163"/>
      <c r="AU142" s="164" t="s">
        <v>1198</v>
      </c>
      <c r="AV142" s="162"/>
      <c r="AW142" s="163"/>
      <c r="AX142" s="169" t="s">
        <v>1253</v>
      </c>
      <c r="AY142" s="174"/>
      <c r="AZ142" s="174"/>
      <c r="BA142" s="174"/>
      <c r="BB142" s="174"/>
      <c r="BC142" s="174"/>
      <c r="BD142" s="174"/>
      <c r="BE142" s="174"/>
      <c r="BF142" s="174"/>
      <c r="BG142" s="174"/>
      <c r="BH142" s="174"/>
      <c r="BI142" s="174"/>
      <c r="BJ142" s="171"/>
    </row>
    <row r="143" spans="1:62" ht="16.5">
      <c r="B143" s="161"/>
      <c r="C143" s="162"/>
      <c r="D143" s="162"/>
      <c r="E143" s="162"/>
      <c r="F143" s="162"/>
      <c r="G143" s="162"/>
      <c r="H143" s="163"/>
      <c r="I143" s="164"/>
      <c r="J143" s="162"/>
      <c r="K143" s="163"/>
      <c r="L143" s="175"/>
      <c r="M143" s="162"/>
      <c r="N143" s="163"/>
      <c r="O143" s="166"/>
      <c r="P143" s="162"/>
      <c r="Q143" s="163"/>
      <c r="R143" s="164"/>
      <c r="S143" s="162"/>
      <c r="T143" s="162"/>
      <c r="U143" s="162"/>
      <c r="V143" s="67"/>
      <c r="W143" s="67"/>
      <c r="X143" s="167"/>
      <c r="Y143" s="167"/>
      <c r="Z143" s="167"/>
      <c r="AA143" s="168"/>
      <c r="AB143" s="169"/>
      <c r="AC143" s="170"/>
      <c r="AD143" s="170"/>
      <c r="AE143" s="170"/>
      <c r="AF143" s="33"/>
      <c r="AG143" s="33"/>
      <c r="AH143" s="33"/>
      <c r="AI143" s="170"/>
      <c r="AJ143" s="170"/>
      <c r="AK143" s="170"/>
      <c r="AL143" s="170"/>
      <c r="AM143" s="171"/>
      <c r="AN143" s="161" t="s">
        <v>1201</v>
      </c>
      <c r="AO143" s="162"/>
      <c r="AP143" s="162"/>
      <c r="AQ143" s="162"/>
      <c r="AR143" s="162"/>
      <c r="AS143" s="162"/>
      <c r="AT143" s="163"/>
      <c r="AU143" s="164" t="s">
        <v>437</v>
      </c>
      <c r="AV143" s="162"/>
      <c r="AW143" s="163"/>
      <c r="AX143" s="169" t="s">
        <v>1254</v>
      </c>
      <c r="AY143" s="174"/>
      <c r="AZ143" s="174"/>
      <c r="BA143" s="174"/>
      <c r="BB143" s="174"/>
      <c r="BC143" s="174"/>
      <c r="BD143" s="174"/>
      <c r="BE143" s="174"/>
      <c r="BF143" s="174"/>
      <c r="BG143" s="174"/>
      <c r="BH143" s="174"/>
      <c r="BI143" s="174"/>
      <c r="BJ143" s="171"/>
    </row>
    <row r="144" spans="1:62" ht="16.5">
      <c r="B144" s="161"/>
      <c r="C144" s="162"/>
      <c r="D144" s="162"/>
      <c r="E144" s="162"/>
      <c r="F144" s="162"/>
      <c r="G144" s="162"/>
      <c r="H144" s="163"/>
      <c r="I144" s="164"/>
      <c r="J144" s="162"/>
      <c r="K144" s="163"/>
      <c r="L144" s="181"/>
      <c r="M144" s="162"/>
      <c r="N144" s="163"/>
      <c r="O144" s="166"/>
      <c r="P144" s="162"/>
      <c r="Q144" s="163"/>
      <c r="R144" s="164"/>
      <c r="S144" s="162"/>
      <c r="T144" s="162"/>
      <c r="U144" s="162"/>
      <c r="V144" s="67"/>
      <c r="W144" s="67"/>
      <c r="X144" s="162"/>
      <c r="Y144" s="162"/>
      <c r="Z144" s="162"/>
      <c r="AA144" s="163"/>
      <c r="AB144" s="169"/>
      <c r="AC144" s="33"/>
      <c r="AD144" s="33"/>
      <c r="AE144" s="33"/>
      <c r="AF144" s="33"/>
      <c r="AG144" s="33"/>
      <c r="AH144" s="33"/>
      <c r="AI144" s="33"/>
      <c r="AJ144" s="33"/>
      <c r="AK144" s="33"/>
      <c r="AL144" s="33"/>
      <c r="AM144" s="171"/>
      <c r="AN144" s="161" t="s">
        <v>1203</v>
      </c>
      <c r="AO144" s="162"/>
      <c r="AP144" s="162"/>
      <c r="AQ144" s="162"/>
      <c r="AR144" s="162"/>
      <c r="AS144" s="162"/>
      <c r="AT144" s="163"/>
      <c r="AU144" s="164" t="s">
        <v>437</v>
      </c>
      <c r="AV144" s="162"/>
      <c r="AW144" s="163"/>
      <c r="AX144" s="169" t="s">
        <v>1255</v>
      </c>
      <c r="AY144" s="33"/>
      <c r="AZ144" s="33"/>
      <c r="BA144" s="33"/>
      <c r="BB144" s="33"/>
      <c r="BC144" s="33"/>
      <c r="BD144" s="33"/>
      <c r="BE144" s="33"/>
      <c r="BF144" s="33"/>
      <c r="BG144" s="33"/>
      <c r="BH144" s="33"/>
      <c r="BI144" s="33"/>
      <c r="BJ144" s="171"/>
    </row>
    <row r="145" spans="2:62" ht="16.5">
      <c r="B145" s="66"/>
      <c r="C145" s="67"/>
      <c r="D145" s="67"/>
      <c r="E145" s="67"/>
      <c r="F145" s="67"/>
      <c r="G145" s="67"/>
      <c r="H145" s="184"/>
      <c r="I145" s="185"/>
      <c r="J145" s="67"/>
      <c r="K145" s="184"/>
      <c r="L145" s="185"/>
      <c r="M145" s="67"/>
      <c r="N145" s="184"/>
      <c r="O145" s="185"/>
      <c r="P145" s="67"/>
      <c r="Q145" s="184"/>
      <c r="R145" s="185"/>
      <c r="S145" s="67"/>
      <c r="T145" s="67"/>
      <c r="U145" s="67"/>
      <c r="V145" s="67"/>
      <c r="W145" s="67"/>
      <c r="X145" s="67"/>
      <c r="Y145" s="67"/>
      <c r="Z145" s="67"/>
      <c r="AA145" s="184"/>
      <c r="AB145" s="169"/>
      <c r="AC145" s="33"/>
      <c r="AD145" s="33"/>
      <c r="AE145" s="33"/>
      <c r="AF145" s="33"/>
      <c r="AG145" s="33"/>
      <c r="AH145" s="33"/>
      <c r="AI145" s="33"/>
      <c r="AJ145" s="33"/>
      <c r="AK145" s="33"/>
      <c r="AL145" s="33"/>
      <c r="AM145" s="171"/>
      <c r="AN145" s="161" t="s">
        <v>1205</v>
      </c>
      <c r="AO145" s="162"/>
      <c r="AP145" s="162"/>
      <c r="AQ145" s="162"/>
      <c r="AR145" s="162"/>
      <c r="AS145" s="162"/>
      <c r="AT145" s="163"/>
      <c r="AU145" s="164" t="s">
        <v>437</v>
      </c>
      <c r="AV145" s="162"/>
      <c r="AW145" s="163"/>
      <c r="AX145" s="169" t="s">
        <v>1256</v>
      </c>
      <c r="AY145" s="33"/>
      <c r="AZ145" s="33"/>
      <c r="BA145" s="33"/>
      <c r="BB145" s="33"/>
      <c r="BC145" s="33"/>
      <c r="BD145" s="33"/>
      <c r="BE145" s="33"/>
      <c r="BF145" s="33"/>
      <c r="BG145" s="33"/>
      <c r="BH145" s="33"/>
      <c r="BI145" s="33"/>
      <c r="BJ145" s="171"/>
    </row>
    <row r="146" spans="2:62" ht="16.5">
      <c r="B146" s="66"/>
      <c r="C146" s="67"/>
      <c r="D146" s="67"/>
      <c r="E146" s="67"/>
      <c r="F146" s="67"/>
      <c r="G146" s="67"/>
      <c r="H146" s="184"/>
      <c r="I146" s="185"/>
      <c r="J146" s="67"/>
      <c r="K146" s="184"/>
      <c r="L146" s="185"/>
      <c r="M146" s="67"/>
      <c r="N146" s="184"/>
      <c r="O146" s="185"/>
      <c r="P146" s="67"/>
      <c r="Q146" s="184"/>
      <c r="R146" s="185"/>
      <c r="S146" s="67"/>
      <c r="T146" s="67"/>
      <c r="U146" s="67"/>
      <c r="V146" s="67"/>
      <c r="W146" s="67"/>
      <c r="X146" s="67"/>
      <c r="Y146" s="67"/>
      <c r="Z146" s="67"/>
      <c r="AA146" s="184"/>
      <c r="AB146" s="169"/>
      <c r="AC146" s="33"/>
      <c r="AD146" s="33"/>
      <c r="AE146" s="33"/>
      <c r="AF146" s="33"/>
      <c r="AG146" s="33"/>
      <c r="AH146" s="33"/>
      <c r="AI146" s="33"/>
      <c r="AJ146" s="33"/>
      <c r="AK146" s="33"/>
      <c r="AL146" s="33"/>
      <c r="AM146" s="171"/>
      <c r="AN146" s="66" t="s">
        <v>1207</v>
      </c>
      <c r="AO146" s="67"/>
      <c r="AP146" s="67"/>
      <c r="AQ146" s="67"/>
      <c r="AR146" s="67"/>
      <c r="AS146" s="67"/>
      <c r="AT146" s="184"/>
      <c r="AU146" s="185" t="s">
        <v>437</v>
      </c>
      <c r="AV146" s="67"/>
      <c r="AW146" s="184"/>
      <c r="AX146" s="169" t="s">
        <v>1257</v>
      </c>
      <c r="AY146" s="33"/>
      <c r="AZ146" s="33"/>
      <c r="BA146" s="33"/>
      <c r="BB146" s="33"/>
      <c r="BC146" s="33"/>
      <c r="BD146" s="33"/>
      <c r="BE146" s="33"/>
      <c r="BF146" s="33"/>
      <c r="BG146" s="33"/>
      <c r="BH146" s="33"/>
      <c r="BI146" s="33"/>
      <c r="BJ146" s="171"/>
    </row>
    <row r="147" spans="2:62" ht="16.5">
      <c r="B147" s="66"/>
      <c r="C147" s="67"/>
      <c r="D147" s="67"/>
      <c r="E147" s="67"/>
      <c r="F147" s="67"/>
      <c r="G147" s="67"/>
      <c r="H147" s="184"/>
      <c r="I147" s="185"/>
      <c r="J147" s="67"/>
      <c r="K147" s="184"/>
      <c r="L147" s="185"/>
      <c r="M147" s="67"/>
      <c r="N147" s="184"/>
      <c r="O147" s="185"/>
      <c r="P147" s="67"/>
      <c r="Q147" s="184"/>
      <c r="R147" s="185"/>
      <c r="S147" s="67"/>
      <c r="T147" s="67"/>
      <c r="U147" s="67"/>
      <c r="V147" s="67"/>
      <c r="W147" s="67"/>
      <c r="X147" s="67"/>
      <c r="Y147" s="67"/>
      <c r="Z147" s="67"/>
      <c r="AA147" s="184"/>
      <c r="AB147" s="169"/>
      <c r="AC147" s="33"/>
      <c r="AD147" s="33"/>
      <c r="AE147" s="33"/>
      <c r="AF147" s="33"/>
      <c r="AG147" s="33"/>
      <c r="AH147" s="33"/>
      <c r="AI147" s="33"/>
      <c r="AJ147" s="33"/>
      <c r="AK147" s="33"/>
      <c r="AL147" s="33"/>
      <c r="AM147" s="171"/>
      <c r="AN147" s="66" t="s">
        <v>1208</v>
      </c>
      <c r="AO147" s="67"/>
      <c r="AP147" s="67"/>
      <c r="AQ147" s="67"/>
      <c r="AR147" s="67"/>
      <c r="AS147" s="67"/>
      <c r="AT147" s="184"/>
      <c r="AU147" s="185" t="s">
        <v>437</v>
      </c>
      <c r="AV147" s="67"/>
      <c r="AW147" s="184"/>
      <c r="AX147" s="169" t="s">
        <v>1258</v>
      </c>
      <c r="AY147" s="33"/>
      <c r="AZ147" s="33"/>
      <c r="BA147" s="33"/>
      <c r="BB147" s="33"/>
      <c r="BC147" s="33"/>
      <c r="BD147" s="33"/>
      <c r="BE147" s="33"/>
      <c r="BF147" s="33"/>
      <c r="BG147" s="33"/>
      <c r="BH147" s="33"/>
      <c r="BI147" s="33"/>
      <c r="BJ147" s="171"/>
    </row>
    <row r="148" spans="2:62" ht="16.5">
      <c r="B148" s="66"/>
      <c r="C148" s="67"/>
      <c r="D148" s="67"/>
      <c r="E148" s="67"/>
      <c r="F148" s="67"/>
      <c r="G148" s="67"/>
      <c r="H148" s="184"/>
      <c r="I148" s="185"/>
      <c r="J148" s="67"/>
      <c r="K148" s="184"/>
      <c r="L148" s="185"/>
      <c r="M148" s="67"/>
      <c r="N148" s="184"/>
      <c r="O148" s="185"/>
      <c r="P148" s="67"/>
      <c r="Q148" s="184"/>
      <c r="R148" s="185"/>
      <c r="S148" s="67"/>
      <c r="T148" s="67"/>
      <c r="U148" s="67"/>
      <c r="V148" s="67"/>
      <c r="W148" s="67"/>
      <c r="X148" s="67"/>
      <c r="Y148" s="67"/>
      <c r="Z148" s="67"/>
      <c r="AA148" s="184"/>
      <c r="AB148" s="169"/>
      <c r="AC148" s="33"/>
      <c r="AD148" s="33"/>
      <c r="AE148" s="33"/>
      <c r="AF148" s="33"/>
      <c r="AG148" s="33"/>
      <c r="AH148" s="33"/>
      <c r="AI148" s="33"/>
      <c r="AJ148" s="33"/>
      <c r="AK148" s="33"/>
      <c r="AL148" s="33"/>
      <c r="AM148" s="171"/>
      <c r="AN148" s="66" t="s">
        <v>1209</v>
      </c>
      <c r="AO148" s="67"/>
      <c r="AP148" s="67"/>
      <c r="AQ148" s="67"/>
      <c r="AR148" s="67"/>
      <c r="AS148" s="67"/>
      <c r="AT148" s="184"/>
      <c r="AU148" s="185" t="s">
        <v>437</v>
      </c>
      <c r="AV148" s="67"/>
      <c r="AW148" s="184"/>
      <c r="AX148" s="169" t="s">
        <v>1259</v>
      </c>
      <c r="AY148" s="33"/>
      <c r="AZ148" s="33"/>
      <c r="BA148" s="33"/>
      <c r="BB148" s="33"/>
      <c r="BC148" s="33"/>
      <c r="BD148" s="33"/>
      <c r="BE148" s="33"/>
      <c r="BF148" s="33"/>
      <c r="BG148" s="33"/>
      <c r="BH148" s="33"/>
      <c r="BI148" s="33"/>
      <c r="BJ148" s="171"/>
    </row>
    <row r="149" spans="2:62" ht="16.5">
      <c r="B149" s="66"/>
      <c r="C149" s="67"/>
      <c r="D149" s="67"/>
      <c r="E149" s="67"/>
      <c r="F149" s="67"/>
      <c r="G149" s="67"/>
      <c r="H149" s="184"/>
      <c r="I149" s="185"/>
      <c r="J149" s="67"/>
      <c r="K149" s="184"/>
      <c r="L149" s="185"/>
      <c r="M149" s="67"/>
      <c r="N149" s="184"/>
      <c r="O149" s="185"/>
      <c r="P149" s="67"/>
      <c r="Q149" s="184"/>
      <c r="R149" s="185"/>
      <c r="S149" s="67"/>
      <c r="T149" s="67"/>
      <c r="U149" s="67"/>
      <c r="V149" s="67"/>
      <c r="W149" s="67"/>
      <c r="X149" s="67"/>
      <c r="Y149" s="67"/>
      <c r="Z149" s="67"/>
      <c r="AA149" s="184"/>
      <c r="AB149" s="169"/>
      <c r="AC149" s="33"/>
      <c r="AD149" s="33"/>
      <c r="AE149" s="33"/>
      <c r="AF149" s="33"/>
      <c r="AG149" s="33"/>
      <c r="AH149" s="33"/>
      <c r="AI149" s="33"/>
      <c r="AJ149" s="33"/>
      <c r="AK149" s="33"/>
      <c r="AL149" s="33"/>
      <c r="AM149" s="171"/>
      <c r="AN149" s="66" t="s">
        <v>1211</v>
      </c>
      <c r="AO149" s="67"/>
      <c r="AP149" s="67"/>
      <c r="AQ149" s="67"/>
      <c r="AR149" s="67"/>
      <c r="AS149" s="67"/>
      <c r="AT149" s="184"/>
      <c r="AU149" s="185" t="s">
        <v>437</v>
      </c>
      <c r="AV149" s="67"/>
      <c r="AW149" s="184"/>
      <c r="AX149" s="169" t="s">
        <v>1260</v>
      </c>
      <c r="AY149" s="33"/>
      <c r="AZ149" s="33"/>
      <c r="BA149" s="33"/>
      <c r="BB149" s="33"/>
      <c r="BC149" s="33"/>
      <c r="BD149" s="33"/>
      <c r="BE149" s="33"/>
      <c r="BF149" s="33"/>
      <c r="BG149" s="33"/>
      <c r="BH149" s="33"/>
      <c r="BI149" s="33"/>
      <c r="BJ149" s="171"/>
    </row>
    <row r="150" spans="2:62" ht="16.5">
      <c r="B150" s="66"/>
      <c r="C150" s="67"/>
      <c r="D150" s="67"/>
      <c r="E150" s="67"/>
      <c r="F150" s="67"/>
      <c r="G150" s="67"/>
      <c r="H150" s="184"/>
      <c r="I150" s="185"/>
      <c r="J150" s="67"/>
      <c r="K150" s="184"/>
      <c r="L150" s="185"/>
      <c r="M150" s="67"/>
      <c r="N150" s="184"/>
      <c r="O150" s="185"/>
      <c r="P150" s="67"/>
      <c r="Q150" s="184"/>
      <c r="R150" s="185"/>
      <c r="S150" s="67"/>
      <c r="T150" s="67"/>
      <c r="U150" s="67"/>
      <c r="V150" s="67"/>
      <c r="W150" s="67"/>
      <c r="X150" s="67"/>
      <c r="Y150" s="67"/>
      <c r="Z150" s="67"/>
      <c r="AA150" s="184"/>
      <c r="AB150" s="169"/>
      <c r="AC150" s="33"/>
      <c r="AD150" s="33"/>
      <c r="AE150" s="33"/>
      <c r="AF150" s="33"/>
      <c r="AG150" s="33"/>
      <c r="AH150" s="33"/>
      <c r="AI150" s="33"/>
      <c r="AJ150" s="33"/>
      <c r="AK150" s="33"/>
      <c r="AL150" s="33"/>
      <c r="AM150" s="171"/>
      <c r="AN150" s="66" t="s">
        <v>1212</v>
      </c>
      <c r="AO150" s="67"/>
      <c r="AP150" s="67"/>
      <c r="AQ150" s="67"/>
      <c r="AR150" s="67"/>
      <c r="AS150" s="67"/>
      <c r="AT150" s="184"/>
      <c r="AU150" s="185" t="s">
        <v>437</v>
      </c>
      <c r="AV150" s="67"/>
      <c r="AW150" s="184"/>
      <c r="AX150" s="169" t="s">
        <v>1261</v>
      </c>
      <c r="AY150" s="33"/>
      <c r="AZ150" s="33"/>
      <c r="BA150" s="33"/>
      <c r="BB150" s="33"/>
      <c r="BC150" s="33"/>
      <c r="BD150" s="33"/>
      <c r="BE150" s="33"/>
      <c r="BF150" s="33"/>
      <c r="BG150" s="33"/>
      <c r="BH150" s="33"/>
      <c r="BI150" s="33"/>
      <c r="BJ150" s="171"/>
    </row>
    <row r="151" spans="2:62" ht="16.5">
      <c r="B151" s="66"/>
      <c r="C151" s="67"/>
      <c r="D151" s="67"/>
      <c r="E151" s="67"/>
      <c r="F151" s="67"/>
      <c r="G151" s="67"/>
      <c r="H151" s="184"/>
      <c r="I151" s="185"/>
      <c r="J151" s="67"/>
      <c r="K151" s="184"/>
      <c r="L151" s="185"/>
      <c r="M151" s="67"/>
      <c r="N151" s="184"/>
      <c r="O151" s="185"/>
      <c r="P151" s="67"/>
      <c r="Q151" s="184"/>
      <c r="R151" s="185"/>
      <c r="S151" s="67"/>
      <c r="T151" s="67"/>
      <c r="U151" s="67"/>
      <c r="V151" s="67"/>
      <c r="W151" s="67"/>
      <c r="X151" s="67"/>
      <c r="Y151" s="67"/>
      <c r="Z151" s="67"/>
      <c r="AA151" s="184"/>
      <c r="AB151" s="169"/>
      <c r="AC151" s="33"/>
      <c r="AD151" s="33"/>
      <c r="AE151" s="33"/>
      <c r="AF151" s="33"/>
      <c r="AG151" s="33"/>
      <c r="AH151" s="33"/>
      <c r="AI151" s="33"/>
      <c r="AJ151" s="33"/>
      <c r="AK151" s="33"/>
      <c r="AL151" s="33"/>
      <c r="AM151" s="171"/>
      <c r="AN151" s="66" t="s">
        <v>1213</v>
      </c>
      <c r="AO151" s="67"/>
      <c r="AP151" s="67"/>
      <c r="AQ151" s="67"/>
      <c r="AR151" s="67"/>
      <c r="AS151" s="67"/>
      <c r="AT151" s="184"/>
      <c r="AU151" s="185" t="s">
        <v>437</v>
      </c>
      <c r="AV151" s="67"/>
      <c r="AW151" s="184"/>
      <c r="AX151" s="169" t="s">
        <v>1262</v>
      </c>
      <c r="AY151" s="33"/>
      <c r="AZ151" s="33"/>
      <c r="BA151" s="33"/>
      <c r="BB151" s="33"/>
      <c r="BC151" s="33"/>
      <c r="BD151" s="33"/>
      <c r="BE151" s="33"/>
      <c r="BF151" s="33"/>
      <c r="BG151" s="33"/>
      <c r="BH151" s="33"/>
      <c r="BI151" s="33"/>
      <c r="BJ151" s="171"/>
    </row>
    <row r="152" spans="2:62" ht="16.5">
      <c r="B152" s="66"/>
      <c r="C152" s="67"/>
      <c r="D152" s="67"/>
      <c r="E152" s="67"/>
      <c r="F152" s="67"/>
      <c r="G152" s="67"/>
      <c r="H152" s="184"/>
      <c r="I152" s="185"/>
      <c r="J152" s="67"/>
      <c r="K152" s="184"/>
      <c r="L152" s="185"/>
      <c r="M152" s="67"/>
      <c r="N152" s="184"/>
      <c r="O152" s="185"/>
      <c r="P152" s="67"/>
      <c r="Q152" s="184"/>
      <c r="R152" s="185"/>
      <c r="S152" s="67"/>
      <c r="T152" s="67"/>
      <c r="U152" s="67"/>
      <c r="V152" s="67"/>
      <c r="W152" s="67"/>
      <c r="X152" s="67"/>
      <c r="Y152" s="67"/>
      <c r="Z152" s="67"/>
      <c r="AA152" s="184"/>
      <c r="AB152" s="169"/>
      <c r="AC152" s="33"/>
      <c r="AD152" s="33"/>
      <c r="AE152" s="33"/>
      <c r="AF152" s="33"/>
      <c r="AG152" s="33"/>
      <c r="AH152" s="33"/>
      <c r="AI152" s="33"/>
      <c r="AJ152" s="33"/>
      <c r="AK152" s="33"/>
      <c r="AL152" s="33"/>
      <c r="AM152" s="171"/>
      <c r="AN152" s="66" t="s">
        <v>1214</v>
      </c>
      <c r="AO152" s="67"/>
      <c r="AP152" s="67"/>
      <c r="AQ152" s="67"/>
      <c r="AR152" s="67"/>
      <c r="AS152" s="67"/>
      <c r="AT152" s="184"/>
      <c r="AU152" s="185" t="s">
        <v>437</v>
      </c>
      <c r="AV152" s="67"/>
      <c r="AW152" s="184"/>
      <c r="AX152" s="169" t="s">
        <v>1263</v>
      </c>
      <c r="AY152" s="33"/>
      <c r="AZ152" s="33"/>
      <c r="BA152" s="33"/>
      <c r="BB152" s="33"/>
      <c r="BC152" s="33"/>
      <c r="BD152" s="33"/>
      <c r="BE152" s="33"/>
      <c r="BF152" s="33"/>
      <c r="BG152" s="33"/>
      <c r="BH152" s="33"/>
      <c r="BI152" s="33"/>
      <c r="BJ152" s="171"/>
    </row>
    <row r="153" spans="2:62" ht="16.5">
      <c r="B153" s="66"/>
      <c r="C153" s="67"/>
      <c r="D153" s="67"/>
      <c r="E153" s="67"/>
      <c r="F153" s="67"/>
      <c r="G153" s="67"/>
      <c r="H153" s="184"/>
      <c r="I153" s="185"/>
      <c r="J153" s="67"/>
      <c r="K153" s="184"/>
      <c r="L153" s="185"/>
      <c r="M153" s="67"/>
      <c r="N153" s="184"/>
      <c r="O153" s="185"/>
      <c r="P153" s="67"/>
      <c r="Q153" s="184"/>
      <c r="R153" s="185"/>
      <c r="S153" s="67"/>
      <c r="T153" s="67"/>
      <c r="U153" s="67"/>
      <c r="V153" s="67"/>
      <c r="W153" s="67"/>
      <c r="X153" s="67"/>
      <c r="Y153" s="67"/>
      <c r="Z153" s="67"/>
      <c r="AA153" s="184"/>
      <c r="AB153" s="169"/>
      <c r="AC153" s="33"/>
      <c r="AD153" s="33"/>
      <c r="AE153" s="33"/>
      <c r="AF153" s="33"/>
      <c r="AG153" s="33"/>
      <c r="AH153" s="33"/>
      <c r="AI153" s="33"/>
      <c r="AJ153" s="33"/>
      <c r="AK153" s="33"/>
      <c r="AL153" s="33"/>
      <c r="AM153" s="171"/>
      <c r="AN153" s="66" t="s">
        <v>1215</v>
      </c>
      <c r="AO153" s="67"/>
      <c r="AP153" s="67"/>
      <c r="AQ153" s="67"/>
      <c r="AR153" s="67"/>
      <c r="AS153" s="67"/>
      <c r="AT153" s="184"/>
      <c r="AU153" s="185" t="s">
        <v>437</v>
      </c>
      <c r="AV153" s="67"/>
      <c r="AW153" s="184"/>
      <c r="AX153" s="169" t="s">
        <v>1264</v>
      </c>
      <c r="AY153" s="33"/>
      <c r="AZ153" s="33"/>
      <c r="BA153" s="33"/>
      <c r="BB153" s="33"/>
      <c r="BC153" s="33"/>
      <c r="BD153" s="33"/>
      <c r="BE153" s="33"/>
      <c r="BF153" s="33"/>
      <c r="BG153" s="33"/>
      <c r="BH153" s="33"/>
      <c r="BI153" s="33"/>
      <c r="BJ153" s="171"/>
    </row>
    <row r="154" spans="2:62" ht="16.5">
      <c r="B154" s="66"/>
      <c r="C154" s="67"/>
      <c r="D154" s="67"/>
      <c r="E154" s="67"/>
      <c r="F154" s="67"/>
      <c r="G154" s="67"/>
      <c r="H154" s="184"/>
      <c r="I154" s="185"/>
      <c r="J154" s="67"/>
      <c r="K154" s="184"/>
      <c r="L154" s="185"/>
      <c r="M154" s="67"/>
      <c r="N154" s="184"/>
      <c r="O154" s="185"/>
      <c r="P154" s="67"/>
      <c r="Q154" s="184"/>
      <c r="R154" s="185"/>
      <c r="S154" s="67"/>
      <c r="T154" s="67"/>
      <c r="U154" s="67"/>
      <c r="V154" s="67"/>
      <c r="W154" s="67"/>
      <c r="X154" s="67"/>
      <c r="Y154" s="67"/>
      <c r="Z154" s="67"/>
      <c r="AA154" s="184"/>
      <c r="AB154" s="169"/>
      <c r="AC154" s="33"/>
      <c r="AD154" s="33"/>
      <c r="AE154" s="33"/>
      <c r="AF154" s="33"/>
      <c r="AG154" s="33"/>
      <c r="AH154" s="33"/>
      <c r="AI154" s="33"/>
      <c r="AJ154" s="33"/>
      <c r="AK154" s="33"/>
      <c r="AL154" s="33"/>
      <c r="AM154" s="171"/>
      <c r="AN154" s="66" t="s">
        <v>1216</v>
      </c>
      <c r="AO154" s="67"/>
      <c r="AP154" s="67"/>
      <c r="AQ154" s="67"/>
      <c r="AR154" s="67"/>
      <c r="AS154" s="67"/>
      <c r="AT154" s="184"/>
      <c r="AU154" s="185" t="s">
        <v>437</v>
      </c>
      <c r="AV154" s="67"/>
      <c r="AW154" s="184"/>
      <c r="AX154" s="169" t="s">
        <v>1265</v>
      </c>
      <c r="AY154" s="33"/>
      <c r="AZ154" s="33"/>
      <c r="BA154" s="33"/>
      <c r="BB154" s="33"/>
      <c r="BC154" s="33"/>
      <c r="BD154" s="33"/>
      <c r="BE154" s="33"/>
      <c r="BF154" s="33"/>
      <c r="BG154" s="33"/>
      <c r="BH154" s="33"/>
      <c r="BI154" s="33"/>
      <c r="BJ154" s="171"/>
    </row>
    <row r="155" spans="2:62" ht="16.5">
      <c r="B155" s="66"/>
      <c r="C155" s="67"/>
      <c r="D155" s="67"/>
      <c r="E155" s="67"/>
      <c r="F155" s="67"/>
      <c r="G155" s="67"/>
      <c r="H155" s="184"/>
      <c r="I155" s="185"/>
      <c r="J155" s="67"/>
      <c r="K155" s="184"/>
      <c r="L155" s="185"/>
      <c r="M155" s="67"/>
      <c r="N155" s="184"/>
      <c r="O155" s="185"/>
      <c r="P155" s="67"/>
      <c r="Q155" s="184"/>
      <c r="R155" s="185"/>
      <c r="S155" s="67"/>
      <c r="T155" s="67"/>
      <c r="U155" s="67"/>
      <c r="V155" s="67"/>
      <c r="W155" s="67"/>
      <c r="X155" s="67"/>
      <c r="Y155" s="67"/>
      <c r="Z155" s="67"/>
      <c r="AA155" s="184"/>
      <c r="AB155" s="169"/>
      <c r="AC155" s="33"/>
      <c r="AD155" s="33"/>
      <c r="AE155" s="33"/>
      <c r="AF155" s="33"/>
      <c r="AG155" s="33"/>
      <c r="AH155" s="33"/>
      <c r="AI155" s="33"/>
      <c r="AJ155" s="33"/>
      <c r="AK155" s="33"/>
      <c r="AL155" s="33"/>
      <c r="AM155" s="171"/>
      <c r="AN155" s="66" t="s">
        <v>1217</v>
      </c>
      <c r="AO155" s="67"/>
      <c r="AP155" s="67"/>
      <c r="AQ155" s="67"/>
      <c r="AR155" s="67"/>
      <c r="AS155" s="67"/>
      <c r="AT155" s="184"/>
      <c r="AU155" s="185" t="s">
        <v>437</v>
      </c>
      <c r="AV155" s="67"/>
      <c r="AW155" s="184"/>
      <c r="AX155" s="169" t="s">
        <v>1266</v>
      </c>
      <c r="AY155" s="33"/>
      <c r="AZ155" s="33"/>
      <c r="BA155" s="33"/>
      <c r="BB155" s="33"/>
      <c r="BC155" s="33"/>
      <c r="BD155" s="33"/>
      <c r="BE155" s="33"/>
      <c r="BF155" s="33"/>
      <c r="BG155" s="33"/>
      <c r="BH155" s="33"/>
      <c r="BI155" s="33"/>
      <c r="BJ155" s="171"/>
    </row>
    <row r="156" spans="2:62" ht="16.5">
      <c r="B156" s="66"/>
      <c r="C156" s="67"/>
      <c r="D156" s="67"/>
      <c r="E156" s="67"/>
      <c r="F156" s="67"/>
      <c r="G156" s="67"/>
      <c r="H156" s="184"/>
      <c r="I156" s="185"/>
      <c r="J156" s="67"/>
      <c r="K156" s="184"/>
      <c r="L156" s="185"/>
      <c r="M156" s="67"/>
      <c r="N156" s="184"/>
      <c r="O156" s="185"/>
      <c r="P156" s="67"/>
      <c r="Q156" s="184"/>
      <c r="R156" s="185"/>
      <c r="S156" s="67"/>
      <c r="T156" s="67"/>
      <c r="U156" s="67"/>
      <c r="V156" s="67"/>
      <c r="W156" s="67"/>
      <c r="X156" s="67"/>
      <c r="Y156" s="67"/>
      <c r="Z156" s="67"/>
      <c r="AA156" s="184"/>
      <c r="AB156" s="169"/>
      <c r="AC156" s="33"/>
      <c r="AD156" s="33"/>
      <c r="AE156" s="33"/>
      <c r="AF156" s="33"/>
      <c r="AG156" s="33"/>
      <c r="AH156" s="33"/>
      <c r="AI156" s="33"/>
      <c r="AJ156" s="33"/>
      <c r="AK156" s="33"/>
      <c r="AL156" s="33"/>
      <c r="AM156" s="171"/>
      <c r="AN156" s="66" t="s">
        <v>1218</v>
      </c>
      <c r="AO156" s="67"/>
      <c r="AP156" s="67"/>
      <c r="AQ156" s="67"/>
      <c r="AR156" s="67"/>
      <c r="AS156" s="67"/>
      <c r="AT156" s="184"/>
      <c r="AU156" s="185" t="s">
        <v>437</v>
      </c>
      <c r="AV156" s="67"/>
      <c r="AW156" s="184"/>
      <c r="AX156" s="169" t="s">
        <v>1267</v>
      </c>
      <c r="AY156" s="33"/>
      <c r="AZ156" s="33"/>
      <c r="BA156" s="33"/>
      <c r="BB156" s="33"/>
      <c r="BC156" s="33"/>
      <c r="BD156" s="33"/>
      <c r="BE156" s="33"/>
      <c r="BF156" s="33"/>
      <c r="BG156" s="33"/>
      <c r="BH156" s="33"/>
      <c r="BI156" s="33"/>
      <c r="BJ156" s="171"/>
    </row>
    <row r="157" spans="2:62" ht="16.5">
      <c r="B157" s="66"/>
      <c r="C157" s="67"/>
      <c r="D157" s="67"/>
      <c r="E157" s="67"/>
      <c r="F157" s="67"/>
      <c r="G157" s="67"/>
      <c r="H157" s="184"/>
      <c r="I157" s="185"/>
      <c r="J157" s="67"/>
      <c r="K157" s="184"/>
      <c r="L157" s="185"/>
      <c r="M157" s="67"/>
      <c r="N157" s="184"/>
      <c r="O157" s="185"/>
      <c r="P157" s="67"/>
      <c r="Q157" s="184"/>
      <c r="R157" s="185"/>
      <c r="S157" s="67"/>
      <c r="T157" s="67"/>
      <c r="U157" s="67"/>
      <c r="V157" s="67"/>
      <c r="W157" s="67"/>
      <c r="X157" s="67"/>
      <c r="Y157" s="67"/>
      <c r="Z157" s="67"/>
      <c r="AA157" s="184"/>
      <c r="AB157" s="169"/>
      <c r="AC157" s="33"/>
      <c r="AD157" s="33"/>
      <c r="AE157" s="33"/>
      <c r="AF157" s="33"/>
      <c r="AG157" s="33"/>
      <c r="AH157" s="33"/>
      <c r="AI157" s="33"/>
      <c r="AJ157" s="33"/>
      <c r="AK157" s="33"/>
      <c r="AL157" s="33"/>
      <c r="AM157" s="171"/>
      <c r="AN157" s="66" t="s">
        <v>1219</v>
      </c>
      <c r="AO157" s="67"/>
      <c r="AP157" s="67"/>
      <c r="AQ157" s="67"/>
      <c r="AR157" s="67"/>
      <c r="AS157" s="67"/>
      <c r="AT157" s="184"/>
      <c r="AU157" s="185" t="s">
        <v>437</v>
      </c>
      <c r="AV157" s="67"/>
      <c r="AW157" s="184"/>
      <c r="AX157" s="169" t="s">
        <v>1268</v>
      </c>
      <c r="AY157" s="33"/>
      <c r="AZ157" s="33"/>
      <c r="BA157" s="33"/>
      <c r="BB157" s="33"/>
      <c r="BC157" s="33"/>
      <c r="BD157" s="33"/>
      <c r="BE157" s="33"/>
      <c r="BF157" s="33"/>
      <c r="BG157" s="33"/>
      <c r="BH157" s="33"/>
      <c r="BI157" s="33"/>
      <c r="BJ157" s="171"/>
    </row>
    <row r="158" spans="2:62" ht="16.5">
      <c r="B158" s="66"/>
      <c r="C158" s="67"/>
      <c r="D158" s="67"/>
      <c r="E158" s="67"/>
      <c r="F158" s="67"/>
      <c r="G158" s="67"/>
      <c r="H158" s="184"/>
      <c r="I158" s="185"/>
      <c r="J158" s="67"/>
      <c r="K158" s="184"/>
      <c r="L158" s="185"/>
      <c r="M158" s="67"/>
      <c r="N158" s="184"/>
      <c r="O158" s="185"/>
      <c r="P158" s="67"/>
      <c r="Q158" s="184"/>
      <c r="R158" s="185"/>
      <c r="S158" s="67"/>
      <c r="T158" s="67"/>
      <c r="U158" s="67"/>
      <c r="V158" s="67"/>
      <c r="W158" s="67"/>
      <c r="X158" s="67"/>
      <c r="Y158" s="67"/>
      <c r="Z158" s="67"/>
      <c r="AA158" s="184"/>
      <c r="AB158" s="169"/>
      <c r="AC158" s="33"/>
      <c r="AD158" s="33"/>
      <c r="AE158" s="33"/>
      <c r="AF158" s="33"/>
      <c r="AG158" s="33"/>
      <c r="AH158" s="33"/>
      <c r="AI158" s="33"/>
      <c r="AJ158" s="33"/>
      <c r="AK158" s="33"/>
      <c r="AL158" s="33"/>
      <c r="AM158" s="171"/>
      <c r="AN158" s="66" t="s">
        <v>1220</v>
      </c>
      <c r="AO158" s="67"/>
      <c r="AP158" s="67"/>
      <c r="AQ158" s="67"/>
      <c r="AR158" s="67"/>
      <c r="AS158" s="67"/>
      <c r="AT158" s="184"/>
      <c r="AU158" s="185" t="s">
        <v>437</v>
      </c>
      <c r="AV158" s="67"/>
      <c r="AW158" s="184"/>
      <c r="AX158" s="169" t="s">
        <v>1269</v>
      </c>
      <c r="AY158" s="33"/>
      <c r="AZ158" s="33"/>
      <c r="BA158" s="33"/>
      <c r="BB158" s="33"/>
      <c r="BC158" s="33"/>
      <c r="BD158" s="33"/>
      <c r="BE158" s="33"/>
      <c r="BF158" s="33"/>
      <c r="BG158" s="33"/>
      <c r="BH158" s="33"/>
      <c r="BI158" s="33"/>
      <c r="BJ158" s="171"/>
    </row>
    <row r="159" spans="2:62" ht="16.5">
      <c r="B159" s="66"/>
      <c r="C159" s="67"/>
      <c r="D159" s="67"/>
      <c r="E159" s="67"/>
      <c r="F159" s="67"/>
      <c r="G159" s="67"/>
      <c r="H159" s="184"/>
      <c r="I159" s="185"/>
      <c r="J159" s="67"/>
      <c r="K159" s="184"/>
      <c r="L159" s="185"/>
      <c r="M159" s="67"/>
      <c r="N159" s="184"/>
      <c r="O159" s="185"/>
      <c r="P159" s="67"/>
      <c r="Q159" s="184"/>
      <c r="R159" s="185"/>
      <c r="S159" s="67"/>
      <c r="T159" s="67"/>
      <c r="U159" s="67"/>
      <c r="V159" s="67"/>
      <c r="W159" s="67"/>
      <c r="X159" s="67"/>
      <c r="Y159" s="67"/>
      <c r="Z159" s="67"/>
      <c r="AA159" s="184"/>
      <c r="AB159" s="169"/>
      <c r="AC159" s="33"/>
      <c r="AD159" s="33"/>
      <c r="AE159" s="33"/>
      <c r="AF159" s="33"/>
      <c r="AG159" s="33"/>
      <c r="AH159" s="33"/>
      <c r="AI159" s="33"/>
      <c r="AJ159" s="33"/>
      <c r="AK159" s="33"/>
      <c r="AL159" s="33"/>
      <c r="AM159" s="171"/>
      <c r="AN159" s="66" t="s">
        <v>1221</v>
      </c>
      <c r="AO159" s="67"/>
      <c r="AP159" s="67"/>
      <c r="AQ159" s="67"/>
      <c r="AR159" s="67"/>
      <c r="AS159" s="67"/>
      <c r="AT159" s="184"/>
      <c r="AU159" s="185" t="s">
        <v>437</v>
      </c>
      <c r="AV159" s="67"/>
      <c r="AW159" s="184"/>
      <c r="AX159" s="169" t="s">
        <v>1270</v>
      </c>
      <c r="AY159" s="33"/>
      <c r="AZ159" s="33"/>
      <c r="BA159" s="33"/>
      <c r="BB159" s="33"/>
      <c r="BC159" s="33"/>
      <c r="BD159" s="33"/>
      <c r="BE159" s="33"/>
      <c r="BF159" s="33"/>
      <c r="BG159" s="33"/>
      <c r="BH159" s="33"/>
      <c r="BI159" s="33"/>
      <c r="BJ159" s="171"/>
    </row>
    <row r="160" spans="2:62" ht="16.5">
      <c r="B160" s="66"/>
      <c r="C160" s="67"/>
      <c r="D160" s="67"/>
      <c r="E160" s="67"/>
      <c r="F160" s="67"/>
      <c r="G160" s="67"/>
      <c r="H160" s="184"/>
      <c r="I160" s="185"/>
      <c r="J160" s="67"/>
      <c r="K160" s="184"/>
      <c r="L160" s="185"/>
      <c r="M160" s="67"/>
      <c r="N160" s="184"/>
      <c r="O160" s="185"/>
      <c r="P160" s="67"/>
      <c r="Q160" s="184"/>
      <c r="R160" s="185"/>
      <c r="S160" s="67"/>
      <c r="T160" s="67"/>
      <c r="U160" s="67"/>
      <c r="V160" s="67"/>
      <c r="W160" s="67"/>
      <c r="X160" s="67"/>
      <c r="Y160" s="67"/>
      <c r="Z160" s="67"/>
      <c r="AA160" s="184"/>
      <c r="AB160" s="169"/>
      <c r="AC160" s="33"/>
      <c r="AD160" s="33"/>
      <c r="AE160" s="33"/>
      <c r="AF160" s="33"/>
      <c r="AG160" s="33"/>
      <c r="AH160" s="33"/>
      <c r="AI160" s="33"/>
      <c r="AJ160" s="33"/>
      <c r="AK160" s="33"/>
      <c r="AL160" s="33"/>
      <c r="AM160" s="171"/>
      <c r="AN160" s="66" t="s">
        <v>1222</v>
      </c>
      <c r="AO160" s="67"/>
      <c r="AP160" s="67"/>
      <c r="AQ160" s="67"/>
      <c r="AR160" s="67"/>
      <c r="AS160" s="67"/>
      <c r="AT160" s="184"/>
      <c r="AU160" s="185" t="s">
        <v>437</v>
      </c>
      <c r="AV160" s="67"/>
      <c r="AW160" s="184"/>
      <c r="AX160" s="169" t="s">
        <v>1271</v>
      </c>
      <c r="AY160" s="33"/>
      <c r="AZ160" s="33"/>
      <c r="BA160" s="33"/>
      <c r="BB160" s="33"/>
      <c r="BC160" s="33"/>
      <c r="BD160" s="33"/>
      <c r="BE160" s="33"/>
      <c r="BF160" s="33"/>
      <c r="BG160" s="33"/>
      <c r="BH160" s="33"/>
      <c r="BI160" s="33"/>
      <c r="BJ160" s="171"/>
    </row>
    <row r="161" spans="2:62" ht="16.5">
      <c r="B161" s="66"/>
      <c r="C161" s="67"/>
      <c r="D161" s="67"/>
      <c r="E161" s="67"/>
      <c r="F161" s="67"/>
      <c r="G161" s="67"/>
      <c r="H161" s="184"/>
      <c r="I161" s="185"/>
      <c r="J161" s="67"/>
      <c r="K161" s="184"/>
      <c r="L161" s="185"/>
      <c r="M161" s="67"/>
      <c r="N161" s="184"/>
      <c r="O161" s="185"/>
      <c r="P161" s="67"/>
      <c r="Q161" s="184"/>
      <c r="R161" s="185"/>
      <c r="S161" s="67"/>
      <c r="T161" s="67"/>
      <c r="U161" s="67"/>
      <c r="V161" s="67"/>
      <c r="W161" s="67"/>
      <c r="X161" s="67"/>
      <c r="Y161" s="67"/>
      <c r="Z161" s="67"/>
      <c r="AA161" s="184"/>
      <c r="AB161" s="169"/>
      <c r="AC161" s="33"/>
      <c r="AD161" s="33"/>
      <c r="AE161" s="33"/>
      <c r="AF161" s="33"/>
      <c r="AG161" s="33"/>
      <c r="AH161" s="33"/>
      <c r="AI161" s="33"/>
      <c r="AJ161" s="33"/>
      <c r="AK161" s="33"/>
      <c r="AL161" s="33"/>
      <c r="AM161" s="171"/>
      <c r="AN161" s="66" t="s">
        <v>1223</v>
      </c>
      <c r="AO161" s="67"/>
      <c r="AP161" s="67"/>
      <c r="AQ161" s="67"/>
      <c r="AR161" s="67"/>
      <c r="AS161" s="67"/>
      <c r="AT161" s="184"/>
      <c r="AU161" s="185" t="s">
        <v>437</v>
      </c>
      <c r="AV161" s="67"/>
      <c r="AW161" s="184"/>
      <c r="AX161" s="169" t="s">
        <v>1272</v>
      </c>
      <c r="AY161" s="33"/>
      <c r="AZ161" s="33"/>
      <c r="BA161" s="33"/>
      <c r="BB161" s="33"/>
      <c r="BC161" s="33"/>
      <c r="BD161" s="33"/>
      <c r="BE161" s="33"/>
      <c r="BF161" s="33"/>
      <c r="BG161" s="33"/>
      <c r="BH161" s="33"/>
      <c r="BI161" s="33"/>
      <c r="BJ161" s="171"/>
    </row>
    <row r="162" spans="2:62" ht="16.5">
      <c r="B162" s="66"/>
      <c r="C162" s="67"/>
      <c r="D162" s="67"/>
      <c r="E162" s="67"/>
      <c r="F162" s="67"/>
      <c r="G162" s="67"/>
      <c r="H162" s="184"/>
      <c r="I162" s="185"/>
      <c r="J162" s="67"/>
      <c r="K162" s="184"/>
      <c r="L162" s="185"/>
      <c r="M162" s="67"/>
      <c r="N162" s="184"/>
      <c r="O162" s="185"/>
      <c r="P162" s="67"/>
      <c r="Q162" s="184"/>
      <c r="R162" s="185"/>
      <c r="S162" s="67"/>
      <c r="T162" s="67"/>
      <c r="U162" s="67"/>
      <c r="V162" s="67"/>
      <c r="W162" s="67"/>
      <c r="X162" s="67"/>
      <c r="Y162" s="67"/>
      <c r="Z162" s="67"/>
      <c r="AA162" s="184"/>
      <c r="AB162" s="169"/>
      <c r="AC162" s="33"/>
      <c r="AD162" s="33"/>
      <c r="AE162" s="33"/>
      <c r="AF162" s="33"/>
      <c r="AG162" s="33"/>
      <c r="AH162" s="33"/>
      <c r="AI162" s="33"/>
      <c r="AJ162" s="33"/>
      <c r="AK162" s="33"/>
      <c r="AL162" s="33"/>
      <c r="AM162" s="171"/>
      <c r="AN162" s="66" t="s">
        <v>1224</v>
      </c>
      <c r="AO162" s="67"/>
      <c r="AP162" s="67"/>
      <c r="AQ162" s="67"/>
      <c r="AR162" s="67"/>
      <c r="AS162" s="67"/>
      <c r="AT162" s="184"/>
      <c r="AU162" s="185" t="s">
        <v>437</v>
      </c>
      <c r="AV162" s="67"/>
      <c r="AW162" s="184"/>
      <c r="AX162" s="169" t="s">
        <v>1273</v>
      </c>
      <c r="AY162" s="33"/>
      <c r="AZ162" s="33"/>
      <c r="BA162" s="33"/>
      <c r="BB162" s="33"/>
      <c r="BC162" s="33"/>
      <c r="BD162" s="33"/>
      <c r="BE162" s="33"/>
      <c r="BF162" s="33"/>
      <c r="BG162" s="33"/>
      <c r="BH162" s="33"/>
      <c r="BI162" s="33"/>
      <c r="BJ162" s="171"/>
    </row>
    <row r="163" spans="2:62" ht="16.5">
      <c r="B163" s="66"/>
      <c r="C163" s="67"/>
      <c r="D163" s="67"/>
      <c r="E163" s="67"/>
      <c r="F163" s="67"/>
      <c r="G163" s="67"/>
      <c r="H163" s="184"/>
      <c r="I163" s="185"/>
      <c r="J163" s="67"/>
      <c r="K163" s="184"/>
      <c r="L163" s="185"/>
      <c r="M163" s="67"/>
      <c r="N163" s="184"/>
      <c r="O163" s="185"/>
      <c r="P163" s="67"/>
      <c r="Q163" s="184"/>
      <c r="R163" s="185"/>
      <c r="S163" s="67"/>
      <c r="T163" s="67"/>
      <c r="U163" s="67"/>
      <c r="V163" s="67"/>
      <c r="W163" s="67"/>
      <c r="X163" s="67"/>
      <c r="Y163" s="67"/>
      <c r="Z163" s="67"/>
      <c r="AA163" s="184"/>
      <c r="AB163" s="169"/>
      <c r="AC163" s="33"/>
      <c r="AD163" s="33"/>
      <c r="AE163" s="33"/>
      <c r="AF163" s="33"/>
      <c r="AG163" s="33"/>
      <c r="AH163" s="33"/>
      <c r="AI163" s="33"/>
      <c r="AJ163" s="33"/>
      <c r="AK163" s="33"/>
      <c r="AL163" s="33"/>
      <c r="AM163" s="171"/>
      <c r="AN163" s="66" t="s">
        <v>1225</v>
      </c>
      <c r="AO163" s="67"/>
      <c r="AP163" s="67"/>
      <c r="AQ163" s="67"/>
      <c r="AR163" s="67"/>
      <c r="AS163" s="67"/>
      <c r="AT163" s="184"/>
      <c r="AU163" s="185" t="s">
        <v>437</v>
      </c>
      <c r="AV163" s="67"/>
      <c r="AW163" s="184"/>
      <c r="AX163" s="169" t="s">
        <v>1274</v>
      </c>
      <c r="AY163" s="33"/>
      <c r="AZ163" s="33"/>
      <c r="BA163" s="33"/>
      <c r="BB163" s="33"/>
      <c r="BC163" s="33"/>
      <c r="BD163" s="33"/>
      <c r="BE163" s="33"/>
      <c r="BF163" s="33"/>
      <c r="BG163" s="33"/>
      <c r="BH163" s="33"/>
      <c r="BI163" s="33"/>
      <c r="BJ163" s="171"/>
    </row>
    <row r="164" spans="2:62" ht="16.5">
      <c r="B164" s="66"/>
      <c r="C164" s="67"/>
      <c r="D164" s="67"/>
      <c r="E164" s="67"/>
      <c r="F164" s="67"/>
      <c r="G164" s="67"/>
      <c r="H164" s="184"/>
      <c r="I164" s="185"/>
      <c r="J164" s="67"/>
      <c r="K164" s="184"/>
      <c r="L164" s="185"/>
      <c r="M164" s="67"/>
      <c r="N164" s="184"/>
      <c r="O164" s="185"/>
      <c r="P164" s="67"/>
      <c r="Q164" s="184"/>
      <c r="R164" s="185"/>
      <c r="S164" s="67"/>
      <c r="T164" s="67"/>
      <c r="U164" s="67"/>
      <c r="V164" s="67"/>
      <c r="W164" s="67"/>
      <c r="X164" s="67"/>
      <c r="Y164" s="67"/>
      <c r="Z164" s="67"/>
      <c r="AA164" s="184"/>
      <c r="AB164" s="169"/>
      <c r="AC164" s="33"/>
      <c r="AD164" s="33"/>
      <c r="AE164" s="33"/>
      <c r="AF164" s="33"/>
      <c r="AG164" s="33"/>
      <c r="AH164" s="33"/>
      <c r="AI164" s="33"/>
      <c r="AJ164" s="33"/>
      <c r="AK164" s="33"/>
      <c r="AL164" s="33"/>
      <c r="AM164" s="171"/>
      <c r="AN164" s="66" t="s">
        <v>1226</v>
      </c>
      <c r="AO164" s="67"/>
      <c r="AP164" s="67"/>
      <c r="AQ164" s="67"/>
      <c r="AR164" s="67"/>
      <c r="AS164" s="67"/>
      <c r="AT164" s="184"/>
      <c r="AU164" s="185" t="s">
        <v>437</v>
      </c>
      <c r="AV164" s="67"/>
      <c r="AW164" s="184"/>
      <c r="AX164" s="169" t="s">
        <v>1275</v>
      </c>
      <c r="AY164" s="33"/>
      <c r="AZ164" s="33"/>
      <c r="BA164" s="33"/>
      <c r="BB164" s="33"/>
      <c r="BC164" s="33"/>
      <c r="BD164" s="33"/>
      <c r="BE164" s="33"/>
      <c r="BF164" s="33"/>
      <c r="BG164" s="33"/>
      <c r="BH164" s="33"/>
      <c r="BI164" s="33"/>
      <c r="BJ164" s="171"/>
    </row>
    <row r="165" spans="2:62" ht="16.5">
      <c r="B165" s="66"/>
      <c r="C165" s="67"/>
      <c r="D165" s="67"/>
      <c r="E165" s="67"/>
      <c r="F165" s="67"/>
      <c r="G165" s="67"/>
      <c r="H165" s="184"/>
      <c r="I165" s="185"/>
      <c r="J165" s="67"/>
      <c r="K165" s="184"/>
      <c r="L165" s="185"/>
      <c r="M165" s="67"/>
      <c r="N165" s="184"/>
      <c r="O165" s="185"/>
      <c r="P165" s="67"/>
      <c r="Q165" s="184"/>
      <c r="R165" s="185"/>
      <c r="S165" s="67"/>
      <c r="T165" s="67"/>
      <c r="U165" s="67"/>
      <c r="V165" s="67"/>
      <c r="W165" s="67"/>
      <c r="X165" s="67"/>
      <c r="Y165" s="67"/>
      <c r="Z165" s="67"/>
      <c r="AA165" s="184"/>
      <c r="AB165" s="169"/>
      <c r="AC165" s="33"/>
      <c r="AD165" s="33"/>
      <c r="AE165" s="33"/>
      <c r="AF165" s="33"/>
      <c r="AG165" s="33"/>
      <c r="AH165" s="33"/>
      <c r="AI165" s="33"/>
      <c r="AJ165" s="33"/>
      <c r="AK165" s="33"/>
      <c r="AL165" s="33"/>
      <c r="AM165" s="171"/>
      <c r="AN165" s="66" t="s">
        <v>1227</v>
      </c>
      <c r="AO165" s="67"/>
      <c r="AP165" s="67"/>
      <c r="AQ165" s="67"/>
      <c r="AR165" s="67"/>
      <c r="AS165" s="67"/>
      <c r="AT165" s="184"/>
      <c r="AU165" s="185" t="s">
        <v>437</v>
      </c>
      <c r="AV165" s="67"/>
      <c r="AW165" s="184"/>
      <c r="AX165" s="169" t="s">
        <v>1276</v>
      </c>
      <c r="AY165" s="33"/>
      <c r="AZ165" s="33"/>
      <c r="BA165" s="33"/>
      <c r="BB165" s="33"/>
      <c r="BC165" s="33"/>
      <c r="BD165" s="33"/>
      <c r="BE165" s="33"/>
      <c r="BF165" s="33"/>
      <c r="BG165" s="33"/>
      <c r="BH165" s="33"/>
      <c r="BI165" s="33"/>
      <c r="BJ165" s="171"/>
    </row>
    <row r="166" spans="2:62" ht="16.5">
      <c r="B166" s="66"/>
      <c r="C166" s="67"/>
      <c r="D166" s="67"/>
      <c r="E166" s="67"/>
      <c r="F166" s="67"/>
      <c r="G166" s="67"/>
      <c r="H166" s="184"/>
      <c r="I166" s="185"/>
      <c r="J166" s="67"/>
      <c r="K166" s="184"/>
      <c r="L166" s="185"/>
      <c r="M166" s="67"/>
      <c r="N166" s="184"/>
      <c r="O166" s="185"/>
      <c r="P166" s="67"/>
      <c r="Q166" s="184"/>
      <c r="R166" s="185"/>
      <c r="S166" s="67"/>
      <c r="T166" s="67"/>
      <c r="U166" s="67"/>
      <c r="V166" s="67"/>
      <c r="W166" s="67"/>
      <c r="X166" s="67"/>
      <c r="Y166" s="67"/>
      <c r="Z166" s="67"/>
      <c r="AA166" s="184"/>
      <c r="AB166" s="169"/>
      <c r="AC166" s="33"/>
      <c r="AD166" s="33"/>
      <c r="AE166" s="33"/>
      <c r="AF166" s="33"/>
      <c r="AG166" s="33"/>
      <c r="AH166" s="33"/>
      <c r="AI166" s="33"/>
      <c r="AJ166" s="33"/>
      <c r="AK166" s="33"/>
      <c r="AL166" s="33"/>
      <c r="AM166" s="171"/>
      <c r="AN166" s="66" t="s">
        <v>1228</v>
      </c>
      <c r="AO166" s="67"/>
      <c r="AP166" s="67"/>
      <c r="AQ166" s="67"/>
      <c r="AR166" s="67"/>
      <c r="AS166" s="67"/>
      <c r="AT166" s="184"/>
      <c r="AU166" s="185" t="s">
        <v>437</v>
      </c>
      <c r="AV166" s="67"/>
      <c r="AW166" s="184"/>
      <c r="AX166" s="169" t="s">
        <v>1277</v>
      </c>
      <c r="AY166" s="33"/>
      <c r="AZ166" s="33"/>
      <c r="BA166" s="33"/>
      <c r="BB166" s="33"/>
      <c r="BC166" s="33"/>
      <c r="BD166" s="33"/>
      <c r="BE166" s="33"/>
      <c r="BF166" s="33"/>
      <c r="BG166" s="33"/>
      <c r="BH166" s="33"/>
      <c r="BI166" s="33"/>
      <c r="BJ166" s="171"/>
    </row>
    <row r="167" spans="2:62" ht="16.5">
      <c r="B167" s="66"/>
      <c r="C167" s="67"/>
      <c r="D167" s="67"/>
      <c r="E167" s="67"/>
      <c r="F167" s="67"/>
      <c r="G167" s="67"/>
      <c r="H167" s="184"/>
      <c r="I167" s="185"/>
      <c r="J167" s="67"/>
      <c r="K167" s="184"/>
      <c r="L167" s="185"/>
      <c r="M167" s="67"/>
      <c r="N167" s="184"/>
      <c r="O167" s="185"/>
      <c r="P167" s="67"/>
      <c r="Q167" s="184"/>
      <c r="R167" s="185"/>
      <c r="S167" s="67"/>
      <c r="T167" s="67"/>
      <c r="U167" s="67"/>
      <c r="V167" s="67"/>
      <c r="W167" s="67"/>
      <c r="X167" s="67"/>
      <c r="Y167" s="67"/>
      <c r="Z167" s="67"/>
      <c r="AA167" s="184"/>
      <c r="AB167" s="169"/>
      <c r="AC167" s="33"/>
      <c r="AD167" s="33"/>
      <c r="AE167" s="33"/>
      <c r="AF167" s="33"/>
      <c r="AG167" s="33"/>
      <c r="AH167" s="33"/>
      <c r="AI167" s="33"/>
      <c r="AJ167" s="33"/>
      <c r="AK167" s="33"/>
      <c r="AL167" s="33"/>
      <c r="AM167" s="171"/>
      <c r="AN167" s="66" t="s">
        <v>1229</v>
      </c>
      <c r="AO167" s="67"/>
      <c r="AP167" s="67"/>
      <c r="AQ167" s="67"/>
      <c r="AR167" s="67"/>
      <c r="AS167" s="67"/>
      <c r="AT167" s="184"/>
      <c r="AU167" s="185" t="s">
        <v>437</v>
      </c>
      <c r="AV167" s="67"/>
      <c r="AW167" s="184"/>
      <c r="AX167" s="169" t="s">
        <v>1278</v>
      </c>
      <c r="AY167" s="33"/>
      <c r="AZ167" s="33"/>
      <c r="BA167" s="33"/>
      <c r="BB167" s="33"/>
      <c r="BC167" s="33"/>
      <c r="BD167" s="33"/>
      <c r="BE167" s="33"/>
      <c r="BF167" s="33"/>
      <c r="BG167" s="33"/>
      <c r="BH167" s="33"/>
      <c r="BI167" s="33"/>
      <c r="BJ167" s="171"/>
    </row>
    <row r="168" spans="2:62" ht="16.5">
      <c r="B168" s="66"/>
      <c r="C168" s="67"/>
      <c r="D168" s="67"/>
      <c r="E168" s="67"/>
      <c r="F168" s="67"/>
      <c r="G168" s="67"/>
      <c r="H168" s="184"/>
      <c r="I168" s="185"/>
      <c r="J168" s="67"/>
      <c r="K168" s="184"/>
      <c r="L168" s="185"/>
      <c r="M168" s="67"/>
      <c r="N168" s="184"/>
      <c r="O168" s="185"/>
      <c r="P168" s="67"/>
      <c r="Q168" s="184"/>
      <c r="R168" s="185"/>
      <c r="S168" s="67"/>
      <c r="T168" s="67"/>
      <c r="U168" s="67"/>
      <c r="V168" s="67"/>
      <c r="W168" s="67"/>
      <c r="X168" s="67"/>
      <c r="Y168" s="67"/>
      <c r="Z168" s="67"/>
      <c r="AA168" s="184"/>
      <c r="AB168" s="169"/>
      <c r="AC168" s="33"/>
      <c r="AD168" s="33"/>
      <c r="AE168" s="33"/>
      <c r="AF168" s="33"/>
      <c r="AG168" s="33"/>
      <c r="AH168" s="33"/>
      <c r="AI168" s="33"/>
      <c r="AJ168" s="33"/>
      <c r="AK168" s="33"/>
      <c r="AL168" s="33"/>
      <c r="AM168" s="171"/>
      <c r="AN168" s="66" t="s">
        <v>1230</v>
      </c>
      <c r="AO168" s="67"/>
      <c r="AP168" s="67"/>
      <c r="AQ168" s="67"/>
      <c r="AR168" s="67"/>
      <c r="AS168" s="67"/>
      <c r="AT168" s="184"/>
      <c r="AU168" s="185" t="s">
        <v>437</v>
      </c>
      <c r="AV168" s="67"/>
      <c r="AW168" s="184"/>
      <c r="AX168" s="169" t="s">
        <v>1279</v>
      </c>
      <c r="AY168" s="33"/>
      <c r="AZ168" s="33"/>
      <c r="BA168" s="33"/>
      <c r="BB168" s="33"/>
      <c r="BC168" s="33"/>
      <c r="BD168" s="33"/>
      <c r="BE168" s="33"/>
      <c r="BF168" s="33"/>
      <c r="BG168" s="33"/>
      <c r="BH168" s="33"/>
      <c r="BI168" s="33"/>
      <c r="BJ168" s="171"/>
    </row>
    <row r="169" spans="2:62" ht="16.5">
      <c r="B169" s="66"/>
      <c r="C169" s="67"/>
      <c r="D169" s="67"/>
      <c r="E169" s="67"/>
      <c r="F169" s="67"/>
      <c r="G169" s="67"/>
      <c r="H169" s="184"/>
      <c r="I169" s="185"/>
      <c r="J169" s="67"/>
      <c r="K169" s="184"/>
      <c r="L169" s="185"/>
      <c r="M169" s="67"/>
      <c r="N169" s="184"/>
      <c r="O169" s="185"/>
      <c r="P169" s="67"/>
      <c r="Q169" s="184"/>
      <c r="R169" s="185"/>
      <c r="S169" s="67"/>
      <c r="T169" s="67"/>
      <c r="U169" s="67"/>
      <c r="V169" s="67"/>
      <c r="W169" s="67"/>
      <c r="X169" s="67"/>
      <c r="Y169" s="67"/>
      <c r="Z169" s="67"/>
      <c r="AA169" s="184"/>
      <c r="AB169" s="169"/>
      <c r="AC169" s="33"/>
      <c r="AD169" s="33"/>
      <c r="AE169" s="33"/>
      <c r="AF169" s="33"/>
      <c r="AG169" s="33"/>
      <c r="AH169" s="33"/>
      <c r="AI169" s="33"/>
      <c r="AJ169" s="33"/>
      <c r="AK169" s="33"/>
      <c r="AL169" s="33"/>
      <c r="AM169" s="171"/>
      <c r="AN169" s="66" t="s">
        <v>1231</v>
      </c>
      <c r="AO169" s="67"/>
      <c r="AP169" s="67"/>
      <c r="AQ169" s="67"/>
      <c r="AR169" s="67"/>
      <c r="AS169" s="67"/>
      <c r="AT169" s="184"/>
      <c r="AU169" s="185" t="s">
        <v>437</v>
      </c>
      <c r="AV169" s="67"/>
      <c r="AW169" s="184"/>
      <c r="AX169" s="169" t="s">
        <v>1280</v>
      </c>
      <c r="AY169" s="33"/>
      <c r="AZ169" s="33"/>
      <c r="BA169" s="33"/>
      <c r="BB169" s="33"/>
      <c r="BC169" s="33"/>
      <c r="BD169" s="33"/>
      <c r="BE169" s="33"/>
      <c r="BF169" s="33"/>
      <c r="BG169" s="33"/>
      <c r="BH169" s="33"/>
      <c r="BI169" s="33"/>
      <c r="BJ169" s="171"/>
    </row>
    <row r="170" spans="2:62" ht="16.5">
      <c r="B170" s="66"/>
      <c r="C170" s="67"/>
      <c r="D170" s="67"/>
      <c r="E170" s="67"/>
      <c r="F170" s="67"/>
      <c r="G170" s="67"/>
      <c r="H170" s="184"/>
      <c r="I170" s="185"/>
      <c r="J170" s="67"/>
      <c r="K170" s="184"/>
      <c r="L170" s="185"/>
      <c r="M170" s="67"/>
      <c r="N170" s="184"/>
      <c r="O170" s="185"/>
      <c r="P170" s="67"/>
      <c r="Q170" s="184"/>
      <c r="R170" s="185"/>
      <c r="S170" s="67"/>
      <c r="T170" s="67"/>
      <c r="U170" s="67"/>
      <c r="V170" s="67"/>
      <c r="W170" s="67"/>
      <c r="X170" s="67"/>
      <c r="Y170" s="67"/>
      <c r="Z170" s="67"/>
      <c r="AA170" s="184"/>
      <c r="AB170" s="169"/>
      <c r="AC170" s="33"/>
      <c r="AD170" s="33"/>
      <c r="AE170" s="33"/>
      <c r="AF170" s="33"/>
      <c r="AG170" s="33"/>
      <c r="AH170" s="33"/>
      <c r="AI170" s="33"/>
      <c r="AJ170" s="33"/>
      <c r="AK170" s="33"/>
      <c r="AL170" s="33"/>
      <c r="AM170" s="171"/>
      <c r="AN170" s="66" t="s">
        <v>1232</v>
      </c>
      <c r="AO170" s="67"/>
      <c r="AP170" s="67"/>
      <c r="AQ170" s="67"/>
      <c r="AR170" s="67"/>
      <c r="AS170" s="67"/>
      <c r="AT170" s="184"/>
      <c r="AU170" s="185" t="s">
        <v>437</v>
      </c>
      <c r="AV170" s="67"/>
      <c r="AW170" s="184"/>
      <c r="AX170" s="169" t="s">
        <v>1281</v>
      </c>
      <c r="AY170" s="33"/>
      <c r="AZ170" s="33"/>
      <c r="BA170" s="33"/>
      <c r="BB170" s="33"/>
      <c r="BC170" s="33"/>
      <c r="BD170" s="33"/>
      <c r="BE170" s="33"/>
      <c r="BF170" s="33"/>
      <c r="BG170" s="33"/>
      <c r="BH170" s="33"/>
      <c r="BI170" s="33"/>
      <c r="BJ170" s="171"/>
    </row>
    <row r="171" spans="2:62" ht="16.5">
      <c r="B171" s="66"/>
      <c r="C171" s="67"/>
      <c r="D171" s="67"/>
      <c r="E171" s="67"/>
      <c r="F171" s="67"/>
      <c r="G171" s="67"/>
      <c r="H171" s="184"/>
      <c r="I171" s="185"/>
      <c r="J171" s="67"/>
      <c r="K171" s="184"/>
      <c r="L171" s="185"/>
      <c r="M171" s="67"/>
      <c r="N171" s="184"/>
      <c r="O171" s="185"/>
      <c r="P171" s="67"/>
      <c r="Q171" s="184"/>
      <c r="R171" s="185"/>
      <c r="S171" s="67"/>
      <c r="T171" s="67"/>
      <c r="U171" s="67"/>
      <c r="V171" s="67"/>
      <c r="W171" s="67"/>
      <c r="X171" s="67"/>
      <c r="Y171" s="67"/>
      <c r="Z171" s="67"/>
      <c r="AA171" s="184"/>
      <c r="AB171" s="169"/>
      <c r="AC171" s="33"/>
      <c r="AD171" s="33"/>
      <c r="AE171" s="33"/>
      <c r="AF171" s="33"/>
      <c r="AG171" s="33"/>
      <c r="AH171" s="33"/>
      <c r="AI171" s="33"/>
      <c r="AJ171" s="33"/>
      <c r="AK171" s="33"/>
      <c r="AL171" s="33"/>
      <c r="AM171" s="171"/>
      <c r="AN171" s="66" t="s">
        <v>1233</v>
      </c>
      <c r="AO171" s="67"/>
      <c r="AP171" s="67"/>
      <c r="AQ171" s="67"/>
      <c r="AR171" s="67"/>
      <c r="AS171" s="67"/>
      <c r="AT171" s="184"/>
      <c r="AU171" s="185" t="s">
        <v>437</v>
      </c>
      <c r="AV171" s="67"/>
      <c r="AW171" s="184"/>
      <c r="AX171" s="169" t="s">
        <v>1282</v>
      </c>
      <c r="AY171" s="33"/>
      <c r="AZ171" s="33"/>
      <c r="BA171" s="33"/>
      <c r="BB171" s="33"/>
      <c r="BC171" s="33"/>
      <c r="BD171" s="33"/>
      <c r="BE171" s="33"/>
      <c r="BF171" s="33"/>
      <c r="BG171" s="33"/>
      <c r="BH171" s="33"/>
      <c r="BI171" s="33"/>
      <c r="BJ171" s="171"/>
    </row>
    <row r="172" spans="2:62" ht="16.5">
      <c r="B172" s="66"/>
      <c r="C172" s="67"/>
      <c r="D172" s="67"/>
      <c r="E172" s="67"/>
      <c r="F172" s="67"/>
      <c r="G172" s="67"/>
      <c r="H172" s="184"/>
      <c r="I172" s="185"/>
      <c r="J172" s="67"/>
      <c r="K172" s="184"/>
      <c r="L172" s="185"/>
      <c r="M172" s="67"/>
      <c r="N172" s="184"/>
      <c r="O172" s="185"/>
      <c r="P172" s="67"/>
      <c r="Q172" s="184"/>
      <c r="R172" s="185"/>
      <c r="S172" s="67"/>
      <c r="T172" s="67"/>
      <c r="U172" s="67"/>
      <c r="V172" s="67"/>
      <c r="W172" s="67"/>
      <c r="X172" s="67"/>
      <c r="Y172" s="67"/>
      <c r="Z172" s="67"/>
      <c r="AA172" s="184"/>
      <c r="AB172" s="169"/>
      <c r="AC172" s="33"/>
      <c r="AD172" s="33"/>
      <c r="AE172" s="33"/>
      <c r="AF172" s="33"/>
      <c r="AG172" s="33"/>
      <c r="AH172" s="33"/>
      <c r="AI172" s="33"/>
      <c r="AJ172" s="33"/>
      <c r="AK172" s="33"/>
      <c r="AL172" s="33"/>
      <c r="AM172" s="171"/>
      <c r="AN172" s="66" t="s">
        <v>1234</v>
      </c>
      <c r="AO172" s="67"/>
      <c r="AP172" s="67"/>
      <c r="AQ172" s="67"/>
      <c r="AR172" s="67"/>
      <c r="AS172" s="67"/>
      <c r="AT172" s="184"/>
      <c r="AU172" s="185" t="s">
        <v>437</v>
      </c>
      <c r="AV172" s="67"/>
      <c r="AW172" s="184"/>
      <c r="AX172" s="169" t="s">
        <v>1283</v>
      </c>
      <c r="AY172" s="33"/>
      <c r="AZ172" s="33"/>
      <c r="BA172" s="33"/>
      <c r="BB172" s="33"/>
      <c r="BC172" s="33"/>
      <c r="BD172" s="33"/>
      <c r="BE172" s="33"/>
      <c r="BF172" s="33"/>
      <c r="BG172" s="33"/>
      <c r="BH172" s="33"/>
      <c r="BI172" s="33"/>
      <c r="BJ172" s="171"/>
    </row>
    <row r="173" spans="2:62" ht="16.5">
      <c r="B173" s="66"/>
      <c r="C173" s="67"/>
      <c r="D173" s="67"/>
      <c r="E173" s="67"/>
      <c r="F173" s="67"/>
      <c r="G173" s="67"/>
      <c r="H173" s="184"/>
      <c r="I173" s="185"/>
      <c r="J173" s="67"/>
      <c r="K173" s="184"/>
      <c r="L173" s="185"/>
      <c r="M173" s="67"/>
      <c r="N173" s="184"/>
      <c r="O173" s="185"/>
      <c r="P173" s="67"/>
      <c r="Q173" s="184"/>
      <c r="R173" s="185"/>
      <c r="S173" s="67"/>
      <c r="T173" s="67"/>
      <c r="U173" s="67"/>
      <c r="V173" s="67"/>
      <c r="W173" s="67"/>
      <c r="X173" s="67"/>
      <c r="Y173" s="67"/>
      <c r="Z173" s="67"/>
      <c r="AA173" s="184"/>
      <c r="AB173" s="169"/>
      <c r="AC173" s="33"/>
      <c r="AD173" s="33"/>
      <c r="AE173" s="33"/>
      <c r="AF173" s="33"/>
      <c r="AG173" s="33"/>
      <c r="AH173" s="33"/>
      <c r="AI173" s="33"/>
      <c r="AJ173" s="33"/>
      <c r="AK173" s="33"/>
      <c r="AL173" s="33"/>
      <c r="AM173" s="171"/>
      <c r="AN173" s="66" t="s">
        <v>1235</v>
      </c>
      <c r="AO173" s="67"/>
      <c r="AP173" s="67"/>
      <c r="AQ173" s="67"/>
      <c r="AR173" s="67"/>
      <c r="AS173" s="67"/>
      <c r="AT173" s="184"/>
      <c r="AU173" s="185" t="s">
        <v>437</v>
      </c>
      <c r="AV173" s="67"/>
      <c r="AW173" s="184"/>
      <c r="AX173" s="169" t="s">
        <v>1284</v>
      </c>
      <c r="AY173" s="33"/>
      <c r="AZ173" s="33"/>
      <c r="BA173" s="33"/>
      <c r="BB173" s="33"/>
      <c r="BC173" s="33"/>
      <c r="BD173" s="33"/>
      <c r="BE173" s="33"/>
      <c r="BF173" s="33"/>
      <c r="BG173" s="33"/>
      <c r="BH173" s="33"/>
      <c r="BI173" s="33"/>
      <c r="BJ173" s="171"/>
    </row>
    <row r="174" spans="2:62" ht="16.5">
      <c r="B174" s="66"/>
      <c r="C174" s="67"/>
      <c r="D174" s="67"/>
      <c r="E174" s="67"/>
      <c r="F174" s="67"/>
      <c r="G174" s="67"/>
      <c r="H174" s="184"/>
      <c r="I174" s="185"/>
      <c r="J174" s="67"/>
      <c r="K174" s="184"/>
      <c r="L174" s="185"/>
      <c r="M174" s="67"/>
      <c r="N174" s="184"/>
      <c r="O174" s="185"/>
      <c r="P174" s="67"/>
      <c r="Q174" s="184"/>
      <c r="R174" s="185"/>
      <c r="S174" s="67"/>
      <c r="T174" s="67"/>
      <c r="U174" s="67"/>
      <c r="V174" s="67"/>
      <c r="W174" s="67"/>
      <c r="X174" s="67"/>
      <c r="Y174" s="67"/>
      <c r="Z174" s="67"/>
      <c r="AA174" s="184"/>
      <c r="AB174" s="169"/>
      <c r="AC174" s="33"/>
      <c r="AD174" s="33"/>
      <c r="AE174" s="33"/>
      <c r="AF174" s="33"/>
      <c r="AG174" s="33"/>
      <c r="AH174" s="33"/>
      <c r="AI174" s="33"/>
      <c r="AJ174" s="33"/>
      <c r="AK174" s="33"/>
      <c r="AL174" s="33"/>
      <c r="AM174" s="171"/>
      <c r="AN174" s="66" t="s">
        <v>1236</v>
      </c>
      <c r="AO174" s="67"/>
      <c r="AP174" s="67"/>
      <c r="AQ174" s="67"/>
      <c r="AR174" s="67"/>
      <c r="AS174" s="67"/>
      <c r="AT174" s="184"/>
      <c r="AU174" s="185" t="s">
        <v>437</v>
      </c>
      <c r="AV174" s="67"/>
      <c r="AW174" s="184"/>
      <c r="AX174" s="169" t="s">
        <v>1285</v>
      </c>
      <c r="AY174" s="33"/>
      <c r="AZ174" s="33"/>
      <c r="BA174" s="33"/>
      <c r="BB174" s="33"/>
      <c r="BC174" s="33"/>
      <c r="BD174" s="33"/>
      <c r="BE174" s="33"/>
      <c r="BF174" s="33"/>
      <c r="BG174" s="33"/>
      <c r="BH174" s="33"/>
      <c r="BI174" s="33"/>
      <c r="BJ174" s="171"/>
    </row>
    <row r="175" spans="2:62" ht="16.5">
      <c r="B175" s="66"/>
      <c r="C175" s="67"/>
      <c r="D175" s="67"/>
      <c r="E175" s="67"/>
      <c r="F175" s="67"/>
      <c r="G175" s="67"/>
      <c r="H175" s="184"/>
      <c r="I175" s="185"/>
      <c r="J175" s="67"/>
      <c r="K175" s="184"/>
      <c r="L175" s="185"/>
      <c r="M175" s="67"/>
      <c r="N175" s="184"/>
      <c r="O175" s="185"/>
      <c r="P175" s="67"/>
      <c r="Q175" s="184"/>
      <c r="R175" s="185"/>
      <c r="S175" s="67"/>
      <c r="T175" s="67"/>
      <c r="U175" s="67"/>
      <c r="V175" s="67"/>
      <c r="W175" s="67"/>
      <c r="X175" s="67"/>
      <c r="Y175" s="67"/>
      <c r="Z175" s="67"/>
      <c r="AA175" s="184"/>
      <c r="AB175" s="169"/>
      <c r="AC175" s="33"/>
      <c r="AD175" s="33"/>
      <c r="AE175" s="33"/>
      <c r="AF175" s="33"/>
      <c r="AG175" s="33"/>
      <c r="AH175" s="33"/>
      <c r="AI175" s="33"/>
      <c r="AJ175" s="33"/>
      <c r="AK175" s="33"/>
      <c r="AL175" s="33"/>
      <c r="AM175" s="171"/>
      <c r="AN175" s="66" t="s">
        <v>1237</v>
      </c>
      <c r="AO175" s="67"/>
      <c r="AP175" s="67"/>
      <c r="AQ175" s="67"/>
      <c r="AR175" s="67"/>
      <c r="AS175" s="67"/>
      <c r="AT175" s="184"/>
      <c r="AU175" s="185" t="s">
        <v>437</v>
      </c>
      <c r="AV175" s="67"/>
      <c r="AW175" s="184"/>
      <c r="AX175" s="169" t="s">
        <v>1286</v>
      </c>
      <c r="AY175" s="33"/>
      <c r="AZ175" s="33"/>
      <c r="BA175" s="33"/>
      <c r="BB175" s="33"/>
      <c r="BC175" s="33"/>
      <c r="BD175" s="33"/>
      <c r="BE175" s="33"/>
      <c r="BF175" s="33"/>
      <c r="BG175" s="33"/>
      <c r="BH175" s="33"/>
      <c r="BI175" s="33"/>
      <c r="BJ175" s="171"/>
    </row>
    <row r="176" spans="2:62" ht="16.5">
      <c r="B176" s="66"/>
      <c r="C176" s="67"/>
      <c r="D176" s="67"/>
      <c r="E176" s="67"/>
      <c r="F176" s="67"/>
      <c r="G176" s="67"/>
      <c r="H176" s="184"/>
      <c r="I176" s="185"/>
      <c r="J176" s="67"/>
      <c r="K176" s="184"/>
      <c r="L176" s="185"/>
      <c r="M176" s="67"/>
      <c r="N176" s="184"/>
      <c r="O176" s="185"/>
      <c r="P176" s="67"/>
      <c r="Q176" s="184"/>
      <c r="R176" s="185"/>
      <c r="S176" s="67"/>
      <c r="T176" s="67"/>
      <c r="U176" s="67"/>
      <c r="V176" s="67"/>
      <c r="W176" s="67"/>
      <c r="X176" s="67"/>
      <c r="Y176" s="67"/>
      <c r="Z176" s="67"/>
      <c r="AA176" s="184"/>
      <c r="AB176" s="169"/>
      <c r="AC176" s="33"/>
      <c r="AD176" s="33"/>
      <c r="AE176" s="33"/>
      <c r="AF176" s="33"/>
      <c r="AG176" s="33"/>
      <c r="AH176" s="33"/>
      <c r="AI176" s="33"/>
      <c r="AJ176" s="33"/>
      <c r="AK176" s="33"/>
      <c r="AL176" s="33"/>
      <c r="AM176" s="171"/>
      <c r="AN176" s="66" t="s">
        <v>1238</v>
      </c>
      <c r="AO176" s="67"/>
      <c r="AP176" s="67"/>
      <c r="AQ176" s="67"/>
      <c r="AR176" s="67"/>
      <c r="AS176" s="67"/>
      <c r="AT176" s="184"/>
      <c r="AU176" s="185" t="s">
        <v>437</v>
      </c>
      <c r="AV176" s="67"/>
      <c r="AW176" s="184"/>
      <c r="AX176" s="169" t="s">
        <v>1287</v>
      </c>
      <c r="AY176" s="33"/>
      <c r="AZ176" s="33"/>
      <c r="BA176" s="33"/>
      <c r="BB176" s="33"/>
      <c r="BC176" s="33"/>
      <c r="BD176" s="33"/>
      <c r="BE176" s="33"/>
      <c r="BF176" s="33"/>
      <c r="BG176" s="33"/>
      <c r="BH176" s="33"/>
      <c r="BI176" s="33"/>
      <c r="BJ176" s="171"/>
    </row>
    <row r="177" spans="2:62" ht="16.5">
      <c r="B177" s="66"/>
      <c r="C177" s="67"/>
      <c r="D177" s="67"/>
      <c r="E177" s="67"/>
      <c r="F177" s="67"/>
      <c r="G177" s="67"/>
      <c r="H177" s="184"/>
      <c r="I177" s="185"/>
      <c r="J177" s="67"/>
      <c r="K177" s="184"/>
      <c r="L177" s="185"/>
      <c r="M177" s="67"/>
      <c r="N177" s="184"/>
      <c r="O177" s="185"/>
      <c r="P177" s="67"/>
      <c r="Q177" s="184"/>
      <c r="R177" s="185"/>
      <c r="S177" s="67"/>
      <c r="T177" s="67"/>
      <c r="U177" s="67"/>
      <c r="V177" s="67"/>
      <c r="W177" s="67"/>
      <c r="X177" s="67"/>
      <c r="Y177" s="67"/>
      <c r="Z177" s="67"/>
      <c r="AA177" s="184"/>
      <c r="AB177" s="169"/>
      <c r="AC177" s="33"/>
      <c r="AD177" s="33"/>
      <c r="AE177" s="33"/>
      <c r="AF177" s="33"/>
      <c r="AG177" s="33"/>
      <c r="AH177" s="33"/>
      <c r="AI177" s="33"/>
      <c r="AJ177" s="33"/>
      <c r="AK177" s="33"/>
      <c r="AL177" s="33"/>
      <c r="AM177" s="171"/>
      <c r="AN177" s="66" t="s">
        <v>1239</v>
      </c>
      <c r="AO177" s="67"/>
      <c r="AP177" s="67"/>
      <c r="AQ177" s="67"/>
      <c r="AR177" s="67"/>
      <c r="AS177" s="67"/>
      <c r="AT177" s="184"/>
      <c r="AU177" s="185" t="s">
        <v>437</v>
      </c>
      <c r="AV177" s="67"/>
      <c r="AW177" s="184"/>
      <c r="AX177" s="169" t="s">
        <v>1288</v>
      </c>
      <c r="AY177" s="33"/>
      <c r="AZ177" s="33"/>
      <c r="BA177" s="33"/>
      <c r="BB177" s="33"/>
      <c r="BC177" s="33"/>
      <c r="BD177" s="33"/>
      <c r="BE177" s="33"/>
      <c r="BF177" s="33"/>
      <c r="BG177" s="33"/>
      <c r="BH177" s="33"/>
      <c r="BI177" s="33"/>
      <c r="BJ177" s="171"/>
    </row>
    <row r="178" spans="2:62" ht="16.5">
      <c r="B178" s="66"/>
      <c r="C178" s="67"/>
      <c r="D178" s="67"/>
      <c r="E178" s="67"/>
      <c r="F178" s="67"/>
      <c r="G178" s="67"/>
      <c r="H178" s="184"/>
      <c r="I178" s="185"/>
      <c r="J178" s="67"/>
      <c r="K178" s="184"/>
      <c r="L178" s="185"/>
      <c r="M178" s="67"/>
      <c r="N178" s="184"/>
      <c r="O178" s="185"/>
      <c r="P178" s="67"/>
      <c r="Q178" s="184"/>
      <c r="R178" s="185"/>
      <c r="S178" s="67"/>
      <c r="T178" s="67"/>
      <c r="U178" s="67"/>
      <c r="V178" s="67"/>
      <c r="W178" s="67"/>
      <c r="X178" s="67"/>
      <c r="Y178" s="67"/>
      <c r="Z178" s="67"/>
      <c r="AA178" s="184"/>
      <c r="AB178" s="169"/>
      <c r="AC178" s="33"/>
      <c r="AD178" s="33"/>
      <c r="AE178" s="33"/>
      <c r="AF178" s="33"/>
      <c r="AG178" s="33"/>
      <c r="AH178" s="33"/>
      <c r="AI178" s="33"/>
      <c r="AJ178" s="33"/>
      <c r="AK178" s="33"/>
      <c r="AL178" s="33"/>
      <c r="AM178" s="171"/>
      <c r="AN178" s="66" t="s">
        <v>1240</v>
      </c>
      <c r="AO178" s="67"/>
      <c r="AP178" s="67"/>
      <c r="AQ178" s="67"/>
      <c r="AR178" s="67"/>
      <c r="AS178" s="67"/>
      <c r="AT178" s="184"/>
      <c r="AU178" s="185" t="s">
        <v>437</v>
      </c>
      <c r="AV178" s="67"/>
      <c r="AW178" s="184"/>
      <c r="AX178" s="169" t="s">
        <v>1289</v>
      </c>
      <c r="AY178" s="33"/>
      <c r="AZ178" s="33"/>
      <c r="BA178" s="33"/>
      <c r="BB178" s="33"/>
      <c r="BC178" s="33"/>
      <c r="BD178" s="33"/>
      <c r="BE178" s="33"/>
      <c r="BF178" s="33"/>
      <c r="BG178" s="33"/>
      <c r="BH178" s="33"/>
      <c r="BI178" s="33"/>
      <c r="BJ178" s="171"/>
    </row>
    <row r="179" spans="2:62" ht="16.5">
      <c r="B179" s="66"/>
      <c r="C179" s="67"/>
      <c r="D179" s="67"/>
      <c r="E179" s="67"/>
      <c r="F179" s="67"/>
      <c r="G179" s="67"/>
      <c r="H179" s="184"/>
      <c r="I179" s="185"/>
      <c r="J179" s="67"/>
      <c r="K179" s="184"/>
      <c r="L179" s="185"/>
      <c r="M179" s="67"/>
      <c r="N179" s="184"/>
      <c r="O179" s="185"/>
      <c r="P179" s="67"/>
      <c r="Q179" s="184"/>
      <c r="R179" s="185"/>
      <c r="S179" s="67"/>
      <c r="T179" s="67"/>
      <c r="U179" s="67"/>
      <c r="V179" s="67"/>
      <c r="W179" s="67"/>
      <c r="X179" s="67"/>
      <c r="Y179" s="67"/>
      <c r="Z179" s="67"/>
      <c r="AA179" s="184"/>
      <c r="AB179" s="169"/>
      <c r="AC179" s="33"/>
      <c r="AD179" s="33"/>
      <c r="AE179" s="33"/>
      <c r="AF179" s="33"/>
      <c r="AG179" s="33"/>
      <c r="AH179" s="33"/>
      <c r="AI179" s="33"/>
      <c r="AJ179" s="33"/>
      <c r="AK179" s="33"/>
      <c r="AL179" s="33"/>
      <c r="AM179" s="171"/>
      <c r="AN179" s="66" t="s">
        <v>1241</v>
      </c>
      <c r="AO179" s="67"/>
      <c r="AP179" s="67"/>
      <c r="AQ179" s="67"/>
      <c r="AR179" s="67"/>
      <c r="AS179" s="67"/>
      <c r="AT179" s="184"/>
      <c r="AU179" s="185" t="s">
        <v>437</v>
      </c>
      <c r="AV179" s="67"/>
      <c r="AW179" s="184"/>
      <c r="AX179" s="169" t="s">
        <v>1290</v>
      </c>
      <c r="AY179" s="33"/>
      <c r="AZ179" s="33"/>
      <c r="BA179" s="33"/>
      <c r="BB179" s="33"/>
      <c r="BC179" s="33"/>
      <c r="BD179" s="33"/>
      <c r="BE179" s="33"/>
      <c r="BF179" s="33"/>
      <c r="BG179" s="33"/>
      <c r="BH179" s="33"/>
      <c r="BI179" s="33"/>
      <c r="BJ179" s="171"/>
    </row>
    <row r="180" spans="2:62" ht="16.5">
      <c r="B180" s="203"/>
      <c r="C180" s="204"/>
      <c r="D180" s="204"/>
      <c r="E180" s="204"/>
      <c r="F180" s="204"/>
      <c r="G180" s="204"/>
      <c r="H180" s="205"/>
      <c r="I180" s="206"/>
      <c r="J180" s="204"/>
      <c r="K180" s="205"/>
      <c r="L180" s="206"/>
      <c r="M180" s="204"/>
      <c r="N180" s="205"/>
      <c r="O180" s="206"/>
      <c r="P180" s="204"/>
      <c r="Q180" s="205"/>
      <c r="R180" s="206"/>
      <c r="S180" s="204"/>
      <c r="T180" s="204"/>
      <c r="U180" s="204"/>
      <c r="V180" s="204"/>
      <c r="W180" s="204"/>
      <c r="X180" s="204"/>
      <c r="Y180" s="204"/>
      <c r="Z180" s="204"/>
      <c r="AA180" s="205"/>
      <c r="AB180" s="169"/>
      <c r="AC180" s="33"/>
      <c r="AD180" s="33"/>
      <c r="AE180" s="33"/>
      <c r="AF180" s="33"/>
      <c r="AG180" s="33"/>
      <c r="AH180" s="33"/>
      <c r="AI180" s="33"/>
      <c r="AJ180" s="33"/>
      <c r="AK180" s="33"/>
      <c r="AL180" s="33"/>
      <c r="AM180" s="171"/>
      <c r="AN180" s="66" t="s">
        <v>1242</v>
      </c>
      <c r="AO180" s="67"/>
      <c r="AP180" s="67"/>
      <c r="AQ180" s="67"/>
      <c r="AR180" s="67"/>
      <c r="AS180" s="67"/>
      <c r="AT180" s="184"/>
      <c r="AU180" s="185" t="s">
        <v>437</v>
      </c>
      <c r="AV180" s="67"/>
      <c r="AW180" s="184"/>
      <c r="AX180" s="169" t="s">
        <v>1291</v>
      </c>
      <c r="AY180" s="33"/>
      <c r="AZ180" s="33"/>
      <c r="BA180" s="33"/>
      <c r="BB180" s="33"/>
      <c r="BC180" s="33"/>
      <c r="BD180" s="33"/>
      <c r="BE180" s="33"/>
      <c r="BF180" s="33"/>
      <c r="BG180" s="33"/>
      <c r="BH180" s="33"/>
      <c r="BI180" s="33"/>
      <c r="BJ180" s="171"/>
    </row>
    <row r="181" spans="2:62" ht="16.5">
      <c r="B181" s="66"/>
      <c r="C181" s="67"/>
      <c r="D181" s="67"/>
      <c r="E181" s="67"/>
      <c r="F181" s="67"/>
      <c r="G181" s="67"/>
      <c r="H181" s="184"/>
      <c r="I181" s="185"/>
      <c r="J181" s="67"/>
      <c r="K181" s="184"/>
      <c r="L181" s="185"/>
      <c r="M181" s="67"/>
      <c r="N181" s="184"/>
      <c r="O181" s="185"/>
      <c r="P181" s="67"/>
      <c r="Q181" s="184"/>
      <c r="R181" s="185"/>
      <c r="S181" s="67"/>
      <c r="T181" s="67"/>
      <c r="U181" s="67"/>
      <c r="V181" s="67"/>
      <c r="W181" s="67"/>
      <c r="X181" s="67"/>
      <c r="Y181" s="67"/>
      <c r="Z181" s="67"/>
      <c r="AA181" s="184"/>
      <c r="AB181" s="183"/>
      <c r="AC181" s="33"/>
      <c r="AD181" s="33"/>
      <c r="AE181" s="33"/>
      <c r="AF181" s="33"/>
      <c r="AG181" s="33"/>
      <c r="AH181" s="33"/>
      <c r="AI181" s="33"/>
      <c r="AJ181" s="33"/>
      <c r="AK181" s="33"/>
      <c r="AL181" s="33"/>
      <c r="AM181" s="171"/>
      <c r="AN181" s="66" t="s">
        <v>1243</v>
      </c>
      <c r="AO181" s="67"/>
      <c r="AP181" s="67"/>
      <c r="AQ181" s="67"/>
      <c r="AR181" s="67"/>
      <c r="AS181" s="67"/>
      <c r="AT181" s="184"/>
      <c r="AU181" s="185" t="s">
        <v>437</v>
      </c>
      <c r="AV181" s="67"/>
      <c r="AW181" s="184"/>
      <c r="AX181" s="169" t="s">
        <v>1292</v>
      </c>
      <c r="AY181" s="33"/>
      <c r="AZ181" s="33"/>
      <c r="BA181" s="33"/>
      <c r="BB181" s="33"/>
      <c r="BC181" s="33"/>
      <c r="BD181" s="33"/>
      <c r="BE181" s="33"/>
      <c r="BF181" s="33"/>
      <c r="BG181" s="33"/>
      <c r="BH181" s="33"/>
      <c r="BI181" s="33"/>
      <c r="BJ181" s="171"/>
    </row>
    <row r="182" spans="2:62">
      <c r="B182" s="66"/>
      <c r="C182" s="67"/>
      <c r="D182" s="67"/>
      <c r="E182" s="67"/>
      <c r="F182" s="67"/>
      <c r="G182" s="67"/>
      <c r="H182" s="184"/>
      <c r="I182" s="185"/>
      <c r="J182" s="67"/>
      <c r="K182" s="184"/>
      <c r="L182" s="185"/>
      <c r="M182" s="67"/>
      <c r="N182" s="184"/>
      <c r="O182" s="185"/>
      <c r="P182" s="67"/>
      <c r="Q182" s="184"/>
      <c r="R182" s="185"/>
      <c r="S182" s="67"/>
      <c r="T182" s="67"/>
      <c r="U182" s="67"/>
      <c r="V182" s="67"/>
      <c r="W182" s="67"/>
      <c r="X182" s="67"/>
      <c r="Y182" s="67"/>
      <c r="Z182" s="67"/>
      <c r="AA182" s="184"/>
      <c r="AB182" s="183"/>
      <c r="AC182" s="33"/>
      <c r="AD182" s="33"/>
      <c r="AE182" s="33"/>
      <c r="AF182" s="33"/>
      <c r="AG182" s="33"/>
      <c r="AH182" s="33"/>
      <c r="AI182" s="33"/>
      <c r="AJ182" s="33"/>
      <c r="AK182" s="33"/>
      <c r="AL182" s="33"/>
      <c r="AM182" s="171"/>
      <c r="AN182" s="120"/>
      <c r="AO182" s="121"/>
      <c r="AP182" s="121"/>
      <c r="AQ182" s="121"/>
      <c r="AR182" s="121"/>
      <c r="AS182" s="121"/>
      <c r="AT182" s="187"/>
      <c r="AU182" s="188"/>
      <c r="AV182" s="121"/>
      <c r="AW182" s="187"/>
      <c r="AX182" s="189" t="s">
        <v>1293</v>
      </c>
      <c r="AY182" s="190"/>
      <c r="AZ182" s="190"/>
      <c r="BA182" s="190"/>
      <c r="BB182" s="190"/>
      <c r="BC182" s="190"/>
      <c r="BD182" s="190"/>
      <c r="BE182" s="190"/>
      <c r="BF182" s="190"/>
      <c r="BG182" s="190"/>
      <c r="BH182" s="190"/>
      <c r="BI182" s="190"/>
      <c r="BJ182" s="191"/>
    </row>
    <row r="183" spans="2:62" ht="16.5">
      <c r="B183" s="66"/>
      <c r="C183" s="67"/>
      <c r="D183" s="67"/>
      <c r="E183" s="67"/>
      <c r="F183" s="67"/>
      <c r="G183" s="67"/>
      <c r="H183" s="184"/>
      <c r="I183" s="185"/>
      <c r="J183" s="67"/>
      <c r="K183" s="184"/>
      <c r="L183" s="185"/>
      <c r="M183" s="67"/>
      <c r="N183" s="184"/>
      <c r="O183" s="185"/>
      <c r="P183" s="67"/>
      <c r="Q183" s="184"/>
      <c r="R183" s="185"/>
      <c r="S183" s="67"/>
      <c r="T183" s="67"/>
      <c r="U183" s="67"/>
      <c r="V183" s="67"/>
      <c r="W183" s="67"/>
      <c r="X183" s="67"/>
      <c r="Y183" s="67"/>
      <c r="Z183" s="67"/>
      <c r="AA183" s="184"/>
      <c r="AB183" s="183"/>
      <c r="AC183" s="33"/>
      <c r="AD183" s="33"/>
      <c r="AE183" s="33"/>
      <c r="AF183" s="33"/>
      <c r="AG183" s="33"/>
      <c r="AH183" s="33"/>
      <c r="AI183" s="33"/>
      <c r="AJ183" s="33"/>
      <c r="AK183" s="33"/>
      <c r="AL183" s="33"/>
      <c r="AM183" s="171"/>
      <c r="AN183" s="131" t="s">
        <v>1193</v>
      </c>
      <c r="AO183" s="132"/>
      <c r="AP183" s="132"/>
      <c r="AQ183" s="132"/>
      <c r="AR183" s="132"/>
      <c r="AS183" s="132"/>
      <c r="AT183" s="132"/>
      <c r="AU183" s="132"/>
      <c r="AV183" s="132"/>
      <c r="AW183" s="132"/>
      <c r="AX183" s="132"/>
      <c r="AY183" s="132"/>
      <c r="AZ183" s="132"/>
      <c r="BA183" s="132"/>
      <c r="BB183" s="132"/>
      <c r="BC183" s="132"/>
      <c r="BD183" s="132"/>
      <c r="BE183" s="132"/>
      <c r="BF183" s="132"/>
      <c r="BG183" s="132"/>
      <c r="BH183" s="133"/>
      <c r="BI183" s="133"/>
      <c r="BJ183" s="134"/>
    </row>
    <row r="184" spans="2:62" ht="16.5">
      <c r="B184" s="66"/>
      <c r="C184" s="67"/>
      <c r="D184" s="67"/>
      <c r="E184" s="67"/>
      <c r="F184" s="67"/>
      <c r="G184" s="67"/>
      <c r="H184" s="184"/>
      <c r="I184" s="185"/>
      <c r="J184" s="67"/>
      <c r="K184" s="184"/>
      <c r="L184" s="185"/>
      <c r="M184" s="67"/>
      <c r="N184" s="184"/>
      <c r="O184" s="185"/>
      <c r="P184" s="67"/>
      <c r="Q184" s="184"/>
      <c r="R184" s="185"/>
      <c r="S184" s="67"/>
      <c r="T184" s="67"/>
      <c r="U184" s="67"/>
      <c r="V184" s="67"/>
      <c r="W184" s="67"/>
      <c r="X184" s="67"/>
      <c r="Y184" s="67"/>
      <c r="Z184" s="67"/>
      <c r="AA184" s="184"/>
      <c r="AB184" s="183"/>
      <c r="AC184" s="33"/>
      <c r="AD184" s="33"/>
      <c r="AE184" s="33"/>
      <c r="AF184" s="33"/>
      <c r="AG184" s="33"/>
      <c r="AH184" s="33"/>
      <c r="AI184" s="33"/>
      <c r="AJ184" s="33"/>
      <c r="AK184" s="33"/>
      <c r="AL184" s="33"/>
      <c r="AM184" s="171"/>
      <c r="AN184" s="142"/>
      <c r="AO184" s="143"/>
      <c r="AP184" s="144"/>
      <c r="AQ184" s="143"/>
      <c r="AR184" s="143"/>
      <c r="AS184" s="143"/>
      <c r="AT184" s="143"/>
      <c r="AU184" s="143"/>
      <c r="AV184" s="143"/>
      <c r="AW184" s="143"/>
      <c r="AX184" s="143"/>
      <c r="AY184" s="143"/>
      <c r="AZ184" s="143"/>
      <c r="BA184" s="143"/>
      <c r="BB184" s="143"/>
      <c r="BC184" s="143"/>
      <c r="BD184" s="143"/>
      <c r="BE184" s="143"/>
      <c r="BF184" s="143"/>
      <c r="BG184" s="143"/>
      <c r="BH184" s="143"/>
      <c r="BI184" s="143"/>
      <c r="BJ184" s="145"/>
    </row>
    <row r="185" spans="2:62" ht="16.5">
      <c r="B185" s="66"/>
      <c r="C185" s="67"/>
      <c r="D185" s="67"/>
      <c r="E185" s="67"/>
      <c r="F185" s="67"/>
      <c r="G185" s="67"/>
      <c r="H185" s="184"/>
      <c r="I185" s="185"/>
      <c r="J185" s="67"/>
      <c r="K185" s="184"/>
      <c r="L185" s="185"/>
      <c r="M185" s="67"/>
      <c r="N185" s="184"/>
      <c r="O185" s="185"/>
      <c r="P185" s="67"/>
      <c r="Q185" s="184"/>
      <c r="R185" s="185"/>
      <c r="S185" s="67"/>
      <c r="T185" s="67"/>
      <c r="U185" s="67"/>
      <c r="V185" s="67"/>
      <c r="W185" s="67"/>
      <c r="X185" s="67"/>
      <c r="Y185" s="67"/>
      <c r="Z185" s="67"/>
      <c r="AA185" s="184"/>
      <c r="AB185" s="183"/>
      <c r="AC185" s="33"/>
      <c r="AD185" s="33"/>
      <c r="AE185" s="33"/>
      <c r="AF185" s="33"/>
      <c r="AG185" s="33"/>
      <c r="AH185" s="33"/>
      <c r="AI185" s="33"/>
      <c r="AJ185" s="33"/>
      <c r="AK185" s="33"/>
      <c r="AL185" s="33"/>
      <c r="AM185" s="171"/>
      <c r="AN185" s="158" t="s">
        <v>1196</v>
      </c>
      <c r="AO185" s="159"/>
      <c r="AP185" s="156"/>
      <c r="AQ185" s="160"/>
      <c r="AR185" s="160"/>
      <c r="AS185" s="176"/>
      <c r="AT185" s="177" t="s">
        <v>837</v>
      </c>
      <c r="AU185" s="174"/>
      <c r="AV185" s="174"/>
      <c r="AW185" s="174"/>
      <c r="AX185" s="174"/>
      <c r="AY185" s="174"/>
      <c r="AZ185" s="174"/>
      <c r="BA185" s="174"/>
      <c r="BB185" s="174"/>
      <c r="BC185" s="174"/>
      <c r="BD185" s="174"/>
      <c r="BE185" s="174"/>
      <c r="BF185" s="174"/>
      <c r="BG185" s="174"/>
      <c r="BH185" s="174"/>
      <c r="BI185" s="174"/>
      <c r="BJ185" s="171"/>
    </row>
    <row r="186" spans="2:62" ht="16.5">
      <c r="B186" s="66"/>
      <c r="C186" s="67"/>
      <c r="D186" s="67"/>
      <c r="E186" s="67"/>
      <c r="F186" s="67"/>
      <c r="G186" s="67"/>
      <c r="H186" s="184"/>
      <c r="I186" s="185"/>
      <c r="J186" s="67"/>
      <c r="K186" s="184"/>
      <c r="L186" s="185"/>
      <c r="M186" s="67"/>
      <c r="N186" s="184"/>
      <c r="O186" s="185"/>
      <c r="P186" s="67"/>
      <c r="Q186" s="184"/>
      <c r="R186" s="185"/>
      <c r="S186" s="67"/>
      <c r="T186" s="67"/>
      <c r="U186" s="67"/>
      <c r="V186" s="67"/>
      <c r="W186" s="67"/>
      <c r="X186" s="67"/>
      <c r="Y186" s="67"/>
      <c r="Z186" s="67"/>
      <c r="AA186" s="184"/>
      <c r="AB186" s="183"/>
      <c r="AC186" s="33"/>
      <c r="AD186" s="33"/>
      <c r="AE186" s="33"/>
      <c r="AF186" s="33"/>
      <c r="AG186" s="33"/>
      <c r="AH186" s="33"/>
      <c r="AI186" s="33"/>
      <c r="AJ186" s="33"/>
      <c r="AK186" s="33"/>
      <c r="AL186" s="33"/>
      <c r="AM186" s="171"/>
      <c r="AN186" s="172" t="s">
        <v>1199</v>
      </c>
      <c r="AO186" s="178"/>
      <c r="AP186" s="33"/>
      <c r="AQ186" s="174"/>
      <c r="AR186" s="174"/>
      <c r="AS186" s="179"/>
      <c r="AT186" s="180" t="s">
        <v>1200</v>
      </c>
      <c r="AU186" s="174"/>
      <c r="AV186" s="174"/>
      <c r="AW186" s="174"/>
      <c r="AX186" s="174"/>
      <c r="AY186" s="174"/>
      <c r="AZ186" s="174"/>
      <c r="BA186" s="174"/>
      <c r="BB186" s="174"/>
      <c r="BC186" s="174"/>
      <c r="BD186" s="174"/>
      <c r="BE186" s="174"/>
      <c r="BF186" s="174"/>
      <c r="BG186" s="174"/>
      <c r="BH186" s="174"/>
      <c r="BI186" s="174"/>
      <c r="BJ186" s="171"/>
    </row>
    <row r="187" spans="2:62" ht="16.5">
      <c r="B187" s="66"/>
      <c r="C187" s="67"/>
      <c r="D187" s="67"/>
      <c r="E187" s="67"/>
      <c r="F187" s="67"/>
      <c r="G187" s="67"/>
      <c r="H187" s="184"/>
      <c r="I187" s="185"/>
      <c r="J187" s="67"/>
      <c r="K187" s="184"/>
      <c r="L187" s="185"/>
      <c r="M187" s="67"/>
      <c r="N187" s="184"/>
      <c r="O187" s="185"/>
      <c r="P187" s="67"/>
      <c r="Q187" s="184"/>
      <c r="R187" s="185"/>
      <c r="S187" s="67"/>
      <c r="T187" s="67"/>
      <c r="U187" s="67"/>
      <c r="V187" s="67"/>
      <c r="W187" s="67"/>
      <c r="X187" s="67"/>
      <c r="Y187" s="67"/>
      <c r="Z187" s="67"/>
      <c r="AA187" s="184"/>
      <c r="AB187" s="183"/>
      <c r="AC187" s="33"/>
      <c r="AD187" s="33"/>
      <c r="AE187" s="33"/>
      <c r="AF187" s="33"/>
      <c r="AG187" s="33"/>
      <c r="AH187" s="33"/>
      <c r="AI187" s="33"/>
      <c r="AJ187" s="33"/>
      <c r="AK187" s="33"/>
      <c r="AL187" s="33"/>
      <c r="AM187" s="171"/>
      <c r="AN187" s="172" t="s">
        <v>1199</v>
      </c>
      <c r="AO187" s="178"/>
      <c r="AP187" s="33"/>
      <c r="AQ187" s="174"/>
      <c r="AR187" s="174"/>
      <c r="AS187" s="179"/>
      <c r="AT187" s="180" t="s">
        <v>1202</v>
      </c>
      <c r="AU187" s="174"/>
      <c r="AV187" s="174"/>
      <c r="AW187" s="174"/>
      <c r="AX187" s="174"/>
      <c r="AY187" s="174"/>
      <c r="AZ187" s="174"/>
      <c r="BA187" s="174"/>
      <c r="BB187" s="174"/>
      <c r="BC187" s="174"/>
      <c r="BD187" s="174"/>
      <c r="BE187" s="174"/>
      <c r="BF187" s="174"/>
      <c r="BG187" s="174"/>
      <c r="BH187" s="174"/>
      <c r="BI187" s="174"/>
      <c r="BJ187" s="171"/>
    </row>
    <row r="188" spans="2:62" ht="16.5">
      <c r="B188" s="66"/>
      <c r="C188" s="67"/>
      <c r="D188" s="67"/>
      <c r="E188" s="67"/>
      <c r="F188" s="67"/>
      <c r="G188" s="67"/>
      <c r="H188" s="184"/>
      <c r="I188" s="185"/>
      <c r="J188" s="67"/>
      <c r="K188" s="184"/>
      <c r="L188" s="185"/>
      <c r="M188" s="67"/>
      <c r="N188" s="184"/>
      <c r="O188" s="185"/>
      <c r="P188" s="67"/>
      <c r="Q188" s="184"/>
      <c r="R188" s="185"/>
      <c r="S188" s="67"/>
      <c r="T188" s="67"/>
      <c r="U188" s="67"/>
      <c r="V188" s="67"/>
      <c r="W188" s="67"/>
      <c r="X188" s="67"/>
      <c r="Y188" s="67"/>
      <c r="Z188" s="67"/>
      <c r="AA188" s="184"/>
      <c r="AB188" s="183"/>
      <c r="AC188" s="33"/>
      <c r="AD188" s="33"/>
      <c r="AE188" s="33"/>
      <c r="AF188" s="33"/>
      <c r="AG188" s="33"/>
      <c r="AH188" s="33"/>
      <c r="AI188" s="33"/>
      <c r="AJ188" s="33"/>
      <c r="AK188" s="33"/>
      <c r="AL188" s="33"/>
      <c r="AM188" s="171"/>
      <c r="AN188" s="172" t="s">
        <v>1199</v>
      </c>
      <c r="AO188" s="178"/>
      <c r="AP188" s="33"/>
      <c r="AQ188" s="174"/>
      <c r="AR188" s="174"/>
      <c r="AS188" s="179"/>
      <c r="AT188" s="180" t="s">
        <v>1204</v>
      </c>
      <c r="AU188" s="174"/>
      <c r="AV188" s="174"/>
      <c r="AW188" s="174"/>
      <c r="AX188" s="174"/>
      <c r="AY188" s="174"/>
      <c r="AZ188" s="174"/>
      <c r="BA188" s="174"/>
      <c r="BB188" s="174"/>
      <c r="BC188" s="174"/>
      <c r="BD188" s="174"/>
      <c r="BE188" s="174"/>
      <c r="BF188" s="174"/>
      <c r="BG188" s="174"/>
      <c r="BH188" s="174"/>
      <c r="BI188" s="174"/>
      <c r="BJ188" s="171"/>
    </row>
    <row r="189" spans="2:62" ht="16.5">
      <c r="B189" s="120"/>
      <c r="C189" s="121"/>
      <c r="D189" s="121"/>
      <c r="E189" s="121"/>
      <c r="F189" s="121"/>
      <c r="G189" s="121"/>
      <c r="H189" s="187"/>
      <c r="I189" s="188"/>
      <c r="J189" s="121"/>
      <c r="K189" s="187"/>
      <c r="L189" s="188"/>
      <c r="M189" s="121"/>
      <c r="N189" s="187"/>
      <c r="O189" s="188"/>
      <c r="P189" s="121"/>
      <c r="Q189" s="187"/>
      <c r="R189" s="188"/>
      <c r="S189" s="121"/>
      <c r="T189" s="121"/>
      <c r="U189" s="121"/>
      <c r="V189" s="121"/>
      <c r="W189" s="121"/>
      <c r="X189" s="121"/>
      <c r="Y189" s="121"/>
      <c r="Z189" s="121"/>
      <c r="AA189" s="187"/>
      <c r="AB189" s="189"/>
      <c r="AC189" s="190"/>
      <c r="AD189" s="190"/>
      <c r="AE189" s="190"/>
      <c r="AF189" s="190"/>
      <c r="AG189" s="190"/>
      <c r="AH189" s="190"/>
      <c r="AI189" s="190"/>
      <c r="AJ189" s="190"/>
      <c r="AK189" s="190"/>
      <c r="AL189" s="190"/>
      <c r="AM189" s="191"/>
      <c r="AN189" s="207" t="s">
        <v>1199</v>
      </c>
      <c r="AO189" s="190"/>
      <c r="AP189" s="190"/>
      <c r="AQ189" s="190"/>
      <c r="AR189" s="190"/>
      <c r="AS189" s="193"/>
      <c r="AT189" s="189" t="s">
        <v>1206</v>
      </c>
      <c r="AU189" s="190"/>
      <c r="AV189" s="190"/>
      <c r="AW189" s="190"/>
      <c r="AX189" s="190"/>
      <c r="AY189" s="190"/>
      <c r="AZ189" s="190"/>
      <c r="BA189" s="190"/>
      <c r="BB189" s="190"/>
      <c r="BC189" s="190"/>
      <c r="BD189" s="190"/>
      <c r="BE189" s="190"/>
      <c r="BF189" s="190"/>
      <c r="BG189" s="190"/>
      <c r="BH189" s="190"/>
      <c r="BI189" s="190"/>
      <c r="BJ189" s="191"/>
    </row>
  </sheetData>
  <mergeCells count="46">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A4:G4"/>
    <mergeCell ref="H4:T4"/>
    <mergeCell ref="U4:Y4"/>
    <mergeCell ref="Z4:AO4"/>
    <mergeCell ref="AP4:BK4"/>
    <mergeCell ref="AT2:AX3"/>
    <mergeCell ref="AY2:BB3"/>
    <mergeCell ref="BC2:BG3"/>
    <mergeCell ref="BH2:BK3"/>
    <mergeCell ref="A1:J1"/>
    <mergeCell ref="K1:V1"/>
    <mergeCell ref="W1:AO3"/>
    <mergeCell ref="AP1:AS1"/>
    <mergeCell ref="AT1:AX1"/>
    <mergeCell ref="AY1:BB1"/>
    <mergeCell ref="BC1:BG1"/>
    <mergeCell ref="BH1:BK1"/>
    <mergeCell ref="A2:J3"/>
    <mergeCell ref="K2:V3"/>
    <mergeCell ref="AP2:AS3"/>
    <mergeCell ref="AA80:AE80"/>
    <mergeCell ref="AA81:AE81"/>
    <mergeCell ref="AF80:AJ80"/>
    <mergeCell ref="AF81:AJ81"/>
    <mergeCell ref="B81:E81"/>
    <mergeCell ref="B80:E80"/>
    <mergeCell ref="F81:Z81"/>
    <mergeCell ref="F80:Z80"/>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drawing r:id="rId2"/>
  <legacyDrawing r:id="rId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B1A98-67B7-41BA-AE6C-5581B767C4AE}">
  <dimension ref="A1:BK96"/>
  <sheetViews>
    <sheetView view="pageBreakPreview" zoomScale="75" zoomScaleNormal="75" zoomScaleSheetLayoutView="75" workbookViewId="0">
      <selection activeCell="G9" sqref="G9:X9"/>
    </sheetView>
  </sheetViews>
  <sheetFormatPr defaultRowHeight="15.75"/>
  <cols>
    <col min="1" max="63" width="2.77734375" customWidth="1"/>
  </cols>
  <sheetData>
    <row r="1" spans="1:63" ht="24.95" customHeight="1">
      <c r="A1" s="238" t="s">
        <v>0</v>
      </c>
      <c r="B1" s="239"/>
      <c r="C1" s="239"/>
      <c r="D1" s="239"/>
      <c r="E1" s="239"/>
      <c r="F1" s="239"/>
      <c r="G1" s="239"/>
      <c r="H1" s="239"/>
      <c r="I1" s="239"/>
      <c r="J1" s="240"/>
      <c r="K1" s="238" t="s">
        <v>2</v>
      </c>
      <c r="L1" s="239"/>
      <c r="M1" s="239"/>
      <c r="N1" s="239"/>
      <c r="O1" s="239"/>
      <c r="P1" s="239"/>
      <c r="Q1" s="239"/>
      <c r="R1" s="239"/>
      <c r="S1" s="239"/>
      <c r="T1" s="239"/>
      <c r="U1" s="239"/>
      <c r="V1" s="240"/>
      <c r="W1" s="247" t="str">
        <f>IF([1]表紙!W1="","",[1]表紙!W1)</f>
        <v>基本設計書</v>
      </c>
      <c r="X1" s="248"/>
      <c r="Y1" s="248"/>
      <c r="Z1" s="248"/>
      <c r="AA1" s="248"/>
      <c r="AB1" s="248"/>
      <c r="AC1" s="248"/>
      <c r="AD1" s="248"/>
      <c r="AE1" s="248"/>
      <c r="AF1" s="248"/>
      <c r="AG1" s="248"/>
      <c r="AH1" s="248"/>
      <c r="AI1" s="248"/>
      <c r="AJ1" s="248"/>
      <c r="AK1" s="248"/>
      <c r="AL1" s="248"/>
      <c r="AM1" s="248"/>
      <c r="AN1" s="248"/>
      <c r="AO1" s="249"/>
      <c r="AP1" s="238" t="s">
        <v>3</v>
      </c>
      <c r="AQ1" s="239"/>
      <c r="AR1" s="239"/>
      <c r="AS1" s="240"/>
      <c r="AT1" s="238" t="s">
        <v>4</v>
      </c>
      <c r="AU1" s="239"/>
      <c r="AV1" s="239"/>
      <c r="AW1" s="239"/>
      <c r="AX1" s="240"/>
      <c r="AY1" s="238" t="s">
        <v>5</v>
      </c>
      <c r="AZ1" s="239"/>
      <c r="BA1" s="239"/>
      <c r="BB1" s="240"/>
      <c r="BC1" s="238" t="s">
        <v>6</v>
      </c>
      <c r="BD1" s="239"/>
      <c r="BE1" s="239"/>
      <c r="BF1" s="239"/>
      <c r="BG1" s="240"/>
      <c r="BH1" s="238" t="s">
        <v>7</v>
      </c>
      <c r="BI1" s="239"/>
      <c r="BJ1" s="239"/>
      <c r="BK1" s="240"/>
    </row>
    <row r="2" spans="1:63" ht="15" customHeight="1">
      <c r="A2" s="241" t="str">
        <f>IF([1]表紙!A2="","",[1]表紙!A2)</f>
        <v>現金専用簡易セルフPOS</v>
      </c>
      <c r="B2" s="242"/>
      <c r="C2" s="242"/>
      <c r="D2" s="242"/>
      <c r="E2" s="242"/>
      <c r="F2" s="242"/>
      <c r="G2" s="242"/>
      <c r="H2" s="242"/>
      <c r="I2" s="242"/>
      <c r="J2" s="243"/>
      <c r="K2" s="241" t="str">
        <f>IF([1]表紙!K2="","",[1]表紙!K2)</f>
        <v>API</v>
      </c>
      <c r="L2" s="242"/>
      <c r="M2" s="242"/>
      <c r="N2" s="242"/>
      <c r="O2" s="242"/>
      <c r="P2" s="242"/>
      <c r="Q2" s="242"/>
      <c r="R2" s="242"/>
      <c r="S2" s="242"/>
      <c r="T2" s="242"/>
      <c r="U2" s="242"/>
      <c r="V2" s="243"/>
      <c r="W2" s="250"/>
      <c r="X2" s="251"/>
      <c r="Y2" s="251"/>
      <c r="Z2" s="251"/>
      <c r="AA2" s="251"/>
      <c r="AB2" s="251"/>
      <c r="AC2" s="251"/>
      <c r="AD2" s="251"/>
      <c r="AE2" s="251"/>
      <c r="AF2" s="251"/>
      <c r="AG2" s="251"/>
      <c r="AH2" s="251"/>
      <c r="AI2" s="251"/>
      <c r="AJ2" s="251"/>
      <c r="AK2" s="251"/>
      <c r="AL2" s="251"/>
      <c r="AM2" s="251"/>
      <c r="AN2" s="251"/>
      <c r="AO2" s="252"/>
      <c r="AP2" s="241" t="str">
        <f>IF([1]表紙!AP2="","",[1]表紙!AP2)</f>
        <v>きよはら</v>
      </c>
      <c r="AQ2" s="242"/>
      <c r="AR2" s="242"/>
      <c r="AS2" s="243"/>
      <c r="AT2" s="262">
        <f>IF([1]表紙!AT2="","",[1]表紙!AT2)</f>
        <v>44867</v>
      </c>
      <c r="AU2" s="263"/>
      <c r="AV2" s="263"/>
      <c r="AW2" s="263"/>
      <c r="AX2" s="264"/>
      <c r="AY2" s="241" t="str">
        <f>IF([1]表紙!AY2="","",[1]表紙!AY2)</f>
        <v>きよはら</v>
      </c>
      <c r="AZ2" s="242"/>
      <c r="BA2" s="242"/>
      <c r="BB2" s="243"/>
      <c r="BC2" s="262">
        <f>IF([1]表紙!BC2="","",[1]表紙!BC2)</f>
        <v>44867</v>
      </c>
      <c r="BD2" s="263"/>
      <c r="BE2" s="263"/>
      <c r="BF2" s="263"/>
      <c r="BG2" s="264"/>
      <c r="BH2" s="241">
        <f>IF([1]表紙!BH2="","",[1]表紙!BH2)</f>
        <v>0.1</v>
      </c>
      <c r="BI2" s="242"/>
      <c r="BJ2" s="242"/>
      <c r="BK2" s="243"/>
    </row>
    <row r="3" spans="1:63" ht="15" customHeight="1">
      <c r="A3" s="244"/>
      <c r="B3" s="245"/>
      <c r="C3" s="245"/>
      <c r="D3" s="245"/>
      <c r="E3" s="245"/>
      <c r="F3" s="245"/>
      <c r="G3" s="245"/>
      <c r="H3" s="245"/>
      <c r="I3" s="245"/>
      <c r="J3" s="246"/>
      <c r="K3" s="244"/>
      <c r="L3" s="245"/>
      <c r="M3" s="245"/>
      <c r="N3" s="245"/>
      <c r="O3" s="245"/>
      <c r="P3" s="245"/>
      <c r="Q3" s="245"/>
      <c r="R3" s="245"/>
      <c r="S3" s="245"/>
      <c r="T3" s="245"/>
      <c r="U3" s="245"/>
      <c r="V3" s="246"/>
      <c r="W3" s="253"/>
      <c r="X3" s="254"/>
      <c r="Y3" s="254"/>
      <c r="Z3" s="254"/>
      <c r="AA3" s="254"/>
      <c r="AB3" s="254"/>
      <c r="AC3" s="254"/>
      <c r="AD3" s="254"/>
      <c r="AE3" s="254"/>
      <c r="AF3" s="254"/>
      <c r="AG3" s="254"/>
      <c r="AH3" s="254"/>
      <c r="AI3" s="254"/>
      <c r="AJ3" s="254"/>
      <c r="AK3" s="254"/>
      <c r="AL3" s="254"/>
      <c r="AM3" s="254"/>
      <c r="AN3" s="254"/>
      <c r="AO3" s="255"/>
      <c r="AP3" s="244"/>
      <c r="AQ3" s="245"/>
      <c r="AR3" s="245"/>
      <c r="AS3" s="246"/>
      <c r="AT3" s="265"/>
      <c r="AU3" s="266"/>
      <c r="AV3" s="266"/>
      <c r="AW3" s="266"/>
      <c r="AX3" s="267"/>
      <c r="AY3" s="244"/>
      <c r="AZ3" s="245"/>
      <c r="BA3" s="245"/>
      <c r="BB3" s="246"/>
      <c r="BC3" s="265"/>
      <c r="BD3" s="266"/>
      <c r="BE3" s="266"/>
      <c r="BF3" s="266"/>
      <c r="BG3" s="267"/>
      <c r="BH3" s="244"/>
      <c r="BI3" s="245"/>
      <c r="BJ3" s="245"/>
      <c r="BK3" s="246"/>
    </row>
    <row r="4" spans="1:63" ht="24.95" customHeight="1">
      <c r="A4" s="238" t="s">
        <v>1</v>
      </c>
      <c r="B4" s="239"/>
      <c r="C4" s="239"/>
      <c r="D4" s="239"/>
      <c r="E4" s="239"/>
      <c r="F4" s="239"/>
      <c r="G4" s="240"/>
      <c r="H4" s="235" t="str">
        <f>IF([1]表紙!H4="","",[1]表紙!H4)</f>
        <v>共通</v>
      </c>
      <c r="I4" s="236"/>
      <c r="J4" s="236"/>
      <c r="K4" s="236"/>
      <c r="L4" s="236"/>
      <c r="M4" s="236"/>
      <c r="N4" s="236"/>
      <c r="O4" s="236"/>
      <c r="P4" s="236"/>
      <c r="Q4" s="236"/>
      <c r="R4" s="236"/>
      <c r="S4" s="236"/>
      <c r="T4" s="237"/>
      <c r="U4" s="238" t="s">
        <v>8</v>
      </c>
      <c r="V4" s="239"/>
      <c r="W4" s="239"/>
      <c r="X4" s="239"/>
      <c r="Y4" s="240"/>
      <c r="Z4" s="235" t="str">
        <f>IF([1]表紙!Z4="","",[1]表紙!Z4)</f>
        <v>API(設定)定義書</v>
      </c>
      <c r="AA4" s="236"/>
      <c r="AB4" s="236"/>
      <c r="AC4" s="236"/>
      <c r="AD4" s="236"/>
      <c r="AE4" s="236"/>
      <c r="AF4" s="236"/>
      <c r="AG4" s="236"/>
      <c r="AH4" s="236"/>
      <c r="AI4" s="236"/>
      <c r="AJ4" s="236"/>
      <c r="AK4" s="236"/>
      <c r="AL4" s="236"/>
      <c r="AM4" s="236"/>
      <c r="AN4" s="236"/>
      <c r="AO4" s="237"/>
      <c r="AP4" s="235" t="s">
        <v>19</v>
      </c>
      <c r="AQ4" s="236"/>
      <c r="AR4" s="236"/>
      <c r="AS4" s="236"/>
      <c r="AT4" s="236"/>
      <c r="AU4" s="236"/>
      <c r="AV4" s="236"/>
      <c r="AW4" s="236"/>
      <c r="AX4" s="236"/>
      <c r="AY4" s="236"/>
      <c r="AZ4" s="236"/>
      <c r="BA4" s="236"/>
      <c r="BB4" s="236"/>
      <c r="BC4" s="236"/>
      <c r="BD4" s="236"/>
      <c r="BE4" s="236"/>
      <c r="BF4" s="236"/>
      <c r="BG4" s="236"/>
      <c r="BH4" s="236"/>
      <c r="BI4" s="236"/>
      <c r="BJ4" s="236"/>
      <c r="BK4" s="237"/>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292" t="s">
        <v>43</v>
      </c>
      <c r="C8" s="293"/>
      <c r="D8" s="293"/>
      <c r="E8" s="293"/>
      <c r="F8" s="294"/>
      <c r="G8" s="295"/>
      <c r="H8" s="296"/>
      <c r="I8" s="296"/>
      <c r="J8" s="296"/>
      <c r="K8" s="296"/>
      <c r="L8" s="296"/>
      <c r="M8" s="296"/>
      <c r="N8" s="296"/>
      <c r="O8" s="296"/>
      <c r="P8" s="296"/>
      <c r="Q8" s="296"/>
      <c r="R8" s="296"/>
      <c r="S8" s="296"/>
      <c r="T8" s="296"/>
      <c r="U8" s="296"/>
      <c r="V8" s="296"/>
      <c r="W8" s="296"/>
      <c r="X8" s="297"/>
      <c r="Y8" s="292" t="s">
        <v>44</v>
      </c>
      <c r="Z8" s="293"/>
      <c r="AA8" s="293"/>
      <c r="AB8" s="293"/>
      <c r="AC8" s="294"/>
      <c r="AD8" s="295"/>
      <c r="AE8" s="296"/>
      <c r="AF8" s="296"/>
      <c r="AG8" s="296"/>
      <c r="AH8" s="296"/>
      <c r="AI8" s="296"/>
      <c r="AJ8" s="296"/>
      <c r="AK8" s="296"/>
      <c r="AL8" s="296"/>
      <c r="AM8" s="296"/>
      <c r="AN8" s="297"/>
      <c r="BK8" s="4"/>
    </row>
    <row r="9" spans="1:63" ht="15" customHeight="1">
      <c r="A9" s="1"/>
      <c r="B9" s="301" t="s">
        <v>45</v>
      </c>
      <c r="C9" s="302"/>
      <c r="D9" s="302"/>
      <c r="E9" s="302"/>
      <c r="F9" s="303"/>
      <c r="G9" s="304" t="s">
        <v>1294</v>
      </c>
      <c r="H9" s="305"/>
      <c r="I9" s="305"/>
      <c r="J9" s="305"/>
      <c r="K9" s="305"/>
      <c r="L9" s="305"/>
      <c r="M9" s="305"/>
      <c r="N9" s="305"/>
      <c r="O9" s="305"/>
      <c r="P9" s="305"/>
      <c r="Q9" s="305"/>
      <c r="R9" s="305"/>
      <c r="S9" s="305"/>
      <c r="T9" s="305"/>
      <c r="U9" s="305"/>
      <c r="V9" s="305"/>
      <c r="W9" s="305"/>
      <c r="X9" s="306"/>
      <c r="Y9" s="301" t="s">
        <v>46</v>
      </c>
      <c r="Z9" s="302"/>
      <c r="AA9" s="302"/>
      <c r="AB9" s="302"/>
      <c r="AC9" s="303"/>
      <c r="AD9" s="307"/>
      <c r="AE9" s="308"/>
      <c r="AF9" s="308"/>
      <c r="AG9" s="308"/>
      <c r="AH9" s="308"/>
      <c r="AI9" s="308"/>
      <c r="AJ9" s="308"/>
      <c r="AK9" s="308"/>
      <c r="AL9" s="308"/>
      <c r="AM9" s="308"/>
      <c r="AN9" s="309"/>
      <c r="BK9" s="4"/>
    </row>
    <row r="10" spans="1:63" ht="15" customHeight="1">
      <c r="A10" s="1"/>
      <c r="B10" s="310" t="s">
        <v>47</v>
      </c>
      <c r="C10" s="311"/>
      <c r="D10" s="311"/>
      <c r="E10" s="311"/>
      <c r="F10" s="312"/>
      <c r="G10" s="298" t="s">
        <v>1295</v>
      </c>
      <c r="H10" s="299"/>
      <c r="I10" s="299"/>
      <c r="J10" s="299"/>
      <c r="K10" s="299"/>
      <c r="L10" s="299"/>
      <c r="M10" s="299"/>
      <c r="N10" s="299"/>
      <c r="O10" s="299"/>
      <c r="P10" s="299"/>
      <c r="Q10" s="299"/>
      <c r="R10" s="299"/>
      <c r="S10" s="299"/>
      <c r="T10" s="299"/>
      <c r="U10" s="299"/>
      <c r="V10" s="299"/>
      <c r="W10" s="299"/>
      <c r="X10" s="300"/>
      <c r="Y10" s="310"/>
      <c r="Z10" s="311"/>
      <c r="AA10" s="311"/>
      <c r="AB10" s="311"/>
      <c r="AC10" s="312"/>
      <c r="AD10" s="313"/>
      <c r="AE10" s="314"/>
      <c r="AF10" s="314"/>
      <c r="AG10" s="314"/>
      <c r="AH10" s="314"/>
      <c r="AI10" s="314"/>
      <c r="AJ10" s="314"/>
      <c r="AK10" s="314"/>
      <c r="AL10" s="314"/>
      <c r="AM10" s="314"/>
      <c r="AN10" s="315"/>
      <c r="BK10" s="4"/>
    </row>
    <row r="11" spans="1:63" ht="15" customHeight="1">
      <c r="A11" s="1"/>
      <c r="B11" s="316" t="s">
        <v>48</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8"/>
      <c r="BK11" s="4"/>
    </row>
    <row r="12" spans="1:63" ht="15" customHeight="1">
      <c r="A12" s="1"/>
      <c r="B12" s="295" t="s">
        <v>1296</v>
      </c>
      <c r="C12" s="296"/>
      <c r="D12" s="296"/>
      <c r="E12" s="296"/>
      <c r="F12" s="296"/>
      <c r="G12" s="296"/>
      <c r="H12" s="296"/>
      <c r="I12" s="296"/>
      <c r="J12" s="296"/>
      <c r="K12" s="296"/>
      <c r="L12" s="296"/>
      <c r="M12" s="296"/>
      <c r="N12" s="296"/>
      <c r="O12" s="296"/>
      <c r="P12" s="296"/>
      <c r="Q12" s="296"/>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7"/>
      <c r="BK12" s="4"/>
    </row>
    <row r="13" spans="1:63" ht="15" customHeight="1">
      <c r="A13" s="1"/>
      <c r="B13" s="304"/>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6"/>
      <c r="BK13" s="4"/>
    </row>
    <row r="14" spans="1:63" ht="15" customHeight="1">
      <c r="A14" s="1"/>
      <c r="B14" s="304"/>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6"/>
      <c r="BK14" s="4"/>
    </row>
    <row r="15" spans="1:63" ht="15" customHeight="1">
      <c r="A15" s="1"/>
      <c r="B15" s="304"/>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6"/>
      <c r="BK15" s="4"/>
    </row>
    <row r="16" spans="1:63" ht="15" customHeight="1">
      <c r="A16" s="1"/>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300"/>
      <c r="BK16" s="4"/>
    </row>
    <row r="17" spans="1:63" ht="15" customHeight="1">
      <c r="A17" s="1"/>
      <c r="BK17" s="4"/>
    </row>
    <row r="18" spans="1:63" ht="15" customHeight="1">
      <c r="A18" s="1"/>
      <c r="BK18" s="4"/>
    </row>
    <row r="19" spans="1:63" ht="15" customHeight="1">
      <c r="A19" s="1"/>
      <c r="B19" t="s">
        <v>21</v>
      </c>
      <c r="BK19" s="4"/>
    </row>
    <row r="20" spans="1:63"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row>
    <row r="21" spans="1:63"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c r="AI21" s="65"/>
      <c r="AJ21" s="21" t="s">
        <v>1019</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row>
    <row r="22" spans="1:63"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1019</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row>
    <row r="23" spans="1:63"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1019</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row>
    <row r="24" spans="1:63"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1019</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row>
    <row r="25" spans="1:63"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1020</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row>
    <row r="26" spans="1:63" ht="15" customHeight="1">
      <c r="A26" s="1"/>
      <c r="B26" s="28">
        <v>6</v>
      </c>
      <c r="C26" s="29"/>
      <c r="D26" s="30" t="s">
        <v>70</v>
      </c>
      <c r="E26" s="31"/>
      <c r="F26" s="31"/>
      <c r="G26" s="31"/>
      <c r="H26" s="31"/>
      <c r="I26" s="31"/>
      <c r="J26" s="31"/>
      <c r="K26" s="31"/>
      <c r="L26" s="31"/>
      <c r="M26" s="31"/>
      <c r="N26" s="31"/>
      <c r="O26" s="31"/>
      <c r="P26" s="31"/>
      <c r="Q26" s="32"/>
      <c r="R26" s="30" t="s">
        <v>60</v>
      </c>
      <c r="S26" s="31"/>
      <c r="T26" s="31"/>
      <c r="U26" s="31"/>
      <c r="V26" s="31"/>
      <c r="W26" s="31"/>
      <c r="X26" s="31"/>
      <c r="Y26" s="31"/>
      <c r="Z26" s="31"/>
      <c r="AA26" s="31"/>
      <c r="AB26" s="32"/>
      <c r="AC26" s="30" t="s">
        <v>280</v>
      </c>
      <c r="AD26" s="31"/>
      <c r="AE26" s="31"/>
      <c r="AF26" s="31"/>
      <c r="AG26" s="32"/>
      <c r="AH26" s="30"/>
      <c r="AI26" s="32"/>
      <c r="AJ26" s="30" t="s">
        <v>1020</v>
      </c>
      <c r="AK26" s="31"/>
      <c r="AL26" s="32"/>
      <c r="AM26" s="30" t="s">
        <v>84</v>
      </c>
      <c r="AN26" s="31"/>
      <c r="AO26" s="31"/>
      <c r="AP26" s="31"/>
      <c r="AQ26" s="31"/>
      <c r="AR26" s="31"/>
      <c r="AS26" s="32"/>
      <c r="AT26" s="30" t="s">
        <v>279</v>
      </c>
      <c r="AU26" s="31"/>
      <c r="AV26" s="31"/>
      <c r="AW26" s="31"/>
      <c r="AX26" s="31"/>
      <c r="AY26" s="31"/>
      <c r="AZ26" s="31"/>
      <c r="BA26" s="31"/>
      <c r="BB26" s="31"/>
      <c r="BC26" s="31"/>
      <c r="BD26" s="31"/>
      <c r="BE26" s="31"/>
      <c r="BF26" s="31"/>
      <c r="BG26" s="31"/>
      <c r="BH26" s="31"/>
      <c r="BI26" s="31"/>
      <c r="BJ26" s="32"/>
      <c r="BK26" s="4"/>
    </row>
    <row r="27" spans="1:63" ht="15" customHeight="1">
      <c r="A27" s="1"/>
      <c r="B27" s="62">
        <f>B26+1</f>
        <v>7</v>
      </c>
      <c r="C27" s="63"/>
      <c r="D27" s="21" t="s">
        <v>340</v>
      </c>
      <c r="E27" s="64"/>
      <c r="F27" s="64"/>
      <c r="G27" s="64"/>
      <c r="H27" s="64"/>
      <c r="I27" s="64"/>
      <c r="J27" s="64"/>
      <c r="K27" s="64"/>
      <c r="L27" s="64"/>
      <c r="M27" s="64"/>
      <c r="N27" s="64"/>
      <c r="O27" s="64"/>
      <c r="P27" s="64"/>
      <c r="Q27" s="65"/>
      <c r="R27" s="21" t="s">
        <v>319</v>
      </c>
      <c r="S27" s="64"/>
      <c r="T27" s="64"/>
      <c r="U27" s="64"/>
      <c r="V27" s="64"/>
      <c r="W27" s="64"/>
      <c r="X27" s="64"/>
      <c r="Y27" s="64"/>
      <c r="Z27" s="64"/>
      <c r="AA27" s="64"/>
      <c r="AB27" s="65"/>
      <c r="AC27" s="21" t="s">
        <v>1431</v>
      </c>
      <c r="AD27" s="64"/>
      <c r="AE27" s="64"/>
      <c r="AF27" s="64"/>
      <c r="AG27" s="65"/>
      <c r="AH27" s="21" t="s">
        <v>1020</v>
      </c>
      <c r="AI27" s="65"/>
      <c r="AJ27" s="21" t="s">
        <v>1020</v>
      </c>
      <c r="AK27" s="64"/>
      <c r="AL27" s="65"/>
      <c r="AM27" s="21"/>
      <c r="AN27" s="64"/>
      <c r="AO27" s="64"/>
      <c r="AP27" s="64"/>
      <c r="AQ27" s="64"/>
      <c r="AR27" s="64"/>
      <c r="AS27" s="65"/>
      <c r="AT27" s="21"/>
      <c r="AU27" s="64"/>
      <c r="AV27" s="64"/>
      <c r="AW27" s="64"/>
      <c r="AX27" s="64"/>
      <c r="AY27" s="64"/>
      <c r="AZ27" s="64"/>
      <c r="BA27" s="64"/>
      <c r="BB27" s="64"/>
      <c r="BC27" s="64"/>
      <c r="BD27" s="64"/>
      <c r="BE27" s="64"/>
      <c r="BF27" s="64"/>
      <c r="BG27" s="64"/>
      <c r="BH27" s="64"/>
      <c r="BI27" s="64"/>
      <c r="BJ27" s="65"/>
      <c r="BK27" s="4"/>
    </row>
    <row r="28" spans="1:63" ht="15" customHeight="1">
      <c r="A28" s="1"/>
      <c r="B28" s="23">
        <f>B27+1</f>
        <v>8</v>
      </c>
      <c r="C28" s="24"/>
      <c r="D28" s="22" t="s">
        <v>341</v>
      </c>
      <c r="E28" s="25"/>
      <c r="F28" s="25"/>
      <c r="G28" s="25"/>
      <c r="H28" s="25"/>
      <c r="I28" s="25"/>
      <c r="J28" s="25"/>
      <c r="K28" s="25"/>
      <c r="L28" s="25"/>
      <c r="M28" s="25"/>
      <c r="N28" s="25"/>
      <c r="O28" s="25"/>
      <c r="P28" s="25"/>
      <c r="Q28" s="26"/>
      <c r="R28" s="22" t="s">
        <v>320</v>
      </c>
      <c r="S28" s="25"/>
      <c r="T28" s="25"/>
      <c r="U28" s="25"/>
      <c r="V28" s="25"/>
      <c r="W28" s="25"/>
      <c r="X28" s="25"/>
      <c r="Y28" s="25"/>
      <c r="Z28" s="25"/>
      <c r="AA28" s="25"/>
      <c r="AB28" s="26"/>
      <c r="AC28" s="22" t="s">
        <v>1431</v>
      </c>
      <c r="AD28" s="25"/>
      <c r="AE28" s="25"/>
      <c r="AF28" s="25"/>
      <c r="AG28" s="26"/>
      <c r="AH28" s="22" t="s">
        <v>1020</v>
      </c>
      <c r="AI28" s="26"/>
      <c r="AJ28" s="22" t="s">
        <v>1020</v>
      </c>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row>
    <row r="29" spans="1:63" ht="15" customHeight="1">
      <c r="A29" s="1"/>
      <c r="B29" s="28">
        <f>B28+1</f>
        <v>9</v>
      </c>
      <c r="C29" s="29"/>
      <c r="D29" s="30" t="s">
        <v>1023</v>
      </c>
      <c r="E29" s="31"/>
      <c r="F29" s="31"/>
      <c r="G29" s="31"/>
      <c r="H29" s="31"/>
      <c r="I29" s="31"/>
      <c r="J29" s="31"/>
      <c r="K29" s="31"/>
      <c r="L29" s="31"/>
      <c r="M29" s="31"/>
      <c r="N29" s="31"/>
      <c r="O29" s="31"/>
      <c r="P29" s="31"/>
      <c r="Q29" s="32"/>
      <c r="R29" s="30" t="s">
        <v>321</v>
      </c>
      <c r="S29" s="31"/>
      <c r="T29" s="31"/>
      <c r="U29" s="31"/>
      <c r="V29" s="31"/>
      <c r="W29" s="31"/>
      <c r="X29" s="31"/>
      <c r="Y29" s="31"/>
      <c r="Z29" s="31"/>
      <c r="AA29" s="31"/>
      <c r="AB29" s="32"/>
      <c r="AC29" s="30" t="s">
        <v>1431</v>
      </c>
      <c r="AD29" s="31"/>
      <c r="AE29" s="31"/>
      <c r="AF29" s="31"/>
      <c r="AG29" s="32"/>
      <c r="AH29" s="30" t="s">
        <v>1020</v>
      </c>
      <c r="AI29" s="32"/>
      <c r="AJ29" s="30" t="s">
        <v>1020</v>
      </c>
      <c r="AK29" s="31"/>
      <c r="AL29" s="32"/>
      <c r="AM29" s="30"/>
      <c r="AN29" s="31"/>
      <c r="AO29" s="31"/>
      <c r="AP29" s="31"/>
      <c r="AQ29" s="31"/>
      <c r="AR29" s="31"/>
      <c r="AS29" s="32"/>
      <c r="AT29" s="30"/>
      <c r="AU29" s="31"/>
      <c r="AV29" s="31"/>
      <c r="AW29" s="31"/>
      <c r="AX29" s="31"/>
      <c r="AY29" s="31"/>
      <c r="AZ29" s="31"/>
      <c r="BA29" s="31"/>
      <c r="BB29" s="31"/>
      <c r="BC29" s="31"/>
      <c r="BD29" s="31"/>
      <c r="BE29" s="31"/>
      <c r="BF29" s="31"/>
      <c r="BG29" s="31"/>
      <c r="BH29" s="31"/>
      <c r="BI29" s="31"/>
      <c r="BJ29" s="32"/>
      <c r="BK29" s="4"/>
    </row>
    <row r="30" spans="1:63" ht="15" customHeight="1">
      <c r="A30" s="1"/>
      <c r="B30" s="112">
        <v>10</v>
      </c>
      <c r="C30" s="113"/>
      <c r="D30" s="38" t="s">
        <v>307</v>
      </c>
      <c r="E30" s="40"/>
      <c r="F30" s="40"/>
      <c r="G30" s="40"/>
      <c r="H30" s="40"/>
      <c r="I30" s="40"/>
      <c r="J30" s="40"/>
      <c r="K30" s="40"/>
      <c r="L30" s="40"/>
      <c r="M30" s="40"/>
      <c r="N30" s="40"/>
      <c r="O30" s="40"/>
      <c r="P30" s="40"/>
      <c r="Q30" s="39"/>
      <c r="R30" s="38" t="s">
        <v>306</v>
      </c>
      <c r="S30" s="40"/>
      <c r="T30" s="40"/>
      <c r="U30" s="40"/>
      <c r="V30" s="40"/>
      <c r="W30" s="40"/>
      <c r="X30" s="40"/>
      <c r="Y30" s="40"/>
      <c r="Z30" s="40"/>
      <c r="AA30" s="40"/>
      <c r="AB30" s="39"/>
      <c r="AC30" s="38" t="s">
        <v>323</v>
      </c>
      <c r="AD30" s="40"/>
      <c r="AE30" s="40"/>
      <c r="AF30" s="40"/>
      <c r="AG30" s="39"/>
      <c r="AH30" s="38" t="s">
        <v>1019</v>
      </c>
      <c r="AI30" s="39"/>
      <c r="AJ30" s="38" t="s">
        <v>1020</v>
      </c>
      <c r="AK30" s="40"/>
      <c r="AL30" s="39"/>
      <c r="AM30" s="38"/>
      <c r="AN30" s="40"/>
      <c r="AO30" s="40"/>
      <c r="AP30" s="40"/>
      <c r="AQ30" s="40"/>
      <c r="AR30" s="40"/>
      <c r="AS30" s="39"/>
      <c r="AT30" s="38" t="s">
        <v>330</v>
      </c>
      <c r="AU30" s="40"/>
      <c r="AV30" s="40"/>
      <c r="AW30" s="40"/>
      <c r="AX30" s="40"/>
      <c r="AY30" s="40"/>
      <c r="AZ30" s="40"/>
      <c r="BA30" s="40"/>
      <c r="BB30" s="40"/>
      <c r="BC30" s="40"/>
      <c r="BD30" s="40"/>
      <c r="BE30" s="40"/>
      <c r="BF30" s="40"/>
      <c r="BG30" s="40"/>
      <c r="BH30" s="40"/>
      <c r="BI30" s="40"/>
      <c r="BJ30" s="39"/>
      <c r="BK30" s="4"/>
    </row>
    <row r="31" spans="1:63" ht="15" customHeight="1">
      <c r="A31" s="1"/>
      <c r="B31" s="16">
        <v>11</v>
      </c>
      <c r="C31" s="17"/>
      <c r="D31" s="18" t="s">
        <v>291</v>
      </c>
      <c r="E31" s="19"/>
      <c r="F31" s="19"/>
      <c r="G31" s="19"/>
      <c r="H31" s="19"/>
      <c r="I31" s="19"/>
      <c r="J31" s="19"/>
      <c r="K31" s="19"/>
      <c r="L31" s="19"/>
      <c r="M31" s="19"/>
      <c r="N31" s="19"/>
      <c r="O31" s="19"/>
      <c r="P31" s="19"/>
      <c r="Q31" s="20"/>
      <c r="R31" s="18" t="s">
        <v>308</v>
      </c>
      <c r="S31" s="19"/>
      <c r="T31" s="19"/>
      <c r="U31" s="19"/>
      <c r="V31" s="19"/>
      <c r="W31" s="19"/>
      <c r="X31" s="19"/>
      <c r="Y31" s="19"/>
      <c r="Z31" s="19"/>
      <c r="AA31" s="19"/>
      <c r="AB31" s="20"/>
      <c r="AC31" s="18" t="s">
        <v>322</v>
      </c>
      <c r="AD31" s="19"/>
      <c r="AE31" s="19"/>
      <c r="AF31" s="19"/>
      <c r="AG31" s="20"/>
      <c r="AH31" s="18"/>
      <c r="AI31" s="20"/>
      <c r="AJ31" s="18" t="s">
        <v>1019</v>
      </c>
      <c r="AK31" s="19"/>
      <c r="AL31" s="20"/>
      <c r="AM31" s="18" t="s">
        <v>1304</v>
      </c>
      <c r="AN31" s="19"/>
      <c r="AO31" s="19"/>
      <c r="AP31" s="19"/>
      <c r="AQ31" s="19"/>
      <c r="AR31" s="19"/>
      <c r="AS31" s="20"/>
      <c r="AT31" s="18"/>
      <c r="AU31" s="19"/>
      <c r="AV31" s="19"/>
      <c r="AW31" s="19"/>
      <c r="AX31" s="19"/>
      <c r="AY31" s="19"/>
      <c r="AZ31" s="19"/>
      <c r="BA31" s="19"/>
      <c r="BB31" s="19"/>
      <c r="BC31" s="19"/>
      <c r="BD31" s="19"/>
      <c r="BE31" s="19"/>
      <c r="BF31" s="19"/>
      <c r="BG31" s="19"/>
      <c r="BH31" s="19"/>
      <c r="BI31" s="19"/>
      <c r="BJ31" s="20"/>
      <c r="BK31" s="4"/>
    </row>
    <row r="32" spans="1:63" ht="15" customHeight="1">
      <c r="A32" s="1"/>
      <c r="B32" s="23">
        <v>12</v>
      </c>
      <c r="C32" s="24"/>
      <c r="D32" s="22" t="s">
        <v>292</v>
      </c>
      <c r="E32" s="25"/>
      <c r="F32" s="25"/>
      <c r="G32" s="25"/>
      <c r="H32" s="25"/>
      <c r="I32" s="25"/>
      <c r="J32" s="25"/>
      <c r="K32" s="25"/>
      <c r="L32" s="25"/>
      <c r="M32" s="25"/>
      <c r="N32" s="25"/>
      <c r="O32" s="25"/>
      <c r="P32" s="25"/>
      <c r="Q32" s="26"/>
      <c r="R32" s="22" t="s">
        <v>310</v>
      </c>
      <c r="S32" s="25"/>
      <c r="T32" s="25"/>
      <c r="U32" s="25"/>
      <c r="V32" s="25"/>
      <c r="W32" s="25"/>
      <c r="X32" s="25"/>
      <c r="Y32" s="25"/>
      <c r="Z32" s="25"/>
      <c r="AA32" s="25"/>
      <c r="AB32" s="26"/>
      <c r="AC32" s="22" t="s">
        <v>322</v>
      </c>
      <c r="AD32" s="25"/>
      <c r="AE32" s="25"/>
      <c r="AF32" s="25"/>
      <c r="AG32" s="26"/>
      <c r="AH32" s="22"/>
      <c r="AI32" s="26"/>
      <c r="AJ32" s="22" t="s">
        <v>1019</v>
      </c>
      <c r="AK32" s="25"/>
      <c r="AL32" s="26"/>
      <c r="AM32" s="22" t="s">
        <v>1307</v>
      </c>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row>
    <row r="33" spans="1:63" ht="15" customHeight="1">
      <c r="A33" s="1"/>
      <c r="B33" s="23">
        <v>13</v>
      </c>
      <c r="C33" s="24"/>
      <c r="D33" s="22" t="s">
        <v>293</v>
      </c>
      <c r="E33" s="25"/>
      <c r="F33" s="25"/>
      <c r="G33" s="25"/>
      <c r="H33" s="25"/>
      <c r="I33" s="25"/>
      <c r="J33" s="25"/>
      <c r="K33" s="25"/>
      <c r="L33" s="25"/>
      <c r="M33" s="25"/>
      <c r="N33" s="25"/>
      <c r="O33" s="25"/>
      <c r="P33" s="25"/>
      <c r="Q33" s="26"/>
      <c r="R33" s="22" t="s">
        <v>311</v>
      </c>
      <c r="S33" s="25"/>
      <c r="T33" s="25"/>
      <c r="U33" s="25"/>
      <c r="V33" s="25"/>
      <c r="W33" s="25"/>
      <c r="X33" s="25"/>
      <c r="Y33" s="25"/>
      <c r="Z33" s="25"/>
      <c r="AA33" s="25"/>
      <c r="AB33" s="26"/>
      <c r="AC33" s="22" t="s">
        <v>322</v>
      </c>
      <c r="AD33" s="25"/>
      <c r="AE33" s="25"/>
      <c r="AF33" s="25"/>
      <c r="AG33" s="26"/>
      <c r="AH33" s="22"/>
      <c r="AI33" s="26"/>
      <c r="AJ33" s="22" t="s">
        <v>1019</v>
      </c>
      <c r="AK33" s="25"/>
      <c r="AL33" s="26"/>
      <c r="AM33" s="22" t="s">
        <v>1307</v>
      </c>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row>
    <row r="34" spans="1:63" ht="15" customHeight="1">
      <c r="A34" s="1"/>
      <c r="B34" s="23">
        <v>14</v>
      </c>
      <c r="C34" s="24"/>
      <c r="D34" s="22" t="s">
        <v>294</v>
      </c>
      <c r="E34" s="25"/>
      <c r="F34" s="25"/>
      <c r="G34" s="25"/>
      <c r="H34" s="25"/>
      <c r="I34" s="25"/>
      <c r="J34" s="25"/>
      <c r="K34" s="25"/>
      <c r="L34" s="25"/>
      <c r="M34" s="25"/>
      <c r="N34" s="25"/>
      <c r="O34" s="25"/>
      <c r="P34" s="25"/>
      <c r="Q34" s="26"/>
      <c r="R34" s="22" t="s">
        <v>312</v>
      </c>
      <c r="S34" s="25"/>
      <c r="T34" s="25"/>
      <c r="U34" s="25"/>
      <c r="V34" s="25"/>
      <c r="W34" s="25"/>
      <c r="X34" s="25"/>
      <c r="Y34" s="25"/>
      <c r="Z34" s="25"/>
      <c r="AA34" s="25"/>
      <c r="AB34" s="26"/>
      <c r="AC34" s="22" t="s">
        <v>322</v>
      </c>
      <c r="AD34" s="25"/>
      <c r="AE34" s="25"/>
      <c r="AF34" s="25"/>
      <c r="AG34" s="26"/>
      <c r="AH34" s="22"/>
      <c r="AI34" s="26"/>
      <c r="AJ34" s="22" t="s">
        <v>1019</v>
      </c>
      <c r="AK34" s="25"/>
      <c r="AL34" s="26"/>
      <c r="AM34" s="22" t="s">
        <v>1307</v>
      </c>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row>
    <row r="35" spans="1:63" ht="15" customHeight="1">
      <c r="A35" s="1"/>
      <c r="B35" s="23">
        <v>15</v>
      </c>
      <c r="C35" s="24"/>
      <c r="D35" s="22" t="s">
        <v>295</v>
      </c>
      <c r="E35" s="25"/>
      <c r="F35" s="25"/>
      <c r="G35" s="25"/>
      <c r="H35" s="25"/>
      <c r="I35" s="25"/>
      <c r="J35" s="25"/>
      <c r="K35" s="25"/>
      <c r="L35" s="25"/>
      <c r="M35" s="25"/>
      <c r="N35" s="25"/>
      <c r="O35" s="25"/>
      <c r="P35" s="25"/>
      <c r="Q35" s="26"/>
      <c r="R35" s="22" t="s">
        <v>309</v>
      </c>
      <c r="S35" s="25"/>
      <c r="T35" s="25"/>
      <c r="U35" s="25"/>
      <c r="V35" s="25"/>
      <c r="W35" s="25"/>
      <c r="X35" s="25"/>
      <c r="Y35" s="25"/>
      <c r="Z35" s="25"/>
      <c r="AA35" s="25"/>
      <c r="AB35" s="26"/>
      <c r="AC35" s="22" t="s">
        <v>322</v>
      </c>
      <c r="AD35" s="25"/>
      <c r="AE35" s="25"/>
      <c r="AF35" s="25"/>
      <c r="AG35" s="26"/>
      <c r="AH35" s="22"/>
      <c r="AI35" s="26"/>
      <c r="AJ35" s="22" t="s">
        <v>1019</v>
      </c>
      <c r="AK35" s="25"/>
      <c r="AL35" s="26"/>
      <c r="AM35" s="22" t="s">
        <v>1307</v>
      </c>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row>
    <row r="36" spans="1:63" ht="15" customHeight="1">
      <c r="A36" s="1"/>
      <c r="B36" s="23">
        <v>16</v>
      </c>
      <c r="C36" s="24"/>
      <c r="D36" s="22" t="s">
        <v>296</v>
      </c>
      <c r="E36" s="25"/>
      <c r="F36" s="25"/>
      <c r="G36" s="25"/>
      <c r="H36" s="25"/>
      <c r="I36" s="25"/>
      <c r="J36" s="25"/>
      <c r="K36" s="25"/>
      <c r="L36" s="25"/>
      <c r="M36" s="25"/>
      <c r="N36" s="25"/>
      <c r="O36" s="25"/>
      <c r="P36" s="25"/>
      <c r="Q36" s="26"/>
      <c r="R36" s="22" t="s">
        <v>313</v>
      </c>
      <c r="S36" s="25"/>
      <c r="T36" s="25"/>
      <c r="U36" s="25"/>
      <c r="V36" s="25"/>
      <c r="W36" s="25"/>
      <c r="X36" s="25"/>
      <c r="Y36" s="25"/>
      <c r="Z36" s="25"/>
      <c r="AA36" s="25"/>
      <c r="AB36" s="26"/>
      <c r="AC36" s="22" t="s">
        <v>322</v>
      </c>
      <c r="AD36" s="25"/>
      <c r="AE36" s="25"/>
      <c r="AF36" s="25"/>
      <c r="AG36" s="26"/>
      <c r="AH36" s="22"/>
      <c r="AI36" s="26"/>
      <c r="AJ36" s="22" t="s">
        <v>1019</v>
      </c>
      <c r="AK36" s="25"/>
      <c r="AL36" s="26"/>
      <c r="AM36" s="22" t="s">
        <v>1307</v>
      </c>
      <c r="AN36" s="25"/>
      <c r="AO36" s="25"/>
      <c r="AP36" s="25"/>
      <c r="AQ36" s="25"/>
      <c r="AR36" s="25"/>
      <c r="AS36" s="26"/>
      <c r="AT36" s="67"/>
      <c r="AU36" s="25"/>
      <c r="AV36" s="25"/>
      <c r="AW36" s="25"/>
      <c r="AX36" s="25"/>
      <c r="AY36" s="25"/>
      <c r="AZ36" s="25"/>
      <c r="BA36" s="25"/>
      <c r="BB36" s="25"/>
      <c r="BC36" s="25"/>
      <c r="BD36" s="25"/>
      <c r="BE36" s="25"/>
      <c r="BF36" s="25"/>
      <c r="BG36" s="25"/>
      <c r="BH36" s="25"/>
      <c r="BI36" s="25"/>
      <c r="BJ36" s="26"/>
      <c r="BK36" s="4"/>
    </row>
    <row r="37" spans="1:63" ht="15" customHeight="1">
      <c r="A37" s="1"/>
      <c r="B37" s="23">
        <v>17</v>
      </c>
      <c r="C37" s="24"/>
      <c r="D37" s="22" t="s">
        <v>297</v>
      </c>
      <c r="E37" s="25"/>
      <c r="F37" s="25"/>
      <c r="G37" s="25"/>
      <c r="H37" s="25"/>
      <c r="I37" s="25"/>
      <c r="J37" s="25"/>
      <c r="K37" s="25"/>
      <c r="L37" s="25"/>
      <c r="M37" s="25"/>
      <c r="N37" s="25"/>
      <c r="O37" s="25"/>
      <c r="P37" s="25"/>
      <c r="Q37" s="26"/>
      <c r="R37" s="22" t="s">
        <v>314</v>
      </c>
      <c r="S37" s="25"/>
      <c r="T37" s="25"/>
      <c r="U37" s="25"/>
      <c r="V37" s="25"/>
      <c r="W37" s="25"/>
      <c r="X37" s="25"/>
      <c r="Y37" s="25"/>
      <c r="Z37" s="25"/>
      <c r="AA37" s="25"/>
      <c r="AB37" s="26"/>
      <c r="AC37" s="22" t="s">
        <v>322</v>
      </c>
      <c r="AD37" s="25"/>
      <c r="AE37" s="25"/>
      <c r="AF37" s="25"/>
      <c r="AG37" s="26"/>
      <c r="AH37" s="22"/>
      <c r="AI37" s="26"/>
      <c r="AJ37" s="22" t="s">
        <v>1019</v>
      </c>
      <c r="AK37" s="25"/>
      <c r="AL37" s="26"/>
      <c r="AM37" s="22" t="s">
        <v>1307</v>
      </c>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row>
    <row r="38" spans="1:63" ht="15" customHeight="1">
      <c r="A38" s="1"/>
      <c r="B38" s="23">
        <v>18</v>
      </c>
      <c r="C38" s="24"/>
      <c r="D38" s="22" t="s">
        <v>298</v>
      </c>
      <c r="E38" s="25"/>
      <c r="F38" s="25"/>
      <c r="G38" s="25"/>
      <c r="H38" s="25"/>
      <c r="I38" s="25"/>
      <c r="J38" s="25"/>
      <c r="K38" s="25"/>
      <c r="L38" s="25"/>
      <c r="M38" s="25"/>
      <c r="N38" s="25"/>
      <c r="O38" s="25"/>
      <c r="P38" s="25"/>
      <c r="Q38" s="26"/>
      <c r="R38" s="22" t="s">
        <v>315</v>
      </c>
      <c r="S38" s="25"/>
      <c r="T38" s="25"/>
      <c r="U38" s="25"/>
      <c r="V38" s="25"/>
      <c r="W38" s="25"/>
      <c r="X38" s="25"/>
      <c r="Y38" s="25"/>
      <c r="Z38" s="25"/>
      <c r="AA38" s="25"/>
      <c r="AB38" s="26"/>
      <c r="AC38" s="22" t="s">
        <v>322</v>
      </c>
      <c r="AD38" s="25"/>
      <c r="AE38" s="25"/>
      <c r="AF38" s="25"/>
      <c r="AG38" s="26"/>
      <c r="AH38" s="22"/>
      <c r="AI38" s="26"/>
      <c r="AJ38" s="22" t="s">
        <v>1019</v>
      </c>
      <c r="AK38" s="25"/>
      <c r="AL38" s="26"/>
      <c r="AM38" s="22" t="s">
        <v>1307</v>
      </c>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row>
    <row r="39" spans="1:63" ht="15" customHeight="1">
      <c r="A39" s="1"/>
      <c r="B39" s="23">
        <v>19</v>
      </c>
      <c r="C39" s="24"/>
      <c r="D39" s="22" t="s">
        <v>299</v>
      </c>
      <c r="E39" s="25"/>
      <c r="F39" s="25"/>
      <c r="G39" s="25"/>
      <c r="H39" s="25"/>
      <c r="I39" s="25"/>
      <c r="J39" s="25"/>
      <c r="K39" s="25"/>
      <c r="L39" s="25"/>
      <c r="M39" s="25"/>
      <c r="N39" s="25"/>
      <c r="O39" s="25"/>
      <c r="P39" s="25"/>
      <c r="Q39" s="26"/>
      <c r="R39" s="22" t="s">
        <v>316</v>
      </c>
      <c r="S39" s="25"/>
      <c r="T39" s="25"/>
      <c r="U39" s="25"/>
      <c r="V39" s="25"/>
      <c r="W39" s="25"/>
      <c r="X39" s="25"/>
      <c r="Y39" s="25"/>
      <c r="Z39" s="25"/>
      <c r="AA39" s="25"/>
      <c r="AB39" s="26"/>
      <c r="AC39" s="22" t="s">
        <v>322</v>
      </c>
      <c r="AD39" s="25"/>
      <c r="AE39" s="25"/>
      <c r="AF39" s="25"/>
      <c r="AG39" s="26"/>
      <c r="AH39" s="22"/>
      <c r="AI39" s="26"/>
      <c r="AJ39" s="22" t="s">
        <v>1019</v>
      </c>
      <c r="AK39" s="25"/>
      <c r="AL39" s="26"/>
      <c r="AM39" s="22" t="s">
        <v>1307</v>
      </c>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row>
    <row r="40" spans="1:63" ht="15" customHeight="1">
      <c r="A40" s="1"/>
      <c r="B40" s="23">
        <v>20</v>
      </c>
      <c r="C40" s="24"/>
      <c r="D40" s="22" t="s">
        <v>300</v>
      </c>
      <c r="E40" s="25"/>
      <c r="F40" s="25"/>
      <c r="G40" s="25"/>
      <c r="H40" s="25"/>
      <c r="I40" s="25"/>
      <c r="J40" s="25"/>
      <c r="K40" s="25"/>
      <c r="L40" s="25"/>
      <c r="M40" s="25"/>
      <c r="N40" s="25"/>
      <c r="O40" s="25"/>
      <c r="P40" s="25"/>
      <c r="Q40" s="26"/>
      <c r="R40" s="22" t="s">
        <v>317</v>
      </c>
      <c r="S40" s="25"/>
      <c r="T40" s="25"/>
      <c r="U40" s="25"/>
      <c r="V40" s="25"/>
      <c r="W40" s="25"/>
      <c r="X40" s="25"/>
      <c r="Y40" s="25"/>
      <c r="Z40" s="25"/>
      <c r="AA40" s="25"/>
      <c r="AB40" s="26"/>
      <c r="AC40" s="22" t="s">
        <v>322</v>
      </c>
      <c r="AD40" s="25"/>
      <c r="AE40" s="25"/>
      <c r="AF40" s="25"/>
      <c r="AG40" s="26"/>
      <c r="AH40" s="22"/>
      <c r="AI40" s="26"/>
      <c r="AJ40" s="22" t="s">
        <v>1019</v>
      </c>
      <c r="AK40" s="25"/>
      <c r="AL40" s="26"/>
      <c r="AM40" s="22" t="s">
        <v>1307</v>
      </c>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row>
    <row r="41" spans="1:63" ht="15" customHeight="1">
      <c r="A41" s="1"/>
      <c r="B41" s="28">
        <v>21</v>
      </c>
      <c r="C41" s="29"/>
      <c r="D41" s="30" t="s">
        <v>326</v>
      </c>
      <c r="E41" s="31"/>
      <c r="F41" s="31"/>
      <c r="G41" s="31"/>
      <c r="H41" s="31"/>
      <c r="I41" s="31"/>
      <c r="J41" s="31"/>
      <c r="K41" s="31"/>
      <c r="L41" s="31"/>
      <c r="M41" s="31"/>
      <c r="N41" s="31"/>
      <c r="O41" s="31"/>
      <c r="P41" s="31"/>
      <c r="Q41" s="32"/>
      <c r="R41" s="30" t="s">
        <v>318</v>
      </c>
      <c r="S41" s="31"/>
      <c r="T41" s="31"/>
      <c r="U41" s="31"/>
      <c r="V41" s="31"/>
      <c r="W41" s="31"/>
      <c r="X41" s="31"/>
      <c r="Y41" s="31"/>
      <c r="Z41" s="31"/>
      <c r="AA41" s="31"/>
      <c r="AB41" s="32"/>
      <c r="AC41" s="30" t="s">
        <v>322</v>
      </c>
      <c r="AD41" s="31"/>
      <c r="AE41" s="31"/>
      <c r="AF41" s="31"/>
      <c r="AG41" s="32"/>
      <c r="AH41" s="30"/>
      <c r="AI41" s="32"/>
      <c r="AJ41" s="30" t="s">
        <v>1019</v>
      </c>
      <c r="AK41" s="31"/>
      <c r="AL41" s="32"/>
      <c r="AM41" s="30" t="s">
        <v>1307</v>
      </c>
      <c r="AN41" s="31"/>
      <c r="AO41" s="31"/>
      <c r="AP41" s="31"/>
      <c r="AQ41" s="31"/>
      <c r="AR41" s="31"/>
      <c r="AS41" s="32"/>
      <c r="AT41" s="30"/>
      <c r="AU41" s="31"/>
      <c r="AV41" s="31"/>
      <c r="AW41" s="31"/>
      <c r="AX41" s="31"/>
      <c r="AY41" s="31"/>
      <c r="AZ41" s="31"/>
      <c r="BA41" s="31"/>
      <c r="BB41" s="31"/>
      <c r="BC41" s="31"/>
      <c r="BD41" s="31"/>
      <c r="BE41" s="31"/>
      <c r="BF41" s="31"/>
      <c r="BG41" s="31"/>
      <c r="BH41" s="31"/>
      <c r="BI41" s="31"/>
      <c r="BJ41" s="32"/>
      <c r="BK41" s="4"/>
    </row>
    <row r="42" spans="1:63" ht="15" customHeight="1">
      <c r="A42" s="1"/>
      <c r="BK42" s="4"/>
    </row>
    <row r="43" spans="1:63" ht="15" customHeight="1">
      <c r="A43" s="1"/>
      <c r="B43" s="37" t="s">
        <v>49</v>
      </c>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4"/>
    </row>
    <row r="44" spans="1:63" ht="15" customHeight="1">
      <c r="A44" s="1"/>
      <c r="B44" s="34" t="s">
        <v>50</v>
      </c>
      <c r="C44" s="35"/>
      <c r="D44" s="34" t="s">
        <v>51</v>
      </c>
      <c r="E44" s="44"/>
      <c r="F44" s="36"/>
      <c r="G44" s="36"/>
      <c r="H44" s="36"/>
      <c r="I44" s="36"/>
      <c r="J44" s="36"/>
      <c r="K44" s="36"/>
      <c r="L44" s="36"/>
      <c r="M44" s="36"/>
      <c r="N44" s="36"/>
      <c r="O44" s="36"/>
      <c r="P44" s="36"/>
      <c r="Q44" s="35"/>
      <c r="R44" s="34" t="s">
        <v>52</v>
      </c>
      <c r="S44" s="44"/>
      <c r="T44" s="36"/>
      <c r="U44" s="36"/>
      <c r="V44" s="36"/>
      <c r="W44" s="36"/>
      <c r="X44" s="36"/>
      <c r="Y44" s="36"/>
      <c r="Z44" s="36"/>
      <c r="AA44" s="36"/>
      <c r="AB44" s="36"/>
      <c r="AC44" s="36"/>
      <c r="AD44" s="36"/>
      <c r="AE44" s="36"/>
      <c r="AF44" s="36"/>
      <c r="AG44" s="36"/>
      <c r="AH44" s="36"/>
      <c r="AI44" s="36"/>
      <c r="AJ44" s="36"/>
      <c r="AK44" s="35"/>
      <c r="AL44" s="34" t="s">
        <v>53</v>
      </c>
      <c r="AM44" s="36"/>
      <c r="AN44" s="36"/>
      <c r="AO44" s="45"/>
      <c r="AP44" s="34" t="s">
        <v>54</v>
      </c>
      <c r="AQ44" s="36"/>
      <c r="AR44" s="36"/>
      <c r="AS44" s="35"/>
      <c r="AT44" s="34" t="s">
        <v>48</v>
      </c>
      <c r="AU44" s="44"/>
      <c r="AV44" s="44"/>
      <c r="AW44" s="36"/>
      <c r="AX44" s="36"/>
      <c r="AY44" s="44"/>
      <c r="AZ44" s="36"/>
      <c r="BA44" s="36"/>
      <c r="BB44" s="36"/>
      <c r="BC44" s="36"/>
      <c r="BD44" s="36"/>
      <c r="BE44" s="36"/>
      <c r="BF44" s="36"/>
      <c r="BG44" s="36"/>
      <c r="BH44" s="36"/>
      <c r="BI44" s="44"/>
      <c r="BJ44" s="35"/>
      <c r="BK44" s="4"/>
    </row>
    <row r="45" spans="1:63" ht="15" customHeight="1">
      <c r="A45" s="1"/>
      <c r="B45" s="38">
        <v>1</v>
      </c>
      <c r="C45" s="39"/>
      <c r="D45" s="38" t="s">
        <v>55</v>
      </c>
      <c r="E45" s="46"/>
      <c r="F45" s="40"/>
      <c r="G45" s="40"/>
      <c r="H45" s="40"/>
      <c r="I45" s="40"/>
      <c r="J45" s="40"/>
      <c r="K45" s="40"/>
      <c r="L45" s="40"/>
      <c r="M45" s="40"/>
      <c r="N45" s="40"/>
      <c r="O45" s="40"/>
      <c r="P45" s="40"/>
      <c r="Q45" s="39"/>
      <c r="R45" s="38" t="s">
        <v>1434</v>
      </c>
      <c r="S45" s="46"/>
      <c r="T45" s="40"/>
      <c r="U45" s="40"/>
      <c r="V45" s="40"/>
      <c r="W45" s="40"/>
      <c r="X45" s="40"/>
      <c r="Y45" s="40"/>
      <c r="Z45" s="40"/>
      <c r="AA45" s="40"/>
      <c r="AB45" s="40"/>
      <c r="AC45" s="40"/>
      <c r="AD45" s="40"/>
      <c r="AE45" s="40"/>
      <c r="AF45" s="40"/>
      <c r="AG45" s="40"/>
      <c r="AH45" s="40"/>
      <c r="AI45" s="40"/>
      <c r="AJ45" s="40"/>
      <c r="AK45" s="39"/>
      <c r="AL45" s="38" t="s">
        <v>1161</v>
      </c>
      <c r="AM45" s="40"/>
      <c r="AN45" s="40"/>
      <c r="AO45" s="47"/>
      <c r="AP45" s="38" t="s">
        <v>1161</v>
      </c>
      <c r="AQ45" s="40"/>
      <c r="AR45" s="40"/>
      <c r="AS45" s="39"/>
      <c r="AT45" s="38"/>
      <c r="AU45" s="46"/>
      <c r="AV45" s="46"/>
      <c r="AW45" s="40"/>
      <c r="AX45" s="40"/>
      <c r="AY45" s="46"/>
      <c r="AZ45" s="40"/>
      <c r="BA45" s="40"/>
      <c r="BB45" s="40"/>
      <c r="BC45" s="40"/>
      <c r="BD45" s="40"/>
      <c r="BE45" s="40"/>
      <c r="BF45" s="40"/>
      <c r="BG45" s="40"/>
      <c r="BH45" s="40"/>
      <c r="BI45" s="46"/>
      <c r="BJ45" s="39"/>
      <c r="BK45" s="4"/>
    </row>
    <row r="46" spans="1:63" ht="15" customHeight="1">
      <c r="A46" s="1"/>
      <c r="BK46" s="4"/>
    </row>
    <row r="47" spans="1:63" ht="15" customHeight="1">
      <c r="A47" s="1"/>
      <c r="B47" s="37" t="s">
        <v>34</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4"/>
    </row>
    <row r="48" spans="1:63" ht="15" customHeight="1">
      <c r="A48" s="1"/>
      <c r="B48" s="34" t="s">
        <v>35</v>
      </c>
      <c r="C48" s="45"/>
      <c r="D48" s="34" t="s">
        <v>36</v>
      </c>
      <c r="E48" s="44"/>
      <c r="F48" s="44"/>
      <c r="G48" s="44"/>
      <c r="H48" s="44"/>
      <c r="I48" s="44"/>
      <c r="J48" s="44"/>
      <c r="K48" s="44"/>
      <c r="L48" s="36"/>
      <c r="M48" s="36"/>
      <c r="N48" s="36"/>
      <c r="O48" s="36"/>
      <c r="P48" s="36"/>
      <c r="Q48" s="35"/>
      <c r="R48" s="34" t="s">
        <v>37</v>
      </c>
      <c r="S48" s="36"/>
      <c r="T48" s="45"/>
      <c r="U48" s="34" t="s">
        <v>38</v>
      </c>
      <c r="V48" s="36"/>
      <c r="W48" s="44"/>
      <c r="X48" s="45"/>
      <c r="Y48" s="34" t="s">
        <v>39</v>
      </c>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5"/>
      <c r="BK48" s="4"/>
    </row>
    <row r="49" spans="1:63" ht="15" customHeight="1">
      <c r="A49" s="1"/>
      <c r="B49" s="41">
        <v>1</v>
      </c>
      <c r="C49" s="47"/>
      <c r="D49" s="41" t="str">
        <f>G10&amp;"_"&amp;R49&amp;"_"&amp;"trg"</f>
        <v>ChangeMachineSetting_update_trg</v>
      </c>
      <c r="E49" s="46"/>
      <c r="F49" s="46"/>
      <c r="G49" s="46"/>
      <c r="H49" s="46"/>
      <c r="I49" s="46"/>
      <c r="J49" s="46"/>
      <c r="K49" s="46"/>
      <c r="L49" s="42"/>
      <c r="M49" s="42"/>
      <c r="N49" s="42"/>
      <c r="O49" s="42"/>
      <c r="P49" s="42"/>
      <c r="Q49" s="43"/>
      <c r="R49" s="41" t="s">
        <v>40</v>
      </c>
      <c r="S49" s="42"/>
      <c r="T49" s="47"/>
      <c r="U49" s="41" t="s">
        <v>41</v>
      </c>
      <c r="V49" s="42"/>
      <c r="W49" s="46"/>
      <c r="X49" s="47"/>
      <c r="Y49" s="41" t="s">
        <v>42</v>
      </c>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3"/>
      <c r="BK49" s="4"/>
    </row>
    <row r="50" spans="1:63" ht="15" customHeight="1">
      <c r="A50" s="1"/>
      <c r="BK50" s="4"/>
    </row>
    <row r="51" spans="1:63" ht="15" customHeight="1">
      <c r="A51" s="1"/>
      <c r="B51" t="s">
        <v>1162</v>
      </c>
      <c r="BK51" s="4"/>
    </row>
    <row r="52" spans="1:63" ht="15" customHeight="1">
      <c r="A52" s="1"/>
      <c r="B52" s="320" t="s">
        <v>1163</v>
      </c>
      <c r="C52" s="320"/>
      <c r="D52" s="320"/>
      <c r="E52" s="320"/>
      <c r="F52" s="320" t="s">
        <v>1164</v>
      </c>
      <c r="G52" s="320"/>
      <c r="H52" s="320"/>
      <c r="I52" s="320"/>
      <c r="J52" s="320"/>
      <c r="K52" s="320"/>
      <c r="L52" s="320"/>
      <c r="M52" s="320"/>
      <c r="N52" s="320"/>
      <c r="O52" s="320"/>
      <c r="P52" s="320"/>
      <c r="Q52" s="320"/>
      <c r="R52" s="320"/>
      <c r="S52" s="320"/>
      <c r="T52" s="320"/>
      <c r="U52" s="320"/>
      <c r="V52" s="320"/>
      <c r="W52" s="320"/>
      <c r="X52" s="320"/>
      <c r="Y52" s="320"/>
      <c r="Z52" s="320"/>
      <c r="AA52" s="321" t="s">
        <v>1165</v>
      </c>
      <c r="AB52" s="321"/>
      <c r="AC52" s="321"/>
      <c r="AD52" s="321"/>
      <c r="AE52" s="321"/>
      <c r="AF52" s="321" t="s">
        <v>1166</v>
      </c>
      <c r="AG52" s="321"/>
      <c r="AH52" s="321"/>
      <c r="AI52" s="321"/>
      <c r="AJ52" s="321"/>
      <c r="AL52" t="s">
        <v>1167</v>
      </c>
      <c r="BK52" s="4"/>
    </row>
    <row r="53" spans="1:63" ht="15" customHeight="1">
      <c r="A53" s="1"/>
      <c r="B53" s="322" t="s">
        <v>1168</v>
      </c>
      <c r="C53" s="322"/>
      <c r="D53" s="322"/>
      <c r="E53" s="322"/>
      <c r="F53" s="322" t="s">
        <v>1169</v>
      </c>
      <c r="G53" s="322"/>
      <c r="H53" s="322"/>
      <c r="I53" s="322"/>
      <c r="J53" s="322"/>
      <c r="K53" s="322"/>
      <c r="L53" s="322"/>
      <c r="M53" s="322"/>
      <c r="N53" s="322"/>
      <c r="O53" s="322"/>
      <c r="P53" s="322"/>
      <c r="Q53" s="322"/>
      <c r="R53" s="322"/>
      <c r="S53" s="322"/>
      <c r="T53" s="322"/>
      <c r="U53" s="322"/>
      <c r="V53" s="322"/>
      <c r="W53" s="322"/>
      <c r="X53" s="322"/>
      <c r="Y53" s="322"/>
      <c r="Z53" s="322"/>
      <c r="AA53" s="323" t="s">
        <v>1170</v>
      </c>
      <c r="AB53" s="323"/>
      <c r="AC53" s="323"/>
      <c r="AD53" s="323"/>
      <c r="AE53" s="323"/>
      <c r="AF53" s="323" t="s">
        <v>1171</v>
      </c>
      <c r="AG53" s="323"/>
      <c r="AH53" s="323"/>
      <c r="AI53" s="323"/>
      <c r="AJ53" s="323"/>
      <c r="AL53" t="s">
        <v>1172</v>
      </c>
      <c r="BK53" s="4"/>
    </row>
    <row r="54" spans="1:63" ht="15" customHeight="1">
      <c r="A54" s="1"/>
      <c r="BK54" s="4"/>
    </row>
    <row r="55" spans="1:63" ht="15" customHeight="1">
      <c r="A55" s="1"/>
      <c r="B55" s="128" t="s">
        <v>1173</v>
      </c>
      <c r="C55" s="129"/>
      <c r="D55" s="129"/>
      <c r="E55" s="129"/>
      <c r="F55" s="129"/>
      <c r="G55" s="129"/>
      <c r="H55" s="129"/>
      <c r="I55" s="129"/>
      <c r="J55" s="129"/>
      <c r="K55" s="129"/>
      <c r="L55" s="129"/>
      <c r="M55" s="129"/>
      <c r="N55" s="129"/>
      <c r="O55" s="129"/>
      <c r="P55" s="129"/>
      <c r="Q55" s="129"/>
      <c r="R55" s="129"/>
      <c r="S55" s="129"/>
      <c r="T55" s="129"/>
      <c r="U55" s="129"/>
      <c r="V55" s="129"/>
      <c r="W55" s="129"/>
      <c r="X55" s="129"/>
      <c r="Y55" s="129"/>
      <c r="Z55" s="129"/>
      <c r="AA55" s="129"/>
      <c r="AB55" s="129"/>
      <c r="AC55" s="129"/>
      <c r="AD55" s="129"/>
      <c r="AE55" s="129"/>
      <c r="AF55" s="129"/>
      <c r="AG55" s="129"/>
      <c r="AH55" s="129"/>
      <c r="AI55" s="129"/>
      <c r="AJ55" s="129"/>
      <c r="AK55" s="129"/>
      <c r="AL55" s="129"/>
      <c r="AM55" s="130"/>
      <c r="AN55" s="131" t="s">
        <v>1174</v>
      </c>
      <c r="AO55" s="132"/>
      <c r="AP55" s="132"/>
      <c r="AQ55" s="132"/>
      <c r="AR55" s="132"/>
      <c r="AS55" s="132"/>
      <c r="AT55" s="132"/>
      <c r="AU55" s="132"/>
      <c r="AV55" s="132"/>
      <c r="AW55" s="132"/>
      <c r="AX55" s="132"/>
      <c r="AY55" s="132"/>
      <c r="AZ55" s="132"/>
      <c r="BA55" s="132"/>
      <c r="BB55" s="132"/>
      <c r="BC55" s="132"/>
      <c r="BD55" s="132"/>
      <c r="BE55" s="132"/>
      <c r="BF55" s="132"/>
      <c r="BG55" s="132"/>
      <c r="BH55" s="133"/>
      <c r="BI55" s="133"/>
      <c r="BJ55" s="134"/>
      <c r="BK55" s="4"/>
    </row>
    <row r="56" spans="1:63" ht="15" customHeight="1">
      <c r="A56" s="1"/>
      <c r="B56" s="135" t="s">
        <v>1175</v>
      </c>
      <c r="C56" s="136"/>
      <c r="D56" s="136"/>
      <c r="E56" s="136"/>
      <c r="F56" s="136"/>
      <c r="G56" s="136"/>
      <c r="H56" s="136"/>
      <c r="I56" s="137" t="s">
        <v>1176</v>
      </c>
      <c r="J56" s="136"/>
      <c r="K56" s="136"/>
      <c r="L56" s="137" t="s">
        <v>1177</v>
      </c>
      <c r="M56" s="138"/>
      <c r="N56" s="138"/>
      <c r="O56" s="139" t="s">
        <v>1178</v>
      </c>
      <c r="P56" s="138"/>
      <c r="Q56" s="136"/>
      <c r="R56" s="137" t="s">
        <v>1179</v>
      </c>
      <c r="S56" s="138"/>
      <c r="T56" s="138"/>
      <c r="U56" s="136"/>
      <c r="V56" s="140"/>
      <c r="W56" s="140"/>
      <c r="X56" s="136"/>
      <c r="Y56" s="136"/>
      <c r="Z56" s="136"/>
      <c r="AA56" s="136"/>
      <c r="AB56" s="137" t="s">
        <v>1180</v>
      </c>
      <c r="AC56" s="136"/>
      <c r="AD56" s="136"/>
      <c r="AE56" s="136"/>
      <c r="AF56" s="140"/>
      <c r="AG56" s="140"/>
      <c r="AH56" s="140"/>
      <c r="AI56" s="136"/>
      <c r="AJ56" s="136"/>
      <c r="AK56" s="136"/>
      <c r="AL56" s="136"/>
      <c r="AM56" s="141"/>
      <c r="AN56" s="142"/>
      <c r="AO56" s="143"/>
      <c r="AP56" s="144"/>
      <c r="AQ56" s="143"/>
      <c r="AR56" s="143"/>
      <c r="AS56" s="143"/>
      <c r="AT56" s="143"/>
      <c r="AU56" s="143"/>
      <c r="AV56" s="143"/>
      <c r="AW56" s="143"/>
      <c r="AX56" s="143"/>
      <c r="AY56" s="143"/>
      <c r="AZ56" s="143"/>
      <c r="BA56" s="143"/>
      <c r="BB56" s="143"/>
      <c r="BC56" s="143"/>
      <c r="BD56" s="143"/>
      <c r="BE56" s="143"/>
      <c r="BF56" s="143"/>
      <c r="BG56" s="143"/>
      <c r="BH56" s="143"/>
      <c r="BI56" s="143"/>
      <c r="BJ56" s="145"/>
    </row>
    <row r="57" spans="1:63" ht="15" customHeight="1">
      <c r="A57" s="1"/>
      <c r="B57" s="146"/>
      <c r="C57" s="147"/>
      <c r="D57" s="147"/>
      <c r="E57" s="147"/>
      <c r="F57" s="147"/>
      <c r="G57" s="147"/>
      <c r="H57" s="148"/>
      <c r="I57" s="149"/>
      <c r="J57" s="147"/>
      <c r="K57" s="148"/>
      <c r="L57" s="150"/>
      <c r="M57" s="147"/>
      <c r="N57" s="148"/>
      <c r="O57" s="151"/>
      <c r="P57" s="147"/>
      <c r="Q57" s="148"/>
      <c r="R57" s="149"/>
      <c r="S57" s="147"/>
      <c r="T57" s="147"/>
      <c r="U57" s="147"/>
      <c r="V57" s="124"/>
      <c r="W57" s="124"/>
      <c r="X57" s="152"/>
      <c r="Y57" s="152"/>
      <c r="Z57" s="152"/>
      <c r="AA57" s="153"/>
      <c r="AB57" s="154" t="s">
        <v>1181</v>
      </c>
      <c r="AC57" s="155"/>
      <c r="AD57" s="155"/>
      <c r="AE57" s="155"/>
      <c r="AF57" s="156"/>
      <c r="AG57" s="156"/>
      <c r="AH57" s="156"/>
      <c r="AI57" s="155"/>
      <c r="AJ57" s="155"/>
      <c r="AK57" s="155"/>
      <c r="AL57" s="155"/>
      <c r="AM57" s="157"/>
      <c r="AN57" s="158" t="s">
        <v>1182</v>
      </c>
      <c r="AO57" s="159"/>
      <c r="AP57" s="156"/>
      <c r="AQ57" s="160"/>
      <c r="AR57" s="160"/>
      <c r="AS57" s="160"/>
      <c r="AT57" s="160"/>
      <c r="AU57" s="160"/>
      <c r="AV57" s="160"/>
      <c r="AW57" s="160"/>
      <c r="AX57" s="160"/>
      <c r="AY57" s="160"/>
      <c r="AZ57" s="160"/>
      <c r="BA57" s="160"/>
      <c r="BB57" s="160"/>
      <c r="BC57" s="160"/>
      <c r="BD57" s="160"/>
      <c r="BE57" s="160"/>
      <c r="BF57" s="160"/>
      <c r="BG57" s="160"/>
      <c r="BH57" s="160"/>
      <c r="BI57" s="160"/>
      <c r="BJ57" s="157"/>
    </row>
    <row r="58" spans="1:63" ht="15" customHeight="1">
      <c r="A58" s="1"/>
      <c r="B58" s="161" t="s">
        <v>1183</v>
      </c>
      <c r="C58" s="162"/>
      <c r="D58" s="162"/>
      <c r="E58" s="162"/>
      <c r="F58" s="162"/>
      <c r="G58" s="162"/>
      <c r="H58" s="163"/>
      <c r="I58" s="164" t="s">
        <v>1184</v>
      </c>
      <c r="J58" s="162"/>
      <c r="K58" s="163"/>
      <c r="L58" s="165" t="s">
        <v>1185</v>
      </c>
      <c r="M58" s="162"/>
      <c r="N58" s="163"/>
      <c r="O58" s="166" t="s">
        <v>1187</v>
      </c>
      <c r="P58" s="162"/>
      <c r="Q58" s="163"/>
      <c r="R58" s="164" t="s">
        <v>1188</v>
      </c>
      <c r="S58" s="162"/>
      <c r="T58" s="162"/>
      <c r="U58" s="162"/>
      <c r="V58" s="67"/>
      <c r="W58" s="67"/>
      <c r="X58" s="167"/>
      <c r="Y58" s="167"/>
      <c r="Z58" s="167"/>
      <c r="AA58" s="168"/>
      <c r="AB58" s="169" t="str">
        <f>"  """&amp;B58&amp;": ""300"","""</f>
        <v xml:space="preserve">  "company_code: "300","</v>
      </c>
      <c r="AC58" s="170"/>
      <c r="AD58" s="170"/>
      <c r="AE58" s="170"/>
      <c r="AF58" s="33"/>
      <c r="AG58" s="33"/>
      <c r="AH58" s="33"/>
      <c r="AI58" s="170"/>
      <c r="AJ58" s="170"/>
      <c r="AK58" s="170"/>
      <c r="AL58" s="170"/>
      <c r="AM58" s="171"/>
      <c r="AN58" s="172"/>
      <c r="AO58" s="173"/>
      <c r="AP58" s="33"/>
      <c r="AQ58" s="174"/>
      <c r="AR58" s="174"/>
      <c r="AS58" s="174"/>
      <c r="AT58" s="174"/>
      <c r="AU58" s="174"/>
      <c r="AV58" s="174"/>
      <c r="AW58" s="174"/>
      <c r="AX58" s="174"/>
      <c r="AY58" s="174"/>
      <c r="AZ58" s="174"/>
      <c r="BA58" s="174"/>
      <c r="BB58" s="174"/>
      <c r="BC58" s="174"/>
      <c r="BD58" s="174"/>
      <c r="BE58" s="174"/>
      <c r="BF58" s="174"/>
      <c r="BG58" s="174"/>
      <c r="BH58" s="174"/>
      <c r="BI58" s="174"/>
      <c r="BJ58" s="171"/>
    </row>
    <row r="59" spans="1:63" ht="15" customHeight="1">
      <c r="A59" s="1"/>
      <c r="B59" s="161" t="s">
        <v>1189</v>
      </c>
      <c r="C59" s="162"/>
      <c r="D59" s="162"/>
      <c r="E59" s="162"/>
      <c r="F59" s="162"/>
      <c r="G59" s="162"/>
      <c r="H59" s="163"/>
      <c r="I59" s="164" t="s">
        <v>1184</v>
      </c>
      <c r="J59" s="162"/>
      <c r="K59" s="163"/>
      <c r="L59" s="175" t="s">
        <v>1185</v>
      </c>
      <c r="M59" s="162"/>
      <c r="N59" s="163"/>
      <c r="O59" s="166" t="s">
        <v>1187</v>
      </c>
      <c r="P59" s="162"/>
      <c r="Q59" s="163"/>
      <c r="R59" s="164" t="s">
        <v>1190</v>
      </c>
      <c r="S59" s="162"/>
      <c r="T59" s="162"/>
      <c r="U59" s="162"/>
      <c r="V59" s="67"/>
      <c r="W59" s="67"/>
      <c r="X59" s="167"/>
      <c r="Y59" s="167"/>
      <c r="Z59" s="167"/>
      <c r="AA59" s="168"/>
      <c r="AB59" s="169" t="str">
        <f>"  """&amp;B59&amp;": ""048405"","""</f>
        <v xml:space="preserve">  "store_code: "048405","</v>
      </c>
      <c r="AC59" s="170"/>
      <c r="AD59" s="170"/>
      <c r="AE59" s="170"/>
      <c r="AF59" s="33"/>
      <c r="AG59" s="33"/>
      <c r="AH59" s="33"/>
      <c r="AI59" s="170"/>
      <c r="AJ59" s="170"/>
      <c r="AK59" s="170"/>
      <c r="AL59" s="170"/>
      <c r="AM59" s="171"/>
      <c r="AN59" s="172"/>
      <c r="AO59" s="173"/>
      <c r="AP59" s="33"/>
      <c r="AQ59" s="174"/>
      <c r="AR59" s="174"/>
      <c r="AS59" s="174"/>
      <c r="AT59" s="174"/>
      <c r="AU59" s="174"/>
      <c r="AV59" s="174"/>
      <c r="AW59" s="174"/>
      <c r="AX59" s="174"/>
      <c r="AY59" s="174"/>
      <c r="AZ59" s="174"/>
      <c r="BA59" s="174"/>
      <c r="BB59" s="174"/>
      <c r="BC59" s="174"/>
      <c r="BD59" s="174"/>
      <c r="BE59" s="174"/>
      <c r="BF59" s="174"/>
      <c r="BG59" s="174"/>
      <c r="BH59" s="174"/>
      <c r="BI59" s="174"/>
      <c r="BJ59" s="171"/>
    </row>
    <row r="60" spans="1:63" ht="15" customHeight="1">
      <c r="A60" s="1"/>
      <c r="B60" s="161" t="s">
        <v>1191</v>
      </c>
      <c r="C60" s="162"/>
      <c r="D60" s="162"/>
      <c r="E60" s="162"/>
      <c r="F60" s="162"/>
      <c r="G60" s="162"/>
      <c r="H60" s="163"/>
      <c r="I60" s="164" t="s">
        <v>1184</v>
      </c>
      <c r="J60" s="162"/>
      <c r="K60" s="163"/>
      <c r="L60" s="175" t="s">
        <v>1185</v>
      </c>
      <c r="M60" s="162"/>
      <c r="N60" s="163"/>
      <c r="O60" s="166" t="s">
        <v>1187</v>
      </c>
      <c r="P60" s="162"/>
      <c r="Q60" s="163"/>
      <c r="R60" s="164" t="s">
        <v>1192</v>
      </c>
      <c r="S60" s="162"/>
      <c r="T60" s="162"/>
      <c r="U60" s="162"/>
      <c r="V60" s="67"/>
      <c r="W60" s="67"/>
      <c r="X60" s="167"/>
      <c r="Y60" s="167"/>
      <c r="Z60" s="167"/>
      <c r="AA60" s="168"/>
      <c r="AB60" s="169" t="str">
        <f>"  """&amp;B60&amp;": ""901"","""</f>
        <v xml:space="preserve">  "instore_code: "901","</v>
      </c>
      <c r="AC60" s="170"/>
      <c r="AD60" s="170"/>
      <c r="AE60" s="170"/>
      <c r="AF60" s="33"/>
      <c r="AG60" s="33"/>
      <c r="AH60" s="33"/>
      <c r="AI60" s="170"/>
      <c r="AJ60" s="170"/>
      <c r="AK60" s="170"/>
      <c r="AL60" s="170"/>
      <c r="AM60" s="171"/>
      <c r="AN60" s="131" t="s">
        <v>1193</v>
      </c>
      <c r="AO60" s="132"/>
      <c r="AP60" s="132"/>
      <c r="AQ60" s="132"/>
      <c r="AR60" s="132"/>
      <c r="AS60" s="132"/>
      <c r="AT60" s="132"/>
      <c r="AU60" s="132"/>
      <c r="AV60" s="132"/>
      <c r="AW60" s="132"/>
      <c r="AX60" s="132"/>
      <c r="AY60" s="132"/>
      <c r="AZ60" s="132"/>
      <c r="BA60" s="132"/>
      <c r="BB60" s="132"/>
      <c r="BC60" s="132"/>
      <c r="BD60" s="132"/>
      <c r="BE60" s="132"/>
      <c r="BF60" s="132"/>
      <c r="BG60" s="132"/>
      <c r="BH60" s="133"/>
      <c r="BI60" s="133"/>
      <c r="BJ60" s="134"/>
    </row>
    <row r="61" spans="1:63" ht="16.5">
      <c r="B61" s="161" t="s">
        <v>339</v>
      </c>
      <c r="C61" s="162"/>
      <c r="D61" s="162"/>
      <c r="E61" s="162"/>
      <c r="F61" s="162"/>
      <c r="G61" s="162"/>
      <c r="H61" s="163"/>
      <c r="I61" s="164" t="s">
        <v>1184</v>
      </c>
      <c r="J61" s="162"/>
      <c r="K61" s="163"/>
      <c r="L61" s="175" t="s">
        <v>1194</v>
      </c>
      <c r="M61" s="162"/>
      <c r="N61" s="163"/>
      <c r="O61" s="166"/>
      <c r="P61" s="162"/>
      <c r="Q61" s="163"/>
      <c r="R61" s="164" t="s">
        <v>286</v>
      </c>
      <c r="S61" s="162"/>
      <c r="T61" s="162"/>
      <c r="U61" s="162"/>
      <c r="V61" s="67"/>
      <c r="W61" s="67"/>
      <c r="X61" s="167"/>
      <c r="Y61" s="167"/>
      <c r="Z61" s="167"/>
      <c r="AA61" s="168"/>
      <c r="AB61" s="169" t="str">
        <f>"  """&amp;B61&amp;": false,"""</f>
        <v xml:space="preserve">  "RECORD_VOID_FLAG: false,"</v>
      </c>
      <c r="AC61" s="170"/>
      <c r="AD61" s="170"/>
      <c r="AE61" s="170"/>
      <c r="AF61" s="33"/>
      <c r="AG61" s="33"/>
      <c r="AH61" s="33"/>
      <c r="AI61" s="170"/>
      <c r="AJ61" s="170"/>
      <c r="AK61" s="170"/>
      <c r="AL61" s="170"/>
      <c r="AM61" s="171"/>
      <c r="AN61" s="142"/>
      <c r="AO61" s="143"/>
      <c r="AP61" s="144"/>
      <c r="AQ61" s="143"/>
      <c r="AR61" s="143"/>
      <c r="AS61" s="143"/>
      <c r="AT61" s="143"/>
      <c r="AU61" s="143"/>
      <c r="AV61" s="143"/>
      <c r="AW61" s="143"/>
      <c r="AX61" s="143"/>
      <c r="AY61" s="143"/>
      <c r="AZ61" s="143"/>
      <c r="BA61" s="143"/>
      <c r="BB61" s="143"/>
      <c r="BC61" s="143"/>
      <c r="BD61" s="143"/>
      <c r="BE61" s="143"/>
      <c r="BF61" s="143"/>
      <c r="BG61" s="143"/>
      <c r="BH61" s="143"/>
      <c r="BI61" s="143"/>
      <c r="BJ61" s="145"/>
    </row>
    <row r="62" spans="1:63" ht="16.5">
      <c r="B62" s="161" t="s">
        <v>1195</v>
      </c>
      <c r="C62" s="162"/>
      <c r="D62" s="162"/>
      <c r="E62" s="162"/>
      <c r="F62" s="162"/>
      <c r="G62" s="162"/>
      <c r="H62" s="163"/>
      <c r="I62" s="164" t="s">
        <v>437</v>
      </c>
      <c r="J62" s="162"/>
      <c r="K62" s="163"/>
      <c r="L62" s="175"/>
      <c r="M62" s="162"/>
      <c r="N62" s="163"/>
      <c r="O62" s="166" t="s">
        <v>1186</v>
      </c>
      <c r="P62" s="162"/>
      <c r="Q62" s="163"/>
      <c r="R62" s="164" t="s">
        <v>307</v>
      </c>
      <c r="S62" s="162"/>
      <c r="T62" s="162"/>
      <c r="U62" s="162"/>
      <c r="V62" s="67"/>
      <c r="W62" s="67"/>
      <c r="X62" s="167"/>
      <c r="Y62" s="167"/>
      <c r="Z62" s="167"/>
      <c r="AA62" s="168"/>
      <c r="AB62" s="169" t="str">
        <f>"  """&amp;B62&amp;": 9,"""</f>
        <v xml:space="preserve">  "class: 9,"</v>
      </c>
      <c r="AC62" s="170"/>
      <c r="AD62" s="170"/>
      <c r="AE62" s="170"/>
      <c r="AF62" s="33"/>
      <c r="AG62" s="33"/>
      <c r="AH62" s="33"/>
      <c r="AI62" s="170"/>
      <c r="AJ62" s="170"/>
      <c r="AK62" s="170"/>
      <c r="AL62" s="170"/>
      <c r="AM62" s="171"/>
      <c r="AN62" s="158" t="s">
        <v>1196</v>
      </c>
      <c r="AO62" s="159"/>
      <c r="AP62" s="156"/>
      <c r="AQ62" s="160"/>
      <c r="AR62" s="160"/>
      <c r="AS62" s="176"/>
      <c r="AT62" s="177" t="s">
        <v>837</v>
      </c>
      <c r="AU62" s="174"/>
      <c r="AV62" s="174"/>
      <c r="AW62" s="174"/>
      <c r="AX62" s="174"/>
      <c r="AY62" s="174"/>
      <c r="AZ62" s="174"/>
      <c r="BA62" s="174"/>
      <c r="BB62" s="174"/>
      <c r="BC62" s="174"/>
      <c r="BD62" s="174"/>
      <c r="BE62" s="174"/>
      <c r="BF62" s="174"/>
      <c r="BG62" s="174"/>
      <c r="BH62" s="174"/>
      <c r="BI62" s="174"/>
      <c r="BJ62" s="171"/>
    </row>
    <row r="63" spans="1:63" ht="16.5">
      <c r="B63" s="161" t="s">
        <v>1318</v>
      </c>
      <c r="C63" s="162"/>
      <c r="D63" s="162"/>
      <c r="E63" s="162"/>
      <c r="F63" s="162"/>
      <c r="G63" s="162"/>
      <c r="H63" s="163"/>
      <c r="I63" s="164" t="s">
        <v>1198</v>
      </c>
      <c r="J63" s="162"/>
      <c r="K63" s="163"/>
      <c r="L63" s="175"/>
      <c r="M63" s="162"/>
      <c r="N63" s="163"/>
      <c r="O63" s="166"/>
      <c r="P63" s="162"/>
      <c r="Q63" s="163"/>
      <c r="R63" s="164" t="s">
        <v>291</v>
      </c>
      <c r="S63" s="162"/>
      <c r="T63" s="162"/>
      <c r="U63" s="162"/>
      <c r="V63" s="67"/>
      <c r="W63" s="67"/>
      <c r="X63" s="167"/>
      <c r="Y63" s="167"/>
      <c r="Z63" s="167"/>
      <c r="AA63" s="168"/>
      <c r="AB63" s="169" t="str">
        <f>"  """&amp;B63&amp;": 1,"""</f>
        <v xml:space="preserve">  "10000yen: 1,"</v>
      </c>
      <c r="AC63" s="170"/>
      <c r="AD63" s="170"/>
      <c r="AE63" s="170"/>
      <c r="AF63" s="33"/>
      <c r="AG63" s="33"/>
      <c r="AH63" s="33"/>
      <c r="AI63" s="170"/>
      <c r="AJ63" s="170"/>
      <c r="AK63" s="170"/>
      <c r="AL63" s="170"/>
      <c r="AM63" s="171"/>
      <c r="AN63" s="172" t="s">
        <v>1199</v>
      </c>
      <c r="AO63" s="178"/>
      <c r="AP63" s="33"/>
      <c r="AQ63" s="174"/>
      <c r="AR63" s="174"/>
      <c r="AS63" s="179"/>
      <c r="AT63" s="180" t="s">
        <v>1200</v>
      </c>
      <c r="AU63" s="174"/>
      <c r="AV63" s="174"/>
      <c r="AW63" s="174"/>
      <c r="AX63" s="174"/>
      <c r="AY63" s="174"/>
      <c r="AZ63" s="174"/>
      <c r="BA63" s="174"/>
      <c r="BB63" s="174"/>
      <c r="BC63" s="174"/>
      <c r="BD63" s="174"/>
      <c r="BE63" s="174"/>
      <c r="BF63" s="174"/>
      <c r="BG63" s="174"/>
      <c r="BH63" s="174"/>
      <c r="BI63" s="174"/>
      <c r="BJ63" s="171"/>
    </row>
    <row r="64" spans="1:63" ht="16.5">
      <c r="B64" s="161" t="s">
        <v>1319</v>
      </c>
      <c r="C64" s="162"/>
      <c r="D64" s="162"/>
      <c r="E64" s="162"/>
      <c r="F64" s="162"/>
      <c r="G64" s="162"/>
      <c r="H64" s="163"/>
      <c r="I64" s="164" t="s">
        <v>437</v>
      </c>
      <c r="J64" s="162"/>
      <c r="K64" s="163"/>
      <c r="L64" s="175"/>
      <c r="M64" s="162"/>
      <c r="N64" s="163"/>
      <c r="O64" s="166"/>
      <c r="P64" s="162"/>
      <c r="Q64" s="163"/>
      <c r="R64" s="164" t="s">
        <v>292</v>
      </c>
      <c r="S64" s="162"/>
      <c r="T64" s="162"/>
      <c r="U64" s="162"/>
      <c r="V64" s="67"/>
      <c r="W64" s="67"/>
      <c r="X64" s="167"/>
      <c r="Y64" s="167"/>
      <c r="Z64" s="167"/>
      <c r="AA64" s="168"/>
      <c r="AB64" s="169" t="str">
        <f t="shared" ref="AB64:AB73" si="0">"  """&amp;B64&amp;": 9,"""</f>
        <v xml:space="preserve">  "5000yen: 9,"</v>
      </c>
      <c r="AC64" s="170"/>
      <c r="AD64" s="170"/>
      <c r="AE64" s="170"/>
      <c r="AF64" s="33"/>
      <c r="AG64" s="33"/>
      <c r="AH64" s="33"/>
      <c r="AI64" s="170"/>
      <c r="AJ64" s="170"/>
      <c r="AK64" s="170"/>
      <c r="AL64" s="170"/>
      <c r="AM64" s="171"/>
      <c r="AN64" s="172" t="s">
        <v>1199</v>
      </c>
      <c r="AO64" s="178"/>
      <c r="AP64" s="33"/>
      <c r="AQ64" s="174"/>
      <c r="AR64" s="174"/>
      <c r="AS64" s="179"/>
      <c r="AT64" s="180" t="s">
        <v>1202</v>
      </c>
      <c r="AU64" s="174"/>
      <c r="AV64" s="174"/>
      <c r="AW64" s="174"/>
      <c r="AX64" s="174"/>
      <c r="AY64" s="174"/>
      <c r="AZ64" s="174"/>
      <c r="BA64" s="174"/>
      <c r="BB64" s="174"/>
      <c r="BC64" s="174"/>
      <c r="BD64" s="174"/>
      <c r="BE64" s="174"/>
      <c r="BF64" s="174"/>
      <c r="BG64" s="174"/>
      <c r="BH64" s="174"/>
      <c r="BI64" s="174"/>
      <c r="BJ64" s="171"/>
    </row>
    <row r="65" spans="1:62" ht="16.5">
      <c r="B65" s="161" t="s">
        <v>1320</v>
      </c>
      <c r="C65" s="162"/>
      <c r="D65" s="162"/>
      <c r="E65" s="162"/>
      <c r="F65" s="162"/>
      <c r="G65" s="162"/>
      <c r="H65" s="163"/>
      <c r="I65" s="164" t="s">
        <v>437</v>
      </c>
      <c r="J65" s="162"/>
      <c r="K65" s="163"/>
      <c r="L65" s="175"/>
      <c r="M65" s="162"/>
      <c r="N65" s="163"/>
      <c r="O65" s="166"/>
      <c r="P65" s="162"/>
      <c r="Q65" s="163"/>
      <c r="R65" s="164" t="s">
        <v>293</v>
      </c>
      <c r="S65" s="162"/>
      <c r="T65" s="162"/>
      <c r="U65" s="162"/>
      <c r="V65" s="67"/>
      <c r="W65" s="67"/>
      <c r="X65" s="167"/>
      <c r="Y65" s="167"/>
      <c r="Z65" s="167"/>
      <c r="AA65" s="168"/>
      <c r="AB65" s="169" t="str">
        <f t="shared" si="0"/>
        <v xml:space="preserve">  "2000yen: 9,"</v>
      </c>
      <c r="AC65" s="170"/>
      <c r="AD65" s="170"/>
      <c r="AE65" s="170"/>
      <c r="AF65" s="33"/>
      <c r="AG65" s="33"/>
      <c r="AH65" s="33"/>
      <c r="AI65" s="170"/>
      <c r="AJ65" s="170"/>
      <c r="AK65" s="170"/>
      <c r="AL65" s="170"/>
      <c r="AM65" s="171"/>
      <c r="AN65" s="172" t="s">
        <v>1199</v>
      </c>
      <c r="AO65" s="178"/>
      <c r="AP65" s="33"/>
      <c r="AQ65" s="174"/>
      <c r="AR65" s="174"/>
      <c r="AS65" s="179"/>
      <c r="AT65" s="180" t="s">
        <v>1204</v>
      </c>
      <c r="AU65" s="174"/>
      <c r="AV65" s="174"/>
      <c r="AW65" s="174"/>
      <c r="AX65" s="174"/>
      <c r="AY65" s="174"/>
      <c r="AZ65" s="174"/>
      <c r="BA65" s="174"/>
      <c r="BB65" s="174"/>
      <c r="BC65" s="174"/>
      <c r="BD65" s="174"/>
      <c r="BE65" s="174"/>
      <c r="BF65" s="174"/>
      <c r="BG65" s="174"/>
      <c r="BH65" s="174"/>
      <c r="BI65" s="174"/>
      <c r="BJ65" s="171"/>
    </row>
    <row r="66" spans="1:62" ht="16.5">
      <c r="B66" s="161" t="s">
        <v>1321</v>
      </c>
      <c r="C66" s="162"/>
      <c r="D66" s="162"/>
      <c r="E66" s="162"/>
      <c r="F66" s="162"/>
      <c r="G66" s="162"/>
      <c r="H66" s="163"/>
      <c r="I66" s="164" t="s">
        <v>437</v>
      </c>
      <c r="J66" s="162"/>
      <c r="K66" s="163"/>
      <c r="L66" s="181"/>
      <c r="M66" s="162"/>
      <c r="N66" s="163"/>
      <c r="O66" s="166"/>
      <c r="P66" s="162"/>
      <c r="Q66" s="163"/>
      <c r="R66" s="164" t="s">
        <v>294</v>
      </c>
      <c r="S66" s="162"/>
      <c r="T66" s="162"/>
      <c r="U66" s="162"/>
      <c r="V66" s="67"/>
      <c r="W66" s="67"/>
      <c r="X66" s="162"/>
      <c r="Y66" s="162"/>
      <c r="Z66" s="162"/>
      <c r="AA66" s="163"/>
      <c r="AB66" s="169" t="str">
        <f t="shared" si="0"/>
        <v xml:space="preserve">  "1000yen: 9,"</v>
      </c>
      <c r="AC66" s="33"/>
      <c r="AD66" s="33"/>
      <c r="AE66" s="33"/>
      <c r="AF66" s="33"/>
      <c r="AG66" s="33"/>
      <c r="AH66" s="33"/>
      <c r="AI66" s="33"/>
      <c r="AJ66" s="33"/>
      <c r="AK66" s="33"/>
      <c r="AL66" s="33"/>
      <c r="AM66" s="171"/>
      <c r="AN66" s="172" t="s">
        <v>1199</v>
      </c>
      <c r="AO66" s="33"/>
      <c r="AP66" s="33"/>
      <c r="AQ66" s="33"/>
      <c r="AR66" s="33"/>
      <c r="AS66" s="182"/>
      <c r="AT66" s="183" t="s">
        <v>1206</v>
      </c>
      <c r="AU66" s="33"/>
      <c r="AV66" s="33"/>
      <c r="AW66" s="33"/>
      <c r="AX66" s="33"/>
      <c r="AY66" s="33"/>
      <c r="AZ66" s="33"/>
      <c r="BA66" s="33"/>
      <c r="BB66" s="33"/>
      <c r="BC66" s="33"/>
      <c r="BD66" s="33"/>
      <c r="BE66" s="33"/>
      <c r="BF66" s="33"/>
      <c r="BG66" s="33"/>
      <c r="BH66" s="33"/>
      <c r="BI66" s="33"/>
      <c r="BJ66" s="171"/>
    </row>
    <row r="67" spans="1:62" ht="16.5">
      <c r="B67" s="66" t="s">
        <v>1322</v>
      </c>
      <c r="C67" s="67"/>
      <c r="D67" s="67"/>
      <c r="E67" s="67"/>
      <c r="F67" s="67"/>
      <c r="G67" s="67"/>
      <c r="H67" s="184"/>
      <c r="I67" s="185" t="s">
        <v>437</v>
      </c>
      <c r="J67" s="67"/>
      <c r="K67" s="184"/>
      <c r="L67" s="185"/>
      <c r="M67" s="67"/>
      <c r="N67" s="184"/>
      <c r="O67" s="185"/>
      <c r="P67" s="67"/>
      <c r="Q67" s="184"/>
      <c r="R67" s="185" t="s">
        <v>295</v>
      </c>
      <c r="S67" s="67"/>
      <c r="T67" s="67"/>
      <c r="U67" s="67"/>
      <c r="V67" s="67"/>
      <c r="W67" s="67"/>
      <c r="X67" s="67"/>
      <c r="Y67" s="67"/>
      <c r="Z67" s="67"/>
      <c r="AA67" s="184"/>
      <c r="AB67" s="169" t="str">
        <f t="shared" si="0"/>
        <v xml:space="preserve">  "500yen: 9,"</v>
      </c>
      <c r="AC67" s="33"/>
      <c r="AD67" s="33"/>
      <c r="AE67" s="33"/>
      <c r="AF67" s="33"/>
      <c r="AG67" s="33"/>
      <c r="AH67" s="33"/>
      <c r="AI67" s="33"/>
      <c r="AJ67" s="33"/>
      <c r="AK67" s="33"/>
      <c r="AL67" s="33"/>
      <c r="AM67" s="171"/>
      <c r="AN67" s="186"/>
      <c r="AO67" s="33"/>
      <c r="AP67" s="33"/>
      <c r="AQ67" s="33"/>
      <c r="AR67" s="33"/>
      <c r="AS67" s="182"/>
      <c r="AT67" s="183"/>
      <c r="AU67" s="33"/>
      <c r="AV67" s="33"/>
      <c r="AW67" s="33"/>
      <c r="AX67" s="33"/>
      <c r="AY67" s="33"/>
      <c r="AZ67" s="33"/>
      <c r="BA67" s="33"/>
      <c r="BB67" s="33"/>
      <c r="BC67" s="33"/>
      <c r="BD67" s="33"/>
      <c r="BE67" s="33"/>
      <c r="BF67" s="33"/>
      <c r="BG67" s="33"/>
      <c r="BH67" s="33"/>
      <c r="BI67" s="33"/>
      <c r="BJ67" s="171"/>
    </row>
    <row r="68" spans="1:62" ht="16.5">
      <c r="B68" s="66" t="s">
        <v>1323</v>
      </c>
      <c r="C68" s="67"/>
      <c r="D68" s="67"/>
      <c r="E68" s="67"/>
      <c r="F68" s="67"/>
      <c r="G68" s="67"/>
      <c r="H68" s="184"/>
      <c r="I68" s="185" t="s">
        <v>437</v>
      </c>
      <c r="J68" s="67"/>
      <c r="K68" s="184"/>
      <c r="L68" s="185"/>
      <c r="M68" s="67"/>
      <c r="N68" s="184"/>
      <c r="O68" s="185"/>
      <c r="P68" s="67"/>
      <c r="Q68" s="184"/>
      <c r="R68" s="185" t="s">
        <v>296</v>
      </c>
      <c r="S68" s="67"/>
      <c r="T68" s="67"/>
      <c r="U68" s="67"/>
      <c r="V68" s="67"/>
      <c r="W68" s="67"/>
      <c r="X68" s="67"/>
      <c r="Y68" s="67"/>
      <c r="Z68" s="67"/>
      <c r="AA68" s="184"/>
      <c r="AB68" s="169" t="str">
        <f t="shared" si="0"/>
        <v xml:space="preserve">  "100yen: 9,"</v>
      </c>
      <c r="AC68" s="33"/>
      <c r="AD68" s="33"/>
      <c r="AE68" s="33"/>
      <c r="AF68" s="33"/>
      <c r="AG68" s="33"/>
      <c r="AH68" s="33"/>
      <c r="AI68" s="33"/>
      <c r="AJ68" s="33"/>
      <c r="AK68" s="33"/>
      <c r="AL68" s="33"/>
      <c r="AM68" s="171"/>
      <c r="AN68" s="186"/>
      <c r="AO68" s="33"/>
      <c r="AP68" s="33"/>
      <c r="AQ68" s="33"/>
      <c r="AR68" s="33"/>
      <c r="AS68" s="182"/>
      <c r="AT68" s="183"/>
      <c r="AU68" s="33"/>
      <c r="AV68" s="33"/>
      <c r="AW68" s="33"/>
      <c r="AX68" s="33"/>
      <c r="AY68" s="33"/>
      <c r="AZ68" s="33"/>
      <c r="BA68" s="33"/>
      <c r="BB68" s="33"/>
      <c r="BC68" s="33"/>
      <c r="BD68" s="33"/>
      <c r="BE68" s="33"/>
      <c r="BF68" s="33"/>
      <c r="BG68" s="33"/>
      <c r="BH68" s="33"/>
      <c r="BI68" s="33"/>
      <c r="BJ68" s="171"/>
    </row>
    <row r="69" spans="1:62" ht="16.5">
      <c r="B69" s="66" t="s">
        <v>1324</v>
      </c>
      <c r="C69" s="67"/>
      <c r="D69" s="67"/>
      <c r="E69" s="67"/>
      <c r="F69" s="67"/>
      <c r="G69" s="67"/>
      <c r="H69" s="184"/>
      <c r="I69" s="185" t="s">
        <v>437</v>
      </c>
      <c r="J69" s="67"/>
      <c r="K69" s="184"/>
      <c r="L69" s="185"/>
      <c r="M69" s="67"/>
      <c r="N69" s="184"/>
      <c r="O69" s="185"/>
      <c r="P69" s="67"/>
      <c r="Q69" s="184"/>
      <c r="R69" s="185" t="s">
        <v>297</v>
      </c>
      <c r="S69" s="67"/>
      <c r="T69" s="67"/>
      <c r="U69" s="67"/>
      <c r="V69" s="67"/>
      <c r="W69" s="67"/>
      <c r="X69" s="67"/>
      <c r="Y69" s="67"/>
      <c r="Z69" s="67"/>
      <c r="AA69" s="184"/>
      <c r="AB69" s="169" t="str">
        <f t="shared" si="0"/>
        <v xml:space="preserve">  "50yen: 9,"</v>
      </c>
      <c r="AC69" s="33"/>
      <c r="AD69" s="33"/>
      <c r="AE69" s="33"/>
      <c r="AF69" s="33"/>
      <c r="AG69" s="33"/>
      <c r="AH69" s="33"/>
      <c r="AI69" s="33"/>
      <c r="AJ69" s="33"/>
      <c r="AK69" s="33"/>
      <c r="AL69" s="33"/>
      <c r="AM69" s="171"/>
      <c r="AN69" s="186"/>
      <c r="AO69" s="33"/>
      <c r="AP69" s="33"/>
      <c r="AQ69" s="33"/>
      <c r="AR69" s="33"/>
      <c r="AS69" s="182"/>
      <c r="AT69" s="183"/>
      <c r="AU69" s="33"/>
      <c r="AV69" s="33"/>
      <c r="AW69" s="33"/>
      <c r="AX69" s="33"/>
      <c r="AY69" s="33"/>
      <c r="AZ69" s="33"/>
      <c r="BA69" s="33"/>
      <c r="BB69" s="33"/>
      <c r="BC69" s="33"/>
      <c r="BD69" s="33"/>
      <c r="BE69" s="33"/>
      <c r="BF69" s="33"/>
      <c r="BG69" s="33"/>
      <c r="BH69" s="33"/>
      <c r="BI69" s="33"/>
      <c r="BJ69" s="171"/>
    </row>
    <row r="70" spans="1:62" ht="16.5">
      <c r="B70" s="66" t="s">
        <v>1325</v>
      </c>
      <c r="C70" s="67"/>
      <c r="D70" s="67"/>
      <c r="E70" s="67"/>
      <c r="F70" s="67"/>
      <c r="G70" s="67"/>
      <c r="H70" s="184"/>
      <c r="I70" s="185" t="s">
        <v>437</v>
      </c>
      <c r="J70" s="67"/>
      <c r="K70" s="184"/>
      <c r="L70" s="185"/>
      <c r="M70" s="67"/>
      <c r="N70" s="184"/>
      <c r="O70" s="185"/>
      <c r="P70" s="67"/>
      <c r="Q70" s="184"/>
      <c r="R70" s="185" t="s">
        <v>298</v>
      </c>
      <c r="S70" s="67"/>
      <c r="T70" s="67"/>
      <c r="U70" s="67"/>
      <c r="V70" s="67"/>
      <c r="W70" s="67"/>
      <c r="X70" s="67"/>
      <c r="Y70" s="67"/>
      <c r="Z70" s="67"/>
      <c r="AA70" s="184"/>
      <c r="AB70" s="169" t="str">
        <f t="shared" si="0"/>
        <v xml:space="preserve">  "10yen: 9,"</v>
      </c>
      <c r="AC70" s="33"/>
      <c r="AD70" s="33"/>
      <c r="AE70" s="33"/>
      <c r="AF70" s="33"/>
      <c r="AG70" s="33"/>
      <c r="AH70" s="33"/>
      <c r="AI70" s="33"/>
      <c r="AJ70" s="33"/>
      <c r="AK70" s="33"/>
      <c r="AL70" s="33"/>
      <c r="AM70" s="171"/>
      <c r="AN70" s="186"/>
      <c r="AO70" s="33"/>
      <c r="AP70" s="33"/>
      <c r="AQ70" s="33"/>
      <c r="AR70" s="33"/>
      <c r="AS70" s="182"/>
      <c r="AT70" s="183"/>
      <c r="AU70" s="33"/>
      <c r="AV70" s="33"/>
      <c r="AW70" s="33"/>
      <c r="AX70" s="33"/>
      <c r="AY70" s="33"/>
      <c r="AZ70" s="33"/>
      <c r="BA70" s="33"/>
      <c r="BB70" s="33"/>
      <c r="BC70" s="33"/>
      <c r="BD70" s="33"/>
      <c r="BE70" s="33"/>
      <c r="BF70" s="33"/>
      <c r="BG70" s="33"/>
      <c r="BH70" s="33"/>
      <c r="BI70" s="33"/>
      <c r="BJ70" s="171"/>
    </row>
    <row r="71" spans="1:62" ht="16.5">
      <c r="B71" s="66" t="s">
        <v>1326</v>
      </c>
      <c r="C71" s="67"/>
      <c r="D71" s="67"/>
      <c r="E71" s="67"/>
      <c r="F71" s="67"/>
      <c r="G71" s="67"/>
      <c r="H71" s="184"/>
      <c r="I71" s="185" t="s">
        <v>437</v>
      </c>
      <c r="J71" s="67"/>
      <c r="K71" s="184"/>
      <c r="L71" s="185"/>
      <c r="M71" s="67"/>
      <c r="N71" s="184"/>
      <c r="O71" s="185"/>
      <c r="P71" s="67"/>
      <c r="Q71" s="184"/>
      <c r="R71" s="185" t="s">
        <v>299</v>
      </c>
      <c r="S71" s="67"/>
      <c r="T71" s="67"/>
      <c r="U71" s="67"/>
      <c r="V71" s="67"/>
      <c r="W71" s="67"/>
      <c r="X71" s="67"/>
      <c r="Y71" s="67"/>
      <c r="Z71" s="67"/>
      <c r="AA71" s="184"/>
      <c r="AB71" s="169" t="str">
        <f t="shared" si="0"/>
        <v xml:space="preserve">  "5yen: 9,"</v>
      </c>
      <c r="AC71" s="33"/>
      <c r="AD71" s="33"/>
      <c r="AE71" s="33"/>
      <c r="AF71" s="33"/>
      <c r="AG71" s="33"/>
      <c r="AH71" s="33"/>
      <c r="AI71" s="33"/>
      <c r="AJ71" s="33"/>
      <c r="AK71" s="33"/>
      <c r="AL71" s="33"/>
      <c r="AM71" s="171"/>
      <c r="AN71" s="186"/>
      <c r="AO71" s="33"/>
      <c r="AP71" s="33"/>
      <c r="AQ71" s="33"/>
      <c r="AR71" s="33"/>
      <c r="AS71" s="182"/>
      <c r="AT71" s="183"/>
      <c r="AU71" s="33"/>
      <c r="AV71" s="33"/>
      <c r="AW71" s="33"/>
      <c r="AX71" s="33"/>
      <c r="AY71" s="33"/>
      <c r="AZ71" s="33"/>
      <c r="BA71" s="33"/>
      <c r="BB71" s="33"/>
      <c r="BC71" s="33"/>
      <c r="BD71" s="33"/>
      <c r="BE71" s="33"/>
      <c r="BF71" s="33"/>
      <c r="BG71" s="33"/>
      <c r="BH71" s="33"/>
      <c r="BI71" s="33"/>
      <c r="BJ71" s="171"/>
    </row>
    <row r="72" spans="1:62" ht="16.5">
      <c r="B72" s="66" t="s">
        <v>1327</v>
      </c>
      <c r="C72" s="67"/>
      <c r="D72" s="67"/>
      <c r="E72" s="67"/>
      <c r="F72" s="67"/>
      <c r="G72" s="67"/>
      <c r="H72" s="184"/>
      <c r="I72" s="185" t="s">
        <v>437</v>
      </c>
      <c r="J72" s="67"/>
      <c r="K72" s="184"/>
      <c r="L72" s="185"/>
      <c r="M72" s="67"/>
      <c r="N72" s="184"/>
      <c r="O72" s="185"/>
      <c r="P72" s="67"/>
      <c r="Q72" s="184"/>
      <c r="R72" s="185" t="s">
        <v>300</v>
      </c>
      <c r="S72" s="67"/>
      <c r="T72" s="67"/>
      <c r="U72" s="67"/>
      <c r="V72" s="67"/>
      <c r="W72" s="67"/>
      <c r="X72" s="67"/>
      <c r="Y72" s="67"/>
      <c r="Z72" s="67"/>
      <c r="AA72" s="184"/>
      <c r="AB72" s="169" t="str">
        <f t="shared" si="0"/>
        <v xml:space="preserve">  "1yen: 9,"</v>
      </c>
      <c r="AC72" s="33"/>
      <c r="AD72" s="33"/>
      <c r="AE72" s="33"/>
      <c r="AF72" s="33"/>
      <c r="AG72" s="33"/>
      <c r="AH72" s="33"/>
      <c r="AI72" s="33"/>
      <c r="AJ72" s="33"/>
      <c r="AK72" s="33"/>
      <c r="AL72" s="33"/>
      <c r="AM72" s="171"/>
      <c r="AN72" s="186"/>
      <c r="AO72" s="33"/>
      <c r="AP72" s="33"/>
      <c r="AQ72" s="33"/>
      <c r="AR72" s="33"/>
      <c r="AS72" s="182"/>
      <c r="AT72" s="183"/>
      <c r="AU72" s="33"/>
      <c r="AV72" s="33"/>
      <c r="AW72" s="33"/>
      <c r="AX72" s="33"/>
      <c r="AY72" s="33"/>
      <c r="AZ72" s="33"/>
      <c r="BA72" s="33"/>
      <c r="BB72" s="33"/>
      <c r="BC72" s="33"/>
      <c r="BD72" s="33"/>
      <c r="BE72" s="33"/>
      <c r="BF72" s="33"/>
      <c r="BG72" s="33"/>
      <c r="BH72" s="33"/>
      <c r="BI72" s="33"/>
      <c r="BJ72" s="171"/>
    </row>
    <row r="73" spans="1:62" ht="16.5">
      <c r="B73" s="66" t="s">
        <v>1316</v>
      </c>
      <c r="C73" s="67"/>
      <c r="D73" s="67"/>
      <c r="E73" s="67"/>
      <c r="F73" s="67"/>
      <c r="G73" s="67"/>
      <c r="H73" s="184"/>
      <c r="I73" s="185" t="s">
        <v>437</v>
      </c>
      <c r="J73" s="67"/>
      <c r="K73" s="184"/>
      <c r="L73" s="185"/>
      <c r="M73" s="67"/>
      <c r="N73" s="184"/>
      <c r="O73" s="185"/>
      <c r="P73" s="67"/>
      <c r="Q73" s="184"/>
      <c r="R73" s="185" t="s">
        <v>1328</v>
      </c>
      <c r="S73" s="67"/>
      <c r="T73" s="67"/>
      <c r="U73" s="67"/>
      <c r="V73" s="67"/>
      <c r="W73" s="67"/>
      <c r="X73" s="67"/>
      <c r="Y73" s="67"/>
      <c r="Z73" s="67"/>
      <c r="AA73" s="184"/>
      <c r="AB73" s="169" t="str">
        <f t="shared" si="0"/>
        <v xml:space="preserve">  "cassette: 9,"</v>
      </c>
      <c r="AC73" s="33"/>
      <c r="AD73" s="33"/>
      <c r="AE73" s="33"/>
      <c r="AF73" s="33"/>
      <c r="AG73" s="33"/>
      <c r="AH73" s="33"/>
      <c r="AI73" s="33"/>
      <c r="AJ73" s="33"/>
      <c r="AK73" s="33"/>
      <c r="AL73" s="33"/>
      <c r="AM73" s="171"/>
      <c r="AN73" s="186"/>
      <c r="AO73" s="33"/>
      <c r="AP73" s="33"/>
      <c r="AQ73" s="33"/>
      <c r="AR73" s="33"/>
      <c r="AS73" s="182"/>
      <c r="AT73" s="183"/>
      <c r="AU73" s="33"/>
      <c r="AV73" s="33"/>
      <c r="AW73" s="33"/>
      <c r="AX73" s="33"/>
      <c r="AY73" s="33"/>
      <c r="AZ73" s="33"/>
      <c r="BA73" s="33"/>
      <c r="BB73" s="33"/>
      <c r="BC73" s="33"/>
      <c r="BD73" s="33"/>
      <c r="BE73" s="33"/>
      <c r="BF73" s="33"/>
      <c r="BG73" s="33"/>
      <c r="BH73" s="33"/>
      <c r="BI73" s="33"/>
      <c r="BJ73" s="171"/>
    </row>
    <row r="74" spans="1:62">
      <c r="B74" s="120"/>
      <c r="C74" s="121"/>
      <c r="D74" s="121"/>
      <c r="E74" s="121"/>
      <c r="F74" s="121"/>
      <c r="G74" s="121"/>
      <c r="H74" s="187"/>
      <c r="I74" s="188"/>
      <c r="J74" s="121"/>
      <c r="K74" s="187"/>
      <c r="L74" s="188"/>
      <c r="M74" s="121"/>
      <c r="N74" s="187"/>
      <c r="O74" s="188"/>
      <c r="P74" s="121"/>
      <c r="Q74" s="187"/>
      <c r="R74" s="188"/>
      <c r="S74" s="121"/>
      <c r="T74" s="121"/>
      <c r="U74" s="121"/>
      <c r="V74" s="121"/>
      <c r="W74" s="121"/>
      <c r="X74" s="121"/>
      <c r="Y74" s="121"/>
      <c r="Z74" s="121"/>
      <c r="AA74" s="187"/>
      <c r="AB74" s="189" t="s">
        <v>1244</v>
      </c>
      <c r="AC74" s="190"/>
      <c r="AD74" s="190"/>
      <c r="AE74" s="190"/>
      <c r="AF74" s="190"/>
      <c r="AG74" s="190"/>
      <c r="AH74" s="190"/>
      <c r="AI74" s="190"/>
      <c r="AJ74" s="190"/>
      <c r="AK74" s="190"/>
      <c r="AL74" s="190"/>
      <c r="AM74" s="191"/>
      <c r="AN74" s="192"/>
      <c r="AO74" s="190"/>
      <c r="AP74" s="190"/>
      <c r="AQ74" s="190"/>
      <c r="AR74" s="190"/>
      <c r="AS74" s="193"/>
      <c r="AT74" s="189"/>
      <c r="AU74" s="190"/>
      <c r="AV74" s="190"/>
      <c r="AW74" s="190"/>
      <c r="AX74" s="190"/>
      <c r="AY74" s="190"/>
      <c r="AZ74" s="190"/>
      <c r="BA74" s="190"/>
      <c r="BB74" s="190"/>
      <c r="BC74" s="190"/>
      <c r="BD74" s="190"/>
      <c r="BE74" s="190"/>
      <c r="BF74" s="190"/>
      <c r="BG74" s="190"/>
      <c r="BH74" s="190"/>
      <c r="BI74" s="190"/>
      <c r="BJ74" s="191"/>
    </row>
    <row r="76" spans="1:62" ht="15" customHeight="1">
      <c r="A76" s="1"/>
      <c r="B76" s="128" t="s">
        <v>1245</v>
      </c>
      <c r="C76" s="129"/>
      <c r="D76" s="129"/>
      <c r="E76" s="129"/>
      <c r="F76" s="129"/>
      <c r="G76" s="129"/>
      <c r="H76" s="129"/>
      <c r="I76" s="129"/>
      <c r="J76" s="129"/>
      <c r="K76" s="129"/>
      <c r="L76" s="129"/>
      <c r="M76" s="129"/>
      <c r="N76" s="129"/>
      <c r="O76" s="129"/>
      <c r="P76" s="129"/>
      <c r="Q76" s="129"/>
      <c r="R76" s="129"/>
      <c r="S76" s="129"/>
      <c r="T76" s="129"/>
      <c r="U76" s="129"/>
      <c r="V76" s="129"/>
      <c r="W76" s="129"/>
      <c r="X76" s="129"/>
      <c r="Y76" s="129"/>
      <c r="Z76" s="129"/>
      <c r="AA76" s="129"/>
      <c r="AB76" s="129"/>
      <c r="AC76" s="129"/>
      <c r="AD76" s="129"/>
      <c r="AE76" s="129"/>
      <c r="AF76" s="129"/>
      <c r="AG76" s="129"/>
      <c r="AH76" s="129"/>
      <c r="AI76" s="129"/>
      <c r="AJ76" s="129"/>
      <c r="AK76" s="129"/>
      <c r="AL76" s="129"/>
      <c r="AM76" s="130"/>
      <c r="AN76" s="131" t="s">
        <v>1174</v>
      </c>
      <c r="AO76" s="132"/>
      <c r="AP76" s="132"/>
      <c r="AQ76" s="132"/>
      <c r="AR76" s="132"/>
      <c r="AS76" s="132"/>
      <c r="AT76" s="132"/>
      <c r="AU76" s="132"/>
      <c r="AV76" s="132"/>
      <c r="AW76" s="132"/>
      <c r="AX76" s="132"/>
      <c r="AY76" s="132"/>
      <c r="AZ76" s="132"/>
      <c r="BA76" s="132"/>
      <c r="BB76" s="132"/>
      <c r="BC76" s="132"/>
      <c r="BD76" s="132"/>
      <c r="BE76" s="132"/>
      <c r="BF76" s="132"/>
      <c r="BG76" s="132"/>
      <c r="BH76" s="133"/>
      <c r="BI76" s="133"/>
      <c r="BJ76" s="134"/>
    </row>
    <row r="77" spans="1:62" ht="15" customHeight="1">
      <c r="A77" s="1"/>
      <c r="B77" s="135" t="s">
        <v>1175</v>
      </c>
      <c r="C77" s="136"/>
      <c r="D77" s="136"/>
      <c r="E77" s="136"/>
      <c r="F77" s="136"/>
      <c r="G77" s="136"/>
      <c r="H77" s="136"/>
      <c r="I77" s="137" t="s">
        <v>1176</v>
      </c>
      <c r="J77" s="136"/>
      <c r="K77" s="136"/>
      <c r="L77" s="137" t="s">
        <v>1177</v>
      </c>
      <c r="M77" s="138"/>
      <c r="N77" s="138"/>
      <c r="O77" s="139" t="s">
        <v>1178</v>
      </c>
      <c r="P77" s="138"/>
      <c r="Q77" s="136"/>
      <c r="R77" s="137" t="s">
        <v>1179</v>
      </c>
      <c r="S77" s="138"/>
      <c r="T77" s="138"/>
      <c r="U77" s="136"/>
      <c r="V77" s="140"/>
      <c r="W77" s="140"/>
      <c r="X77" s="136"/>
      <c r="Y77" s="136"/>
      <c r="Z77" s="136"/>
      <c r="AA77" s="136"/>
      <c r="AB77" s="137" t="s">
        <v>1180</v>
      </c>
      <c r="AC77" s="136"/>
      <c r="AD77" s="136"/>
      <c r="AE77" s="136"/>
      <c r="AF77" s="140"/>
      <c r="AG77" s="140"/>
      <c r="AH77" s="140"/>
      <c r="AI77" s="136"/>
      <c r="AJ77" s="136"/>
      <c r="AK77" s="136"/>
      <c r="AL77" s="136"/>
      <c r="AM77" s="141"/>
      <c r="AN77" s="142"/>
      <c r="AO77" s="143"/>
      <c r="AP77" s="144"/>
      <c r="AQ77" s="143"/>
      <c r="AR77" s="143"/>
      <c r="AS77" s="143"/>
      <c r="AT77" s="143"/>
      <c r="AU77" s="143"/>
      <c r="AV77" s="143"/>
      <c r="AW77" s="143"/>
      <c r="AX77" s="143"/>
      <c r="AY77" s="143"/>
      <c r="AZ77" s="143"/>
      <c r="BA77" s="143"/>
      <c r="BB77" s="143"/>
      <c r="BC77" s="143"/>
      <c r="BD77" s="143"/>
      <c r="BE77" s="143"/>
      <c r="BF77" s="143"/>
      <c r="BG77" s="143"/>
      <c r="BH77" s="143"/>
      <c r="BI77" s="143"/>
      <c r="BJ77" s="145"/>
    </row>
    <row r="78" spans="1:62" ht="15" customHeight="1">
      <c r="A78" s="1"/>
      <c r="B78" s="146"/>
      <c r="C78" s="147"/>
      <c r="D78" s="147"/>
      <c r="E78" s="147"/>
      <c r="F78" s="147"/>
      <c r="G78" s="147"/>
      <c r="H78" s="148"/>
      <c r="I78" s="149"/>
      <c r="J78" s="147"/>
      <c r="K78" s="148"/>
      <c r="L78" s="150"/>
      <c r="M78" s="147"/>
      <c r="N78" s="148"/>
      <c r="O78" s="151"/>
      <c r="P78" s="147"/>
      <c r="Q78" s="148"/>
      <c r="R78" s="149"/>
      <c r="S78" s="147"/>
      <c r="T78" s="147"/>
      <c r="U78" s="147"/>
      <c r="V78" s="124"/>
      <c r="W78" s="124"/>
      <c r="X78" s="152"/>
      <c r="Y78" s="152"/>
      <c r="Z78" s="152"/>
      <c r="AA78" s="153"/>
      <c r="AB78" s="154" t="s">
        <v>1181</v>
      </c>
      <c r="AC78" s="155"/>
      <c r="AD78" s="155"/>
      <c r="AE78" s="155"/>
      <c r="AF78" s="156"/>
      <c r="AG78" s="156"/>
      <c r="AH78" s="156"/>
      <c r="AI78" s="155"/>
      <c r="AJ78" s="155"/>
      <c r="AK78" s="155"/>
      <c r="AL78" s="155"/>
      <c r="AM78" s="157"/>
      <c r="AN78" s="194" t="s">
        <v>1175</v>
      </c>
      <c r="AO78" s="195"/>
      <c r="AP78" s="195"/>
      <c r="AQ78" s="195"/>
      <c r="AR78" s="195"/>
      <c r="AS78" s="195"/>
      <c r="AT78" s="195"/>
      <c r="AU78" s="196" t="s">
        <v>1176</v>
      </c>
      <c r="AV78" s="195"/>
      <c r="AW78" s="195"/>
      <c r="AX78" s="196" t="s">
        <v>1246</v>
      </c>
      <c r="AY78" s="197"/>
      <c r="AZ78" s="197"/>
      <c r="BA78" s="197"/>
      <c r="BB78" s="197"/>
      <c r="BC78" s="197"/>
      <c r="BD78" s="197"/>
      <c r="BE78" s="197"/>
      <c r="BF78" s="197"/>
      <c r="BG78" s="197"/>
      <c r="BH78" s="197"/>
      <c r="BI78" s="197"/>
      <c r="BJ78" s="45"/>
    </row>
    <row r="79" spans="1:62" ht="15" customHeight="1">
      <c r="A79" s="1"/>
      <c r="B79" s="161" t="s">
        <v>1183</v>
      </c>
      <c r="C79" s="162"/>
      <c r="D79" s="162"/>
      <c r="E79" s="162"/>
      <c r="F79" s="162"/>
      <c r="G79" s="162"/>
      <c r="H79" s="163"/>
      <c r="I79" s="164" t="s">
        <v>1184</v>
      </c>
      <c r="J79" s="162"/>
      <c r="K79" s="163"/>
      <c r="L79" s="165" t="s">
        <v>1185</v>
      </c>
      <c r="M79" s="162"/>
      <c r="N79" s="163"/>
      <c r="O79" s="166" t="s">
        <v>1187</v>
      </c>
      <c r="P79" s="162"/>
      <c r="Q79" s="163"/>
      <c r="R79" s="164" t="s">
        <v>1188</v>
      </c>
      <c r="S79" s="162"/>
      <c r="T79" s="162"/>
      <c r="U79" s="162"/>
      <c r="V79" s="67"/>
      <c r="W79" s="67"/>
      <c r="X79" s="167"/>
      <c r="Y79" s="167"/>
      <c r="Z79" s="167"/>
      <c r="AA79" s="168"/>
      <c r="AB79" s="169" t="str">
        <f>"  """&amp;B79&amp;": ""300"","""</f>
        <v xml:space="preserve">  "company_code: "300","</v>
      </c>
      <c r="AC79" s="170"/>
      <c r="AD79" s="170"/>
      <c r="AE79" s="170"/>
      <c r="AF79" s="33"/>
      <c r="AG79" s="33"/>
      <c r="AH79" s="33"/>
      <c r="AI79" s="170"/>
      <c r="AJ79" s="170"/>
      <c r="AK79" s="170"/>
      <c r="AL79" s="170"/>
      <c r="AM79" s="171"/>
      <c r="AN79" s="146"/>
      <c r="AO79" s="147"/>
      <c r="AP79" s="147"/>
      <c r="AQ79" s="147"/>
      <c r="AR79" s="147"/>
      <c r="AS79" s="147"/>
      <c r="AT79" s="148"/>
      <c r="AU79" s="149"/>
      <c r="AV79" s="147"/>
      <c r="AW79" s="148"/>
      <c r="AX79" s="213" t="s">
        <v>1181</v>
      </c>
      <c r="AY79" s="214"/>
      <c r="AZ79" s="214"/>
      <c r="BA79" s="214"/>
      <c r="BB79" s="214"/>
      <c r="BC79" s="214"/>
      <c r="BD79" s="214"/>
      <c r="BE79" s="214"/>
      <c r="BF79" s="214"/>
      <c r="BG79" s="214"/>
      <c r="BH79" s="214"/>
      <c r="BI79" s="214"/>
      <c r="BJ79" s="125"/>
    </row>
    <row r="80" spans="1:62" ht="15" customHeight="1">
      <c r="A80" s="1"/>
      <c r="B80" s="161" t="s">
        <v>1189</v>
      </c>
      <c r="C80" s="162"/>
      <c r="D80" s="162"/>
      <c r="E80" s="162"/>
      <c r="F80" s="162"/>
      <c r="G80" s="162"/>
      <c r="H80" s="163"/>
      <c r="I80" s="164" t="s">
        <v>1184</v>
      </c>
      <c r="J80" s="162"/>
      <c r="K80" s="163"/>
      <c r="L80" s="175" t="s">
        <v>1185</v>
      </c>
      <c r="M80" s="162"/>
      <c r="N80" s="163"/>
      <c r="O80" s="166" t="s">
        <v>1187</v>
      </c>
      <c r="P80" s="162"/>
      <c r="Q80" s="163"/>
      <c r="R80" s="164" t="s">
        <v>1190</v>
      </c>
      <c r="S80" s="162"/>
      <c r="T80" s="162"/>
      <c r="U80" s="162"/>
      <c r="V80" s="67"/>
      <c r="W80" s="67"/>
      <c r="X80" s="167"/>
      <c r="Y80" s="167"/>
      <c r="Z80" s="167"/>
      <c r="AA80" s="168"/>
      <c r="AB80" s="169" t="str">
        <f>"  """&amp;B80&amp;": ""048405"","""</f>
        <v xml:space="preserve">  "store_code: "048405","</v>
      </c>
      <c r="AC80" s="170"/>
      <c r="AD80" s="170"/>
      <c r="AE80" s="170"/>
      <c r="AF80" s="33"/>
      <c r="AG80" s="33"/>
      <c r="AH80" s="33"/>
      <c r="AI80" s="170"/>
      <c r="AJ80" s="170"/>
      <c r="AK80" s="170"/>
      <c r="AL80" s="170"/>
      <c r="AM80" s="171"/>
      <c r="AN80" s="161" t="s">
        <v>212</v>
      </c>
      <c r="AO80" s="162"/>
      <c r="AP80" s="162"/>
      <c r="AQ80" s="162"/>
      <c r="AR80" s="162"/>
      <c r="AS80" s="162"/>
      <c r="AT80" s="163"/>
      <c r="AU80" s="164" t="s">
        <v>246</v>
      </c>
      <c r="AV80" s="162"/>
      <c r="AW80" s="163"/>
      <c r="AX80" s="215" t="s">
        <v>1247</v>
      </c>
      <c r="AY80" s="216"/>
      <c r="AZ80" s="216"/>
      <c r="BA80" s="216"/>
      <c r="BB80" s="216"/>
      <c r="BC80" s="216"/>
      <c r="BD80" s="216"/>
      <c r="BE80" s="216"/>
      <c r="BF80" s="216"/>
      <c r="BG80" s="216"/>
      <c r="BH80" s="216"/>
      <c r="BI80" s="216"/>
      <c r="BJ80" s="68"/>
    </row>
    <row r="81" spans="1:62" ht="15" customHeight="1">
      <c r="A81" s="127"/>
      <c r="B81" s="161" t="s">
        <v>1191</v>
      </c>
      <c r="C81" s="162"/>
      <c r="D81" s="162"/>
      <c r="E81" s="162"/>
      <c r="F81" s="162"/>
      <c r="G81" s="162"/>
      <c r="H81" s="163"/>
      <c r="I81" s="164" t="s">
        <v>1184</v>
      </c>
      <c r="J81" s="162"/>
      <c r="K81" s="163"/>
      <c r="L81" s="175" t="s">
        <v>1185</v>
      </c>
      <c r="M81" s="162"/>
      <c r="N81" s="163"/>
      <c r="O81" s="166" t="s">
        <v>1187</v>
      </c>
      <c r="P81" s="162"/>
      <c r="Q81" s="163"/>
      <c r="R81" s="164" t="s">
        <v>1192</v>
      </c>
      <c r="S81" s="162"/>
      <c r="T81" s="162"/>
      <c r="U81" s="162"/>
      <c r="V81" s="67"/>
      <c r="W81" s="67"/>
      <c r="X81" s="167"/>
      <c r="Y81" s="167"/>
      <c r="Z81" s="167"/>
      <c r="AA81" s="168"/>
      <c r="AB81" s="169" t="str">
        <f>"  """&amp;B81&amp;": ""901"","""</f>
        <v xml:space="preserve">  "instore_code: "901","</v>
      </c>
      <c r="AC81" s="170"/>
      <c r="AD81" s="170"/>
      <c r="AE81" s="170"/>
      <c r="AF81" s="33"/>
      <c r="AG81" s="33"/>
      <c r="AH81" s="33"/>
      <c r="AI81" s="170"/>
      <c r="AJ81" s="170"/>
      <c r="AK81" s="170"/>
      <c r="AL81" s="170"/>
      <c r="AM81" s="171"/>
      <c r="AN81" s="161" t="s">
        <v>214</v>
      </c>
      <c r="AO81" s="162"/>
      <c r="AP81" s="162"/>
      <c r="AQ81" s="162"/>
      <c r="AR81" s="162"/>
      <c r="AS81" s="162"/>
      <c r="AT81" s="163"/>
      <c r="AU81" s="164" t="s">
        <v>246</v>
      </c>
      <c r="AV81" s="162"/>
      <c r="AW81" s="163"/>
      <c r="AX81" s="215" t="s">
        <v>1248</v>
      </c>
      <c r="AY81" s="217"/>
      <c r="AZ81" s="217"/>
      <c r="BA81" s="217"/>
      <c r="BB81" s="217"/>
      <c r="BC81" s="217"/>
      <c r="BD81" s="217"/>
      <c r="BE81" s="217"/>
      <c r="BF81" s="217"/>
      <c r="BG81" s="217"/>
      <c r="BH81" s="67"/>
      <c r="BI81" s="67"/>
      <c r="BJ81" s="68"/>
    </row>
    <row r="82" spans="1:62" ht="16.5">
      <c r="A82" s="4"/>
      <c r="B82" s="218" t="s">
        <v>1195</v>
      </c>
      <c r="C82" s="219"/>
      <c r="D82" s="219"/>
      <c r="E82" s="219"/>
      <c r="F82" s="219"/>
      <c r="G82" s="219"/>
      <c r="H82" s="220"/>
      <c r="I82" s="221" t="s">
        <v>437</v>
      </c>
      <c r="J82" s="219"/>
      <c r="K82" s="220"/>
      <c r="L82" s="222"/>
      <c r="M82" s="219"/>
      <c r="N82" s="220"/>
      <c r="O82" s="223" t="s">
        <v>1329</v>
      </c>
      <c r="P82" s="219"/>
      <c r="Q82" s="220"/>
      <c r="R82" s="221" t="s">
        <v>307</v>
      </c>
      <c r="S82" s="219"/>
      <c r="T82" s="219"/>
      <c r="U82" s="219"/>
      <c r="V82" s="204"/>
      <c r="W82" s="204"/>
      <c r="X82" s="224"/>
      <c r="Y82" s="224"/>
      <c r="Z82" s="224"/>
      <c r="AA82" s="225"/>
      <c r="AB82" s="169" t="s">
        <v>1252</v>
      </c>
      <c r="AC82" s="170"/>
      <c r="AD82" s="170"/>
      <c r="AE82" s="170"/>
      <c r="AF82" s="33"/>
      <c r="AG82" s="33"/>
      <c r="AH82" s="33"/>
      <c r="AI82" s="170"/>
      <c r="AJ82" s="170"/>
      <c r="AK82" s="170"/>
      <c r="AL82" s="170"/>
      <c r="AM82" s="171"/>
      <c r="AN82" s="161" t="s">
        <v>216</v>
      </c>
      <c r="AO82" s="162"/>
      <c r="AP82" s="162"/>
      <c r="AQ82" s="162"/>
      <c r="AR82" s="162"/>
      <c r="AS82" s="162"/>
      <c r="AT82" s="163"/>
      <c r="AU82" s="164" t="s">
        <v>246</v>
      </c>
      <c r="AV82" s="162"/>
      <c r="AW82" s="163"/>
      <c r="AX82" s="215" t="s">
        <v>1250</v>
      </c>
      <c r="AY82" s="162"/>
      <c r="AZ82" s="162"/>
      <c r="BA82" s="162"/>
      <c r="BB82" s="162"/>
      <c r="BC82" s="162"/>
      <c r="BD82" s="162"/>
      <c r="BE82" s="162"/>
      <c r="BF82" s="162"/>
      <c r="BG82" s="162"/>
      <c r="BH82" s="162"/>
      <c r="BI82" s="162"/>
      <c r="BJ82" s="68"/>
    </row>
    <row r="83" spans="1:62">
      <c r="B83" s="66"/>
      <c r="C83" s="67"/>
      <c r="D83" s="67"/>
      <c r="E83" s="67"/>
      <c r="F83" s="67"/>
      <c r="G83" s="67"/>
      <c r="H83" s="184"/>
      <c r="I83" s="185"/>
      <c r="J83" s="67"/>
      <c r="K83" s="184"/>
      <c r="L83" s="185"/>
      <c r="M83" s="67"/>
      <c r="N83" s="184"/>
      <c r="O83" s="185"/>
      <c r="P83" s="67"/>
      <c r="Q83" s="184"/>
      <c r="R83" s="185"/>
      <c r="S83" s="67"/>
      <c r="T83" s="67"/>
      <c r="U83" s="67"/>
      <c r="V83" s="67"/>
      <c r="W83" s="67"/>
      <c r="X83" s="67"/>
      <c r="Y83" s="67"/>
      <c r="Z83" s="67"/>
      <c r="AA83" s="184"/>
      <c r="AB83" s="226" t="s">
        <v>1244</v>
      </c>
      <c r="AC83" s="227"/>
      <c r="AD83" s="227"/>
      <c r="AE83" s="227"/>
      <c r="AF83" s="227"/>
      <c r="AG83" s="227"/>
      <c r="AH83" s="227"/>
      <c r="AI83" s="227"/>
      <c r="AJ83" s="227"/>
      <c r="AK83" s="227"/>
      <c r="AL83" s="227"/>
      <c r="AM83" s="228"/>
      <c r="AN83" s="66" t="s">
        <v>60</v>
      </c>
      <c r="AO83" s="67"/>
      <c r="AP83" s="67"/>
      <c r="AQ83" s="67"/>
      <c r="AR83" s="67"/>
      <c r="AS83" s="67"/>
      <c r="AT83" s="184"/>
      <c r="AU83" s="185" t="s">
        <v>246</v>
      </c>
      <c r="AV83" s="67"/>
      <c r="AW83" s="184"/>
      <c r="AX83" s="185" t="s">
        <v>1251</v>
      </c>
      <c r="AY83" s="67"/>
      <c r="AZ83" s="67"/>
      <c r="BA83" s="67"/>
      <c r="BB83" s="67"/>
      <c r="BC83" s="67"/>
      <c r="BD83" s="67"/>
      <c r="BE83" s="67"/>
      <c r="BF83" s="67"/>
      <c r="BG83" s="67"/>
      <c r="BH83" s="67"/>
      <c r="BI83" s="67"/>
      <c r="BJ83" s="68"/>
    </row>
    <row r="84" spans="1:62">
      <c r="B84" s="66"/>
      <c r="C84" s="67"/>
      <c r="D84" s="67"/>
      <c r="E84" s="67"/>
      <c r="F84" s="67"/>
      <c r="G84" s="67"/>
      <c r="H84" s="184"/>
      <c r="I84" s="185"/>
      <c r="J84" s="67"/>
      <c r="K84" s="184"/>
      <c r="L84" s="185"/>
      <c r="M84" s="67"/>
      <c r="N84" s="184"/>
      <c r="O84" s="185"/>
      <c r="P84" s="67"/>
      <c r="Q84" s="184"/>
      <c r="R84" s="185"/>
      <c r="S84" s="67"/>
      <c r="T84" s="67"/>
      <c r="U84" s="67"/>
      <c r="V84" s="67"/>
      <c r="W84" s="67"/>
      <c r="X84" s="67"/>
      <c r="Y84" s="67"/>
      <c r="Z84" s="67"/>
      <c r="AA84" s="184"/>
      <c r="AB84" s="185"/>
      <c r="AC84" s="67"/>
      <c r="AD84" s="67"/>
      <c r="AE84" s="67"/>
      <c r="AF84" s="67"/>
      <c r="AG84" s="67"/>
      <c r="AH84" s="67"/>
      <c r="AI84" s="67"/>
      <c r="AJ84" s="67"/>
      <c r="AK84" s="67"/>
      <c r="AL84" s="67"/>
      <c r="AM84" s="67"/>
      <c r="AN84" s="66" t="s">
        <v>1195</v>
      </c>
      <c r="AO84" s="67"/>
      <c r="AP84" s="67"/>
      <c r="AQ84" s="67"/>
      <c r="AR84" s="67"/>
      <c r="AS84" s="67"/>
      <c r="AT84" s="184"/>
      <c r="AU84" s="185" t="s">
        <v>437</v>
      </c>
      <c r="AV84" s="67"/>
      <c r="AW84" s="184"/>
      <c r="AX84" s="185" t="s">
        <v>1252</v>
      </c>
      <c r="AY84" s="67"/>
      <c r="AZ84" s="67"/>
      <c r="BA84" s="67"/>
      <c r="BB84" s="67"/>
      <c r="BC84" s="67"/>
      <c r="BD84" s="67"/>
      <c r="BE84" s="67"/>
      <c r="BF84" s="67"/>
      <c r="BG84" s="67"/>
      <c r="BH84" s="67"/>
      <c r="BI84" s="67"/>
      <c r="BJ84" s="68"/>
    </row>
    <row r="85" spans="1:62">
      <c r="B85" s="66"/>
      <c r="C85" s="67"/>
      <c r="D85" s="67"/>
      <c r="E85" s="67"/>
      <c r="F85" s="67"/>
      <c r="G85" s="67"/>
      <c r="H85" s="184"/>
      <c r="I85" s="185"/>
      <c r="J85" s="67"/>
      <c r="K85" s="184"/>
      <c r="L85" s="185"/>
      <c r="M85" s="67"/>
      <c r="N85" s="184"/>
      <c r="O85" s="185"/>
      <c r="P85" s="67"/>
      <c r="Q85" s="184"/>
      <c r="R85" s="185"/>
      <c r="S85" s="67"/>
      <c r="T85" s="67"/>
      <c r="U85" s="67"/>
      <c r="V85" s="67"/>
      <c r="W85" s="67"/>
      <c r="X85" s="67"/>
      <c r="Y85" s="67"/>
      <c r="Z85" s="67"/>
      <c r="AA85" s="184"/>
      <c r="AB85" s="185"/>
      <c r="AC85" s="67"/>
      <c r="AD85" s="67"/>
      <c r="AE85" s="67"/>
      <c r="AF85" s="67"/>
      <c r="AG85" s="67"/>
      <c r="AH85" s="67"/>
      <c r="AI85" s="67"/>
      <c r="AJ85" s="67"/>
      <c r="AK85" s="67"/>
      <c r="AL85" s="67"/>
      <c r="AM85" s="67"/>
      <c r="AN85" s="66" t="s">
        <v>1318</v>
      </c>
      <c r="AO85" s="67"/>
      <c r="AP85" s="67"/>
      <c r="AQ85" s="67"/>
      <c r="AR85" s="67"/>
      <c r="AS85" s="67"/>
      <c r="AT85" s="184"/>
      <c r="AU85" s="185" t="s">
        <v>437</v>
      </c>
      <c r="AV85" s="67"/>
      <c r="AW85" s="184"/>
      <c r="AX85" s="185" t="s">
        <v>1330</v>
      </c>
      <c r="AY85" s="67"/>
      <c r="AZ85" s="67"/>
      <c r="BA85" s="67"/>
      <c r="BB85" s="67"/>
      <c r="BC85" s="67"/>
      <c r="BD85" s="67"/>
      <c r="BE85" s="67"/>
      <c r="BF85" s="67"/>
      <c r="BG85" s="67"/>
      <c r="BH85" s="67"/>
      <c r="BI85" s="67"/>
      <c r="BJ85" s="68"/>
    </row>
    <row r="86" spans="1:62">
      <c r="B86" s="66"/>
      <c r="C86" s="67"/>
      <c r="D86" s="67"/>
      <c r="E86" s="67"/>
      <c r="F86" s="67"/>
      <c r="G86" s="67"/>
      <c r="H86" s="184"/>
      <c r="I86" s="185"/>
      <c r="J86" s="67"/>
      <c r="K86" s="184"/>
      <c r="L86" s="185"/>
      <c r="M86" s="67"/>
      <c r="N86" s="184"/>
      <c r="O86" s="185"/>
      <c r="P86" s="67"/>
      <c r="Q86" s="184"/>
      <c r="R86" s="185"/>
      <c r="S86" s="67"/>
      <c r="T86" s="67"/>
      <c r="U86" s="67"/>
      <c r="V86" s="67"/>
      <c r="W86" s="67"/>
      <c r="X86" s="67"/>
      <c r="Y86" s="67"/>
      <c r="Z86" s="67"/>
      <c r="AA86" s="184"/>
      <c r="AB86" s="185"/>
      <c r="AC86" s="67"/>
      <c r="AD86" s="67"/>
      <c r="AE86" s="67"/>
      <c r="AF86" s="67"/>
      <c r="AG86" s="67"/>
      <c r="AH86" s="67"/>
      <c r="AI86" s="67"/>
      <c r="AJ86" s="67"/>
      <c r="AK86" s="67"/>
      <c r="AL86" s="67"/>
      <c r="AM86" s="67"/>
      <c r="AN86" s="66" t="s">
        <v>1319</v>
      </c>
      <c r="AO86" s="67"/>
      <c r="AP86" s="67"/>
      <c r="AQ86" s="67"/>
      <c r="AR86" s="67"/>
      <c r="AS86" s="67"/>
      <c r="AT86" s="184"/>
      <c r="AU86" s="185" t="s">
        <v>437</v>
      </c>
      <c r="AV86" s="67"/>
      <c r="AW86" s="184"/>
      <c r="AX86" s="185" t="s">
        <v>1331</v>
      </c>
      <c r="AY86" s="67"/>
      <c r="AZ86" s="67"/>
      <c r="BA86" s="67"/>
      <c r="BB86" s="67"/>
      <c r="BC86" s="67"/>
      <c r="BD86" s="67"/>
      <c r="BE86" s="67"/>
      <c r="BF86" s="67"/>
      <c r="BG86" s="67"/>
      <c r="BH86" s="67"/>
      <c r="BI86" s="67"/>
      <c r="BJ86" s="68"/>
    </row>
    <row r="87" spans="1:62">
      <c r="B87" s="66"/>
      <c r="C87" s="67"/>
      <c r="D87" s="67"/>
      <c r="E87" s="67"/>
      <c r="F87" s="67"/>
      <c r="G87" s="67"/>
      <c r="H87" s="184"/>
      <c r="I87" s="185"/>
      <c r="J87" s="67"/>
      <c r="K87" s="184"/>
      <c r="L87" s="185"/>
      <c r="M87" s="67"/>
      <c r="N87" s="184"/>
      <c r="O87" s="185"/>
      <c r="P87" s="67"/>
      <c r="Q87" s="184"/>
      <c r="R87" s="185"/>
      <c r="S87" s="67"/>
      <c r="T87" s="67"/>
      <c r="U87" s="67"/>
      <c r="V87" s="67"/>
      <c r="W87" s="67"/>
      <c r="X87" s="67"/>
      <c r="Y87" s="67"/>
      <c r="Z87" s="67"/>
      <c r="AA87" s="184"/>
      <c r="AB87" s="185"/>
      <c r="AC87" s="67"/>
      <c r="AD87" s="67"/>
      <c r="AE87" s="67"/>
      <c r="AF87" s="67"/>
      <c r="AG87" s="67"/>
      <c r="AH87" s="67"/>
      <c r="AI87" s="67"/>
      <c r="AJ87" s="67"/>
      <c r="AK87" s="67"/>
      <c r="AL87" s="67"/>
      <c r="AM87" s="67"/>
      <c r="AN87" s="66" t="s">
        <v>1320</v>
      </c>
      <c r="AO87" s="67"/>
      <c r="AP87" s="67"/>
      <c r="AQ87" s="67"/>
      <c r="AR87" s="67"/>
      <c r="AS87" s="67"/>
      <c r="AT87" s="184"/>
      <c r="AU87" s="185" t="s">
        <v>437</v>
      </c>
      <c r="AV87" s="67"/>
      <c r="AW87" s="184"/>
      <c r="AX87" s="185" t="s">
        <v>1332</v>
      </c>
      <c r="AY87" s="67"/>
      <c r="AZ87" s="67"/>
      <c r="BA87" s="67"/>
      <c r="BB87" s="67"/>
      <c r="BC87" s="67"/>
      <c r="BD87" s="67"/>
      <c r="BE87" s="67"/>
      <c r="BF87" s="67"/>
      <c r="BG87" s="67"/>
      <c r="BH87" s="67"/>
      <c r="BI87" s="67"/>
      <c r="BJ87" s="68"/>
    </row>
    <row r="88" spans="1:62">
      <c r="B88" s="66"/>
      <c r="C88" s="67"/>
      <c r="D88" s="67"/>
      <c r="E88" s="67"/>
      <c r="F88" s="67"/>
      <c r="G88" s="67"/>
      <c r="H88" s="184"/>
      <c r="I88" s="185"/>
      <c r="J88" s="67"/>
      <c r="K88" s="184"/>
      <c r="L88" s="185"/>
      <c r="M88" s="67"/>
      <c r="N88" s="184"/>
      <c r="O88" s="185"/>
      <c r="P88" s="67"/>
      <c r="Q88" s="184"/>
      <c r="R88" s="185"/>
      <c r="S88" s="67"/>
      <c r="T88" s="67"/>
      <c r="U88" s="67"/>
      <c r="V88" s="67"/>
      <c r="W88" s="67"/>
      <c r="X88" s="67"/>
      <c r="Y88" s="67"/>
      <c r="Z88" s="67"/>
      <c r="AA88" s="184"/>
      <c r="AB88" s="185"/>
      <c r="AC88" s="67"/>
      <c r="AD88" s="67"/>
      <c r="AE88" s="67"/>
      <c r="AF88" s="67"/>
      <c r="AG88" s="67"/>
      <c r="AH88" s="67"/>
      <c r="AI88" s="67"/>
      <c r="AJ88" s="67"/>
      <c r="AK88" s="67"/>
      <c r="AL88" s="67"/>
      <c r="AM88" s="67"/>
      <c r="AN88" s="66" t="s">
        <v>1321</v>
      </c>
      <c r="AO88" s="67"/>
      <c r="AP88" s="67"/>
      <c r="AQ88" s="67"/>
      <c r="AR88" s="67"/>
      <c r="AS88" s="67"/>
      <c r="AT88" s="184"/>
      <c r="AU88" s="185" t="s">
        <v>437</v>
      </c>
      <c r="AV88" s="67"/>
      <c r="AW88" s="184"/>
      <c r="AX88" s="185" t="s">
        <v>1333</v>
      </c>
      <c r="AY88" s="67"/>
      <c r="AZ88" s="67"/>
      <c r="BA88" s="67"/>
      <c r="BB88" s="67"/>
      <c r="BC88" s="67"/>
      <c r="BD88" s="67"/>
      <c r="BE88" s="67"/>
      <c r="BF88" s="67"/>
      <c r="BG88" s="67"/>
      <c r="BH88" s="67"/>
      <c r="BI88" s="67"/>
      <c r="BJ88" s="68"/>
    </row>
    <row r="89" spans="1:62">
      <c r="B89" s="66"/>
      <c r="C89" s="67"/>
      <c r="D89" s="67"/>
      <c r="E89" s="67"/>
      <c r="F89" s="67"/>
      <c r="G89" s="67"/>
      <c r="H89" s="184"/>
      <c r="I89" s="185"/>
      <c r="J89" s="67"/>
      <c r="K89" s="184"/>
      <c r="L89" s="185"/>
      <c r="M89" s="67"/>
      <c r="N89" s="184"/>
      <c r="O89" s="185"/>
      <c r="P89" s="67"/>
      <c r="Q89" s="184"/>
      <c r="R89" s="185"/>
      <c r="S89" s="67"/>
      <c r="T89" s="67"/>
      <c r="U89" s="67"/>
      <c r="V89" s="67"/>
      <c r="W89" s="67"/>
      <c r="X89" s="67"/>
      <c r="Y89" s="67"/>
      <c r="Z89" s="67"/>
      <c r="AA89" s="184"/>
      <c r="AB89" s="185"/>
      <c r="AC89" s="67"/>
      <c r="AD89" s="67"/>
      <c r="AE89" s="67"/>
      <c r="AF89" s="67"/>
      <c r="AG89" s="67"/>
      <c r="AH89" s="67"/>
      <c r="AI89" s="67"/>
      <c r="AJ89" s="67"/>
      <c r="AK89" s="67"/>
      <c r="AL89" s="67"/>
      <c r="AM89" s="67"/>
      <c r="AN89" s="66" t="s">
        <v>1322</v>
      </c>
      <c r="AO89" s="67"/>
      <c r="AP89" s="67"/>
      <c r="AQ89" s="67"/>
      <c r="AR89" s="67"/>
      <c r="AS89" s="67"/>
      <c r="AT89" s="184"/>
      <c r="AU89" s="185" t="s">
        <v>437</v>
      </c>
      <c r="AV89" s="67"/>
      <c r="AW89" s="184"/>
      <c r="AX89" s="185" t="s">
        <v>1334</v>
      </c>
      <c r="AY89" s="67"/>
      <c r="AZ89" s="67"/>
      <c r="BA89" s="67"/>
      <c r="BB89" s="67"/>
      <c r="BC89" s="67"/>
      <c r="BD89" s="67"/>
      <c r="BE89" s="67"/>
      <c r="BF89" s="67"/>
      <c r="BG89" s="67"/>
      <c r="BH89" s="67"/>
      <c r="BI89" s="67"/>
      <c r="BJ89" s="68"/>
    </row>
    <row r="90" spans="1:62">
      <c r="B90" s="66"/>
      <c r="C90" s="67"/>
      <c r="D90" s="67"/>
      <c r="E90" s="67"/>
      <c r="F90" s="67"/>
      <c r="G90" s="67"/>
      <c r="H90" s="184"/>
      <c r="I90" s="185"/>
      <c r="J90" s="67"/>
      <c r="K90" s="184"/>
      <c r="L90" s="185"/>
      <c r="M90" s="67"/>
      <c r="N90" s="184"/>
      <c r="O90" s="185"/>
      <c r="P90" s="67"/>
      <c r="Q90" s="184"/>
      <c r="R90" s="185"/>
      <c r="S90" s="67"/>
      <c r="T90" s="67"/>
      <c r="U90" s="67"/>
      <c r="V90" s="67"/>
      <c r="W90" s="67"/>
      <c r="X90" s="67"/>
      <c r="Y90" s="67"/>
      <c r="Z90" s="67"/>
      <c r="AA90" s="184"/>
      <c r="AB90" s="185"/>
      <c r="AC90" s="67"/>
      <c r="AD90" s="67"/>
      <c r="AE90" s="67"/>
      <c r="AF90" s="67"/>
      <c r="AG90" s="67"/>
      <c r="AH90" s="67"/>
      <c r="AI90" s="67"/>
      <c r="AJ90" s="67"/>
      <c r="AK90" s="67"/>
      <c r="AL90" s="67"/>
      <c r="AM90" s="67"/>
      <c r="AN90" s="66" t="s">
        <v>1323</v>
      </c>
      <c r="AO90" s="67"/>
      <c r="AP90" s="67"/>
      <c r="AQ90" s="67"/>
      <c r="AR90" s="67"/>
      <c r="AS90" s="67"/>
      <c r="AT90" s="184"/>
      <c r="AU90" s="185" t="s">
        <v>437</v>
      </c>
      <c r="AV90" s="67"/>
      <c r="AW90" s="184"/>
      <c r="AX90" s="185" t="s">
        <v>1335</v>
      </c>
      <c r="AY90" s="67"/>
      <c r="AZ90" s="67"/>
      <c r="BA90" s="67"/>
      <c r="BB90" s="67"/>
      <c r="BC90" s="67"/>
      <c r="BD90" s="67"/>
      <c r="BE90" s="67"/>
      <c r="BF90" s="67"/>
      <c r="BG90" s="67"/>
      <c r="BH90" s="67"/>
      <c r="BI90" s="67"/>
      <c r="BJ90" s="68"/>
    </row>
    <row r="91" spans="1:62">
      <c r="B91" s="66"/>
      <c r="C91" s="67"/>
      <c r="D91" s="67"/>
      <c r="E91" s="67"/>
      <c r="F91" s="67"/>
      <c r="G91" s="67"/>
      <c r="H91" s="184"/>
      <c r="I91" s="185"/>
      <c r="J91" s="67"/>
      <c r="K91" s="184"/>
      <c r="L91" s="185"/>
      <c r="M91" s="67"/>
      <c r="N91" s="184"/>
      <c r="O91" s="185"/>
      <c r="P91" s="67"/>
      <c r="Q91" s="184"/>
      <c r="R91" s="185"/>
      <c r="S91" s="67"/>
      <c r="T91" s="67"/>
      <c r="U91" s="67"/>
      <c r="V91" s="67"/>
      <c r="W91" s="67"/>
      <c r="X91" s="67"/>
      <c r="Y91" s="67"/>
      <c r="Z91" s="67"/>
      <c r="AA91" s="184"/>
      <c r="AB91" s="185"/>
      <c r="AC91" s="67"/>
      <c r="AD91" s="67"/>
      <c r="AE91" s="67"/>
      <c r="AF91" s="67"/>
      <c r="AG91" s="67"/>
      <c r="AH91" s="67"/>
      <c r="AI91" s="67"/>
      <c r="AJ91" s="67"/>
      <c r="AK91" s="67"/>
      <c r="AL91" s="67"/>
      <c r="AM91" s="67"/>
      <c r="AN91" s="66" t="s">
        <v>1324</v>
      </c>
      <c r="AO91" s="67"/>
      <c r="AP91" s="67"/>
      <c r="AQ91" s="67"/>
      <c r="AR91" s="67"/>
      <c r="AS91" s="67"/>
      <c r="AT91" s="184"/>
      <c r="AU91" s="185" t="s">
        <v>437</v>
      </c>
      <c r="AV91" s="67"/>
      <c r="AW91" s="184"/>
      <c r="AX91" s="185" t="s">
        <v>1336</v>
      </c>
      <c r="AY91" s="67"/>
      <c r="AZ91" s="67"/>
      <c r="BA91" s="67"/>
      <c r="BB91" s="67"/>
      <c r="BC91" s="67"/>
      <c r="BD91" s="67"/>
      <c r="BE91" s="67"/>
      <c r="BF91" s="67"/>
      <c r="BG91" s="67"/>
      <c r="BH91" s="67"/>
      <c r="BI91" s="67"/>
      <c r="BJ91" s="68"/>
    </row>
    <row r="92" spans="1:62">
      <c r="B92" s="66"/>
      <c r="C92" s="67"/>
      <c r="D92" s="67"/>
      <c r="E92" s="67"/>
      <c r="F92" s="67"/>
      <c r="G92" s="67"/>
      <c r="H92" s="184"/>
      <c r="I92" s="185"/>
      <c r="J92" s="67"/>
      <c r="K92" s="184"/>
      <c r="L92" s="185"/>
      <c r="M92" s="67"/>
      <c r="N92" s="184"/>
      <c r="O92" s="185"/>
      <c r="P92" s="67"/>
      <c r="Q92" s="184"/>
      <c r="R92" s="185"/>
      <c r="S92" s="67"/>
      <c r="T92" s="67"/>
      <c r="U92" s="67"/>
      <c r="V92" s="67"/>
      <c r="W92" s="67"/>
      <c r="X92" s="67"/>
      <c r="Y92" s="67"/>
      <c r="Z92" s="67"/>
      <c r="AA92" s="184"/>
      <c r="AB92" s="185"/>
      <c r="AC92" s="67"/>
      <c r="AD92" s="67"/>
      <c r="AE92" s="67"/>
      <c r="AF92" s="67"/>
      <c r="AG92" s="67"/>
      <c r="AH92" s="67"/>
      <c r="AI92" s="67"/>
      <c r="AJ92" s="67"/>
      <c r="AK92" s="67"/>
      <c r="AL92" s="67"/>
      <c r="AM92" s="67"/>
      <c r="AN92" s="66" t="s">
        <v>1325</v>
      </c>
      <c r="AO92" s="67"/>
      <c r="AP92" s="67"/>
      <c r="AQ92" s="67"/>
      <c r="AR92" s="67"/>
      <c r="AS92" s="67"/>
      <c r="AT92" s="184"/>
      <c r="AU92" s="185" t="s">
        <v>437</v>
      </c>
      <c r="AV92" s="67"/>
      <c r="AW92" s="184"/>
      <c r="AX92" s="185" t="s">
        <v>1337</v>
      </c>
      <c r="AY92" s="67"/>
      <c r="AZ92" s="67"/>
      <c r="BA92" s="67"/>
      <c r="BB92" s="67"/>
      <c r="BC92" s="67"/>
      <c r="BD92" s="67"/>
      <c r="BE92" s="67"/>
      <c r="BF92" s="67"/>
      <c r="BG92" s="67"/>
      <c r="BH92" s="67"/>
      <c r="BI92" s="67"/>
      <c r="BJ92" s="68"/>
    </row>
    <row r="93" spans="1:62">
      <c r="B93" s="66"/>
      <c r="C93" s="67"/>
      <c r="D93" s="67"/>
      <c r="E93" s="67"/>
      <c r="F93" s="67"/>
      <c r="G93" s="67"/>
      <c r="H93" s="184"/>
      <c r="I93" s="185"/>
      <c r="J93" s="67"/>
      <c r="K93" s="184"/>
      <c r="L93" s="185"/>
      <c r="M93" s="67"/>
      <c r="N93" s="184"/>
      <c r="O93" s="185"/>
      <c r="P93" s="67"/>
      <c r="Q93" s="184"/>
      <c r="R93" s="185"/>
      <c r="S93" s="67"/>
      <c r="T93" s="67"/>
      <c r="U93" s="67"/>
      <c r="V93" s="67"/>
      <c r="W93" s="67"/>
      <c r="X93" s="67"/>
      <c r="Y93" s="67"/>
      <c r="Z93" s="67"/>
      <c r="AA93" s="184"/>
      <c r="AB93" s="185"/>
      <c r="AC93" s="67"/>
      <c r="AD93" s="67"/>
      <c r="AE93" s="67"/>
      <c r="AF93" s="67"/>
      <c r="AG93" s="67"/>
      <c r="AH93" s="67"/>
      <c r="AI93" s="67"/>
      <c r="AJ93" s="67"/>
      <c r="AK93" s="67"/>
      <c r="AL93" s="67"/>
      <c r="AM93" s="67"/>
      <c r="AN93" s="66" t="s">
        <v>1326</v>
      </c>
      <c r="AO93" s="67"/>
      <c r="AP93" s="67"/>
      <c r="AQ93" s="67"/>
      <c r="AR93" s="67"/>
      <c r="AS93" s="67"/>
      <c r="AT93" s="184"/>
      <c r="AU93" s="185" t="s">
        <v>437</v>
      </c>
      <c r="AV93" s="67"/>
      <c r="AW93" s="184"/>
      <c r="AX93" s="185" t="s">
        <v>1338</v>
      </c>
      <c r="AY93" s="67"/>
      <c r="AZ93" s="67"/>
      <c r="BA93" s="67"/>
      <c r="BB93" s="67"/>
      <c r="BC93" s="67"/>
      <c r="BD93" s="67"/>
      <c r="BE93" s="67"/>
      <c r="BF93" s="67"/>
      <c r="BG93" s="67"/>
      <c r="BH93" s="67"/>
      <c r="BI93" s="67"/>
      <c r="BJ93" s="68"/>
    </row>
    <row r="94" spans="1:62">
      <c r="B94" s="66"/>
      <c r="C94" s="67"/>
      <c r="D94" s="67"/>
      <c r="E94" s="67"/>
      <c r="F94" s="67"/>
      <c r="G94" s="67"/>
      <c r="H94" s="184"/>
      <c r="I94" s="185"/>
      <c r="J94" s="67"/>
      <c r="K94" s="184"/>
      <c r="L94" s="185"/>
      <c r="M94" s="67"/>
      <c r="N94" s="184"/>
      <c r="O94" s="185"/>
      <c r="P94" s="67"/>
      <c r="Q94" s="184"/>
      <c r="R94" s="185"/>
      <c r="S94" s="67"/>
      <c r="T94" s="67"/>
      <c r="U94" s="67"/>
      <c r="V94" s="67"/>
      <c r="W94" s="67"/>
      <c r="X94" s="67"/>
      <c r="Y94" s="67"/>
      <c r="Z94" s="67"/>
      <c r="AA94" s="184"/>
      <c r="AB94" s="185"/>
      <c r="AC94" s="67"/>
      <c r="AD94" s="67"/>
      <c r="AE94" s="67"/>
      <c r="AF94" s="67"/>
      <c r="AG94" s="67"/>
      <c r="AH94" s="67"/>
      <c r="AI94" s="67"/>
      <c r="AJ94" s="67"/>
      <c r="AK94" s="67"/>
      <c r="AL94" s="67"/>
      <c r="AM94" s="67"/>
      <c r="AN94" s="66" t="s">
        <v>1327</v>
      </c>
      <c r="AO94" s="67"/>
      <c r="AP94" s="67"/>
      <c r="AQ94" s="67"/>
      <c r="AR94" s="67"/>
      <c r="AS94" s="67"/>
      <c r="AT94" s="184"/>
      <c r="AU94" s="185" t="s">
        <v>437</v>
      </c>
      <c r="AV94" s="67"/>
      <c r="AW94" s="184"/>
      <c r="AX94" s="185" t="s">
        <v>1339</v>
      </c>
      <c r="AY94" s="67"/>
      <c r="AZ94" s="67"/>
      <c r="BA94" s="67"/>
      <c r="BB94" s="67"/>
      <c r="BC94" s="67"/>
      <c r="BD94" s="67"/>
      <c r="BE94" s="67"/>
      <c r="BF94" s="67"/>
      <c r="BG94" s="67"/>
      <c r="BH94" s="67"/>
      <c r="BI94" s="67"/>
      <c r="BJ94" s="68"/>
    </row>
    <row r="95" spans="1:62">
      <c r="B95" s="66"/>
      <c r="C95" s="67"/>
      <c r="D95" s="67"/>
      <c r="E95" s="67"/>
      <c r="F95" s="67"/>
      <c r="G95" s="67"/>
      <c r="H95" s="184"/>
      <c r="I95" s="185"/>
      <c r="J95" s="67"/>
      <c r="K95" s="184"/>
      <c r="L95" s="185"/>
      <c r="M95" s="67"/>
      <c r="N95" s="184"/>
      <c r="O95" s="185"/>
      <c r="P95" s="67"/>
      <c r="Q95" s="184"/>
      <c r="R95" s="185"/>
      <c r="S95" s="67"/>
      <c r="T95" s="67"/>
      <c r="U95" s="67"/>
      <c r="V95" s="67"/>
      <c r="W95" s="67"/>
      <c r="X95" s="67"/>
      <c r="Y95" s="67"/>
      <c r="Z95" s="67"/>
      <c r="AA95" s="184"/>
      <c r="AB95" s="185"/>
      <c r="AC95" s="67"/>
      <c r="AD95" s="67"/>
      <c r="AE95" s="67"/>
      <c r="AF95" s="67"/>
      <c r="AG95" s="67"/>
      <c r="AH95" s="67"/>
      <c r="AI95" s="67"/>
      <c r="AJ95" s="67"/>
      <c r="AK95" s="67"/>
      <c r="AL95" s="67"/>
      <c r="AM95" s="68"/>
      <c r="AN95" s="66" t="s">
        <v>1316</v>
      </c>
      <c r="AO95" s="67"/>
      <c r="AP95" s="67"/>
      <c r="AQ95" s="67"/>
      <c r="AR95" s="67"/>
      <c r="AS95" s="67"/>
      <c r="AT95" s="184"/>
      <c r="AU95" s="185" t="s">
        <v>437</v>
      </c>
      <c r="AV95" s="67"/>
      <c r="AW95" s="184"/>
      <c r="AX95" s="185" t="s">
        <v>1340</v>
      </c>
      <c r="AY95" s="67"/>
      <c r="AZ95" s="67"/>
      <c r="BA95" s="67"/>
      <c r="BB95" s="67"/>
      <c r="BC95" s="67"/>
      <c r="BD95" s="67"/>
      <c r="BE95" s="67"/>
      <c r="BF95" s="67"/>
      <c r="BG95" s="67"/>
      <c r="BH95" s="67"/>
      <c r="BI95" s="67"/>
      <c r="BJ95" s="68"/>
    </row>
    <row r="96" spans="1:62">
      <c r="B96" s="120"/>
      <c r="C96" s="121"/>
      <c r="D96" s="121"/>
      <c r="E96" s="121"/>
      <c r="F96" s="121"/>
      <c r="G96" s="121"/>
      <c r="H96" s="187"/>
      <c r="I96" s="188"/>
      <c r="J96" s="121"/>
      <c r="K96" s="187"/>
      <c r="L96" s="188"/>
      <c r="M96" s="121"/>
      <c r="N96" s="187"/>
      <c r="O96" s="188"/>
      <c r="P96" s="121"/>
      <c r="Q96" s="187"/>
      <c r="R96" s="188"/>
      <c r="S96" s="121"/>
      <c r="T96" s="121"/>
      <c r="U96" s="121"/>
      <c r="V96" s="121"/>
      <c r="W96" s="121"/>
      <c r="X96" s="121"/>
      <c r="Y96" s="121"/>
      <c r="Z96" s="121"/>
      <c r="AA96" s="187"/>
      <c r="AB96" s="188"/>
      <c r="AC96" s="121"/>
      <c r="AD96" s="121"/>
      <c r="AE96" s="121"/>
      <c r="AF96" s="121"/>
      <c r="AG96" s="121"/>
      <c r="AH96" s="121"/>
      <c r="AI96" s="121"/>
      <c r="AJ96" s="121"/>
      <c r="AK96" s="121"/>
      <c r="AL96" s="121"/>
      <c r="AM96" s="122"/>
      <c r="AN96" s="120"/>
      <c r="AO96" s="121"/>
      <c r="AP96" s="121"/>
      <c r="AQ96" s="121"/>
      <c r="AR96" s="121"/>
      <c r="AS96" s="121"/>
      <c r="AT96" s="187"/>
      <c r="AU96" s="188"/>
      <c r="AV96" s="121"/>
      <c r="AW96" s="187"/>
      <c r="AX96" s="188" t="s">
        <v>1293</v>
      </c>
      <c r="AY96" s="121"/>
      <c r="AZ96" s="121"/>
      <c r="BA96" s="121"/>
      <c r="BB96" s="121"/>
      <c r="BC96" s="121"/>
      <c r="BD96" s="121"/>
      <c r="BE96" s="121"/>
      <c r="BF96" s="121"/>
      <c r="BG96" s="121"/>
      <c r="BH96" s="121"/>
      <c r="BI96" s="121"/>
      <c r="BJ96" s="122"/>
    </row>
  </sheetData>
  <mergeCells count="46">
    <mergeCell ref="BC1:BG1"/>
    <mergeCell ref="A4:G4"/>
    <mergeCell ref="H4:T4"/>
    <mergeCell ref="U4:Y4"/>
    <mergeCell ref="Z4:AO4"/>
    <mergeCell ref="AP4:BK4"/>
    <mergeCell ref="BC2:BG3"/>
    <mergeCell ref="BH2:BK3"/>
    <mergeCell ref="A1:J1"/>
    <mergeCell ref="K1:V1"/>
    <mergeCell ref="W1:AO3"/>
    <mergeCell ref="AP1:AS1"/>
    <mergeCell ref="AT1:AX1"/>
    <mergeCell ref="AY1:BB1"/>
    <mergeCell ref="BH1:BK1"/>
    <mergeCell ref="A2:J3"/>
    <mergeCell ref="B13:AN13"/>
    <mergeCell ref="K2:V3"/>
    <mergeCell ref="AP2:AS3"/>
    <mergeCell ref="AT2:AX3"/>
    <mergeCell ref="AY2:BB3"/>
    <mergeCell ref="B9:F9"/>
    <mergeCell ref="G9:X9"/>
    <mergeCell ref="Y9:AC9"/>
    <mergeCell ref="AD9:AN9"/>
    <mergeCell ref="B10:F10"/>
    <mergeCell ref="B8:F8"/>
    <mergeCell ref="G8:X8"/>
    <mergeCell ref="Y8:AC8"/>
    <mergeCell ref="AD8:AN8"/>
    <mergeCell ref="G10:X10"/>
    <mergeCell ref="Y10:AC10"/>
    <mergeCell ref="AD10:AN10"/>
    <mergeCell ref="B11:AN11"/>
    <mergeCell ref="B12:AN12"/>
    <mergeCell ref="B53:E53"/>
    <mergeCell ref="F53:Z53"/>
    <mergeCell ref="AA53:AE53"/>
    <mergeCell ref="AF53:AJ53"/>
    <mergeCell ref="B14:AN14"/>
    <mergeCell ref="B15:AN15"/>
    <mergeCell ref="B52:E52"/>
    <mergeCell ref="F52:Z52"/>
    <mergeCell ref="AA52:AE52"/>
    <mergeCell ref="AF52:AJ52"/>
    <mergeCell ref="B16:AN16"/>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A4C3064-52AE-48A3-B838-96B8360D5653}"/>
</file>

<file path=customXml/itemProps2.xml><?xml version="1.0" encoding="utf-8"?>
<ds:datastoreItem xmlns:ds="http://schemas.openxmlformats.org/officeDocument/2006/customXml" ds:itemID="{FC2A8846-A5A1-4D76-A425-3F1CA159E6D6}"/>
</file>

<file path=customXml/itemProps3.xml><?xml version="1.0" encoding="utf-8"?>
<ds:datastoreItem xmlns:ds="http://schemas.openxmlformats.org/officeDocument/2006/customXml" ds:itemID="{17F3F1C4-D978-4CE2-A724-24F5B67FE76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39</vt:i4>
      </vt:variant>
      <vt:variant>
        <vt:lpstr>名前付き一覧</vt:lpstr>
      </vt:variant>
      <vt:variant>
        <vt:i4>7</vt:i4>
      </vt:variant>
    </vt:vector>
  </HeadingPairs>
  <TitlesOfParts>
    <vt:vector size="46" baseType="lpstr">
      <vt:lpstr>表紙</vt:lpstr>
      <vt:lpstr>改廃履歴</vt:lpstr>
      <vt:lpstr>DB一覧</vt:lpstr>
      <vt:lpstr>ER</vt:lpstr>
      <vt:lpstr>POSメニュー</vt:lpstr>
      <vt:lpstr>売上情報</vt:lpstr>
      <vt:lpstr>売上情報(税)</vt:lpstr>
      <vt:lpstr>売上情報(値引)</vt:lpstr>
      <vt:lpstr>売上情報(支払)</vt:lpstr>
      <vt:lpstr>売上情報明細</vt:lpstr>
      <vt:lpstr>【釣銭機】在高情報</vt:lpstr>
      <vt:lpstr>商品マスタ</vt:lpstr>
      <vt:lpstr>商品拡張マスタ</vt:lpstr>
      <vt:lpstr>分類マスタ</vt:lpstr>
      <vt:lpstr>分類拡張マスタ</vt:lpstr>
      <vt:lpstr>特売マスタ</vt:lpstr>
      <vt:lpstr>MMマスタ</vt:lpstr>
      <vt:lpstr>ＭＭ商品マスタ</vt:lpstr>
      <vt:lpstr>MD階層値引マスタ（TBP用）</vt:lpstr>
      <vt:lpstr>担当者マスタ</vt:lpstr>
      <vt:lpstr>担当者拡張マスタ</vt:lpstr>
      <vt:lpstr>プリセットメニューマスタ</vt:lpstr>
      <vt:lpstr>プリセットメニューボタンマスタ</vt:lpstr>
      <vt:lpstr>税コードマスタ</vt:lpstr>
      <vt:lpstr>税グループ詳細マスタ</vt:lpstr>
      <vt:lpstr>税グループマスタ</vt:lpstr>
      <vt:lpstr>税タイプマスタ</vt:lpstr>
      <vt:lpstr>軽減税率マスタ</vt:lpstr>
      <vt:lpstr>券マスタ</vt:lpstr>
      <vt:lpstr>釣銭機回収設定マスタ</vt:lpstr>
      <vt:lpstr>レシートクーポン発券マスタ</vt:lpstr>
      <vt:lpstr>店舗マスタ</vt:lpstr>
      <vt:lpstr>POS機器設定</vt:lpstr>
      <vt:lpstr>釣銭機設定</vt:lpstr>
      <vt:lpstr>コードマスタ</vt:lpstr>
      <vt:lpstr>テンプレート</vt:lpstr>
      <vt:lpstr>メモ</vt:lpstr>
      <vt:lpstr>POS機器設定 (2)</vt:lpstr>
      <vt:lpstr>釣銭機設定 (2)</vt:lpstr>
      <vt:lpstr>'POS機器設定 (2)'!Print_Area</vt:lpstr>
      <vt:lpstr>プリセットメニューマスタ!Print_Area</vt:lpstr>
      <vt:lpstr>釣銭機設定!Print_Area</vt:lpstr>
      <vt:lpstr>'釣銭機設定 (2)'!Print_Area</vt:lpstr>
      <vt:lpstr>店舗マスタ!Print_Area</vt:lpstr>
      <vt:lpstr>ER!Print_Titles</vt:lpstr>
      <vt:lpstr>釣銭機設定!Print_Titles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kiyohara kadutoshi</dc:creator>
  <cp:lastModifiedBy>Crux03_Luvina</cp:lastModifiedBy>
  <dcterms:created xsi:type="dcterms:W3CDTF">2022-04-01T08:34:32Z</dcterms:created>
  <dcterms:modified xsi:type="dcterms:W3CDTF">2024-01-17T12:59:49Z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