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50_DB定義/"/>
    </mc:Choice>
  </mc:AlternateContent>
  <xr:revisionPtr revIDLastSave="1983" documentId="6_{01410690-5545-4C5E-86B2-3C61016323D2}" xr6:coauthVersionLast="47" xr6:coauthVersionMax="47" xr10:uidLastSave="{9ED3C379-FF1C-4D91-B827-A38B2E60B24A}"/>
  <bookViews>
    <workbookView xWindow="-120" yWindow="-120" windowWidth="29040" windowHeight="15720" tabRatio="838" firstSheet="1" activeTab="5" xr2:uid="{8154B603-B968-49B9-B090-3F6EB617679B}"/>
  </bookViews>
  <sheets>
    <sheet name="表紙" sheetId="4" r:id="rId1"/>
    <sheet name="改廃履歴" sheetId="3" r:id="rId2"/>
    <sheet name="DB一覧" sheetId="7" r:id="rId3"/>
    <sheet name="テスト" sheetId="53" r:id="rId4"/>
    <sheet name="ER" sheetId="14" r:id="rId5"/>
    <sheet name="PLUメンテ" sheetId="43" r:id="rId6"/>
    <sheet name="特売メンテ" sheetId="45" r:id="rId7"/>
    <sheet name="MMマスタ" sheetId="46" r:id="rId8"/>
    <sheet name="企画マスタ" sheetId="47" r:id="rId9"/>
    <sheet name="P001" sheetId="49" r:id="rId10"/>
    <sheet name="P001_01" sheetId="48" r:id="rId11"/>
    <sheet name="P001_02" sheetId="51" r:id="rId12"/>
    <sheet name="P003" sheetId="52" r:id="rId13"/>
    <sheet name="CHK" sheetId="50" r:id="rId14"/>
    <sheet name="データ型定義" sheetId="44" r:id="rId15"/>
    <sheet name="テンプレート" sheetId="2" r:id="rId16"/>
    <sheet name="メモ" sheetId="9" r:id="rId17"/>
  </sheets>
  <definedNames>
    <definedName name="_xlnm._FilterDatabase" localSheetId="13" hidden="1">CHK!$B$7:$Y$368</definedName>
    <definedName name="_xlnm.Print_Titles" localSheetId="13">CHK!$1:$5</definedName>
    <definedName name="_xlnm.Print_Titles" localSheetId="4">ER!$1:$5</definedName>
    <definedName name="_xlnm.Print_Titles" localSheetId="14">データ型定義!$1:$5</definedName>
    <definedName name="_xlnm.Print_Titles" localSheetId="15">テンプレート!$1:$5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9" i="46" l="1"/>
  <c r="BP27" i="46"/>
  <c r="AC27" i="46" a="1"/>
  <c r="AC27" i="46" s="1"/>
  <c r="BL21" i="43"/>
  <c r="BL22" i="43"/>
  <c r="BL23" i="43"/>
  <c r="BL24" i="43"/>
  <c r="BL25" i="43"/>
  <c r="BL26" i="43"/>
  <c r="BL27" i="43"/>
  <c r="BL28" i="43"/>
  <c r="BL29" i="43"/>
  <c r="BL30" i="43"/>
  <c r="BL31" i="43"/>
  <c r="BL32" i="43"/>
  <c r="BL33" i="43"/>
  <c r="BL34" i="43"/>
  <c r="BL35" i="43"/>
  <c r="BL36" i="43"/>
  <c r="BL37" i="43"/>
  <c r="BL38" i="43"/>
  <c r="BL39" i="43"/>
  <c r="BL40" i="43"/>
  <c r="BL41" i="43"/>
  <c r="BL42" i="43"/>
  <c r="BL43" i="43"/>
  <c r="BL44" i="43"/>
  <c r="BL45" i="43"/>
  <c r="BL46" i="43"/>
  <c r="BL47" i="43"/>
  <c r="BL48" i="43"/>
  <c r="BL49" i="43"/>
  <c r="BL50" i="43"/>
  <c r="BL51" i="43"/>
  <c r="BL52" i="43"/>
  <c r="BL53" i="43"/>
  <c r="BL54" i="43"/>
  <c r="BL55" i="43"/>
  <c r="BL56" i="43"/>
  <c r="BL57" i="43"/>
  <c r="BL58" i="43"/>
  <c r="BL59" i="43"/>
  <c r="BL60" i="43"/>
  <c r="BL61" i="43"/>
  <c r="BL62" i="43"/>
  <c r="BL63" i="43"/>
  <c r="BL64" i="43"/>
  <c r="BL65" i="43"/>
  <c r="BL66" i="43"/>
  <c r="BL67" i="43"/>
  <c r="BL68" i="43"/>
  <c r="BL69" i="43"/>
  <c r="BL70" i="43"/>
  <c r="BL71" i="43"/>
  <c r="BL72" i="43"/>
  <c r="BL73" i="43"/>
  <c r="BL74" i="43"/>
  <c r="BL75" i="43"/>
  <c r="BL76" i="43"/>
  <c r="BL77" i="43"/>
  <c r="BL78" i="43"/>
  <c r="BL79" i="43"/>
  <c r="BL80" i="43"/>
  <c r="BL81" i="43"/>
  <c r="BL82" i="43"/>
  <c r="BL83" i="43"/>
  <c r="BL84" i="43"/>
  <c r="BL85" i="43"/>
  <c r="BL86" i="43"/>
  <c r="BL87" i="43"/>
  <c r="BL88" i="43"/>
  <c r="BL89" i="43"/>
  <c r="BL90" i="43"/>
  <c r="BL91" i="43"/>
  <c r="BL92" i="43"/>
  <c r="BL93" i="43"/>
  <c r="BL94" i="43"/>
  <c r="BL95" i="43"/>
  <c r="BL96" i="43"/>
  <c r="BL97" i="43"/>
  <c r="BL98" i="43"/>
  <c r="BL99" i="43"/>
  <c r="BL100" i="43"/>
  <c r="BL101" i="43"/>
  <c r="BL102" i="43"/>
  <c r="BL103" i="43"/>
  <c r="BL104" i="43"/>
  <c r="BL105" i="43"/>
  <c r="BL106" i="43"/>
  <c r="BL107" i="43"/>
  <c r="BL108" i="43"/>
  <c r="BL109" i="43"/>
  <c r="BL110" i="43"/>
  <c r="BL111" i="43"/>
  <c r="BL112" i="43"/>
  <c r="BL113" i="43"/>
  <c r="BL114" i="43"/>
  <c r="BL115" i="43"/>
  <c r="BL116" i="43"/>
  <c r="BL117" i="43"/>
  <c r="BL118" i="43"/>
  <c r="BL119" i="43"/>
  <c r="BL120" i="43"/>
  <c r="AG19" i="53" l="1"/>
  <c r="Z4" i="53" l="1"/>
  <c r="H4" i="53"/>
  <c r="BH2" i="53"/>
  <c r="BC2" i="53"/>
  <c r="AY2" i="53"/>
  <c r="AT2" i="53"/>
  <c r="AP2" i="53"/>
  <c r="K2" i="53"/>
  <c r="A2" i="53"/>
  <c r="W1" i="53"/>
  <c r="BZ76" i="52"/>
  <c r="BZ72" i="52"/>
  <c r="BZ71" i="52"/>
  <c r="BZ70" i="52"/>
  <c r="BZ69" i="52"/>
  <c r="BV69" i="52"/>
  <c r="BZ68" i="52"/>
  <c r="BV68" i="52"/>
  <c r="BZ67" i="52"/>
  <c r="BV67" i="52"/>
  <c r="BZ66" i="52"/>
  <c r="BV66" i="52"/>
  <c r="BZ65" i="52"/>
  <c r="BV65" i="52"/>
  <c r="BV64" i="52"/>
  <c r="BZ63" i="52"/>
  <c r="BV63" i="52"/>
  <c r="BV62" i="52"/>
  <c r="BZ61" i="52"/>
  <c r="BZ60" i="52"/>
  <c r="BX60" i="52"/>
  <c r="BV60" i="52"/>
  <c r="BZ59" i="52"/>
  <c r="BX59" i="52"/>
  <c r="BV59" i="52"/>
  <c r="BZ58" i="52"/>
  <c r="BX58" i="52"/>
  <c r="BV58" i="52"/>
  <c r="BZ57" i="52"/>
  <c r="BX57" i="52"/>
  <c r="BV57" i="52"/>
  <c r="BZ56" i="52"/>
  <c r="BX56" i="52"/>
  <c r="BV56" i="52"/>
  <c r="BZ55" i="52"/>
  <c r="BX55" i="52"/>
  <c r="BV55" i="52"/>
  <c r="BZ54" i="52"/>
  <c r="BX54" i="52"/>
  <c r="BV54" i="52"/>
  <c r="BZ53" i="52"/>
  <c r="BX53" i="52"/>
  <c r="BV53" i="52"/>
  <c r="BZ47" i="52"/>
  <c r="BZ43" i="52"/>
  <c r="BZ42" i="52"/>
  <c r="BZ41" i="52"/>
  <c r="D41" i="52"/>
  <c r="BZ40" i="52"/>
  <c r="BV40" i="52"/>
  <c r="BZ39" i="52"/>
  <c r="BV39" i="52"/>
  <c r="BZ38" i="52"/>
  <c r="BV38" i="52"/>
  <c r="BZ37" i="52"/>
  <c r="BV37" i="52"/>
  <c r="BP37" i="52"/>
  <c r="BZ36" i="52"/>
  <c r="BV36" i="52"/>
  <c r="BP36" i="52"/>
  <c r="R36" i="52"/>
  <c r="BV35" i="52"/>
  <c r="BZ34" i="52"/>
  <c r="BV34" i="52"/>
  <c r="BP34" i="52"/>
  <c r="BV33" i="52"/>
  <c r="BR33" i="52"/>
  <c r="BZ32" i="52"/>
  <c r="BR32" i="52"/>
  <c r="BP32" i="52"/>
  <c r="BZ31" i="52"/>
  <c r="BX31" i="52"/>
  <c r="BV31" i="52"/>
  <c r="BT31" i="52"/>
  <c r="BR31" i="52"/>
  <c r="BP31" i="52"/>
  <c r="BZ30" i="52"/>
  <c r="BX30" i="52"/>
  <c r="BV30" i="52"/>
  <c r="BT30" i="52"/>
  <c r="BR30" i="52"/>
  <c r="BP30" i="52"/>
  <c r="BZ29" i="52"/>
  <c r="BX29" i="52"/>
  <c r="BV29" i="52"/>
  <c r="BT29" i="52"/>
  <c r="BR29" i="52"/>
  <c r="BP29" i="52"/>
  <c r="BZ28" i="52"/>
  <c r="BX28" i="52"/>
  <c r="BV28" i="52"/>
  <c r="BT28" i="52"/>
  <c r="BR28" i="52"/>
  <c r="BP28" i="52"/>
  <c r="BZ27" i="52"/>
  <c r="BX27" i="52"/>
  <c r="BV27" i="52"/>
  <c r="BT27" i="52"/>
  <c r="BR27" i="52"/>
  <c r="BP27" i="52"/>
  <c r="BX26" i="52"/>
  <c r="BT26" i="52"/>
  <c r="BR26" i="52"/>
  <c r="BT25" i="52"/>
  <c r="BR25" i="52"/>
  <c r="BV24" i="52"/>
  <c r="B22" i="52"/>
  <c r="B23" i="52" s="1"/>
  <c r="B24" i="52" s="1"/>
  <c r="B25" i="52" s="1"/>
  <c r="B26" i="52" s="1"/>
  <c r="BP20" i="52"/>
  <c r="BP19" i="52"/>
  <c r="Z4" i="52"/>
  <c r="H4" i="52"/>
  <c r="BH2" i="52"/>
  <c r="BC2" i="52"/>
  <c r="AY2" i="52"/>
  <c r="AT2" i="52"/>
  <c r="AP2" i="52"/>
  <c r="K2" i="52"/>
  <c r="A2" i="52"/>
  <c r="W1" i="52"/>
  <c r="BZ77" i="51"/>
  <c r="BZ73" i="51"/>
  <c r="BZ72" i="51"/>
  <c r="BZ71" i="51"/>
  <c r="BZ70" i="51"/>
  <c r="BV70" i="51"/>
  <c r="BZ69" i="51"/>
  <c r="BV69" i="51"/>
  <c r="BZ68" i="51"/>
  <c r="BV68" i="51"/>
  <c r="BZ67" i="51"/>
  <c r="BV67" i="51"/>
  <c r="BZ66" i="51"/>
  <c r="BV66" i="51"/>
  <c r="BV65" i="51"/>
  <c r="BZ64" i="51"/>
  <c r="BV64" i="51"/>
  <c r="BV63" i="51"/>
  <c r="BZ62" i="51"/>
  <c r="BZ61" i="51"/>
  <c r="BX61" i="51"/>
  <c r="BV61" i="51"/>
  <c r="BZ60" i="51"/>
  <c r="BX60" i="51"/>
  <c r="BV60" i="51"/>
  <c r="BZ59" i="51"/>
  <c r="BX59" i="51"/>
  <c r="BV59" i="51"/>
  <c r="BZ58" i="51"/>
  <c r="BX58" i="51"/>
  <c r="BV58" i="51"/>
  <c r="BZ57" i="51"/>
  <c r="BX57" i="51"/>
  <c r="BV57" i="51"/>
  <c r="BZ56" i="51"/>
  <c r="BX56" i="51"/>
  <c r="BV56" i="51"/>
  <c r="BZ55" i="51"/>
  <c r="BX55" i="51"/>
  <c r="BV55" i="51"/>
  <c r="BZ54" i="51"/>
  <c r="BX54" i="51"/>
  <c r="BV54" i="51"/>
  <c r="BZ48" i="51"/>
  <c r="BZ44" i="51"/>
  <c r="BZ43" i="51"/>
  <c r="BZ42" i="51"/>
  <c r="D42" i="51"/>
  <c r="BZ41" i="51"/>
  <c r="BV41" i="51"/>
  <c r="BZ40" i="51"/>
  <c r="BV40" i="51"/>
  <c r="BZ39" i="51"/>
  <c r="BV39" i="51"/>
  <c r="BZ38" i="51"/>
  <c r="BV38" i="51"/>
  <c r="BP38" i="51"/>
  <c r="BZ37" i="51"/>
  <c r="BV37" i="51"/>
  <c r="BP37" i="51"/>
  <c r="R37" i="51"/>
  <c r="BV36" i="51"/>
  <c r="BZ35" i="51"/>
  <c r="BV35" i="51"/>
  <c r="BP35" i="51"/>
  <c r="BV34" i="51"/>
  <c r="BR34" i="51"/>
  <c r="BZ33" i="51"/>
  <c r="BR33" i="51"/>
  <c r="BP33" i="51"/>
  <c r="BZ32" i="51"/>
  <c r="BX32" i="51"/>
  <c r="BV32" i="51"/>
  <c r="BT32" i="51"/>
  <c r="BR32" i="51"/>
  <c r="BP32" i="51"/>
  <c r="BZ31" i="51"/>
  <c r="BX31" i="51"/>
  <c r="BV31" i="51"/>
  <c r="BT31" i="51"/>
  <c r="BR31" i="51"/>
  <c r="BP31" i="51"/>
  <c r="BZ30" i="51"/>
  <c r="BX30" i="51"/>
  <c r="BV30" i="51"/>
  <c r="BT30" i="51"/>
  <c r="BR30" i="51"/>
  <c r="BP30" i="51"/>
  <c r="BZ29" i="51"/>
  <c r="BX29" i="51"/>
  <c r="BV29" i="51"/>
  <c r="BT29" i="51"/>
  <c r="BR29" i="51"/>
  <c r="BP29" i="51"/>
  <c r="BZ28" i="51"/>
  <c r="BX28" i="51"/>
  <c r="BV28" i="51"/>
  <c r="BT28" i="51"/>
  <c r="BR28" i="51"/>
  <c r="BP28" i="51"/>
  <c r="BZ27" i="51"/>
  <c r="BX27" i="51"/>
  <c r="BV27" i="51"/>
  <c r="BT27" i="51"/>
  <c r="BR27" i="51"/>
  <c r="BP27" i="51"/>
  <c r="BX26" i="51"/>
  <c r="BT26" i="51"/>
  <c r="BR26" i="51"/>
  <c r="BT25" i="51"/>
  <c r="BR25" i="51"/>
  <c r="BV24" i="51"/>
  <c r="B22" i="51"/>
  <c r="B23" i="51" s="1"/>
  <c r="B24" i="51" s="1"/>
  <c r="B25" i="51" s="1"/>
  <c r="B26" i="51" s="1"/>
  <c r="BP20" i="51"/>
  <c r="BP19" i="51"/>
  <c r="Z4" i="51"/>
  <c r="H4" i="51"/>
  <c r="BH2" i="51"/>
  <c r="BC2" i="51"/>
  <c r="AY2" i="51"/>
  <c r="AT2" i="51"/>
  <c r="AP2" i="51"/>
  <c r="K2" i="51"/>
  <c r="A2" i="51"/>
  <c r="W1" i="51"/>
  <c r="BM27" i="49"/>
  <c r="BM28" i="49"/>
  <c r="BL89" i="49" l="1"/>
  <c r="BL88" i="49"/>
  <c r="BL87" i="49"/>
  <c r="BL86" i="49"/>
  <c r="BL85" i="49"/>
  <c r="BL84" i="49"/>
  <c r="BL83" i="49"/>
  <c r="BL82" i="49"/>
  <c r="BL81" i="49"/>
  <c r="BL80" i="49"/>
  <c r="BL79" i="49"/>
  <c r="BL78" i="49"/>
  <c r="BL77" i="49"/>
  <c r="BL76" i="49"/>
  <c r="BL75" i="49"/>
  <c r="BL74" i="49"/>
  <c r="BL73" i="49"/>
  <c r="BL72" i="49"/>
  <c r="BL71" i="49"/>
  <c r="BL70" i="49"/>
  <c r="BL69" i="49"/>
  <c r="BL68" i="49"/>
  <c r="BL67" i="49"/>
  <c r="BL66" i="49"/>
  <c r="BL65" i="49"/>
  <c r="BL64" i="49"/>
  <c r="BL63" i="49"/>
  <c r="BL62" i="49"/>
  <c r="BL61" i="49"/>
  <c r="BL60" i="49"/>
  <c r="BL59" i="49"/>
  <c r="BL58" i="49"/>
  <c r="BL57" i="49"/>
  <c r="BL56" i="49"/>
  <c r="BL55" i="49"/>
  <c r="BL54" i="49"/>
  <c r="BL53" i="49"/>
  <c r="BL52" i="49"/>
  <c r="BL51" i="49"/>
  <c r="BL50" i="49"/>
  <c r="BL49" i="49"/>
  <c r="BL48" i="49"/>
  <c r="BL47" i="49"/>
  <c r="BL46" i="49"/>
  <c r="BL45" i="49"/>
  <c r="BL44" i="49"/>
  <c r="BL43" i="49"/>
  <c r="BL42" i="49"/>
  <c r="BL41" i="49"/>
  <c r="BL40" i="49"/>
  <c r="BL39" i="49"/>
  <c r="BL38" i="49"/>
  <c r="BL37" i="49"/>
  <c r="BL36" i="49"/>
  <c r="BL35" i="49"/>
  <c r="BL34" i="49"/>
  <c r="BL33" i="49"/>
  <c r="BL32" i="49"/>
  <c r="BL31" i="49"/>
  <c r="BL30" i="49"/>
  <c r="BL29" i="49"/>
  <c r="BL28" i="49"/>
  <c r="BM30" i="49"/>
  <c r="BM31" i="49"/>
  <c r="BM32" i="49" s="1"/>
  <c r="BM33" i="49" s="1"/>
  <c r="BM34" i="49" s="1"/>
  <c r="BM35" i="49" s="1"/>
  <c r="BM36" i="49" s="1"/>
  <c r="BM37" i="49" s="1"/>
  <c r="BM38" i="49" s="1"/>
  <c r="BM39" i="49" s="1"/>
  <c r="BM40" i="49" s="1"/>
  <c r="BM41" i="49" s="1"/>
  <c r="BM42" i="49" s="1"/>
  <c r="BM43" i="49" s="1"/>
  <c r="BM44" i="49" s="1"/>
  <c r="BM45" i="49" s="1"/>
  <c r="BM46" i="49" s="1"/>
  <c r="BM47" i="49" s="1"/>
  <c r="BM48" i="49" s="1"/>
  <c r="BM49" i="49" s="1"/>
  <c r="BM50" i="49" s="1"/>
  <c r="BM51" i="49" s="1"/>
  <c r="BM52" i="49" s="1"/>
  <c r="BM53" i="49" s="1"/>
  <c r="BM54" i="49" s="1"/>
  <c r="BM55" i="49" s="1"/>
  <c r="BM56" i="49" s="1"/>
  <c r="BM57" i="49" s="1"/>
  <c r="BM58" i="49" s="1"/>
  <c r="BM59" i="49" s="1"/>
  <c r="BM60" i="49" s="1"/>
  <c r="BM61" i="49" s="1"/>
  <c r="BM62" i="49" s="1"/>
  <c r="BM63" i="49" s="1"/>
  <c r="BM64" i="49" s="1"/>
  <c r="BM65" i="49" s="1"/>
  <c r="BM66" i="49" s="1"/>
  <c r="BM67" i="49" s="1"/>
  <c r="BM68" i="49" s="1"/>
  <c r="BM69" i="49" s="1"/>
  <c r="BM70" i="49" s="1"/>
  <c r="BM71" i="49" s="1"/>
  <c r="BM72" i="49" s="1"/>
  <c r="BM73" i="49" s="1"/>
  <c r="BM74" i="49" s="1"/>
  <c r="BM75" i="49" s="1"/>
  <c r="BM76" i="49" s="1"/>
  <c r="BM77" i="49" s="1"/>
  <c r="BM78" i="49" s="1"/>
  <c r="BM79" i="49" s="1"/>
  <c r="BM80" i="49" s="1"/>
  <c r="BM81" i="49" s="1"/>
  <c r="BM82" i="49" s="1"/>
  <c r="BM83" i="49" s="1"/>
  <c r="BM84" i="49" s="1"/>
  <c r="BM85" i="49" s="1"/>
  <c r="BM86" i="49" s="1"/>
  <c r="BM87" i="49" s="1"/>
  <c r="BM88" i="49" s="1"/>
  <c r="BM89" i="49" s="1"/>
  <c r="BM29" i="49"/>
  <c r="AP4" i="50" a="1"/>
  <c r="AP4" i="50" s="1"/>
  <c r="BH2" i="50"/>
  <c r="BC2" i="50"/>
  <c r="AY2" i="50"/>
  <c r="AT2" i="50"/>
  <c r="AP2" i="50"/>
  <c r="Z4" i="50"/>
  <c r="W1" i="50"/>
  <c r="K2" i="50"/>
  <c r="H4" i="50"/>
  <c r="A2" i="50"/>
  <c r="AC89" i="49"/>
  <c r="BR89" i="49" s="1"/>
  <c r="AC88" i="49"/>
  <c r="AC87" i="49"/>
  <c r="BP87" i="49" s="1"/>
  <c r="AC86" i="49"/>
  <c r="BP86" i="49" s="1"/>
  <c r="AC85" i="49"/>
  <c r="AC84" i="49"/>
  <c r="BP84" i="49" s="1"/>
  <c r="AC83" i="49"/>
  <c r="AC82" i="49"/>
  <c r="BR82" i="49" s="1"/>
  <c r="AC81" i="49"/>
  <c r="AC80" i="49"/>
  <c r="AC79" i="49"/>
  <c r="BP79" i="49" s="1"/>
  <c r="AC78" i="49"/>
  <c r="AC77" i="49"/>
  <c r="AC76" i="49"/>
  <c r="BP76" i="49" s="1"/>
  <c r="AC75" i="49"/>
  <c r="AC74" i="49"/>
  <c r="BR74" i="49" s="1"/>
  <c r="AC73" i="49"/>
  <c r="AC72" i="49"/>
  <c r="AC71" i="49"/>
  <c r="BP71" i="49" s="1"/>
  <c r="AC70" i="49"/>
  <c r="AC69" i="49"/>
  <c r="AC68" i="49"/>
  <c r="BP68" i="49" s="1"/>
  <c r="AC67" i="49"/>
  <c r="AC66" i="49"/>
  <c r="BR66" i="49" s="1"/>
  <c r="AC65" i="49"/>
  <c r="AC64" i="49"/>
  <c r="AC63" i="49"/>
  <c r="BP63" i="49" s="1"/>
  <c r="AC62" i="49"/>
  <c r="AC61" i="49"/>
  <c r="AC60" i="49"/>
  <c r="BP60" i="49" s="1"/>
  <c r="AC59" i="49"/>
  <c r="AC58" i="49"/>
  <c r="BP58" i="49" s="1"/>
  <c r="AC57" i="49"/>
  <c r="AC56" i="49"/>
  <c r="AC55" i="49"/>
  <c r="BP55" i="49" s="1"/>
  <c r="AC54" i="49"/>
  <c r="AC53" i="49"/>
  <c r="AC52" i="49"/>
  <c r="BP52" i="49" s="1"/>
  <c r="AC51" i="49"/>
  <c r="AC50" i="49"/>
  <c r="BP50" i="49" s="1"/>
  <c r="AC49" i="49"/>
  <c r="AC48" i="49"/>
  <c r="AC47" i="49"/>
  <c r="BP47" i="49" s="1"/>
  <c r="AC46" i="49"/>
  <c r="AC45" i="49"/>
  <c r="AC44" i="49"/>
  <c r="BP44" i="49" s="1"/>
  <c r="AC43" i="49"/>
  <c r="AC42" i="49"/>
  <c r="BP42" i="49" s="1"/>
  <c r="AC41" i="49"/>
  <c r="AC40" i="49"/>
  <c r="AC39" i="49"/>
  <c r="BP39" i="49" s="1"/>
  <c r="AC38" i="49"/>
  <c r="AC37" i="49"/>
  <c r="AC36" i="49"/>
  <c r="BP36" i="49" s="1"/>
  <c r="AC35" i="49"/>
  <c r="AC34" i="49"/>
  <c r="BP34" i="49" s="1"/>
  <c r="AC33" i="49"/>
  <c r="AC32" i="49"/>
  <c r="AC31" i="49"/>
  <c r="AC30" i="49"/>
  <c r="AC29" i="49"/>
  <c r="BP29" i="49" s="1"/>
  <c r="AC28" i="49"/>
  <c r="BZ89" i="49"/>
  <c r="BX89" i="49"/>
  <c r="BV89" i="49"/>
  <c r="BT89" i="49"/>
  <c r="BP89" i="49"/>
  <c r="BZ88" i="49"/>
  <c r="BX88" i="49"/>
  <c r="BV88" i="49"/>
  <c r="BT88" i="49"/>
  <c r="BR88" i="49"/>
  <c r="BP88" i="49"/>
  <c r="BZ87" i="49"/>
  <c r="BX87" i="49"/>
  <c r="BV87" i="49"/>
  <c r="BT87" i="49"/>
  <c r="BR87" i="49"/>
  <c r="BZ86" i="49"/>
  <c r="BX86" i="49"/>
  <c r="BV86" i="49"/>
  <c r="BT86" i="49"/>
  <c r="BR86" i="49"/>
  <c r="BZ85" i="49"/>
  <c r="BX85" i="49"/>
  <c r="BV85" i="49"/>
  <c r="BT85" i="49"/>
  <c r="BR85" i="49"/>
  <c r="BP85" i="49"/>
  <c r="BZ84" i="49"/>
  <c r="BX84" i="49"/>
  <c r="BV84" i="49"/>
  <c r="BT84" i="49"/>
  <c r="BR84" i="49"/>
  <c r="BZ83" i="49"/>
  <c r="BX83" i="49"/>
  <c r="BV83" i="49"/>
  <c r="BT83" i="49"/>
  <c r="BR83" i="49"/>
  <c r="BP83" i="49"/>
  <c r="BZ82" i="49"/>
  <c r="BX82" i="49"/>
  <c r="BV82" i="49"/>
  <c r="BT82" i="49"/>
  <c r="BZ81" i="49"/>
  <c r="BX81" i="49"/>
  <c r="BV81" i="49"/>
  <c r="BT81" i="49"/>
  <c r="BR81" i="49"/>
  <c r="BP81" i="49"/>
  <c r="BZ80" i="49"/>
  <c r="BX80" i="49"/>
  <c r="BV80" i="49"/>
  <c r="BT80" i="49"/>
  <c r="BR80" i="49"/>
  <c r="BP80" i="49"/>
  <c r="BZ79" i="49"/>
  <c r="BX79" i="49"/>
  <c r="BV79" i="49"/>
  <c r="BT79" i="49"/>
  <c r="BR79" i="49"/>
  <c r="BZ78" i="49"/>
  <c r="BX78" i="49"/>
  <c r="BV78" i="49"/>
  <c r="BT78" i="49"/>
  <c r="BR78" i="49"/>
  <c r="BP78" i="49"/>
  <c r="BZ77" i="49"/>
  <c r="BX77" i="49"/>
  <c r="BV77" i="49"/>
  <c r="BT77" i="49"/>
  <c r="BR77" i="49"/>
  <c r="BP77" i="49"/>
  <c r="BZ76" i="49"/>
  <c r="BX76" i="49"/>
  <c r="BV76" i="49"/>
  <c r="BT76" i="49"/>
  <c r="BR76" i="49"/>
  <c r="BZ75" i="49"/>
  <c r="BX75" i="49"/>
  <c r="BV75" i="49"/>
  <c r="BT75" i="49"/>
  <c r="BR75" i="49"/>
  <c r="BP75" i="49"/>
  <c r="BZ74" i="49"/>
  <c r="BX74" i="49"/>
  <c r="BV74" i="49"/>
  <c r="BT74" i="49"/>
  <c r="BZ73" i="49"/>
  <c r="BX73" i="49"/>
  <c r="BV73" i="49"/>
  <c r="BT73" i="49"/>
  <c r="BR73" i="49"/>
  <c r="BP73" i="49"/>
  <c r="BZ72" i="49"/>
  <c r="BX72" i="49"/>
  <c r="BV72" i="49"/>
  <c r="BT72" i="49"/>
  <c r="BR72" i="49"/>
  <c r="BP72" i="49"/>
  <c r="BZ71" i="49"/>
  <c r="BX71" i="49"/>
  <c r="BV71" i="49"/>
  <c r="BT71" i="49"/>
  <c r="BR71" i="49"/>
  <c r="BZ70" i="49"/>
  <c r="BX70" i="49"/>
  <c r="BV70" i="49"/>
  <c r="BT70" i="49"/>
  <c r="BR70" i="49"/>
  <c r="BP70" i="49"/>
  <c r="BZ69" i="49"/>
  <c r="BX69" i="49"/>
  <c r="BV69" i="49"/>
  <c r="BT69" i="49"/>
  <c r="BR69" i="49"/>
  <c r="BP69" i="49"/>
  <c r="BZ68" i="49"/>
  <c r="BX68" i="49"/>
  <c r="BV68" i="49"/>
  <c r="BT68" i="49"/>
  <c r="BR68" i="49"/>
  <c r="BZ67" i="49"/>
  <c r="BX67" i="49"/>
  <c r="BV67" i="49"/>
  <c r="BT67" i="49"/>
  <c r="BR67" i="49"/>
  <c r="BP67" i="49"/>
  <c r="BZ66" i="49"/>
  <c r="BX66" i="49"/>
  <c r="BV66" i="49"/>
  <c r="BT66" i="49"/>
  <c r="BZ65" i="49"/>
  <c r="BX65" i="49"/>
  <c r="BV65" i="49"/>
  <c r="BT65" i="49"/>
  <c r="BR65" i="49"/>
  <c r="BP65" i="49"/>
  <c r="BZ64" i="49"/>
  <c r="BX64" i="49"/>
  <c r="BV64" i="49"/>
  <c r="BT64" i="49"/>
  <c r="BR64" i="49"/>
  <c r="BP64" i="49"/>
  <c r="BZ63" i="49"/>
  <c r="BX63" i="49"/>
  <c r="BV63" i="49"/>
  <c r="BT63" i="49"/>
  <c r="BR63" i="49"/>
  <c r="BZ62" i="49"/>
  <c r="BX62" i="49"/>
  <c r="BV62" i="49"/>
  <c r="BT62" i="49"/>
  <c r="BR62" i="49"/>
  <c r="BP62" i="49"/>
  <c r="BZ61" i="49"/>
  <c r="BX61" i="49"/>
  <c r="BV61" i="49"/>
  <c r="BT61" i="49"/>
  <c r="BR61" i="49"/>
  <c r="BP61" i="49"/>
  <c r="BZ60" i="49"/>
  <c r="BX60" i="49"/>
  <c r="BV60" i="49"/>
  <c r="BT60" i="49"/>
  <c r="BR60" i="49"/>
  <c r="BZ59" i="49"/>
  <c r="BX59" i="49"/>
  <c r="BV59" i="49"/>
  <c r="BT59" i="49"/>
  <c r="BR59" i="49"/>
  <c r="BP59" i="49"/>
  <c r="BZ58" i="49"/>
  <c r="BX58" i="49"/>
  <c r="BV58" i="49"/>
  <c r="BT58" i="49"/>
  <c r="BR58" i="49"/>
  <c r="BZ57" i="49"/>
  <c r="BX57" i="49"/>
  <c r="BV57" i="49"/>
  <c r="BT57" i="49"/>
  <c r="BR57" i="49"/>
  <c r="BP57" i="49"/>
  <c r="BZ56" i="49"/>
  <c r="BX56" i="49"/>
  <c r="BV56" i="49"/>
  <c r="BT56" i="49"/>
  <c r="BR56" i="49"/>
  <c r="BP56" i="49"/>
  <c r="BZ55" i="49"/>
  <c r="BX55" i="49"/>
  <c r="BV55" i="49"/>
  <c r="BT55" i="49"/>
  <c r="BR55" i="49"/>
  <c r="BZ54" i="49"/>
  <c r="BX54" i="49"/>
  <c r="BV54" i="49"/>
  <c r="BT54" i="49"/>
  <c r="BR54" i="49"/>
  <c r="BP54" i="49"/>
  <c r="BZ53" i="49"/>
  <c r="BX53" i="49"/>
  <c r="BV53" i="49"/>
  <c r="BT53" i="49"/>
  <c r="BR53" i="49"/>
  <c r="BP53" i="49"/>
  <c r="BZ52" i="49"/>
  <c r="BX52" i="49"/>
  <c r="BV52" i="49"/>
  <c r="BT52" i="49"/>
  <c r="BR52" i="49"/>
  <c r="BZ51" i="49"/>
  <c r="BX51" i="49"/>
  <c r="BV51" i="49"/>
  <c r="BT51" i="49"/>
  <c r="BR51" i="49"/>
  <c r="BP51" i="49"/>
  <c r="BZ50" i="49"/>
  <c r="BX50" i="49"/>
  <c r="BV50" i="49"/>
  <c r="BT50" i="49"/>
  <c r="BR50" i="49"/>
  <c r="BZ49" i="49"/>
  <c r="BX49" i="49"/>
  <c r="BV49" i="49"/>
  <c r="BT49" i="49"/>
  <c r="BR49" i="49"/>
  <c r="BP49" i="49"/>
  <c r="BZ48" i="49"/>
  <c r="BX48" i="49"/>
  <c r="BV48" i="49"/>
  <c r="BT48" i="49"/>
  <c r="BR48" i="49"/>
  <c r="BP48" i="49"/>
  <c r="BZ47" i="49"/>
  <c r="BX47" i="49"/>
  <c r="BV47" i="49"/>
  <c r="BT47" i="49"/>
  <c r="BR47" i="49"/>
  <c r="BZ46" i="49"/>
  <c r="BX46" i="49"/>
  <c r="BV46" i="49"/>
  <c r="BT46" i="49"/>
  <c r="BR46" i="49"/>
  <c r="BP46" i="49"/>
  <c r="BZ45" i="49"/>
  <c r="BX45" i="49"/>
  <c r="BV45" i="49"/>
  <c r="BT45" i="49"/>
  <c r="BR45" i="49"/>
  <c r="BP45" i="49"/>
  <c r="BZ44" i="49"/>
  <c r="BX44" i="49"/>
  <c r="BV44" i="49"/>
  <c r="BT44" i="49"/>
  <c r="BR44" i="49"/>
  <c r="BZ43" i="49"/>
  <c r="BX43" i="49"/>
  <c r="BV43" i="49"/>
  <c r="BT43" i="49"/>
  <c r="BR43" i="49"/>
  <c r="BP43" i="49"/>
  <c r="BZ42" i="49"/>
  <c r="BX42" i="49"/>
  <c r="BV42" i="49"/>
  <c r="BT42" i="49"/>
  <c r="BR42" i="49"/>
  <c r="BZ41" i="49"/>
  <c r="BX41" i="49"/>
  <c r="BV41" i="49"/>
  <c r="BT41" i="49"/>
  <c r="BR41" i="49"/>
  <c r="BP41" i="49"/>
  <c r="BZ40" i="49"/>
  <c r="BX40" i="49"/>
  <c r="BV40" i="49"/>
  <c r="BT40" i="49"/>
  <c r="BR40" i="49"/>
  <c r="BP40" i="49"/>
  <c r="BZ39" i="49"/>
  <c r="BX39" i="49"/>
  <c r="BV39" i="49"/>
  <c r="BT39" i="49"/>
  <c r="BR39" i="49"/>
  <c r="BZ38" i="49"/>
  <c r="BX38" i="49"/>
  <c r="BV38" i="49"/>
  <c r="BT38" i="49"/>
  <c r="BR38" i="49"/>
  <c r="BP38" i="49"/>
  <c r="BZ37" i="49"/>
  <c r="BX37" i="49"/>
  <c r="BV37" i="49"/>
  <c r="BT37" i="49"/>
  <c r="BR37" i="49"/>
  <c r="BP37" i="49"/>
  <c r="BZ36" i="49"/>
  <c r="BX36" i="49"/>
  <c r="BV36" i="49"/>
  <c r="BT36" i="49"/>
  <c r="BR36" i="49"/>
  <c r="BZ35" i="49"/>
  <c r="BX35" i="49"/>
  <c r="BV35" i="49"/>
  <c r="BT35" i="49"/>
  <c r="BR35" i="49"/>
  <c r="BP35" i="49"/>
  <c r="BZ134" i="49"/>
  <c r="BZ130" i="49"/>
  <c r="BZ129" i="49"/>
  <c r="BZ128" i="49"/>
  <c r="BZ127" i="49"/>
  <c r="BV127" i="49"/>
  <c r="BZ126" i="49"/>
  <c r="BV126" i="49"/>
  <c r="BZ125" i="49"/>
  <c r="BV125" i="49"/>
  <c r="BZ124" i="49"/>
  <c r="BV124" i="49"/>
  <c r="BZ123" i="49"/>
  <c r="BV123" i="49"/>
  <c r="BV122" i="49"/>
  <c r="BZ121" i="49"/>
  <c r="BV121" i="49"/>
  <c r="BV120" i="49"/>
  <c r="BZ119" i="49"/>
  <c r="BZ118" i="49"/>
  <c r="BX118" i="49"/>
  <c r="BV118" i="49"/>
  <c r="BZ117" i="49"/>
  <c r="BX117" i="49"/>
  <c r="BV117" i="49"/>
  <c r="BZ116" i="49"/>
  <c r="BX116" i="49"/>
  <c r="BV116" i="49"/>
  <c r="BZ115" i="49"/>
  <c r="BX115" i="49"/>
  <c r="BV115" i="49"/>
  <c r="BZ114" i="49"/>
  <c r="BX114" i="49"/>
  <c r="BV114" i="49"/>
  <c r="BZ113" i="49"/>
  <c r="BX113" i="49"/>
  <c r="BV113" i="49"/>
  <c r="BZ112" i="49"/>
  <c r="BX112" i="49"/>
  <c r="BV112" i="49"/>
  <c r="BZ111" i="49"/>
  <c r="BX111" i="49"/>
  <c r="BV111" i="49"/>
  <c r="BZ105" i="49"/>
  <c r="BZ101" i="49"/>
  <c r="BZ100" i="49"/>
  <c r="BZ99" i="49"/>
  <c r="D99" i="49"/>
  <c r="BZ98" i="49"/>
  <c r="BV98" i="49"/>
  <c r="BZ97" i="49"/>
  <c r="BV97" i="49"/>
  <c r="BZ96" i="49"/>
  <c r="BV96" i="49"/>
  <c r="BZ95" i="49"/>
  <c r="BV95" i="49"/>
  <c r="BP95" i="49"/>
  <c r="BZ94" i="49"/>
  <c r="BV94" i="49"/>
  <c r="BP94" i="49"/>
  <c r="R94" i="49"/>
  <c r="BV93" i="49"/>
  <c r="BZ92" i="49"/>
  <c r="BV92" i="49"/>
  <c r="BP92" i="49"/>
  <c r="BV91" i="49"/>
  <c r="BR91" i="49"/>
  <c r="BZ90" i="49"/>
  <c r="BR90" i="49"/>
  <c r="BP90" i="49"/>
  <c r="BZ34" i="49"/>
  <c r="BX34" i="49"/>
  <c r="BV34" i="49"/>
  <c r="BT34" i="49"/>
  <c r="BR34" i="49"/>
  <c r="BZ33" i="49"/>
  <c r="BX33" i="49"/>
  <c r="BV33" i="49"/>
  <c r="BT33" i="49"/>
  <c r="BR33" i="49"/>
  <c r="BP33" i="49"/>
  <c r="BZ32" i="49"/>
  <c r="BX32" i="49"/>
  <c r="BV32" i="49"/>
  <c r="BT32" i="49"/>
  <c r="BR32" i="49"/>
  <c r="BP32" i="49"/>
  <c r="BZ31" i="49"/>
  <c r="BX31" i="49"/>
  <c r="BV31" i="49"/>
  <c r="BT31" i="49"/>
  <c r="BR31" i="49"/>
  <c r="BP31" i="49"/>
  <c r="BZ30" i="49"/>
  <c r="BX30" i="49"/>
  <c r="BV30" i="49"/>
  <c r="BT30" i="49"/>
  <c r="BR30" i="49"/>
  <c r="BP30" i="49"/>
  <c r="BZ29" i="49"/>
  <c r="BX29" i="49"/>
  <c r="BV29" i="49"/>
  <c r="BT29" i="49"/>
  <c r="BR29" i="49"/>
  <c r="BZ28" i="49"/>
  <c r="BX28" i="49"/>
  <c r="BV28" i="49"/>
  <c r="BT28" i="49"/>
  <c r="BR28" i="49"/>
  <c r="BP28" i="49"/>
  <c r="BZ27" i="49"/>
  <c r="BX27" i="49"/>
  <c r="BV27" i="49"/>
  <c r="BT27" i="49"/>
  <c r="BR27" i="49"/>
  <c r="BP27" i="49"/>
  <c r="BX26" i="49"/>
  <c r="BT26" i="49"/>
  <c r="BR26" i="49"/>
  <c r="BT25" i="49"/>
  <c r="BR25" i="49"/>
  <c r="BV24" i="49"/>
  <c r="B22" i="49"/>
  <c r="B23" i="49" s="1"/>
  <c r="B24" i="49" s="1"/>
  <c r="B25" i="49" s="1"/>
  <c r="B26" i="49" s="1"/>
  <c r="BP20" i="49"/>
  <c r="BP19" i="49"/>
  <c r="Z4" i="49"/>
  <c r="H4" i="49"/>
  <c r="BH2" i="49"/>
  <c r="BC2" i="49"/>
  <c r="AY2" i="49"/>
  <c r="AT2" i="49"/>
  <c r="AP2" i="49"/>
  <c r="K2" i="49"/>
  <c r="A2" i="49"/>
  <c r="W1" i="49"/>
  <c r="BZ79" i="48"/>
  <c r="BZ75" i="48"/>
  <c r="BZ74" i="48"/>
  <c r="BZ73" i="48"/>
  <c r="BZ72" i="48"/>
  <c r="BV72" i="48"/>
  <c r="BZ71" i="48"/>
  <c r="BV71" i="48"/>
  <c r="BZ70" i="48"/>
  <c r="BV70" i="48"/>
  <c r="BZ69" i="48"/>
  <c r="BV69" i="48"/>
  <c r="BZ68" i="48"/>
  <c r="BV68" i="48"/>
  <c r="BV67" i="48"/>
  <c r="BZ66" i="48"/>
  <c r="BV66" i="48"/>
  <c r="BV65" i="48"/>
  <c r="BZ64" i="48"/>
  <c r="BZ63" i="48"/>
  <c r="BX63" i="48"/>
  <c r="BV63" i="48"/>
  <c r="BZ62" i="48"/>
  <c r="BX62" i="48"/>
  <c r="BV62" i="48"/>
  <c r="BZ61" i="48"/>
  <c r="BX61" i="48"/>
  <c r="BV61" i="48"/>
  <c r="BZ60" i="48"/>
  <c r="BX60" i="48"/>
  <c r="BV60" i="48"/>
  <c r="BZ59" i="48"/>
  <c r="BX59" i="48"/>
  <c r="BV59" i="48"/>
  <c r="BZ58" i="48"/>
  <c r="BX58" i="48"/>
  <c r="BV58" i="48"/>
  <c r="BZ57" i="48"/>
  <c r="BX57" i="48"/>
  <c r="BV57" i="48"/>
  <c r="BZ56" i="48"/>
  <c r="BX56" i="48"/>
  <c r="BV56" i="48"/>
  <c r="BZ50" i="48"/>
  <c r="BZ46" i="48"/>
  <c r="BZ45" i="48"/>
  <c r="BZ44" i="48"/>
  <c r="D44" i="48"/>
  <c r="BZ43" i="48"/>
  <c r="BV43" i="48"/>
  <c r="BZ42" i="48"/>
  <c r="BV42" i="48"/>
  <c r="BZ41" i="48"/>
  <c r="BV41" i="48"/>
  <c r="BZ40" i="48"/>
  <c r="BV40" i="48"/>
  <c r="BP40" i="48"/>
  <c r="BZ39" i="48"/>
  <c r="BV39" i="48"/>
  <c r="BP39" i="48"/>
  <c r="R39" i="48"/>
  <c r="BV38" i="48"/>
  <c r="BZ37" i="48"/>
  <c r="BV37" i="48"/>
  <c r="BP37" i="48"/>
  <c r="BV36" i="48"/>
  <c r="BR36" i="48"/>
  <c r="BZ35" i="48"/>
  <c r="BR35" i="48"/>
  <c r="BP35" i="48"/>
  <c r="BZ34" i="48"/>
  <c r="BX34" i="48"/>
  <c r="BV34" i="48"/>
  <c r="BT34" i="48"/>
  <c r="BZ33" i="48"/>
  <c r="BX33" i="48"/>
  <c r="BV33" i="48"/>
  <c r="BT33" i="48"/>
  <c r="BZ32" i="48"/>
  <c r="BX32" i="48"/>
  <c r="BV32" i="48"/>
  <c r="BT32" i="48"/>
  <c r="BZ31" i="48"/>
  <c r="BX31" i="48"/>
  <c r="BV31" i="48"/>
  <c r="BT31" i="48"/>
  <c r="BZ30" i="48"/>
  <c r="BX30" i="48"/>
  <c r="BV30" i="48"/>
  <c r="BT30" i="48"/>
  <c r="BZ29" i="48"/>
  <c r="BX29" i="48"/>
  <c r="BV29" i="48"/>
  <c r="BT29" i="48"/>
  <c r="BZ28" i="48"/>
  <c r="BX28" i="48"/>
  <c r="BV28" i="48"/>
  <c r="BT28" i="48"/>
  <c r="BZ27" i="48"/>
  <c r="BX27" i="48"/>
  <c r="BV27" i="48"/>
  <c r="BT27" i="48"/>
  <c r="BX26" i="48"/>
  <c r="BT26" i="48"/>
  <c r="BR26" i="48"/>
  <c r="BT25" i="48"/>
  <c r="BR25" i="48"/>
  <c r="BV24" i="48"/>
  <c r="B22" i="48"/>
  <c r="B23" i="48" s="1"/>
  <c r="B24" i="48" s="1"/>
  <c r="B25" i="48" s="1"/>
  <c r="B26" i="48" s="1"/>
  <c r="BP20" i="48"/>
  <c r="BP19" i="48"/>
  <c r="Z4" i="48"/>
  <c r="H4" i="48"/>
  <c r="BH2" i="48"/>
  <c r="BC2" i="48"/>
  <c r="AY2" i="48"/>
  <c r="AT2" i="48"/>
  <c r="AP2" i="48"/>
  <c r="K2" i="48"/>
  <c r="A2" i="48"/>
  <c r="W1" i="48"/>
  <c r="BZ152" i="43"/>
  <c r="BZ123" i="43"/>
  <c r="BX26" i="43"/>
  <c r="BV24" i="43"/>
  <c r="BZ110" i="45"/>
  <c r="BZ81" i="45"/>
  <c r="BX26" i="45"/>
  <c r="BV24" i="45"/>
  <c r="BZ226" i="46"/>
  <c r="BZ197" i="46"/>
  <c r="BX26" i="46"/>
  <c r="BV24" i="46"/>
  <c r="BZ81" i="47"/>
  <c r="BZ52" i="47"/>
  <c r="BX26" i="47"/>
  <c r="BV24" i="47"/>
  <c r="BZ94" i="47"/>
  <c r="BZ90" i="47"/>
  <c r="BZ89" i="47"/>
  <c r="BZ88" i="47"/>
  <c r="BZ87" i="47"/>
  <c r="BV87" i="47"/>
  <c r="BZ86" i="47"/>
  <c r="BV86" i="47"/>
  <c r="BZ85" i="47"/>
  <c r="BV85" i="47"/>
  <c r="BZ84" i="47"/>
  <c r="BV84" i="47"/>
  <c r="BZ83" i="47"/>
  <c r="BV83" i="47"/>
  <c r="BV82" i="47"/>
  <c r="BV81" i="47"/>
  <c r="BV80" i="47"/>
  <c r="BZ79" i="47"/>
  <c r="BZ78" i="47"/>
  <c r="BX78" i="47"/>
  <c r="BV78" i="47"/>
  <c r="BZ77" i="47"/>
  <c r="BX77" i="47"/>
  <c r="BV77" i="47"/>
  <c r="BZ76" i="47"/>
  <c r="BX76" i="47"/>
  <c r="BV76" i="47"/>
  <c r="BZ75" i="47"/>
  <c r="BX75" i="47"/>
  <c r="BV75" i="47"/>
  <c r="BZ74" i="47"/>
  <c r="BX74" i="47"/>
  <c r="BV74" i="47"/>
  <c r="BZ73" i="47"/>
  <c r="BX73" i="47"/>
  <c r="BV73" i="47"/>
  <c r="BZ72" i="47"/>
  <c r="BX72" i="47"/>
  <c r="BV72" i="47"/>
  <c r="BZ71" i="47"/>
  <c r="BX71" i="47"/>
  <c r="BV71" i="47"/>
  <c r="BZ65" i="47"/>
  <c r="BZ61" i="47"/>
  <c r="BZ60" i="47"/>
  <c r="BZ59" i="47"/>
  <c r="D59" i="47"/>
  <c r="BZ58" i="47"/>
  <c r="BV58" i="47"/>
  <c r="BZ57" i="47"/>
  <c r="BV57" i="47"/>
  <c r="BZ56" i="47"/>
  <c r="BV56" i="47"/>
  <c r="BZ55" i="47"/>
  <c r="BV55" i="47"/>
  <c r="BP55" i="47"/>
  <c r="BZ54" i="47"/>
  <c r="BV54" i="47"/>
  <c r="BP54" i="47"/>
  <c r="R54" i="47"/>
  <c r="BV53" i="47"/>
  <c r="BV52" i="47"/>
  <c r="BP52" i="47"/>
  <c r="BV51" i="47"/>
  <c r="BR51" i="47"/>
  <c r="BZ50" i="47"/>
  <c r="BR50" i="47"/>
  <c r="BP50" i="47"/>
  <c r="BZ49" i="47"/>
  <c r="BX49" i="47"/>
  <c r="BV49" i="47"/>
  <c r="BT49" i="47"/>
  <c r="BR49" i="47"/>
  <c r="BP49" i="47"/>
  <c r="BZ48" i="47"/>
  <c r="BX48" i="47"/>
  <c r="BV48" i="47"/>
  <c r="BT48" i="47"/>
  <c r="AC48" i="47" a="1"/>
  <c r="AC48" i="47" s="1"/>
  <c r="BR48" i="47" s="1"/>
  <c r="BZ47" i="47"/>
  <c r="BX47" i="47"/>
  <c r="BV47" i="47"/>
  <c r="BT47" i="47"/>
  <c r="AC47" i="47" a="1"/>
  <c r="AC47" i="47" s="1"/>
  <c r="BZ46" i="47"/>
  <c r="BX46" i="47"/>
  <c r="BV46" i="47"/>
  <c r="BT46" i="47"/>
  <c r="AC46" i="47" a="1"/>
  <c r="AC46" i="47" s="1"/>
  <c r="BR46" i="47" s="1"/>
  <c r="BZ45" i="47"/>
  <c r="BX45" i="47"/>
  <c r="BV45" i="47"/>
  <c r="BT45" i="47"/>
  <c r="AC45" i="47" a="1"/>
  <c r="AC45" i="47" s="1"/>
  <c r="BZ44" i="47"/>
  <c r="BX44" i="47"/>
  <c r="BV44" i="47"/>
  <c r="BT44" i="47"/>
  <c r="AC44" i="47" a="1"/>
  <c r="AC44" i="47" s="1"/>
  <c r="BR44" i="47" s="1"/>
  <c r="BZ43" i="47"/>
  <c r="BX43" i="47"/>
  <c r="BV43" i="47"/>
  <c r="BT43" i="47"/>
  <c r="AC43" i="47" a="1"/>
  <c r="AC43" i="47" s="1"/>
  <c r="BZ42" i="47"/>
  <c r="BX42" i="47"/>
  <c r="BV42" i="47"/>
  <c r="BT42" i="47"/>
  <c r="AC42" i="47" a="1"/>
  <c r="AC42" i="47" s="1"/>
  <c r="BR42" i="47" s="1"/>
  <c r="BZ41" i="47"/>
  <c r="BX41" i="47"/>
  <c r="BV41" i="47"/>
  <c r="BT41" i="47"/>
  <c r="AC41" i="47" a="1"/>
  <c r="AC41" i="47" s="1"/>
  <c r="BR41" i="47" s="1"/>
  <c r="BZ40" i="47"/>
  <c r="BX40" i="47"/>
  <c r="BV40" i="47"/>
  <c r="BT40" i="47"/>
  <c r="AC40" i="47" a="1"/>
  <c r="AC40" i="47" s="1"/>
  <c r="BR40" i="47" s="1"/>
  <c r="BZ39" i="47"/>
  <c r="BX39" i="47"/>
  <c r="BV39" i="47"/>
  <c r="BT39" i="47"/>
  <c r="AC39" i="47" a="1"/>
  <c r="AC39" i="47" s="1"/>
  <c r="BZ38" i="47"/>
  <c r="BX38" i="47"/>
  <c r="BV38" i="47"/>
  <c r="BT38" i="47"/>
  <c r="AC38" i="47" a="1"/>
  <c r="AC38" i="47" s="1"/>
  <c r="BZ37" i="47"/>
  <c r="BX37" i="47"/>
  <c r="BV37" i="47"/>
  <c r="BT37" i="47"/>
  <c r="AC37" i="47" a="1"/>
  <c r="AC37" i="47" s="1"/>
  <c r="BR37" i="47" s="1"/>
  <c r="BZ36" i="47"/>
  <c r="BX36" i="47"/>
  <c r="BV36" i="47"/>
  <c r="BT36" i="47"/>
  <c r="AC36" i="47" a="1"/>
  <c r="AC36" i="47" s="1"/>
  <c r="BZ35" i="47"/>
  <c r="BX35" i="47"/>
  <c r="BV35" i="47"/>
  <c r="BT35" i="47"/>
  <c r="AC35" i="47" a="1"/>
  <c r="AC35" i="47" s="1"/>
  <c r="BZ34" i="47"/>
  <c r="BX34" i="47"/>
  <c r="BV34" i="47"/>
  <c r="BT34" i="47"/>
  <c r="AC34" i="47" a="1"/>
  <c r="AC34" i="47" s="1"/>
  <c r="BR34" i="47" s="1"/>
  <c r="BZ33" i="47"/>
  <c r="BX33" i="47"/>
  <c r="BV33" i="47"/>
  <c r="BT33" i="47"/>
  <c r="AC33" i="47" a="1"/>
  <c r="AC33" i="47" s="1"/>
  <c r="BZ32" i="47"/>
  <c r="BX32" i="47"/>
  <c r="BV32" i="47"/>
  <c r="BT32" i="47"/>
  <c r="AC32" i="47" a="1"/>
  <c r="AC32" i="47" s="1"/>
  <c r="BZ31" i="47"/>
  <c r="BX31" i="47"/>
  <c r="BV31" i="47"/>
  <c r="BT31" i="47"/>
  <c r="AC31" i="47" a="1"/>
  <c r="AC31" i="47" s="1"/>
  <c r="BR31" i="47" s="1"/>
  <c r="BZ30" i="47"/>
  <c r="BX30" i="47"/>
  <c r="BV30" i="47"/>
  <c r="BT30" i="47"/>
  <c r="AC30" i="47" a="1"/>
  <c r="AC30" i="47" s="1"/>
  <c r="BZ29" i="47"/>
  <c r="BX29" i="47"/>
  <c r="BV29" i="47"/>
  <c r="BT29" i="47"/>
  <c r="AC29" i="47" a="1"/>
  <c r="AC29" i="47" s="1"/>
  <c r="BZ28" i="47"/>
  <c r="BX28" i="47"/>
  <c r="BV28" i="47"/>
  <c r="BT28" i="47"/>
  <c r="AC28" i="47" a="1"/>
  <c r="AC28" i="47" s="1"/>
  <c r="BR28" i="47" s="1"/>
  <c r="BZ27" i="47"/>
  <c r="BX27" i="47"/>
  <c r="BV27" i="47"/>
  <c r="BT27" i="47"/>
  <c r="AC27" i="47" a="1"/>
  <c r="AC27" i="47" s="1"/>
  <c r="BT26" i="47"/>
  <c r="BR26" i="47"/>
  <c r="BT25" i="47"/>
  <c r="BR25" i="47"/>
  <c r="B22" i="47"/>
  <c r="B23" i="47" s="1"/>
  <c r="B24" i="47" s="1"/>
  <c r="B25" i="47" s="1"/>
  <c r="B26" i="47" s="1"/>
  <c r="BP20" i="47"/>
  <c r="BP19" i="47"/>
  <c r="Z4" i="47"/>
  <c r="H4" i="47"/>
  <c r="BH2" i="47"/>
  <c r="BC2" i="47"/>
  <c r="AY2" i="47"/>
  <c r="AT2" i="47"/>
  <c r="AP2" i="47"/>
  <c r="K2" i="47"/>
  <c r="A2" i="47"/>
  <c r="W1" i="47"/>
  <c r="BZ42" i="46"/>
  <c r="BX42" i="46"/>
  <c r="BV42" i="46"/>
  <c r="BT42" i="46"/>
  <c r="AC42" i="46" a="1"/>
  <c r="AC42" i="46" s="1"/>
  <c r="BZ41" i="46"/>
  <c r="BX41" i="46"/>
  <c r="BV41" i="46"/>
  <c r="BT41" i="46"/>
  <c r="AC41" i="46" a="1"/>
  <c r="AC41" i="46" s="1"/>
  <c r="BZ40" i="46"/>
  <c r="BX40" i="46"/>
  <c r="BV40" i="46"/>
  <c r="BT40" i="46"/>
  <c r="AC40" i="46" a="1"/>
  <c r="AC40" i="46" s="1"/>
  <c r="BZ39" i="46"/>
  <c r="BX39" i="46"/>
  <c r="BV39" i="46"/>
  <c r="BT39" i="46"/>
  <c r="AC39" i="46" a="1"/>
  <c r="AC39" i="46" s="1"/>
  <c r="BZ38" i="46"/>
  <c r="BX38" i="46"/>
  <c r="BV38" i="46"/>
  <c r="BT38" i="46"/>
  <c r="AC38" i="46" a="1"/>
  <c r="AC38" i="46" s="1"/>
  <c r="BZ37" i="46"/>
  <c r="BX37" i="46"/>
  <c r="BV37" i="46"/>
  <c r="BT37" i="46"/>
  <c r="AC37" i="46" a="1"/>
  <c r="AC37" i="46" s="1"/>
  <c r="BZ36" i="46"/>
  <c r="BX36" i="46"/>
  <c r="BV36" i="46"/>
  <c r="BT36" i="46"/>
  <c r="AC36" i="46" a="1"/>
  <c r="AC36" i="46" s="1"/>
  <c r="BZ35" i="46"/>
  <c r="BX35" i="46"/>
  <c r="BV35" i="46"/>
  <c r="BT35" i="46"/>
  <c r="AC35" i="46" a="1"/>
  <c r="AC35" i="46" s="1"/>
  <c r="BZ34" i="46"/>
  <c r="BX34" i="46"/>
  <c r="BV34" i="46"/>
  <c r="BT34" i="46"/>
  <c r="AC34" i="46" a="1"/>
  <c r="AC34" i="46" s="1"/>
  <c r="BZ33" i="46"/>
  <c r="BX33" i="46"/>
  <c r="BV33" i="46"/>
  <c r="BT33" i="46"/>
  <c r="AC33" i="46" a="1"/>
  <c r="AC33" i="46" s="1"/>
  <c r="BZ32" i="46"/>
  <c r="BX32" i="46"/>
  <c r="BV32" i="46"/>
  <c r="BT32" i="46"/>
  <c r="AC32" i="46" a="1"/>
  <c r="AC32" i="46" s="1"/>
  <c r="BZ31" i="46"/>
  <c r="BX31" i="46"/>
  <c r="BV31" i="46"/>
  <c r="BT31" i="46"/>
  <c r="AC31" i="46" a="1"/>
  <c r="AC31" i="46" s="1"/>
  <c r="BZ66" i="46"/>
  <c r="BX66" i="46"/>
  <c r="BV66" i="46"/>
  <c r="BT66" i="46"/>
  <c r="AC66" i="46" a="1"/>
  <c r="AC66" i="46" s="1"/>
  <c r="BZ65" i="46"/>
  <c r="BX65" i="46"/>
  <c r="BV65" i="46"/>
  <c r="BT65" i="46"/>
  <c r="AC65" i="46" a="1"/>
  <c r="AC65" i="46" s="1"/>
  <c r="BZ64" i="46"/>
  <c r="BX64" i="46"/>
  <c r="BV64" i="46"/>
  <c r="BT64" i="46"/>
  <c r="AC64" i="46" a="1"/>
  <c r="AC64" i="46" s="1"/>
  <c r="BZ63" i="46"/>
  <c r="BX63" i="46"/>
  <c r="BV63" i="46"/>
  <c r="BT63" i="46"/>
  <c r="AC63" i="46" a="1"/>
  <c r="AC63" i="46" s="1"/>
  <c r="BZ62" i="46"/>
  <c r="BX62" i="46"/>
  <c r="BV62" i="46"/>
  <c r="BT62" i="46"/>
  <c r="AC62" i="46" a="1"/>
  <c r="AC62" i="46" s="1"/>
  <c r="BZ61" i="46"/>
  <c r="BX61" i="46"/>
  <c r="BV61" i="46"/>
  <c r="BT61" i="46"/>
  <c r="AC61" i="46" a="1"/>
  <c r="AC61" i="46" s="1"/>
  <c r="BZ60" i="46"/>
  <c r="BX60" i="46"/>
  <c r="BV60" i="46"/>
  <c r="BT60" i="46"/>
  <c r="AC60" i="46" a="1"/>
  <c r="AC60" i="46" s="1"/>
  <c r="BZ59" i="46"/>
  <c r="BX59" i="46"/>
  <c r="BV59" i="46"/>
  <c r="BT59" i="46"/>
  <c r="AC59" i="46" a="1"/>
  <c r="AC59" i="46" s="1"/>
  <c r="BZ58" i="46"/>
  <c r="BX58" i="46"/>
  <c r="BV58" i="46"/>
  <c r="BT58" i="46"/>
  <c r="AC58" i="46" a="1"/>
  <c r="AC58" i="46" s="1"/>
  <c r="BZ57" i="46"/>
  <c r="BX57" i="46"/>
  <c r="BV57" i="46"/>
  <c r="BT57" i="46"/>
  <c r="AC57" i="46" a="1"/>
  <c r="AC57" i="46" s="1"/>
  <c r="BZ56" i="46"/>
  <c r="BX56" i="46"/>
  <c r="BV56" i="46"/>
  <c r="BT56" i="46"/>
  <c r="AC56" i="46" a="1"/>
  <c r="AC56" i="46" s="1"/>
  <c r="BZ55" i="46"/>
  <c r="BX55" i="46"/>
  <c r="BV55" i="46"/>
  <c r="BT55" i="46"/>
  <c r="AC55" i="46" a="1"/>
  <c r="AC55" i="46" s="1"/>
  <c r="BZ54" i="46"/>
  <c r="BX54" i="46"/>
  <c r="BV54" i="46"/>
  <c r="BT54" i="46"/>
  <c r="AC54" i="46" a="1"/>
  <c r="AC54" i="46" s="1"/>
  <c r="BZ53" i="46"/>
  <c r="BX53" i="46"/>
  <c r="BV53" i="46"/>
  <c r="BT53" i="46"/>
  <c r="AC53" i="46" a="1"/>
  <c r="AC53" i="46" s="1"/>
  <c r="BZ52" i="46"/>
  <c r="BX52" i="46"/>
  <c r="BV52" i="46"/>
  <c r="BT52" i="46"/>
  <c r="AC52" i="46" a="1"/>
  <c r="AC52" i="46" s="1"/>
  <c r="BZ51" i="46"/>
  <c r="BX51" i="46"/>
  <c r="BV51" i="46"/>
  <c r="BT51" i="46"/>
  <c r="AC51" i="46" a="1"/>
  <c r="AC51" i="46" s="1"/>
  <c r="BZ50" i="46"/>
  <c r="BX50" i="46"/>
  <c r="BV50" i="46"/>
  <c r="BT50" i="46"/>
  <c r="AC50" i="46" a="1"/>
  <c r="AC50" i="46" s="1"/>
  <c r="BZ49" i="46"/>
  <c r="BX49" i="46"/>
  <c r="BV49" i="46"/>
  <c r="BT49" i="46"/>
  <c r="BZ48" i="46"/>
  <c r="BX48" i="46"/>
  <c r="BV48" i="46"/>
  <c r="BT48" i="46"/>
  <c r="AC48" i="46" a="1"/>
  <c r="AC48" i="46" s="1"/>
  <c r="D204" i="46"/>
  <c r="BZ150" i="46"/>
  <c r="BX150" i="46"/>
  <c r="BV150" i="46"/>
  <c r="BT150" i="46"/>
  <c r="AC150" i="46" a="1"/>
  <c r="AC150" i="46" s="1"/>
  <c r="BZ149" i="46"/>
  <c r="BX149" i="46"/>
  <c r="BV149" i="46"/>
  <c r="BT149" i="46"/>
  <c r="AC149" i="46" a="1"/>
  <c r="AC149" i="46" s="1"/>
  <c r="BZ148" i="46"/>
  <c r="BX148" i="46"/>
  <c r="BV148" i="46"/>
  <c r="BT148" i="46"/>
  <c r="AC148" i="46" a="1"/>
  <c r="AC148" i="46" s="1"/>
  <c r="BZ147" i="46"/>
  <c r="BX147" i="46"/>
  <c r="BV147" i="46"/>
  <c r="BT147" i="46"/>
  <c r="AC147" i="46" a="1"/>
  <c r="AC147" i="46" s="1"/>
  <c r="BZ146" i="46"/>
  <c r="BX146" i="46"/>
  <c r="BV146" i="46"/>
  <c r="BT146" i="46"/>
  <c r="AC146" i="46" a="1"/>
  <c r="AC146" i="46" s="1"/>
  <c r="BZ145" i="46"/>
  <c r="BX145" i="46"/>
  <c r="BV145" i="46"/>
  <c r="BT145" i="46"/>
  <c r="AC145" i="46" a="1"/>
  <c r="AC145" i="46" s="1"/>
  <c r="BZ144" i="46"/>
  <c r="BX144" i="46"/>
  <c r="BV144" i="46"/>
  <c r="BT144" i="46"/>
  <c r="AC144" i="46" a="1"/>
  <c r="AC144" i="46" s="1"/>
  <c r="BZ143" i="46"/>
  <c r="BX143" i="46"/>
  <c r="BV143" i="46"/>
  <c r="BT143" i="46"/>
  <c r="AC143" i="46" a="1"/>
  <c r="AC143" i="46" s="1"/>
  <c r="BZ142" i="46"/>
  <c r="BX142" i="46"/>
  <c r="BV142" i="46"/>
  <c r="BT142" i="46"/>
  <c r="AC142" i="46" a="1"/>
  <c r="AC142" i="46" s="1"/>
  <c r="BZ141" i="46"/>
  <c r="BX141" i="46"/>
  <c r="BV141" i="46"/>
  <c r="BT141" i="46"/>
  <c r="AC141" i="46" a="1"/>
  <c r="AC141" i="46" s="1"/>
  <c r="BZ140" i="46"/>
  <c r="BX140" i="46"/>
  <c r="BV140" i="46"/>
  <c r="BT140" i="46"/>
  <c r="AC140" i="46" a="1"/>
  <c r="AC140" i="46" s="1"/>
  <c r="BZ139" i="46"/>
  <c r="BX139" i="46"/>
  <c r="BV139" i="46"/>
  <c r="BT139" i="46"/>
  <c r="AC139" i="46" a="1"/>
  <c r="AC139" i="46" s="1"/>
  <c r="BZ138" i="46"/>
  <c r="BX138" i="46"/>
  <c r="BV138" i="46"/>
  <c r="BT138" i="46"/>
  <c r="AC138" i="46" a="1"/>
  <c r="AC138" i="46" s="1"/>
  <c r="BZ137" i="46"/>
  <c r="BX137" i="46"/>
  <c r="BV137" i="46"/>
  <c r="BT137" i="46"/>
  <c r="AC137" i="46" a="1"/>
  <c r="AC137" i="46" s="1"/>
  <c r="BZ136" i="46"/>
  <c r="BX136" i="46"/>
  <c r="BV136" i="46"/>
  <c r="BT136" i="46"/>
  <c r="AC136" i="46" a="1"/>
  <c r="AC136" i="46" s="1"/>
  <c r="BZ135" i="46"/>
  <c r="BX135" i="46"/>
  <c r="BV135" i="46"/>
  <c r="BT135" i="46"/>
  <c r="AC135" i="46" a="1"/>
  <c r="AC135" i="46" s="1"/>
  <c r="BZ134" i="46"/>
  <c r="BX134" i="46"/>
  <c r="BV134" i="46"/>
  <c r="BT134" i="46"/>
  <c r="AC134" i="46" a="1"/>
  <c r="AC134" i="46" s="1"/>
  <c r="BZ133" i="46"/>
  <c r="BX133" i="46"/>
  <c r="BV133" i="46"/>
  <c r="BT133" i="46"/>
  <c r="AC133" i="46" a="1"/>
  <c r="AC133" i="46" s="1"/>
  <c r="BZ132" i="46"/>
  <c r="BX132" i="46"/>
  <c r="BV132" i="46"/>
  <c r="BT132" i="46"/>
  <c r="AC132" i="46" a="1"/>
  <c r="AC132" i="46" s="1"/>
  <c r="BZ131" i="46"/>
  <c r="BX131" i="46"/>
  <c r="BV131" i="46"/>
  <c r="BT131" i="46"/>
  <c r="AC131" i="46" a="1"/>
  <c r="AC131" i="46" s="1"/>
  <c r="BZ130" i="46"/>
  <c r="BX130" i="46"/>
  <c r="BV130" i="46"/>
  <c r="BT130" i="46"/>
  <c r="AC130" i="46" a="1"/>
  <c r="AC130" i="46" s="1"/>
  <c r="BZ129" i="46"/>
  <c r="BX129" i="46"/>
  <c r="BV129" i="46"/>
  <c r="BT129" i="46"/>
  <c r="AC129" i="46" a="1"/>
  <c r="AC129" i="46" s="1"/>
  <c r="BZ128" i="46"/>
  <c r="BX128" i="46"/>
  <c r="BV128" i="46"/>
  <c r="BT128" i="46"/>
  <c r="AC128" i="46" a="1"/>
  <c r="AC128" i="46" s="1"/>
  <c r="BZ127" i="46"/>
  <c r="BX127" i="46"/>
  <c r="BV127" i="46"/>
  <c r="BT127" i="46"/>
  <c r="AC127" i="46" a="1"/>
  <c r="AC127" i="46" s="1"/>
  <c r="BZ126" i="46"/>
  <c r="BX126" i="46"/>
  <c r="BV126" i="46"/>
  <c r="BT126" i="46"/>
  <c r="AC126" i="46" a="1"/>
  <c r="AC126" i="46" s="1"/>
  <c r="BZ125" i="46"/>
  <c r="BX125" i="46"/>
  <c r="BV125" i="46"/>
  <c r="BT125" i="46"/>
  <c r="AC125" i="46" a="1"/>
  <c r="AC125" i="46" s="1"/>
  <c r="BZ124" i="46"/>
  <c r="BX124" i="46"/>
  <c r="BV124" i="46"/>
  <c r="BT124" i="46"/>
  <c r="AC124" i="46" a="1"/>
  <c r="AC124" i="46" s="1"/>
  <c r="BZ123" i="46"/>
  <c r="BX123" i="46"/>
  <c r="BV123" i="46"/>
  <c r="BT123" i="46"/>
  <c r="AC123" i="46" a="1"/>
  <c r="AC123" i="46" s="1"/>
  <c r="BZ122" i="46"/>
  <c r="BX122" i="46"/>
  <c r="BV122" i="46"/>
  <c r="BT122" i="46"/>
  <c r="AC122" i="46" a="1"/>
  <c r="AC122" i="46" s="1"/>
  <c r="BZ121" i="46"/>
  <c r="BX121" i="46"/>
  <c r="BV121" i="46"/>
  <c r="BT121" i="46"/>
  <c r="AC121" i="46" a="1"/>
  <c r="AC121" i="46" s="1"/>
  <c r="BZ120" i="46"/>
  <c r="BX120" i="46"/>
  <c r="BV120" i="46"/>
  <c r="BT120" i="46"/>
  <c r="AC120" i="46" a="1"/>
  <c r="AC120" i="46" s="1"/>
  <c r="BZ119" i="46"/>
  <c r="BX119" i="46"/>
  <c r="BV119" i="46"/>
  <c r="BT119" i="46"/>
  <c r="AC119" i="46" a="1"/>
  <c r="AC119" i="46" s="1"/>
  <c r="BZ118" i="46"/>
  <c r="BX118" i="46"/>
  <c r="BV118" i="46"/>
  <c r="BT118" i="46"/>
  <c r="AC118" i="46" a="1"/>
  <c r="AC118" i="46" s="1"/>
  <c r="BZ117" i="46"/>
  <c r="BX117" i="46"/>
  <c r="BV117" i="46"/>
  <c r="BT117" i="46"/>
  <c r="AC117" i="46" a="1"/>
  <c r="AC117" i="46" s="1"/>
  <c r="BZ116" i="46"/>
  <c r="BX116" i="46"/>
  <c r="BV116" i="46"/>
  <c r="BT116" i="46"/>
  <c r="AC116" i="46" a="1"/>
  <c r="AC116" i="46" s="1"/>
  <c r="BZ115" i="46"/>
  <c r="BX115" i="46"/>
  <c r="BV115" i="46"/>
  <c r="BT115" i="46"/>
  <c r="AC115" i="46" a="1"/>
  <c r="AC115" i="46" s="1"/>
  <c r="BZ114" i="46"/>
  <c r="BX114" i="46"/>
  <c r="BV114" i="46"/>
  <c r="BT114" i="46"/>
  <c r="AC114" i="46" a="1"/>
  <c r="AC114" i="46" s="1"/>
  <c r="BZ113" i="46"/>
  <c r="BX113" i="46"/>
  <c r="BV113" i="46"/>
  <c r="BT113" i="46"/>
  <c r="AC113" i="46" a="1"/>
  <c r="AC113" i="46" s="1"/>
  <c r="BZ112" i="46"/>
  <c r="BX112" i="46"/>
  <c r="BV112" i="46"/>
  <c r="BT112" i="46"/>
  <c r="AC112" i="46" a="1"/>
  <c r="AC112" i="46" s="1"/>
  <c r="BZ111" i="46"/>
  <c r="BX111" i="46"/>
  <c r="BV111" i="46"/>
  <c r="BT111" i="46"/>
  <c r="AC111" i="46" a="1"/>
  <c r="AC111" i="46" s="1"/>
  <c r="BZ110" i="46"/>
  <c r="BX110" i="46"/>
  <c r="BV110" i="46"/>
  <c r="BT110" i="46"/>
  <c r="AC110" i="46" a="1"/>
  <c r="AC110" i="46" s="1"/>
  <c r="BZ109" i="46"/>
  <c r="BX109" i="46"/>
  <c r="BV109" i="46"/>
  <c r="BT109" i="46"/>
  <c r="AC109" i="46" a="1"/>
  <c r="AC109" i="46" s="1"/>
  <c r="BZ108" i="46"/>
  <c r="BX108" i="46"/>
  <c r="BV108" i="46"/>
  <c r="BT108" i="46"/>
  <c r="AC108" i="46" a="1"/>
  <c r="AC108" i="46" s="1"/>
  <c r="BZ107" i="46"/>
  <c r="BX107" i="46"/>
  <c r="BV107" i="46"/>
  <c r="BT107" i="46"/>
  <c r="AC107" i="46" a="1"/>
  <c r="AC107" i="46" s="1"/>
  <c r="BZ106" i="46"/>
  <c r="BX106" i="46"/>
  <c r="BV106" i="46"/>
  <c r="BT106" i="46"/>
  <c r="AC106" i="46" a="1"/>
  <c r="AC106" i="46" s="1"/>
  <c r="BZ105" i="46"/>
  <c r="BX105" i="46"/>
  <c r="BV105" i="46"/>
  <c r="BT105" i="46"/>
  <c r="AC105" i="46" a="1"/>
  <c r="AC105" i="46" s="1"/>
  <c r="BZ104" i="46"/>
  <c r="BX104" i="46"/>
  <c r="BV104" i="46"/>
  <c r="BT104" i="46"/>
  <c r="AC104" i="46" a="1"/>
  <c r="AC104" i="46" s="1"/>
  <c r="BZ103" i="46"/>
  <c r="BX103" i="46"/>
  <c r="BV103" i="46"/>
  <c r="BT103" i="46"/>
  <c r="AC103" i="46" a="1"/>
  <c r="AC103" i="46" s="1"/>
  <c r="BZ102" i="46"/>
  <c r="BX102" i="46"/>
  <c r="BV102" i="46"/>
  <c r="BT102" i="46"/>
  <c r="AC102" i="46" a="1"/>
  <c r="AC102" i="46" s="1"/>
  <c r="BZ239" i="46"/>
  <c r="BZ235" i="46"/>
  <c r="BZ234" i="46"/>
  <c r="BZ233" i="46"/>
  <c r="BZ232" i="46"/>
  <c r="BV232" i="46"/>
  <c r="BZ231" i="46"/>
  <c r="BV231" i="46"/>
  <c r="BZ230" i="46"/>
  <c r="BV230" i="46"/>
  <c r="BZ229" i="46"/>
  <c r="BV229" i="46"/>
  <c r="BZ228" i="46"/>
  <c r="BV228" i="46"/>
  <c r="BV227" i="46"/>
  <c r="BV226" i="46"/>
  <c r="BV225" i="46"/>
  <c r="BZ224" i="46"/>
  <c r="BZ223" i="46"/>
  <c r="BX223" i="46"/>
  <c r="BV223" i="46"/>
  <c r="BZ222" i="46"/>
  <c r="BX222" i="46"/>
  <c r="BV222" i="46"/>
  <c r="BZ221" i="46"/>
  <c r="BX221" i="46"/>
  <c r="BV221" i="46"/>
  <c r="BZ220" i="46"/>
  <c r="BX220" i="46"/>
  <c r="BV220" i="46"/>
  <c r="BZ219" i="46"/>
  <c r="BX219" i="46"/>
  <c r="BV219" i="46"/>
  <c r="BZ218" i="46"/>
  <c r="BX218" i="46"/>
  <c r="BV218" i="46"/>
  <c r="BZ217" i="46"/>
  <c r="BX217" i="46"/>
  <c r="BV217" i="46"/>
  <c r="BZ216" i="46"/>
  <c r="BX216" i="46"/>
  <c r="BV216" i="46"/>
  <c r="BZ210" i="46"/>
  <c r="BZ206" i="46"/>
  <c r="BZ205" i="46"/>
  <c r="BZ204" i="46"/>
  <c r="BZ203" i="46"/>
  <c r="BV203" i="46"/>
  <c r="BZ202" i="46"/>
  <c r="BV202" i="46"/>
  <c r="BZ201" i="46"/>
  <c r="BV201" i="46"/>
  <c r="BZ200" i="46"/>
  <c r="BV200" i="46"/>
  <c r="BP200" i="46"/>
  <c r="BZ199" i="46"/>
  <c r="BV199" i="46"/>
  <c r="BP199" i="46"/>
  <c r="R199" i="46"/>
  <c r="BV198" i="46"/>
  <c r="BV197" i="46"/>
  <c r="BP197" i="46"/>
  <c r="BV196" i="46"/>
  <c r="BR196" i="46"/>
  <c r="BZ195" i="46"/>
  <c r="BR195" i="46"/>
  <c r="BP195" i="46"/>
  <c r="BZ194" i="46"/>
  <c r="BX194" i="46"/>
  <c r="BV194" i="46"/>
  <c r="BT194" i="46"/>
  <c r="AC194" i="46" a="1"/>
  <c r="AC194" i="46" s="1"/>
  <c r="BR194" i="46" s="1"/>
  <c r="BZ193" i="46"/>
  <c r="BX193" i="46"/>
  <c r="BV193" i="46"/>
  <c r="BT193" i="46"/>
  <c r="AC193" i="46" a="1"/>
  <c r="AC193" i="46" s="1"/>
  <c r="BZ192" i="46"/>
  <c r="BX192" i="46"/>
  <c r="BV192" i="46"/>
  <c r="BT192" i="46"/>
  <c r="AC192" i="46" a="1"/>
  <c r="AC192" i="46" s="1"/>
  <c r="BZ191" i="46"/>
  <c r="BX191" i="46"/>
  <c r="BV191" i="46"/>
  <c r="BT191" i="46"/>
  <c r="AC191" i="46" a="1"/>
  <c r="AC191" i="46" s="1"/>
  <c r="BZ190" i="46"/>
  <c r="BX190" i="46"/>
  <c r="BV190" i="46"/>
  <c r="BT190" i="46"/>
  <c r="AC190" i="46" a="1"/>
  <c r="AC190" i="46" s="1"/>
  <c r="BZ189" i="46"/>
  <c r="BX189" i="46"/>
  <c r="BV189" i="46"/>
  <c r="BT189" i="46"/>
  <c r="AC189" i="46" a="1"/>
  <c r="AC189" i="46" s="1"/>
  <c r="BZ188" i="46"/>
  <c r="BX188" i="46"/>
  <c r="BV188" i="46"/>
  <c r="BT188" i="46"/>
  <c r="AC188" i="46" a="1"/>
  <c r="AC188" i="46" s="1"/>
  <c r="BR188" i="46" s="1"/>
  <c r="BZ187" i="46"/>
  <c r="BX187" i="46"/>
  <c r="BV187" i="46"/>
  <c r="BT187" i="46"/>
  <c r="AC187" i="46" a="1"/>
  <c r="AC187" i="46" s="1"/>
  <c r="BZ186" i="46"/>
  <c r="BX186" i="46"/>
  <c r="BV186" i="46"/>
  <c r="BT186" i="46"/>
  <c r="AC186" i="46" a="1"/>
  <c r="AC186" i="46" s="1"/>
  <c r="BR186" i="46" s="1"/>
  <c r="BZ185" i="46"/>
  <c r="BX185" i="46"/>
  <c r="BV185" i="46"/>
  <c r="BT185" i="46"/>
  <c r="AC185" i="46" a="1"/>
  <c r="AC185" i="46" s="1"/>
  <c r="BZ184" i="46"/>
  <c r="BX184" i="46"/>
  <c r="BV184" i="46"/>
  <c r="BT184" i="46"/>
  <c r="AC184" i="46" a="1"/>
  <c r="AC184" i="46" s="1"/>
  <c r="BZ183" i="46"/>
  <c r="BX183" i="46"/>
  <c r="BV183" i="46"/>
  <c r="BT183" i="46"/>
  <c r="AC183" i="46" a="1"/>
  <c r="AC183" i="46" s="1"/>
  <c r="BZ182" i="46"/>
  <c r="BX182" i="46"/>
  <c r="BV182" i="46"/>
  <c r="BT182" i="46"/>
  <c r="AC182" i="46" a="1"/>
  <c r="AC182" i="46" s="1"/>
  <c r="BZ181" i="46"/>
  <c r="BX181" i="46"/>
  <c r="BV181" i="46"/>
  <c r="BT181" i="46"/>
  <c r="AC181" i="46" a="1"/>
  <c r="AC181" i="46" s="1"/>
  <c r="BZ180" i="46"/>
  <c r="BX180" i="46"/>
  <c r="BV180" i="46"/>
  <c r="BT180" i="46"/>
  <c r="AC180" i="46" a="1"/>
  <c r="AC180" i="46" s="1"/>
  <c r="BR180" i="46" s="1"/>
  <c r="BZ179" i="46"/>
  <c r="BX179" i="46"/>
  <c r="BV179" i="46"/>
  <c r="BT179" i="46"/>
  <c r="AC179" i="46" a="1"/>
  <c r="AC179" i="46" s="1"/>
  <c r="BZ178" i="46"/>
  <c r="BX178" i="46"/>
  <c r="BV178" i="46"/>
  <c r="BT178" i="46"/>
  <c r="AC178" i="46" a="1"/>
  <c r="AC178" i="46" s="1"/>
  <c r="BR178" i="46" s="1"/>
  <c r="BZ177" i="46"/>
  <c r="BX177" i="46"/>
  <c r="BV177" i="46"/>
  <c r="BT177" i="46"/>
  <c r="AC177" i="46" a="1"/>
  <c r="AC177" i="46" s="1"/>
  <c r="BZ176" i="46"/>
  <c r="BX176" i="46"/>
  <c r="BV176" i="46"/>
  <c r="BT176" i="46"/>
  <c r="AC176" i="46" a="1"/>
  <c r="AC176" i="46" s="1"/>
  <c r="BZ175" i="46"/>
  <c r="BX175" i="46"/>
  <c r="BV175" i="46"/>
  <c r="BT175" i="46"/>
  <c r="AC175" i="46" a="1"/>
  <c r="AC175" i="46" s="1"/>
  <c r="BZ174" i="46"/>
  <c r="BX174" i="46"/>
  <c r="BV174" i="46"/>
  <c r="BT174" i="46"/>
  <c r="AC174" i="46" a="1"/>
  <c r="AC174" i="46" s="1"/>
  <c r="BZ173" i="46"/>
  <c r="BX173" i="46"/>
  <c r="BV173" i="46"/>
  <c r="BT173" i="46"/>
  <c r="AC173" i="46" a="1"/>
  <c r="AC173" i="46" s="1"/>
  <c r="BZ172" i="46"/>
  <c r="BX172" i="46"/>
  <c r="BV172" i="46"/>
  <c r="BT172" i="46"/>
  <c r="AC172" i="46" a="1"/>
  <c r="AC172" i="46" s="1"/>
  <c r="BR172" i="46" s="1"/>
  <c r="BZ171" i="46"/>
  <c r="BX171" i="46"/>
  <c r="BV171" i="46"/>
  <c r="BT171" i="46"/>
  <c r="AC171" i="46" a="1"/>
  <c r="AC171" i="46" s="1"/>
  <c r="BZ170" i="46"/>
  <c r="BX170" i="46"/>
  <c r="BV170" i="46"/>
  <c r="BT170" i="46"/>
  <c r="AC170" i="46" a="1"/>
  <c r="AC170" i="46" s="1"/>
  <c r="BR170" i="46" s="1"/>
  <c r="BZ169" i="46"/>
  <c r="BX169" i="46"/>
  <c r="BV169" i="46"/>
  <c r="BT169" i="46"/>
  <c r="AC169" i="46" a="1"/>
  <c r="AC169" i="46" s="1"/>
  <c r="BZ168" i="46"/>
  <c r="BX168" i="46"/>
  <c r="BV168" i="46"/>
  <c r="BT168" i="46"/>
  <c r="AC168" i="46" a="1"/>
  <c r="AC168" i="46" s="1"/>
  <c r="BZ167" i="46"/>
  <c r="BX167" i="46"/>
  <c r="BV167" i="46"/>
  <c r="BT167" i="46"/>
  <c r="AC167" i="46" a="1"/>
  <c r="AC167" i="46" s="1"/>
  <c r="BZ166" i="46"/>
  <c r="BX166" i="46"/>
  <c r="BV166" i="46"/>
  <c r="BT166" i="46"/>
  <c r="AC166" i="46" a="1"/>
  <c r="AC166" i="46" s="1"/>
  <c r="BZ165" i="46"/>
  <c r="BX165" i="46"/>
  <c r="BV165" i="46"/>
  <c r="BT165" i="46"/>
  <c r="AC165" i="46" a="1"/>
  <c r="AC165" i="46" s="1"/>
  <c r="BZ164" i="46"/>
  <c r="BX164" i="46"/>
  <c r="BV164" i="46"/>
  <c r="BT164" i="46"/>
  <c r="AC164" i="46" a="1"/>
  <c r="AC164" i="46" s="1"/>
  <c r="BR164" i="46" s="1"/>
  <c r="BZ163" i="46"/>
  <c r="BX163" i="46"/>
  <c r="BV163" i="46"/>
  <c r="BT163" i="46"/>
  <c r="AC163" i="46" a="1"/>
  <c r="AC163" i="46" s="1"/>
  <c r="BZ162" i="46"/>
  <c r="BX162" i="46"/>
  <c r="BV162" i="46"/>
  <c r="BT162" i="46"/>
  <c r="AC162" i="46" a="1"/>
  <c r="AC162" i="46" s="1"/>
  <c r="BR162" i="46" s="1"/>
  <c r="BZ161" i="46"/>
  <c r="BX161" i="46"/>
  <c r="BV161" i="46"/>
  <c r="BT161" i="46"/>
  <c r="AC161" i="46" a="1"/>
  <c r="AC161" i="46" s="1"/>
  <c r="BZ160" i="46"/>
  <c r="BX160" i="46"/>
  <c r="BV160" i="46"/>
  <c r="BT160" i="46"/>
  <c r="AC160" i="46" a="1"/>
  <c r="AC160" i="46" s="1"/>
  <c r="BZ159" i="46"/>
  <c r="BX159" i="46"/>
  <c r="BV159" i="46"/>
  <c r="BT159" i="46"/>
  <c r="AC159" i="46" a="1"/>
  <c r="AC159" i="46" s="1"/>
  <c r="BZ158" i="46"/>
  <c r="BX158" i="46"/>
  <c r="BV158" i="46"/>
  <c r="BT158" i="46"/>
  <c r="AC158" i="46" a="1"/>
  <c r="AC158" i="46" s="1"/>
  <c r="BZ157" i="46"/>
  <c r="BX157" i="46"/>
  <c r="BV157" i="46"/>
  <c r="BT157" i="46"/>
  <c r="AC157" i="46" a="1"/>
  <c r="AC157" i="46" s="1"/>
  <c r="BZ156" i="46"/>
  <c r="BX156" i="46"/>
  <c r="BV156" i="46"/>
  <c r="BT156" i="46"/>
  <c r="AC156" i="46" a="1"/>
  <c r="AC156" i="46" s="1"/>
  <c r="BR156" i="46" s="1"/>
  <c r="BZ155" i="46"/>
  <c r="BX155" i="46"/>
  <c r="BV155" i="46"/>
  <c r="BT155" i="46"/>
  <c r="AC155" i="46" a="1"/>
  <c r="AC155" i="46" s="1"/>
  <c r="BZ154" i="46"/>
  <c r="BX154" i="46"/>
  <c r="BV154" i="46"/>
  <c r="BT154" i="46"/>
  <c r="AC154" i="46" a="1"/>
  <c r="AC154" i="46" s="1"/>
  <c r="BR154" i="46" s="1"/>
  <c r="BZ153" i="46"/>
  <c r="BX153" i="46"/>
  <c r="BV153" i="46"/>
  <c r="BT153" i="46"/>
  <c r="AC153" i="46" a="1"/>
  <c r="AC153" i="46" s="1"/>
  <c r="BZ152" i="46"/>
  <c r="BX152" i="46"/>
  <c r="BV152" i="46"/>
  <c r="BT152" i="46"/>
  <c r="AC152" i="46" a="1"/>
  <c r="AC152" i="46" s="1"/>
  <c r="BZ151" i="46"/>
  <c r="BX151" i="46"/>
  <c r="BV151" i="46"/>
  <c r="BT151" i="46"/>
  <c r="AC151" i="46" a="1"/>
  <c r="AC151" i="46" s="1"/>
  <c r="BZ101" i="46"/>
  <c r="BX101" i="46"/>
  <c r="BV101" i="46"/>
  <c r="BT101" i="46"/>
  <c r="AC101" i="46" a="1"/>
  <c r="AC101" i="46" s="1"/>
  <c r="BZ100" i="46"/>
  <c r="BX100" i="46"/>
  <c r="BV100" i="46"/>
  <c r="BT100" i="46"/>
  <c r="AC100" i="46" a="1"/>
  <c r="AC100" i="46" s="1"/>
  <c r="BZ99" i="46"/>
  <c r="BX99" i="46"/>
  <c r="BV99" i="46"/>
  <c r="BT99" i="46"/>
  <c r="AC99" i="46" a="1"/>
  <c r="AC99" i="46" s="1"/>
  <c r="BR99" i="46" s="1"/>
  <c r="BZ98" i="46"/>
  <c r="BX98" i="46"/>
  <c r="BV98" i="46"/>
  <c r="BT98" i="46"/>
  <c r="AC98" i="46" a="1"/>
  <c r="AC98" i="46" s="1"/>
  <c r="BZ97" i="46"/>
  <c r="BX97" i="46"/>
  <c r="BV97" i="46"/>
  <c r="BT97" i="46"/>
  <c r="AC97" i="46" a="1"/>
  <c r="AC97" i="46" s="1"/>
  <c r="BR97" i="46" s="1"/>
  <c r="BZ96" i="46"/>
  <c r="BX96" i="46"/>
  <c r="BV96" i="46"/>
  <c r="BT96" i="46"/>
  <c r="AC96" i="46" a="1"/>
  <c r="AC96" i="46" s="1"/>
  <c r="BZ95" i="46"/>
  <c r="BX95" i="46"/>
  <c r="BV95" i="46"/>
  <c r="BT95" i="46"/>
  <c r="AC95" i="46" a="1"/>
  <c r="AC95" i="46" s="1"/>
  <c r="BZ94" i="46"/>
  <c r="BX94" i="46"/>
  <c r="BV94" i="46"/>
  <c r="BT94" i="46"/>
  <c r="AC94" i="46" a="1"/>
  <c r="AC94" i="46" s="1"/>
  <c r="BZ93" i="46"/>
  <c r="BX93" i="46"/>
  <c r="BV93" i="46"/>
  <c r="BT93" i="46"/>
  <c r="AC93" i="46" a="1"/>
  <c r="AC93" i="46" s="1"/>
  <c r="BZ92" i="46"/>
  <c r="BX92" i="46"/>
  <c r="BV92" i="46"/>
  <c r="BT92" i="46"/>
  <c r="AC92" i="46" a="1"/>
  <c r="AC92" i="46" s="1"/>
  <c r="BZ91" i="46"/>
  <c r="BX91" i="46"/>
  <c r="BV91" i="46"/>
  <c r="BT91" i="46"/>
  <c r="AC91" i="46" a="1"/>
  <c r="AC91" i="46" s="1"/>
  <c r="BR91" i="46" s="1"/>
  <c r="BZ90" i="46"/>
  <c r="BX90" i="46"/>
  <c r="BV90" i="46"/>
  <c r="BT90" i="46"/>
  <c r="AC90" i="46" a="1"/>
  <c r="AC90" i="46" s="1"/>
  <c r="BZ89" i="46"/>
  <c r="BX89" i="46"/>
  <c r="BV89" i="46"/>
  <c r="BT89" i="46"/>
  <c r="AC89" i="46" a="1"/>
  <c r="AC89" i="46" s="1"/>
  <c r="BR89" i="46" s="1"/>
  <c r="BZ88" i="46"/>
  <c r="BX88" i="46"/>
  <c r="BV88" i="46"/>
  <c r="BT88" i="46"/>
  <c r="AC88" i="46" a="1"/>
  <c r="AC88" i="46" s="1"/>
  <c r="BZ87" i="46"/>
  <c r="BX87" i="46"/>
  <c r="BV87" i="46"/>
  <c r="BT87" i="46"/>
  <c r="AC87" i="46" a="1"/>
  <c r="AC87" i="46" s="1"/>
  <c r="BZ86" i="46"/>
  <c r="BX86" i="46"/>
  <c r="BV86" i="46"/>
  <c r="BT86" i="46"/>
  <c r="AC86" i="46" a="1"/>
  <c r="AC86" i="46" s="1"/>
  <c r="BZ85" i="46"/>
  <c r="BX85" i="46"/>
  <c r="BV85" i="46"/>
  <c r="BT85" i="46"/>
  <c r="AC85" i="46" a="1"/>
  <c r="AC85" i="46" s="1"/>
  <c r="BZ84" i="46"/>
  <c r="BX84" i="46"/>
  <c r="BV84" i="46"/>
  <c r="BT84" i="46"/>
  <c r="AC84" i="46" a="1"/>
  <c r="AC84" i="46" s="1"/>
  <c r="BZ83" i="46"/>
  <c r="BX83" i="46"/>
  <c r="BV83" i="46"/>
  <c r="BT83" i="46"/>
  <c r="AC83" i="46" a="1"/>
  <c r="AC83" i="46" s="1"/>
  <c r="BR83" i="46" s="1"/>
  <c r="BZ82" i="46"/>
  <c r="BX82" i="46"/>
  <c r="BV82" i="46"/>
  <c r="BT82" i="46"/>
  <c r="AC82" i="46" a="1"/>
  <c r="AC82" i="46" s="1"/>
  <c r="BZ81" i="46"/>
  <c r="BX81" i="46"/>
  <c r="BV81" i="46"/>
  <c r="BT81" i="46"/>
  <c r="AC81" i="46" a="1"/>
  <c r="AC81" i="46" s="1"/>
  <c r="BR81" i="46" s="1"/>
  <c r="BZ80" i="46"/>
  <c r="BX80" i="46"/>
  <c r="BV80" i="46"/>
  <c r="BT80" i="46"/>
  <c r="AC80" i="46" a="1"/>
  <c r="AC80" i="46" s="1"/>
  <c r="BZ79" i="46"/>
  <c r="BX79" i="46"/>
  <c r="BV79" i="46"/>
  <c r="BT79" i="46"/>
  <c r="AC79" i="46" a="1"/>
  <c r="AC79" i="46" s="1"/>
  <c r="BZ78" i="46"/>
  <c r="BX78" i="46"/>
  <c r="BV78" i="46"/>
  <c r="BT78" i="46"/>
  <c r="AC78" i="46" a="1"/>
  <c r="AC78" i="46" s="1"/>
  <c r="BZ77" i="46"/>
  <c r="BX77" i="46"/>
  <c r="BV77" i="46"/>
  <c r="BT77" i="46"/>
  <c r="AC77" i="46" a="1"/>
  <c r="AC77" i="46" s="1"/>
  <c r="BZ76" i="46"/>
  <c r="BX76" i="46"/>
  <c r="BV76" i="46"/>
  <c r="BT76" i="46"/>
  <c r="AC76" i="46" a="1"/>
  <c r="AC76" i="46" s="1"/>
  <c r="BZ75" i="46"/>
  <c r="BX75" i="46"/>
  <c r="BV75" i="46"/>
  <c r="BT75" i="46"/>
  <c r="AC75" i="46" a="1"/>
  <c r="AC75" i="46" s="1"/>
  <c r="BR75" i="46" s="1"/>
  <c r="BZ74" i="46"/>
  <c r="BX74" i="46"/>
  <c r="BV74" i="46"/>
  <c r="BT74" i="46"/>
  <c r="AC74" i="46" a="1"/>
  <c r="AC74" i="46" s="1"/>
  <c r="BZ73" i="46"/>
  <c r="BX73" i="46"/>
  <c r="BV73" i="46"/>
  <c r="BT73" i="46"/>
  <c r="AC73" i="46" a="1"/>
  <c r="AC73" i="46" s="1"/>
  <c r="BR73" i="46" s="1"/>
  <c r="BZ72" i="46"/>
  <c r="BX72" i="46"/>
  <c r="BV72" i="46"/>
  <c r="BT72" i="46"/>
  <c r="AC72" i="46" a="1"/>
  <c r="AC72" i="46" s="1"/>
  <c r="BZ71" i="46"/>
  <c r="BX71" i="46"/>
  <c r="BV71" i="46"/>
  <c r="BT71" i="46"/>
  <c r="AC71" i="46" a="1"/>
  <c r="AC71" i="46" s="1"/>
  <c r="BZ70" i="46"/>
  <c r="BX70" i="46"/>
  <c r="BV70" i="46"/>
  <c r="BT70" i="46"/>
  <c r="AC70" i="46" a="1"/>
  <c r="AC70" i="46" s="1"/>
  <c r="BZ69" i="46"/>
  <c r="BX69" i="46"/>
  <c r="BV69" i="46"/>
  <c r="BT69" i="46"/>
  <c r="AC69" i="46" a="1"/>
  <c r="AC69" i="46" s="1"/>
  <c r="BZ68" i="46"/>
  <c r="BX68" i="46"/>
  <c r="BV68" i="46"/>
  <c r="BT68" i="46"/>
  <c r="AC68" i="46" a="1"/>
  <c r="AC68" i="46" s="1"/>
  <c r="BZ67" i="46"/>
  <c r="BX67" i="46"/>
  <c r="BV67" i="46"/>
  <c r="BT67" i="46"/>
  <c r="AC67" i="46" a="1"/>
  <c r="AC67" i="46" s="1"/>
  <c r="BR67" i="46" s="1"/>
  <c r="BZ47" i="46"/>
  <c r="BX47" i="46"/>
  <c r="BV47" i="46"/>
  <c r="BT47" i="46"/>
  <c r="AC47" i="46" a="1"/>
  <c r="AC47" i="46" s="1"/>
  <c r="BZ46" i="46"/>
  <c r="BX46" i="46"/>
  <c r="BV46" i="46"/>
  <c r="BT46" i="46"/>
  <c r="AC46" i="46" a="1"/>
  <c r="AC46" i="46" s="1"/>
  <c r="BZ45" i="46"/>
  <c r="BX45" i="46"/>
  <c r="BV45" i="46"/>
  <c r="BT45" i="46"/>
  <c r="AC45" i="46" a="1"/>
  <c r="AC45" i="46" s="1"/>
  <c r="BP45" i="46" s="1"/>
  <c r="BZ44" i="46"/>
  <c r="BX44" i="46"/>
  <c r="BV44" i="46"/>
  <c r="BT44" i="46"/>
  <c r="AC44" i="46" a="1"/>
  <c r="AC44" i="46" s="1"/>
  <c r="BZ43" i="46"/>
  <c r="BX43" i="46"/>
  <c r="BV43" i="46"/>
  <c r="BT43" i="46"/>
  <c r="AC43" i="46" a="1"/>
  <c r="AC43" i="46" s="1"/>
  <c r="BP43" i="46" s="1"/>
  <c r="BZ30" i="46"/>
  <c r="BX30" i="46"/>
  <c r="BV30" i="46"/>
  <c r="BT30" i="46"/>
  <c r="AC30" i="46" a="1"/>
  <c r="AC30" i="46" s="1"/>
  <c r="BZ29" i="46"/>
  <c r="BX29" i="46"/>
  <c r="BV29" i="46"/>
  <c r="BT29" i="46"/>
  <c r="AC29" i="46" a="1"/>
  <c r="AC29" i="46" s="1"/>
  <c r="BZ28" i="46"/>
  <c r="BX28" i="46"/>
  <c r="BV28" i="46"/>
  <c r="BT28" i="46"/>
  <c r="AC28" i="46" a="1"/>
  <c r="AC28" i="46" s="1"/>
  <c r="BZ27" i="46"/>
  <c r="BX27" i="46"/>
  <c r="BV27" i="46"/>
  <c r="BT27" i="46"/>
  <c r="BT26" i="46"/>
  <c r="BR26" i="46"/>
  <c r="BT25" i="46"/>
  <c r="BR25" i="46"/>
  <c r="B22" i="46"/>
  <c r="B23" i="46" s="1"/>
  <c r="B24" i="46" s="1"/>
  <c r="B25" i="46" s="1"/>
  <c r="B26" i="46" s="1"/>
  <c r="BP20" i="46"/>
  <c r="Z4" i="46"/>
  <c r="H4" i="46"/>
  <c r="BH2" i="46"/>
  <c r="BC2" i="46"/>
  <c r="AY2" i="46"/>
  <c r="AT2" i="46"/>
  <c r="AP2" i="46"/>
  <c r="K2" i="46"/>
  <c r="A2" i="46"/>
  <c r="W1" i="46"/>
  <c r="BZ123" i="45"/>
  <c r="BZ119" i="45"/>
  <c r="BZ118" i="45"/>
  <c r="BZ117" i="45"/>
  <c r="BZ116" i="45"/>
  <c r="BV116" i="45"/>
  <c r="BZ115" i="45"/>
  <c r="BV115" i="45"/>
  <c r="BZ114" i="45"/>
  <c r="BV114" i="45"/>
  <c r="BZ113" i="45"/>
  <c r="BV113" i="45"/>
  <c r="BZ112" i="45"/>
  <c r="BV112" i="45"/>
  <c r="BV111" i="45"/>
  <c r="BV110" i="45"/>
  <c r="BV109" i="45"/>
  <c r="BZ108" i="45"/>
  <c r="BZ107" i="45"/>
  <c r="BX107" i="45"/>
  <c r="BV107" i="45"/>
  <c r="BZ106" i="45"/>
  <c r="BX106" i="45"/>
  <c r="BV106" i="45"/>
  <c r="BZ105" i="45"/>
  <c r="BX105" i="45"/>
  <c r="BV105" i="45"/>
  <c r="BZ104" i="45"/>
  <c r="BX104" i="45"/>
  <c r="BV104" i="45"/>
  <c r="BZ103" i="45"/>
  <c r="BX103" i="45"/>
  <c r="BV103" i="45"/>
  <c r="BZ102" i="45"/>
  <c r="BX102" i="45"/>
  <c r="BV102" i="45"/>
  <c r="BZ101" i="45"/>
  <c r="BX101" i="45"/>
  <c r="BV101" i="45"/>
  <c r="BZ100" i="45"/>
  <c r="BX100" i="45"/>
  <c r="BV100" i="45"/>
  <c r="BZ94" i="45"/>
  <c r="BZ90" i="45"/>
  <c r="BZ89" i="45"/>
  <c r="BZ88" i="45"/>
  <c r="D88" i="45"/>
  <c r="BZ87" i="45"/>
  <c r="BV87" i="45"/>
  <c r="BZ86" i="45"/>
  <c r="BV86" i="45"/>
  <c r="BZ85" i="45"/>
  <c r="BV85" i="45"/>
  <c r="BZ84" i="45"/>
  <c r="BV84" i="45"/>
  <c r="BP84" i="45"/>
  <c r="BZ83" i="45"/>
  <c r="BV83" i="45"/>
  <c r="BP83" i="45"/>
  <c r="R83" i="45"/>
  <c r="BV82" i="45"/>
  <c r="BV81" i="45"/>
  <c r="BP81" i="45"/>
  <c r="BV80" i="45"/>
  <c r="BR80" i="45"/>
  <c r="BZ79" i="45"/>
  <c r="BR79" i="45"/>
  <c r="BP79" i="45"/>
  <c r="BZ78" i="45"/>
  <c r="BX78" i="45"/>
  <c r="BV78" i="45"/>
  <c r="BT78" i="45"/>
  <c r="AC78" i="45" a="1"/>
  <c r="AC78" i="45" s="1"/>
  <c r="BP78" i="45" s="1"/>
  <c r="BZ77" i="45"/>
  <c r="BX77" i="45"/>
  <c r="BV77" i="45"/>
  <c r="BT77" i="45"/>
  <c r="AC77" i="45" a="1"/>
  <c r="AC77" i="45" s="1"/>
  <c r="BP77" i="45" s="1"/>
  <c r="BZ76" i="45"/>
  <c r="BX76" i="45"/>
  <c r="BV76" i="45"/>
  <c r="BT76" i="45"/>
  <c r="AC76" i="45" a="1"/>
  <c r="AC76" i="45" s="1"/>
  <c r="BR76" i="45" s="1"/>
  <c r="BZ75" i="45"/>
  <c r="BX75" i="45"/>
  <c r="BV75" i="45"/>
  <c r="BT75" i="45"/>
  <c r="AC75" i="45" a="1"/>
  <c r="AC75" i="45" s="1"/>
  <c r="BP75" i="45" s="1"/>
  <c r="BZ74" i="45"/>
  <c r="BX74" i="45"/>
  <c r="BV74" i="45"/>
  <c r="BT74" i="45"/>
  <c r="AC74" i="45" a="1"/>
  <c r="AC74" i="45" s="1"/>
  <c r="BP74" i="45" s="1"/>
  <c r="BZ73" i="45"/>
  <c r="BX73" i="45"/>
  <c r="BV73" i="45"/>
  <c r="BT73" i="45"/>
  <c r="AC73" i="45" a="1"/>
  <c r="AC73" i="45" s="1"/>
  <c r="BP73" i="45" s="1"/>
  <c r="BZ72" i="45"/>
  <c r="BX72" i="45"/>
  <c r="BV72" i="45"/>
  <c r="BT72" i="45"/>
  <c r="AC72" i="45" a="1"/>
  <c r="AC72" i="45" s="1"/>
  <c r="BP72" i="45" s="1"/>
  <c r="BZ71" i="45"/>
  <c r="BX71" i="45"/>
  <c r="BV71" i="45"/>
  <c r="BT71" i="45"/>
  <c r="AC71" i="45" a="1"/>
  <c r="AC71" i="45" s="1"/>
  <c r="BP71" i="45" s="1"/>
  <c r="BZ70" i="45"/>
  <c r="BX70" i="45"/>
  <c r="BV70" i="45"/>
  <c r="BT70" i="45"/>
  <c r="AC70" i="45" a="1"/>
  <c r="AC70" i="45" s="1"/>
  <c r="BP70" i="45" s="1"/>
  <c r="BZ69" i="45"/>
  <c r="BX69" i="45"/>
  <c r="BV69" i="45"/>
  <c r="BT69" i="45"/>
  <c r="AC69" i="45" a="1"/>
  <c r="AC69" i="45" s="1"/>
  <c r="BP69" i="45" s="1"/>
  <c r="BZ68" i="45"/>
  <c r="BX68" i="45"/>
  <c r="BV68" i="45"/>
  <c r="BT68" i="45"/>
  <c r="AC68" i="45" a="1"/>
  <c r="AC68" i="45" s="1"/>
  <c r="BR68" i="45" s="1"/>
  <c r="BZ67" i="45"/>
  <c r="BX67" i="45"/>
  <c r="BV67" i="45"/>
  <c r="BT67" i="45"/>
  <c r="AC67" i="45" a="1"/>
  <c r="AC67" i="45" s="1"/>
  <c r="BP67" i="45" s="1"/>
  <c r="BZ66" i="45"/>
  <c r="BX66" i="45"/>
  <c r="BV66" i="45"/>
  <c r="BT66" i="45"/>
  <c r="AC66" i="45" a="1"/>
  <c r="AC66" i="45" s="1"/>
  <c r="BP66" i="45" s="1"/>
  <c r="BZ65" i="45"/>
  <c r="BX65" i="45"/>
  <c r="BV65" i="45"/>
  <c r="BT65" i="45"/>
  <c r="AC65" i="45" a="1"/>
  <c r="AC65" i="45" s="1"/>
  <c r="BP65" i="45" s="1"/>
  <c r="BZ64" i="45"/>
  <c r="BX64" i="45"/>
  <c r="BV64" i="45"/>
  <c r="BT64" i="45"/>
  <c r="AC64" i="45" a="1"/>
  <c r="AC64" i="45" s="1"/>
  <c r="BP64" i="45" s="1"/>
  <c r="BZ63" i="45"/>
  <c r="BX63" i="45"/>
  <c r="BV63" i="45"/>
  <c r="BT63" i="45"/>
  <c r="AC63" i="45" a="1"/>
  <c r="AC63" i="45" s="1"/>
  <c r="BP63" i="45" s="1"/>
  <c r="BZ62" i="45"/>
  <c r="BX62" i="45"/>
  <c r="BV62" i="45"/>
  <c r="BT62" i="45"/>
  <c r="AC62" i="45" a="1"/>
  <c r="AC62" i="45" s="1"/>
  <c r="BP62" i="45" s="1"/>
  <c r="BZ61" i="45"/>
  <c r="BX61" i="45"/>
  <c r="BV61" i="45"/>
  <c r="BT61" i="45"/>
  <c r="AC61" i="45" a="1"/>
  <c r="AC61" i="45" s="1"/>
  <c r="BP61" i="45" s="1"/>
  <c r="BZ60" i="45"/>
  <c r="BX60" i="45"/>
  <c r="BV60" i="45"/>
  <c r="BT60" i="45"/>
  <c r="AC60" i="45" a="1"/>
  <c r="AC60" i="45" s="1"/>
  <c r="BR60" i="45" s="1"/>
  <c r="BZ59" i="45"/>
  <c r="BX59" i="45"/>
  <c r="BV59" i="45"/>
  <c r="BT59" i="45"/>
  <c r="AC59" i="45" a="1"/>
  <c r="AC59" i="45" s="1"/>
  <c r="BP59" i="45" s="1"/>
  <c r="BZ58" i="45"/>
  <c r="BX58" i="45"/>
  <c r="BV58" i="45"/>
  <c r="BT58" i="45"/>
  <c r="AC58" i="45" a="1"/>
  <c r="AC58" i="45" s="1"/>
  <c r="BP58" i="45" s="1"/>
  <c r="BZ57" i="45"/>
  <c r="BX57" i="45"/>
  <c r="BV57" i="45"/>
  <c r="BT57" i="45"/>
  <c r="AC57" i="45" a="1"/>
  <c r="AC57" i="45" s="1"/>
  <c r="BP57" i="45" s="1"/>
  <c r="BZ56" i="45"/>
  <c r="BX56" i="45"/>
  <c r="BV56" i="45"/>
  <c r="BT56" i="45"/>
  <c r="AC56" i="45" a="1"/>
  <c r="AC56" i="45" s="1"/>
  <c r="BP56" i="45" s="1"/>
  <c r="BZ55" i="45"/>
  <c r="BX55" i="45"/>
  <c r="BV55" i="45"/>
  <c r="BT55" i="45"/>
  <c r="AC55" i="45" a="1"/>
  <c r="AC55" i="45" s="1"/>
  <c r="BP55" i="45" s="1"/>
  <c r="BZ54" i="45"/>
  <c r="BX54" i="45"/>
  <c r="BV54" i="45"/>
  <c r="BT54" i="45"/>
  <c r="AC54" i="45" a="1"/>
  <c r="AC54" i="45" s="1"/>
  <c r="BP54" i="45" s="1"/>
  <c r="BZ53" i="45"/>
  <c r="BX53" i="45"/>
  <c r="BV53" i="45"/>
  <c r="BT53" i="45"/>
  <c r="AC53" i="45" a="1"/>
  <c r="AC53" i="45" s="1"/>
  <c r="BP53" i="45" s="1"/>
  <c r="BZ52" i="45"/>
  <c r="BX52" i="45"/>
  <c r="BV52" i="45"/>
  <c r="BT52" i="45"/>
  <c r="AC52" i="45" a="1"/>
  <c r="AC52" i="45" s="1"/>
  <c r="BR52" i="45" s="1"/>
  <c r="BZ51" i="45"/>
  <c r="BX51" i="45"/>
  <c r="BV51" i="45"/>
  <c r="BT51" i="45"/>
  <c r="AC51" i="45" a="1"/>
  <c r="AC51" i="45" s="1"/>
  <c r="BP51" i="45" s="1"/>
  <c r="BZ50" i="45"/>
  <c r="BX50" i="45"/>
  <c r="BV50" i="45"/>
  <c r="BT50" i="45"/>
  <c r="AC50" i="45" a="1"/>
  <c r="AC50" i="45" s="1"/>
  <c r="BP50" i="45" s="1"/>
  <c r="BZ49" i="45"/>
  <c r="BX49" i="45"/>
  <c r="BV49" i="45"/>
  <c r="BT49" i="45"/>
  <c r="AC49" i="45" a="1"/>
  <c r="AC49" i="45" s="1"/>
  <c r="BP49" i="45" s="1"/>
  <c r="BZ48" i="45"/>
  <c r="BX48" i="45"/>
  <c r="BV48" i="45"/>
  <c r="BT48" i="45"/>
  <c r="AC48" i="45" a="1"/>
  <c r="AC48" i="45" s="1"/>
  <c r="BP48" i="45" s="1"/>
  <c r="BZ47" i="45"/>
  <c r="BX47" i="45"/>
  <c r="BV47" i="45"/>
  <c r="BT47" i="45"/>
  <c r="AC47" i="45" a="1"/>
  <c r="AC47" i="45" s="1"/>
  <c r="BP47" i="45" s="1"/>
  <c r="BZ46" i="45"/>
  <c r="BX46" i="45"/>
  <c r="BV46" i="45"/>
  <c r="BT46" i="45"/>
  <c r="AC46" i="45" a="1"/>
  <c r="AC46" i="45" s="1"/>
  <c r="BP46" i="45" s="1"/>
  <c r="BZ45" i="45"/>
  <c r="BX45" i="45"/>
  <c r="BV45" i="45"/>
  <c r="BT45" i="45"/>
  <c r="AC45" i="45" a="1"/>
  <c r="AC45" i="45" s="1"/>
  <c r="BP45" i="45" s="1"/>
  <c r="BZ44" i="45"/>
  <c r="BX44" i="45"/>
  <c r="BV44" i="45"/>
  <c r="BT44" i="45"/>
  <c r="AC44" i="45" a="1"/>
  <c r="AC44" i="45" s="1"/>
  <c r="BZ43" i="45"/>
  <c r="BX43" i="45"/>
  <c r="BV43" i="45"/>
  <c r="BT43" i="45"/>
  <c r="AC43" i="45" a="1"/>
  <c r="AC43" i="45" s="1"/>
  <c r="BP43" i="45" s="1"/>
  <c r="BZ42" i="45"/>
  <c r="BX42" i="45"/>
  <c r="BV42" i="45"/>
  <c r="BT42" i="45"/>
  <c r="AC42" i="45" a="1"/>
  <c r="AC42" i="45" s="1"/>
  <c r="BP42" i="45" s="1"/>
  <c r="BZ41" i="45"/>
  <c r="BX41" i="45"/>
  <c r="BV41" i="45"/>
  <c r="BT41" i="45"/>
  <c r="AC41" i="45" a="1"/>
  <c r="AC41" i="45" s="1"/>
  <c r="BP41" i="45" s="1"/>
  <c r="BZ40" i="45"/>
  <c r="BX40" i="45"/>
  <c r="BV40" i="45"/>
  <c r="BT40" i="45"/>
  <c r="AC40" i="45" a="1"/>
  <c r="AC40" i="45" s="1"/>
  <c r="BP40" i="45" s="1"/>
  <c r="BZ39" i="45"/>
  <c r="BX39" i="45"/>
  <c r="BV39" i="45"/>
  <c r="BT39" i="45"/>
  <c r="AC39" i="45" a="1"/>
  <c r="AC39" i="45" s="1"/>
  <c r="BP39" i="45" s="1"/>
  <c r="BZ38" i="45"/>
  <c r="BX38" i="45"/>
  <c r="BV38" i="45"/>
  <c r="BT38" i="45"/>
  <c r="AC38" i="45" a="1"/>
  <c r="AC38" i="45" s="1"/>
  <c r="BP38" i="45" s="1"/>
  <c r="BZ37" i="45"/>
  <c r="BX37" i="45"/>
  <c r="BV37" i="45"/>
  <c r="BT37" i="45"/>
  <c r="AC37" i="45" a="1"/>
  <c r="AC37" i="45" s="1"/>
  <c r="BP37" i="45" s="1"/>
  <c r="BZ36" i="45"/>
  <c r="BX36" i="45"/>
  <c r="BV36" i="45"/>
  <c r="BT36" i="45"/>
  <c r="AC36" i="45" a="1"/>
  <c r="AC36" i="45" s="1"/>
  <c r="BR36" i="45" s="1"/>
  <c r="BZ35" i="45"/>
  <c r="BX35" i="45"/>
  <c r="BV35" i="45"/>
  <c r="BT35" i="45"/>
  <c r="AC35" i="45" a="1"/>
  <c r="AC35" i="45" s="1"/>
  <c r="BR35" i="45" s="1"/>
  <c r="BZ34" i="45"/>
  <c r="BX34" i="45"/>
  <c r="BV34" i="45"/>
  <c r="BT34" i="45"/>
  <c r="AC34" i="45" a="1"/>
  <c r="AC34" i="45" s="1"/>
  <c r="BR34" i="45" s="1"/>
  <c r="BZ33" i="45"/>
  <c r="BX33" i="45"/>
  <c r="BV33" i="45"/>
  <c r="BT33" i="45"/>
  <c r="AC33" i="45" a="1"/>
  <c r="AC33" i="45" s="1"/>
  <c r="BR33" i="45" s="1"/>
  <c r="BZ32" i="45"/>
  <c r="BX32" i="45"/>
  <c r="BV32" i="45"/>
  <c r="BT32" i="45"/>
  <c r="AC32" i="45" a="1"/>
  <c r="AC32" i="45" s="1"/>
  <c r="BR32" i="45" s="1"/>
  <c r="BZ31" i="45"/>
  <c r="BX31" i="45"/>
  <c r="BV31" i="45"/>
  <c r="BT31" i="45"/>
  <c r="AC31" i="45" a="1"/>
  <c r="AC31" i="45" s="1"/>
  <c r="BR31" i="45" s="1"/>
  <c r="BZ30" i="45"/>
  <c r="BX30" i="45"/>
  <c r="BV30" i="45"/>
  <c r="BT30" i="45"/>
  <c r="AC30" i="45" a="1"/>
  <c r="AC30" i="45" s="1"/>
  <c r="BP30" i="45" s="1"/>
  <c r="BZ29" i="45"/>
  <c r="BX29" i="45"/>
  <c r="BV29" i="45"/>
  <c r="BT29" i="45"/>
  <c r="AC29" i="45" a="1"/>
  <c r="AC29" i="45" s="1"/>
  <c r="BR29" i="45" s="1"/>
  <c r="BZ28" i="45"/>
  <c r="BX28" i="45"/>
  <c r="BV28" i="45"/>
  <c r="BT28" i="45"/>
  <c r="AC28" i="45" a="1"/>
  <c r="AC28" i="45" s="1"/>
  <c r="BR28" i="45" s="1"/>
  <c r="BZ27" i="45"/>
  <c r="BX27" i="45"/>
  <c r="BV27" i="45"/>
  <c r="BT27" i="45"/>
  <c r="AC27" i="45" a="1"/>
  <c r="AC27" i="45" s="1"/>
  <c r="BP27" i="45" s="1"/>
  <c r="BT26" i="45"/>
  <c r="BR26" i="45"/>
  <c r="BT25" i="45"/>
  <c r="BR25" i="45"/>
  <c r="B22" i="45"/>
  <c r="B23" i="45" s="1"/>
  <c r="B24" i="45" s="1"/>
  <c r="B25" i="45" s="1"/>
  <c r="B26" i="45" s="1"/>
  <c r="BP20" i="45"/>
  <c r="BP19" i="45"/>
  <c r="Z4" i="45"/>
  <c r="H4" i="45"/>
  <c r="BH2" i="45"/>
  <c r="BC2" i="45"/>
  <c r="AY2" i="45"/>
  <c r="AT2" i="45"/>
  <c r="AP2" i="45"/>
  <c r="K2" i="45"/>
  <c r="A2" i="45"/>
  <c r="W1" i="45"/>
  <c r="BP66" i="49" l="1"/>
  <c r="BP74" i="49"/>
  <c r="BP82" i="49"/>
  <c r="BR27" i="48"/>
  <c r="BP27" i="48"/>
  <c r="BR34" i="48"/>
  <c r="BP34" i="48"/>
  <c r="BR28" i="48"/>
  <c r="BP28" i="48"/>
  <c r="BR33" i="48"/>
  <c r="BP33" i="48"/>
  <c r="BR30" i="48"/>
  <c r="BP30" i="48"/>
  <c r="BR32" i="48"/>
  <c r="BP32" i="48"/>
  <c r="BR29" i="48"/>
  <c r="BP29" i="48"/>
  <c r="BR31" i="48"/>
  <c r="BP31" i="48"/>
  <c r="BR38" i="47"/>
  <c r="BP38" i="47"/>
  <c r="BR32" i="47"/>
  <c r="BP32" i="47"/>
  <c r="BP44" i="47"/>
  <c r="BP34" i="47"/>
  <c r="BP42" i="47"/>
  <c r="BP41" i="47"/>
  <c r="BR45" i="47"/>
  <c r="BP45" i="47"/>
  <c r="BR33" i="47"/>
  <c r="BP33" i="47"/>
  <c r="BR29" i="47"/>
  <c r="BP29" i="47"/>
  <c r="BR36" i="47"/>
  <c r="BP36" i="47"/>
  <c r="BR47" i="47"/>
  <c r="BP47" i="47"/>
  <c r="BR39" i="47"/>
  <c r="BP39" i="47"/>
  <c r="BR43" i="47"/>
  <c r="BP43" i="47"/>
  <c r="BR27" i="47"/>
  <c r="BP27" i="47"/>
  <c r="BR30" i="47"/>
  <c r="BP30" i="47"/>
  <c r="BP40" i="47"/>
  <c r="BP46" i="47"/>
  <c r="BP31" i="47"/>
  <c r="BP37" i="47"/>
  <c r="BR35" i="47"/>
  <c r="BP35" i="47"/>
  <c r="BP28" i="47"/>
  <c r="BP48" i="47"/>
  <c r="BR37" i="46"/>
  <c r="BP37" i="46"/>
  <c r="BR42" i="46"/>
  <c r="BP42" i="46"/>
  <c r="BR31" i="46"/>
  <c r="BP31" i="46"/>
  <c r="BR35" i="46"/>
  <c r="BP35" i="46"/>
  <c r="BR32" i="46"/>
  <c r="BP32" i="46"/>
  <c r="BR40" i="46"/>
  <c r="BP40" i="46"/>
  <c r="BR39" i="46"/>
  <c r="BP39" i="46"/>
  <c r="BR36" i="46"/>
  <c r="BP36" i="46"/>
  <c r="BR33" i="46"/>
  <c r="BP33" i="46"/>
  <c r="BR41" i="46"/>
  <c r="BP41" i="46"/>
  <c r="BR34" i="46"/>
  <c r="BP34" i="46"/>
  <c r="BR38" i="46"/>
  <c r="BP38" i="46"/>
  <c r="BR51" i="46"/>
  <c r="BP51" i="46"/>
  <c r="BR59" i="46"/>
  <c r="BP59" i="46"/>
  <c r="BR48" i="46"/>
  <c r="BP48" i="46"/>
  <c r="BR56" i="46"/>
  <c r="BP56" i="46"/>
  <c r="BR64" i="46"/>
  <c r="BP64" i="46"/>
  <c r="BR53" i="46"/>
  <c r="BP53" i="46"/>
  <c r="BR61" i="46"/>
  <c r="BP61" i="46"/>
  <c r="BR58" i="46"/>
  <c r="BP58" i="46"/>
  <c r="BR50" i="46"/>
  <c r="BP50" i="46"/>
  <c r="BR55" i="46"/>
  <c r="BP55" i="46"/>
  <c r="BR63" i="46"/>
  <c r="BP63" i="46"/>
  <c r="BR52" i="46"/>
  <c r="BP52" i="46"/>
  <c r="BR60" i="46"/>
  <c r="BP60" i="46"/>
  <c r="BR66" i="46"/>
  <c r="BP66" i="46"/>
  <c r="BP44" i="46"/>
  <c r="BR44" i="46"/>
  <c r="BR49" i="46"/>
  <c r="BP49" i="46"/>
  <c r="BR57" i="46"/>
  <c r="BP57" i="46"/>
  <c r="BR65" i="46"/>
  <c r="BP65" i="46"/>
  <c r="BR54" i="46"/>
  <c r="BP54" i="46"/>
  <c r="BR62" i="46"/>
  <c r="BP62" i="46"/>
  <c r="BR45" i="46"/>
  <c r="BP28" i="46"/>
  <c r="BR28" i="46"/>
  <c r="BP47" i="46"/>
  <c r="BR47" i="46"/>
  <c r="BP103" i="46"/>
  <c r="BR103" i="46"/>
  <c r="BP111" i="46"/>
  <c r="BR111" i="46"/>
  <c r="BR119" i="46"/>
  <c r="BP119" i="46"/>
  <c r="BP127" i="46"/>
  <c r="BR127" i="46"/>
  <c r="BP135" i="46"/>
  <c r="BR135" i="46"/>
  <c r="BP143" i="46"/>
  <c r="BR143" i="46"/>
  <c r="BR106" i="46"/>
  <c r="BP106" i="46"/>
  <c r="BR114" i="46"/>
  <c r="BP114" i="46"/>
  <c r="BR122" i="46"/>
  <c r="BP122" i="46"/>
  <c r="BP130" i="46"/>
  <c r="BR130" i="46"/>
  <c r="BR138" i="46"/>
  <c r="BP138" i="46"/>
  <c r="BR146" i="46"/>
  <c r="BP146" i="46"/>
  <c r="BR108" i="46"/>
  <c r="BP108" i="46"/>
  <c r="BR116" i="46"/>
  <c r="BP116" i="46"/>
  <c r="BR124" i="46"/>
  <c r="BP124" i="46"/>
  <c r="BP132" i="46"/>
  <c r="BR132" i="46"/>
  <c r="BR140" i="46"/>
  <c r="BP140" i="46"/>
  <c r="BR148" i="46"/>
  <c r="BP148" i="46"/>
  <c r="BP30" i="46"/>
  <c r="BR30" i="46"/>
  <c r="BP113" i="46"/>
  <c r="BR113" i="46"/>
  <c r="BR27" i="46"/>
  <c r="BP46" i="46"/>
  <c r="BR46" i="46"/>
  <c r="BP102" i="46"/>
  <c r="BR102" i="46"/>
  <c r="BR110" i="46"/>
  <c r="BP110" i="46"/>
  <c r="BR118" i="46"/>
  <c r="BP118" i="46"/>
  <c r="BR126" i="46"/>
  <c r="BP126" i="46"/>
  <c r="BP134" i="46"/>
  <c r="BR134" i="46"/>
  <c r="BR142" i="46"/>
  <c r="BP142" i="46"/>
  <c r="BR150" i="46"/>
  <c r="BP150" i="46"/>
  <c r="BP137" i="46"/>
  <c r="BR137" i="46"/>
  <c r="BP145" i="46"/>
  <c r="BR145" i="46"/>
  <c r="BP107" i="46"/>
  <c r="BR107" i="46"/>
  <c r="BP115" i="46"/>
  <c r="BR115" i="46"/>
  <c r="BP123" i="46"/>
  <c r="BR123" i="46"/>
  <c r="BR131" i="46"/>
  <c r="BP131" i="46"/>
  <c r="BP139" i="46"/>
  <c r="BR139" i="46"/>
  <c r="BP147" i="46"/>
  <c r="BR147" i="46"/>
  <c r="BP105" i="46"/>
  <c r="BR105" i="46"/>
  <c r="BP121" i="46"/>
  <c r="BR121" i="46"/>
  <c r="BP129" i="46"/>
  <c r="BR129" i="46"/>
  <c r="BP29" i="46"/>
  <c r="BR29" i="46"/>
  <c r="BR104" i="46"/>
  <c r="BP104" i="46"/>
  <c r="BR112" i="46"/>
  <c r="BP112" i="46"/>
  <c r="BP120" i="46"/>
  <c r="BR120" i="46"/>
  <c r="BR128" i="46"/>
  <c r="BP128" i="46"/>
  <c r="BR136" i="46"/>
  <c r="BP136" i="46"/>
  <c r="BR144" i="46"/>
  <c r="BP144" i="46"/>
  <c r="BP109" i="46"/>
  <c r="BR109" i="46"/>
  <c r="BP117" i="46"/>
  <c r="BR117" i="46"/>
  <c r="BP125" i="46"/>
  <c r="BR125" i="46"/>
  <c r="BR133" i="46"/>
  <c r="BP133" i="46"/>
  <c r="BP141" i="46"/>
  <c r="BR141" i="46"/>
  <c r="BP149" i="46"/>
  <c r="BR149" i="46"/>
  <c r="BR43" i="46"/>
  <c r="BR98" i="46"/>
  <c r="BP98" i="46"/>
  <c r="BR179" i="46"/>
  <c r="BP179" i="46"/>
  <c r="BR80" i="46"/>
  <c r="BP80" i="46"/>
  <c r="BR86" i="46"/>
  <c r="BP86" i="46"/>
  <c r="BR161" i="46"/>
  <c r="BP161" i="46"/>
  <c r="BR167" i="46"/>
  <c r="BP167" i="46"/>
  <c r="BR173" i="46"/>
  <c r="BP173" i="46"/>
  <c r="BR193" i="46"/>
  <c r="BP193" i="46"/>
  <c r="BR71" i="46"/>
  <c r="BP71" i="46"/>
  <c r="BR74" i="46"/>
  <c r="BP74" i="46"/>
  <c r="BR77" i="46"/>
  <c r="BP77" i="46"/>
  <c r="BR152" i="46"/>
  <c r="BP152" i="46"/>
  <c r="BR155" i="46"/>
  <c r="BP155" i="46"/>
  <c r="BR158" i="46"/>
  <c r="BP158" i="46"/>
  <c r="BR184" i="46"/>
  <c r="BP184" i="46"/>
  <c r="BR187" i="46"/>
  <c r="BP187" i="46"/>
  <c r="BR190" i="46"/>
  <c r="BP190" i="46"/>
  <c r="BR68" i="46"/>
  <c r="BP68" i="46"/>
  <c r="BR88" i="46"/>
  <c r="BP88" i="46"/>
  <c r="BR94" i="46"/>
  <c r="BP94" i="46"/>
  <c r="BR100" i="46"/>
  <c r="BP100" i="46"/>
  <c r="BR169" i="46"/>
  <c r="BP169" i="46"/>
  <c r="BR175" i="46"/>
  <c r="BP175" i="46"/>
  <c r="BR181" i="46"/>
  <c r="BP181" i="46"/>
  <c r="BR79" i="46"/>
  <c r="BP79" i="46"/>
  <c r="BR82" i="46"/>
  <c r="BP82" i="46"/>
  <c r="BR85" i="46"/>
  <c r="BP85" i="46"/>
  <c r="BR160" i="46"/>
  <c r="BP160" i="46"/>
  <c r="BR163" i="46"/>
  <c r="BP163" i="46"/>
  <c r="BR166" i="46"/>
  <c r="BP166" i="46"/>
  <c r="BR192" i="46"/>
  <c r="BP192" i="46"/>
  <c r="BR72" i="46"/>
  <c r="BP72" i="46"/>
  <c r="BR78" i="46"/>
  <c r="BP78" i="46"/>
  <c r="BR153" i="46"/>
  <c r="BP153" i="46"/>
  <c r="BR159" i="46"/>
  <c r="BP159" i="46"/>
  <c r="BR165" i="46"/>
  <c r="BP165" i="46"/>
  <c r="BR191" i="46"/>
  <c r="BP191" i="46"/>
  <c r="BR69" i="46"/>
  <c r="BP69" i="46"/>
  <c r="BR95" i="46"/>
  <c r="BP95" i="46"/>
  <c r="BR182" i="46"/>
  <c r="BP182" i="46"/>
  <c r="BR92" i="46"/>
  <c r="BP92" i="46"/>
  <c r="BR70" i="46"/>
  <c r="BP70" i="46"/>
  <c r="BR76" i="46"/>
  <c r="BP76" i="46"/>
  <c r="BR96" i="46"/>
  <c r="BP96" i="46"/>
  <c r="BR151" i="46"/>
  <c r="BP151" i="46"/>
  <c r="BR157" i="46"/>
  <c r="BP157" i="46"/>
  <c r="BR177" i="46"/>
  <c r="BP177" i="46"/>
  <c r="BR183" i="46"/>
  <c r="BP183" i="46"/>
  <c r="BR189" i="46"/>
  <c r="BP189" i="46"/>
  <c r="BR84" i="46"/>
  <c r="BP84" i="46"/>
  <c r="BR185" i="46"/>
  <c r="BP185" i="46"/>
  <c r="BR101" i="46"/>
  <c r="BP101" i="46"/>
  <c r="BR176" i="46"/>
  <c r="BP176" i="46"/>
  <c r="BR87" i="46"/>
  <c r="BP87" i="46"/>
  <c r="BR90" i="46"/>
  <c r="BP90" i="46"/>
  <c r="BR93" i="46"/>
  <c r="BP93" i="46"/>
  <c r="BR168" i="46"/>
  <c r="BP168" i="46"/>
  <c r="BR171" i="46"/>
  <c r="BP171" i="46"/>
  <c r="BR174" i="46"/>
  <c r="BP174" i="46"/>
  <c r="BP81" i="46"/>
  <c r="BP162" i="46"/>
  <c r="BP170" i="46"/>
  <c r="BP186" i="46"/>
  <c r="BP67" i="46"/>
  <c r="BP75" i="46"/>
  <c r="BP83" i="46"/>
  <c r="BP91" i="46"/>
  <c r="BP99" i="46"/>
  <c r="BP156" i="46"/>
  <c r="BP164" i="46"/>
  <c r="BP172" i="46"/>
  <c r="BP180" i="46"/>
  <c r="BP188" i="46"/>
  <c r="BP73" i="46"/>
  <c r="BP89" i="46"/>
  <c r="BP97" i="46"/>
  <c r="BP154" i="46"/>
  <c r="BP178" i="46"/>
  <c r="BP194" i="46"/>
  <c r="BR44" i="45"/>
  <c r="BP44" i="45"/>
  <c r="BP35" i="45"/>
  <c r="BP52" i="45"/>
  <c r="BP28" i="45"/>
  <c r="BP36" i="45"/>
  <c r="BP29" i="45"/>
  <c r="BP31" i="45"/>
  <c r="BP32" i="45"/>
  <c r="BP68" i="45"/>
  <c r="BP76" i="45"/>
  <c r="BP33" i="45"/>
  <c r="BP34" i="45"/>
  <c r="BP60" i="45"/>
  <c r="BR42" i="45"/>
  <c r="BR45" i="45"/>
  <c r="BR67" i="45"/>
  <c r="BR70" i="45"/>
  <c r="BR39" i="45"/>
  <c r="BR50" i="45"/>
  <c r="BR53" i="45"/>
  <c r="BR64" i="45"/>
  <c r="BR75" i="45"/>
  <c r="BR78" i="45"/>
  <c r="BR47" i="45"/>
  <c r="BR58" i="45"/>
  <c r="BR61" i="45"/>
  <c r="BR72" i="45"/>
  <c r="BR55" i="45"/>
  <c r="BR66" i="45"/>
  <c r="BR69" i="45"/>
  <c r="BR38" i="45"/>
  <c r="BR49" i="45"/>
  <c r="BR63" i="45"/>
  <c r="BR74" i="45"/>
  <c r="BR77" i="45"/>
  <c r="BR56" i="45"/>
  <c r="BR41" i="45"/>
  <c r="BR43" i="45"/>
  <c r="BR46" i="45"/>
  <c r="BR57" i="45"/>
  <c r="BR71" i="45"/>
  <c r="BR40" i="45"/>
  <c r="BR51" i="45"/>
  <c r="BR54" i="45"/>
  <c r="BR65" i="45"/>
  <c r="BR37" i="45"/>
  <c r="BR48" i="45"/>
  <c r="BR59" i="45"/>
  <c r="BR62" i="45"/>
  <c r="BR73" i="45"/>
  <c r="BR27" i="45"/>
  <c r="BR30" i="45"/>
  <c r="BT29" i="43"/>
  <c r="BT30" i="43"/>
  <c r="BT31" i="43"/>
  <c r="BT32" i="43"/>
  <c r="BT33" i="43"/>
  <c r="BT34" i="43"/>
  <c r="BT35" i="43"/>
  <c r="BT36" i="43"/>
  <c r="BT37" i="43"/>
  <c r="BT38" i="43"/>
  <c r="BT39" i="43"/>
  <c r="BT40" i="43"/>
  <c r="BT41" i="43"/>
  <c r="BT42" i="43"/>
  <c r="BT43" i="43"/>
  <c r="BT44" i="43"/>
  <c r="BT45" i="43"/>
  <c r="BT46" i="43"/>
  <c r="BT47" i="43"/>
  <c r="BT48" i="43"/>
  <c r="BT49" i="43"/>
  <c r="BT50" i="43"/>
  <c r="BT51" i="43"/>
  <c r="BT52" i="43"/>
  <c r="BT53" i="43"/>
  <c r="BT54" i="43"/>
  <c r="BT55" i="43"/>
  <c r="BT56" i="43"/>
  <c r="BT57" i="43"/>
  <c r="BT58" i="43"/>
  <c r="BT59" i="43"/>
  <c r="BT60" i="43"/>
  <c r="BT61" i="43"/>
  <c r="BT62" i="43"/>
  <c r="BT63" i="43"/>
  <c r="BT64" i="43"/>
  <c r="BT65" i="43"/>
  <c r="BT66" i="43"/>
  <c r="BT67" i="43"/>
  <c r="BT68" i="43"/>
  <c r="BT69" i="43"/>
  <c r="BT70" i="43"/>
  <c r="BT71" i="43"/>
  <c r="BT72" i="43"/>
  <c r="BT73" i="43"/>
  <c r="BT74" i="43"/>
  <c r="BT75" i="43"/>
  <c r="BT76" i="43"/>
  <c r="BT77" i="43"/>
  <c r="BT78" i="43"/>
  <c r="BT79" i="43"/>
  <c r="BT80" i="43"/>
  <c r="BT81" i="43"/>
  <c r="BT82" i="43"/>
  <c r="BT83" i="43"/>
  <c r="BT84" i="43"/>
  <c r="BT85" i="43"/>
  <c r="BT86" i="43"/>
  <c r="BT87" i="43"/>
  <c r="BT88" i="43"/>
  <c r="BT89" i="43"/>
  <c r="BT90" i="43"/>
  <c r="BT91" i="43"/>
  <c r="BT92" i="43"/>
  <c r="BT93" i="43"/>
  <c r="BT94" i="43"/>
  <c r="BT95" i="43"/>
  <c r="BT96" i="43"/>
  <c r="BT97" i="43"/>
  <c r="BT98" i="43"/>
  <c r="BT99" i="43"/>
  <c r="BT100" i="43"/>
  <c r="BT101" i="43"/>
  <c r="BT102" i="43"/>
  <c r="BT103" i="43"/>
  <c r="BT104" i="43"/>
  <c r="BT105" i="43"/>
  <c r="BT106" i="43"/>
  <c r="BT107" i="43"/>
  <c r="BT108" i="43"/>
  <c r="BT109" i="43"/>
  <c r="BT110" i="43"/>
  <c r="BT111" i="43"/>
  <c r="BT112" i="43"/>
  <c r="BT113" i="43"/>
  <c r="BT114" i="43"/>
  <c r="BT115" i="43"/>
  <c r="BT116" i="43"/>
  <c r="BT117" i="43"/>
  <c r="BT118" i="43"/>
  <c r="BT119" i="43"/>
  <c r="BT120" i="43"/>
  <c r="BT28" i="43"/>
  <c r="BX28" i="43"/>
  <c r="BT27" i="43"/>
  <c r="BX27" i="43"/>
  <c r="BT26" i="43"/>
  <c r="AC27" i="43" l="1" a="1"/>
  <c r="AC27" i="43" s="1"/>
  <c r="AC120" i="43" a="1"/>
  <c r="AC120" i="43" s="1"/>
  <c r="AC119" i="43" a="1"/>
  <c r="AC119" i="43" s="1"/>
  <c r="AC118" i="43" a="1"/>
  <c r="AC118" i="43" s="1"/>
  <c r="AC117" i="43" a="1"/>
  <c r="AC117" i="43" s="1"/>
  <c r="AC116" i="43" a="1"/>
  <c r="AC116" i="43" s="1"/>
  <c r="BP116" i="43" s="1"/>
  <c r="AC115" i="43" a="1"/>
  <c r="AC115" i="43" s="1"/>
  <c r="AC114" i="43" a="1"/>
  <c r="AC114" i="43" s="1"/>
  <c r="AC113" i="43" a="1"/>
  <c r="AC113" i="43" s="1"/>
  <c r="BP113" i="43" s="1"/>
  <c r="AC112" i="43" a="1"/>
  <c r="AC112" i="43" s="1"/>
  <c r="BP112" i="43" s="1"/>
  <c r="AC111" i="43" a="1"/>
  <c r="AC111" i="43" s="1"/>
  <c r="AC110" i="43" a="1"/>
  <c r="AC110" i="43" s="1"/>
  <c r="AC109" i="43" a="1"/>
  <c r="AC109" i="43" s="1"/>
  <c r="AC108" i="43" a="1"/>
  <c r="AC108" i="43" s="1"/>
  <c r="BP108" i="43" s="1"/>
  <c r="AC107" i="43" a="1"/>
  <c r="AC107" i="43" s="1"/>
  <c r="AC106" i="43" a="1"/>
  <c r="AC106" i="43" s="1"/>
  <c r="AC105" i="43" a="1"/>
  <c r="AC105" i="43" s="1"/>
  <c r="BP105" i="43" s="1"/>
  <c r="AC104" i="43" a="1"/>
  <c r="AC104" i="43" s="1"/>
  <c r="BP104" i="43" s="1"/>
  <c r="AC103" i="43" a="1"/>
  <c r="AC103" i="43" s="1"/>
  <c r="AC102" i="43" a="1"/>
  <c r="AC102" i="43" s="1"/>
  <c r="AC101" i="43" a="1"/>
  <c r="AC101" i="43" s="1"/>
  <c r="AC100" i="43" a="1"/>
  <c r="AC100" i="43" s="1"/>
  <c r="BP100" i="43" s="1"/>
  <c r="AC99" i="43" a="1"/>
  <c r="AC99" i="43" s="1"/>
  <c r="AC98" i="43" a="1"/>
  <c r="AC98" i="43" s="1"/>
  <c r="AC97" i="43" a="1"/>
  <c r="AC97" i="43" s="1"/>
  <c r="AC96" i="43" a="1"/>
  <c r="AC96" i="43" s="1"/>
  <c r="BP96" i="43" s="1"/>
  <c r="AC95" i="43" a="1"/>
  <c r="AC95" i="43" s="1"/>
  <c r="AC94" i="43" a="1"/>
  <c r="AC94" i="43" s="1"/>
  <c r="AC93" i="43" a="1"/>
  <c r="AC93" i="43" s="1"/>
  <c r="AC92" i="43" a="1"/>
  <c r="AC92" i="43" s="1"/>
  <c r="BP92" i="43" s="1"/>
  <c r="AC91" i="43" a="1"/>
  <c r="AC91" i="43" s="1"/>
  <c r="AC90" i="43" a="1"/>
  <c r="AC90" i="43" s="1"/>
  <c r="AC89" i="43" a="1"/>
  <c r="AC89" i="43" s="1"/>
  <c r="AC88" i="43" a="1"/>
  <c r="AC88" i="43" s="1"/>
  <c r="BP88" i="43" s="1"/>
  <c r="AC87" i="43" a="1"/>
  <c r="AC87" i="43" s="1"/>
  <c r="AC86" i="43" a="1"/>
  <c r="AC86" i="43" s="1"/>
  <c r="AC85" i="43" a="1"/>
  <c r="AC85" i="43" s="1"/>
  <c r="BP85" i="43" s="1"/>
  <c r="AC84" i="43" a="1"/>
  <c r="AC84" i="43" s="1"/>
  <c r="AC83" i="43" a="1"/>
  <c r="AC83" i="43" s="1"/>
  <c r="AC82" i="43" a="1"/>
  <c r="AC82" i="43" s="1"/>
  <c r="BP82" i="43" s="1"/>
  <c r="AC81" i="43" a="1"/>
  <c r="AC81" i="43" s="1"/>
  <c r="BP81" i="43" s="1"/>
  <c r="AC80" i="43" a="1"/>
  <c r="AC80" i="43" s="1"/>
  <c r="AC79" i="43" a="1"/>
  <c r="AC79" i="43" s="1"/>
  <c r="AC78" i="43" a="1"/>
  <c r="AC78" i="43" s="1"/>
  <c r="AC77" i="43" a="1"/>
  <c r="AC77" i="43" s="1"/>
  <c r="BP77" i="43" s="1"/>
  <c r="AC76" i="43" a="1"/>
  <c r="AC76" i="43" s="1"/>
  <c r="AC75" i="43" a="1"/>
  <c r="AC75" i="43" s="1"/>
  <c r="AC74" i="43" a="1"/>
  <c r="AC74" i="43" s="1"/>
  <c r="BP74" i="43" s="1"/>
  <c r="AC73" i="43" a="1"/>
  <c r="AC73" i="43" s="1"/>
  <c r="BP73" i="43" s="1"/>
  <c r="AC72" i="43" a="1"/>
  <c r="AC72" i="43" s="1"/>
  <c r="AC71" i="43" a="1"/>
  <c r="AC71" i="43" s="1"/>
  <c r="AC70" i="43" a="1"/>
  <c r="AC70" i="43" s="1"/>
  <c r="AC69" i="43" a="1"/>
  <c r="AC69" i="43" s="1"/>
  <c r="BP69" i="43" s="1"/>
  <c r="AC68" i="43" a="1"/>
  <c r="AC68" i="43" s="1"/>
  <c r="AC67" i="43" a="1"/>
  <c r="AC67" i="43" s="1"/>
  <c r="AC66" i="43" a="1"/>
  <c r="AC66" i="43" s="1"/>
  <c r="BP66" i="43" s="1"/>
  <c r="AC65" i="43" a="1"/>
  <c r="AC65" i="43" s="1"/>
  <c r="BP65" i="43" s="1"/>
  <c r="AC64" i="43" a="1"/>
  <c r="AC64" i="43" s="1"/>
  <c r="AC63" i="43" a="1"/>
  <c r="AC63" i="43" s="1"/>
  <c r="BR63" i="43" s="1"/>
  <c r="AC62" i="43" a="1"/>
  <c r="AC62" i="43" s="1"/>
  <c r="AC61" i="43" a="1"/>
  <c r="AC61" i="43" s="1"/>
  <c r="AC60" i="43" a="1"/>
  <c r="AC60" i="43" s="1"/>
  <c r="AC59" i="43" a="1"/>
  <c r="AC59" i="43" s="1"/>
  <c r="AC58" i="43" a="1"/>
  <c r="AC58" i="43" s="1"/>
  <c r="AC57" i="43" a="1"/>
  <c r="AC57" i="43" s="1"/>
  <c r="AC56" i="43" a="1"/>
  <c r="AC56" i="43" s="1"/>
  <c r="AC55" i="43" a="1"/>
  <c r="AC55" i="43" s="1"/>
  <c r="BR55" i="43" s="1"/>
  <c r="AC54" i="43" a="1"/>
  <c r="AC54" i="43" s="1"/>
  <c r="AC53" i="43" a="1"/>
  <c r="AC53" i="43" s="1"/>
  <c r="AC52" i="43" a="1"/>
  <c r="AC52" i="43" s="1"/>
  <c r="AC51" i="43" a="1"/>
  <c r="AC51" i="43" s="1"/>
  <c r="AC50" i="43" a="1"/>
  <c r="AC50" i="43" s="1"/>
  <c r="AC48" i="43" a="1"/>
  <c r="AC48" i="43" s="1"/>
  <c r="AC47" i="43" a="1"/>
  <c r="AC47" i="43" s="1"/>
  <c r="AC46" i="43" a="1"/>
  <c r="AC46" i="43" s="1"/>
  <c r="BP46" i="43" s="1"/>
  <c r="AC45" i="43" a="1"/>
  <c r="AC45" i="43" s="1"/>
  <c r="AC44" i="43" a="1"/>
  <c r="AC44" i="43" s="1"/>
  <c r="AC43" i="43" a="1"/>
  <c r="AC43" i="43" s="1"/>
  <c r="AC42" i="43" a="1"/>
  <c r="AC42" i="43" s="1"/>
  <c r="BP42" i="43" s="1"/>
  <c r="AC41" i="43" a="1"/>
  <c r="AC41" i="43" s="1"/>
  <c r="AC40" i="43" a="1"/>
  <c r="AC40" i="43" s="1"/>
  <c r="AC39" i="43" a="1"/>
  <c r="AC39" i="43" s="1"/>
  <c r="AC38" i="43" a="1"/>
  <c r="AC38" i="43" s="1"/>
  <c r="BP38" i="43" s="1"/>
  <c r="AC37" i="43" a="1"/>
  <c r="AC37" i="43" s="1"/>
  <c r="AC36" i="43" a="1"/>
  <c r="AC36" i="43" s="1"/>
  <c r="AC35" i="43" a="1"/>
  <c r="AC35" i="43" s="1"/>
  <c r="AC34" i="43" a="1"/>
  <c r="AC34" i="43" s="1"/>
  <c r="BP34" i="43" s="1"/>
  <c r="AC33" i="43" a="1"/>
  <c r="AC33" i="43" s="1"/>
  <c r="AC32" i="43" a="1"/>
  <c r="AC32" i="43" s="1"/>
  <c r="AC31" i="43" a="1"/>
  <c r="AC31" i="43" s="1"/>
  <c r="AC30" i="43" a="1"/>
  <c r="AC30" i="43" s="1"/>
  <c r="AC29" i="43" a="1"/>
  <c r="AC29" i="43" s="1"/>
  <c r="BP29" i="43" s="1"/>
  <c r="AC28" i="43" a="1"/>
  <c r="AC28" i="43" s="1"/>
  <c r="AC49" i="43" a="1"/>
  <c r="AC49" i="43" s="1"/>
  <c r="AP4" i="44" a="1"/>
  <c r="AP4" i="44" s="1"/>
  <c r="BH2" i="44"/>
  <c r="BC2" i="44"/>
  <c r="AY2" i="44"/>
  <c r="AT2" i="44"/>
  <c r="AP2" i="44"/>
  <c r="Z4" i="44"/>
  <c r="W1" i="44"/>
  <c r="K2" i="44"/>
  <c r="H4" i="44"/>
  <c r="A2" i="44"/>
  <c r="AP4" i="2" a="1"/>
  <c r="AP4" i="2" s="1"/>
  <c r="BH2" i="2"/>
  <c r="BC2" i="2"/>
  <c r="AY2" i="2"/>
  <c r="AT2" i="2"/>
  <c r="AP2" i="2"/>
  <c r="Z4" i="2"/>
  <c r="W1" i="2"/>
  <c r="K2" i="2"/>
  <c r="H4" i="2"/>
  <c r="A2" i="2"/>
  <c r="BZ46" i="43"/>
  <c r="BX46" i="43"/>
  <c r="BV46" i="43"/>
  <c r="BZ45" i="43"/>
  <c r="BX45" i="43"/>
  <c r="BV45" i="43"/>
  <c r="BZ44" i="43"/>
  <c r="BX44" i="43"/>
  <c r="BV44" i="43"/>
  <c r="BZ43" i="43"/>
  <c r="BX43" i="43"/>
  <c r="BV43" i="43"/>
  <c r="BZ42" i="43"/>
  <c r="BX42" i="43"/>
  <c r="BV42" i="43"/>
  <c r="BZ41" i="43"/>
  <c r="BX41" i="43"/>
  <c r="BV41" i="43"/>
  <c r="BZ40" i="43"/>
  <c r="BX40" i="43"/>
  <c r="BV40" i="43"/>
  <c r="BZ39" i="43"/>
  <c r="BX39" i="43"/>
  <c r="BV39" i="43"/>
  <c r="BZ38" i="43"/>
  <c r="BX38" i="43"/>
  <c r="BV38" i="43"/>
  <c r="BZ37" i="43"/>
  <c r="BX37" i="43"/>
  <c r="BV37" i="43"/>
  <c r="BZ36" i="43"/>
  <c r="BX36" i="43"/>
  <c r="BV36" i="43"/>
  <c r="BZ35" i="43"/>
  <c r="BX35" i="43"/>
  <c r="BV35" i="43"/>
  <c r="BZ34" i="43"/>
  <c r="BX34" i="43"/>
  <c r="BV34" i="43"/>
  <c r="BZ33" i="43"/>
  <c r="BX33" i="43"/>
  <c r="BV33" i="43"/>
  <c r="BZ32" i="43"/>
  <c r="BX32" i="43"/>
  <c r="BV32" i="43"/>
  <c r="BZ31" i="43"/>
  <c r="BX31" i="43"/>
  <c r="BV31" i="43"/>
  <c r="D130" i="43"/>
  <c r="BZ63" i="43"/>
  <c r="BX63" i="43"/>
  <c r="BV63" i="43"/>
  <c r="BZ62" i="43"/>
  <c r="BX62" i="43"/>
  <c r="BV62" i="43"/>
  <c r="BZ61" i="43"/>
  <c r="BX61" i="43"/>
  <c r="BV61" i="43"/>
  <c r="BZ60" i="43"/>
  <c r="BX60" i="43"/>
  <c r="BV60" i="43"/>
  <c r="BZ59" i="43"/>
  <c r="BX59" i="43"/>
  <c r="BV59" i="43"/>
  <c r="BZ58" i="43"/>
  <c r="BX58" i="43"/>
  <c r="BV58" i="43"/>
  <c r="BZ57" i="43"/>
  <c r="BX57" i="43"/>
  <c r="BV57" i="43"/>
  <c r="BZ56" i="43"/>
  <c r="BX56" i="43"/>
  <c r="BV56" i="43"/>
  <c r="BZ55" i="43"/>
  <c r="BX55" i="43"/>
  <c r="BV55" i="43"/>
  <c r="BZ54" i="43"/>
  <c r="BX54" i="43"/>
  <c r="BV54" i="43"/>
  <c r="BZ53" i="43"/>
  <c r="BX53" i="43"/>
  <c r="BV53" i="43"/>
  <c r="BZ52" i="43"/>
  <c r="BX52" i="43"/>
  <c r="BV52" i="43"/>
  <c r="BZ51" i="43"/>
  <c r="BX51" i="43"/>
  <c r="BV51" i="43"/>
  <c r="BZ50" i="43"/>
  <c r="BX50" i="43"/>
  <c r="BV50" i="43"/>
  <c r="BZ49" i="43"/>
  <c r="BX49" i="43"/>
  <c r="BV49" i="43"/>
  <c r="BZ48" i="43"/>
  <c r="BX48" i="43"/>
  <c r="BV48" i="43"/>
  <c r="BZ47" i="43"/>
  <c r="BX47" i="43"/>
  <c r="BV47" i="43"/>
  <c r="BZ85" i="43"/>
  <c r="BX85" i="43"/>
  <c r="BV85" i="43"/>
  <c r="BZ84" i="43"/>
  <c r="BX84" i="43"/>
  <c r="BV84" i="43"/>
  <c r="BZ83" i="43"/>
  <c r="BX83" i="43"/>
  <c r="BV83" i="43"/>
  <c r="BZ82" i="43"/>
  <c r="BX82" i="43"/>
  <c r="BV82" i="43"/>
  <c r="BZ81" i="43"/>
  <c r="BX81" i="43"/>
  <c r="BV81" i="43"/>
  <c r="BZ80" i="43"/>
  <c r="BX80" i="43"/>
  <c r="BV80" i="43"/>
  <c r="BZ79" i="43"/>
  <c r="BX79" i="43"/>
  <c r="BV79" i="43"/>
  <c r="BZ78" i="43"/>
  <c r="BX78" i="43"/>
  <c r="BV78" i="43"/>
  <c r="BZ77" i="43"/>
  <c r="BX77" i="43"/>
  <c r="BV77" i="43"/>
  <c r="BZ76" i="43"/>
  <c r="BX76" i="43"/>
  <c r="BV76" i="43"/>
  <c r="BZ75" i="43"/>
  <c r="BX75" i="43"/>
  <c r="BV75" i="43"/>
  <c r="BZ74" i="43"/>
  <c r="BX74" i="43"/>
  <c r="BV74" i="43"/>
  <c r="BZ73" i="43"/>
  <c r="BX73" i="43"/>
  <c r="BV73" i="43"/>
  <c r="BZ72" i="43"/>
  <c r="BX72" i="43"/>
  <c r="BV72" i="43"/>
  <c r="BZ71" i="43"/>
  <c r="BX71" i="43"/>
  <c r="BV71" i="43"/>
  <c r="BZ70" i="43"/>
  <c r="BX70" i="43"/>
  <c r="BV70" i="43"/>
  <c r="BZ69" i="43"/>
  <c r="BX69" i="43"/>
  <c r="BV69" i="43"/>
  <c r="BZ68" i="43"/>
  <c r="BX68" i="43"/>
  <c r="BV68" i="43"/>
  <c r="BZ67" i="43"/>
  <c r="BX67" i="43"/>
  <c r="BV67" i="43"/>
  <c r="BZ66" i="43"/>
  <c r="BX66" i="43"/>
  <c r="BV66" i="43"/>
  <c r="BZ65" i="43"/>
  <c r="BX65" i="43"/>
  <c r="BV65" i="43"/>
  <c r="BZ64" i="43"/>
  <c r="BX64" i="43"/>
  <c r="BV64" i="43"/>
  <c r="BZ118" i="43"/>
  <c r="BX118" i="43"/>
  <c r="BV118" i="43"/>
  <c r="BZ117" i="43"/>
  <c r="BX117" i="43"/>
  <c r="BV117" i="43"/>
  <c r="BZ116" i="43"/>
  <c r="BX116" i="43"/>
  <c r="BV116" i="43"/>
  <c r="BZ115" i="43"/>
  <c r="BX115" i="43"/>
  <c r="BV115" i="43"/>
  <c r="BZ114" i="43"/>
  <c r="BX114" i="43"/>
  <c r="BV114" i="43"/>
  <c r="BZ113" i="43"/>
  <c r="BX113" i="43"/>
  <c r="BV113" i="43"/>
  <c r="BZ112" i="43"/>
  <c r="BX112" i="43"/>
  <c r="BV112" i="43"/>
  <c r="BZ111" i="43"/>
  <c r="BX111" i="43"/>
  <c r="BV111" i="43"/>
  <c r="BZ110" i="43"/>
  <c r="BX110" i="43"/>
  <c r="BV110" i="43"/>
  <c r="BZ109" i="43"/>
  <c r="BX109" i="43"/>
  <c r="BV109" i="43"/>
  <c r="BZ108" i="43"/>
  <c r="BX108" i="43"/>
  <c r="BV108" i="43"/>
  <c r="BZ107" i="43"/>
  <c r="BX107" i="43"/>
  <c r="BV107" i="43"/>
  <c r="BZ106" i="43"/>
  <c r="BX106" i="43"/>
  <c r="BV106" i="43"/>
  <c r="BZ105" i="43"/>
  <c r="BX105" i="43"/>
  <c r="BV105" i="43"/>
  <c r="BZ104" i="43"/>
  <c r="BX104" i="43"/>
  <c r="BV104" i="43"/>
  <c r="BZ103" i="43"/>
  <c r="BX103" i="43"/>
  <c r="BV103" i="43"/>
  <c r="BZ102" i="43"/>
  <c r="BX102" i="43"/>
  <c r="BV102" i="43"/>
  <c r="BZ101" i="43"/>
  <c r="BX101" i="43"/>
  <c r="BV101" i="43"/>
  <c r="BZ100" i="43"/>
  <c r="BX100" i="43"/>
  <c r="BV100" i="43"/>
  <c r="BZ99" i="43"/>
  <c r="BX99" i="43"/>
  <c r="BV99" i="43"/>
  <c r="BZ98" i="43"/>
  <c r="BX98" i="43"/>
  <c r="BV98" i="43"/>
  <c r="BZ97" i="43"/>
  <c r="BX97" i="43"/>
  <c r="BV97" i="43"/>
  <c r="BZ96" i="43"/>
  <c r="BX96" i="43"/>
  <c r="BV96" i="43"/>
  <c r="BZ95" i="43"/>
  <c r="BX95" i="43"/>
  <c r="BV95" i="43"/>
  <c r="BZ94" i="43"/>
  <c r="BX94" i="43"/>
  <c r="BV94" i="43"/>
  <c r="BZ93" i="43"/>
  <c r="BX93" i="43"/>
  <c r="BV93" i="43"/>
  <c r="BZ92" i="43"/>
  <c r="BX92" i="43"/>
  <c r="BV92" i="43"/>
  <c r="BZ91" i="43"/>
  <c r="BX91" i="43"/>
  <c r="BV91" i="43"/>
  <c r="BZ90" i="43"/>
  <c r="BX90" i="43"/>
  <c r="BV90" i="43"/>
  <c r="BZ89" i="43"/>
  <c r="BX89" i="43"/>
  <c r="BV89" i="43"/>
  <c r="BZ88" i="43"/>
  <c r="BX88" i="43"/>
  <c r="BV88" i="43"/>
  <c r="BZ87" i="43"/>
  <c r="BX87" i="43"/>
  <c r="BV87" i="43"/>
  <c r="BZ86" i="43"/>
  <c r="BX86" i="43"/>
  <c r="BV86" i="43"/>
  <c r="BZ30" i="43"/>
  <c r="BX30" i="43"/>
  <c r="BV30" i="43"/>
  <c r="BZ29" i="43"/>
  <c r="BX29" i="43"/>
  <c r="BV29" i="43"/>
  <c r="BZ165" i="43"/>
  <c r="BZ161" i="43"/>
  <c r="BZ160" i="43"/>
  <c r="BZ159" i="43"/>
  <c r="BZ158" i="43"/>
  <c r="BV158" i="43"/>
  <c r="BZ157" i="43"/>
  <c r="BV157" i="43"/>
  <c r="BZ156" i="43"/>
  <c r="BV156" i="43"/>
  <c r="BZ155" i="43"/>
  <c r="BV155" i="43"/>
  <c r="BZ154" i="43"/>
  <c r="BV154" i="43"/>
  <c r="BV153" i="43"/>
  <c r="BV152" i="43"/>
  <c r="BV151" i="43"/>
  <c r="BZ150" i="43"/>
  <c r="BZ149" i="43"/>
  <c r="BX149" i="43"/>
  <c r="BV149" i="43"/>
  <c r="BZ148" i="43"/>
  <c r="BX148" i="43"/>
  <c r="BV148" i="43"/>
  <c r="BZ147" i="43"/>
  <c r="BX147" i="43"/>
  <c r="BV147" i="43"/>
  <c r="BZ146" i="43"/>
  <c r="BX146" i="43"/>
  <c r="BV146" i="43"/>
  <c r="BZ145" i="43"/>
  <c r="BX145" i="43"/>
  <c r="BV145" i="43"/>
  <c r="BZ144" i="43"/>
  <c r="BX144" i="43"/>
  <c r="BV144" i="43"/>
  <c r="BZ143" i="43"/>
  <c r="BX143" i="43"/>
  <c r="BV143" i="43"/>
  <c r="BZ142" i="43"/>
  <c r="BX142" i="43"/>
  <c r="BV142" i="43"/>
  <c r="BZ136" i="43"/>
  <c r="BZ132" i="43"/>
  <c r="BZ131" i="43"/>
  <c r="BZ130" i="43"/>
  <c r="BZ129" i="43"/>
  <c r="BV129" i="43"/>
  <c r="BZ128" i="43"/>
  <c r="BV128" i="43"/>
  <c r="BZ127" i="43"/>
  <c r="BV127" i="43"/>
  <c r="BZ126" i="43"/>
  <c r="BV126" i="43"/>
  <c r="BP126" i="43"/>
  <c r="BZ125" i="43"/>
  <c r="BV125" i="43"/>
  <c r="BP125" i="43"/>
  <c r="R125" i="43"/>
  <c r="BV124" i="43"/>
  <c r="BV123" i="43"/>
  <c r="BP123" i="43"/>
  <c r="BV122" i="43"/>
  <c r="BR122" i="43"/>
  <c r="BZ121" i="43"/>
  <c r="BR121" i="43"/>
  <c r="BP121" i="43"/>
  <c r="BZ120" i="43"/>
  <c r="BX120" i="43"/>
  <c r="BV120" i="43"/>
  <c r="BZ119" i="43"/>
  <c r="BX119" i="43"/>
  <c r="BV119" i="43"/>
  <c r="BZ28" i="43"/>
  <c r="BV28" i="43"/>
  <c r="BZ27" i="43"/>
  <c r="BV27" i="43"/>
  <c r="BR26" i="43"/>
  <c r="BR25" i="43"/>
  <c r="BT25" i="43"/>
  <c r="B22" i="43"/>
  <c r="B23" i="43" s="1"/>
  <c r="B24" i="43" s="1"/>
  <c r="B25" i="43" s="1"/>
  <c r="B26" i="43" s="1"/>
  <c r="BP20" i="43"/>
  <c r="BP19" i="43"/>
  <c r="Z4" i="43"/>
  <c r="H4" i="43"/>
  <c r="BH2" i="43"/>
  <c r="BC2" i="43"/>
  <c r="AY2" i="43"/>
  <c r="AT2" i="43"/>
  <c r="AP2" i="43"/>
  <c r="K2" i="43"/>
  <c r="A2" i="43"/>
  <c r="W1" i="43"/>
  <c r="BP89" i="43" l="1"/>
  <c r="BR89" i="43"/>
  <c r="BR93" i="43"/>
  <c r="BP93" i="43"/>
  <c r="BR109" i="43"/>
  <c r="BP117" i="43"/>
  <c r="BR117" i="43"/>
  <c r="BP119" i="43"/>
  <c r="BR119" i="43"/>
  <c r="BP30" i="43"/>
  <c r="BR30" i="43"/>
  <c r="BP47" i="43"/>
  <c r="BP78" i="43"/>
  <c r="BR78" i="43"/>
  <c r="BR70" i="43"/>
  <c r="BP70" i="43"/>
  <c r="BP109" i="43"/>
  <c r="BP101" i="43"/>
  <c r="BR101" i="43"/>
  <c r="BR82" i="43"/>
  <c r="BR74" i="43"/>
  <c r="BR105" i="43"/>
  <c r="BR66" i="43"/>
  <c r="BP97" i="43"/>
  <c r="BR97" i="43"/>
  <c r="BR28" i="43"/>
  <c r="BP28" i="43"/>
  <c r="BR36" i="43"/>
  <c r="BP36" i="43"/>
  <c r="BR44" i="43"/>
  <c r="BP44" i="43"/>
  <c r="BR52" i="43"/>
  <c r="BP52" i="43"/>
  <c r="BR60" i="43"/>
  <c r="BP60" i="43"/>
  <c r="BR68" i="43"/>
  <c r="BP68" i="43"/>
  <c r="BR76" i="43"/>
  <c r="BP76" i="43"/>
  <c r="BR84" i="43"/>
  <c r="BP84" i="43"/>
  <c r="BR92" i="43"/>
  <c r="BR99" i="43"/>
  <c r="BP99" i="43"/>
  <c r="BR106" i="43"/>
  <c r="BP106" i="43"/>
  <c r="BR114" i="43"/>
  <c r="BP114" i="43"/>
  <c r="BR35" i="43"/>
  <c r="BP35" i="43"/>
  <c r="BR43" i="43"/>
  <c r="BP43" i="43"/>
  <c r="BP51" i="43"/>
  <c r="BP59" i="43"/>
  <c r="BR67" i="43"/>
  <c r="BP67" i="43"/>
  <c r="BR98" i="43"/>
  <c r="BP98" i="43"/>
  <c r="BR29" i="43"/>
  <c r="BR37" i="43"/>
  <c r="BP37" i="43"/>
  <c r="BR45" i="43"/>
  <c r="BP45" i="43"/>
  <c r="BR53" i="43"/>
  <c r="BP53" i="43"/>
  <c r="BR61" i="43"/>
  <c r="BP61" i="43"/>
  <c r="BR69" i="43"/>
  <c r="BR77" i="43"/>
  <c r="BR85" i="43"/>
  <c r="BR100" i="43"/>
  <c r="BR107" i="43"/>
  <c r="BP107" i="43"/>
  <c r="BR115" i="43"/>
  <c r="BP115" i="43"/>
  <c r="BR83" i="43"/>
  <c r="BP83" i="43"/>
  <c r="BR38" i="43"/>
  <c r="BR46" i="43"/>
  <c r="BP54" i="43"/>
  <c r="BR54" i="43"/>
  <c r="BP62" i="43"/>
  <c r="BR62" i="43"/>
  <c r="BR86" i="43"/>
  <c r="BP86" i="43"/>
  <c r="BR94" i="43"/>
  <c r="BP94" i="43"/>
  <c r="BR108" i="43"/>
  <c r="BR116" i="43"/>
  <c r="BR31" i="43"/>
  <c r="BP31" i="43"/>
  <c r="BR39" i="43"/>
  <c r="BP39" i="43"/>
  <c r="BP55" i="43"/>
  <c r="BP63" i="43"/>
  <c r="BR71" i="43"/>
  <c r="BP71" i="43"/>
  <c r="BR79" i="43"/>
  <c r="BP79" i="43"/>
  <c r="BR87" i="43"/>
  <c r="BP87" i="43"/>
  <c r="BR95" i="43"/>
  <c r="BP95" i="43"/>
  <c r="BR91" i="43"/>
  <c r="BP91" i="43"/>
  <c r="BR51" i="43"/>
  <c r="BR32" i="43"/>
  <c r="BP32" i="43"/>
  <c r="BR40" i="43"/>
  <c r="BP40" i="43"/>
  <c r="BR48" i="43"/>
  <c r="BP48" i="43"/>
  <c r="BR56" i="43"/>
  <c r="BP56" i="43"/>
  <c r="BR64" i="43"/>
  <c r="BP64" i="43"/>
  <c r="BR72" i="43"/>
  <c r="BP72" i="43"/>
  <c r="BR80" i="43"/>
  <c r="BP80" i="43"/>
  <c r="BR88" i="43"/>
  <c r="BR96" i="43"/>
  <c r="BR102" i="43"/>
  <c r="BP102" i="43"/>
  <c r="BR110" i="43"/>
  <c r="BP110" i="43"/>
  <c r="BR118" i="43"/>
  <c r="BP118" i="43"/>
  <c r="BR75" i="43"/>
  <c r="BP75" i="43"/>
  <c r="BR113" i="43"/>
  <c r="BR33" i="43"/>
  <c r="BP33" i="43"/>
  <c r="BR41" i="43"/>
  <c r="BP41" i="43"/>
  <c r="BR49" i="43"/>
  <c r="BP49" i="43"/>
  <c r="BR57" i="43"/>
  <c r="BP57" i="43"/>
  <c r="BR65" i="43"/>
  <c r="BR73" i="43"/>
  <c r="BR81" i="43"/>
  <c r="BR103" i="43"/>
  <c r="BP103" i="43"/>
  <c r="BR111" i="43"/>
  <c r="BP111" i="43"/>
  <c r="BR47" i="43"/>
  <c r="BR59" i="43"/>
  <c r="BR34" i="43"/>
  <c r="BR42" i="43"/>
  <c r="BR50" i="43"/>
  <c r="BP50" i="43"/>
  <c r="BP58" i="43"/>
  <c r="BR58" i="43"/>
  <c r="BR90" i="43"/>
  <c r="BP90" i="43"/>
  <c r="BR104" i="43"/>
  <c r="BR112" i="43"/>
  <c r="BR120" i="43"/>
  <c r="BP120" i="43"/>
  <c r="BR27" i="43"/>
  <c r="BP27" i="43"/>
  <c r="BT33" i="2"/>
  <c r="BT32" i="2"/>
  <c r="BT31" i="2"/>
  <c r="BT30" i="2"/>
  <c r="BT29" i="2"/>
  <c r="BT28" i="2"/>
  <c r="BT27" i="2"/>
  <c r="BT25" i="2"/>
  <c r="BT26" i="2"/>
  <c r="BT24" i="2"/>
  <c r="BR35" i="2"/>
  <c r="BR34" i="2"/>
  <c r="BR33" i="2"/>
  <c r="BR32" i="2"/>
  <c r="BR31" i="2"/>
  <c r="BR30" i="2"/>
  <c r="BR29" i="2"/>
  <c r="BR28" i="2"/>
  <c r="BR26" i="2"/>
  <c r="BR25" i="2"/>
  <c r="AC27" i="2" a="1"/>
  <c r="AC27" i="2" s="1"/>
  <c r="BP39" i="2"/>
  <c r="BP38" i="2"/>
  <c r="BP36" i="2"/>
  <c r="BP34" i="2"/>
  <c r="BP33" i="2"/>
  <c r="BP32" i="2"/>
  <c r="BP31" i="2"/>
  <c r="BP30" i="2"/>
  <c r="BP29" i="2"/>
  <c r="BP28" i="2"/>
  <c r="BP20" i="2"/>
  <c r="BP19" i="2"/>
  <c r="BR27" i="2" l="1"/>
  <c r="BP27" i="2"/>
  <c r="BZ49" i="2"/>
  <c r="BZ45" i="2"/>
  <c r="BZ44" i="2"/>
  <c r="BZ43" i="2"/>
  <c r="BZ42" i="2"/>
  <c r="BV42" i="2"/>
  <c r="BZ41" i="2"/>
  <c r="BV41" i="2"/>
  <c r="BZ40" i="2"/>
  <c r="BV40" i="2"/>
  <c r="BZ39" i="2"/>
  <c r="BV39" i="2"/>
  <c r="BZ38" i="2"/>
  <c r="BV38" i="2"/>
  <c r="BV37" i="2"/>
  <c r="BZ36" i="2"/>
  <c r="BV36" i="2"/>
  <c r="BV35" i="2"/>
  <c r="BZ34" i="2"/>
  <c r="BZ78" i="2"/>
  <c r="BZ74" i="2"/>
  <c r="BZ73" i="2"/>
  <c r="BZ72" i="2"/>
  <c r="BZ71" i="2"/>
  <c r="BV71" i="2"/>
  <c r="BZ70" i="2"/>
  <c r="BV70" i="2"/>
  <c r="BZ69" i="2"/>
  <c r="BV69" i="2"/>
  <c r="BZ68" i="2"/>
  <c r="BV68" i="2"/>
  <c r="BZ67" i="2"/>
  <c r="BV67" i="2"/>
  <c r="BV66" i="2"/>
  <c r="BZ65" i="2"/>
  <c r="BV65" i="2"/>
  <c r="BV64" i="2"/>
  <c r="BZ63" i="2"/>
  <c r="BZ62" i="2"/>
  <c r="BX62" i="2"/>
  <c r="BV62" i="2"/>
  <c r="BZ61" i="2"/>
  <c r="BX61" i="2"/>
  <c r="BV61" i="2"/>
  <c r="BZ60" i="2"/>
  <c r="BX60" i="2"/>
  <c r="BV60" i="2"/>
  <c r="BZ59" i="2"/>
  <c r="BX59" i="2"/>
  <c r="BV59" i="2"/>
  <c r="BZ58" i="2"/>
  <c r="BX58" i="2"/>
  <c r="BV58" i="2"/>
  <c r="BZ57" i="2"/>
  <c r="BX57" i="2"/>
  <c r="BV57" i="2"/>
  <c r="BZ56" i="2"/>
  <c r="BX56" i="2"/>
  <c r="BV56" i="2"/>
  <c r="BZ55" i="2"/>
  <c r="BX55" i="2"/>
  <c r="BV55" i="2"/>
  <c r="BZ33" i="2"/>
  <c r="BX33" i="2"/>
  <c r="BV33" i="2"/>
  <c r="BZ32" i="2"/>
  <c r="BX32" i="2"/>
  <c r="BV32" i="2"/>
  <c r="BZ31" i="2"/>
  <c r="BX31" i="2"/>
  <c r="BV31" i="2"/>
  <c r="BZ30" i="2"/>
  <c r="BX30" i="2"/>
  <c r="BV30" i="2"/>
  <c r="BZ29" i="2"/>
  <c r="BX29" i="2"/>
  <c r="BV29" i="2"/>
  <c r="BZ28" i="2"/>
  <c r="BX28" i="2"/>
  <c r="BV28" i="2"/>
  <c r="BZ27" i="2"/>
  <c r="BX27" i="2"/>
  <c r="BV27" i="2"/>
  <c r="BX26" i="2"/>
  <c r="BV24" i="2"/>
  <c r="R38" i="2"/>
  <c r="D43" i="2"/>
  <c r="B22" i="2"/>
  <c r="B23" i="2" s="1"/>
  <c r="B24" i="2" s="1"/>
  <c r="B25" i="2" s="1"/>
  <c r="B26" i="2" s="1"/>
  <c r="AT2" i="14" l="1"/>
  <c r="AP2" i="14"/>
  <c r="Z4" i="14"/>
  <c r="W1" i="14"/>
  <c r="K2" i="14"/>
  <c r="H4" i="14"/>
  <c r="A2" i="14"/>
  <c r="AT2" i="7" l="1"/>
  <c r="AP2" i="7"/>
  <c r="Z4" i="7"/>
  <c r="W1" i="7"/>
  <c r="K2" i="7"/>
  <c r="H4" i="7"/>
  <c r="A2" i="7"/>
  <c r="L24" i="4" l="1"/>
  <c r="BH2" i="4"/>
  <c r="BC2" i="4"/>
  <c r="AY2" i="4"/>
  <c r="AT2" i="3"/>
  <c r="AP2" i="3"/>
  <c r="Z4" i="3"/>
  <c r="W1" i="3"/>
  <c r="K2" i="3"/>
  <c r="H4" i="3"/>
  <c r="A2" i="3"/>
  <c r="BH2" i="3" l="1"/>
  <c r="BH2" i="14"/>
  <c r="BH2" i="7"/>
  <c r="AY2" i="3"/>
  <c r="AY2" i="14"/>
  <c r="AY2" i="7"/>
  <c r="BC2" i="3"/>
  <c r="BC2" i="14"/>
  <c r="BC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A9510D52-7505-4DBC-922A-C2F3472E7628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F518AAD-E688-4D7D-B6CD-1FB82479D348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091E905-0387-4A73-A236-30F5E68905E9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57D0CC70-97E8-4E3A-983C-590C469046A0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9ACEB802-960C-4908-9539-126190B3DED1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F0673331-1594-46DC-9E16-EAEF2AF4FE48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1C73CF60-9C17-4AB2-9AD8-921B360867DC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C1D16532-E808-4140-ABB4-8740754BBEFB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85B1870-DE6F-4FB7-B146-62C862F1F03F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<sst xmlns="http://schemas.openxmlformats.org/spreadsheetml/2006/main" count="11267" uniqueCount="1445">
  <si>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</si>
  <si>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</si>
  <si>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</si>
  <si>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</si>
  <si>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</si>
  <si>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</si>
  <si>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</si>
  <si>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</si>
  <si>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</si>
  <si>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改廃履歴</t>
    <phoneticPr fontId="2"/>
  </si>
  <si>
    <t>■改廃履歴</t>
  </si>
  <si>
    <t>更新日付</t>
  </si>
  <si>
    <t>変更内容</t>
  </si>
  <si>
    <t>承認日付</t>
  </si>
  <si>
    <t>承認者</t>
  </si>
  <si>
    <t>現金専用簡易セルフPOS</t>
  </si>
  <si>
    <t>表紙</t>
  </si>
  <si>
    <t>現金専用簡易セルフPOS 基本設計書</t>
  </si>
  <si>
    <t>承認日</t>
  </si>
  <si>
    <t>テンプレート</t>
  </si>
  <si>
    <t>■テーブル情報</t>
    <phoneticPr fontId="2"/>
  </si>
  <si>
    <t>■カラム情報</t>
  </si>
  <si>
    <t>No.</t>
    <phoneticPr fontId="2"/>
  </si>
  <si>
    <t>論理名</t>
    <phoneticPr fontId="2"/>
  </si>
  <si>
    <t>物理名</t>
  </si>
  <si>
    <t>データ型</t>
  </si>
  <si>
    <t>PK</t>
    <phoneticPr fontId="2"/>
  </si>
  <si>
    <t>Not Null</t>
  </si>
  <si>
    <t>デフォルト</t>
  </si>
  <si>
    <t>備考</t>
  </si>
  <si>
    <t>レコードID</t>
  </si>
  <si>
    <t>自動追加</t>
  </si>
  <si>
    <t>トリガー情報</t>
  </si>
  <si>
    <t>No.</t>
  </si>
  <si>
    <t>トリガー名</t>
  </si>
  <si>
    <t>イベント</t>
  </si>
  <si>
    <t>タイミング</t>
  </si>
  <si>
    <t>条件</t>
  </si>
  <si>
    <t>update</t>
    <phoneticPr fontId="2"/>
  </si>
  <si>
    <t>Before row</t>
  </si>
  <si>
    <t>auto_updated_date</t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</si>
  <si>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</si>
  <si>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</si>
  <si>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</si>
  <si>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</si>
  <si>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</si>
  <si>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</si>
  <si>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</si>
  <si>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</si>
  <si>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</si>
  <si>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</si>
  <si>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</si>
  <si>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</si>
  <si>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</si>
  <si>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t>共通</t>
    <rPh sb="0" eb="2">
      <t>キョウツウ</t>
    </rPh>
    <phoneticPr fontId="2"/>
  </si>
  <si>
    <t>DB定義書</t>
    <rPh sb="2" eb="5">
      <t>テイギショ</t>
    </rPh>
    <phoneticPr fontId="2"/>
  </si>
  <si>
    <t>きよはら</t>
    <phoneticPr fontId="2"/>
  </si>
  <si>
    <t>新規作成</t>
    <rPh sb="0" eb="2">
      <t>シンキ</t>
    </rPh>
    <rPh sb="2" eb="4">
      <t>サクセイ</t>
    </rPh>
    <phoneticPr fontId="2"/>
  </si>
  <si>
    <t>RECORD_VOID_FLAG</t>
  </si>
  <si>
    <t>RECORD_CREATE_DATE</t>
  </si>
  <si>
    <t>RECORD_ID</t>
  </si>
  <si>
    <t>RECORD_CREATE_TIME</t>
  </si>
  <si>
    <t>RECORD_UPDATE_DATE</t>
  </si>
  <si>
    <t>RECORD_UPDATE_TIME</t>
  </si>
  <si>
    <t>レコード作成日付</t>
  </si>
  <si>
    <t>レコード作成時間</t>
  </si>
  <si>
    <t>レコード更新日付</t>
  </si>
  <si>
    <t>レコード更新時間</t>
  </si>
  <si>
    <t>レコード無効フラグ</t>
  </si>
  <si>
    <t>CURRENT_DATE</t>
    <phoneticPr fontId="2"/>
  </si>
  <si>
    <t>CURRENT_TIME</t>
    <phoneticPr fontId="2"/>
  </si>
  <si>
    <t>トリガーにより更新</t>
    <phoneticPr fontId="2"/>
  </si>
  <si>
    <t>Sheet7</t>
  </si>
  <si>
    <t>区分</t>
    <rPh sb="0" eb="2">
      <t>クブン</t>
    </rPh>
    <phoneticPr fontId="9"/>
  </si>
  <si>
    <t>論理テーブル名</t>
    <rPh sb="0" eb="2">
      <t>ロンリ</t>
    </rPh>
    <rPh sb="6" eb="7">
      <t>メイ</t>
    </rPh>
    <phoneticPr fontId="9"/>
  </si>
  <si>
    <t>物理テーブル名</t>
    <rPh sb="0" eb="2">
      <t>ブツリ</t>
    </rPh>
    <rPh sb="6" eb="7">
      <t>メイ</t>
    </rPh>
    <phoneticPr fontId="9"/>
  </si>
  <si>
    <t>ID</t>
    <phoneticPr fontId="2"/>
  </si>
  <si>
    <t>備考</t>
    <rPh sb="0" eb="2">
      <t>ビコウ</t>
    </rPh>
    <phoneticPr fontId="2"/>
  </si>
  <si>
    <t>""</t>
    <phoneticPr fontId="2"/>
  </si>
  <si>
    <t>顧客情報</t>
    <rPh sb="0" eb="2">
      <t>コキャク</t>
    </rPh>
    <rPh sb="2" eb="4">
      <t>ジョウホウ</t>
    </rPh>
    <phoneticPr fontId="2"/>
  </si>
  <si>
    <t>顧客情報</t>
    <rPh sb="0" eb="2">
      <t>コキャク</t>
    </rPh>
    <rPh sb="2" eb="4">
      <t>ジョウホウ</t>
    </rPh>
    <phoneticPr fontId="1"/>
  </si>
  <si>
    <t>101_顧客情報</t>
  </si>
  <si>
    <t>customer_master</t>
  </si>
  <si>
    <t>ポイントカード情報</t>
    <rPh sb="7" eb="9">
      <t>ジョウホウ</t>
    </rPh>
    <phoneticPr fontId="1"/>
  </si>
  <si>
    <t>102_ポイントカード情報</t>
  </si>
  <si>
    <t>card_information</t>
  </si>
  <si>
    <t>提携カード情報</t>
  </si>
  <si>
    <t>103_提携カード情報</t>
  </si>
  <si>
    <t>card_master</t>
  </si>
  <si>
    <t>カード合算履歴</t>
  </si>
  <si>
    <t>104_カード合算履歴</t>
  </si>
  <si>
    <t>card_totaling_master</t>
  </si>
  <si>
    <t>WEB会員情報</t>
    <rPh sb="3" eb="5">
      <t>カイイン</t>
    </rPh>
    <rPh sb="5" eb="7">
      <t>ジョウホウ</t>
    </rPh>
    <phoneticPr fontId="1"/>
  </si>
  <si>
    <t>105_WEB会員情報</t>
  </si>
  <si>
    <t>web_customer_master</t>
  </si>
  <si>
    <t>商品情報</t>
    <rPh sb="0" eb="2">
      <t>ショウヒン</t>
    </rPh>
    <rPh sb="2" eb="4">
      <t>ジョウホウ</t>
    </rPh>
    <phoneticPr fontId="2"/>
  </si>
  <si>
    <t>商品マスタ</t>
  </si>
  <si>
    <t>201_商品マスタ</t>
  </si>
  <si>
    <t>product_master</t>
  </si>
  <si>
    <t>商品販売価格マスタ</t>
  </si>
  <si>
    <t>202_商品販売価格マスタ</t>
  </si>
  <si>
    <t>sales_price</t>
  </si>
  <si>
    <t>メーカーマスタ</t>
  </si>
  <si>
    <t>203_メーカーマスタ</t>
  </si>
  <si>
    <t>maker_master</t>
  </si>
  <si>
    <t>サービス商品</t>
    <rPh sb="4" eb="6">
      <t>ショウヒン</t>
    </rPh>
    <phoneticPr fontId="2"/>
  </si>
  <si>
    <t>204_サービス商品</t>
  </si>
  <si>
    <t>service_product_master</t>
  </si>
  <si>
    <t>購買情報</t>
    <rPh sb="0" eb="2">
      <t>コウバイ</t>
    </rPh>
    <rPh sb="2" eb="4">
      <t>ジョウホウ</t>
    </rPh>
    <phoneticPr fontId="2"/>
  </si>
  <si>
    <t>購買情報</t>
    <rPh sb="0" eb="2">
      <t>コウバイ</t>
    </rPh>
    <rPh sb="2" eb="4">
      <t>ジョウホウ</t>
    </rPh>
    <phoneticPr fontId="1"/>
  </si>
  <si>
    <t>301_購買情報</t>
  </si>
  <si>
    <t>sales_information</t>
  </si>
  <si>
    <t xml:space="preserve">購買明細情報 </t>
    <rPh sb="0" eb="2">
      <t>コウバイ</t>
    </rPh>
    <rPh sb="2" eb="4">
      <t>メイサイ</t>
    </rPh>
    <rPh sb="4" eb="6">
      <t>ジョウホウ</t>
    </rPh>
    <phoneticPr fontId="1"/>
  </si>
  <si>
    <t xml:space="preserve">302_購買明細情報 </t>
  </si>
  <si>
    <t>納品明細</t>
  </si>
  <si>
    <t>303_納品明細</t>
  </si>
  <si>
    <t>delivery_details</t>
  </si>
  <si>
    <t>ポイントヘッダ</t>
  </si>
  <si>
    <t>304_ポイントヘッダ</t>
  </si>
  <si>
    <t>point_master</t>
  </si>
  <si>
    <t>ポイント明細</t>
  </si>
  <si>
    <t>305_ポイント明細</t>
  </si>
  <si>
    <t>point_master_histry</t>
  </si>
  <si>
    <t>買取情報</t>
    <rPh sb="0" eb="2">
      <t>カイトリ</t>
    </rPh>
    <rPh sb="2" eb="4">
      <t>ジョウホウ</t>
    </rPh>
    <phoneticPr fontId="2"/>
  </si>
  <si>
    <t>買取情報</t>
    <rPh sb="0" eb="2">
      <t>カイトリ</t>
    </rPh>
    <rPh sb="2" eb="4">
      <t>ジョウホウ</t>
    </rPh>
    <phoneticPr fontId="1"/>
  </si>
  <si>
    <t>311_買取情報</t>
  </si>
  <si>
    <t>purchase_information</t>
  </si>
  <si>
    <t xml:space="preserve">買取明細情報 </t>
    <rPh sb="0" eb="2">
      <t>カイトリ</t>
    </rPh>
    <rPh sb="2" eb="4">
      <t>メイサイ</t>
    </rPh>
    <rPh sb="4" eb="6">
      <t>ジョウホウ</t>
    </rPh>
    <phoneticPr fontId="1"/>
  </si>
  <si>
    <t xml:space="preserve">312_買取明細情報 </t>
  </si>
  <si>
    <t>purchase_detailes</t>
  </si>
  <si>
    <t>商品買取価格マスタ</t>
  </si>
  <si>
    <t>313_商品買取価格マスタ</t>
  </si>
  <si>
    <t>purchase_price</t>
  </si>
  <si>
    <t>手配物件マスタ</t>
  </si>
  <si>
    <t>314_手配物件マスタ</t>
  </si>
  <si>
    <t>arrange_article_master</t>
  </si>
  <si>
    <t>課金情報</t>
    <rPh sb="0" eb="2">
      <t>カキン</t>
    </rPh>
    <rPh sb="2" eb="4">
      <t>ジョウホウ</t>
    </rPh>
    <phoneticPr fontId="2"/>
  </si>
  <si>
    <t>課金情報</t>
    <rPh sb="0" eb="4">
      <t>カキンジョウホウ</t>
    </rPh>
    <phoneticPr fontId="2"/>
  </si>
  <si>
    <t>321_課金情報</t>
  </si>
  <si>
    <t>kakin_information</t>
  </si>
  <si>
    <t>保証情報</t>
    <rPh sb="0" eb="2">
      <t>ホショウ</t>
    </rPh>
    <rPh sb="2" eb="4">
      <t>ジョウホウ</t>
    </rPh>
    <phoneticPr fontId="2"/>
  </si>
  <si>
    <t>延長保証情報</t>
  </si>
  <si>
    <t>401_延長保証情報</t>
  </si>
  <si>
    <t>contract_information</t>
  </si>
  <si>
    <t>延長保証限度額マスタ</t>
  </si>
  <si>
    <t>402_延長保証限度額マスタ</t>
  </si>
  <si>
    <t>compensation_master</t>
  </si>
  <si>
    <t>延長保証マスタ</t>
  </si>
  <si>
    <t>403_延長保証マスタ</t>
  </si>
  <si>
    <t>warranty_information</t>
  </si>
  <si>
    <t>延長保証適用情報</t>
    <rPh sb="4" eb="6">
      <t>テキヨウ</t>
    </rPh>
    <rPh sb="6" eb="8">
      <t>ジョウホウ</t>
    </rPh>
    <phoneticPr fontId="2"/>
  </si>
  <si>
    <t>404_延長保証適用情報</t>
  </si>
  <si>
    <t>contract_infor_app</t>
  </si>
  <si>
    <t>拠点情報</t>
    <rPh sb="0" eb="2">
      <t>キョテン</t>
    </rPh>
    <rPh sb="2" eb="4">
      <t>ジョウホウ</t>
    </rPh>
    <phoneticPr fontId="2"/>
  </si>
  <si>
    <t>会社マスタ</t>
  </si>
  <si>
    <t>501_会社マスタ</t>
  </si>
  <si>
    <t>company_master</t>
  </si>
  <si>
    <t>店舗マスタ</t>
  </si>
  <si>
    <t>502_店舗マスタ</t>
  </si>
  <si>
    <t>branch_master</t>
  </si>
  <si>
    <t>カウンター種別マスタ</t>
    <rPh sb="5" eb="7">
      <t>シュベツ</t>
    </rPh>
    <phoneticPr fontId="2"/>
  </si>
  <si>
    <t>503_カウンター種別マスタ</t>
  </si>
  <si>
    <t>counter_class</t>
  </si>
  <si>
    <t>カウンターマスタ</t>
  </si>
  <si>
    <t>504_カウンターマスタ</t>
  </si>
  <si>
    <t>counter_master</t>
  </si>
  <si>
    <t>担当者情報</t>
    <rPh sb="0" eb="3">
      <t>タントウシャ</t>
    </rPh>
    <rPh sb="3" eb="5">
      <t>ジョウホウ</t>
    </rPh>
    <phoneticPr fontId="2"/>
  </si>
  <si>
    <t>担当者マスタ</t>
  </si>
  <si>
    <t>601_担当者マスタ</t>
  </si>
  <si>
    <t>person_master</t>
  </si>
  <si>
    <t>パスワードマスタ</t>
  </si>
  <si>
    <t>602_パスワードマスタ</t>
  </si>
  <si>
    <t>person_password</t>
  </si>
  <si>
    <t>取引先マスタ</t>
  </si>
  <si>
    <t>仕入先マスタ</t>
  </si>
  <si>
    <t>701_仕入先マスタ</t>
  </si>
  <si>
    <t>supplier_master</t>
  </si>
  <si>
    <t>ベンダーマスタ</t>
  </si>
  <si>
    <t>702_ベンダーマスタ</t>
  </si>
  <si>
    <t>vender_master</t>
  </si>
  <si>
    <t>部門マスタ</t>
  </si>
  <si>
    <t>商品部門マスタ</t>
  </si>
  <si>
    <t>801_商品部門マスタ</t>
  </si>
  <si>
    <t>division_master</t>
  </si>
  <si>
    <t>商品部門変更マスタ</t>
  </si>
  <si>
    <t>802_商品部門変更マスタ</t>
  </si>
  <si>
    <t>division_change_master</t>
  </si>
  <si>
    <t>付随情報</t>
    <rPh sb="0" eb="2">
      <t>フズイ</t>
    </rPh>
    <rPh sb="2" eb="4">
      <t>ジョウホウ</t>
    </rPh>
    <phoneticPr fontId="2"/>
  </si>
  <si>
    <t>コードマスタ</t>
  </si>
  <si>
    <t>901_コードマスタ</t>
  </si>
  <si>
    <t>code_master</t>
  </si>
  <si>
    <t>プリンターマスタ</t>
  </si>
  <si>
    <t>902_プリンターマスタ</t>
  </si>
  <si>
    <t>printer_master</t>
  </si>
  <si>
    <t>症状登録</t>
  </si>
  <si>
    <t>903_症状登録</t>
  </si>
  <si>
    <t>service_class_master</t>
  </si>
  <si>
    <t>ページ情報</t>
    <rPh sb="3" eb="5">
      <t>ジョウホウ</t>
    </rPh>
    <phoneticPr fontId="2"/>
  </si>
  <si>
    <t>904_ページ情報</t>
  </si>
  <si>
    <t>page_infomation</t>
  </si>
  <si>
    <t>ステータスマスタ</t>
  </si>
  <si>
    <t>905_ステータスマスタ</t>
  </si>
  <si>
    <t>status_master</t>
  </si>
  <si>
    <t>sales_details</t>
    <phoneticPr fontId="2"/>
  </si>
  <si>
    <t>ER</t>
  </si>
  <si>
    <t>レコード作成日付</t>
    <phoneticPr fontId="2"/>
  </si>
  <si>
    <t>レコード作成時間</t>
    <phoneticPr fontId="2"/>
  </si>
  <si>
    <t>レコード更新日付</t>
    <phoneticPr fontId="2"/>
  </si>
  <si>
    <t>レコード更新時間</t>
    <phoneticPr fontId="2"/>
  </si>
  <si>
    <t>レコード無効フラグ</t>
    <phoneticPr fontId="2"/>
  </si>
  <si>
    <t>RECORD_ID</t>
    <phoneticPr fontId="2"/>
  </si>
  <si>
    <t>RECORD_CREATE_DATE</t>
    <phoneticPr fontId="2"/>
  </si>
  <si>
    <t>RECORD_CREATE_TIME</t>
    <phoneticPr fontId="2"/>
  </si>
  <si>
    <t>RECORD_UPDATE_DATE</t>
    <phoneticPr fontId="2"/>
  </si>
  <si>
    <t>RECORD_UPDATE_TIME</t>
    <phoneticPr fontId="2"/>
  </si>
  <si>
    <t>RECORD_VOID_FLAG</t>
    <phoneticPr fontId="2"/>
  </si>
  <si>
    <t>char(1)</t>
    <phoneticPr fontId="2"/>
  </si>
  <si>
    <t>bigint</t>
    <phoneticPr fontId="2"/>
  </si>
  <si>
    <t>date</t>
    <phoneticPr fontId="2"/>
  </si>
  <si>
    <t>time</t>
    <phoneticPr fontId="2"/>
  </si>
  <si>
    <t>0: 有効フラグ、 1:無効フラグ</t>
    <rPh sb="3" eb="5">
      <t>ユウコウ</t>
    </rPh>
    <rPh sb="12" eb="14">
      <t>ムコウ</t>
    </rPh>
    <phoneticPr fontId="2"/>
  </si>
  <si>
    <t>int</t>
  </si>
  <si>
    <t xml:space="preserve">  KEY `RECORD_ID` (`RECORD_ID`)</t>
    <phoneticPr fontId="2"/>
  </si>
  <si>
    <t xml:space="preserve"> </t>
    <phoneticPr fontId="2"/>
  </si>
  <si>
    <t>Y</t>
  </si>
  <si>
    <t>template</t>
    <phoneticPr fontId="2"/>
  </si>
  <si>
    <t>);</t>
    <phoneticPr fontId="2"/>
  </si>
  <si>
    <t>SET</t>
  </si>
  <si>
    <t>) SELECT</t>
    <phoneticPr fontId="2"/>
  </si>
  <si>
    <t>WHERE</t>
  </si>
  <si>
    <t>SET CHARACTER_SET_DATABASE = UTF8;</t>
  </si>
  <si>
    <t>WHERE</t>
    <phoneticPr fontId="2"/>
  </si>
  <si>
    <t xml:space="preserve">WHERE NOT EXISTS ( SELECT RECORD_ID </t>
    <phoneticPr fontId="2"/>
  </si>
  <si>
    <t>;</t>
    <phoneticPr fontId="2"/>
  </si>
  <si>
    <t>COMMIT;</t>
  </si>
  <si>
    <t>,`RECORD_VOID_FLAG` char(1) NOT NULL DEFAULT '' COMMENT 'レコード無効フラグ  '''': 有効フラグ、 1:無効フラグ'</t>
    <phoneticPr fontId="2"/>
  </si>
  <si>
    <t>,`RECORD_UPDATE_TIME` time NOT NULL COMMENT 'レコード更新時間/トリガーにより更新'</t>
    <phoneticPr fontId="2"/>
  </si>
  <si>
    <t>,`RECORD_UPDATE_DATE` date NOT NULL COMMENT 'レコード更新日付/トリガーにより更新'</t>
    <phoneticPr fontId="2"/>
  </si>
  <si>
    <t>,`RECORD_CREATE_TIME` time NOT NULL COMMENT 'レコード作成時間'</t>
    <phoneticPr fontId="2"/>
  </si>
  <si>
    <t>,`RECORD_CREATE_DATE` date NOT NULL COMMENT 'レコード作成日付'</t>
    <phoneticPr fontId="2"/>
  </si>
  <si>
    <t>`RECORD_ID` bigint NOT NULL AUTO_INCREMENT COMMENT 'レコードID'</t>
    <phoneticPr fontId="2"/>
  </si>
  <si>
    <t>@1</t>
    <phoneticPr fontId="2"/>
  </si>
  <si>
    <t>@2</t>
  </si>
  <si>
    <t>@3</t>
  </si>
  <si>
    <t>@4</t>
  </si>
  <si>
    <t>@5</t>
  </si>
  <si>
    <t>@6</t>
  </si>
  <si>
    <t>@7</t>
  </si>
  <si>
    <t>@8</t>
  </si>
  <si>
    <t>int</t>
    <phoneticPr fontId="2"/>
  </si>
  <si>
    <t>プリセットメニューマスタに、プリセットボタンレイアウト名称を追加</t>
    <rPh sb="30" eb="32">
      <t>ツイカ</t>
    </rPh>
    <phoneticPr fontId="2"/>
  </si>
  <si>
    <t>Thanh Nguyên</t>
    <phoneticPr fontId="2"/>
  </si>
  <si>
    <t>特売マスタ</t>
    <rPh sb="0" eb="2">
      <t>トクバイ</t>
    </rPh>
    <phoneticPr fontId="1"/>
  </si>
  <si>
    <t>企画マスタ</t>
    <rPh sb="0" eb="2">
      <t>キカク</t>
    </rPh>
    <phoneticPr fontId="1"/>
  </si>
  <si>
    <t>Ｐ003(POP棚番情報送付データ)</t>
  </si>
  <si>
    <t>マスタ連携</t>
    <rPh sb="3" eb="5">
      <t>レンケイ</t>
    </rPh>
    <phoneticPr fontId="2"/>
  </si>
  <si>
    <t>マスタ連携</t>
    <phoneticPr fontId="2"/>
  </si>
  <si>
    <t>Ｐ001_yyyymmdd.csv</t>
  </si>
  <si>
    <t>Ｐ003_yyyymmdd.csv</t>
  </si>
  <si>
    <t>ＰＬＵメンテ</t>
    <phoneticPr fontId="2"/>
  </si>
  <si>
    <t>Replica_Kasumi</t>
    <phoneticPr fontId="2"/>
  </si>
  <si>
    <t>処理区分</t>
    <rPh sb="0" eb="2">
      <t>ショリ</t>
    </rPh>
    <rPh sb="2" eb="4">
      <t>クブン</t>
    </rPh>
    <phoneticPr fontId="1"/>
  </si>
  <si>
    <t>商品コード</t>
    <rPh sb="0" eb="2">
      <t>ショウヒン</t>
    </rPh>
    <phoneticPr fontId="1"/>
  </si>
  <si>
    <t>店舗コード</t>
    <rPh sb="0" eb="2">
      <t>テンポ</t>
    </rPh>
    <phoneticPr fontId="1"/>
  </si>
  <si>
    <t>税種別コード</t>
    <rPh sb="0" eb="1">
      <t>ゼイ</t>
    </rPh>
    <rPh sb="1" eb="3">
      <t>シュベツ</t>
    </rPh>
    <phoneticPr fontId="1"/>
  </si>
  <si>
    <t>単品名称</t>
    <rPh sb="0" eb="2">
      <t>タンピン</t>
    </rPh>
    <rPh sb="2" eb="4">
      <t>メイショウ</t>
    </rPh>
    <phoneticPr fontId="1"/>
  </si>
  <si>
    <t>レシート記述名</t>
    <rPh sb="4" eb="6">
      <t>キジュツ</t>
    </rPh>
    <rPh sb="6" eb="7">
      <t>メイ</t>
    </rPh>
    <phoneticPr fontId="1"/>
  </si>
  <si>
    <t>店舗階層コード</t>
    <rPh sb="0" eb="2">
      <t>テンポ</t>
    </rPh>
    <rPh sb="2" eb="4">
      <t>カイソウ</t>
    </rPh>
    <phoneticPr fontId="1"/>
  </si>
  <si>
    <t>商品／非商品識別コード</t>
    <rPh sb="0" eb="2">
      <t>ショウヒン</t>
    </rPh>
    <rPh sb="3" eb="4">
      <t>ヒ</t>
    </rPh>
    <rPh sb="4" eb="6">
      <t>ショウヒン</t>
    </rPh>
    <rPh sb="6" eb="8">
      <t>シキベツ</t>
    </rPh>
    <phoneticPr fontId="1"/>
  </si>
  <si>
    <t>限定商品グループ</t>
    <rPh sb="0" eb="2">
      <t>ゲンテイ</t>
    </rPh>
    <rPh sb="2" eb="4">
      <t>ショウヒン</t>
    </rPh>
    <phoneticPr fontId="1"/>
  </si>
  <si>
    <t>商品返品場所</t>
    <rPh sb="0" eb="2">
      <t>ショウヒン</t>
    </rPh>
    <rPh sb="2" eb="4">
      <t>ヘンピン</t>
    </rPh>
    <rPh sb="4" eb="6">
      <t>バショ</t>
    </rPh>
    <phoneticPr fontId="1"/>
  </si>
  <si>
    <t>単品販売単位</t>
    <rPh sb="0" eb="2">
      <t>タンピン</t>
    </rPh>
    <rPh sb="2" eb="4">
      <t>ハンバイ</t>
    </rPh>
    <rPh sb="4" eb="6">
      <t>タンイ</t>
    </rPh>
    <phoneticPr fontId="1"/>
  </si>
  <si>
    <t>最小販売単位</t>
    <rPh sb="0" eb="2">
      <t>サイショウ</t>
    </rPh>
    <rPh sb="2" eb="4">
      <t>ハンバイ</t>
    </rPh>
    <rPh sb="4" eb="6">
      <t>タンイ</t>
    </rPh>
    <phoneticPr fontId="1"/>
  </si>
  <si>
    <t>値引識別フラグ</t>
    <rPh sb="0" eb="2">
      <t>ネビ</t>
    </rPh>
    <rPh sb="2" eb="4">
      <t>シキベツ</t>
    </rPh>
    <phoneticPr fontId="1"/>
  </si>
  <si>
    <t>数量登録必須フラグ</t>
    <rPh sb="0" eb="2">
      <t>スウリョウ</t>
    </rPh>
    <rPh sb="2" eb="4">
      <t>トウロク</t>
    </rPh>
    <rPh sb="4" eb="6">
      <t>ヒッス</t>
    </rPh>
    <phoneticPr fontId="1"/>
  </si>
  <si>
    <t>数量登録可否フラグ</t>
    <rPh sb="0" eb="2">
      <t>スウリョウ</t>
    </rPh>
    <rPh sb="2" eb="4">
      <t>トウロク</t>
    </rPh>
    <rPh sb="4" eb="6">
      <t>カヒ</t>
    </rPh>
    <phoneticPr fontId="1"/>
  </si>
  <si>
    <t>販売時の承認フラグ</t>
    <rPh sb="0" eb="2">
      <t>ハンバイ</t>
    </rPh>
    <rPh sb="2" eb="3">
      <t>ジ</t>
    </rPh>
    <rPh sb="4" eb="6">
      <t>ショウニン</t>
    </rPh>
    <phoneticPr fontId="1"/>
  </si>
  <si>
    <t>手入力価格変更フラグ</t>
    <rPh sb="0" eb="1">
      <t>テ</t>
    </rPh>
    <rPh sb="1" eb="3">
      <t>ニュウリョク</t>
    </rPh>
    <rPh sb="3" eb="5">
      <t>カカク</t>
    </rPh>
    <rPh sb="5" eb="7">
      <t>ヘンコウ</t>
    </rPh>
    <phoneticPr fontId="1"/>
  </si>
  <si>
    <t>商品特定フラグ</t>
    <rPh sb="0" eb="2">
      <t>ショウヒン</t>
    </rPh>
    <rPh sb="2" eb="4">
      <t>トクテイ</t>
    </rPh>
    <phoneticPr fontId="1"/>
  </si>
  <si>
    <t>フードスタンプ対象</t>
    <rPh sb="7" eb="9">
      <t>タイショウ</t>
    </rPh>
    <phoneticPr fontId="1"/>
  </si>
  <si>
    <t>ＷＩＣ有効商品フラグ</t>
    <rPh sb="3" eb="5">
      <t>ユウコウ</t>
    </rPh>
    <rPh sb="5" eb="7">
      <t>ショウヒン</t>
    </rPh>
    <phoneticPr fontId="1"/>
  </si>
  <si>
    <t>在庫コード</t>
    <rPh sb="0" eb="2">
      <t>ザイコ</t>
    </rPh>
    <phoneticPr fontId="1"/>
  </si>
  <si>
    <t>売価</t>
    <rPh sb="0" eb="2">
      <t>バイカ</t>
    </rPh>
    <phoneticPr fontId="1"/>
  </si>
  <si>
    <t>単位原価</t>
    <rPh sb="0" eb="2">
      <t>タンイ</t>
    </rPh>
    <rPh sb="2" eb="4">
      <t>ゲンカ</t>
    </rPh>
    <phoneticPr fontId="1"/>
  </si>
  <si>
    <t>最低取引額</t>
    <rPh sb="0" eb="2">
      <t>サイテイ</t>
    </rPh>
    <rPh sb="2" eb="4">
      <t>トリヒキ</t>
    </rPh>
    <rPh sb="4" eb="5">
      <t>ガク</t>
    </rPh>
    <phoneticPr fontId="1"/>
  </si>
  <si>
    <t>最高取引額</t>
    <rPh sb="0" eb="2">
      <t>サイコウ</t>
    </rPh>
    <rPh sb="2" eb="4">
      <t>トリヒキ</t>
    </rPh>
    <rPh sb="4" eb="5">
      <t>ガク</t>
    </rPh>
    <phoneticPr fontId="1"/>
  </si>
  <si>
    <t>商品の売上場所</t>
    <rPh sb="0" eb="2">
      <t>ショウヒン</t>
    </rPh>
    <rPh sb="3" eb="5">
      <t>ウリアゲ</t>
    </rPh>
    <rPh sb="5" eb="7">
      <t>バショ</t>
    </rPh>
    <phoneticPr fontId="1"/>
  </si>
  <si>
    <t>商品移動</t>
    <rPh sb="0" eb="2">
      <t>ショウヒン</t>
    </rPh>
    <rPh sb="2" eb="4">
      <t>イドウ</t>
    </rPh>
    <phoneticPr fontId="1"/>
  </si>
  <si>
    <t>ＶＦＤ表示名称</t>
    <rPh sb="3" eb="5">
      <t>ヒョウジ</t>
    </rPh>
    <rPh sb="5" eb="7">
      <t>メイショウ</t>
    </rPh>
    <phoneticPr fontId="1"/>
  </si>
  <si>
    <t>レシート記述名称２</t>
    <rPh sb="4" eb="6">
      <t>キジュツ</t>
    </rPh>
    <rPh sb="6" eb="8">
      <t>メイショウ</t>
    </rPh>
    <phoneticPr fontId="1"/>
  </si>
  <si>
    <t>レシート記述名称３</t>
    <rPh sb="4" eb="6">
      <t>キジュツ</t>
    </rPh>
    <rPh sb="6" eb="8">
      <t>メイショウ</t>
    </rPh>
    <phoneticPr fontId="1"/>
  </si>
  <si>
    <t>レシート記述名称４</t>
    <rPh sb="4" eb="6">
      <t>キジュツ</t>
    </rPh>
    <rPh sb="6" eb="8">
      <t>メイショウ</t>
    </rPh>
    <phoneticPr fontId="1"/>
  </si>
  <si>
    <t>価格算出方法</t>
    <rPh sb="0" eb="2">
      <t>カカク</t>
    </rPh>
    <rPh sb="2" eb="4">
      <t>サンシュツ</t>
    </rPh>
    <rPh sb="4" eb="6">
      <t>ホウホウ</t>
    </rPh>
    <phoneticPr fontId="1"/>
  </si>
  <si>
    <t>組合せ成立数量</t>
    <rPh sb="0" eb="2">
      <t>クミア</t>
    </rPh>
    <rPh sb="3" eb="5">
      <t>セイリツ</t>
    </rPh>
    <rPh sb="5" eb="7">
      <t>スウリョウ</t>
    </rPh>
    <phoneticPr fontId="1"/>
  </si>
  <si>
    <t>組合せ成立金額</t>
    <rPh sb="0" eb="2">
      <t>クミアワ</t>
    </rPh>
    <rPh sb="3" eb="5">
      <t>セイリツ</t>
    </rPh>
    <rPh sb="5" eb="7">
      <t>キンガク</t>
    </rPh>
    <phoneticPr fontId="1"/>
  </si>
  <si>
    <t>オペレータによる金額入力</t>
    <rPh sb="8" eb="10">
      <t>キンガク</t>
    </rPh>
    <rPh sb="10" eb="12">
      <t>ニュウリョク</t>
    </rPh>
    <phoneticPr fontId="1"/>
  </si>
  <si>
    <t>販売単位価格</t>
    <rPh sb="0" eb="2">
      <t>ハンバイ</t>
    </rPh>
    <rPh sb="2" eb="4">
      <t>タンイ</t>
    </rPh>
    <rPh sb="4" eb="6">
      <t>カカク</t>
    </rPh>
    <phoneticPr fontId="1"/>
  </si>
  <si>
    <t>返品価格</t>
    <rPh sb="0" eb="2">
      <t>ヘンピン</t>
    </rPh>
    <rPh sb="2" eb="4">
      <t>カカク</t>
    </rPh>
    <phoneticPr fontId="1"/>
  </si>
  <si>
    <t>価格グループ</t>
    <rPh sb="0" eb="2">
      <t>カカク</t>
    </rPh>
    <phoneticPr fontId="1"/>
  </si>
  <si>
    <t>企画番号</t>
    <rPh sb="0" eb="2">
      <t>キカク</t>
    </rPh>
    <rPh sb="2" eb="4">
      <t>バンゴウ</t>
    </rPh>
    <phoneticPr fontId="1"/>
  </si>
  <si>
    <t>業態</t>
    <rPh sb="0" eb="2">
      <t>ギョウタイ</t>
    </rPh>
    <phoneticPr fontId="1"/>
  </si>
  <si>
    <t>グループ</t>
  </si>
  <si>
    <t>部門</t>
    <rPh sb="0" eb="2">
      <t>ブモン</t>
    </rPh>
    <phoneticPr fontId="1"/>
  </si>
  <si>
    <t>クラス</t>
  </si>
  <si>
    <t>品群</t>
    <rPh sb="0" eb="1">
      <t>ヒンシュ</t>
    </rPh>
    <rPh sb="1" eb="2">
      <t>グン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</si>
  <si>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</si>
  <si>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</si>
  <si>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商品階層８</t>
    <rPh sb="0" eb="2">
      <t>ショウヒン</t>
    </rPh>
    <rPh sb="2" eb="4">
      <t>カイソウ</t>
    </rPh>
    <phoneticPr fontId="1"/>
  </si>
  <si>
    <t>商品階層９</t>
    <rPh sb="0" eb="2">
      <t>ショウヒン</t>
    </rPh>
    <rPh sb="2" eb="4">
      <t>カイソウ</t>
    </rPh>
    <phoneticPr fontId="1"/>
  </si>
  <si>
    <t>プロモーション開始時間</t>
    <rPh sb="7" eb="10">
      <t>カイシジ</t>
    </rPh>
    <rPh sb="10" eb="11">
      <t>カン</t>
    </rPh>
    <phoneticPr fontId="1"/>
  </si>
  <si>
    <t>プロモーション終了時間</t>
    <rPh sb="7" eb="10">
      <t>シュウリョウジ</t>
    </rPh>
    <rPh sb="10" eb="11">
      <t>カン</t>
    </rPh>
    <phoneticPr fontId="1"/>
  </si>
  <si>
    <t>プロモーション中の価格計算</t>
    <rPh sb="7" eb="8">
      <t>チュウ</t>
    </rPh>
    <rPh sb="9" eb="11">
      <t>カカク</t>
    </rPh>
    <rPh sb="11" eb="13">
      <t>ケイサン</t>
    </rPh>
    <phoneticPr fontId="1"/>
  </si>
  <si>
    <t>プロモーション契約数</t>
    <rPh sb="7" eb="10">
      <t>ケイヤクスウ</t>
    </rPh>
    <phoneticPr fontId="1"/>
  </si>
  <si>
    <t>プロモーション契約価格</t>
    <rPh sb="7" eb="11">
      <t>ケイヤクカカク</t>
    </rPh>
    <phoneticPr fontId="1"/>
  </si>
  <si>
    <t>プロモーション単価</t>
    <rPh sb="7" eb="9">
      <t>タンカ</t>
    </rPh>
    <phoneticPr fontId="1"/>
  </si>
  <si>
    <t>プロモーション申込</t>
    <rPh sb="7" eb="9">
      <t>モウシコミ</t>
    </rPh>
    <phoneticPr fontId="1"/>
  </si>
  <si>
    <t>プロモーション費用</t>
    <rPh sb="7" eb="9">
      <t>ヒヨウ</t>
    </rPh>
    <phoneticPr fontId="1"/>
  </si>
  <si>
    <t>プロモーション貯金</t>
    <rPh sb="7" eb="9">
      <t>チョキン</t>
    </rPh>
    <phoneticPr fontId="1"/>
  </si>
  <si>
    <t>ＶＡＴコード</t>
  </si>
  <si>
    <t>Ｇ／Ｌ口座ナンバー</t>
    <rPh sb="3" eb="5">
      <t>コウザ</t>
    </rPh>
    <phoneticPr fontId="1"/>
  </si>
  <si>
    <t>商品グループコード</t>
    <rPh sb="0" eb="2">
      <t>ショウヒン</t>
    </rPh>
    <phoneticPr fontId="1"/>
  </si>
  <si>
    <t>非商品フラグ</t>
    <rPh sb="0" eb="3">
      <t>ヒショウヒン</t>
    </rPh>
    <phoneticPr fontId="1"/>
  </si>
  <si>
    <t>プロモーション割引</t>
    <rPh sb="7" eb="9">
      <t>ワリビキ</t>
    </rPh>
    <phoneticPr fontId="1"/>
  </si>
  <si>
    <t>契約申込</t>
    <rPh sb="0" eb="2">
      <t>ケイヤク</t>
    </rPh>
    <rPh sb="2" eb="4">
      <t>モウシコミ</t>
    </rPh>
    <phoneticPr fontId="1"/>
  </si>
  <si>
    <t>契約値引</t>
    <rPh sb="0" eb="2">
      <t>ケイヤク</t>
    </rPh>
    <rPh sb="2" eb="4">
      <t>ネビ</t>
    </rPh>
    <phoneticPr fontId="1"/>
  </si>
  <si>
    <t>契約最高数量</t>
    <rPh sb="0" eb="2">
      <t>ケイヤク</t>
    </rPh>
    <rPh sb="2" eb="4">
      <t>サイコウ</t>
    </rPh>
    <rPh sb="4" eb="6">
      <t>スウリョウ</t>
    </rPh>
    <phoneticPr fontId="1"/>
  </si>
  <si>
    <t>プロモーション最高価格</t>
    <rPh sb="7" eb="11">
      <t>サイコウカカク</t>
    </rPh>
    <phoneticPr fontId="1"/>
  </si>
  <si>
    <t>値引商品</t>
    <rPh sb="0" eb="2">
      <t>ネビキ</t>
    </rPh>
    <rPh sb="2" eb="4">
      <t>ショウヒン</t>
    </rPh>
    <phoneticPr fontId="1"/>
  </si>
  <si>
    <t>購買制限グループ</t>
    <rPh sb="0" eb="2">
      <t>コウバイ</t>
    </rPh>
    <rPh sb="2" eb="4">
      <t>セイゲン</t>
    </rPh>
    <phoneticPr fontId="1"/>
  </si>
  <si>
    <t>テナントフラグ</t>
  </si>
  <si>
    <t>ＰＬＵ属性の有無</t>
    <rPh sb="3" eb="5">
      <t>ゾクセイ</t>
    </rPh>
    <rPh sb="6" eb="8">
      <t>ウム</t>
    </rPh>
    <phoneticPr fontId="1"/>
  </si>
  <si>
    <t>取引遅延のロケーションコード</t>
    <rPh sb="0" eb="2">
      <t>トリヒキ</t>
    </rPh>
    <rPh sb="2" eb="4">
      <t>チエン</t>
    </rPh>
    <phoneticPr fontId="1"/>
  </si>
  <si>
    <t>支払制限フラグ</t>
    <rPh sb="0" eb="2">
      <t>シハライ</t>
    </rPh>
    <rPh sb="2" eb="4">
      <t>セイゲン</t>
    </rPh>
    <phoneticPr fontId="1"/>
  </si>
  <si>
    <t>割引コード</t>
    <rPh sb="0" eb="2">
      <t>ワリビキ</t>
    </rPh>
    <phoneticPr fontId="1"/>
  </si>
  <si>
    <t>会員価格</t>
    <rPh sb="0" eb="2">
      <t>カイイン</t>
    </rPh>
    <rPh sb="2" eb="4">
      <t>カカク</t>
    </rPh>
    <phoneticPr fontId="1"/>
  </si>
  <si>
    <t>単品値引除外</t>
    <rPh sb="0" eb="2">
      <t>タンピン</t>
    </rPh>
    <rPh sb="2" eb="4">
      <t>ネビキ</t>
    </rPh>
    <rPh sb="4" eb="6">
      <t>ジョガイ</t>
    </rPh>
    <phoneticPr fontId="1"/>
  </si>
  <si>
    <t>小計マニュアル値引除外</t>
    <rPh sb="0" eb="2">
      <t>ショウケイ</t>
    </rPh>
    <rPh sb="7" eb="9">
      <t>ネビキ</t>
    </rPh>
    <rPh sb="9" eb="11">
      <t>ジョガイ</t>
    </rPh>
    <phoneticPr fontId="1"/>
  </si>
  <si>
    <t>会員価格方式</t>
    <rPh sb="0" eb="2">
      <t>カイイン</t>
    </rPh>
    <rPh sb="2" eb="4">
      <t>カカク</t>
    </rPh>
    <rPh sb="4" eb="6">
      <t>ホウシキ</t>
    </rPh>
    <phoneticPr fontId="1"/>
  </si>
  <si>
    <t>仕入数</t>
    <rPh sb="0" eb="2">
      <t>シイレ</t>
    </rPh>
    <rPh sb="2" eb="3">
      <t>スウ</t>
    </rPh>
    <phoneticPr fontId="1"/>
  </si>
  <si>
    <t>在庫数</t>
    <rPh sb="0" eb="3">
      <t>ザイコスウ</t>
    </rPh>
    <phoneticPr fontId="1"/>
  </si>
  <si>
    <t>登録日</t>
    <rPh sb="0" eb="3">
      <t>トウロクビ</t>
    </rPh>
    <phoneticPr fontId="1"/>
  </si>
  <si>
    <t>最終売上日</t>
    <rPh sb="0" eb="2">
      <t>サイシュウ</t>
    </rPh>
    <rPh sb="2" eb="5">
      <t>ウリアゲビ</t>
    </rPh>
    <phoneticPr fontId="1"/>
  </si>
  <si>
    <t>定価</t>
    <rPh sb="0" eb="2">
      <t>テイカ</t>
    </rPh>
    <phoneticPr fontId="1"/>
  </si>
  <si>
    <t>スキャンコード</t>
  </si>
  <si>
    <t>ＰＬＵタイプ</t>
  </si>
  <si>
    <t>クーポンコード</t>
  </si>
  <si>
    <t>メーカ発行クーポンコード</t>
    <rPh sb="3" eb="5">
      <t>ハッコウ</t>
    </rPh>
    <phoneticPr fontId="1"/>
  </si>
  <si>
    <t>商品コードの識別</t>
    <rPh sb="0" eb="2">
      <t>ショウヒン</t>
    </rPh>
    <rPh sb="6" eb="8">
      <t>シキベツ</t>
    </rPh>
    <phoneticPr fontId="1"/>
  </si>
  <si>
    <t>商品コード</t>
    <rPh sb="0" eb="2">
      <t>ショウヒン</t>
    </rPh>
    <phoneticPr fontId="1"/>
  </si>
  <si>
    <t>テナントコード</t>
  </si>
  <si>
    <t>ＰＬＵ属性</t>
    <rPh sb="3" eb="5">
      <t>ゾクセイ</t>
    </rPh>
    <phoneticPr fontId="1"/>
  </si>
  <si>
    <t>作成日</t>
    <rPh sb="0" eb="3">
      <t>サクセイビ</t>
    </rPh>
    <phoneticPr fontId="1"/>
  </si>
  <si>
    <t>処理日</t>
    <rPh sb="0" eb="2">
      <t>ショリ</t>
    </rPh>
    <rPh sb="2" eb="3">
      <t>ビ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</si>
  <si>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</si>
  <si>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</si>
  <si>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PRCS_TYP</t>
  </si>
  <si>
    <t>PLUID</t>
  </si>
  <si>
    <t>STR_ID</t>
  </si>
  <si>
    <t>TAXBLTY_CD</t>
  </si>
  <si>
    <t>DSPL_DESCR</t>
  </si>
  <si>
    <t>DCPT_DESCR</t>
  </si>
  <si>
    <t>STR_HIER_ID</t>
  </si>
  <si>
    <t>LN_ITM_CD</t>
  </si>
  <si>
    <t>SLS_RSTRCT_GRP</t>
  </si>
  <si>
    <t>DFLT_RTN_LOC_ID</t>
  </si>
  <si>
    <t>UOM</t>
  </si>
  <si>
    <t>UNT_QTY</t>
  </si>
  <si>
    <t>MD_FG</t>
  </si>
  <si>
    <t>QTY_RQED_FG</t>
  </si>
  <si>
    <t>QTY_ALLOWD</t>
  </si>
  <si>
    <t>SLS_AURH_FG</t>
  </si>
  <si>
    <t>MNL_PRC_LVL</t>
  </si>
  <si>
    <t>SRLZD_MDSE_FG</t>
  </si>
  <si>
    <t>FD_STMP_FG</t>
  </si>
  <si>
    <t>WIC_FG</t>
  </si>
  <si>
    <t>PERPET_INV_CD</t>
  </si>
  <si>
    <t>RTL_PRC NV_CD</t>
  </si>
  <si>
    <t>UNT_CST</t>
  </si>
  <si>
    <t>MIN_MDSE_AMT</t>
  </si>
  <si>
    <t>MAX_MDSE_AMT</t>
  </si>
  <si>
    <t>DFLT_SLS_LOC_ID</t>
  </si>
  <si>
    <t>ITM_MVMNT_FG</t>
  </si>
  <si>
    <t>RCPT_DESCR_1</t>
  </si>
  <si>
    <t>RCPT_DESCR_2</t>
  </si>
  <si>
    <t>RCPT_DESCR_3</t>
  </si>
  <si>
    <t>RCPT_DESCR_4</t>
  </si>
  <si>
    <t>PRC_MTHD</t>
  </si>
  <si>
    <t>DEAL_QTY</t>
  </si>
  <si>
    <t>DEAL_PRC</t>
  </si>
  <si>
    <t>PRC_RQRD_FG</t>
  </si>
  <si>
    <t>UNT_PRC</t>
  </si>
  <si>
    <t>RTN_PRC</t>
  </si>
  <si>
    <t>PRC_GRP_ID</t>
  </si>
  <si>
    <t>EVENT_ID</t>
  </si>
  <si>
    <t>MDSE_STRC_NBR1</t>
  </si>
  <si>
    <t>MDSE_STRC_NBR2</t>
  </si>
  <si>
    <t>MDSE_STRC_NBR3</t>
  </si>
  <si>
    <t>MDSE_STRC_NBR4</t>
  </si>
  <si>
    <t>MDSE_STRC_NBR5</t>
  </si>
  <si>
    <t>MDSE_STRC_NBR6</t>
  </si>
  <si>
    <t>MDSE_STRC_NBR7</t>
  </si>
  <si>
    <t>MDSE_STRC_NBR8</t>
  </si>
  <si>
    <t>MDSE_STRC_NBR9</t>
  </si>
  <si>
    <t>PROMO_BGN_TS</t>
  </si>
  <si>
    <t>PROMO_END_TS</t>
  </si>
  <si>
    <t>PROMO_PRC_MTHD_</t>
  </si>
  <si>
    <t>PROMO_DEAL_QTY</t>
  </si>
  <si>
    <t>PROMO_DEAL_PRC</t>
  </si>
  <si>
    <t>PROMO_UNT_PRC</t>
  </si>
  <si>
    <t>PROMO_EXCL_OFFER</t>
  </si>
  <si>
    <t>PROMO_EXPN_FG</t>
  </si>
  <si>
    <t>PROMO_GL_ACCT</t>
  </si>
  <si>
    <t>VAT_CD</t>
  </si>
  <si>
    <t>GL_ACCT_ID</t>
  </si>
  <si>
    <t>ITM_GRP_CD</t>
  </si>
  <si>
    <t>NON_MDSE_FG</t>
  </si>
  <si>
    <t>PROMO_EXCL_DISC</t>
  </si>
  <si>
    <t>DEAL_EXCL_OFFER</t>
  </si>
  <si>
    <t>DEAL_EXCL_DISC</t>
  </si>
  <si>
    <t>DEAL_MAX_QTY</t>
  </si>
  <si>
    <t>PROMO_DEAL_MAX_QTY</t>
  </si>
  <si>
    <t>LINK_ITM_FG</t>
  </si>
  <si>
    <t>PRCH_RSTRCT_GRP_ID</t>
  </si>
  <si>
    <t>STR_FG</t>
  </si>
  <si>
    <t>PLU_QUAL_CD</t>
  </si>
  <si>
    <t>DFLT_DP_LOC_ID</t>
  </si>
  <si>
    <t>TND_RSTRCT_FG</t>
  </si>
  <si>
    <t>DISC_CD</t>
  </si>
  <si>
    <t>GSFD_MBR_PRC</t>
  </si>
  <si>
    <t>GSFD_MINL_DISC_ITEM_EXCL_FG</t>
  </si>
  <si>
    <t>GSFD_MINL_DISC_TRAN_EXCL_FG</t>
  </si>
  <si>
    <t>MBR_MTHD</t>
  </si>
  <si>
    <t>RCVD_QTY</t>
  </si>
  <si>
    <t>INV_QTY</t>
  </si>
  <si>
    <t>ENTRY_DY</t>
  </si>
  <si>
    <t>LST_SLS_DY</t>
  </si>
  <si>
    <t>REG_PRC</t>
  </si>
  <si>
    <t>SCAN_ID</t>
  </si>
  <si>
    <t>SCAN_TYP</t>
  </si>
  <si>
    <t>COUP_FAM_CD</t>
  </si>
  <si>
    <t>MFG_ID</t>
  </si>
  <si>
    <t>ACCEL_ITM_FG</t>
  </si>
  <si>
    <t>ITM_ID</t>
  </si>
  <si>
    <t>TNT_ID</t>
  </si>
  <si>
    <t>PLU_QUAL_TYP2</t>
  </si>
  <si>
    <t>CRT_DT</t>
  </si>
  <si>
    <t>PRCS_DT</t>
  </si>
  <si>
    <t>RCV_DT</t>
  </si>
  <si>
    <t>PRCS_FG</t>
  </si>
  <si>
    <t>String</t>
  </si>
  <si>
    <t>Long</t>
  </si>
  <si>
    <t>Integer</t>
  </si>
  <si>
    <t>Double</t>
  </si>
  <si>
    <t>Currency</t>
  </si>
  <si>
    <t>Long</t>
    <phoneticPr fontId="2"/>
  </si>
  <si>
    <t>Integer</t>
    <phoneticPr fontId="2"/>
  </si>
  <si>
    <t>Ａ：登録　Ｕ：更新　Ｄ：削除</t>
    <rPh sb="2" eb="4">
      <t>トウロク</t>
    </rPh>
    <rPh sb="7" eb="9">
      <t>コウシン</t>
    </rPh>
    <rPh sb="12" eb="14">
      <t>サクジョ</t>
    </rPh>
    <phoneticPr fontId="1"/>
  </si>
  <si>
    <t>０は不可</t>
    <rPh sb="2" eb="4">
      <t>フカ</t>
    </rPh>
    <phoneticPr fontId="1"/>
  </si>
  <si>
    <t>例　１：外税　２：内税　３：非課税　（ＧＳの税設定で指定したものと同じものを入れる）</t>
    <rPh sb="0" eb="1">
      <t>レイ</t>
    </rPh>
    <rPh sb="4" eb="5">
      <t>ソト</t>
    </rPh>
    <rPh sb="5" eb="6">
      <t>ゼイ</t>
    </rPh>
    <rPh sb="9" eb="11">
      <t>ウチゼイ</t>
    </rPh>
    <rPh sb="14" eb="15">
      <t>ヒ</t>
    </rPh>
    <rPh sb="15" eb="17">
      <t>カゼイ</t>
    </rPh>
    <rPh sb="22" eb="23">
      <t>ゼイ</t>
    </rPh>
    <rPh sb="23" eb="25">
      <t>セッテイ</t>
    </rPh>
    <rPh sb="26" eb="28">
      <t>シテイ</t>
    </rPh>
    <rPh sb="33" eb="34">
      <t>オナ</t>
    </rPh>
    <rPh sb="38" eb="39">
      <t>イ</t>
    </rPh>
    <phoneticPr fontId="1"/>
  </si>
  <si>
    <t>日本語２０文字以内</t>
    <rPh sb="0" eb="3">
      <t>ニホンゴ</t>
    </rPh>
    <rPh sb="5" eb="7">
      <t>モジ</t>
    </rPh>
    <rPh sb="7" eb="9">
      <t>イナイ</t>
    </rPh>
    <phoneticPr fontId="1"/>
  </si>
  <si>
    <t>レシートに印字される名称  日本語１0文字以内</t>
    <rPh sb="5" eb="7">
      <t>インジ</t>
    </rPh>
    <rPh sb="10" eb="12">
      <t>メイショウ</t>
    </rPh>
    <rPh sb="14" eb="16">
      <t>ニホン</t>
    </rPh>
    <rPh sb="16" eb="17">
      <t>ゴ</t>
    </rPh>
    <rPh sb="19" eb="21">
      <t>モジ</t>
    </rPh>
    <rPh sb="21" eb="23">
      <t>イナイ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</si>
  <si>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</si>
  <si>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現在０固定 ０：通常商品 １：売上除外商品 ２：非商品 ３：非商品＆売上除外商品</t>
    <rPh sb="0" eb="2">
      <t>ゲンザイ</t>
    </rPh>
    <rPh sb="3" eb="5">
      <t>コテイ</t>
    </rPh>
    <rPh sb="8" eb="10">
      <t>ツウジョウ</t>
    </rPh>
    <rPh sb="10" eb="12">
      <t>ショウヒン</t>
    </rPh>
    <rPh sb="15" eb="17">
      <t>ウリアゲ</t>
    </rPh>
    <rPh sb="17" eb="19">
      <t>ジョガイ</t>
    </rPh>
    <rPh sb="19" eb="21">
      <t>ショウヒン</t>
    </rPh>
    <rPh sb="24" eb="25">
      <t>ヒ</t>
    </rPh>
    <rPh sb="25" eb="27">
      <t>ショウヒン</t>
    </rPh>
    <rPh sb="30" eb="33">
      <t>ヒショウヒン</t>
    </rPh>
    <rPh sb="34" eb="36">
      <t>ウリアゲ</t>
    </rPh>
    <rPh sb="36" eb="38">
      <t>ジョガイ</t>
    </rPh>
    <rPh sb="38" eb="40">
      <t>ショウヒン</t>
    </rPh>
    <phoneticPr fontId="1"/>
  </si>
  <si>
    <t>現在未使用  Ｎｕｌｌ固定</t>
    <rPh sb="0" eb="2">
      <t>ゲンザイ</t>
    </rPh>
    <rPh sb="2" eb="5">
      <t>ミシヨウ</t>
    </rPh>
    <rPh sb="11" eb="13">
      <t>コテイ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</si>
  <si>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</si>
  <si>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</si>
  <si>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現在未使用  ０固定</t>
    <rPh sb="0" eb="2">
      <t>ゲンザイ</t>
    </rPh>
    <rPh sb="2" eb="5">
      <t>ミシヨウ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</si>
  <si>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</si>
  <si>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商品の原価を設定する。少数第２位まで可</t>
    <rPh sb="0" eb="2">
      <t>ショウヒン</t>
    </rPh>
    <rPh sb="3" eb="5">
      <t>ゲンカ</t>
    </rPh>
    <rPh sb="6" eb="8">
      <t>セッテイ</t>
    </rPh>
    <rPh sb="11" eb="13">
      <t>ショウスウ</t>
    </rPh>
    <rPh sb="13" eb="14">
      <t>ダイ</t>
    </rPh>
    <rPh sb="15" eb="16">
      <t>イ</t>
    </rPh>
    <rPh sb="18" eb="19">
      <t>カ</t>
    </rPh>
    <phoneticPr fontId="1"/>
  </si>
  <si>
    <t>現在未使用  Ｎｕｌｌ固定</t>
    <rPh sb="0" eb="2">
      <t>ゲンザイ</t>
    </rPh>
    <rPh sb="2" eb="5">
      <t>ミシヨウ</t>
    </rPh>
    <rPh sb="11" eb="13">
      <t>コテイ</t>
    </rPh>
    <phoneticPr fontId="1"/>
  </si>
  <si>
    <t>現在未使用  ０固定</t>
  </si>
  <si>
    <t>ＶＦＤに表示される文字  半角２０文字 または 日本語10文字以内</t>
    <rPh sb="4" eb="6">
      <t>ヒョウジ</t>
    </rPh>
    <rPh sb="9" eb="11">
      <t>モジ</t>
    </rPh>
    <rPh sb="13" eb="15">
      <t>ハンカク</t>
    </rPh>
    <rPh sb="17" eb="19">
      <t>モジ</t>
    </rPh>
    <rPh sb="24" eb="27">
      <t>ニホンゴ</t>
    </rPh>
    <rPh sb="27" eb="31">
      <t>１２モジ</t>
    </rPh>
    <rPh sb="31" eb="33">
      <t>イナイ</t>
    </rPh>
    <phoneticPr fontId="1"/>
  </si>
  <si>
    <t>現在未使用  Ｎｕｌｌ固定</t>
  </si>
  <si>
    <t>現在０固定  ０：なし  １：あり</t>
    <rPh sb="0" eb="2">
      <t>ゲンザイ</t>
    </rPh>
    <rPh sb="3" eb="5">
      <t>コテイ</t>
    </rPh>
    <phoneticPr fontId="1"/>
  </si>
  <si>
    <t>売価と同じ</t>
    <rPh sb="0" eb="2">
      <t>バイカ</t>
    </rPh>
    <rPh sb="3" eb="4">
      <t>オナ</t>
    </rPh>
    <phoneticPr fontId="1"/>
  </si>
  <si>
    <t>売価と同じ</t>
    <rPh sb="0" eb="2">
      <t>バイカ</t>
    </rPh>
    <rPh sb="3" eb="4">
      <t>オナ</t>
    </rPh>
    <phoneticPr fontId="1"/>
  </si>
  <si>
    <t>右詰めにし先頭に０を詰める</t>
    <rPh sb="0" eb="1">
      <t>ミギ</t>
    </rPh>
    <rPh sb="1" eb="2">
      <t>ツ</t>
    </rPh>
    <rPh sb="5" eb="7">
      <t>セントウ</t>
    </rPh>
    <rPh sb="10" eb="11">
      <t>ツ</t>
    </rPh>
    <phoneticPr fontId="1"/>
  </si>
  <si>
    <t>右詰めにし先頭に０を詰める</t>
    <rPh sb="0" eb="1">
      <t>ミギ</t>
    </rPh>
    <rPh sb="1" eb="2">
      <t>ツ</t>
    </rPh>
    <rPh sb="5" eb="7">
      <t>セントウ</t>
    </rPh>
    <rPh sb="10" eb="11">
      <t>ツ</t>
    </rPh>
    <phoneticPr fontId="1"/>
  </si>
  <si>
    <t>未使用</t>
    <rPh sb="0" eb="3">
      <t>ミシヨウ</t>
    </rPh>
    <phoneticPr fontId="1"/>
  </si>
  <si>
    <t>現在０固定  ０：商品  １：非商品</t>
    <rPh sb="0" eb="2">
      <t>ゲンザイ</t>
    </rPh>
    <rPh sb="3" eb="5">
      <t>コテイ</t>
    </rPh>
    <rPh sb="9" eb="11">
      <t>ショウヒン</t>
    </rPh>
    <rPh sb="15" eb="16">
      <t>ヒ</t>
    </rPh>
    <rPh sb="16" eb="18">
      <t>ショウヒン</t>
    </rPh>
    <phoneticPr fontId="1"/>
  </si>
  <si>
    <t>現在０固定  ０：テナントなし  １：テナントあり</t>
    <rPh sb="0" eb="2">
      <t>ゲンザイ</t>
    </rPh>
    <rPh sb="3" eb="5">
      <t>コテイ</t>
    </rPh>
    <phoneticPr fontId="1"/>
  </si>
  <si>
    <t>現在０固定  ０：ＰＬＵ属性なし  １：ＰＬＵ属性あり</t>
    <rPh sb="0" eb="2">
      <t>ゲンザイ</t>
    </rPh>
    <rPh sb="3" eb="5">
      <t>コテイ</t>
    </rPh>
    <rPh sb="12" eb="14">
      <t>ゾクセイ</t>
    </rPh>
    <rPh sb="23" eb="25">
      <t>ゾクセイ</t>
    </rPh>
    <phoneticPr fontId="1"/>
  </si>
  <si>
    <t>現在未使用  Ｎull固定</t>
  </si>
  <si>
    <t>会員価格は未使用時は０とする</t>
    <rPh sb="0" eb="2">
      <t>カイイン</t>
    </rPh>
    <rPh sb="2" eb="4">
      <t>カカク</t>
    </rPh>
    <rPh sb="5" eb="6">
      <t>ミ</t>
    </rPh>
    <rPh sb="6" eb="9">
      <t>シヨウジ</t>
    </rPh>
    <phoneticPr fontId="1"/>
  </si>
  <si>
    <t xml:space="preserve"> ０：ﾏﾆｭｱﾙ値引除外しない＋自動値引除外しない１：ﾏﾆｭｱﾙ値引除外（一般対象）＋自動値引除外しない ３：ﾏﾆｭｱﾙ値引除外（一般＆会員対象）＋自動値引除外しない ４：ﾏﾆｭｱﾙ値引除外しない＋自動値引除外 ５：ﾏﾆｭｱﾙ値引（一般）＋自動値引除外 ６：ﾏﾆｭｱﾙ値引除外（一般＆会員）＋自動値引除外</t>
    <rPh sb="8" eb="10">
      <t>ネビキ</t>
    </rPh>
    <rPh sb="10" eb="12">
      <t>ジョガイ</t>
    </rPh>
    <rPh sb="16" eb="18">
      <t>ジドウ</t>
    </rPh>
    <rPh sb="18" eb="20">
      <t>ネビキ</t>
    </rPh>
    <rPh sb="20" eb="22">
      <t>ジョガイ</t>
    </rPh>
    <rPh sb="32" eb="34">
      <t>ネビキ</t>
    </rPh>
    <rPh sb="34" eb="36">
      <t>ジョガイ</t>
    </rPh>
    <rPh sb="37" eb="39">
      <t>イッパン</t>
    </rPh>
    <rPh sb="39" eb="41">
      <t>タイショウ</t>
    </rPh>
    <rPh sb="43" eb="45">
      <t>ジドウ</t>
    </rPh>
    <rPh sb="45" eb="47">
      <t>ネビキ</t>
    </rPh>
    <rPh sb="47" eb="49">
      <t>ジョガイ</t>
    </rPh>
    <rPh sb="60" eb="62">
      <t>ネビキ</t>
    </rPh>
    <rPh sb="62" eb="64">
      <t>ジョガイ</t>
    </rPh>
    <rPh sb="65" eb="67">
      <t>イッパン</t>
    </rPh>
    <rPh sb="68" eb="70">
      <t>カイイン</t>
    </rPh>
    <rPh sb="70" eb="72">
      <t>タイショウ</t>
    </rPh>
    <rPh sb="74" eb="76">
      <t>ジドウ</t>
    </rPh>
    <rPh sb="76" eb="78">
      <t>ネビキ</t>
    </rPh>
    <rPh sb="78" eb="80">
      <t>ジョガイ</t>
    </rPh>
    <rPh sb="91" eb="93">
      <t>ネビキ</t>
    </rPh>
    <rPh sb="93" eb="95">
      <t>ジョガイ</t>
    </rPh>
    <rPh sb="99" eb="101">
      <t>ジドウ</t>
    </rPh>
    <rPh sb="101" eb="103">
      <t>ネビキ</t>
    </rPh>
    <rPh sb="103" eb="105">
      <t>ジョガイ</t>
    </rPh>
    <rPh sb="113" eb="115">
      <t>ネビキ</t>
    </rPh>
    <rPh sb="116" eb="118">
      <t>イッパン</t>
    </rPh>
    <rPh sb="120" eb="122">
      <t>ジドウ</t>
    </rPh>
    <rPh sb="122" eb="124">
      <t>ネビキ</t>
    </rPh>
    <rPh sb="124" eb="126">
      <t>ジョガイ</t>
    </rPh>
    <rPh sb="134" eb="136">
      <t>ネビキ</t>
    </rPh>
    <rPh sb="136" eb="138">
      <t>ジョガイ</t>
    </rPh>
    <rPh sb="139" eb="141">
      <t>イッパン</t>
    </rPh>
    <rPh sb="142" eb="144">
      <t>カイイン</t>
    </rPh>
    <rPh sb="146" eb="148">
      <t>ジドウ</t>
    </rPh>
    <rPh sb="148" eb="150">
      <t>ネビキ</t>
    </rPh>
    <rPh sb="150" eb="152">
      <t>ジョガイ</t>
    </rPh>
    <phoneticPr fontId="1"/>
  </si>
  <si>
    <t>０：対象外  １：一般対象  ３：一般＆会員対象</t>
    <rPh sb="2" eb="5">
      <t>タイショウガイ</t>
    </rPh>
    <rPh sb="9" eb="11">
      <t>イッパン</t>
    </rPh>
    <rPh sb="11" eb="13">
      <t>タイショウ</t>
    </rPh>
    <rPh sb="17" eb="19">
      <t>イッパン</t>
    </rPh>
    <rPh sb="20" eb="22">
      <t>カイイン</t>
    </rPh>
    <rPh sb="22" eb="24">
      <t>タイショウ</t>
    </rPh>
    <phoneticPr fontId="1"/>
  </si>
  <si>
    <t>現在６固定  １：値引額  ２：％値引  ６：新売価</t>
    <rPh sb="0" eb="2">
      <t>ゲンザイ</t>
    </rPh>
    <rPh sb="3" eb="5">
      <t>コテイ</t>
    </rPh>
    <rPh sb="9" eb="11">
      <t>ネビキ</t>
    </rPh>
    <rPh sb="11" eb="12">
      <t>ガク</t>
    </rPh>
    <rPh sb="17" eb="19">
      <t>ネビキ</t>
    </rPh>
    <rPh sb="23" eb="24">
      <t>シン</t>
    </rPh>
    <rPh sb="24" eb="26">
      <t>バイカ</t>
    </rPh>
    <phoneticPr fontId="1"/>
  </si>
  <si>
    <t>希望小売価格</t>
    <rPh sb="0" eb="2">
      <t>キボウ</t>
    </rPh>
    <rPh sb="2" eb="4">
      <t>コウリ</t>
    </rPh>
    <rPh sb="4" eb="6">
      <t>カカク</t>
    </rPh>
    <phoneticPr fontId="1"/>
  </si>
  <si>
    <t>左詰</t>
    <rPh sb="0" eb="2">
      <t>ヒダリヅメ</t>
    </rPh>
    <phoneticPr fontId="1"/>
  </si>
  <si>
    <t>ＹＹＹＹＭＭＤＤ形式で８桁フルに設定すること</t>
    <rPh sb="8" eb="10">
      <t>ケイシキ</t>
    </rPh>
    <rPh sb="11" eb="13">
      <t>８ケタ</t>
    </rPh>
    <rPh sb="16" eb="18">
      <t>セッテイ</t>
    </rPh>
    <phoneticPr fontId="1"/>
  </si>
  <si>
    <t>ＹＹＹＹＭＭＤＤ形式で８桁フルに設定すること</t>
    <rPh sb="8" eb="10">
      <t>ケイシキ</t>
    </rPh>
    <rPh sb="11" eb="13">
      <t>８ケタ</t>
    </rPh>
    <rPh sb="16" eb="18">
      <t>セッテイ</t>
    </rPh>
    <phoneticPr fontId="1"/>
  </si>
  <si>
    <t>Ｎull固定  システム内で使用</t>
    <rPh sb="4" eb="6">
      <t>コテイ</t>
    </rPh>
    <rPh sb="12" eb="13">
      <t>ナイ</t>
    </rPh>
    <rPh sb="14" eb="16">
      <t>シヨウ</t>
    </rPh>
    <phoneticPr fontId="1"/>
  </si>
  <si>
    <t>＊固定  システム内で使用（＊：未処理  １：処理済）</t>
    <rPh sb="1" eb="3">
      <t>コテイ</t>
    </rPh>
    <rPh sb="9" eb="10">
      <t>ナイ</t>
    </rPh>
    <rPh sb="11" eb="13">
      <t>シヨウ</t>
    </rPh>
    <rPh sb="16" eb="19">
      <t>ミショリ</t>
    </rPh>
    <rPh sb="23" eb="26">
      <t>ショリズミ</t>
    </rPh>
    <phoneticPr fontId="1"/>
  </si>
  <si>
    <t>decimal(9,2)</t>
  </si>
  <si>
    <t>decimal(9,2)</t>
    <phoneticPr fontId="2"/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</si>
  <si>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</si>
  <si>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</si>
  <si>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</si>
  <si>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</si>
  <si>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</si>
  <si>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</si>
  <si>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</si>
  <si>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</si>
  <si>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</si>
  <si>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</si>
  <si>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</si>
  <si>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</si>
  <si>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</si>
  <si>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t>システム名</t>
    <phoneticPr fontId="2"/>
  </si>
  <si>
    <t>機能カテゴリ</t>
    <phoneticPr fontId="2"/>
  </si>
  <si>
    <t>システム種別</t>
    <phoneticPr fontId="2"/>
  </si>
  <si>
    <t>作成者</t>
    <phoneticPr fontId="2"/>
  </si>
  <si>
    <t>作成日</t>
    <phoneticPr fontId="2"/>
  </si>
  <si>
    <t>更新者</t>
    <phoneticPr fontId="2"/>
  </si>
  <si>
    <t>更新日</t>
    <phoneticPr fontId="2"/>
  </si>
  <si>
    <t>版数</t>
    <phoneticPr fontId="2"/>
  </si>
  <si>
    <t>項目</t>
    <phoneticPr fontId="2"/>
  </si>
  <si>
    <t>データ型</t>
    <rPh sb="3" eb="4">
      <t>カタ</t>
    </rPh>
    <phoneticPr fontId="1"/>
  </si>
  <si>
    <t>Double</t>
    <phoneticPr fontId="2"/>
  </si>
  <si>
    <t>Currency</t>
    <phoneticPr fontId="2"/>
  </si>
  <si>
    <t>varchar</t>
    <phoneticPr fontId="2"/>
  </si>
  <si>
    <t>smallint</t>
  </si>
  <si>
    <t>smallint</t>
    <phoneticPr fontId="2"/>
  </si>
  <si>
    <t>decimal(19,4)</t>
    <phoneticPr fontId="2"/>
  </si>
  <si>
    <t>GHPLUM</t>
    <phoneticPr fontId="2"/>
  </si>
  <si>
    <t>@9</t>
  </si>
  <si>
    <t>@10</t>
  </si>
  <si>
    <t>@11</t>
  </si>
  <si>
    <t>@12</t>
  </si>
  <si>
    <t>@13</t>
  </si>
  <si>
    <t>@14</t>
  </si>
  <si>
    <t>@15</t>
  </si>
  <si>
    <t>@16</t>
  </si>
  <si>
    <t>@17</t>
  </si>
  <si>
    <t>@18</t>
  </si>
  <si>
    <t>@19</t>
  </si>
  <si>
    <t>@20</t>
  </si>
  <si>
    <t>@21</t>
  </si>
  <si>
    <t>@22</t>
  </si>
  <si>
    <t>@23</t>
  </si>
  <si>
    <t>@24</t>
  </si>
  <si>
    <t>@25</t>
  </si>
  <si>
    <t>@26</t>
  </si>
  <si>
    <t>@27</t>
  </si>
  <si>
    <t>@28</t>
  </si>
  <si>
    <t>@29</t>
  </si>
  <si>
    <t>@30</t>
  </si>
  <si>
    <t>@31</t>
  </si>
  <si>
    <t>@32</t>
  </si>
  <si>
    <t>@33</t>
  </si>
  <si>
    <t>@34</t>
  </si>
  <si>
    <t>@35</t>
  </si>
  <si>
    <t>@36</t>
  </si>
  <si>
    <t>@37</t>
  </si>
  <si>
    <t>@38</t>
  </si>
  <si>
    <t>@39</t>
  </si>
  <si>
    <t>@40</t>
  </si>
  <si>
    <t>@41</t>
  </si>
  <si>
    <t>@42</t>
  </si>
  <si>
    <t>@43</t>
  </si>
  <si>
    <t>@44</t>
  </si>
  <si>
    <t>@45</t>
  </si>
  <si>
    <t>@46</t>
  </si>
  <si>
    <t>@47</t>
  </si>
  <si>
    <t>@48</t>
  </si>
  <si>
    <t>@49</t>
  </si>
  <si>
    <t>@50</t>
  </si>
  <si>
    <t>@51</t>
  </si>
  <si>
    <t>@52</t>
  </si>
  <si>
    <t>@53</t>
  </si>
  <si>
    <t>@54</t>
  </si>
  <si>
    <t>@55</t>
  </si>
  <si>
    <t>@56</t>
  </si>
  <si>
    <t>@57</t>
  </si>
  <si>
    <t>@58</t>
  </si>
  <si>
    <t>@59</t>
  </si>
  <si>
    <t>@60</t>
  </si>
  <si>
    <t>@61</t>
  </si>
  <si>
    <t>@62</t>
  </si>
  <si>
    <t>@63</t>
  </si>
  <si>
    <t>@64</t>
  </si>
  <si>
    <t>@65</t>
  </si>
  <si>
    <t>@66</t>
  </si>
  <si>
    <t>@67</t>
  </si>
  <si>
    <t>@68</t>
  </si>
  <si>
    <t>@69</t>
  </si>
  <si>
    <t>@70</t>
  </si>
  <si>
    <t>@71</t>
  </si>
  <si>
    <t>@72</t>
  </si>
  <si>
    <t>@73</t>
  </si>
  <si>
    <t>@74</t>
  </si>
  <si>
    <t>@75</t>
  </si>
  <si>
    <t>@76</t>
  </si>
  <si>
    <t>@77</t>
  </si>
  <si>
    <t>@78</t>
  </si>
  <si>
    <t>@79</t>
  </si>
  <si>
    <t>@80</t>
  </si>
  <si>
    <t>@81</t>
  </si>
  <si>
    <t>@82</t>
  </si>
  <si>
    <t>@83</t>
  </si>
  <si>
    <t>@84</t>
  </si>
  <si>
    <t>@85</t>
  </si>
  <si>
    <t>@86</t>
  </si>
  <si>
    <t>@87</t>
  </si>
  <si>
    <t>@88</t>
  </si>
  <si>
    <t>@89</t>
  </si>
  <si>
    <t>@90</t>
  </si>
  <si>
    <t>@91</t>
  </si>
  <si>
    <t>@92</t>
  </si>
  <si>
    <t>@93</t>
  </si>
  <si>
    <t>@94</t>
  </si>
  <si>
    <t>@95</t>
  </si>
  <si>
    <t>PLUメンテ</t>
    <phoneticPr fontId="1"/>
  </si>
  <si>
    <t>特売メンテ</t>
    <phoneticPr fontId="2"/>
  </si>
  <si>
    <t>GHDISCOUNTM</t>
    <phoneticPr fontId="2"/>
  </si>
  <si>
    <t>店舗コード</t>
    <rPh sb="0" eb="2">
      <t>テンポ</t>
    </rPh>
    <phoneticPr fontId="1"/>
  </si>
  <si>
    <t>企画Ｎo．</t>
    <rPh sb="0" eb="2">
      <t>キカク</t>
    </rPh>
    <phoneticPr fontId="1"/>
  </si>
  <si>
    <t>会員フラグ</t>
    <rPh sb="0" eb="2">
      <t>カイイン</t>
    </rPh>
    <phoneticPr fontId="1"/>
  </si>
  <si>
    <t>特売開始日</t>
    <rPh sb="0" eb="2">
      <t>トクバイ</t>
    </rPh>
    <rPh sb="2" eb="5">
      <t>カイシビ</t>
    </rPh>
    <phoneticPr fontId="1"/>
  </si>
  <si>
    <t>特売終了日</t>
    <rPh sb="0" eb="2">
      <t>トクバイ</t>
    </rPh>
    <rPh sb="2" eb="5">
      <t>シュウリョウビ</t>
    </rPh>
    <phoneticPr fontId="1"/>
  </si>
  <si>
    <t>特売削除日数</t>
  </si>
  <si>
    <t>特売優先区分</t>
    <rPh sb="0" eb="2">
      <t>トクバイ</t>
    </rPh>
    <rPh sb="2" eb="4">
      <t>ユウセン</t>
    </rPh>
    <rPh sb="4" eb="6">
      <t>クブン</t>
    </rPh>
    <phoneticPr fontId="1"/>
  </si>
  <si>
    <t>特売保留フラグ</t>
    <rPh sb="0" eb="2">
      <t>トクバイ</t>
    </rPh>
    <rPh sb="2" eb="4">
      <t>ホリュウ</t>
    </rPh>
    <phoneticPr fontId="1"/>
  </si>
  <si>
    <t>タイムサービスフラグ</t>
  </si>
  <si>
    <t>月曜日除外フラグ</t>
    <rPh sb="0" eb="3">
      <t>ゲツヨウビ</t>
    </rPh>
    <rPh sb="3" eb="5">
      <t>ジョガイ</t>
    </rPh>
    <phoneticPr fontId="1"/>
  </si>
  <si>
    <t>火曜日除外フラグ</t>
    <rPh sb="0" eb="3">
      <t>カヨウビ</t>
    </rPh>
    <rPh sb="3" eb="5">
      <t>ジョガイ</t>
    </rPh>
    <phoneticPr fontId="1"/>
  </si>
  <si>
    <t>水曜日除外フラグ</t>
    <rPh sb="0" eb="3">
      <t>スイヨウビ</t>
    </rPh>
    <rPh sb="3" eb="5">
      <t>ジョガイ</t>
    </rPh>
    <phoneticPr fontId="1"/>
  </si>
  <si>
    <t>木曜日除外フラグ</t>
    <rPh sb="0" eb="3">
      <t>モクヨウビ</t>
    </rPh>
    <rPh sb="3" eb="5">
      <t>ジョガイ</t>
    </rPh>
    <phoneticPr fontId="1"/>
  </si>
  <si>
    <t>金曜日除外フラグ</t>
    <rPh sb="0" eb="3">
      <t>キンヨウビ</t>
    </rPh>
    <rPh sb="3" eb="5">
      <t>ジョガイ</t>
    </rPh>
    <phoneticPr fontId="1"/>
  </si>
  <si>
    <t>土曜日除外フラグ</t>
    <rPh sb="0" eb="3">
      <t>ドヨウビ</t>
    </rPh>
    <rPh sb="3" eb="5">
      <t>ジョガイ</t>
    </rPh>
    <phoneticPr fontId="1"/>
  </si>
  <si>
    <t>日曜日除外フラグ</t>
    <rPh sb="0" eb="3">
      <t>ニチヨウビ</t>
    </rPh>
    <rPh sb="3" eb="5">
      <t>ジョガイ</t>
    </rPh>
    <phoneticPr fontId="1"/>
  </si>
  <si>
    <t>特売原価</t>
    <rPh sb="0" eb="2">
      <t>トクバイ</t>
    </rPh>
    <rPh sb="2" eb="4">
      <t>ゲンカ</t>
    </rPh>
    <phoneticPr fontId="1"/>
  </si>
  <si>
    <t>割引タイプ</t>
    <rPh sb="0" eb="2">
      <t>ワリビキ</t>
    </rPh>
    <phoneticPr fontId="1"/>
  </si>
  <si>
    <t>特売価格</t>
    <rPh sb="0" eb="2">
      <t>トクバイ</t>
    </rPh>
    <rPh sb="2" eb="4">
      <t>カカク</t>
    </rPh>
    <phoneticPr fontId="1"/>
  </si>
  <si>
    <t>個数制限</t>
    <rPh sb="0" eb="2">
      <t>コスウ</t>
    </rPh>
    <rPh sb="2" eb="4">
      <t>セイゲン</t>
    </rPh>
    <phoneticPr fontId="1"/>
  </si>
  <si>
    <t>特売開始時間</t>
    <rPh sb="0" eb="2">
      <t>トクバイ</t>
    </rPh>
    <rPh sb="2" eb="4">
      <t>カイシ</t>
    </rPh>
    <rPh sb="4" eb="6">
      <t>ジカン</t>
    </rPh>
    <phoneticPr fontId="1"/>
  </si>
  <si>
    <t>特売終了時間</t>
    <rPh sb="0" eb="2">
      <t>トクバイ</t>
    </rPh>
    <rPh sb="2" eb="5">
      <t>シュウリョウジ</t>
    </rPh>
    <rPh sb="5" eb="6">
      <t>カン</t>
    </rPh>
    <phoneticPr fontId="1"/>
  </si>
  <si>
    <t>事前特売開始日</t>
    <rPh sb="0" eb="2">
      <t>ジゼン</t>
    </rPh>
    <rPh sb="2" eb="4">
      <t>トクバイ</t>
    </rPh>
    <rPh sb="4" eb="7">
      <t>カイシビ</t>
    </rPh>
    <phoneticPr fontId="1"/>
  </si>
  <si>
    <t>事前割引タイプ</t>
    <rPh sb="0" eb="2">
      <t>ジゼン</t>
    </rPh>
    <rPh sb="2" eb="4">
      <t>ワリビキ</t>
    </rPh>
    <phoneticPr fontId="1"/>
  </si>
  <si>
    <t>事前特売価格</t>
    <rPh sb="0" eb="2">
      <t>ジゼン</t>
    </rPh>
    <rPh sb="2" eb="4">
      <t>トクバイ</t>
    </rPh>
    <rPh sb="4" eb="6">
      <t>カカク</t>
    </rPh>
    <phoneticPr fontId="1"/>
  </si>
  <si>
    <t>継続特売終了日</t>
  </si>
  <si>
    <t>継続割引タイプ</t>
    <rPh sb="0" eb="2">
      <t>ケイゾク</t>
    </rPh>
    <rPh sb="2" eb="4">
      <t>ワリビキ</t>
    </rPh>
    <phoneticPr fontId="1"/>
  </si>
  <si>
    <t>継続特売価格</t>
    <rPh sb="0" eb="2">
      <t>ケイゾク</t>
    </rPh>
    <rPh sb="2" eb="4">
      <t>トクバイ</t>
    </rPh>
    <rPh sb="4" eb="6">
      <t>カカク</t>
    </rPh>
    <phoneticPr fontId="1"/>
  </si>
  <si>
    <t>価格グループＩＤ</t>
    <rPh sb="0" eb="2">
      <t>カカク</t>
    </rPh>
    <phoneticPr fontId="1"/>
  </si>
  <si>
    <t>商品階層コード</t>
    <rPh sb="0" eb="2">
      <t>ショウヒン</t>
    </rPh>
    <rPh sb="2" eb="4">
      <t>カイソウ</t>
    </rPh>
    <phoneticPr fontId="1"/>
  </si>
  <si>
    <t>サブＩＤ</t>
  </si>
  <si>
    <t>割引グループＩＤ</t>
    <rPh sb="0" eb="2">
      <t>ワリビキ</t>
    </rPh>
    <phoneticPr fontId="1"/>
  </si>
  <si>
    <t>ＡＵＸコード</t>
  </si>
  <si>
    <t>割引アカウント</t>
    <rPh sb="0" eb="2">
      <t>ワリビキ</t>
    </rPh>
    <phoneticPr fontId="1"/>
  </si>
  <si>
    <t>割引クラスＩＤ</t>
    <rPh sb="0" eb="2">
      <t>ワリビキ</t>
    </rPh>
    <phoneticPr fontId="1"/>
  </si>
  <si>
    <t>特売最大値引額</t>
  </si>
  <si>
    <t>割引トラン数</t>
    <rPh sb="0" eb="2">
      <t>ワリビキ</t>
    </rPh>
    <rPh sb="5" eb="6">
      <t>スウ</t>
    </rPh>
    <phoneticPr fontId="1"/>
  </si>
  <si>
    <t>バッチＮｏ．</t>
  </si>
  <si>
    <t>シーケンス番号</t>
    <rPh sb="5" eb="7">
      <t>バンゴウ</t>
    </rPh>
    <phoneticPr fontId="1"/>
  </si>
  <si>
    <t>成立数量</t>
    <rPh sb="0" eb="2">
      <t>セイリツ</t>
    </rPh>
    <rPh sb="2" eb="4">
      <t>スウリョウ</t>
    </rPh>
    <phoneticPr fontId="1"/>
  </si>
  <si>
    <t>成立価格</t>
    <rPh sb="0" eb="2">
      <t>セイリツ</t>
    </rPh>
    <rPh sb="2" eb="4">
      <t>カカク</t>
    </rPh>
    <phoneticPr fontId="1"/>
  </si>
  <si>
    <t>ＡＵＸコード２</t>
  </si>
  <si>
    <t>ＰＬＵ属性２</t>
    <rPh sb="3" eb="5">
      <t>ゾクセイ</t>
    </rPh>
    <phoneticPr fontId="1"/>
  </si>
  <si>
    <t>作成日</t>
    <rPh sb="0" eb="2">
      <t>サクセイ</t>
    </rPh>
    <rPh sb="2" eb="3">
      <t>ビ</t>
    </rPh>
    <phoneticPr fontId="1"/>
  </si>
  <si>
    <t>受信日</t>
    <rPh sb="0" eb="3">
      <t>ジュシンビ</t>
    </rPh>
    <phoneticPr fontId="1"/>
  </si>
  <si>
    <t>処理日</t>
    <rPh sb="0" eb="2">
      <t>ショリ</t>
    </rPh>
    <rPh sb="2" eb="3">
      <t>ビ</t>
    </rPh>
    <phoneticPr fontId="1"/>
  </si>
  <si>
    <t>EVNT_NBR</t>
  </si>
  <si>
    <t>MBR_FG</t>
  </si>
  <si>
    <t>PLU_ID</t>
  </si>
  <si>
    <t>EVNT_BGN_TM</t>
  </si>
  <si>
    <t>EVNT_END_TM</t>
  </si>
  <si>
    <t>EVNT_HLDL_DY</t>
  </si>
  <si>
    <t>EVNT_SRC</t>
  </si>
  <si>
    <t>EVNT_EXCL_FG</t>
  </si>
  <si>
    <t>TIME_SERVICE_FG</t>
  </si>
  <si>
    <t>MON_EXCL_FG</t>
  </si>
  <si>
    <t>TUES_EXCL_FG</t>
  </si>
  <si>
    <t>WED_EXCL_FG</t>
  </si>
  <si>
    <t>THUS_EXCL_FG</t>
  </si>
  <si>
    <t>FRI_EXCL_FG</t>
  </si>
  <si>
    <t>SAT_EXCL_FG</t>
  </si>
  <si>
    <t>SUN_EXCL_FG</t>
  </si>
  <si>
    <t>PROMO_COST</t>
  </si>
  <si>
    <t>DISC_MTHD</t>
  </si>
  <si>
    <t>DISC_VALUE</t>
  </si>
  <si>
    <t>DISC_ITM_LMT</t>
  </si>
  <si>
    <t>PROMO_BGN_TM</t>
  </si>
  <si>
    <t>PROMO_END_TM</t>
  </si>
  <si>
    <t>BFR_EVNT_BGN_TM</t>
  </si>
  <si>
    <t>BFR_DISC_MTHD</t>
  </si>
  <si>
    <t>AFT_DISC_END_TM</t>
  </si>
  <si>
    <t>AFT_DISC_MTHD</t>
  </si>
  <si>
    <t>AFT_DISC_VALUE</t>
  </si>
  <si>
    <t>MDSE_XREF_NO</t>
  </si>
  <si>
    <t>PLU_QUAL_TYP</t>
  </si>
  <si>
    <t>ALT_NO</t>
  </si>
  <si>
    <t>SUB_ID</t>
  </si>
  <si>
    <t>DG_ID</t>
  </si>
  <si>
    <t>AUX_CD</t>
  </si>
  <si>
    <t>DISC_ACCT</t>
  </si>
  <si>
    <t>DISC_CLASS_ID</t>
  </si>
  <si>
    <t>MAX_DISC_AMT</t>
  </si>
  <si>
    <t>DISC_TRAN_CNT</t>
  </si>
  <si>
    <t>BATCH_NBR</t>
  </si>
  <si>
    <t>SEQ_ID</t>
  </si>
  <si>
    <t>MIN_QTY</t>
  </si>
  <si>
    <t>MIN_AMT</t>
  </si>
  <si>
    <t>AUX_CD2</t>
  </si>
  <si>
    <t>Ａ：登録　Ｕ：更新　Ｄ：削除</t>
    <rPh sb="2" eb="4">
      <t>トウロク</t>
    </rPh>
    <rPh sb="7" eb="9">
      <t>コウシン</t>
    </rPh>
    <rPh sb="12" eb="14">
      <t>サクジョ</t>
    </rPh>
    <phoneticPr fontId="1"/>
  </si>
  <si>
    <t>０は不可</t>
    <rPh sb="2" eb="4">
      <t>フカ</t>
    </rPh>
    <phoneticPr fontId="1"/>
  </si>
  <si>
    <t>左詰  企画マスタに存在すること</t>
    <rPh sb="0" eb="1">
      <t>ヒダリ</t>
    </rPh>
    <rPh sb="1" eb="2">
      <t>ヅメ</t>
    </rPh>
    <rPh sb="4" eb="6">
      <t>キカク</t>
    </rPh>
    <rPh sb="10" eb="12">
      <t>ソンザイ</t>
    </rPh>
    <phoneticPr fontId="1"/>
  </si>
  <si>
    <t>０：一般特売  １：会員特売</t>
    <rPh sb="2" eb="4">
      <t>イッパン</t>
    </rPh>
    <rPh sb="4" eb="6">
      <t>トクバイ</t>
    </rPh>
    <rPh sb="10" eb="12">
      <t>カイイン</t>
    </rPh>
    <rPh sb="12" eb="14">
      <t>トクバイ</t>
    </rPh>
    <phoneticPr fontId="1"/>
  </si>
  <si>
    <t>左詰  数字で最大19桁。 特にＰＬＵコードを使用しない場合はスキャンコードと同じ値を入れておくこと</t>
    <rPh sb="0" eb="2">
      <t>ヒダリヅメ</t>
    </rPh>
    <rPh sb="4" eb="6">
      <t>スウジ</t>
    </rPh>
    <rPh sb="7" eb="9">
      <t>サイダイ</t>
    </rPh>
    <rPh sb="9" eb="12">
      <t>１９ケタ</t>
    </rPh>
    <rPh sb="14" eb="15">
      <t>トク</t>
    </rPh>
    <rPh sb="23" eb="25">
      <t>シヨウ</t>
    </rPh>
    <rPh sb="28" eb="30">
      <t>バアイ</t>
    </rPh>
    <rPh sb="39" eb="40">
      <t>オナ</t>
    </rPh>
    <rPh sb="41" eb="42">
      <t>アタイ</t>
    </rPh>
    <rPh sb="43" eb="44">
      <t>イ</t>
    </rPh>
    <phoneticPr fontId="1"/>
  </si>
  <si>
    <t>ＹＹＹＹＭＭＤＤ形式で８桁フルに設定すること</t>
    <rPh sb="8" eb="10">
      <t>ケイシキ</t>
    </rPh>
    <rPh sb="11" eb="13">
      <t>８ケタ</t>
    </rPh>
    <rPh sb="16" eb="18">
      <t>セッテイ</t>
    </rPh>
    <phoneticPr fontId="1"/>
  </si>
  <si>
    <t>期間終了後の削除猶予期間 ００２－０９９ 未使用時はＮＵＬＬ</t>
  </si>
  <si>
    <t>現在１固定  ０：店舗優先  １：本部優先</t>
    <rPh sb="0" eb="2">
      <t>ゲンザイ</t>
    </rPh>
    <rPh sb="3" eb="5">
      <t>コテイ</t>
    </rPh>
    <rPh sb="9" eb="11">
      <t>テンポ</t>
    </rPh>
    <rPh sb="11" eb="13">
      <t>ユウセン</t>
    </rPh>
    <rPh sb="17" eb="19">
      <t>ホンブ</t>
    </rPh>
    <rPh sb="19" eb="21">
      <t>ユウセン</t>
    </rPh>
    <phoneticPr fontId="1"/>
  </si>
  <si>
    <t>０：期間  １：期間＆曜日  ２：期間＆時間  ３：期間＆時間＆曜日</t>
    <rPh sb="2" eb="4">
      <t>キカン</t>
    </rPh>
    <rPh sb="8" eb="10">
      <t>キカン</t>
    </rPh>
    <rPh sb="11" eb="13">
      <t>ヨウビ</t>
    </rPh>
    <rPh sb="17" eb="19">
      <t>キカン</t>
    </rPh>
    <rPh sb="20" eb="22">
      <t>ジカン</t>
    </rPh>
    <phoneticPr fontId="1"/>
  </si>
  <si>
    <t>０：除外しない  １：除外する</t>
    <rPh sb="2" eb="4">
      <t>ジョガイ</t>
    </rPh>
    <rPh sb="11" eb="13">
      <t>ジョガイ</t>
    </rPh>
    <phoneticPr fontId="1"/>
  </si>
  <si>
    <t>０：除外しない  ２：除外する</t>
    <rPh sb="2" eb="4">
      <t>ジョガイ</t>
    </rPh>
    <phoneticPr fontId="1"/>
  </si>
  <si>
    <t>０以上</t>
    <rPh sb="1" eb="3">
      <t>イジョウ</t>
    </rPh>
    <phoneticPr fontId="1"/>
  </si>
  <si>
    <t>現在６固定  １：差額  ２：％（率）  ６：金額</t>
    <rPh sb="0" eb="2">
      <t>ゲンザイ</t>
    </rPh>
    <rPh sb="3" eb="5">
      <t>コテイ</t>
    </rPh>
    <rPh sb="9" eb="11">
      <t>サガク</t>
    </rPh>
    <rPh sb="17" eb="18">
      <t>リツ</t>
    </rPh>
    <rPh sb="23" eb="25">
      <t>キンガク</t>
    </rPh>
    <phoneticPr fontId="1"/>
  </si>
  <si>
    <t>現在未使用  ０固定</t>
    <rPh sb="0" eb="2">
      <t>ゲンザイ</t>
    </rPh>
    <rPh sb="2" eb="5">
      <t>ミシヨウ</t>
    </rPh>
    <phoneticPr fontId="1"/>
  </si>
  <si>
    <t>ＨＨＭＭ形式で４桁フルに設定すること（２４時間制）</t>
    <rPh sb="4" eb="6">
      <t>ケイシキ</t>
    </rPh>
    <rPh sb="7" eb="9">
      <t>４ケタ</t>
    </rPh>
    <rPh sb="12" eb="14">
      <t>セッテイ</t>
    </rPh>
    <rPh sb="21" eb="23">
      <t>ジカン</t>
    </rPh>
    <rPh sb="23" eb="24">
      <t>セイ</t>
    </rPh>
    <phoneticPr fontId="1"/>
  </si>
  <si>
    <t>ＨＨＭＭ形式で４桁フルに設定すること（２４時間制）</t>
    <rPh sb="4" eb="6">
      <t>ケイシキ</t>
    </rPh>
    <rPh sb="7" eb="9">
      <t>４ケタ</t>
    </rPh>
    <rPh sb="12" eb="14">
      <t>セッテイ</t>
    </rPh>
    <phoneticPr fontId="1"/>
  </si>
  <si>
    <t>現在未使用  Ｎull固定</t>
    <rPh sb="0" eb="2">
      <t>ゲンザイ</t>
    </rPh>
    <rPh sb="2" eb="5">
      <t>ミシヨウ</t>
    </rPh>
    <rPh sb="11" eb="13">
      <t>コテイ</t>
    </rPh>
    <phoneticPr fontId="1"/>
  </si>
  <si>
    <t>０：一般  １：会員</t>
    <rPh sb="2" eb="4">
      <t>イッパン</t>
    </rPh>
    <rPh sb="8" eb="10">
      <t>カイイン</t>
    </rPh>
    <phoneticPr fontId="1"/>
  </si>
  <si>
    <t>ＹＹＹＹＭＭＤＤ形式で8桁フルに設定すること</t>
    <rPh sb="8" eb="10">
      <t>ケイシキ</t>
    </rPh>
    <rPh sb="11" eb="13">
      <t>８ケタ</t>
    </rPh>
    <rPh sb="16" eb="18">
      <t>セッテイ</t>
    </rPh>
    <phoneticPr fontId="1"/>
  </si>
  <si>
    <t>Ｎｕｌｌ固定  システム内で使用</t>
    <rPh sb="4" eb="6">
      <t>コテイ</t>
    </rPh>
    <rPh sb="12" eb="13">
      <t>ナイ</t>
    </rPh>
    <rPh sb="14" eb="16">
      <t>シヨウ</t>
    </rPh>
    <phoneticPr fontId="1"/>
  </si>
  <si>
    <t>＊固定  システム内で使用（＊：未処理  １：処理済）</t>
    <rPh sb="1" eb="3">
      <t>コテイ</t>
    </rPh>
    <rPh sb="9" eb="10">
      <t>ナイ</t>
    </rPh>
    <rPh sb="11" eb="13">
      <t>シヨウ</t>
    </rPh>
    <rPh sb="16" eb="19">
      <t>ミショリ</t>
    </rPh>
    <rPh sb="23" eb="26">
      <t>ショリズミ</t>
    </rPh>
    <phoneticPr fontId="1"/>
  </si>
  <si>
    <t>０：保留しない  １：保留する</t>
    <rPh sb="0" eb="2">
      <t>ホリュウ</t>
    </rPh>
    <rPh sb="9" eb="11">
      <t>ホリュウ</t>
    </rPh>
    <phoneticPr fontId="1"/>
  </si>
  <si>
    <t>BFR_DISC_VALUE</t>
  </si>
  <si>
    <t>BFR_DISC_VALUE</t>
    <phoneticPr fontId="2"/>
  </si>
  <si>
    <t>DROP TABLE IF EXISTS `Replica_Kasumi`.`GHDISCOUNTM`;</t>
  </si>
  <si>
    <t>CREATE TABLE `Replica_Kasumi`.`ghdiscountm` (</t>
  </si>
  <si>
    <t xml:space="preserve">  `RECORD_ID` bigint NOT NULL AUTO_INCREMENT COMMENT 'レコードID',</t>
  </si>
  <si>
    <t xml:space="preserve">  `RECORD_CREATE_DATE` date NOT NULL COMMENT 'レコード作成日付',</t>
  </si>
  <si>
    <t xml:space="preserve">  `RECORD_CREATE_TIME` time NOT NULL COMMENT 'レコード作成時間',</t>
  </si>
  <si>
    <t xml:space="preserve">  `RECORD_UPDATE_DATE` date NOT NULL COMMENT 'レコード更新日付/トリガーにより更新',</t>
  </si>
  <si>
    <t xml:space="preserve">  `RECORD_UPDATE_TIME` time NOT NULL COMMENT 'レコード更新時間/トリガーにより更新',</t>
  </si>
  <si>
    <t xml:space="preserve">  `RECORD_VOID_FLAG` char(1) NOT NULL DEFAULT '' COMMENT 'レコード無効フラグ  '''': 有効フラグ、 1:無効フラグ',</t>
  </si>
  <si>
    <t xml:space="preserve">  `PRCS_TYP` varchar(1) DEFAULT NULL COMMENT '処理区分 Ａ：登録　Ｕ：更新　Ｄ：削除',</t>
  </si>
  <si>
    <t xml:space="preserve">  `STR_ID` int NOT NULL COMMENT '店舗コード ０は不可',</t>
  </si>
  <si>
    <t xml:space="preserve">  `EVNT_NBR` varchar(7) CHARACTER SET utf8mb4 COLLATE utf8mb4_0900_ai_ci NOT NULL COMMENT '企画Ｎo． 左詰  企画マスタに存在すること',</t>
  </si>
  <si>
    <t xml:space="preserve">  `MBR_FG` smallint NOT NULL COMMENT '会員フラグ ０：一般特売  １：会員特売',</t>
  </si>
  <si>
    <t xml:space="preserve">  `PLU_ID` varchar(24) CHARACTER SET utf8mb4 COLLATE utf8mb4_0900_ai_ci NOT NULL COMMENT '商品コード 左詰  数字で最大19桁。 特にＰＬＵコードを使用しない場合はスキャンコードと同じ値を入れておくこと',</t>
  </si>
  <si>
    <t xml:space="preserve">  `EVNT_BGN_TM` varchar(8) CHARACTER SET utf8mb4 COLLATE utf8mb4_0900_ai_ci NOT NULL COMMENT '特売開始日 ＹＹＹＹＭＭＤＤ形式で８桁フルに設定すること',</t>
  </si>
  <si>
    <t xml:space="preserve">  `EVNT_END_TM` varchar(8) CHARACTER SET utf8mb4 COLLATE utf8mb4_0900_ai_ci NOT NULL COMMENT '特売終了日 ＹＹＹＹＭＭＤＤ形式で８桁フルに設定すること',</t>
  </si>
  <si>
    <t xml:space="preserve">  `EVNT_HLDL_DY` varchar(3) DEFAULT NULL COMMENT '特売削除日数 期間終了後の削除猶予期間 ００２－０９９ 未使用時はＮＵＬＬ',</t>
  </si>
  <si>
    <t xml:space="preserve">  `EVNT_SRC` smallint DEFAULT NULL COMMENT '特売優先区分 現在１固定  ０：店舗優先  １：本部優先',</t>
  </si>
  <si>
    <t xml:space="preserve">  `EVNT_EXCL_FG` smallint DEFAULT NULL COMMENT '特売保留フラグ ０：保留しない  １：保留する',</t>
  </si>
  <si>
    <t xml:space="preserve">  `TIME_SERVICE_FG` smallint DEFAULT NULL COMMENT 'タイムサービスフラグ ０：期間  １：期間＆曜日  ２：期間＆時間  ３：期間＆時間＆曜日',</t>
  </si>
  <si>
    <t xml:space="preserve">  `MON_EXCL_FG` smallint DEFAULT NULL COMMENT '月曜日除外フラグ ０：除外しない  １：除外する',</t>
  </si>
  <si>
    <t xml:space="preserve">  `TUES_EXCL_FG` smallint DEFAULT NULL COMMENT '火曜日除外フラグ ０：除外しない  １：除外する',</t>
  </si>
  <si>
    <t xml:space="preserve">  `WED_EXCL_FG` smallint DEFAULT NULL COMMENT '水曜日除外フラグ ０：除外しない  １：除外する',</t>
  </si>
  <si>
    <t xml:space="preserve">  `THUS_EXCL_FG` smallint DEFAULT NULL COMMENT '木曜日除外フラグ ０：除外しない  １：除外する',</t>
  </si>
  <si>
    <t xml:space="preserve">  `FRI_EXCL_FG` smallint DEFAULT NULL COMMENT '金曜日除外フラグ ０：除外しない  １：除外する',</t>
  </si>
  <si>
    <t xml:space="preserve">  `SAT_EXCL_FG` smallint DEFAULT NULL COMMENT '土曜日除外フラグ ０：除外しない  １：除外する',</t>
  </si>
  <si>
    <t xml:space="preserve">  `SUN_EXCL_FG` smallint DEFAULT NULL COMMENT '日曜日除外フラグ ０：除外しない  ２：除外する',</t>
  </si>
  <si>
    <t xml:space="preserve">  `PROMO_COST` int DEFAULT NULL COMMENT '特売原価 ０以上',</t>
  </si>
  <si>
    <t xml:space="preserve">  `DISC_MTHD` smallint DEFAULT NULL COMMENT '割引タイプ 現在６固定  １：差額  ２：％（率）  ６：金額',</t>
  </si>
  <si>
    <t xml:space="preserve">  `DISC_VALUE` decimal(9,2) DEFAULT NULL COMMENT '特売価格 ',</t>
  </si>
  <si>
    <t xml:space="preserve">  `DISC_ITM_LMT` decimal(9,2) DEFAULT NULL COMMENT '個数制限 現在未使用  ０固定',</t>
  </si>
  <si>
    <t xml:space="preserve">  `PROMO_BGN_TM` varchar(4) DEFAULT NULL COMMENT '特売開始時間 ＨＨＭＭ形式で４桁フルに設定すること（２４時間制）',</t>
  </si>
  <si>
    <t xml:space="preserve">  `PROMO_END_TM` varchar(4) DEFAULT NULL COMMENT '特売終了時間 ＨＨＭＭ形式で４桁フルに設定すること（２４時間制）',</t>
  </si>
  <si>
    <t xml:space="preserve">  `BFR_EVNT_BGN_TM` varchar(8) DEFAULT NULL COMMENT '事前特売開始日 現在未使用  Ｎull固定',</t>
  </si>
  <si>
    <t xml:space="preserve">  `BFR_DISC_MTHD` smallint DEFAULT NULL COMMENT '事前割引タイプ 現在未使用  ０固定',</t>
  </si>
  <si>
    <t xml:space="preserve">  `BFR_DISC_VALUE` decimal(9,2) DEFAULT NULL COMMENT '事前特売価格 現在未使用  ０固定',</t>
  </si>
  <si>
    <t xml:space="preserve">  `AFT_DISC_END_TM` varchar(8) DEFAULT NULL COMMENT '継続特売終了日 現在未使用  Ｎull固定',</t>
  </si>
  <si>
    <t xml:space="preserve">  `AFT_DISC_MTHD` smallint DEFAULT NULL COMMENT '継続割引タイプ 現在未使用  ０固定',</t>
  </si>
  <si>
    <t xml:space="preserve">  `AFT_DISC_VALUE` decimal(9,2) DEFAULT NULL COMMENT '継続特売価格 現在未使用  ０固定',</t>
  </si>
  <si>
    <t xml:space="preserve">  `PRC_GRP_ID` smallint DEFAULT NULL COMMENT '価格グループＩＤ 現在未使用  ０固定',</t>
  </si>
  <si>
    <t xml:space="preserve">  `MDSE_XREF_NO` int DEFAULT NULL COMMENT '商品階層コード 現在未使用  ０固定',</t>
  </si>
  <si>
    <t xml:space="preserve">  `PLU_QUAL_TYP` int DEFAULT NULL COMMENT 'ＰＬＵ属性 現在未使用  ０固定',</t>
  </si>
  <si>
    <t xml:space="preserve">  `ALT_NO` smallint DEFAULT NULL COMMENT 'ＡＬＴコード 現在未使用  ０固定',</t>
  </si>
  <si>
    <t xml:space="preserve">  `SUB_ID` varchar(20) DEFAULT NULL COMMENT 'サブＩＤ 現在未使用  Ｎull固定',</t>
  </si>
  <si>
    <t xml:space="preserve">  `DG_ID` varchar(20) DEFAULT NULL COMMENT '割引グループＩＤ 現在未使用  Ｎull固定',</t>
  </si>
  <si>
    <t xml:space="preserve">  `AUX_CD` smallint DEFAULT NULL COMMENT 'ＡＵＸコード ０：一般  １：会員',</t>
  </si>
  <si>
    <t xml:space="preserve">  `DISC_ACCT` varchar(20) DEFAULT NULL COMMENT '割引アカウント 現在未使用  Ｎull固定',</t>
  </si>
  <si>
    <t xml:space="preserve">  `DISC_CLASS_ID` int DEFAULT NULL COMMENT '割引クラスＩＤ 現在未使用  ０固定',</t>
  </si>
  <si>
    <t xml:space="preserve">  `MAX_DISC_AMT` int DEFAULT NULL COMMENT '特売最大値引額 現在未使用  ０固定',</t>
  </si>
  <si>
    <t xml:space="preserve">  `DISC_TRAN_CNT` smallint DEFAULT NULL COMMENT '割引トラン数 現在未使用  ０固定',</t>
  </si>
  <si>
    <t xml:space="preserve">  `BATCH_NBR` int DEFAULT NULL COMMENT 'バッチＮｏ． 現在未使用  ０固定',</t>
  </si>
  <si>
    <t xml:space="preserve">  `SEQ_ID` smallint DEFAULT NULL COMMENT 'シーケンス番号 現在未使用  ０固定',</t>
  </si>
  <si>
    <t xml:space="preserve">  `MIN_QTY` decimal(9,2) DEFAULT NULL COMMENT '成立数量 現在未使用  ０固定',</t>
  </si>
  <si>
    <t xml:space="preserve">  `MIN_AMT` int DEFAULT NULL COMMENT '成立価格 現在未使用  ０固定',</t>
  </si>
  <si>
    <t xml:space="preserve">  `AUX_CD2` smallint DEFAULT NULL COMMENT 'ＡＵＸコード２ 現在未使用  ０固定',</t>
  </si>
  <si>
    <t xml:space="preserve">  `TNT_ID` int DEFAULT NULL COMMENT 'テナントコード 現在未使用  ０固定',</t>
  </si>
  <si>
    <t xml:space="preserve">  `PLU_QUAL_TYP2` int DEFAULT NULL COMMENT 'ＰＬＵ属性２ 現在未使用  ０固定',</t>
  </si>
  <si>
    <t xml:space="preserve">  `CRT_DT` varchar(8) DEFAULT NULL COMMENT '作成日 ＹＹＹＹＭＭＤＤ形式で8桁フルに設定すること',</t>
  </si>
  <si>
    <t xml:space="preserve">  `PRCS_DT` varchar(8) DEFAULT NULL COMMENT '処理日 ＹＹＹＹＭＭＤＤ形式で8桁フルに設定すること',</t>
  </si>
  <si>
    <t xml:space="preserve">  `RCV_DT` varchar(8) DEFAULT NULL COMMENT '受信日 Ｎｕｌｌ固定  システム内で使用',</t>
  </si>
  <si>
    <t xml:space="preserve">  `PRCS_FG` varchar(1) DEFAULT NULL COMMENT '処理フラグ ＊固定  システム内で使用（＊：未処理  １：処理済）',</t>
  </si>
  <si>
    <t xml:space="preserve">  PRIMARY KEY (`STR_ID`,`EVNT_NBR`,`EVNT_BGN_TM`,`EVNT_END_TM`,`PLU_ID`,`MBR_FG`) USING BTREE,</t>
  </si>
  <si>
    <t xml:space="preserve">  KEY `RECORD_ID` (`RECORD_ID`)</t>
  </si>
  <si>
    <t>) ENGINE=InnoDB DEFAULT CHARSET=utf8mb4 COLLATE=utf8mb4_0900_ai_ci COMMENT='特売メンテ';</t>
  </si>
  <si>
    <t>CREATE DEFINER=`posuser`@`%` TRIGGER `GHDISCOUNTM_CR_Date_Time` BEFORE INSERT ON `ghdiscountm` FOR EACH ROW SET NEW.record_create_date = CURRENT_DATE, NEW.record_create_time = CURRENT_TIME, NEW.record_update_date = CURRENT_DATE, NEW.record_update_time = CURRENT_TIME;</t>
  </si>
  <si>
    <t>CREATE DEFINER=`posuser`@`%` TRIGGER `GHDISCOUNTM_UP_Date_Time` BEFORE UPDATE ON `ghdiscountm` FOR EACH ROW SET NEW.record_update_date = CURRENT_DATE, NEW.record_update_time = CURRENT_TIME;</t>
  </si>
  <si>
    <t>MMマスタ</t>
    <phoneticPr fontId="2"/>
  </si>
  <si>
    <t>MMマスタ</t>
    <phoneticPr fontId="2"/>
  </si>
  <si>
    <t>GHBUNDLEM.CSV</t>
    <phoneticPr fontId="2"/>
  </si>
  <si>
    <t>GHPLUM.CSV</t>
    <phoneticPr fontId="2"/>
  </si>
  <si>
    <t>GHDISCOUNTM.CSV</t>
    <phoneticPr fontId="2"/>
  </si>
  <si>
    <t>処理区分</t>
  </si>
  <si>
    <t>関連企画Ｎo.</t>
    <rPh sb="0" eb="2">
      <t>カンレン</t>
    </rPh>
    <rPh sb="2" eb="4">
      <t>キカク</t>
    </rPh>
    <phoneticPr fontId="1"/>
  </si>
  <si>
    <t>企画Ｎo.</t>
    <rPh sb="0" eb="2">
      <t>キカク</t>
    </rPh>
    <phoneticPr fontId="1"/>
  </si>
  <si>
    <t>Ｍ＆Ｍ ＮＯ</t>
  </si>
  <si>
    <t>会員フラグ</t>
    <rPh sb="0" eb="2">
      <t>カイイン</t>
    </rPh>
    <phoneticPr fontId="1"/>
  </si>
  <si>
    <t>組合せ開始日</t>
    <rPh sb="0" eb="2">
      <t>クミアワ</t>
    </rPh>
    <rPh sb="3" eb="6">
      <t>カイシビ</t>
    </rPh>
    <phoneticPr fontId="1"/>
  </si>
  <si>
    <t>組合せ終了日</t>
    <rPh sb="0" eb="2">
      <t>クミアワ</t>
    </rPh>
    <rPh sb="3" eb="6">
      <t>シュウリョウビ</t>
    </rPh>
    <phoneticPr fontId="1"/>
  </si>
  <si>
    <t>企画区分</t>
    <rPh sb="0" eb="2">
      <t>キカク</t>
    </rPh>
    <rPh sb="2" eb="4">
      <t>クブン</t>
    </rPh>
    <phoneticPr fontId="1"/>
  </si>
  <si>
    <t>企画予算</t>
    <rPh sb="0" eb="2">
      <t>キカク</t>
    </rPh>
    <rPh sb="2" eb="4">
      <t>ヨサン</t>
    </rPh>
    <phoneticPr fontId="1"/>
  </si>
  <si>
    <t>組合せ自動削除日数</t>
    <rPh sb="0" eb="2">
      <t>クミアワ</t>
    </rPh>
    <rPh sb="3" eb="5">
      <t>ジドウ</t>
    </rPh>
    <rPh sb="5" eb="7">
      <t>サクジョ</t>
    </rPh>
    <rPh sb="7" eb="9">
      <t>ニッスウ</t>
    </rPh>
    <phoneticPr fontId="1"/>
  </si>
  <si>
    <t>組合せ優先区分</t>
    <rPh sb="0" eb="2">
      <t>クミアワ</t>
    </rPh>
    <rPh sb="3" eb="5">
      <t>ユウセン</t>
    </rPh>
    <rPh sb="5" eb="7">
      <t>クブン</t>
    </rPh>
    <phoneticPr fontId="1"/>
  </si>
  <si>
    <t>組合せ保留フラグ</t>
    <rPh sb="0" eb="2">
      <t>クミアワ</t>
    </rPh>
    <rPh sb="3" eb="5">
      <t>ホリュウ</t>
    </rPh>
    <phoneticPr fontId="1"/>
  </si>
  <si>
    <t>月曜日除外フラグ</t>
    <rPh sb="0" eb="3">
      <t>ゲツヨウビ</t>
    </rPh>
    <rPh sb="3" eb="5">
      <t>ジョガイ</t>
    </rPh>
    <phoneticPr fontId="1"/>
  </si>
  <si>
    <t>火曜日除外フラグ</t>
    <rPh sb="0" eb="3">
      <t>カヨウビ</t>
    </rPh>
    <rPh sb="3" eb="5">
      <t>ジョガイ</t>
    </rPh>
    <phoneticPr fontId="1"/>
  </si>
  <si>
    <t>水曜日除外フラグ</t>
    <rPh sb="0" eb="3">
      <t>スイヨウビ</t>
    </rPh>
    <rPh sb="3" eb="5">
      <t>ジョガイ</t>
    </rPh>
    <phoneticPr fontId="1"/>
  </si>
  <si>
    <t>木曜日除外フラグ</t>
    <rPh sb="0" eb="3">
      <t>モクヨウビ</t>
    </rPh>
    <rPh sb="3" eb="5">
      <t>ジョガイ</t>
    </rPh>
    <phoneticPr fontId="1"/>
  </si>
  <si>
    <t>金曜日除外フラグ</t>
    <rPh sb="0" eb="3">
      <t>キンヨウビ</t>
    </rPh>
    <rPh sb="3" eb="5">
      <t>ジョガイ</t>
    </rPh>
    <phoneticPr fontId="1"/>
  </si>
  <si>
    <t>土曜日除外フラグ</t>
    <rPh sb="0" eb="3">
      <t>ドヨウビ</t>
    </rPh>
    <rPh sb="3" eb="5">
      <t>ジョガイ</t>
    </rPh>
    <phoneticPr fontId="1"/>
  </si>
  <si>
    <t>日曜日除外フラグ</t>
    <rPh sb="0" eb="3">
      <t>ニチヨウビ</t>
    </rPh>
    <rPh sb="3" eb="5">
      <t>ジョガイ</t>
    </rPh>
    <phoneticPr fontId="1"/>
  </si>
  <si>
    <t>？？？？？？？？</t>
  </si>
  <si>
    <t>特売終了時間</t>
    <rPh sb="0" eb="2">
      <t>トクバイ</t>
    </rPh>
    <rPh sb="2" eb="4">
      <t>シュウリョウ</t>
    </rPh>
    <rPh sb="4" eb="6">
      <t>ジカン</t>
    </rPh>
    <phoneticPr fontId="1"/>
  </si>
  <si>
    <t>割引タイプ１</t>
    <rPh sb="0" eb="1">
      <t>ワリ</t>
    </rPh>
    <rPh sb="1" eb="2">
      <t>ヒ</t>
    </rPh>
    <phoneticPr fontId="1"/>
  </si>
  <si>
    <t>特売価格１</t>
    <rPh sb="0" eb="2">
      <t>トクバイ</t>
    </rPh>
    <rPh sb="2" eb="4">
      <t>カカク</t>
    </rPh>
    <phoneticPr fontId="1"/>
  </si>
  <si>
    <t>Ｍ＆Ｍ数</t>
    <rPh sb="3" eb="4">
      <t>スウリョウ</t>
    </rPh>
    <phoneticPr fontId="1"/>
  </si>
  <si>
    <t>Ｍ＆Ｍ売価</t>
    <rPh sb="3" eb="5">
      <t>バイカ</t>
    </rPh>
    <phoneticPr fontId="1"/>
  </si>
  <si>
    <t>割引タイプ２</t>
    <rPh sb="0" eb="2">
      <t>ワリビキ</t>
    </rPh>
    <phoneticPr fontId="1"/>
  </si>
  <si>
    <t>特売価格２</t>
    <rPh sb="0" eb="2">
      <t>トクバイ</t>
    </rPh>
    <rPh sb="2" eb="4">
      <t>カカク</t>
    </rPh>
    <phoneticPr fontId="1"/>
  </si>
  <si>
    <t>Ｍ＆Ｍ数２</t>
    <rPh sb="3" eb="4">
      <t>スウリョウ</t>
    </rPh>
    <phoneticPr fontId="1"/>
  </si>
  <si>
    <t>Ｍ＆Ｍ売価２</t>
    <rPh sb="3" eb="5">
      <t>バイカ</t>
    </rPh>
    <phoneticPr fontId="1"/>
  </si>
  <si>
    <t>割引タイプ３</t>
    <rPh sb="0" eb="2">
      <t>ワリビキ</t>
    </rPh>
    <phoneticPr fontId="1"/>
  </si>
  <si>
    <t>特売価格３</t>
    <rPh sb="0" eb="2">
      <t>トクバイ</t>
    </rPh>
    <rPh sb="2" eb="4">
      <t>カカク</t>
    </rPh>
    <phoneticPr fontId="1"/>
  </si>
  <si>
    <t>Ｍ＆Ｍ数３</t>
    <rPh sb="3" eb="4">
      <t>スウリョウ</t>
    </rPh>
    <phoneticPr fontId="1"/>
  </si>
  <si>
    <t>Ｍ＆Ｍ売価３</t>
    <rPh sb="3" eb="5">
      <t>バイカ</t>
    </rPh>
    <phoneticPr fontId="1"/>
  </si>
  <si>
    <t>割引タイプ４</t>
    <rPh sb="0" eb="2">
      <t>ワリビキ</t>
    </rPh>
    <phoneticPr fontId="1"/>
  </si>
  <si>
    <t>特売価格４</t>
    <rPh sb="0" eb="2">
      <t>トクバイ</t>
    </rPh>
    <rPh sb="2" eb="4">
      <t>カカク</t>
    </rPh>
    <phoneticPr fontId="1"/>
  </si>
  <si>
    <t>成立数量４</t>
    <rPh sb="0" eb="2">
      <t>セイリツ</t>
    </rPh>
    <rPh sb="2" eb="4">
      <t>スウリョウ</t>
    </rPh>
    <phoneticPr fontId="1"/>
  </si>
  <si>
    <t>成立価格４</t>
    <rPh sb="0" eb="2">
      <t>セイリツ</t>
    </rPh>
    <rPh sb="2" eb="4">
      <t>カカク</t>
    </rPh>
    <phoneticPr fontId="1"/>
  </si>
  <si>
    <t>割引タイプ５</t>
    <rPh sb="0" eb="2">
      <t>ワリビキ</t>
    </rPh>
    <phoneticPr fontId="1"/>
  </si>
  <si>
    <t>特売価格５</t>
    <rPh sb="0" eb="2">
      <t>トクバイ</t>
    </rPh>
    <rPh sb="2" eb="4">
      <t>カカク</t>
    </rPh>
    <phoneticPr fontId="1"/>
  </si>
  <si>
    <t>成立数量５</t>
    <rPh sb="0" eb="2">
      <t>セイリツ</t>
    </rPh>
    <rPh sb="2" eb="4">
      <t>スウリョウ</t>
    </rPh>
    <phoneticPr fontId="1"/>
  </si>
  <si>
    <t>成立価格５</t>
    <rPh sb="0" eb="2">
      <t>セイリツ</t>
    </rPh>
    <rPh sb="2" eb="4">
      <t>カカク</t>
    </rPh>
    <phoneticPr fontId="1"/>
  </si>
  <si>
    <t>割引タイプ６</t>
    <rPh sb="0" eb="2">
      <t>ワリビキ</t>
    </rPh>
    <phoneticPr fontId="1"/>
  </si>
  <si>
    <t>特売価格６</t>
    <rPh sb="0" eb="2">
      <t>トクバイ</t>
    </rPh>
    <rPh sb="2" eb="4">
      <t>カカク</t>
    </rPh>
    <phoneticPr fontId="1"/>
  </si>
  <si>
    <t>成立数量６</t>
    <rPh sb="0" eb="2">
      <t>セイリツ</t>
    </rPh>
    <rPh sb="2" eb="4">
      <t>スウリョウ</t>
    </rPh>
    <phoneticPr fontId="1"/>
  </si>
  <si>
    <t>成立価格６</t>
    <rPh sb="0" eb="2">
      <t>セイリツ</t>
    </rPh>
    <rPh sb="2" eb="4">
      <t>カカク</t>
    </rPh>
    <phoneticPr fontId="1"/>
  </si>
  <si>
    <t>割引タイプ７</t>
    <rPh sb="0" eb="2">
      <t>ワリビキ</t>
    </rPh>
    <phoneticPr fontId="1"/>
  </si>
  <si>
    <t>特売価格７</t>
    <rPh sb="0" eb="2">
      <t>トクバイ</t>
    </rPh>
    <rPh sb="2" eb="4">
      <t>カカク</t>
    </rPh>
    <phoneticPr fontId="1"/>
  </si>
  <si>
    <t>成立数量７</t>
    <rPh sb="0" eb="2">
      <t>セイリツ</t>
    </rPh>
    <rPh sb="2" eb="4">
      <t>スウリョウ</t>
    </rPh>
    <phoneticPr fontId="1"/>
  </si>
  <si>
    <t>成立価格７</t>
    <rPh sb="0" eb="2">
      <t>セイリツ</t>
    </rPh>
    <rPh sb="2" eb="4">
      <t>カカク</t>
    </rPh>
    <phoneticPr fontId="1"/>
  </si>
  <si>
    <t>割引タイプ８</t>
    <rPh sb="0" eb="2">
      <t>ワリビキ</t>
    </rPh>
    <phoneticPr fontId="1"/>
  </si>
  <si>
    <t>特売価格８</t>
    <rPh sb="0" eb="2">
      <t>トクバイ</t>
    </rPh>
    <rPh sb="2" eb="4">
      <t>カカク</t>
    </rPh>
    <phoneticPr fontId="1"/>
  </si>
  <si>
    <t>成立数量８</t>
    <rPh sb="0" eb="2">
      <t>セイリツ</t>
    </rPh>
    <rPh sb="2" eb="4">
      <t>スウリョウ</t>
    </rPh>
    <phoneticPr fontId="1"/>
  </si>
  <si>
    <t>成立価格８</t>
    <rPh sb="0" eb="2">
      <t>セイリツ</t>
    </rPh>
    <rPh sb="2" eb="4">
      <t>カカク</t>
    </rPh>
    <phoneticPr fontId="1"/>
  </si>
  <si>
    <t>割引タイプ９</t>
    <rPh sb="0" eb="2">
      <t>ワリビキ</t>
    </rPh>
    <phoneticPr fontId="1"/>
  </si>
  <si>
    <t>特売価格９</t>
    <rPh sb="0" eb="2">
      <t>トクバイ</t>
    </rPh>
    <rPh sb="2" eb="4">
      <t>カカク</t>
    </rPh>
    <phoneticPr fontId="1"/>
  </si>
  <si>
    <t>成立数量９</t>
    <rPh sb="0" eb="2">
      <t>セイリツ</t>
    </rPh>
    <rPh sb="2" eb="4">
      <t>スウリョウ</t>
    </rPh>
    <phoneticPr fontId="1"/>
  </si>
  <si>
    <t>成立価格９</t>
    <rPh sb="0" eb="2">
      <t>セイリツ</t>
    </rPh>
    <rPh sb="2" eb="4">
      <t>カカク</t>
    </rPh>
    <phoneticPr fontId="1"/>
  </si>
  <si>
    <t>割引タイプ１０</t>
    <rPh sb="0" eb="2">
      <t>ワリビキ</t>
    </rPh>
    <phoneticPr fontId="1"/>
  </si>
  <si>
    <t>特売価格１０</t>
    <rPh sb="0" eb="2">
      <t>トクバイ</t>
    </rPh>
    <rPh sb="2" eb="4">
      <t>カカク</t>
    </rPh>
    <phoneticPr fontId="1"/>
  </si>
  <si>
    <t>成立数量１０</t>
    <rPh sb="0" eb="2">
      <t>セイリツ</t>
    </rPh>
    <rPh sb="2" eb="4">
      <t>スウリョウ</t>
    </rPh>
    <phoneticPr fontId="1"/>
  </si>
  <si>
    <t>成立価格１０</t>
    <rPh sb="0" eb="2">
      <t>セイリツ</t>
    </rPh>
    <rPh sb="2" eb="4">
      <t>カカク</t>
    </rPh>
    <phoneticPr fontId="1"/>
  </si>
  <si>
    <t>事前組合せ開始日</t>
    <rPh sb="0" eb="2">
      <t>ジゼン</t>
    </rPh>
    <rPh sb="2" eb="4">
      <t>クミアワ</t>
    </rPh>
    <rPh sb="5" eb="8">
      <t>カイシビ</t>
    </rPh>
    <phoneticPr fontId="1"/>
  </si>
  <si>
    <t>事前割引タイプ１</t>
    <rPh sb="0" eb="2">
      <t>ジゼン</t>
    </rPh>
    <rPh sb="2" eb="4">
      <t>ワリビキ</t>
    </rPh>
    <phoneticPr fontId="1"/>
  </si>
  <si>
    <t>事前特売価格１</t>
    <rPh sb="0" eb="2">
      <t>ジゼン</t>
    </rPh>
    <rPh sb="2" eb="4">
      <t>トクバイ</t>
    </rPh>
    <rPh sb="4" eb="6">
      <t>カカク</t>
    </rPh>
    <phoneticPr fontId="1"/>
  </si>
  <si>
    <t>事前成立数量１</t>
    <rPh sb="0" eb="2">
      <t>ジゼン</t>
    </rPh>
    <rPh sb="2" eb="4">
      <t>セイリツ</t>
    </rPh>
    <rPh sb="4" eb="6">
      <t>スウリョウ</t>
    </rPh>
    <phoneticPr fontId="1"/>
  </si>
  <si>
    <t>事前成立価格１</t>
    <rPh sb="0" eb="2">
      <t>ジゼン</t>
    </rPh>
    <rPh sb="2" eb="4">
      <t>セイリツ</t>
    </rPh>
    <rPh sb="4" eb="6">
      <t>カカク</t>
    </rPh>
    <phoneticPr fontId="1"/>
  </si>
  <si>
    <t>事前割引タイプ２</t>
    <rPh sb="0" eb="2">
      <t>ジゼン</t>
    </rPh>
    <rPh sb="2" eb="4">
      <t>ワリビキ</t>
    </rPh>
    <phoneticPr fontId="1"/>
  </si>
  <si>
    <t>事前特売価格２</t>
    <rPh sb="0" eb="2">
      <t>ジゼン</t>
    </rPh>
    <rPh sb="2" eb="4">
      <t>トクバイ</t>
    </rPh>
    <rPh sb="4" eb="6">
      <t>カカク</t>
    </rPh>
    <phoneticPr fontId="1"/>
  </si>
  <si>
    <t>事前成立数量２</t>
    <rPh sb="0" eb="2">
      <t>ジゼン</t>
    </rPh>
    <rPh sb="2" eb="4">
      <t>セイリツ</t>
    </rPh>
    <rPh sb="4" eb="6">
      <t>スウリョウ</t>
    </rPh>
    <phoneticPr fontId="1"/>
  </si>
  <si>
    <t>事前成立価格２</t>
    <rPh sb="0" eb="2">
      <t>ジゼン</t>
    </rPh>
    <rPh sb="2" eb="4">
      <t>セイリツ</t>
    </rPh>
    <rPh sb="4" eb="6">
      <t>カカク</t>
    </rPh>
    <phoneticPr fontId="1"/>
  </si>
  <si>
    <t>事前割引タイプ3</t>
    <rPh sb="0" eb="2">
      <t>ジゼン</t>
    </rPh>
    <rPh sb="2" eb="4">
      <t>ワリビキ</t>
    </rPh>
    <phoneticPr fontId="1"/>
  </si>
  <si>
    <t>事前特売価格３</t>
    <rPh sb="0" eb="2">
      <t>ジゼン</t>
    </rPh>
    <rPh sb="2" eb="4">
      <t>トクバイ</t>
    </rPh>
    <rPh sb="4" eb="6">
      <t>カカク</t>
    </rPh>
    <phoneticPr fontId="1"/>
  </si>
  <si>
    <t>事前成立数量３</t>
    <rPh sb="0" eb="2">
      <t>ジゼン</t>
    </rPh>
    <rPh sb="2" eb="4">
      <t>セイリツ</t>
    </rPh>
    <rPh sb="4" eb="6">
      <t>スウリョウ</t>
    </rPh>
    <phoneticPr fontId="1"/>
  </si>
  <si>
    <t>事前成立価格３</t>
    <rPh sb="0" eb="2">
      <t>ジゼン</t>
    </rPh>
    <rPh sb="2" eb="4">
      <t>セイリツ</t>
    </rPh>
    <rPh sb="4" eb="6">
      <t>カカク</t>
    </rPh>
    <phoneticPr fontId="1"/>
  </si>
  <si>
    <t>事前割引タイプ４</t>
    <rPh sb="0" eb="2">
      <t>ジゼン</t>
    </rPh>
    <rPh sb="2" eb="4">
      <t>ワリビキ</t>
    </rPh>
    <phoneticPr fontId="1"/>
  </si>
  <si>
    <t>事前特売価格４</t>
    <rPh sb="0" eb="2">
      <t>ジゼン</t>
    </rPh>
    <rPh sb="2" eb="4">
      <t>トクバイ</t>
    </rPh>
    <rPh sb="4" eb="6">
      <t>カカク</t>
    </rPh>
    <phoneticPr fontId="1"/>
  </si>
  <si>
    <t>事前成立数量４</t>
    <rPh sb="0" eb="2">
      <t>ジゼン</t>
    </rPh>
    <rPh sb="2" eb="4">
      <t>セイリツ</t>
    </rPh>
    <rPh sb="4" eb="6">
      <t>スウリョウ</t>
    </rPh>
    <phoneticPr fontId="1"/>
  </si>
  <si>
    <t>事前成立価格４</t>
    <rPh sb="0" eb="2">
      <t>ジゼン</t>
    </rPh>
    <rPh sb="2" eb="4">
      <t>セイリツ</t>
    </rPh>
    <rPh sb="4" eb="6">
      <t>カカク</t>
    </rPh>
    <phoneticPr fontId="1"/>
  </si>
  <si>
    <t>事前割引タイプ5</t>
    <rPh sb="0" eb="2">
      <t>ジゼン</t>
    </rPh>
    <rPh sb="2" eb="4">
      <t>ワリビキ</t>
    </rPh>
    <phoneticPr fontId="1"/>
  </si>
  <si>
    <t>事前特売価格５</t>
    <rPh sb="0" eb="2">
      <t>ジゼン</t>
    </rPh>
    <rPh sb="2" eb="4">
      <t>トクバイ</t>
    </rPh>
    <rPh sb="4" eb="6">
      <t>カカク</t>
    </rPh>
    <phoneticPr fontId="1"/>
  </si>
  <si>
    <t>事前成立数量５</t>
    <rPh sb="0" eb="2">
      <t>ジゼン</t>
    </rPh>
    <rPh sb="2" eb="4">
      <t>セイリツ</t>
    </rPh>
    <rPh sb="4" eb="6">
      <t>スウリョウ</t>
    </rPh>
    <phoneticPr fontId="1"/>
  </si>
  <si>
    <t>事前成立価格５</t>
    <rPh sb="0" eb="2">
      <t>ジゼン</t>
    </rPh>
    <rPh sb="2" eb="4">
      <t>セイリツ</t>
    </rPh>
    <rPh sb="4" eb="6">
      <t>カカク</t>
    </rPh>
    <phoneticPr fontId="1"/>
  </si>
  <si>
    <t>事前割引タイプ6</t>
    <rPh sb="0" eb="2">
      <t>ジゼン</t>
    </rPh>
    <rPh sb="2" eb="4">
      <t>ワリビキ</t>
    </rPh>
    <phoneticPr fontId="1"/>
  </si>
  <si>
    <t>事前特売価格６</t>
    <rPh sb="0" eb="2">
      <t>ジゼン</t>
    </rPh>
    <rPh sb="2" eb="4">
      <t>トクバイ</t>
    </rPh>
    <rPh sb="4" eb="6">
      <t>カカク</t>
    </rPh>
    <phoneticPr fontId="1"/>
  </si>
  <si>
    <t>事前成立数量６</t>
    <rPh sb="0" eb="2">
      <t>ジゼン</t>
    </rPh>
    <rPh sb="2" eb="4">
      <t>セイリツ</t>
    </rPh>
    <rPh sb="4" eb="6">
      <t>スウリョウ</t>
    </rPh>
    <phoneticPr fontId="1"/>
  </si>
  <si>
    <t>事前成立価格６</t>
    <rPh sb="0" eb="2">
      <t>ジゼン</t>
    </rPh>
    <rPh sb="2" eb="4">
      <t>セイリツ</t>
    </rPh>
    <rPh sb="4" eb="6">
      <t>カカク</t>
    </rPh>
    <phoneticPr fontId="1"/>
  </si>
  <si>
    <t>事前割引タイプ７</t>
    <rPh sb="0" eb="2">
      <t>ジゼン</t>
    </rPh>
    <rPh sb="2" eb="4">
      <t>ワリビキ</t>
    </rPh>
    <phoneticPr fontId="1"/>
  </si>
  <si>
    <t>事前特売価格７</t>
    <rPh sb="0" eb="2">
      <t>ジゼン</t>
    </rPh>
    <rPh sb="2" eb="4">
      <t>トクバイ</t>
    </rPh>
    <rPh sb="4" eb="6">
      <t>カカク</t>
    </rPh>
    <phoneticPr fontId="1"/>
  </si>
  <si>
    <t>事前成立数量７</t>
    <rPh sb="0" eb="2">
      <t>ジゼン</t>
    </rPh>
    <rPh sb="2" eb="4">
      <t>セイリツ</t>
    </rPh>
    <rPh sb="4" eb="6">
      <t>スウリョウ</t>
    </rPh>
    <phoneticPr fontId="1"/>
  </si>
  <si>
    <t>事前成立価格７</t>
    <rPh sb="0" eb="2">
      <t>ジゼン</t>
    </rPh>
    <rPh sb="2" eb="4">
      <t>セイリツ</t>
    </rPh>
    <rPh sb="4" eb="6">
      <t>カカク</t>
    </rPh>
    <phoneticPr fontId="1"/>
  </si>
  <si>
    <t>事前割引タイプ８</t>
    <rPh sb="0" eb="2">
      <t>ジゼン</t>
    </rPh>
    <rPh sb="2" eb="4">
      <t>ワリビキ</t>
    </rPh>
    <phoneticPr fontId="1"/>
  </si>
  <si>
    <t>事前特売価格８</t>
    <rPh sb="0" eb="2">
      <t>ジゼン</t>
    </rPh>
    <rPh sb="2" eb="4">
      <t>トクバイ</t>
    </rPh>
    <rPh sb="4" eb="6">
      <t>カカク</t>
    </rPh>
    <phoneticPr fontId="1"/>
  </si>
  <si>
    <t>事前成立数量８</t>
    <rPh sb="0" eb="2">
      <t>ジゼン</t>
    </rPh>
    <rPh sb="2" eb="4">
      <t>セイリツ</t>
    </rPh>
    <rPh sb="4" eb="6">
      <t>スウリョウ</t>
    </rPh>
    <phoneticPr fontId="1"/>
  </si>
  <si>
    <t>事前成立価格８</t>
    <rPh sb="0" eb="2">
      <t>ジゼン</t>
    </rPh>
    <rPh sb="2" eb="4">
      <t>セイリツ</t>
    </rPh>
    <rPh sb="4" eb="6">
      <t>カカク</t>
    </rPh>
    <phoneticPr fontId="1"/>
  </si>
  <si>
    <t>事前割引タイプ９</t>
    <rPh sb="0" eb="2">
      <t>ジゼン</t>
    </rPh>
    <rPh sb="2" eb="4">
      <t>ワリビキ</t>
    </rPh>
    <phoneticPr fontId="1"/>
  </si>
  <si>
    <t>事前特売価格９</t>
    <rPh sb="0" eb="2">
      <t>ジゼン</t>
    </rPh>
    <rPh sb="2" eb="4">
      <t>トクバイ</t>
    </rPh>
    <rPh sb="4" eb="6">
      <t>カカク</t>
    </rPh>
    <phoneticPr fontId="1"/>
  </si>
  <si>
    <t>事前成立数量９</t>
  </si>
  <si>
    <t>事前成立価格９</t>
  </si>
  <si>
    <t>事前割引タイプ１０</t>
  </si>
  <si>
    <t>事前特売価格１０</t>
  </si>
  <si>
    <t>事前成立数量１０</t>
  </si>
  <si>
    <t>事前成立価格１０</t>
    <rPh sb="4" eb="6">
      <t>カカク</t>
    </rPh>
    <phoneticPr fontId="1"/>
  </si>
  <si>
    <t>継続組合せ終了日</t>
    <rPh sb="0" eb="2">
      <t>ケイゾク</t>
    </rPh>
    <rPh sb="2" eb="4">
      <t>クミアワ</t>
    </rPh>
    <rPh sb="5" eb="8">
      <t>シュウリョウビ</t>
    </rPh>
    <phoneticPr fontId="1"/>
  </si>
  <si>
    <t>継続割引タイプ１</t>
    <rPh sb="0" eb="2">
      <t>ケイゾク</t>
    </rPh>
    <rPh sb="2" eb="4">
      <t>ワリビキ</t>
    </rPh>
    <phoneticPr fontId="1"/>
  </si>
  <si>
    <t>継続特売価格１</t>
    <rPh sb="0" eb="2">
      <t>ケイゾク</t>
    </rPh>
    <rPh sb="2" eb="4">
      <t>トクバイ</t>
    </rPh>
    <rPh sb="4" eb="6">
      <t>カカク</t>
    </rPh>
    <phoneticPr fontId="1"/>
  </si>
  <si>
    <t>継続成立数量１</t>
    <rPh sb="0" eb="2">
      <t>ケイゾク</t>
    </rPh>
    <phoneticPr fontId="1"/>
  </si>
  <si>
    <t>継続成立価格１</t>
    <rPh sb="0" eb="2">
      <t>ケイゾク</t>
    </rPh>
    <phoneticPr fontId="1"/>
  </si>
  <si>
    <t>継続割引タイプ２</t>
    <rPh sb="0" eb="2">
      <t>ケイゾク</t>
    </rPh>
    <phoneticPr fontId="1"/>
  </si>
  <si>
    <t>継続特売価格２</t>
    <rPh sb="0" eb="2">
      <t>ケイゾク</t>
    </rPh>
    <phoneticPr fontId="1"/>
  </si>
  <si>
    <t>継続成立数量２</t>
    <rPh sb="0" eb="2">
      <t>ケイゾク</t>
    </rPh>
    <phoneticPr fontId="1"/>
  </si>
  <si>
    <t>継続成立価格2</t>
    <rPh sb="0" eb="2">
      <t>ケイゾク</t>
    </rPh>
    <phoneticPr fontId="1"/>
  </si>
  <si>
    <t>継続割引タイプ３</t>
    <rPh sb="0" eb="2">
      <t>ケイゾク</t>
    </rPh>
    <phoneticPr fontId="1"/>
  </si>
  <si>
    <t>継続特売価格３</t>
    <rPh sb="0" eb="2">
      <t>ケイゾク</t>
    </rPh>
    <phoneticPr fontId="1"/>
  </si>
  <si>
    <t>継続成立数量3</t>
    <rPh sb="0" eb="2">
      <t>ケイゾク</t>
    </rPh>
    <phoneticPr fontId="1"/>
  </si>
  <si>
    <t>継続成立価格3</t>
    <rPh sb="0" eb="2">
      <t>ケイゾク</t>
    </rPh>
    <phoneticPr fontId="1"/>
  </si>
  <si>
    <t>継続割引タイプ４</t>
    <rPh sb="0" eb="2">
      <t>ケイゾク</t>
    </rPh>
    <phoneticPr fontId="1"/>
  </si>
  <si>
    <t>継続特売価格4</t>
    <rPh sb="0" eb="2">
      <t>ケイゾク</t>
    </rPh>
    <phoneticPr fontId="1"/>
  </si>
  <si>
    <t>継続成立数量4</t>
    <rPh sb="0" eb="2">
      <t>ケイゾク</t>
    </rPh>
    <phoneticPr fontId="1"/>
  </si>
  <si>
    <t>継続成立価格4</t>
    <rPh sb="0" eb="2">
      <t>ケイゾク</t>
    </rPh>
    <phoneticPr fontId="1"/>
  </si>
  <si>
    <t>継続割引タイプ5</t>
    <rPh sb="0" eb="2">
      <t>ケイゾク</t>
    </rPh>
    <phoneticPr fontId="1"/>
  </si>
  <si>
    <t>継続特売価格5</t>
    <rPh sb="0" eb="2">
      <t>ケイゾク</t>
    </rPh>
    <phoneticPr fontId="1"/>
  </si>
  <si>
    <t>継続成立数量5</t>
    <rPh sb="0" eb="2">
      <t>ケイゾク</t>
    </rPh>
    <phoneticPr fontId="1"/>
  </si>
  <si>
    <t>継続成立価格5</t>
    <rPh sb="0" eb="2">
      <t>ケイゾク</t>
    </rPh>
    <phoneticPr fontId="1"/>
  </si>
  <si>
    <t>継続割引タイプ6</t>
    <rPh sb="0" eb="2">
      <t>ケイゾク</t>
    </rPh>
    <phoneticPr fontId="1"/>
  </si>
  <si>
    <t>継続特売価格6</t>
    <rPh sb="0" eb="2">
      <t>ケイゾク</t>
    </rPh>
    <rPh sb="2" eb="4">
      <t>トクバイ</t>
    </rPh>
    <rPh sb="4" eb="6">
      <t>カカク</t>
    </rPh>
    <phoneticPr fontId="1"/>
  </si>
  <si>
    <t>継続成立数量6</t>
    <rPh sb="0" eb="2">
      <t>ケイゾク</t>
    </rPh>
    <rPh sb="2" eb="4">
      <t>セイリツ</t>
    </rPh>
    <rPh sb="4" eb="6">
      <t>スウリョウ</t>
    </rPh>
    <phoneticPr fontId="1"/>
  </si>
  <si>
    <t>継続成立価格6</t>
    <rPh sb="0" eb="2">
      <t>ケイゾク</t>
    </rPh>
    <rPh sb="2" eb="4">
      <t>セイリツ</t>
    </rPh>
    <rPh sb="4" eb="6">
      <t>カカク</t>
    </rPh>
    <phoneticPr fontId="1"/>
  </si>
  <si>
    <t>継続割引タイプ7</t>
    <rPh sb="0" eb="2">
      <t>ケイゾク</t>
    </rPh>
    <rPh sb="2" eb="4">
      <t>ワリビキ</t>
    </rPh>
    <phoneticPr fontId="1"/>
  </si>
  <si>
    <t>継続特売価格7</t>
    <rPh sb="0" eb="2">
      <t>ケイゾク</t>
    </rPh>
    <rPh sb="2" eb="4">
      <t>トクバイ</t>
    </rPh>
    <rPh sb="4" eb="6">
      <t>カカク</t>
    </rPh>
    <phoneticPr fontId="1"/>
  </si>
  <si>
    <t>継続成立数量7</t>
    <rPh sb="0" eb="2">
      <t>ケイゾク</t>
    </rPh>
    <rPh sb="2" eb="4">
      <t>セイリツ</t>
    </rPh>
    <rPh sb="4" eb="6">
      <t>スウリョウ</t>
    </rPh>
    <phoneticPr fontId="1"/>
  </si>
  <si>
    <t>継続成立価格7</t>
    <rPh sb="0" eb="2">
      <t>ケイゾク</t>
    </rPh>
    <rPh sb="2" eb="4">
      <t>セイリツ</t>
    </rPh>
    <rPh sb="4" eb="6">
      <t>カカク</t>
    </rPh>
    <phoneticPr fontId="1"/>
  </si>
  <si>
    <t>継続割引タイプ8</t>
    <rPh sb="0" eb="2">
      <t>ケイゾク</t>
    </rPh>
    <phoneticPr fontId="1"/>
  </si>
  <si>
    <t>継続特売価格8</t>
    <rPh sb="0" eb="2">
      <t>ケイゾク</t>
    </rPh>
    <phoneticPr fontId="1"/>
  </si>
  <si>
    <t>継続成立数量8</t>
    <rPh sb="0" eb="2">
      <t>ケイゾク</t>
    </rPh>
    <phoneticPr fontId="1"/>
  </si>
  <si>
    <t>継続成立価格8</t>
    <rPh sb="2" eb="4">
      <t>セイリツ</t>
    </rPh>
    <rPh sb="4" eb="6">
      <t>カカク</t>
    </rPh>
    <phoneticPr fontId="1"/>
  </si>
  <si>
    <t>継続割引タイプ9</t>
  </si>
  <si>
    <t>継続特売価格9</t>
  </si>
  <si>
    <t>継続成立数量9</t>
  </si>
  <si>
    <t>継続成立価格9</t>
  </si>
  <si>
    <t>継続割引タイプ１０</t>
    <rPh sb="0" eb="2">
      <t>ケイゾク</t>
    </rPh>
    <rPh sb="2" eb="4">
      <t>ワリビキ</t>
    </rPh>
    <phoneticPr fontId="1"/>
  </si>
  <si>
    <t>継続特売価格１０</t>
    <rPh sb="2" eb="4">
      <t>トクバイ</t>
    </rPh>
    <rPh sb="4" eb="6">
      <t>カカク</t>
    </rPh>
    <phoneticPr fontId="1"/>
  </si>
  <si>
    <t>継続成立数量１０</t>
    <rPh sb="4" eb="6">
      <t>スウリョウ</t>
    </rPh>
    <phoneticPr fontId="1"/>
  </si>
  <si>
    <t>継続成立価格１０</t>
  </si>
  <si>
    <t>商品階層コード</t>
    <rPh sb="0" eb="2">
      <t>ショウヒン</t>
    </rPh>
    <rPh sb="2" eb="4">
      <t>カイソウ</t>
    </rPh>
    <phoneticPr fontId="1"/>
  </si>
  <si>
    <t>ＰＬU属性</t>
    <rPh sb="3" eb="5">
      <t>ゾクセイ</t>
    </rPh>
    <phoneticPr fontId="1"/>
  </si>
  <si>
    <t>ALTコード</t>
  </si>
  <si>
    <t>割引グループID</t>
    <rPh sb="0" eb="2">
      <t>ワリビキ</t>
    </rPh>
    <phoneticPr fontId="1"/>
  </si>
  <si>
    <t>AUXコード</t>
  </si>
  <si>
    <t>割引タイプ</t>
    <rPh sb="0" eb="2">
      <t>ワリビキ</t>
    </rPh>
    <phoneticPr fontId="1"/>
  </si>
  <si>
    <t>割引クラスID</t>
    <rPh sb="0" eb="2">
      <t>ワリビキ</t>
    </rPh>
    <phoneticPr fontId="1"/>
  </si>
  <si>
    <t>個数制限</t>
    <rPh sb="0" eb="2">
      <t>コスウ</t>
    </rPh>
    <rPh sb="2" eb="4">
      <t>セイゲン</t>
    </rPh>
    <phoneticPr fontId="1"/>
  </si>
  <si>
    <t>特売最大値引き額</t>
    <rPh sb="0" eb="2">
      <t>トクバイ</t>
    </rPh>
    <rPh sb="2" eb="5">
      <t>サイダイチ</t>
    </rPh>
    <rPh sb="5" eb="6">
      <t>ヒ</t>
    </rPh>
    <rPh sb="7" eb="8">
      <t>ガク</t>
    </rPh>
    <phoneticPr fontId="1"/>
  </si>
  <si>
    <t>バッチＮo.</t>
  </si>
  <si>
    <t>数量</t>
    <rPh sb="0" eb="2">
      <t>スウリョウ</t>
    </rPh>
    <phoneticPr fontId="1"/>
  </si>
  <si>
    <t>AUXコード2</t>
  </si>
  <si>
    <t>PLU属性２</t>
    <rPh sb="3" eb="5">
      <t>ゾクセイ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</si>
  <si>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</si>
  <si>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</si>
  <si>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PARNT_ENVT_ID</t>
  </si>
  <si>
    <t>DESCR</t>
  </si>
  <si>
    <t>EVNT_TYP</t>
  </si>
  <si>
    <t>EVNT_BDGT</t>
  </si>
  <si>
    <t>EVNT_DEL_DY</t>
  </si>
  <si>
    <t>DISC_MTHD1</t>
  </si>
  <si>
    <t>DISC_VALUE1</t>
  </si>
  <si>
    <t>MIN_QTY1</t>
  </si>
  <si>
    <t>MIN_AMT1</t>
  </si>
  <si>
    <t>DISC_MTHD2</t>
  </si>
  <si>
    <t>DISC_VALUE2</t>
  </si>
  <si>
    <t>MIN_QTY2</t>
  </si>
  <si>
    <t>MIN_AMT2</t>
  </si>
  <si>
    <t>DISC_MTHD3</t>
  </si>
  <si>
    <t>DISC_VALUE3</t>
  </si>
  <si>
    <t>MIN_QTY3</t>
  </si>
  <si>
    <t>MIN_AMT3</t>
  </si>
  <si>
    <t>DISC_MTHD4</t>
  </si>
  <si>
    <t>DISC_VALUE4</t>
  </si>
  <si>
    <t>MIN_QTY4</t>
  </si>
  <si>
    <t>MIN_AMT4</t>
  </si>
  <si>
    <t>DISC_MTHD5</t>
  </si>
  <si>
    <t>DISC_VALUE5</t>
  </si>
  <si>
    <t>MIN_QTY5</t>
  </si>
  <si>
    <t>MIN_AMT5</t>
  </si>
  <si>
    <t>DISC_MTHD6</t>
  </si>
  <si>
    <t>DISC_VALUE6</t>
  </si>
  <si>
    <t>MIN_QTY6</t>
  </si>
  <si>
    <t>MIN_AMT6</t>
  </si>
  <si>
    <t>DISC_MTHD7</t>
  </si>
  <si>
    <t>DISC_VALUE7</t>
  </si>
  <si>
    <t>MIN_QTY7</t>
  </si>
  <si>
    <t>MIN_AMT7</t>
  </si>
  <si>
    <t>DISC_MTHD8</t>
  </si>
  <si>
    <t>DISC_VALUE8</t>
  </si>
  <si>
    <t>MIN_QTY8</t>
  </si>
  <si>
    <t>MIN_AMT8</t>
  </si>
  <si>
    <t>DISC_MTHD9</t>
  </si>
  <si>
    <t>DISC_VALUE9</t>
  </si>
  <si>
    <t>MIN_QTY9</t>
  </si>
  <si>
    <t>MIN_AMT9</t>
  </si>
  <si>
    <t>DISC_MTHD10</t>
  </si>
  <si>
    <t>DISC_VALUE10</t>
  </si>
  <si>
    <t>MIN_QTY10</t>
  </si>
  <si>
    <t>MIN_AMT10</t>
  </si>
  <si>
    <t>BFR_PRACTICE_BGN_TM</t>
  </si>
  <si>
    <t>EVNT_DISC_MTHD1</t>
  </si>
  <si>
    <t>EVNT_DISC_VALUE1</t>
  </si>
  <si>
    <t>EVNT_MIN_QTY1</t>
  </si>
  <si>
    <t>EVNT_MIN_AMT1</t>
  </si>
  <si>
    <t>EVNT_DISC_MTHD2</t>
  </si>
  <si>
    <t>EVNT_DISC_VALUE2</t>
  </si>
  <si>
    <t>EVNT_MIN_QTY2</t>
  </si>
  <si>
    <t>EVNT_MIN_AMT2</t>
  </si>
  <si>
    <t>EVNT_DISC_MTHD3</t>
  </si>
  <si>
    <t>EVNT_DISC_VALUE3</t>
  </si>
  <si>
    <t>EVNT_MIN_QTY3</t>
  </si>
  <si>
    <t>EVNT_MIN_AMT3</t>
  </si>
  <si>
    <t>EVNT_DISC_MTHD4</t>
  </si>
  <si>
    <t>EVNT_DISC_VALUE4</t>
  </si>
  <si>
    <t>EVNT_MIN_QTY4</t>
  </si>
  <si>
    <t>EVNT_MIN_AMT4</t>
  </si>
  <si>
    <t>EVNT_DISC_MTHD5</t>
  </si>
  <si>
    <t>EVNT_DISC_VALUE5</t>
  </si>
  <si>
    <t>EVNT_MIN_QTY5</t>
  </si>
  <si>
    <t>EVNT_MIN_AMT5</t>
  </si>
  <si>
    <t>EVNT_DISC_MTHD6</t>
  </si>
  <si>
    <t>EVNT_DISC_VALUE6</t>
  </si>
  <si>
    <t>EVNT_MIN_QTY6</t>
  </si>
  <si>
    <t>EVNT_MIN_AMT6</t>
  </si>
  <si>
    <t>EVNT_DISC_MTHD7</t>
  </si>
  <si>
    <t>EVNT_DISC_VALUE7</t>
  </si>
  <si>
    <t>EVNT_MIN_QTY7</t>
  </si>
  <si>
    <t>EVNT_MIN_AMT7</t>
  </si>
  <si>
    <t>EVNT_DISC_MTHD8</t>
  </si>
  <si>
    <t>EVNT_DISC_VALUE8</t>
  </si>
  <si>
    <t>BFR_MIN_QTY8</t>
  </si>
  <si>
    <t>BFR_MIN_AMT8</t>
  </si>
  <si>
    <t>BFR_DISC_MTHD9</t>
  </si>
  <si>
    <t>BFR_DISC_VALUE9</t>
  </si>
  <si>
    <t>BFR_MIN_QTY9</t>
  </si>
  <si>
    <t>BFR_MIN_AMT9</t>
  </si>
  <si>
    <t>BFR_DISC_MTHD10</t>
  </si>
  <si>
    <t>BFR_MIN_QTY10</t>
  </si>
  <si>
    <t>BFR_MIN_AMT10</t>
  </si>
  <si>
    <t>AFT_PRCTICE_END_TM</t>
  </si>
  <si>
    <t>AFT_DISC_MTHD1</t>
  </si>
  <si>
    <t>AFT_DISC_VALUE1</t>
  </si>
  <si>
    <t>AFT_MIN_QTY1</t>
  </si>
  <si>
    <t>AFT_MIN_AMT1</t>
  </si>
  <si>
    <t>AFT_DISC_MTHD2</t>
  </si>
  <si>
    <t>AFT_DISC_VALUE2</t>
  </si>
  <si>
    <t>AFT_MIN_QTY2</t>
  </si>
  <si>
    <t>AFT_MIN_AMT2</t>
  </si>
  <si>
    <t>AFT_DISC_MTHD3</t>
  </si>
  <si>
    <t>AFT_DISC_VALUE3</t>
  </si>
  <si>
    <t>AFT_MIN_QTY3</t>
  </si>
  <si>
    <t>AFT_MIN_AMT3</t>
  </si>
  <si>
    <t>AFT_DISC_MTHD4</t>
  </si>
  <si>
    <t>AFT_DISC_VALUE4</t>
  </si>
  <si>
    <t>AFT_MIN_QTY4</t>
  </si>
  <si>
    <t>AFT_MIN_AMT4</t>
  </si>
  <si>
    <t>AFT_DISC_MTHD5</t>
  </si>
  <si>
    <t>AFT_DISC_VALUE5</t>
  </si>
  <si>
    <t>AFT_MIN_QTY5</t>
  </si>
  <si>
    <t>AFT_MIN_AMT5</t>
  </si>
  <si>
    <t>AFT_DISC_MTHD6</t>
  </si>
  <si>
    <t>AFT_DISC_VALUE6</t>
  </si>
  <si>
    <t>AFT_MIN_QTY6</t>
  </si>
  <si>
    <t>AFT_MIN_AMT6</t>
  </si>
  <si>
    <t>AFT_DISC_MTHD7</t>
  </si>
  <si>
    <t>AFT_DISC_VALUE7</t>
  </si>
  <si>
    <t>AFT_MIN_QTY7</t>
  </si>
  <si>
    <t>AFT_MIN_AMT7</t>
  </si>
  <si>
    <t>AFT_DISC_MTHD8</t>
  </si>
  <si>
    <t>AFT_DISC_VALUE8</t>
  </si>
  <si>
    <t>AFT_MIN_QTY8</t>
  </si>
  <si>
    <t>AFT_MIN_AMT8</t>
  </si>
  <si>
    <t>AFT_DISC_MTHD9</t>
  </si>
  <si>
    <t>AFT_DISC_VALUE9</t>
  </si>
  <si>
    <t>AFT_MIN_QTY9</t>
  </si>
  <si>
    <t>AFT_MIN_AMT9</t>
  </si>
  <si>
    <t>AFT_DISC_MTHD10</t>
  </si>
  <si>
    <t>AFT_DISC_VALUE10</t>
  </si>
  <si>
    <t>AFT_MIN_QTY10</t>
  </si>
  <si>
    <t>AFT_MIN_AMT10</t>
  </si>
  <si>
    <t>ALT_CD</t>
  </si>
  <si>
    <t>DISC_CLSS_ID</t>
  </si>
  <si>
    <t>QTY</t>
  </si>
  <si>
    <t>YOBI1</t>
  </si>
  <si>
    <t>YOBI1</t>
    <phoneticPr fontId="2"/>
  </si>
  <si>
    <t>Ａ：登録　Ｕ：更新　Ｄ：削除</t>
  </si>
  <si>
    <t>更新区分によりセット（ＡまたはＵまたはＤ）</t>
  </si>
  <si>
    <t>店舗コードをセット</t>
  </si>
  <si>
    <t xml:space="preserve"> </t>
  </si>
  <si>
    <t>左詰  企画マスタに存在すること</t>
    <rPh sb="0" eb="2">
      <t>ヒダリヅメ</t>
    </rPh>
    <rPh sb="4" eb="6">
      <t>キカク</t>
    </rPh>
    <rPh sb="10" eb="12">
      <t>ソンザイ</t>
    </rPh>
    <phoneticPr fontId="1"/>
  </si>
  <si>
    <t>プロモーションＮＯをセット</t>
  </si>
  <si>
    <t>数字２桁 左詰め</t>
    <rPh sb="0" eb="2">
      <t>スウジ</t>
    </rPh>
    <rPh sb="3" eb="4">
      <t>ケタ</t>
    </rPh>
    <rPh sb="5" eb="6">
      <t>ヒダリ</t>
    </rPh>
    <rPh sb="6" eb="7">
      <t>ツ</t>
    </rPh>
    <phoneticPr fontId="1"/>
  </si>
  <si>
    <t>Ｍ＆ＭＮＯをセット</t>
  </si>
  <si>
    <t>０：一般組合せ  １：会員組合せ</t>
    <rPh sb="2" eb="4">
      <t>イッパン</t>
    </rPh>
    <rPh sb="4" eb="6">
      <t>クミアワ</t>
    </rPh>
    <rPh sb="11" eb="13">
      <t>カイイン</t>
    </rPh>
    <rPh sb="13" eb="15">
      <t>クミアワ</t>
    </rPh>
    <phoneticPr fontId="1"/>
  </si>
  <si>
    <t>０をセット</t>
  </si>
  <si>
    <t>左詰  数字で最大19桁。特にＰＬUコードを使用しない場合はｽｷｬﾝｺｰﾄﾞと同じ値を入れておくこと</t>
    <rPh sb="0" eb="2">
      <t>ヒダリヅメ</t>
    </rPh>
    <rPh sb="4" eb="6">
      <t>スウジ</t>
    </rPh>
    <rPh sb="7" eb="9">
      <t>サイダイ</t>
    </rPh>
    <rPh sb="9" eb="12">
      <t>１９ケタ</t>
    </rPh>
    <rPh sb="13" eb="14">
      <t>トク</t>
    </rPh>
    <rPh sb="22" eb="24">
      <t>シヨウ</t>
    </rPh>
    <rPh sb="27" eb="29">
      <t>バアイ</t>
    </rPh>
    <rPh sb="39" eb="40">
      <t>オナ</t>
    </rPh>
    <rPh sb="41" eb="42">
      <t>アタイ</t>
    </rPh>
    <rPh sb="43" eb="44">
      <t>イ</t>
    </rPh>
    <phoneticPr fontId="1"/>
  </si>
  <si>
    <t>部門＋商品コードをセット</t>
  </si>
  <si>
    <t>販売開始日をセット</t>
  </si>
  <si>
    <t>販売終了日をセット</t>
  </si>
  <si>
    <t>２：バンドルミックス  ６：ペア</t>
  </si>
  <si>
    <t>２をセット</t>
  </si>
  <si>
    <t>００７をセット</t>
  </si>
  <si>
    <t>現在1固定  ０：店舗優先  １：本部優先</t>
    <rPh sb="0" eb="2">
      <t>ゲンザイ</t>
    </rPh>
    <rPh sb="3" eb="5">
      <t>コテイ</t>
    </rPh>
    <rPh sb="9" eb="11">
      <t>テンポ</t>
    </rPh>
    <rPh sb="11" eb="13">
      <t>ユウセン</t>
    </rPh>
    <rPh sb="17" eb="19">
      <t>ホンブ</t>
    </rPh>
    <rPh sb="19" eb="21">
      <t>ユウセン</t>
    </rPh>
    <phoneticPr fontId="1"/>
  </si>
  <si>
    <t>１をセット</t>
  </si>
  <si>
    <t>０：保留しない  １：保留する</t>
    <rPh sb="2" eb="4">
      <t>ホリュウ</t>
    </rPh>
    <rPh sb="11" eb="13">
      <t>ホリュウ</t>
    </rPh>
    <phoneticPr fontId="1"/>
  </si>
  <si>
    <t>０：期間  １：期間＆曜日  ２：期間&amp;時間  ３：期間&amp;時間&amp;曜日</t>
    <rPh sb="2" eb="4">
      <t>キカン</t>
    </rPh>
    <rPh sb="8" eb="10">
      <t>キカン</t>
    </rPh>
    <rPh sb="11" eb="13">
      <t>ヨウビ</t>
    </rPh>
    <rPh sb="17" eb="19">
      <t>キカン</t>
    </rPh>
    <rPh sb="20" eb="22">
      <t>ジカン</t>
    </rPh>
    <rPh sb="26" eb="28">
      <t>キカン</t>
    </rPh>
    <rPh sb="29" eb="31">
      <t>ジカン</t>
    </rPh>
    <rPh sb="32" eb="34">
      <t>ヨウビ</t>
    </rPh>
    <phoneticPr fontId="1"/>
  </si>
  <si>
    <t>ＨＨＭＭ形式で4桁フルに設定すること（24時間制）</t>
    <rPh sb="4" eb="6">
      <t>ケイシキ</t>
    </rPh>
    <rPh sb="7" eb="9">
      <t>４ケタ</t>
    </rPh>
    <rPh sb="12" eb="14">
      <t>セッテイ</t>
    </rPh>
    <rPh sb="21" eb="24">
      <t>ジカンセイ</t>
    </rPh>
    <phoneticPr fontId="1"/>
  </si>
  <si>
    <t>　</t>
  </si>
  <si>
    <t>企画区分が  ２のとき１１   ６のとき１８</t>
    <rPh sb="0" eb="2">
      <t>キカク</t>
    </rPh>
    <rPh sb="2" eb="4">
      <t>クブン</t>
    </rPh>
    <phoneticPr fontId="1"/>
  </si>
  <si>
    <t>１１をセット</t>
  </si>
  <si>
    <t>成立個数を設定する（２以上）   必要がない場合は０とする。</t>
    <rPh sb="0" eb="2">
      <t>セイリツ</t>
    </rPh>
    <rPh sb="2" eb="4">
      <t>コスウ</t>
    </rPh>
    <rPh sb="5" eb="7">
      <t>セッテイ</t>
    </rPh>
    <rPh sb="11" eb="13">
      <t>イジョウ</t>
    </rPh>
    <rPh sb="17" eb="19">
      <t>ヒツヨウ</t>
    </rPh>
    <rPh sb="22" eb="24">
      <t>バアイ</t>
    </rPh>
    <phoneticPr fontId="1"/>
  </si>
  <si>
    <t>Ｍ＆Ｍ数をセット</t>
  </si>
  <si>
    <t>成立価格を設定する。</t>
    <rPh sb="0" eb="2">
      <t>セイリツ</t>
    </rPh>
    <rPh sb="2" eb="4">
      <t>カカク</t>
    </rPh>
    <rPh sb="5" eb="7">
      <t>セッテイ</t>
    </rPh>
    <phoneticPr fontId="1"/>
  </si>
  <si>
    <t>Ｍ＆Ｍ売価をセット</t>
  </si>
  <si>
    <t>割引タイプ２～１０は多段階バンドルを行いたい場合のみ設定すること。</t>
    <rPh sb="0" eb="2">
      <t>ワリビキ</t>
    </rPh>
    <rPh sb="10" eb="13">
      <t>タダンカイ</t>
    </rPh>
    <rPh sb="18" eb="19">
      <t>オコナ</t>
    </rPh>
    <rPh sb="22" eb="24">
      <t>バアイ</t>
    </rPh>
    <rPh sb="26" eb="28">
      <t>セッテイ</t>
    </rPh>
    <phoneticPr fontId="1"/>
  </si>
  <si>
    <t>必要に応じてセット</t>
  </si>
  <si>
    <t>必要がない場合は０とする。  現在未使用  ０固定</t>
    <rPh sb="0" eb="2">
      <t>ヒツヨウ</t>
    </rPh>
    <rPh sb="5" eb="7">
      <t>バアイ</t>
    </rPh>
    <rPh sb="15" eb="17">
      <t>ゲンザイ</t>
    </rPh>
    <rPh sb="17" eb="20">
      <t>ミシヨウ</t>
    </rPh>
    <rPh sb="23" eb="25">
      <t>コテイ</t>
    </rPh>
    <phoneticPr fontId="1"/>
  </si>
  <si>
    <t>成立個数を設定する（成立数量１より大きい値を設定すること）必要ない場合は０を設定</t>
    <rPh sb="0" eb="2">
      <t>セイリツ</t>
    </rPh>
    <rPh sb="2" eb="4">
      <t>コスウ</t>
    </rPh>
    <rPh sb="5" eb="7">
      <t>セッテイ</t>
    </rPh>
    <rPh sb="10" eb="12">
      <t>セイリツ</t>
    </rPh>
    <rPh sb="12" eb="14">
      <t>スウリョウ</t>
    </rPh>
    <rPh sb="17" eb="18">
      <t>オオ</t>
    </rPh>
    <rPh sb="20" eb="21">
      <t>アタイ</t>
    </rPh>
    <rPh sb="22" eb="24">
      <t>セッテイ</t>
    </rPh>
    <rPh sb="29" eb="31">
      <t>ヒツヨウ</t>
    </rPh>
    <rPh sb="33" eb="35">
      <t>バアイ</t>
    </rPh>
    <rPh sb="38" eb="40">
      <t>セッテイ</t>
    </rPh>
    <phoneticPr fontId="1"/>
  </si>
  <si>
    <t>０またはＭ＆Ｍ数をセット</t>
  </si>
  <si>
    <t>成立価格を設定する（成立価格１より大きい値を設定すること）必要ない場合は０を設定</t>
    <rPh sb="0" eb="2">
      <t>セイリツ</t>
    </rPh>
    <rPh sb="2" eb="4">
      <t>カカク</t>
    </rPh>
    <rPh sb="5" eb="7">
      <t>セッテイ</t>
    </rPh>
    <rPh sb="10" eb="12">
      <t>セイリツ</t>
    </rPh>
    <rPh sb="12" eb="14">
      <t>カカク</t>
    </rPh>
    <rPh sb="17" eb="18">
      <t>オオ</t>
    </rPh>
    <rPh sb="20" eb="21">
      <t>アタイ</t>
    </rPh>
    <rPh sb="22" eb="24">
      <t>セッテイ</t>
    </rPh>
    <rPh sb="29" eb="31">
      <t>ヒツヨウ</t>
    </rPh>
    <rPh sb="33" eb="35">
      <t>バアイ</t>
    </rPh>
    <rPh sb="38" eb="40">
      <t>セッテイ</t>
    </rPh>
    <phoneticPr fontId="1"/>
  </si>
  <si>
    <t>必要ない場合はＮullとする。</t>
    <rPh sb="0" eb="2">
      <t>ヒツヨウ</t>
    </rPh>
    <rPh sb="4" eb="6">
      <t>バアイ</t>
    </rPh>
    <phoneticPr fontId="1"/>
  </si>
  <si>
    <t>必要ない場合は０を設定</t>
    <rPh sb="0" eb="2">
      <t>ヒツヨウ</t>
    </rPh>
    <rPh sb="4" eb="6">
      <t>バアイ</t>
    </rPh>
    <rPh sb="9" eb="11">
      <t>セッテイ</t>
    </rPh>
    <phoneticPr fontId="1"/>
  </si>
  <si>
    <t>現在未使用   ０固定</t>
    <rPh sb="0" eb="2">
      <t>ゲンザイ</t>
    </rPh>
    <rPh sb="2" eb="5">
      <t>ミシヨウ</t>
    </rPh>
    <rPh sb="9" eb="11">
      <t>コテイ</t>
    </rPh>
    <phoneticPr fontId="1"/>
  </si>
  <si>
    <t>企画区分と会員フラグより2，3，10，11のいずれかを設定する。  ２：ﾊﾞﾝﾄﾞﾙﾐｯｸｽ一般  ３：ﾊﾞﾝﾄﾞﾙﾐｯｸｽ会員</t>
    <rPh sb="5" eb="7">
      <t>カイイン</t>
    </rPh>
    <rPh sb="27" eb="29">
      <t>セッテイ</t>
    </rPh>
    <rPh sb="46" eb="48">
      <t>イッパン</t>
    </rPh>
    <rPh sb="62" eb="64">
      <t>カイイン</t>
    </rPh>
    <phoneticPr fontId="1"/>
  </si>
  <si>
    <t>10：ペア一般  11：ペア会員  ５：固定</t>
    <rPh sb="5" eb="7">
      <t>イッパン</t>
    </rPh>
    <rPh sb="14" eb="16">
      <t>カイイン</t>
    </rPh>
    <rPh sb="20" eb="22">
      <t>コテイ</t>
    </rPh>
    <phoneticPr fontId="1"/>
  </si>
  <si>
    <t>企画区分を会員フラグより（91315：ﾊﾞﾝﾄﾞﾙﾐｯｸｽ会員 91316：ﾊﾞﾝﾄﾞﾙﾐｯｸｽ一般 91317：ﾍﾟｱ会員 91318：ﾍﾟｱ一般）のいずれかを設定する。</t>
    <rPh sb="0" eb="2">
      <t>キカク</t>
    </rPh>
    <rPh sb="2" eb="4">
      <t>クブン</t>
    </rPh>
    <rPh sb="5" eb="7">
      <t>カイイン</t>
    </rPh>
    <rPh sb="29" eb="31">
      <t>カイイン</t>
    </rPh>
    <rPh sb="48" eb="50">
      <t>イッパン</t>
    </rPh>
    <rPh sb="60" eb="62">
      <t>カイイン</t>
    </rPh>
    <rPh sb="72" eb="74">
      <t>イッパン</t>
    </rPh>
    <rPh sb="81" eb="83">
      <t>セッテイ</t>
    </rPh>
    <phoneticPr fontId="1"/>
  </si>
  <si>
    <t xml:space="preserve"> １固定</t>
  </si>
  <si>
    <t>ＹＹＹＹＭＭＤＤ形式で8桁フルに設定すること</t>
  </si>
  <si>
    <t>Ｎull固定  システム内で使用</t>
    <rPh sb="4" eb="6">
      <t>コテイ</t>
    </rPh>
    <rPh sb="12" eb="13">
      <t>ナイ</t>
    </rPh>
    <rPh sb="14" eb="16">
      <t>シヨウ</t>
    </rPh>
    <phoneticPr fontId="1"/>
  </si>
  <si>
    <t>BFR_DISC_VALUE9</t>
    <phoneticPr fontId="2"/>
  </si>
  <si>
    <t>BFR_DISC_VALUE10</t>
  </si>
  <si>
    <t>BFR_DISC_VALUE10</t>
    <phoneticPr fontId="2"/>
  </si>
  <si>
    <t>GHBUNDLEM</t>
    <phoneticPr fontId="2"/>
  </si>
  <si>
    <t>企画マスタ</t>
    <phoneticPr fontId="2"/>
  </si>
  <si>
    <t>GHEVENTM</t>
    <phoneticPr fontId="2"/>
  </si>
  <si>
    <t>処理区分</t>
    <rPh sb="0" eb="2">
      <t>ショリ</t>
    </rPh>
    <rPh sb="2" eb="4">
      <t>クブン</t>
    </rPh>
    <phoneticPr fontId="1"/>
  </si>
  <si>
    <t>企画Ｎｏ．</t>
    <rPh sb="0" eb="2">
      <t>キカク</t>
    </rPh>
    <phoneticPr fontId="1"/>
  </si>
  <si>
    <t>関連企画Ｎo．</t>
    <rPh sb="0" eb="2">
      <t>カンレン</t>
    </rPh>
    <rPh sb="2" eb="4">
      <t>キカク</t>
    </rPh>
    <phoneticPr fontId="1"/>
  </si>
  <si>
    <t>タイトル</t>
  </si>
  <si>
    <t>企画開始日</t>
    <rPh sb="0" eb="2">
      <t>キカク</t>
    </rPh>
    <rPh sb="2" eb="5">
      <t>カイシビ</t>
    </rPh>
    <phoneticPr fontId="1"/>
  </si>
  <si>
    <t>企画終了日</t>
    <rPh sb="0" eb="2">
      <t>キカク</t>
    </rPh>
    <rPh sb="2" eb="5">
      <t>シュウリョウビ</t>
    </rPh>
    <phoneticPr fontId="1"/>
  </si>
  <si>
    <t>企画削除日数</t>
    <rPh sb="0" eb="2">
      <t>キカク</t>
    </rPh>
    <rPh sb="2" eb="4">
      <t>サクジョ</t>
    </rPh>
    <rPh sb="4" eb="6">
      <t>ニッスウ</t>
    </rPh>
    <phoneticPr fontId="1"/>
  </si>
  <si>
    <t>企画優先区分</t>
    <rPh sb="0" eb="2">
      <t>キカク</t>
    </rPh>
    <rPh sb="2" eb="4">
      <t>ユウセン</t>
    </rPh>
    <rPh sb="4" eb="6">
      <t>クブン</t>
    </rPh>
    <phoneticPr fontId="1"/>
  </si>
  <si>
    <t>火曜日除外フラグ</t>
    <rPh sb="0" eb="1">
      <t>カ</t>
    </rPh>
    <rPh sb="1" eb="3">
      <t>ゲツヨウビ</t>
    </rPh>
    <rPh sb="3" eb="5">
      <t>ジョガイ</t>
    </rPh>
    <phoneticPr fontId="1"/>
  </si>
  <si>
    <t>水曜日除外フラグ</t>
    <rPh sb="0" eb="1">
      <t>スイ</t>
    </rPh>
    <rPh sb="1" eb="3">
      <t>ゲツヨウビ</t>
    </rPh>
    <rPh sb="3" eb="5">
      <t>ジョガイ</t>
    </rPh>
    <phoneticPr fontId="1"/>
  </si>
  <si>
    <t>木曜日除外フラグ</t>
    <rPh sb="0" eb="3">
      <t>ゲツヨウビ</t>
    </rPh>
    <rPh sb="3" eb="5">
      <t>ジョガイ</t>
    </rPh>
    <phoneticPr fontId="1"/>
  </si>
  <si>
    <t>金曜日除外フラグ</t>
    <rPh sb="0" eb="1">
      <t>キン</t>
    </rPh>
    <rPh sb="1" eb="3">
      <t>ゲツヨウビ</t>
    </rPh>
    <rPh sb="3" eb="5">
      <t>ジョガイ</t>
    </rPh>
    <phoneticPr fontId="1"/>
  </si>
  <si>
    <t>土曜日除外フラグ</t>
    <rPh sb="0" eb="1">
      <t>ド</t>
    </rPh>
    <rPh sb="1" eb="3">
      <t>ゲツヨウビ</t>
    </rPh>
    <rPh sb="3" eb="5">
      <t>ジョガイ</t>
    </rPh>
    <phoneticPr fontId="1"/>
  </si>
  <si>
    <t>日曜日除外フラグ</t>
    <rPh sb="0" eb="1">
      <t>ニチ</t>
    </rPh>
    <rPh sb="1" eb="3">
      <t>ゲツヨウビ</t>
    </rPh>
    <rPh sb="3" eb="5">
      <t>ジョガイ</t>
    </rPh>
    <phoneticPr fontId="1"/>
  </si>
  <si>
    <t>作成日</t>
    <rPh sb="0" eb="3">
      <t>サクセイビ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</si>
  <si>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</si>
  <si>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</si>
  <si>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PARNT_EVNT_NBR</t>
  </si>
  <si>
    <t>TNT_ ID</t>
  </si>
  <si>
    <t>Ａ：登録　Ｕ：更新　Ｄ：削除</t>
    <rPh sb="2" eb="4">
      <t>トウロク</t>
    </rPh>
    <rPh sb="7" eb="9">
      <t>コウシン</t>
    </rPh>
    <rPh sb="12" eb="14">
      <t>サクジョ</t>
    </rPh>
    <phoneticPr fontId="1"/>
  </si>
  <si>
    <t>左詰７桁以内</t>
    <rPh sb="0" eb="1">
      <t>ヒダリ</t>
    </rPh>
    <rPh sb="1" eb="2">
      <t>ヅメ</t>
    </rPh>
    <rPh sb="3" eb="4">
      <t>ケタ</t>
    </rPh>
    <rPh sb="4" eb="6">
      <t>イナイ</t>
    </rPh>
    <phoneticPr fontId="1"/>
  </si>
  <si>
    <t>現在未使用  ０固定</t>
    <rPh sb="0" eb="2">
      <t>ゲンザイ</t>
    </rPh>
    <rPh sb="2" eb="5">
      <t>ミシヨウ</t>
    </rPh>
    <rPh sb="8" eb="10">
      <t>コテイ</t>
    </rPh>
    <phoneticPr fontId="1"/>
  </si>
  <si>
    <t>日本語１２文字以内</t>
    <rPh sb="0" eb="2">
      <t>ニホン</t>
    </rPh>
    <rPh sb="2" eb="3">
      <t>ゴ</t>
    </rPh>
    <rPh sb="5" eb="7">
      <t>モジ</t>
    </rPh>
    <rPh sb="7" eb="9">
      <t>イナイ</t>
    </rPh>
    <phoneticPr fontId="1"/>
  </si>
  <si>
    <t>期間終了後の削除猶予期間 ００２－０９９ 未使用時はＮＵＬＬ</t>
    <rPh sb="0" eb="2">
      <t>キカン</t>
    </rPh>
    <rPh sb="2" eb="4">
      <t>シュウリョウ</t>
    </rPh>
    <rPh sb="4" eb="5">
      <t>ゴ</t>
    </rPh>
    <rPh sb="6" eb="8">
      <t>サクジョ</t>
    </rPh>
    <rPh sb="8" eb="10">
      <t>ユウヨ</t>
    </rPh>
    <rPh sb="10" eb="12">
      <t>キカン</t>
    </rPh>
    <rPh sb="21" eb="24">
      <t>ミシヨウ</t>
    </rPh>
    <rPh sb="24" eb="25">
      <t>ジ</t>
    </rPh>
    <phoneticPr fontId="1"/>
  </si>
  <si>
    <t xml:space="preserve">０：期間  １：期間＆曜日 </t>
    <rPh sb="2" eb="4">
      <t>キカン</t>
    </rPh>
    <rPh sb="8" eb="10">
      <t>キカン</t>
    </rPh>
    <rPh sb="11" eb="13">
      <t>ヨウビ</t>
    </rPh>
    <phoneticPr fontId="1"/>
  </si>
  <si>
    <t>Ｎｕｌｌ固定  システム内で使用</t>
    <rPh sb="4" eb="6">
      <t>コテイ</t>
    </rPh>
    <rPh sb="12" eb="13">
      <t>ナイ</t>
    </rPh>
    <rPh sb="14" eb="16">
      <t>シヨウ</t>
    </rPh>
    <phoneticPr fontId="1"/>
  </si>
  <si>
    <t>端末ID</t>
    <rPh sb="0" eb="2">
      <t>タンマツ</t>
    </rPh>
    <phoneticPr fontId="2"/>
  </si>
  <si>
    <t>レコード区分</t>
    <rPh sb="4" eb="6">
      <t>クブン</t>
    </rPh>
    <phoneticPr fontId="2"/>
  </si>
  <si>
    <t>店コード</t>
    <rPh sb="0" eb="1">
      <t>ミセ</t>
    </rPh>
    <phoneticPr fontId="2"/>
  </si>
  <si>
    <t>データ作成日</t>
    <rPh sb="3" eb="6">
      <t>サクセイビ</t>
    </rPh>
    <phoneticPr fontId="2"/>
  </si>
  <si>
    <t>データ作成日時</t>
    <rPh sb="3" eb="5">
      <t>サクセイ</t>
    </rPh>
    <rPh sb="5" eb="7">
      <t>ニチジ</t>
    </rPh>
    <phoneticPr fontId="2"/>
  </si>
  <si>
    <t>データ種別</t>
    <rPh sb="3" eb="5">
      <t>シュベツ</t>
    </rPh>
    <phoneticPr fontId="2"/>
  </si>
  <si>
    <t>予備</t>
    <rPh sb="0" eb="2">
      <t>ヨビ</t>
    </rPh>
    <phoneticPr fontId="2"/>
  </si>
  <si>
    <t>Terminal_ID</t>
  </si>
  <si>
    <t>PRCS_TYP</t>
    <phoneticPr fontId="2"/>
  </si>
  <si>
    <t>STR_ID</t>
    <phoneticPr fontId="2"/>
  </si>
  <si>
    <t>CRT_DT</t>
    <phoneticPr fontId="2"/>
  </si>
  <si>
    <t>DSPL_DESCR</t>
    <phoneticPr fontId="2"/>
  </si>
  <si>
    <t>DSPL_CRT_DT</t>
    <phoneticPr fontId="2"/>
  </si>
  <si>
    <t>TAXBLTY_CD</t>
    <phoneticPr fontId="2"/>
  </si>
  <si>
    <t>EVNT_TYP</t>
    <phoneticPr fontId="2"/>
  </si>
  <si>
    <t>DATA_TYP</t>
    <phoneticPr fontId="2"/>
  </si>
  <si>
    <t>"SA"＋店舗コード</t>
    <rPh sb="5" eb="7">
      <t>テンポ</t>
    </rPh>
    <phoneticPr fontId="1"/>
  </si>
  <si>
    <t>YOBI01</t>
    <phoneticPr fontId="2"/>
  </si>
  <si>
    <t>YOBI02</t>
    <phoneticPr fontId="2"/>
  </si>
  <si>
    <t>varchar(1)</t>
  </si>
  <si>
    <t>char(6)</t>
    <phoneticPr fontId="2"/>
  </si>
  <si>
    <t>char(1)</t>
  </si>
  <si>
    <t>char(2)</t>
    <phoneticPr fontId="2"/>
  </si>
  <si>
    <t>P001(POP商品情報送付データ)</t>
    <phoneticPr fontId="2"/>
  </si>
  <si>
    <t>P001_01</t>
    <phoneticPr fontId="2"/>
  </si>
  <si>
    <t>データ区分</t>
    <rPh sb="3" eb="5">
      <t>クブン</t>
    </rPh>
    <phoneticPr fontId="2"/>
  </si>
  <si>
    <t>更新区分</t>
    <rPh sb="0" eb="2">
      <t>コウシン</t>
    </rPh>
    <rPh sb="2" eb="4">
      <t>クブン</t>
    </rPh>
    <phoneticPr fontId="2"/>
  </si>
  <si>
    <t>業態</t>
    <rPh sb="0" eb="2">
      <t>ギョウタイ</t>
    </rPh>
    <phoneticPr fontId="2"/>
  </si>
  <si>
    <t>部門</t>
    <rPh sb="0" eb="2">
      <t>ブモン</t>
    </rPh>
    <phoneticPr fontId="2"/>
  </si>
  <si>
    <t>商品コード</t>
    <rPh sb="0" eb="2">
      <t>ショウヒン</t>
    </rPh>
    <phoneticPr fontId="2"/>
  </si>
  <si>
    <t>メンテ日</t>
    <rPh sb="3" eb="4">
      <t>ニチ</t>
    </rPh>
    <phoneticPr fontId="2"/>
  </si>
  <si>
    <t>一環NO</t>
    <rPh sb="0" eb="2">
      <t>イッカン</t>
    </rPh>
    <phoneticPr fontId="2"/>
  </si>
  <si>
    <t>活動区分</t>
    <rPh sb="0" eb="2">
      <t>カツドウ</t>
    </rPh>
    <rPh sb="2" eb="4">
      <t>クブン</t>
    </rPh>
    <phoneticPr fontId="2"/>
  </si>
  <si>
    <t>品群コード</t>
    <rPh sb="0" eb="1">
      <t>ヒン</t>
    </rPh>
    <rPh sb="1" eb="2">
      <t>グン</t>
    </rPh>
    <phoneticPr fontId="2"/>
  </si>
  <si>
    <t>品種コード</t>
    <rPh sb="0" eb="2">
      <t>ヒンシュ</t>
    </rPh>
    <phoneticPr fontId="2"/>
  </si>
  <si>
    <t>分類コード</t>
    <rPh sb="0" eb="2">
      <t>ブンルイ</t>
    </rPh>
    <phoneticPr fontId="2"/>
  </si>
  <si>
    <t>品名（漢字）</t>
    <rPh sb="0" eb="2">
      <t>ヒンメイ</t>
    </rPh>
    <rPh sb="3" eb="5">
      <t>カンジ</t>
    </rPh>
    <phoneticPr fontId="2"/>
  </si>
  <si>
    <t>品名（カナ）</t>
    <rPh sb="0" eb="2">
      <t>ヒンメイ</t>
    </rPh>
    <phoneticPr fontId="2"/>
  </si>
  <si>
    <t>レシート品名</t>
    <rPh sb="4" eb="6">
      <t>ヒンメイ</t>
    </rPh>
    <phoneticPr fontId="2"/>
  </si>
  <si>
    <t>識別1（PLU情報）</t>
    <rPh sb="0" eb="2">
      <t>シキベツ</t>
    </rPh>
    <rPh sb="7" eb="9">
      <t>ジョウホウ</t>
    </rPh>
    <phoneticPr fontId="2"/>
  </si>
  <si>
    <t>PLUコード1</t>
  </si>
  <si>
    <t>識別2（PLU情報）</t>
    <rPh sb="0" eb="2">
      <t>シキベツ</t>
    </rPh>
    <rPh sb="7" eb="9">
      <t>ジョウホウ</t>
    </rPh>
    <phoneticPr fontId="2"/>
  </si>
  <si>
    <t>PLUコード2</t>
  </si>
  <si>
    <t>識別3（PLU情報）</t>
    <rPh sb="0" eb="2">
      <t>シキベツ</t>
    </rPh>
    <rPh sb="7" eb="9">
      <t>ジョウホウ</t>
    </rPh>
    <phoneticPr fontId="2"/>
  </si>
  <si>
    <t>PLUコード3</t>
  </si>
  <si>
    <t>仕入先コード</t>
    <rPh sb="0" eb="2">
      <t>シイレ</t>
    </rPh>
    <rPh sb="2" eb="3">
      <t>サキ</t>
    </rPh>
    <phoneticPr fontId="2"/>
  </si>
  <si>
    <t>仕入れ数</t>
    <rPh sb="0" eb="2">
      <t>シイ</t>
    </rPh>
    <rPh sb="3" eb="4">
      <t>スウ</t>
    </rPh>
    <phoneticPr fontId="2"/>
  </si>
  <si>
    <t>発注入り数</t>
    <rPh sb="0" eb="2">
      <t>ハッチュウ</t>
    </rPh>
    <rPh sb="2" eb="3">
      <t>イ</t>
    </rPh>
    <rPh sb="4" eb="5">
      <t>スウ</t>
    </rPh>
    <phoneticPr fontId="2"/>
  </si>
  <si>
    <t>発注単位</t>
    <rPh sb="0" eb="2">
      <t>ハッチュウ</t>
    </rPh>
    <rPh sb="2" eb="4">
      <t>タンイ</t>
    </rPh>
    <phoneticPr fontId="2"/>
  </si>
  <si>
    <t>センター識別</t>
    <rPh sb="4" eb="6">
      <t>シキベツ</t>
    </rPh>
    <phoneticPr fontId="2"/>
  </si>
  <si>
    <t>センターコード</t>
  </si>
  <si>
    <t>売価</t>
    <rPh sb="0" eb="2">
      <t>バイカ</t>
    </rPh>
    <phoneticPr fontId="2"/>
  </si>
  <si>
    <t>原価</t>
    <rPh sb="0" eb="2">
      <t>ゲンカ</t>
    </rPh>
    <phoneticPr fontId="2"/>
  </si>
  <si>
    <t>ロギングフラグ</t>
  </si>
  <si>
    <t>価格確認フラグ</t>
    <rPh sb="0" eb="2">
      <t>カカク</t>
    </rPh>
    <rPh sb="2" eb="4">
      <t>カクニン</t>
    </rPh>
    <phoneticPr fontId="2"/>
  </si>
  <si>
    <t>価格入力フラグ</t>
    <rPh sb="0" eb="2">
      <t>カカク</t>
    </rPh>
    <rPh sb="2" eb="4">
      <t>ニュウリョク</t>
    </rPh>
    <phoneticPr fontId="2"/>
  </si>
  <si>
    <t>重量入力フラグ</t>
    <rPh sb="0" eb="2">
      <t>ジュウリョウ</t>
    </rPh>
    <rPh sb="2" eb="4">
      <t>ニュウリョク</t>
    </rPh>
    <phoneticPr fontId="2"/>
  </si>
  <si>
    <t>販売可否フラグ</t>
    <rPh sb="0" eb="2">
      <t>ハンバイ</t>
    </rPh>
    <rPh sb="2" eb="4">
      <t>カヒ</t>
    </rPh>
    <phoneticPr fontId="2"/>
  </si>
  <si>
    <t>社員割引フラグ</t>
    <rPh sb="0" eb="2">
      <t>シャイン</t>
    </rPh>
    <rPh sb="2" eb="4">
      <t>ワリビキ</t>
    </rPh>
    <phoneticPr fontId="2"/>
  </si>
  <si>
    <t>会員割引フラグ</t>
    <rPh sb="0" eb="2">
      <t>カイイン</t>
    </rPh>
    <rPh sb="2" eb="4">
      <t>ワリビキ</t>
    </rPh>
    <phoneticPr fontId="2"/>
  </si>
  <si>
    <t>自動アイテムフラグ</t>
    <rPh sb="0" eb="2">
      <t>ジドウ</t>
    </rPh>
    <phoneticPr fontId="2"/>
  </si>
  <si>
    <t>割引対象フラグ</t>
    <rPh sb="0" eb="2">
      <t>ワリビキ</t>
    </rPh>
    <rPh sb="2" eb="4">
      <t>タイショウ</t>
    </rPh>
    <phoneticPr fontId="2"/>
  </si>
  <si>
    <t>食品フラグ</t>
    <rPh sb="0" eb="2">
      <t>ショクヒン</t>
    </rPh>
    <phoneticPr fontId="2"/>
  </si>
  <si>
    <t>非食品フラグ</t>
    <rPh sb="0" eb="1">
      <t>ヒ</t>
    </rPh>
    <rPh sb="1" eb="3">
      <t>ショクヒン</t>
    </rPh>
    <phoneticPr fontId="2"/>
  </si>
  <si>
    <t>ロケーションフラグ</t>
  </si>
  <si>
    <t>返品禁止フラグ</t>
    <rPh sb="0" eb="2">
      <t>ヘンピン</t>
    </rPh>
    <rPh sb="2" eb="4">
      <t>キンシ</t>
    </rPh>
    <phoneticPr fontId="2"/>
  </si>
  <si>
    <t>仕入れ税区分</t>
    <rPh sb="0" eb="2">
      <t>シイ</t>
    </rPh>
    <rPh sb="3" eb="4">
      <t>ゼイ</t>
    </rPh>
    <rPh sb="4" eb="6">
      <t>クブン</t>
    </rPh>
    <phoneticPr fontId="2"/>
  </si>
  <si>
    <t>販売税区分</t>
    <rPh sb="0" eb="2">
      <t>ハンバイ</t>
    </rPh>
    <rPh sb="2" eb="3">
      <t>ゼイ</t>
    </rPh>
    <rPh sb="3" eb="5">
      <t>クブン</t>
    </rPh>
    <phoneticPr fontId="2"/>
  </si>
  <si>
    <t>消費税部門</t>
    <rPh sb="0" eb="3">
      <t>ショウヒゼイ</t>
    </rPh>
    <rPh sb="3" eb="5">
      <t>ブモン</t>
    </rPh>
    <phoneticPr fontId="2"/>
  </si>
  <si>
    <t>税率</t>
    <rPh sb="0" eb="2">
      <t>ゼイリツ</t>
    </rPh>
    <phoneticPr fontId="2"/>
  </si>
  <si>
    <t>販売可能期間</t>
    <rPh sb="0" eb="2">
      <t>ハンバイ</t>
    </rPh>
    <rPh sb="2" eb="4">
      <t>カノウ</t>
    </rPh>
    <rPh sb="4" eb="6">
      <t>キカン</t>
    </rPh>
    <phoneticPr fontId="2"/>
  </si>
  <si>
    <t>アロー区分</t>
    <rPh sb="3" eb="5">
      <t>クブン</t>
    </rPh>
    <phoneticPr fontId="2"/>
  </si>
  <si>
    <t>品揃え区分</t>
    <rPh sb="0" eb="2">
      <t>シナゾロ</t>
    </rPh>
    <rPh sb="3" eb="5">
      <t>クブン</t>
    </rPh>
    <phoneticPr fontId="2"/>
  </si>
  <si>
    <t>ユニット数</t>
    <rPh sb="4" eb="5">
      <t>スウ</t>
    </rPh>
    <phoneticPr fontId="2"/>
  </si>
  <si>
    <t>ユニット単位</t>
    <rPh sb="4" eb="6">
      <t>タンイ</t>
    </rPh>
    <phoneticPr fontId="2"/>
  </si>
  <si>
    <t>規格数</t>
    <rPh sb="0" eb="2">
      <t>キカク</t>
    </rPh>
    <rPh sb="2" eb="3">
      <t>スウ</t>
    </rPh>
    <phoneticPr fontId="2"/>
  </si>
  <si>
    <t>規格単位</t>
    <rPh sb="0" eb="2">
      <t>キカク</t>
    </rPh>
    <rPh sb="2" eb="4">
      <t>タンイ</t>
    </rPh>
    <phoneticPr fontId="2"/>
  </si>
  <si>
    <t>登録日</t>
    <rPh sb="0" eb="2">
      <t>トウロク</t>
    </rPh>
    <rPh sb="2" eb="3">
      <t>ビ</t>
    </rPh>
    <phoneticPr fontId="2"/>
  </si>
  <si>
    <t>保存符号</t>
    <rPh sb="0" eb="2">
      <t>ホゾン</t>
    </rPh>
    <rPh sb="2" eb="4">
      <t>フゴウ</t>
    </rPh>
    <phoneticPr fontId="2"/>
  </si>
  <si>
    <t>保存期限</t>
    <rPh sb="0" eb="2">
      <t>ホゾン</t>
    </rPh>
    <rPh sb="2" eb="4">
      <t>キゲン</t>
    </rPh>
    <phoneticPr fontId="2"/>
  </si>
  <si>
    <t>保存単位</t>
    <rPh sb="0" eb="2">
      <t>ホゾン</t>
    </rPh>
    <rPh sb="2" eb="4">
      <t>タンイ</t>
    </rPh>
    <phoneticPr fontId="2"/>
  </si>
  <si>
    <t>賞味期間</t>
    <rPh sb="0" eb="2">
      <t>ショウミ</t>
    </rPh>
    <rPh sb="2" eb="4">
      <t>キカン</t>
    </rPh>
    <phoneticPr fontId="2"/>
  </si>
  <si>
    <t>賞味期間単位</t>
    <rPh sb="0" eb="2">
      <t>ショウミ</t>
    </rPh>
    <rPh sb="2" eb="4">
      <t>キカン</t>
    </rPh>
    <rPh sb="4" eb="6">
      <t>タンイ</t>
    </rPh>
    <phoneticPr fontId="2"/>
  </si>
  <si>
    <t>P001_02</t>
    <phoneticPr fontId="2"/>
  </si>
  <si>
    <t>シーケンスNO</t>
    <phoneticPr fontId="2"/>
  </si>
  <si>
    <t>論理名</t>
  </si>
  <si>
    <t>bigint</t>
  </si>
  <si>
    <t>date</t>
  </si>
  <si>
    <t>time</t>
  </si>
  <si>
    <t>varchar(24)</t>
  </si>
  <si>
    <t>varchar(20)</t>
  </si>
  <si>
    <t>varchar(10)</t>
  </si>
  <si>
    <t>varchar(12)</t>
  </si>
  <si>
    <t>varchar(8)</t>
  </si>
  <si>
    <t>varchar(7)</t>
  </si>
  <si>
    <t>varchar(3)</t>
  </si>
  <si>
    <t>varchar(4)</t>
  </si>
  <si>
    <t>ＡＬＴコード</t>
    <phoneticPr fontId="2"/>
  </si>
  <si>
    <t>ALTコード</t>
    <phoneticPr fontId="2"/>
  </si>
  <si>
    <t>PLU属性</t>
    <rPh sb="3" eb="5">
      <t>ゾクセイ</t>
    </rPh>
    <phoneticPr fontId="1"/>
  </si>
  <si>
    <t>ＡＵＸコード</t>
    <phoneticPr fontId="2"/>
  </si>
  <si>
    <t>Department</t>
  </si>
  <si>
    <t>SequenceNo</t>
    <phoneticPr fontId="2"/>
  </si>
  <si>
    <t>DataType</t>
    <phoneticPr fontId="2"/>
  </si>
  <si>
    <t>UpdateClass</t>
    <phoneticPr fontId="2"/>
  </si>
  <si>
    <t>DataClass</t>
    <phoneticPr fontId="2"/>
  </si>
  <si>
    <t>BusinessType</t>
    <phoneticPr fontId="2"/>
  </si>
  <si>
    <t>ProductCode</t>
    <phoneticPr fontId="2"/>
  </si>
  <si>
    <t>MaintenanceDay</t>
    <phoneticPr fontId="2"/>
  </si>
  <si>
    <t>PartNo</t>
    <phoneticPr fontId="2"/>
  </si>
  <si>
    <t>ActivityCategory</t>
    <phoneticPr fontId="2"/>
  </si>
  <si>
    <t>ProductGroupCode</t>
    <phoneticPr fontId="2"/>
  </si>
  <si>
    <t>VarietyCode</t>
    <phoneticPr fontId="2"/>
  </si>
  <si>
    <t>ClassificationCode</t>
    <phoneticPr fontId="2"/>
  </si>
  <si>
    <t>ProductName_Kanji</t>
    <phoneticPr fontId="2"/>
  </si>
  <si>
    <t>ProductName_Kana</t>
    <phoneticPr fontId="2"/>
  </si>
  <si>
    <t>ReceiptItemName</t>
    <phoneticPr fontId="2"/>
  </si>
  <si>
    <t>Identification1</t>
    <phoneticPr fontId="2"/>
  </si>
  <si>
    <t>PLUCode1</t>
    <phoneticPr fontId="2"/>
  </si>
  <si>
    <t>Identification2</t>
    <phoneticPr fontId="2"/>
  </si>
  <si>
    <t>PLUCode2</t>
    <phoneticPr fontId="2"/>
  </si>
  <si>
    <t>Identification3</t>
    <phoneticPr fontId="2"/>
  </si>
  <si>
    <t>PLUCode3</t>
    <phoneticPr fontId="2"/>
  </si>
  <si>
    <t>SupplierCode</t>
    <phoneticPr fontId="2"/>
  </si>
  <si>
    <t>PurchaseQuantity</t>
    <phoneticPr fontId="2"/>
  </si>
  <si>
    <t>OrderQuantity</t>
    <phoneticPr fontId="2"/>
  </si>
  <si>
    <t>OrderUnit</t>
    <phoneticPr fontId="2"/>
  </si>
  <si>
    <t>CenterIdentification</t>
    <phoneticPr fontId="2"/>
  </si>
  <si>
    <t>CenterCord</t>
    <phoneticPr fontId="2"/>
  </si>
  <si>
    <t>SellingPrice</t>
    <phoneticPr fontId="2"/>
  </si>
  <si>
    <t>CostPrice</t>
    <phoneticPr fontId="2"/>
  </si>
  <si>
    <t>loggingFlag</t>
    <phoneticPr fontId="2"/>
  </si>
  <si>
    <t>PriceConfirmationFlag</t>
    <phoneticPr fontId="2"/>
  </si>
  <si>
    <t>PriceInputFlag</t>
    <phoneticPr fontId="2"/>
  </si>
  <si>
    <t>WeightInputFlag</t>
    <phoneticPr fontId="2"/>
  </si>
  <si>
    <t>SalesAvailabilityFlag</t>
    <phoneticPr fontId="2"/>
  </si>
  <si>
    <t>EmployeeDiscountFlag</t>
    <phoneticPr fontId="2"/>
  </si>
  <si>
    <t>MemberDiscountFlag</t>
    <phoneticPr fontId="2"/>
  </si>
  <si>
    <t>AutomaticItemFlag</t>
    <phoneticPr fontId="2"/>
  </si>
  <si>
    <t>DiscountTargetFlag</t>
    <phoneticPr fontId="2"/>
  </si>
  <si>
    <t>FoodFlags</t>
    <phoneticPr fontId="2"/>
  </si>
  <si>
    <t>NonFoodFlag</t>
    <phoneticPr fontId="2"/>
  </si>
  <si>
    <t>locationFlag</t>
    <phoneticPr fontId="2"/>
  </si>
  <si>
    <t>NoReturnsFag</t>
    <phoneticPr fontId="2"/>
  </si>
  <si>
    <t>PurchaseTaxClassification</t>
    <phoneticPr fontId="2"/>
  </si>
  <si>
    <t>SalesTaxClassification</t>
    <phoneticPr fontId="2"/>
  </si>
  <si>
    <t>ConsumptionTaxDepartment</t>
    <phoneticPr fontId="2"/>
  </si>
  <si>
    <t>TaxRate</t>
    <phoneticPr fontId="2"/>
  </si>
  <si>
    <t>SalesPeriod</t>
    <phoneticPr fontId="2"/>
  </si>
  <si>
    <t>ArrowClassification</t>
    <phoneticPr fontId="2"/>
  </si>
  <si>
    <t>AssortmentClassification</t>
    <phoneticPr fontId="2"/>
  </si>
  <si>
    <t>NumberOfUnits</t>
    <phoneticPr fontId="2"/>
  </si>
  <si>
    <t>Unit</t>
    <phoneticPr fontId="2"/>
  </si>
  <si>
    <t>NumberOfStandards</t>
    <phoneticPr fontId="2"/>
  </si>
  <si>
    <t>StandardUnit</t>
    <phoneticPr fontId="2"/>
  </si>
  <si>
    <t>RegistrationDate</t>
    <phoneticPr fontId="2"/>
  </si>
  <si>
    <t>ConservationCode</t>
    <phoneticPr fontId="2"/>
  </si>
  <si>
    <t>StorageLife</t>
    <phoneticPr fontId="2"/>
  </si>
  <si>
    <t>StorageUnit</t>
    <phoneticPr fontId="2"/>
  </si>
  <si>
    <t>BestBeforePeriod</t>
    <phoneticPr fontId="2"/>
  </si>
  <si>
    <t>BestBeforePeriodUnit</t>
    <phoneticPr fontId="2"/>
  </si>
  <si>
    <t>YOBI</t>
    <phoneticPr fontId="2"/>
  </si>
  <si>
    <t>char(6)</t>
  </si>
  <si>
    <t>char(2)</t>
  </si>
  <si>
    <t>char(272)</t>
  </si>
  <si>
    <t>P001(ヘッダー)</t>
    <phoneticPr fontId="2"/>
  </si>
  <si>
    <t>シーケンスNO</t>
  </si>
  <si>
    <t>SequenceNo</t>
  </si>
  <si>
    <t>DataType</t>
  </si>
  <si>
    <t>DataClass</t>
  </si>
  <si>
    <t>UpdateClass</t>
  </si>
  <si>
    <t>BusinessType</t>
  </si>
  <si>
    <t>ProductCode</t>
  </si>
  <si>
    <t>MaintenanceDay</t>
  </si>
  <si>
    <t>PartNo</t>
  </si>
  <si>
    <t>ActivityCategory</t>
  </si>
  <si>
    <t>ProductGroupCode</t>
  </si>
  <si>
    <t>VarietyCode</t>
  </si>
  <si>
    <t>ClassificationCode</t>
  </si>
  <si>
    <t>ProductName_Kanji</t>
  </si>
  <si>
    <t>ProductName_Kana</t>
  </si>
  <si>
    <t>ReceiptItemName</t>
  </si>
  <si>
    <t>Identification1</t>
  </si>
  <si>
    <t>PLUCode1</t>
  </si>
  <si>
    <t>Identification2</t>
  </si>
  <si>
    <t>PLUCode2</t>
  </si>
  <si>
    <t>Identification3</t>
  </si>
  <si>
    <t>PLUCode3</t>
  </si>
  <si>
    <t>SupplierCode</t>
  </si>
  <si>
    <t>PurchaseQuantity</t>
  </si>
  <si>
    <t>OrderQuantity</t>
  </si>
  <si>
    <t>OrderUnit</t>
  </si>
  <si>
    <t>CenterIdentification</t>
  </si>
  <si>
    <t>CenterCord</t>
  </si>
  <si>
    <t>SellingPrice</t>
  </si>
  <si>
    <t>CostPrice</t>
  </si>
  <si>
    <t>loggingFlag</t>
  </si>
  <si>
    <t>PriceConfirmationFlag</t>
  </si>
  <si>
    <t>PriceInputFlag</t>
  </si>
  <si>
    <t>WeightInputFlag</t>
  </si>
  <si>
    <t>SalesAvailabilityFlag</t>
  </si>
  <si>
    <t>EmployeeDiscountFlag</t>
  </si>
  <si>
    <t>MemberDiscountFlag</t>
  </si>
  <si>
    <t>AutomaticItemFlag</t>
  </si>
  <si>
    <t>DiscountTargetFlag</t>
  </si>
  <si>
    <t>FoodFlags</t>
  </si>
  <si>
    <t>NonFoodFlag</t>
  </si>
  <si>
    <t>locationFlag</t>
  </si>
  <si>
    <t>NoReturnsFag</t>
  </si>
  <si>
    <t>PurchaseTaxClassification</t>
  </si>
  <si>
    <t>SalesTaxClassification</t>
  </si>
  <si>
    <t>ConsumptionTaxDepartment</t>
  </si>
  <si>
    <t>TaxRate</t>
  </si>
  <si>
    <t>SalesPeriod</t>
  </si>
  <si>
    <t>ArrowClassification</t>
  </si>
  <si>
    <t>AssortmentClassification</t>
  </si>
  <si>
    <t>NumberOfUnits</t>
  </si>
  <si>
    <t>Unit</t>
  </si>
  <si>
    <t>NumberOfStandards</t>
  </si>
  <si>
    <t>StandardUnit</t>
  </si>
  <si>
    <t>RegistrationDate</t>
  </si>
  <si>
    <t>ConservationCode</t>
  </si>
  <si>
    <t>StorageLife</t>
  </si>
  <si>
    <t>StorageUnit</t>
  </si>
  <si>
    <t>BestBeforePeriod</t>
  </si>
  <si>
    <t>BestBeforePeriodUnit</t>
  </si>
  <si>
    <t>YOBI</t>
  </si>
  <si>
    <t>char(3)</t>
  </si>
  <si>
    <t>char(7)</t>
  </si>
  <si>
    <t>char(4)</t>
  </si>
  <si>
    <t>char(50)</t>
  </si>
  <si>
    <t>char(20)</t>
  </si>
  <si>
    <t>char(12)</t>
  </si>
  <si>
    <t>char(13)</t>
  </si>
  <si>
    <t>char(9)</t>
  </si>
  <si>
    <t>char(5)</t>
  </si>
  <si>
    <t>char(18)</t>
  </si>
  <si>
    <t>Y</t>
    <phoneticPr fontId="2"/>
  </si>
  <si>
    <t>varchar(272)</t>
    <phoneticPr fontId="2"/>
  </si>
  <si>
    <t>P001(エンドレコード)</t>
    <phoneticPr fontId="2"/>
  </si>
  <si>
    <t>RCVD_QTY</t>
    <phoneticPr fontId="2"/>
  </si>
  <si>
    <t>RECORD_QTY</t>
    <phoneticPr fontId="2"/>
  </si>
  <si>
    <t>TND_RSTRCT_FG</t>
    <phoneticPr fontId="2"/>
  </si>
  <si>
    <t>レコード件数</t>
    <rPh sb="4" eb="6">
      <t>ケンスウ</t>
    </rPh>
    <phoneticPr fontId="2"/>
  </si>
  <si>
    <t>SA0002-0880000-240111</t>
    <phoneticPr fontId="2"/>
  </si>
  <si>
    <t>P003</t>
    <phoneticPr fontId="2"/>
  </si>
  <si>
    <t>P003(棚番情報送付データ)</t>
    <phoneticPr fontId="2"/>
  </si>
  <si>
    <t>店舗＃</t>
    <rPh sb="0" eb="2">
      <t>テンポ</t>
    </rPh>
    <phoneticPr fontId="2"/>
  </si>
  <si>
    <t>ＪＡＮコード</t>
  </si>
  <si>
    <t>棚番</t>
    <rPh sb="0" eb="1">
      <t>タナ</t>
    </rPh>
    <rPh sb="1" eb="2">
      <t>バン</t>
    </rPh>
    <phoneticPr fontId="2"/>
  </si>
  <si>
    <t>棚段</t>
    <rPh sb="0" eb="1">
      <t>タナ</t>
    </rPh>
    <rPh sb="1" eb="2">
      <t>ダン</t>
    </rPh>
    <phoneticPr fontId="2"/>
  </si>
  <si>
    <t>棚列</t>
    <rPh sb="0" eb="1">
      <t>タナ</t>
    </rPh>
    <rPh sb="1" eb="2">
      <t>レツ</t>
    </rPh>
    <phoneticPr fontId="2"/>
  </si>
  <si>
    <t>SCAN_ID</t>
    <phoneticPr fontId="2"/>
  </si>
  <si>
    <t>JAN_ID</t>
    <phoneticPr fontId="2"/>
  </si>
  <si>
    <t>SHELF_ID</t>
    <phoneticPr fontId="2"/>
  </si>
  <si>
    <t>SHELF_STEP</t>
    <phoneticPr fontId="2"/>
  </si>
  <si>
    <t>SHELF_ROW</t>
    <phoneticPr fontId="2"/>
  </si>
  <si>
    <t>テストデータ</t>
    <phoneticPr fontId="9"/>
  </si>
  <si>
    <t>20240110223036GHPLUM.CSV</t>
    <phoneticPr fontId="2"/>
  </si>
  <si>
    <t>20240108223019GHEVENTM.CSV</t>
    <phoneticPr fontId="2"/>
  </si>
  <si>
    <t>GHEVENTM.CSV</t>
    <phoneticPr fontId="2"/>
  </si>
  <si>
    <t>20240110223046GHDISCOUNTM.CSV</t>
    <phoneticPr fontId="2"/>
  </si>
  <si>
    <t>P003(POP棚番情報送付データ)</t>
    <phoneticPr fontId="2"/>
  </si>
  <si>
    <t>CSV</t>
    <phoneticPr fontId="9"/>
  </si>
  <si>
    <t>レプリカ</t>
    <phoneticPr fontId="9"/>
  </si>
  <si>
    <t>ﾚｺｰﾄﾞ数</t>
    <phoneticPr fontId="2"/>
  </si>
  <si>
    <t>ｲﾝﾎﾟｰﾄ数</t>
    <rPh sb="6" eb="7">
      <t>スウ</t>
    </rPh>
    <phoneticPr fontId="2"/>
  </si>
  <si>
    <t>所要時間</t>
    <rPh sb="0" eb="2">
      <t>ショヨウ</t>
    </rPh>
    <rPh sb="2" eb="4">
      <t>ジカン</t>
    </rPh>
    <phoneticPr fontId="2"/>
  </si>
  <si>
    <t>20240110223101GHBUNDLEM.CSV</t>
    <phoneticPr fontId="2"/>
  </si>
  <si>
    <t>GHPLUPOINT.CSV</t>
    <phoneticPr fontId="2"/>
  </si>
  <si>
    <t>20240110200005GHPLUPOINT.CSV</t>
    <phoneticPr fontId="2"/>
  </si>
  <si>
    <t>?????????</t>
    <phoneticPr fontId="2"/>
  </si>
  <si>
    <t>-</t>
    <phoneticPr fontId="2"/>
  </si>
  <si>
    <t>合計</t>
    <rPh sb="0" eb="2">
      <t>ゴウケイ</t>
    </rPh>
    <phoneticPr fontId="2"/>
  </si>
  <si>
    <t>01</t>
    <phoneticPr fontId="2"/>
  </si>
  <si>
    <t>02</t>
    <phoneticPr fontId="2"/>
  </si>
  <si>
    <t>03</t>
    <phoneticPr fontId="2"/>
  </si>
  <si>
    <t>04</t>
    <phoneticPr fontId="2"/>
  </si>
  <si>
    <t>06</t>
    <phoneticPr fontId="2"/>
  </si>
  <si>
    <t>07</t>
    <phoneticPr fontId="2"/>
  </si>
  <si>
    <t>階層マスタ</t>
    <rPh sb="0" eb="2">
      <t>カイソウ</t>
    </rPh>
    <phoneticPr fontId="2"/>
  </si>
  <si>
    <t>左づめ 数字で最大19桁（5桁分はシステムで使用する）
特にＰＬＵコードを使用しない場合はｽｷｬﾝｺｰﾄﾞと同じ値を入れておくこと</t>
    <rPh sb="0" eb="1">
      <t>ヒダリ</t>
    </rPh>
    <rPh sb="4" eb="6">
      <t>スウジ</t>
    </rPh>
    <rPh sb="7" eb="9">
      <t>サイダイ</t>
    </rPh>
    <rPh sb="9" eb="12">
      <t>１９ケタ</t>
    </rPh>
    <rPh sb="13" eb="15">
      <t>５ケタ</t>
    </rPh>
    <rPh sb="15" eb="16">
      <t>ブン</t>
    </rPh>
    <rPh sb="22" eb="24">
      <t>シヨウ</t>
    </rPh>
    <rPh sb="28" eb="29">
      <t>トク</t>
    </rPh>
    <rPh sb="37" eb="39">
      <t>シヨウ</t>
    </rPh>
    <rPh sb="42" eb="44">
      <t>バアイ</t>
    </rPh>
    <rPh sb="54" eb="55">
      <t>オナ</t>
    </rPh>
    <rPh sb="56" eb="57">
      <t>アタイ</t>
    </rPh>
    <rPh sb="58" eb="59">
      <t>イ</t>
    </rPh>
    <phoneticPr fontId="1"/>
  </si>
  <si>
    <t>String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</si>
</sst>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メイリオ"/>
      <family val="3"/>
      <charset val="128"/>
    </font>
    <font>
      <sz val="6"/>
      <name val="MS UI Gothic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8" fillId="6" borderId="34" xfId="0" applyFont="1" applyFill="1" applyBorder="1" applyAlignment="1">
      <alignment horizontal="left" vertical="center"/>
    </xf>
    <xf numFmtId="0" fontId="8" fillId="6" borderId="35" xfId="0" applyFont="1" applyFill="1" applyBorder="1" applyAlignment="1">
      <alignment horizontal="left" vertical="center"/>
    </xf>
    <xf numFmtId="0" fontId="8" fillId="6" borderId="36" xfId="0" applyFont="1" applyFill="1" applyBorder="1" applyAlignment="1">
      <alignment horizontal="left" vertical="center"/>
    </xf>
    <xf numFmtId="49" fontId="8" fillId="6" borderId="36" xfId="0" applyNumberFormat="1" applyFont="1" applyFill="1" applyBorder="1">
      <alignment vertical="center"/>
    </xf>
    <xf numFmtId="0" fontId="8" fillId="5" borderId="37" xfId="0" applyFont="1" applyFill="1" applyBorder="1" applyAlignment="1">
      <alignment horizontal="centerContinuous" vertical="center"/>
    </xf>
    <xf numFmtId="0" fontId="8" fillId="5" borderId="38" xfId="0" applyFont="1" applyFill="1" applyBorder="1" applyAlignment="1">
      <alignment horizontal="centerContinuous" vertical="center"/>
    </xf>
    <xf numFmtId="0" fontId="8" fillId="5" borderId="34" xfId="0" applyFont="1" applyFill="1" applyBorder="1" applyAlignment="1">
      <alignment horizontal="left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37" xfId="0" applyFont="1" applyFill="1" applyBorder="1" applyAlignment="1">
      <alignment horizontal="left" vertical="center"/>
    </xf>
    <xf numFmtId="49" fontId="8" fillId="5" borderId="39" xfId="0" applyNumberFormat="1" applyFont="1" applyFill="1" applyBorder="1">
      <alignment vertical="center"/>
    </xf>
    <xf numFmtId="0" fontId="8" fillId="5" borderId="37" xfId="0" applyFont="1" applyFill="1" applyBorder="1">
      <alignment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10" fillId="0" borderId="0" xfId="0" applyFont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28" xfId="0" applyFill="1" applyBorder="1" applyAlignment="1">
      <alignment horizontal="left" vertical="center"/>
    </xf>
    <xf numFmtId="0" fontId="0" fillId="7" borderId="2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/>
    </xf>
    <xf numFmtId="0" fontId="0" fillId="7" borderId="28" xfId="0" quotePrefix="1" applyFill="1" applyBorder="1" applyAlignment="1">
      <alignment horizontal="left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5" xfId="0" applyFill="1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8" borderId="0" xfId="0" applyFill="1">
      <alignment vertical="center"/>
    </xf>
    <xf numFmtId="0" fontId="0" fillId="0" borderId="0" xfId="0" quotePrefix="1">
      <alignment vertical="center"/>
    </xf>
    <xf numFmtId="0" fontId="0" fillId="0" borderId="1" xfId="0" quotePrefix="1" applyBorder="1">
      <alignment vertical="center"/>
    </xf>
    <xf numFmtId="0" fontId="0" fillId="0" borderId="3" xfId="0" applyBorder="1">
      <alignment vertical="center"/>
    </xf>
    <xf numFmtId="0" fontId="0" fillId="0" borderId="5" xfId="0" quotePrefix="1" applyBorder="1">
      <alignment vertical="center"/>
    </xf>
    <xf numFmtId="0" fontId="11" fillId="7" borderId="28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left" vertical="center"/>
    </xf>
    <xf numFmtId="0" fontId="11" fillId="5" borderId="29" xfId="0" applyFont="1" applyFill="1" applyBorder="1" applyAlignment="1">
      <alignment horizontal="left" vertical="center"/>
    </xf>
    <xf numFmtId="0" fontId="11" fillId="5" borderId="30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center" vertical="center"/>
    </xf>
    <xf numFmtId="0" fontId="8" fillId="7" borderId="36" xfId="0" applyFont="1" applyFill="1" applyBorder="1">
      <alignment vertical="center"/>
    </xf>
    <xf numFmtId="0" fontId="8" fillId="7" borderId="35" xfId="0" applyFont="1" applyFill="1" applyBorder="1">
      <alignment vertical="center"/>
    </xf>
    <xf numFmtId="0" fontId="8" fillId="7" borderId="44" xfId="0" applyFont="1" applyFill="1" applyBorder="1">
      <alignment vertical="center"/>
    </xf>
    <xf numFmtId="0" fontId="8" fillId="7" borderId="45" xfId="0" applyFont="1" applyFill="1" applyBorder="1">
      <alignment vertical="center"/>
    </xf>
    <xf numFmtId="0" fontId="12" fillId="5" borderId="37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49" fontId="8" fillId="0" borderId="0" xfId="0" applyNumberFormat="1" applyFont="1">
      <alignment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6" xfId="0" applyFont="1" applyFill="1" applyBorder="1">
      <alignment vertical="center"/>
    </xf>
    <xf numFmtId="0" fontId="8" fillId="5" borderId="48" xfId="0" applyFont="1" applyFill="1" applyBorder="1" applyAlignment="1">
      <alignment horizontal="left" vertical="center"/>
    </xf>
    <xf numFmtId="0" fontId="8" fillId="5" borderId="47" xfId="0" applyFont="1" applyFill="1" applyBorder="1" applyAlignment="1">
      <alignment horizontal="left" vertical="center"/>
    </xf>
    <xf numFmtId="0" fontId="8" fillId="5" borderId="46" xfId="0" applyFont="1" applyFill="1" applyBorder="1" applyAlignment="1">
      <alignment horizontal="left" vertical="center"/>
    </xf>
    <xf numFmtId="38" fontId="8" fillId="5" borderId="46" xfId="1" applyFont="1" applyFill="1" applyBorder="1" applyAlignment="1">
      <alignment vertical="center"/>
    </xf>
    <xf numFmtId="38" fontId="8" fillId="5" borderId="48" xfId="1" applyFont="1" applyFill="1" applyBorder="1" applyAlignment="1">
      <alignment vertical="center"/>
    </xf>
    <xf numFmtId="38" fontId="8" fillId="5" borderId="47" xfId="1" applyFont="1" applyFill="1" applyBorder="1" applyAlignment="1">
      <alignment vertical="center"/>
    </xf>
    <xf numFmtId="49" fontId="8" fillId="5" borderId="48" xfId="0" applyNumberFormat="1" applyFont="1" applyFill="1" applyBorder="1">
      <alignment vertical="center"/>
    </xf>
    <xf numFmtId="0" fontId="8" fillId="5" borderId="50" xfId="0" applyFont="1" applyFill="1" applyBorder="1" applyAlignment="1">
      <alignment horizontal="center" vertical="center"/>
    </xf>
    <xf numFmtId="0" fontId="8" fillId="5" borderId="49" xfId="0" applyFont="1" applyFill="1" applyBorder="1">
      <alignment vertical="center"/>
    </xf>
    <xf numFmtId="0" fontId="8" fillId="5" borderId="51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8" fillId="5" borderId="49" xfId="0" applyFont="1" applyFill="1" applyBorder="1" applyAlignment="1">
      <alignment horizontal="left" vertical="center"/>
    </xf>
    <xf numFmtId="49" fontId="8" fillId="5" borderId="51" xfId="0" applyNumberFormat="1" applyFont="1" applyFill="1" applyBorder="1">
      <alignment vertical="center"/>
    </xf>
    <xf numFmtId="0" fontId="13" fillId="9" borderId="40" xfId="0" applyFont="1" applyFill="1" applyBorder="1">
      <alignment vertical="center"/>
    </xf>
    <xf numFmtId="0" fontId="13" fillId="9" borderId="41" xfId="0" applyFont="1" applyFill="1" applyBorder="1">
      <alignment vertical="center"/>
    </xf>
    <xf numFmtId="0" fontId="13" fillId="9" borderId="41" xfId="0" applyFont="1" applyFill="1" applyBorder="1" applyAlignment="1">
      <alignment horizontal="left" vertical="center"/>
    </xf>
    <xf numFmtId="0" fontId="13" fillId="9" borderId="42" xfId="0" applyFont="1" applyFill="1" applyBorder="1" applyAlignment="1">
      <alignment horizontal="right" vertical="center"/>
    </xf>
    <xf numFmtId="0" fontId="8" fillId="5" borderId="46" xfId="0" quotePrefix="1" applyFont="1" applyFill="1" applyBorder="1" applyAlignment="1">
      <alignment horizontal="center" vertical="center"/>
    </xf>
    <xf numFmtId="0" fontId="8" fillId="5" borderId="49" xfId="0" quotePrefix="1" applyFont="1" applyFill="1" applyBorder="1" applyAlignment="1">
      <alignment horizontal="center" vertical="center"/>
    </xf>
    <xf numFmtId="0" fontId="8" fillId="5" borderId="37" xfId="0" quotePrefix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2" borderId="0" xfId="0" applyFont="1" applyFill="1">
      <alignment vertical="center"/>
    </xf>
    <xf numFmtId="0" fontId="8" fillId="7" borderId="34" xfId="0" applyFont="1" applyFill="1" applyBorder="1">
      <alignment vertical="center"/>
    </xf>
    <xf numFmtId="0" fontId="8" fillId="7" borderId="36" xfId="0" applyFont="1" applyFill="1" applyBorder="1">
      <alignment vertical="center"/>
    </xf>
    <xf numFmtId="0" fontId="8" fillId="7" borderId="35" xfId="0" applyFont="1" applyFill="1" applyBorder="1">
      <alignment vertical="center"/>
    </xf>
    <xf numFmtId="0" fontId="8" fillId="7" borderId="43" xfId="0" applyFont="1" applyFill="1" applyBorder="1">
      <alignment vertical="center"/>
    </xf>
    <xf numFmtId="0" fontId="8" fillId="7" borderId="44" xfId="0" applyFont="1" applyFill="1" applyBorder="1">
      <alignment vertical="center"/>
    </xf>
    <xf numFmtId="0" fontId="8" fillId="7" borderId="45" xfId="0" applyFont="1" applyFill="1" applyBorder="1">
      <alignment vertical="center"/>
    </xf>
    <xf numFmtId="0" fontId="8" fillId="7" borderId="34" xfId="0" applyFont="1" applyFill="1" applyBorder="1" applyAlignment="1">
      <alignment horizontal="left" vertical="center"/>
    </xf>
    <xf numFmtId="0" fontId="8" fillId="7" borderId="36" xfId="0" applyFont="1" applyFill="1" applyBorder="1" applyAlignment="1">
      <alignment horizontal="left" vertical="center"/>
    </xf>
    <xf numFmtId="0" fontId="8" fillId="7" borderId="43" xfId="0" applyFont="1" applyFill="1" applyBorder="1" applyAlignment="1">
      <alignment horizontal="left" vertical="center"/>
    </xf>
    <xf numFmtId="0" fontId="8" fillId="7" borderId="44" xfId="0" applyFont="1" applyFill="1" applyBorder="1" applyAlignment="1">
      <alignment horizontal="left" vertical="center"/>
    </xf>
    <xf numFmtId="0" fontId="8" fillId="7" borderId="35" xfId="0" applyFont="1" applyFill="1" applyBorder="1" applyAlignment="1">
      <alignment horizontal="left" vertical="center"/>
    </xf>
    <xf numFmtId="0" fontId="8" fillId="7" borderId="45" xfId="0" applyFont="1" applyFill="1" applyBorder="1" applyAlignment="1">
      <alignment horizontal="left" vertical="center"/>
    </xf>
    <xf numFmtId="38" fontId="8" fillId="5" borderId="49" xfId="1" applyFont="1" applyFill="1" applyBorder="1" applyAlignment="1">
      <alignment vertical="center"/>
    </xf>
    <xf numFmtId="38" fontId="8" fillId="5" borderId="51" xfId="1" applyFont="1" applyFill="1" applyBorder="1" applyAlignment="1">
      <alignment vertical="center"/>
    </xf>
    <xf numFmtId="38" fontId="8" fillId="5" borderId="50" xfId="1" applyFont="1" applyFill="1" applyBorder="1" applyAlignment="1">
      <alignment vertical="center"/>
    </xf>
    <xf numFmtId="38" fontId="8" fillId="5" borderId="46" xfId="1" applyFont="1" applyFill="1" applyBorder="1" applyAlignment="1">
      <alignment vertical="center"/>
    </xf>
    <xf numFmtId="38" fontId="8" fillId="5" borderId="48" xfId="1" applyFont="1" applyFill="1" applyBorder="1" applyAlignment="1">
      <alignment vertical="center"/>
    </xf>
    <xf numFmtId="38" fontId="8" fillId="5" borderId="47" xfId="1" applyFont="1" applyFill="1" applyBorder="1" applyAlignment="1">
      <alignment vertical="center"/>
    </xf>
    <xf numFmtId="0" fontId="8" fillId="5" borderId="46" xfId="0" applyFont="1" applyFill="1" applyBorder="1">
      <alignment vertical="center"/>
    </xf>
    <xf numFmtId="0" fontId="8" fillId="5" borderId="48" xfId="0" applyFont="1" applyFill="1" applyBorder="1">
      <alignment vertical="center"/>
    </xf>
    <xf numFmtId="0" fontId="8" fillId="5" borderId="47" xfId="0" applyFont="1" applyFill="1" applyBorder="1">
      <alignment vertical="center"/>
    </xf>
    <xf numFmtId="38" fontId="8" fillId="5" borderId="37" xfId="1" applyFont="1" applyFill="1" applyBorder="1" applyAlignment="1">
      <alignment vertical="center"/>
    </xf>
    <xf numFmtId="38" fontId="8" fillId="5" borderId="39" xfId="1" applyFont="1" applyFill="1" applyBorder="1" applyAlignment="1">
      <alignment vertical="center"/>
    </xf>
    <xf numFmtId="38" fontId="8" fillId="5" borderId="38" xfId="1" applyFont="1" applyFill="1" applyBorder="1" applyAlignment="1">
      <alignment vertical="center"/>
    </xf>
    <xf numFmtId="21" fontId="8" fillId="5" borderId="46" xfId="0" applyNumberFormat="1" applyFont="1" applyFill="1" applyBorder="1" applyAlignment="1">
      <alignment horizontal="left" vertical="center"/>
    </xf>
    <xf numFmtId="21" fontId="8" fillId="5" borderId="48" xfId="0" applyNumberFormat="1" applyFont="1" applyFill="1" applyBorder="1" applyAlignment="1">
      <alignment horizontal="left" vertical="center"/>
    </xf>
    <xf numFmtId="21" fontId="8" fillId="5" borderId="47" xfId="0" applyNumberFormat="1" applyFont="1" applyFill="1" applyBorder="1" applyAlignment="1">
      <alignment horizontal="left" vertical="center"/>
    </xf>
    <xf numFmtId="21" fontId="8" fillId="5" borderId="37" xfId="0" applyNumberFormat="1" applyFont="1" applyFill="1" applyBorder="1" applyAlignment="1">
      <alignment horizontal="left" vertical="center"/>
    </xf>
    <xf numFmtId="21" fontId="8" fillId="5" borderId="39" xfId="0" applyNumberFormat="1" applyFont="1" applyFill="1" applyBorder="1" applyAlignment="1">
      <alignment horizontal="left" vertical="center"/>
    </xf>
    <xf numFmtId="21" fontId="8" fillId="5" borderId="38" xfId="0" applyNumberFormat="1" applyFont="1" applyFill="1" applyBorder="1" applyAlignment="1">
      <alignment horizontal="left" vertical="center"/>
    </xf>
    <xf numFmtId="46" fontId="13" fillId="9" borderId="49" xfId="0" applyNumberFormat="1" applyFont="1" applyFill="1" applyBorder="1" applyAlignment="1">
      <alignment horizontal="left" vertical="center"/>
    </xf>
    <xf numFmtId="0" fontId="13" fillId="9" borderId="51" xfId="0" applyFont="1" applyFill="1" applyBorder="1" applyAlignment="1">
      <alignment horizontal="left" vertical="center"/>
    </xf>
    <xf numFmtId="0" fontId="13" fillId="9" borderId="50" xfId="0" applyFont="1" applyFill="1" applyBorder="1" applyAlignment="1">
      <alignment horizontal="left" vertical="center"/>
    </xf>
    <xf numFmtId="0" fontId="8" fillId="5" borderId="46" xfId="0" applyFont="1" applyFill="1" applyBorder="1" applyAlignment="1">
      <alignment horizontal="left" vertical="center"/>
    </xf>
    <xf numFmtId="0" fontId="8" fillId="5" borderId="48" xfId="0" applyFont="1" applyFill="1" applyBorder="1" applyAlignment="1">
      <alignment horizontal="left" vertical="center"/>
    </xf>
    <xf numFmtId="0" fontId="8" fillId="5" borderId="47" xfId="0" applyFont="1" applyFill="1" applyBorder="1" applyAlignment="1">
      <alignment horizontal="left" vertical="center"/>
    </xf>
    <xf numFmtId="21" fontId="8" fillId="5" borderId="49" xfId="0" applyNumberFormat="1" applyFont="1" applyFill="1" applyBorder="1" applyAlignment="1">
      <alignment horizontal="left" vertical="center"/>
    </xf>
    <xf numFmtId="0" fontId="8" fillId="5" borderId="51" xfId="0" applyFont="1" applyFill="1" applyBorder="1" applyAlignment="1">
      <alignment horizontal="left" vertical="center"/>
    </xf>
    <xf numFmtId="0" fontId="8" fillId="5" borderId="50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14" fontId="0" fillId="0" borderId="28" xfId="0" quotePrefix="1" applyNumberFormat="1" applyBorder="1" applyAlignment="1">
      <alignment horizontal="left" vertical="center" wrapText="1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0" fillId="7" borderId="28" xfId="0" applyFill="1" applyBorder="1" applyAlignment="1">
      <alignment horizontal="left" vertical="center"/>
    </xf>
    <xf numFmtId="0" fontId="0" fillId="7" borderId="2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28" xfId="0" applyFill="1" applyBorder="1" applyAlignment="1">
      <alignment horizontal="left" vertical="center" wrapText="1"/>
    </xf>
    <xf numFmtId="0" fontId="0" fillId="7" borderId="29" xfId="0" applyFill="1" applyBorder="1" applyAlignment="1">
      <alignment horizontal="left" vertical="center" wrapText="1"/>
    </xf>
    <xf numFmtId="0" fontId="0" fillId="7" borderId="30" xfId="0" applyFill="1" applyBorder="1" applyAlignment="1">
      <alignment horizontal="left" vertical="center" wrapText="1"/>
    </xf>
    <xf numFmtId="0" fontId="0" fillId="7" borderId="28" xfId="0" quotePrefix="1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16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 vertical="center" wrapText="1"/>
    </xf>
    <xf numFmtId="0" fontId="0" fillId="5" borderId="29" xfId="0" applyFill="1" applyBorder="1" applyAlignment="1">
      <alignment horizontal="left" vertical="center" wrapText="1"/>
    </xf>
    <xf numFmtId="0" fontId="0" fillId="5" borderId="30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11" fillId="5" borderId="28" xfId="0" applyFont="1" applyFill="1" applyBorder="1" applyAlignment="1">
      <alignment horizontal="left" vertical="center"/>
    </xf>
    <xf numFmtId="0" fontId="11" fillId="5" borderId="29" xfId="0" applyFont="1" applyFill="1" applyBorder="1" applyAlignment="1">
      <alignment horizontal="left" vertical="center"/>
    </xf>
    <xf numFmtId="0" fontId="11" fillId="5" borderId="30" xfId="0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A36-4D2F-4AD9-90BF-5A472F37B97F}">
  <dimension ref="A1:BK55"/>
  <sheetViews>
    <sheetView view="pageBreakPreview" zoomScale="80" zoomScaleNormal="75" zoomScaleSheetLayoutView="80" workbookViewId="0">
      <selection activeCell="BP19" sqref="BP19:BP51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">
        <v>55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">
        <v>15</v>
      </c>
      <c r="B2" s="130"/>
      <c r="C2" s="130"/>
      <c r="D2" s="130"/>
      <c r="E2" s="130"/>
      <c r="F2" s="130"/>
      <c r="G2" s="130"/>
      <c r="H2" s="130"/>
      <c r="I2" s="130"/>
      <c r="J2" s="131"/>
      <c r="K2" s="129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68" t="s">
        <v>56</v>
      </c>
      <c r="AQ2" s="130"/>
      <c r="AR2" s="130"/>
      <c r="AS2" s="131"/>
      <c r="AT2" s="162">
        <v>44652</v>
      </c>
      <c r="AU2" s="163"/>
      <c r="AV2" s="163"/>
      <c r="AW2" s="163"/>
      <c r="AX2" s="164"/>
      <c r="AY2" s="129" t="str">
        <f>LOOKUP(2,1/(改廃履歴!H11:H30000&lt;&gt;""),改廃履歴!H11:H30000)</f>
        <v>Thanh Nguyên</v>
      </c>
      <c r="AZ2" s="130"/>
      <c r="BA2" s="130"/>
      <c r="BB2" s="131"/>
      <c r="BC2" s="162">
        <f>LOOKUP(2,1/(改廃履歴!B11:B30000&lt;&gt;""),改廃履歴!B11:B30000)</f>
        <v>45285</v>
      </c>
      <c r="BD2" s="163"/>
      <c r="BE2" s="163"/>
      <c r="BF2" s="163"/>
      <c r="BG2" s="164"/>
      <c r="BH2" s="156">
        <f>LOOKUP(2,1/(改廃履歴!O11:O30000&lt;&gt;""),改廃履歴!O11:O30000)</f>
        <v>0.2</v>
      </c>
      <c r="BI2" s="157"/>
      <c r="BJ2" s="157"/>
      <c r="BK2" s="158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">
        <v>54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16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28" t="s">
        <v>17</v>
      </c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"/>
      <c r="BK16" s="4"/>
    </row>
    <row r="17" spans="1:63" ht="15" customHeight="1">
      <c r="A17" s="1"/>
      <c r="K17" s="6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"/>
      <c r="BK17" s="4"/>
    </row>
    <row r="18" spans="1:63" ht="15" customHeight="1">
      <c r="A18" s="1"/>
      <c r="K18" s="6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"/>
      <c r="BK18" s="4"/>
    </row>
    <row r="19" spans="1:63" ht="15" customHeight="1">
      <c r="A19" s="1"/>
      <c r="K19" s="6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"/>
      <c r="BK19" s="4"/>
    </row>
    <row r="20" spans="1:63" ht="15" customHeight="1">
      <c r="A20" s="1"/>
      <c r="K20" s="6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"/>
      <c r="BK20" s="4"/>
    </row>
    <row r="21" spans="1:63" ht="15" customHeight="1">
      <c r="A21" s="1"/>
      <c r="K21" s="6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28" t="str">
        <f>K2&amp;"/"&amp;H4&amp;"/"&amp;Z4</f>
        <v>/共通/</v>
      </c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"/>
      <c r="BK24" s="4"/>
    </row>
    <row r="25" spans="1:63" ht="15" customHeight="1">
      <c r="A25" s="1"/>
      <c r="K25" s="6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"/>
      <c r="BK25" s="4"/>
    </row>
    <row r="26" spans="1:63" ht="15" customHeight="1">
      <c r="A26" s="1"/>
      <c r="K26" s="6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"/>
      <c r="BK26" s="4"/>
    </row>
    <row r="27" spans="1:63" ht="15" customHeight="1">
      <c r="A27" s="1"/>
      <c r="K27" s="6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"/>
      <c r="BK27" s="4"/>
    </row>
    <row r="28" spans="1:63" ht="15" customHeight="1">
      <c r="A28" s="1"/>
      <c r="K28" s="6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"/>
      <c r="BK28" s="4"/>
    </row>
    <row r="29" spans="1:63" ht="15" customHeight="1">
      <c r="A29" s="1"/>
      <c r="K29" s="6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"/>
      <c r="BK29" s="4"/>
    </row>
    <row r="30" spans="1:63" ht="15" customHeight="1">
      <c r="A30" s="1"/>
      <c r="K30" s="6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"/>
      <c r="BK30" s="4"/>
    </row>
    <row r="31" spans="1:63" ht="15" customHeight="1">
      <c r="A31" s="1"/>
      <c r="K31" s="6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"/>
      <c r="BK31" s="4"/>
    </row>
    <row r="32" spans="1:63" ht="15" customHeight="1">
      <c r="A32" s="1"/>
      <c r="K32" s="6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"/>
      <c r="BK32" s="4"/>
    </row>
    <row r="33" spans="1:63" ht="15" customHeight="1">
      <c r="A33" s="1"/>
      <c r="K33" s="6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"/>
      <c r="BK33" s="4"/>
    </row>
    <row r="34" spans="1:63" ht="15" customHeight="1">
      <c r="A34" s="1"/>
      <c r="K34" s="6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"/>
      <c r="BK34" s="4"/>
    </row>
    <row r="35" spans="1:63" ht="15" customHeight="1">
      <c r="A35" s="1"/>
      <c r="K35" s="6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"/>
      <c r="BK35" s="4"/>
    </row>
    <row r="36" spans="1:63" ht="15" customHeight="1">
      <c r="A36" s="1"/>
      <c r="K36" s="6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138" t="s">
        <v>18</v>
      </c>
      <c r="R44" s="139"/>
      <c r="S44" s="139"/>
      <c r="T44" s="139"/>
      <c r="U44" s="139"/>
      <c r="V44" s="139"/>
      <c r="W44" s="139"/>
      <c r="X44" s="139"/>
      <c r="Y44" s="139"/>
      <c r="Z44" s="140"/>
      <c r="AA44" s="138" t="s">
        <v>14</v>
      </c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40"/>
      <c r="AQ44" s="138" t="s">
        <v>7</v>
      </c>
      <c r="AR44" s="139"/>
      <c r="AS44" s="139"/>
      <c r="AT44" s="139"/>
      <c r="AU44" s="140"/>
      <c r="BK44" s="4"/>
    </row>
    <row r="45" spans="1:63" ht="15" customHeight="1">
      <c r="A45" s="1"/>
      <c r="Q45" s="141"/>
      <c r="R45" s="142"/>
      <c r="S45" s="142"/>
      <c r="T45" s="142"/>
      <c r="U45" s="142"/>
      <c r="V45" s="142"/>
      <c r="W45" s="142"/>
      <c r="X45" s="142"/>
      <c r="Y45" s="142"/>
      <c r="Z45" s="143"/>
      <c r="AA45" s="141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3"/>
      <c r="AQ45" s="141"/>
      <c r="AR45" s="142"/>
      <c r="AS45" s="142"/>
      <c r="AT45" s="142"/>
      <c r="AU45" s="143"/>
      <c r="BK45" s="4"/>
    </row>
    <row r="46" spans="1:63" ht="15" customHeight="1">
      <c r="A46" s="1"/>
      <c r="Q46" s="129"/>
      <c r="R46" s="130"/>
      <c r="S46" s="130"/>
      <c r="T46" s="130"/>
      <c r="U46" s="130"/>
      <c r="V46" s="130"/>
      <c r="W46" s="130"/>
      <c r="X46" s="130"/>
      <c r="Y46" s="130"/>
      <c r="Z46" s="131"/>
      <c r="AA46" s="129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1"/>
      <c r="AQ46" s="129"/>
      <c r="AR46" s="130"/>
      <c r="AS46" s="130"/>
      <c r="AT46" s="130"/>
      <c r="AU46" s="131"/>
      <c r="BK46" s="4"/>
    </row>
    <row r="47" spans="1:63" ht="15" customHeight="1">
      <c r="A47" s="1"/>
      <c r="Q47" s="132"/>
      <c r="R47" s="133"/>
      <c r="S47" s="133"/>
      <c r="T47" s="133"/>
      <c r="U47" s="133"/>
      <c r="V47" s="133"/>
      <c r="W47" s="133"/>
      <c r="X47" s="133"/>
      <c r="Y47" s="133"/>
      <c r="Z47" s="134"/>
      <c r="AA47" s="132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4"/>
      <c r="AQ47" s="132"/>
      <c r="AR47" s="133"/>
      <c r="AS47" s="133"/>
      <c r="AT47" s="133"/>
      <c r="AU47" s="134"/>
      <c r="BK47" s="4"/>
    </row>
    <row r="48" spans="1:63" ht="15" customHeight="1">
      <c r="A48" s="1"/>
      <c r="Q48" s="132"/>
      <c r="R48" s="133"/>
      <c r="S48" s="133"/>
      <c r="T48" s="133"/>
      <c r="U48" s="133"/>
      <c r="V48" s="133"/>
      <c r="W48" s="133"/>
      <c r="X48" s="133"/>
      <c r="Y48" s="133"/>
      <c r="Z48" s="134"/>
      <c r="AA48" s="132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4"/>
      <c r="AQ48" s="132"/>
      <c r="AR48" s="133"/>
      <c r="AS48" s="133"/>
      <c r="AT48" s="133"/>
      <c r="AU48" s="134"/>
      <c r="BK48" s="4"/>
    </row>
    <row r="49" spans="1:63" ht="15" customHeight="1">
      <c r="A49" s="1"/>
      <c r="Q49" s="135"/>
      <c r="R49" s="136"/>
      <c r="S49" s="136"/>
      <c r="T49" s="136"/>
      <c r="U49" s="136"/>
      <c r="V49" s="136"/>
      <c r="W49" s="136"/>
      <c r="X49" s="136"/>
      <c r="Y49" s="136"/>
      <c r="Z49" s="137"/>
      <c r="AA49" s="135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7"/>
      <c r="AQ49" s="135"/>
      <c r="AR49" s="136"/>
      <c r="AS49" s="136"/>
      <c r="AT49" s="136"/>
      <c r="AU49" s="137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445C-80D4-403D-842A-F44C2BC12F7D}">
  <dimension ref="A1:BK55"/>
  <sheetViews>
    <sheetView view="pageBreakPreview" zoomScale="80" zoomScaleNormal="75" zoomScaleSheetLayoutView="80" workbookViewId="0">
      <selection activeCell="S24" sqref="S24:AW24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10</v>
      </c>
      <c r="BK8" s="4"/>
    </row>
    <row r="9" spans="1:63" ht="15" customHeight="1">
      <c r="A9" s="1"/>
      <c r="BK9" s="4"/>
    </row>
    <row r="10" spans="1:63" ht="15" customHeight="1">
      <c r="A10" s="1"/>
      <c r="B10" s="184" t="s">
        <v>11</v>
      </c>
      <c r="C10" s="184"/>
      <c r="D10" s="184"/>
      <c r="E10" s="184"/>
      <c r="F10" s="184"/>
      <c r="G10" s="184"/>
      <c r="H10" s="184" t="s">
        <v>5</v>
      </c>
      <c r="I10" s="184"/>
      <c r="J10" s="184"/>
      <c r="K10" s="184"/>
      <c r="L10" s="184"/>
      <c r="M10" s="184"/>
      <c r="N10" s="184"/>
      <c r="O10" s="184" t="s">
        <v>7</v>
      </c>
      <c r="P10" s="184"/>
      <c r="Q10" s="184"/>
      <c r="R10" s="184"/>
      <c r="S10" s="184" t="s">
        <v>12</v>
      </c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 t="s">
        <v>13</v>
      </c>
      <c r="AY10" s="184"/>
      <c r="AZ10" s="184"/>
      <c r="BA10" s="184"/>
      <c r="BB10" s="184"/>
      <c r="BC10" s="184"/>
      <c r="BD10" s="184" t="s">
        <v>14</v>
      </c>
      <c r="BE10" s="184"/>
      <c r="BF10" s="184"/>
      <c r="BG10" s="184"/>
      <c r="BH10" s="184"/>
      <c r="BI10" s="184"/>
      <c r="BJ10" s="184"/>
      <c r="BK10" s="4"/>
    </row>
    <row r="11" spans="1:63" ht="15" customHeight="1">
      <c r="A11" s="1"/>
      <c r="B11" s="168">
        <v>44652</v>
      </c>
      <c r="C11" s="130"/>
      <c r="D11" s="130"/>
      <c r="E11" s="130"/>
      <c r="F11" s="130"/>
      <c r="G11" s="131"/>
      <c r="H11" s="129" t="s">
        <v>56</v>
      </c>
      <c r="I11" s="130"/>
      <c r="J11" s="130"/>
      <c r="K11" s="130"/>
      <c r="L11" s="130"/>
      <c r="M11" s="130"/>
      <c r="N11" s="131"/>
      <c r="O11" s="129">
        <v>0.1</v>
      </c>
      <c r="P11" s="130"/>
      <c r="Q11" s="130"/>
      <c r="R11" s="130"/>
      <c r="S11" s="172" t="s">
        <v>57</v>
      </c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4"/>
      <c r="AX11" s="175"/>
      <c r="AY11" s="175"/>
      <c r="AZ11" s="175"/>
      <c r="BA11" s="175"/>
      <c r="BB11" s="175"/>
      <c r="BC11" s="176"/>
      <c r="BD11" s="179"/>
      <c r="BE11" s="175"/>
      <c r="BF11" s="175"/>
      <c r="BG11" s="175"/>
      <c r="BH11" s="175"/>
      <c r="BI11" s="175"/>
      <c r="BJ11" s="176"/>
      <c r="BK11" s="4"/>
    </row>
    <row r="12" spans="1:63" ht="15" customHeight="1">
      <c r="A12" s="1"/>
      <c r="B12" s="135"/>
      <c r="C12" s="136"/>
      <c r="D12" s="136"/>
      <c r="E12" s="136"/>
      <c r="F12" s="136"/>
      <c r="G12" s="137"/>
      <c r="H12" s="135"/>
      <c r="I12" s="136"/>
      <c r="J12" s="136"/>
      <c r="K12" s="136"/>
      <c r="L12" s="136"/>
      <c r="M12" s="136"/>
      <c r="N12" s="137"/>
      <c r="O12" s="135"/>
      <c r="P12" s="136"/>
      <c r="Q12" s="136"/>
      <c r="R12" s="136"/>
      <c r="S12" s="181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3"/>
      <c r="AX12" s="177"/>
      <c r="AY12" s="177"/>
      <c r="AZ12" s="177"/>
      <c r="BA12" s="177"/>
      <c r="BB12" s="177"/>
      <c r="BC12" s="178"/>
      <c r="BD12" s="180"/>
      <c r="BE12" s="177"/>
      <c r="BF12" s="177"/>
      <c r="BG12" s="177"/>
      <c r="BH12" s="177"/>
      <c r="BI12" s="177"/>
      <c r="BJ12" s="178"/>
      <c r="BK12" s="4"/>
    </row>
    <row r="13" spans="1:63" ht="15" customHeight="1">
      <c r="A13" s="1"/>
      <c r="B13" s="168">
        <v>45285</v>
      </c>
      <c r="C13" s="130"/>
      <c r="D13" s="130"/>
      <c r="E13" s="130"/>
      <c r="F13" s="130"/>
      <c r="G13" s="131"/>
      <c r="H13" s="129" t="s">
        <v>251</v>
      </c>
      <c r="I13" s="130"/>
      <c r="J13" s="130"/>
      <c r="K13" s="130"/>
      <c r="L13" s="130"/>
      <c r="M13" s="130"/>
      <c r="N13" s="131"/>
      <c r="O13" s="129">
        <v>0.2</v>
      </c>
      <c r="P13" s="130"/>
      <c r="Q13" s="130"/>
      <c r="R13" s="130"/>
      <c r="S13" s="172" t="s">
        <v>250</v>
      </c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4"/>
      <c r="AX13" s="175"/>
      <c r="AY13" s="175"/>
      <c r="AZ13" s="175"/>
      <c r="BA13" s="175"/>
      <c r="BB13" s="175"/>
      <c r="BC13" s="176"/>
      <c r="BD13" s="179"/>
      <c r="BE13" s="175"/>
      <c r="BF13" s="175"/>
      <c r="BG13" s="175"/>
      <c r="BH13" s="175"/>
      <c r="BI13" s="175"/>
      <c r="BJ13" s="176"/>
      <c r="BK13" s="4"/>
    </row>
    <row r="14" spans="1:63" ht="15" customHeight="1">
      <c r="A14" s="1"/>
      <c r="B14" s="135"/>
      <c r="C14" s="136"/>
      <c r="D14" s="136"/>
      <c r="E14" s="136"/>
      <c r="F14" s="136"/>
      <c r="G14" s="137"/>
      <c r="H14" s="135"/>
      <c r="I14" s="136"/>
      <c r="J14" s="136"/>
      <c r="K14" s="136"/>
      <c r="L14" s="136"/>
      <c r="M14" s="136"/>
      <c r="N14" s="137"/>
      <c r="O14" s="135"/>
      <c r="P14" s="136"/>
      <c r="Q14" s="136"/>
      <c r="R14" s="136"/>
      <c r="S14" s="181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3"/>
      <c r="AX14" s="177"/>
      <c r="AY14" s="177"/>
      <c r="AZ14" s="177"/>
      <c r="BA14" s="177"/>
      <c r="BB14" s="177"/>
      <c r="BC14" s="178"/>
      <c r="BD14" s="180"/>
      <c r="BE14" s="177"/>
      <c r="BF14" s="177"/>
      <c r="BG14" s="177"/>
      <c r="BH14" s="177"/>
      <c r="BI14" s="177"/>
      <c r="BJ14" s="178"/>
      <c r="BK14" s="4"/>
    </row>
    <row r="15" spans="1:63" ht="15" customHeight="1">
      <c r="A15" s="1"/>
      <c r="B15" s="129"/>
      <c r="C15" s="130"/>
      <c r="D15" s="130"/>
      <c r="E15" s="130"/>
      <c r="F15" s="130"/>
      <c r="G15" s="131"/>
      <c r="H15" s="129"/>
      <c r="I15" s="130"/>
      <c r="J15" s="130"/>
      <c r="K15" s="130"/>
      <c r="L15" s="130"/>
      <c r="M15" s="130"/>
      <c r="N15" s="131"/>
      <c r="O15" s="129"/>
      <c r="P15" s="130"/>
      <c r="Q15" s="130"/>
      <c r="R15" s="130"/>
      <c r="S15" s="172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4"/>
      <c r="AX15" s="175"/>
      <c r="AY15" s="175"/>
      <c r="AZ15" s="175"/>
      <c r="BA15" s="175"/>
      <c r="BB15" s="175"/>
      <c r="BC15" s="176"/>
      <c r="BD15" s="179"/>
      <c r="BE15" s="175"/>
      <c r="BF15" s="175"/>
      <c r="BG15" s="175"/>
      <c r="BH15" s="175"/>
      <c r="BI15" s="175"/>
      <c r="BJ15" s="176"/>
      <c r="BK15" s="4"/>
    </row>
    <row r="16" spans="1:63" ht="15" customHeight="1">
      <c r="A16" s="1"/>
      <c r="B16" s="135"/>
      <c r="C16" s="136"/>
      <c r="D16" s="136"/>
      <c r="E16" s="136"/>
      <c r="F16" s="136"/>
      <c r="G16" s="137"/>
      <c r="H16" s="135"/>
      <c r="I16" s="136"/>
      <c r="J16" s="136"/>
      <c r="K16" s="136"/>
      <c r="L16" s="136"/>
      <c r="M16" s="136"/>
      <c r="N16" s="137"/>
      <c r="O16" s="135"/>
      <c r="P16" s="136"/>
      <c r="Q16" s="136"/>
      <c r="R16" s="136"/>
      <c r="S16" s="181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3"/>
      <c r="AX16" s="177"/>
      <c r="AY16" s="177"/>
      <c r="AZ16" s="177"/>
      <c r="BA16" s="177"/>
      <c r="BB16" s="177"/>
      <c r="BC16" s="178"/>
      <c r="BD16" s="180"/>
      <c r="BE16" s="177"/>
      <c r="BF16" s="177"/>
      <c r="BG16" s="177"/>
      <c r="BH16" s="177"/>
      <c r="BI16" s="177"/>
      <c r="BJ16" s="178"/>
      <c r="BK16" s="4"/>
    </row>
    <row r="17" spans="1:63" ht="15" customHeight="1">
      <c r="A17" s="1"/>
      <c r="B17" s="129"/>
      <c r="C17" s="130"/>
      <c r="D17" s="130"/>
      <c r="E17" s="130"/>
      <c r="F17" s="130"/>
      <c r="G17" s="131"/>
      <c r="H17" s="129"/>
      <c r="I17" s="130"/>
      <c r="J17" s="130"/>
      <c r="K17" s="130"/>
      <c r="L17" s="130"/>
      <c r="M17" s="130"/>
      <c r="N17" s="131"/>
      <c r="O17" s="129"/>
      <c r="P17" s="130"/>
      <c r="Q17" s="130"/>
      <c r="R17" s="130"/>
      <c r="S17" s="172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4"/>
      <c r="AX17" s="175"/>
      <c r="AY17" s="175"/>
      <c r="AZ17" s="175"/>
      <c r="BA17" s="175"/>
      <c r="BB17" s="175"/>
      <c r="BC17" s="176"/>
      <c r="BD17" s="179"/>
      <c r="BE17" s="175"/>
      <c r="BF17" s="175"/>
      <c r="BG17" s="175"/>
      <c r="BH17" s="175"/>
      <c r="BI17" s="175"/>
      <c r="BJ17" s="176"/>
      <c r="BK17" s="4"/>
    </row>
    <row r="18" spans="1:63" ht="15" customHeight="1">
      <c r="A18" s="1"/>
      <c r="B18" s="135"/>
      <c r="C18" s="136"/>
      <c r="D18" s="136"/>
      <c r="E18" s="136"/>
      <c r="F18" s="136"/>
      <c r="G18" s="137"/>
      <c r="H18" s="135"/>
      <c r="I18" s="136"/>
      <c r="J18" s="136"/>
      <c r="K18" s="136"/>
      <c r="L18" s="136"/>
      <c r="M18" s="136"/>
      <c r="N18" s="137"/>
      <c r="O18" s="135"/>
      <c r="P18" s="136"/>
      <c r="Q18" s="136"/>
      <c r="R18" s="136"/>
      <c r="S18" s="181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3"/>
      <c r="AX18" s="177"/>
      <c r="AY18" s="177"/>
      <c r="AZ18" s="177"/>
      <c r="BA18" s="177"/>
      <c r="BB18" s="177"/>
      <c r="BC18" s="178"/>
      <c r="BD18" s="180"/>
      <c r="BE18" s="177"/>
      <c r="BF18" s="177"/>
      <c r="BG18" s="177"/>
      <c r="BH18" s="177"/>
      <c r="BI18" s="177"/>
      <c r="BJ18" s="178"/>
      <c r="BK18" s="4"/>
    </row>
    <row r="19" spans="1:63" ht="15" customHeight="1">
      <c r="A19" s="1"/>
      <c r="B19" s="129"/>
      <c r="C19" s="130"/>
      <c r="D19" s="130"/>
      <c r="E19" s="130"/>
      <c r="F19" s="130"/>
      <c r="G19" s="131"/>
      <c r="H19" s="129"/>
      <c r="I19" s="130"/>
      <c r="J19" s="130"/>
      <c r="K19" s="130"/>
      <c r="L19" s="130"/>
      <c r="M19" s="130"/>
      <c r="N19" s="131"/>
      <c r="O19" s="129"/>
      <c r="P19" s="130"/>
      <c r="Q19" s="130"/>
      <c r="R19" s="130"/>
      <c r="S19" s="172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4"/>
      <c r="AX19" s="175"/>
      <c r="AY19" s="175"/>
      <c r="AZ19" s="175"/>
      <c r="BA19" s="175"/>
      <c r="BB19" s="175"/>
      <c r="BC19" s="176"/>
      <c r="BD19" s="179"/>
      <c r="BE19" s="175"/>
      <c r="BF19" s="175"/>
      <c r="BG19" s="175"/>
      <c r="BH19" s="175"/>
      <c r="BI19" s="175"/>
      <c r="BJ19" s="176"/>
      <c r="BK19" s="4"/>
    </row>
    <row r="20" spans="1:63" ht="15" customHeight="1">
      <c r="A20" s="1"/>
      <c r="B20" s="135"/>
      <c r="C20" s="136"/>
      <c r="D20" s="136"/>
      <c r="E20" s="136"/>
      <c r="F20" s="136"/>
      <c r="G20" s="137"/>
      <c r="H20" s="135"/>
      <c r="I20" s="136"/>
      <c r="J20" s="136"/>
      <c r="K20" s="136"/>
      <c r="L20" s="136"/>
      <c r="M20" s="136"/>
      <c r="N20" s="137"/>
      <c r="O20" s="135"/>
      <c r="P20" s="136"/>
      <c r="Q20" s="136"/>
      <c r="R20" s="136"/>
      <c r="S20" s="181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3"/>
      <c r="AX20" s="177"/>
      <c r="AY20" s="177"/>
      <c r="AZ20" s="177"/>
      <c r="BA20" s="177"/>
      <c r="BB20" s="177"/>
      <c r="BC20" s="178"/>
      <c r="BD20" s="180"/>
      <c r="BE20" s="177"/>
      <c r="BF20" s="177"/>
      <c r="BG20" s="177"/>
      <c r="BH20" s="177"/>
      <c r="BI20" s="177"/>
      <c r="BJ20" s="178"/>
      <c r="BK20" s="4"/>
    </row>
    <row r="21" spans="1:63" ht="15" customHeight="1">
      <c r="A21" s="1"/>
      <c r="B21" s="129"/>
      <c r="C21" s="130"/>
      <c r="D21" s="130"/>
      <c r="E21" s="130"/>
      <c r="F21" s="130"/>
      <c r="G21" s="131"/>
      <c r="H21" s="129"/>
      <c r="I21" s="130"/>
      <c r="J21" s="130"/>
      <c r="K21" s="130"/>
      <c r="L21" s="130"/>
      <c r="M21" s="130"/>
      <c r="N21" s="131"/>
      <c r="O21" s="129"/>
      <c r="P21" s="130"/>
      <c r="Q21" s="130"/>
      <c r="R21" s="130"/>
      <c r="S21" s="172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4"/>
      <c r="AX21" s="175"/>
      <c r="AY21" s="175"/>
      <c r="AZ21" s="175"/>
      <c r="BA21" s="175"/>
      <c r="BB21" s="175"/>
      <c r="BC21" s="176"/>
      <c r="BD21" s="179"/>
      <c r="BE21" s="175"/>
      <c r="BF21" s="175"/>
      <c r="BG21" s="175"/>
      <c r="BH21" s="175"/>
      <c r="BI21" s="175"/>
      <c r="BJ21" s="176"/>
      <c r="BK21" s="4"/>
    </row>
    <row r="22" spans="1:63" ht="15" customHeight="1">
      <c r="A22" s="1"/>
      <c r="B22" s="135"/>
      <c r="C22" s="136"/>
      <c r="D22" s="136"/>
      <c r="E22" s="136"/>
      <c r="F22" s="136"/>
      <c r="G22" s="137"/>
      <c r="H22" s="135"/>
      <c r="I22" s="136"/>
      <c r="J22" s="136"/>
      <c r="K22" s="136"/>
      <c r="L22" s="136"/>
      <c r="M22" s="136"/>
      <c r="N22" s="137"/>
      <c r="O22" s="135"/>
      <c r="P22" s="136"/>
      <c r="Q22" s="136"/>
      <c r="R22" s="136"/>
      <c r="S22" s="181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3"/>
      <c r="AX22" s="177"/>
      <c r="AY22" s="177"/>
      <c r="AZ22" s="177"/>
      <c r="BA22" s="177"/>
      <c r="BB22" s="177"/>
      <c r="BC22" s="178"/>
      <c r="BD22" s="180"/>
      <c r="BE22" s="177"/>
      <c r="BF22" s="177"/>
      <c r="BG22" s="177"/>
      <c r="BH22" s="177"/>
      <c r="BI22" s="177"/>
      <c r="BJ22" s="178"/>
      <c r="BK22" s="4"/>
    </row>
    <row r="23" spans="1:63" ht="15" customHeight="1">
      <c r="A23" s="1"/>
      <c r="B23" s="129"/>
      <c r="C23" s="130"/>
      <c r="D23" s="130"/>
      <c r="E23" s="130"/>
      <c r="F23" s="130"/>
      <c r="G23" s="131"/>
      <c r="H23" s="129"/>
      <c r="I23" s="130"/>
      <c r="J23" s="130"/>
      <c r="K23" s="130"/>
      <c r="L23" s="130"/>
      <c r="M23" s="130"/>
      <c r="N23" s="131"/>
      <c r="O23" s="129"/>
      <c r="P23" s="130"/>
      <c r="Q23" s="130"/>
      <c r="R23" s="130"/>
      <c r="S23" s="172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4"/>
      <c r="AX23" s="175"/>
      <c r="AY23" s="175"/>
      <c r="AZ23" s="175"/>
      <c r="BA23" s="175"/>
      <c r="BB23" s="175"/>
      <c r="BC23" s="176"/>
      <c r="BD23" s="179"/>
      <c r="BE23" s="175"/>
      <c r="BF23" s="175"/>
      <c r="BG23" s="175"/>
      <c r="BH23" s="175"/>
      <c r="BI23" s="175"/>
      <c r="BJ23" s="176"/>
      <c r="BK23" s="4"/>
    </row>
    <row r="24" spans="1:63" ht="15" customHeight="1">
      <c r="A24" s="1"/>
      <c r="B24" s="135"/>
      <c r="C24" s="136"/>
      <c r="D24" s="136"/>
      <c r="E24" s="136"/>
      <c r="F24" s="136"/>
      <c r="G24" s="137"/>
      <c r="H24" s="135"/>
      <c r="I24" s="136"/>
      <c r="J24" s="136"/>
      <c r="K24" s="136"/>
      <c r="L24" s="136"/>
      <c r="M24" s="136"/>
      <c r="N24" s="137"/>
      <c r="O24" s="135"/>
      <c r="P24" s="136"/>
      <c r="Q24" s="136"/>
      <c r="R24" s="136"/>
      <c r="S24" s="181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3"/>
      <c r="AX24" s="177"/>
      <c r="AY24" s="177"/>
      <c r="AZ24" s="177"/>
      <c r="BA24" s="177"/>
      <c r="BB24" s="177"/>
      <c r="BC24" s="178"/>
      <c r="BD24" s="180"/>
      <c r="BE24" s="177"/>
      <c r="BF24" s="177"/>
      <c r="BG24" s="177"/>
      <c r="BH24" s="177"/>
      <c r="BI24" s="177"/>
      <c r="BJ24" s="178"/>
      <c r="BK24" s="4"/>
    </row>
    <row r="25" spans="1:63" ht="15" customHeight="1">
      <c r="A25" s="1"/>
      <c r="B25" s="129"/>
      <c r="C25" s="130"/>
      <c r="D25" s="130"/>
      <c r="E25" s="130"/>
      <c r="F25" s="130"/>
      <c r="G25" s="131"/>
      <c r="H25" s="129"/>
      <c r="I25" s="130"/>
      <c r="J25" s="130"/>
      <c r="K25" s="130"/>
      <c r="L25" s="130"/>
      <c r="M25" s="130"/>
      <c r="N25" s="131"/>
      <c r="O25" s="129"/>
      <c r="P25" s="130"/>
      <c r="Q25" s="130"/>
      <c r="R25" s="130"/>
      <c r="S25" s="172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4"/>
      <c r="AX25" s="175"/>
      <c r="AY25" s="175"/>
      <c r="AZ25" s="175"/>
      <c r="BA25" s="175"/>
      <c r="BB25" s="175"/>
      <c r="BC25" s="176"/>
      <c r="BD25" s="179"/>
      <c r="BE25" s="175"/>
      <c r="BF25" s="175"/>
      <c r="BG25" s="175"/>
      <c r="BH25" s="175"/>
      <c r="BI25" s="175"/>
      <c r="BJ25" s="176"/>
      <c r="BK25" s="4"/>
    </row>
    <row r="26" spans="1:63" ht="15" customHeight="1">
      <c r="A26" s="1"/>
      <c r="B26" s="135"/>
      <c r="C26" s="136"/>
      <c r="D26" s="136"/>
      <c r="E26" s="136"/>
      <c r="F26" s="136"/>
      <c r="G26" s="137"/>
      <c r="H26" s="135"/>
      <c r="I26" s="136"/>
      <c r="J26" s="136"/>
      <c r="K26" s="136"/>
      <c r="L26" s="136"/>
      <c r="M26" s="136"/>
      <c r="N26" s="137"/>
      <c r="O26" s="135"/>
      <c r="P26" s="136"/>
      <c r="Q26" s="136"/>
      <c r="R26" s="136"/>
      <c r="S26" s="181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3"/>
      <c r="AX26" s="177"/>
      <c r="AY26" s="177"/>
      <c r="AZ26" s="177"/>
      <c r="BA26" s="177"/>
      <c r="BB26" s="177"/>
      <c r="BC26" s="178"/>
      <c r="BD26" s="180"/>
      <c r="BE26" s="177"/>
      <c r="BF26" s="177"/>
      <c r="BG26" s="177"/>
      <c r="BH26" s="177"/>
      <c r="BI26" s="177"/>
      <c r="BJ26" s="178"/>
      <c r="BK26" s="4"/>
    </row>
    <row r="27" spans="1:63" ht="15" customHeight="1">
      <c r="A27" s="1"/>
      <c r="B27" s="129"/>
      <c r="C27" s="130"/>
      <c r="D27" s="130"/>
      <c r="E27" s="130"/>
      <c r="F27" s="130"/>
      <c r="G27" s="131"/>
      <c r="H27" s="129"/>
      <c r="I27" s="130"/>
      <c r="J27" s="130"/>
      <c r="K27" s="130"/>
      <c r="L27" s="130"/>
      <c r="M27" s="130"/>
      <c r="N27" s="131"/>
      <c r="O27" s="129"/>
      <c r="P27" s="130"/>
      <c r="Q27" s="130"/>
      <c r="R27" s="130"/>
      <c r="S27" s="172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4"/>
      <c r="AX27" s="175"/>
      <c r="AY27" s="175"/>
      <c r="AZ27" s="175"/>
      <c r="BA27" s="175"/>
      <c r="BB27" s="175"/>
      <c r="BC27" s="176"/>
      <c r="BD27" s="179"/>
      <c r="BE27" s="175"/>
      <c r="BF27" s="175"/>
      <c r="BG27" s="175"/>
      <c r="BH27" s="175"/>
      <c r="BI27" s="175"/>
      <c r="BJ27" s="176"/>
      <c r="BK27" s="4"/>
    </row>
    <row r="28" spans="1:63" ht="15" customHeight="1">
      <c r="A28" s="1"/>
      <c r="B28" s="135"/>
      <c r="C28" s="136"/>
      <c r="D28" s="136"/>
      <c r="E28" s="136"/>
      <c r="F28" s="136"/>
      <c r="G28" s="137"/>
      <c r="H28" s="135"/>
      <c r="I28" s="136"/>
      <c r="J28" s="136"/>
      <c r="K28" s="136"/>
      <c r="L28" s="136"/>
      <c r="M28" s="136"/>
      <c r="N28" s="137"/>
      <c r="O28" s="135"/>
      <c r="P28" s="136"/>
      <c r="Q28" s="136"/>
      <c r="R28" s="136"/>
      <c r="S28" s="181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3"/>
      <c r="AX28" s="177"/>
      <c r="AY28" s="177"/>
      <c r="AZ28" s="177"/>
      <c r="BA28" s="177"/>
      <c r="BB28" s="177"/>
      <c r="BC28" s="178"/>
      <c r="BD28" s="180"/>
      <c r="BE28" s="177"/>
      <c r="BF28" s="177"/>
      <c r="BG28" s="177"/>
      <c r="BH28" s="177"/>
      <c r="BI28" s="177"/>
      <c r="BJ28" s="178"/>
      <c r="BK28" s="4"/>
    </row>
    <row r="29" spans="1:63" ht="15" customHeight="1">
      <c r="A29" s="1"/>
      <c r="B29" s="129"/>
      <c r="C29" s="130"/>
      <c r="D29" s="130"/>
      <c r="E29" s="130"/>
      <c r="F29" s="130"/>
      <c r="G29" s="131"/>
      <c r="H29" s="129"/>
      <c r="I29" s="130"/>
      <c r="J29" s="130"/>
      <c r="K29" s="130"/>
      <c r="L29" s="130"/>
      <c r="M29" s="130"/>
      <c r="N29" s="131"/>
      <c r="O29" s="129"/>
      <c r="P29" s="130"/>
      <c r="Q29" s="130"/>
      <c r="R29" s="130"/>
      <c r="S29" s="172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173"/>
      <c r="AO29" s="173"/>
      <c r="AP29" s="173"/>
      <c r="AQ29" s="173"/>
      <c r="AR29" s="173"/>
      <c r="AS29" s="173"/>
      <c r="AT29" s="173"/>
      <c r="AU29" s="173"/>
      <c r="AV29" s="173"/>
      <c r="AW29" s="174"/>
      <c r="AX29" s="175"/>
      <c r="AY29" s="175"/>
      <c r="AZ29" s="175"/>
      <c r="BA29" s="175"/>
      <c r="BB29" s="175"/>
      <c r="BC29" s="176"/>
      <c r="BD29" s="179"/>
      <c r="BE29" s="175"/>
      <c r="BF29" s="175"/>
      <c r="BG29" s="175"/>
      <c r="BH29" s="175"/>
      <c r="BI29" s="175"/>
      <c r="BJ29" s="176"/>
      <c r="BK29" s="4"/>
    </row>
    <row r="30" spans="1:63" ht="15" customHeight="1">
      <c r="A30" s="1"/>
      <c r="B30" s="135"/>
      <c r="C30" s="136"/>
      <c r="D30" s="136"/>
      <c r="E30" s="136"/>
      <c r="F30" s="136"/>
      <c r="G30" s="137"/>
      <c r="H30" s="135"/>
      <c r="I30" s="136"/>
      <c r="J30" s="136"/>
      <c r="K30" s="136"/>
      <c r="L30" s="136"/>
      <c r="M30" s="136"/>
      <c r="N30" s="137"/>
      <c r="O30" s="135"/>
      <c r="P30" s="136"/>
      <c r="Q30" s="136"/>
      <c r="R30" s="136"/>
      <c r="S30" s="181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3"/>
      <c r="AX30" s="177"/>
      <c r="AY30" s="177"/>
      <c r="AZ30" s="177"/>
      <c r="BA30" s="177"/>
      <c r="BB30" s="177"/>
      <c r="BC30" s="178"/>
      <c r="BD30" s="180"/>
      <c r="BE30" s="177"/>
      <c r="BF30" s="177"/>
      <c r="BG30" s="177"/>
      <c r="BH30" s="177"/>
      <c r="BI30" s="177"/>
      <c r="BJ30" s="178"/>
      <c r="BK30" s="4"/>
    </row>
    <row r="31" spans="1:63" ht="15" customHeight="1">
      <c r="A31" s="1"/>
      <c r="B31" s="129"/>
      <c r="C31" s="130"/>
      <c r="D31" s="130"/>
      <c r="E31" s="130"/>
      <c r="F31" s="130"/>
      <c r="G31" s="131"/>
      <c r="H31" s="129"/>
      <c r="I31" s="130"/>
      <c r="J31" s="130"/>
      <c r="K31" s="130"/>
      <c r="L31" s="130"/>
      <c r="M31" s="130"/>
      <c r="N31" s="131"/>
      <c r="O31" s="129"/>
      <c r="P31" s="130"/>
      <c r="Q31" s="130"/>
      <c r="R31" s="130"/>
      <c r="S31" s="172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4"/>
      <c r="AX31" s="175"/>
      <c r="AY31" s="175"/>
      <c r="AZ31" s="175"/>
      <c r="BA31" s="175"/>
      <c r="BB31" s="175"/>
      <c r="BC31" s="176"/>
      <c r="BD31" s="179"/>
      <c r="BE31" s="175"/>
      <c r="BF31" s="175"/>
      <c r="BG31" s="175"/>
      <c r="BH31" s="175"/>
      <c r="BI31" s="175"/>
      <c r="BJ31" s="176"/>
      <c r="BK31" s="4"/>
    </row>
    <row r="32" spans="1:63" ht="15" customHeight="1">
      <c r="A32" s="1"/>
      <c r="B32" s="135"/>
      <c r="C32" s="136"/>
      <c r="D32" s="136"/>
      <c r="E32" s="136"/>
      <c r="F32" s="136"/>
      <c r="G32" s="137"/>
      <c r="H32" s="135"/>
      <c r="I32" s="136"/>
      <c r="J32" s="136"/>
      <c r="K32" s="136"/>
      <c r="L32" s="136"/>
      <c r="M32" s="136"/>
      <c r="N32" s="137"/>
      <c r="O32" s="135"/>
      <c r="P32" s="136"/>
      <c r="Q32" s="136"/>
      <c r="R32" s="136"/>
      <c r="S32" s="181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3"/>
      <c r="AX32" s="177"/>
      <c r="AY32" s="177"/>
      <c r="AZ32" s="177"/>
      <c r="BA32" s="177"/>
      <c r="BB32" s="177"/>
      <c r="BC32" s="178"/>
      <c r="BD32" s="180"/>
      <c r="BE32" s="177"/>
      <c r="BF32" s="177"/>
      <c r="BG32" s="177"/>
      <c r="BH32" s="177"/>
      <c r="BI32" s="177"/>
      <c r="BJ32" s="178"/>
      <c r="BK32" s="4"/>
    </row>
    <row r="33" spans="1:63" ht="15" customHeight="1">
      <c r="A33" s="1"/>
      <c r="B33" s="129"/>
      <c r="C33" s="130"/>
      <c r="D33" s="130"/>
      <c r="E33" s="130"/>
      <c r="F33" s="130"/>
      <c r="G33" s="131"/>
      <c r="H33" s="129"/>
      <c r="I33" s="130"/>
      <c r="J33" s="130"/>
      <c r="K33" s="130"/>
      <c r="L33" s="130"/>
      <c r="M33" s="130"/>
      <c r="N33" s="131"/>
      <c r="O33" s="129"/>
      <c r="P33" s="130"/>
      <c r="Q33" s="130"/>
      <c r="R33" s="130"/>
      <c r="S33" s="172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  <c r="AP33" s="173"/>
      <c r="AQ33" s="173"/>
      <c r="AR33" s="173"/>
      <c r="AS33" s="173"/>
      <c r="AT33" s="173"/>
      <c r="AU33" s="173"/>
      <c r="AV33" s="173"/>
      <c r="AW33" s="174"/>
      <c r="AX33" s="175"/>
      <c r="AY33" s="175"/>
      <c r="AZ33" s="175"/>
      <c r="BA33" s="175"/>
      <c r="BB33" s="175"/>
      <c r="BC33" s="176"/>
      <c r="BD33" s="179"/>
      <c r="BE33" s="175"/>
      <c r="BF33" s="175"/>
      <c r="BG33" s="175"/>
      <c r="BH33" s="175"/>
      <c r="BI33" s="175"/>
      <c r="BJ33" s="176"/>
      <c r="BK33" s="4"/>
    </row>
    <row r="34" spans="1:63" ht="15" customHeight="1">
      <c r="A34" s="1"/>
      <c r="B34" s="135"/>
      <c r="C34" s="136"/>
      <c r="D34" s="136"/>
      <c r="E34" s="136"/>
      <c r="F34" s="136"/>
      <c r="G34" s="137"/>
      <c r="H34" s="135"/>
      <c r="I34" s="136"/>
      <c r="J34" s="136"/>
      <c r="K34" s="136"/>
      <c r="L34" s="136"/>
      <c r="M34" s="136"/>
      <c r="N34" s="137"/>
      <c r="O34" s="135"/>
      <c r="P34" s="136"/>
      <c r="Q34" s="136"/>
      <c r="R34" s="136"/>
      <c r="S34" s="181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3"/>
      <c r="AX34" s="177"/>
      <c r="AY34" s="177"/>
      <c r="AZ34" s="177"/>
      <c r="BA34" s="177"/>
      <c r="BB34" s="177"/>
      <c r="BC34" s="178"/>
      <c r="BD34" s="180"/>
      <c r="BE34" s="177"/>
      <c r="BF34" s="177"/>
      <c r="BG34" s="177"/>
      <c r="BH34" s="177"/>
      <c r="BI34" s="177"/>
      <c r="BJ34" s="178"/>
      <c r="BK34" s="4"/>
    </row>
    <row r="35" spans="1:63" ht="15" customHeight="1">
      <c r="A35" s="1"/>
      <c r="B35" s="129"/>
      <c r="C35" s="130"/>
      <c r="D35" s="130"/>
      <c r="E35" s="130"/>
      <c r="F35" s="130"/>
      <c r="G35" s="131"/>
      <c r="H35" s="129"/>
      <c r="I35" s="130"/>
      <c r="J35" s="130"/>
      <c r="K35" s="130"/>
      <c r="L35" s="130"/>
      <c r="M35" s="130"/>
      <c r="N35" s="131"/>
      <c r="O35" s="129"/>
      <c r="P35" s="130"/>
      <c r="Q35" s="130"/>
      <c r="R35" s="130"/>
      <c r="S35" s="172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4"/>
      <c r="AX35" s="175"/>
      <c r="AY35" s="175"/>
      <c r="AZ35" s="175"/>
      <c r="BA35" s="175"/>
      <c r="BB35" s="175"/>
      <c r="BC35" s="176"/>
      <c r="BD35" s="179"/>
      <c r="BE35" s="175"/>
      <c r="BF35" s="175"/>
      <c r="BG35" s="175"/>
      <c r="BH35" s="175"/>
      <c r="BI35" s="175"/>
      <c r="BJ35" s="176"/>
      <c r="BK35" s="4"/>
    </row>
    <row r="36" spans="1:63" ht="15" customHeight="1">
      <c r="A36" s="1"/>
      <c r="B36" s="135"/>
      <c r="C36" s="136"/>
      <c r="D36" s="136"/>
      <c r="E36" s="136"/>
      <c r="F36" s="136"/>
      <c r="G36" s="137"/>
      <c r="H36" s="135"/>
      <c r="I36" s="136"/>
      <c r="J36" s="136"/>
      <c r="K36" s="136"/>
      <c r="L36" s="136"/>
      <c r="M36" s="136"/>
      <c r="N36" s="137"/>
      <c r="O36" s="135"/>
      <c r="P36" s="136"/>
      <c r="Q36" s="136"/>
      <c r="R36" s="136"/>
      <c r="S36" s="181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3"/>
      <c r="AX36" s="177"/>
      <c r="AY36" s="177"/>
      <c r="AZ36" s="177"/>
      <c r="BA36" s="177"/>
      <c r="BB36" s="177"/>
      <c r="BC36" s="178"/>
      <c r="BD36" s="180"/>
      <c r="BE36" s="177"/>
      <c r="BF36" s="177"/>
      <c r="BG36" s="177"/>
      <c r="BH36" s="177"/>
      <c r="BI36" s="177"/>
      <c r="BJ36" s="178"/>
      <c r="BK36" s="4"/>
    </row>
    <row r="37" spans="1:63" ht="15" customHeight="1">
      <c r="A37" s="1"/>
      <c r="B37" s="129"/>
      <c r="C37" s="130"/>
      <c r="D37" s="130"/>
      <c r="E37" s="130"/>
      <c r="F37" s="130"/>
      <c r="G37" s="131"/>
      <c r="H37" s="129"/>
      <c r="I37" s="130"/>
      <c r="J37" s="130"/>
      <c r="K37" s="130"/>
      <c r="L37" s="130"/>
      <c r="M37" s="130"/>
      <c r="N37" s="131"/>
      <c r="O37" s="129"/>
      <c r="P37" s="130"/>
      <c r="Q37" s="130"/>
      <c r="R37" s="130"/>
      <c r="S37" s="172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4"/>
      <c r="AX37" s="175"/>
      <c r="AY37" s="175"/>
      <c r="AZ37" s="175"/>
      <c r="BA37" s="175"/>
      <c r="BB37" s="175"/>
      <c r="BC37" s="176"/>
      <c r="BD37" s="179"/>
      <c r="BE37" s="175"/>
      <c r="BF37" s="175"/>
      <c r="BG37" s="175"/>
      <c r="BH37" s="175"/>
      <c r="BI37" s="175"/>
      <c r="BJ37" s="176"/>
      <c r="BK37" s="4"/>
    </row>
    <row r="38" spans="1:63" ht="15" customHeight="1">
      <c r="A38" s="1"/>
      <c r="B38" s="135"/>
      <c r="C38" s="136"/>
      <c r="D38" s="136"/>
      <c r="E38" s="136"/>
      <c r="F38" s="136"/>
      <c r="G38" s="137"/>
      <c r="H38" s="135"/>
      <c r="I38" s="136"/>
      <c r="J38" s="136"/>
      <c r="K38" s="136"/>
      <c r="L38" s="136"/>
      <c r="M38" s="136"/>
      <c r="N38" s="137"/>
      <c r="O38" s="135"/>
      <c r="P38" s="136"/>
      <c r="Q38" s="136"/>
      <c r="R38" s="136"/>
      <c r="S38" s="181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  <c r="AX38" s="177"/>
      <c r="AY38" s="177"/>
      <c r="AZ38" s="177"/>
      <c r="BA38" s="177"/>
      <c r="BB38" s="177"/>
      <c r="BC38" s="178"/>
      <c r="BD38" s="180"/>
      <c r="BE38" s="177"/>
      <c r="BF38" s="177"/>
      <c r="BG38" s="177"/>
      <c r="BH38" s="177"/>
      <c r="BI38" s="177"/>
      <c r="BJ38" s="178"/>
      <c r="BK38" s="4"/>
    </row>
    <row r="39" spans="1:63" ht="15" customHeight="1">
      <c r="A39" s="1"/>
      <c r="B39" s="129"/>
      <c r="C39" s="130"/>
      <c r="D39" s="130"/>
      <c r="E39" s="130"/>
      <c r="F39" s="130"/>
      <c r="G39" s="131"/>
      <c r="H39" s="129"/>
      <c r="I39" s="130"/>
      <c r="J39" s="130"/>
      <c r="K39" s="130"/>
      <c r="L39" s="130"/>
      <c r="M39" s="130"/>
      <c r="N39" s="131"/>
      <c r="O39" s="129"/>
      <c r="P39" s="130"/>
      <c r="Q39" s="130"/>
      <c r="R39" s="130"/>
      <c r="S39" s="172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4"/>
      <c r="AX39" s="175"/>
      <c r="AY39" s="175"/>
      <c r="AZ39" s="175"/>
      <c r="BA39" s="175"/>
      <c r="BB39" s="175"/>
      <c r="BC39" s="176"/>
      <c r="BD39" s="179"/>
      <c r="BE39" s="175"/>
      <c r="BF39" s="175"/>
      <c r="BG39" s="175"/>
      <c r="BH39" s="175"/>
      <c r="BI39" s="175"/>
      <c r="BJ39" s="176"/>
      <c r="BK39" s="4"/>
    </row>
    <row r="40" spans="1:63" ht="15" customHeight="1">
      <c r="A40" s="1"/>
      <c r="B40" s="135"/>
      <c r="C40" s="136"/>
      <c r="D40" s="136"/>
      <c r="E40" s="136"/>
      <c r="F40" s="136"/>
      <c r="G40" s="137"/>
      <c r="H40" s="135"/>
      <c r="I40" s="136"/>
      <c r="J40" s="136"/>
      <c r="K40" s="136"/>
      <c r="L40" s="136"/>
      <c r="M40" s="136"/>
      <c r="N40" s="137"/>
      <c r="O40" s="135"/>
      <c r="P40" s="136"/>
      <c r="Q40" s="136"/>
      <c r="R40" s="136"/>
      <c r="S40" s="181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3"/>
      <c r="AX40" s="177"/>
      <c r="AY40" s="177"/>
      <c r="AZ40" s="177"/>
      <c r="BA40" s="177"/>
      <c r="BB40" s="177"/>
      <c r="BC40" s="178"/>
      <c r="BD40" s="180"/>
      <c r="BE40" s="177"/>
      <c r="BF40" s="177"/>
      <c r="BG40" s="177"/>
      <c r="BH40" s="177"/>
      <c r="BI40" s="177"/>
      <c r="BJ40" s="178"/>
      <c r="BK40" s="4"/>
    </row>
    <row r="41" spans="1:63" ht="15" customHeight="1">
      <c r="A41" s="1"/>
      <c r="B41" s="129"/>
      <c r="C41" s="130"/>
      <c r="D41" s="130"/>
      <c r="E41" s="130"/>
      <c r="F41" s="130"/>
      <c r="G41" s="131"/>
      <c r="H41" s="129"/>
      <c r="I41" s="130"/>
      <c r="J41" s="130"/>
      <c r="K41" s="130"/>
      <c r="L41" s="130"/>
      <c r="M41" s="130"/>
      <c r="N41" s="131"/>
      <c r="O41" s="129"/>
      <c r="P41" s="130"/>
      <c r="Q41" s="130"/>
      <c r="R41" s="130"/>
      <c r="S41" s="172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4"/>
      <c r="AX41" s="175"/>
      <c r="AY41" s="175"/>
      <c r="AZ41" s="175"/>
      <c r="BA41" s="175"/>
      <c r="BB41" s="175"/>
      <c r="BC41" s="176"/>
      <c r="BD41" s="179"/>
      <c r="BE41" s="175"/>
      <c r="BF41" s="175"/>
      <c r="BG41" s="175"/>
      <c r="BH41" s="175"/>
      <c r="BI41" s="175"/>
      <c r="BJ41" s="176"/>
      <c r="BK41" s="4"/>
    </row>
    <row r="42" spans="1:63" ht="15" customHeight="1">
      <c r="A42" s="1"/>
      <c r="B42" s="135"/>
      <c r="C42" s="136"/>
      <c r="D42" s="136"/>
      <c r="E42" s="136"/>
      <c r="F42" s="136"/>
      <c r="G42" s="137"/>
      <c r="H42" s="135"/>
      <c r="I42" s="136"/>
      <c r="J42" s="136"/>
      <c r="K42" s="136"/>
      <c r="L42" s="136"/>
      <c r="M42" s="136"/>
      <c r="N42" s="137"/>
      <c r="O42" s="135"/>
      <c r="P42" s="136"/>
      <c r="Q42" s="136"/>
      <c r="R42" s="136"/>
      <c r="S42" s="181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3"/>
      <c r="AX42" s="177"/>
      <c r="AY42" s="177"/>
      <c r="AZ42" s="177"/>
      <c r="BA42" s="177"/>
      <c r="BB42" s="177"/>
      <c r="BC42" s="178"/>
      <c r="BD42" s="180"/>
      <c r="BE42" s="177"/>
      <c r="BF42" s="177"/>
      <c r="BG42" s="177"/>
      <c r="BH42" s="177"/>
      <c r="BI42" s="177"/>
      <c r="BJ42" s="178"/>
      <c r="BK42" s="4"/>
    </row>
    <row r="43" spans="1:63" ht="15" customHeight="1">
      <c r="A43" s="1"/>
      <c r="B43" s="129"/>
      <c r="C43" s="130"/>
      <c r="D43" s="130"/>
      <c r="E43" s="130"/>
      <c r="F43" s="130"/>
      <c r="G43" s="131"/>
      <c r="H43" s="129"/>
      <c r="I43" s="130"/>
      <c r="J43" s="130"/>
      <c r="K43" s="130"/>
      <c r="L43" s="130"/>
      <c r="M43" s="130"/>
      <c r="N43" s="131"/>
      <c r="O43" s="129"/>
      <c r="P43" s="130"/>
      <c r="Q43" s="130"/>
      <c r="R43" s="130"/>
      <c r="S43" s="172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4"/>
      <c r="AX43" s="175"/>
      <c r="AY43" s="175"/>
      <c r="AZ43" s="175"/>
      <c r="BA43" s="175"/>
      <c r="BB43" s="175"/>
      <c r="BC43" s="176"/>
      <c r="BD43" s="179"/>
      <c r="BE43" s="175"/>
      <c r="BF43" s="175"/>
      <c r="BG43" s="175"/>
      <c r="BH43" s="175"/>
      <c r="BI43" s="175"/>
      <c r="BJ43" s="176"/>
      <c r="BK43" s="4"/>
    </row>
    <row r="44" spans="1:63" ht="15" customHeight="1">
      <c r="A44" s="1"/>
      <c r="B44" s="135"/>
      <c r="C44" s="136"/>
      <c r="D44" s="136"/>
      <c r="E44" s="136"/>
      <c r="F44" s="136"/>
      <c r="G44" s="137"/>
      <c r="H44" s="135"/>
      <c r="I44" s="136"/>
      <c r="J44" s="136"/>
      <c r="K44" s="136"/>
      <c r="L44" s="136"/>
      <c r="M44" s="136"/>
      <c r="N44" s="137"/>
      <c r="O44" s="135"/>
      <c r="P44" s="136"/>
      <c r="Q44" s="136"/>
      <c r="R44" s="136"/>
      <c r="S44" s="181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182"/>
      <c r="AR44" s="182"/>
      <c r="AS44" s="182"/>
      <c r="AT44" s="182"/>
      <c r="AU44" s="182"/>
      <c r="AV44" s="182"/>
      <c r="AW44" s="183"/>
      <c r="AX44" s="177"/>
      <c r="AY44" s="177"/>
      <c r="AZ44" s="177"/>
      <c r="BA44" s="177"/>
      <c r="BB44" s="177"/>
      <c r="BC44" s="178"/>
      <c r="BD44" s="180"/>
      <c r="BE44" s="177"/>
      <c r="BF44" s="177"/>
      <c r="BG44" s="177"/>
      <c r="BH44" s="177"/>
      <c r="BI44" s="177"/>
      <c r="BJ44" s="178"/>
      <c r="BK44" s="4"/>
    </row>
    <row r="45" spans="1:63" ht="15" customHeight="1">
      <c r="A45" s="1"/>
      <c r="B45" s="129"/>
      <c r="C45" s="130"/>
      <c r="D45" s="130"/>
      <c r="E45" s="130"/>
      <c r="F45" s="130"/>
      <c r="G45" s="131"/>
      <c r="H45" s="129"/>
      <c r="I45" s="130"/>
      <c r="J45" s="130"/>
      <c r="K45" s="130"/>
      <c r="L45" s="130"/>
      <c r="M45" s="130"/>
      <c r="N45" s="131"/>
      <c r="O45" s="129"/>
      <c r="P45" s="130"/>
      <c r="Q45" s="130"/>
      <c r="R45" s="130"/>
      <c r="S45" s="172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4"/>
      <c r="AX45" s="175"/>
      <c r="AY45" s="175"/>
      <c r="AZ45" s="175"/>
      <c r="BA45" s="175"/>
      <c r="BB45" s="175"/>
      <c r="BC45" s="176"/>
      <c r="BD45" s="179"/>
      <c r="BE45" s="175"/>
      <c r="BF45" s="175"/>
      <c r="BG45" s="175"/>
      <c r="BH45" s="175"/>
      <c r="BI45" s="175"/>
      <c r="BJ45" s="176"/>
      <c r="BK45" s="4"/>
    </row>
    <row r="46" spans="1:63" ht="15" customHeight="1">
      <c r="A46" s="1"/>
      <c r="B46" s="135"/>
      <c r="C46" s="136"/>
      <c r="D46" s="136"/>
      <c r="E46" s="136"/>
      <c r="F46" s="136"/>
      <c r="G46" s="137"/>
      <c r="H46" s="135"/>
      <c r="I46" s="136"/>
      <c r="J46" s="136"/>
      <c r="K46" s="136"/>
      <c r="L46" s="136"/>
      <c r="M46" s="136"/>
      <c r="N46" s="137"/>
      <c r="O46" s="135"/>
      <c r="P46" s="136"/>
      <c r="Q46" s="136"/>
      <c r="R46" s="136"/>
      <c r="S46" s="181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182"/>
      <c r="AR46" s="182"/>
      <c r="AS46" s="182"/>
      <c r="AT46" s="182"/>
      <c r="AU46" s="182"/>
      <c r="AV46" s="182"/>
      <c r="AW46" s="183"/>
      <c r="AX46" s="177"/>
      <c r="AY46" s="177"/>
      <c r="AZ46" s="177"/>
      <c r="BA46" s="177"/>
      <c r="BB46" s="177"/>
      <c r="BC46" s="178"/>
      <c r="BD46" s="180"/>
      <c r="BE46" s="177"/>
      <c r="BF46" s="177"/>
      <c r="BG46" s="177"/>
      <c r="BH46" s="177"/>
      <c r="BI46" s="177"/>
      <c r="BJ46" s="178"/>
      <c r="BK46" s="4"/>
    </row>
    <row r="47" spans="1:63" ht="15" customHeight="1">
      <c r="A47" s="1"/>
      <c r="B47" s="129"/>
      <c r="C47" s="130"/>
      <c r="D47" s="130"/>
      <c r="E47" s="130"/>
      <c r="F47" s="130"/>
      <c r="G47" s="131"/>
      <c r="H47" s="129"/>
      <c r="I47" s="130"/>
      <c r="J47" s="130"/>
      <c r="K47" s="130"/>
      <c r="L47" s="130"/>
      <c r="M47" s="130"/>
      <c r="N47" s="131"/>
      <c r="O47" s="129"/>
      <c r="P47" s="130"/>
      <c r="Q47" s="130"/>
      <c r="R47" s="130"/>
      <c r="S47" s="172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3"/>
      <c r="AT47" s="173"/>
      <c r="AU47" s="173"/>
      <c r="AV47" s="173"/>
      <c r="AW47" s="174"/>
      <c r="AX47" s="175"/>
      <c r="AY47" s="175"/>
      <c r="AZ47" s="175"/>
      <c r="BA47" s="175"/>
      <c r="BB47" s="175"/>
      <c r="BC47" s="176"/>
      <c r="BD47" s="179"/>
      <c r="BE47" s="175"/>
      <c r="BF47" s="175"/>
      <c r="BG47" s="175"/>
      <c r="BH47" s="175"/>
      <c r="BI47" s="175"/>
      <c r="BJ47" s="176"/>
      <c r="BK47" s="4"/>
    </row>
    <row r="48" spans="1:63" ht="15" customHeight="1">
      <c r="A48" s="1"/>
      <c r="B48" s="135"/>
      <c r="C48" s="136"/>
      <c r="D48" s="136"/>
      <c r="E48" s="136"/>
      <c r="F48" s="136"/>
      <c r="G48" s="137"/>
      <c r="H48" s="135"/>
      <c r="I48" s="136"/>
      <c r="J48" s="136"/>
      <c r="K48" s="136"/>
      <c r="L48" s="136"/>
      <c r="M48" s="136"/>
      <c r="N48" s="137"/>
      <c r="O48" s="135"/>
      <c r="P48" s="136"/>
      <c r="Q48" s="136"/>
      <c r="R48" s="136"/>
      <c r="S48" s="181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182"/>
      <c r="AR48" s="182"/>
      <c r="AS48" s="182"/>
      <c r="AT48" s="182"/>
      <c r="AU48" s="182"/>
      <c r="AV48" s="182"/>
      <c r="AW48" s="183"/>
      <c r="AX48" s="177"/>
      <c r="AY48" s="177"/>
      <c r="AZ48" s="177"/>
      <c r="BA48" s="177"/>
      <c r="BB48" s="177"/>
      <c r="BC48" s="178"/>
      <c r="BD48" s="180"/>
      <c r="BE48" s="177"/>
      <c r="BF48" s="177"/>
      <c r="BG48" s="177"/>
      <c r="BH48" s="177"/>
      <c r="BI48" s="177"/>
      <c r="BJ48" s="178"/>
      <c r="BK48" s="4"/>
    </row>
    <row r="49" spans="1:63" ht="15" customHeight="1">
      <c r="A49" s="1"/>
      <c r="B49" s="129"/>
      <c r="C49" s="130"/>
      <c r="D49" s="130"/>
      <c r="E49" s="130"/>
      <c r="F49" s="130"/>
      <c r="G49" s="131"/>
      <c r="H49" s="129"/>
      <c r="I49" s="130"/>
      <c r="J49" s="130"/>
      <c r="K49" s="130"/>
      <c r="L49" s="130"/>
      <c r="M49" s="130"/>
      <c r="N49" s="131"/>
      <c r="O49" s="129"/>
      <c r="P49" s="130"/>
      <c r="Q49" s="130"/>
      <c r="R49" s="130"/>
      <c r="S49" s="172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4"/>
      <c r="AX49" s="175"/>
      <c r="AY49" s="175"/>
      <c r="AZ49" s="175"/>
      <c r="BA49" s="175"/>
      <c r="BB49" s="175"/>
      <c r="BC49" s="176"/>
      <c r="BD49" s="179"/>
      <c r="BE49" s="175"/>
      <c r="BF49" s="175"/>
      <c r="BG49" s="175"/>
      <c r="BH49" s="175"/>
      <c r="BI49" s="175"/>
      <c r="BJ49" s="176"/>
      <c r="BK49" s="4"/>
    </row>
    <row r="50" spans="1:63" ht="15" customHeight="1">
      <c r="A50" s="1"/>
      <c r="B50" s="135"/>
      <c r="C50" s="136"/>
      <c r="D50" s="136"/>
      <c r="E50" s="136"/>
      <c r="F50" s="136"/>
      <c r="G50" s="137"/>
      <c r="H50" s="135"/>
      <c r="I50" s="136"/>
      <c r="J50" s="136"/>
      <c r="K50" s="136"/>
      <c r="L50" s="136"/>
      <c r="M50" s="136"/>
      <c r="N50" s="137"/>
      <c r="O50" s="135"/>
      <c r="P50" s="136"/>
      <c r="Q50" s="136"/>
      <c r="R50" s="136"/>
      <c r="S50" s="181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182"/>
      <c r="AR50" s="182"/>
      <c r="AS50" s="182"/>
      <c r="AT50" s="182"/>
      <c r="AU50" s="182"/>
      <c r="AV50" s="182"/>
      <c r="AW50" s="183"/>
      <c r="AX50" s="177"/>
      <c r="AY50" s="177"/>
      <c r="AZ50" s="177"/>
      <c r="BA50" s="177"/>
      <c r="BB50" s="177"/>
      <c r="BC50" s="178"/>
      <c r="BD50" s="180"/>
      <c r="BE50" s="177"/>
      <c r="BF50" s="177"/>
      <c r="BG50" s="177"/>
      <c r="BH50" s="177"/>
      <c r="BI50" s="177"/>
      <c r="BJ50" s="178"/>
      <c r="BK50" s="4"/>
    </row>
    <row r="51" spans="1:63" ht="15" customHeight="1">
      <c r="A51" s="1"/>
      <c r="B51" s="129"/>
      <c r="C51" s="130"/>
      <c r="D51" s="130"/>
      <c r="E51" s="130"/>
      <c r="F51" s="130"/>
      <c r="G51" s="131"/>
      <c r="H51" s="129"/>
      <c r="I51" s="130"/>
      <c r="J51" s="130"/>
      <c r="K51" s="130"/>
      <c r="L51" s="130"/>
      <c r="M51" s="130"/>
      <c r="N51" s="131"/>
      <c r="O51" s="129"/>
      <c r="P51" s="130"/>
      <c r="Q51" s="130"/>
      <c r="R51" s="130"/>
      <c r="S51" s="172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4"/>
      <c r="AX51" s="175"/>
      <c r="AY51" s="175"/>
      <c r="AZ51" s="175"/>
      <c r="BA51" s="175"/>
      <c r="BB51" s="175"/>
      <c r="BC51" s="176"/>
      <c r="BD51" s="179"/>
      <c r="BE51" s="175"/>
      <c r="BF51" s="175"/>
      <c r="BG51" s="175"/>
      <c r="BH51" s="175"/>
      <c r="BI51" s="175"/>
      <c r="BJ51" s="176"/>
      <c r="BK51" s="4"/>
    </row>
    <row r="52" spans="1:63" ht="15" customHeight="1">
      <c r="A52" s="1"/>
      <c r="B52" s="135"/>
      <c r="C52" s="136"/>
      <c r="D52" s="136"/>
      <c r="E52" s="136"/>
      <c r="F52" s="136"/>
      <c r="G52" s="137"/>
      <c r="H52" s="135"/>
      <c r="I52" s="136"/>
      <c r="J52" s="136"/>
      <c r="K52" s="136"/>
      <c r="L52" s="136"/>
      <c r="M52" s="136"/>
      <c r="N52" s="137"/>
      <c r="O52" s="135"/>
      <c r="P52" s="136"/>
      <c r="Q52" s="136"/>
      <c r="R52" s="136"/>
      <c r="S52" s="181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3"/>
      <c r="AX52" s="177"/>
      <c r="AY52" s="177"/>
      <c r="AZ52" s="177"/>
      <c r="BA52" s="177"/>
      <c r="BB52" s="177"/>
      <c r="BC52" s="178"/>
      <c r="BD52" s="180"/>
      <c r="BE52" s="177"/>
      <c r="BF52" s="177"/>
      <c r="BG52" s="177"/>
      <c r="BH52" s="177"/>
      <c r="BI52" s="177"/>
      <c r="BJ52" s="178"/>
      <c r="BK52" s="4"/>
    </row>
    <row r="53" spans="1:63" ht="15" customHeight="1">
      <c r="A53" s="1"/>
      <c r="B53" s="129"/>
      <c r="C53" s="130"/>
      <c r="D53" s="130"/>
      <c r="E53" s="130"/>
      <c r="F53" s="130"/>
      <c r="G53" s="131"/>
      <c r="H53" s="129"/>
      <c r="I53" s="130"/>
      <c r="J53" s="130"/>
      <c r="K53" s="130"/>
      <c r="L53" s="130"/>
      <c r="M53" s="130"/>
      <c r="N53" s="131"/>
      <c r="O53" s="129"/>
      <c r="P53" s="130"/>
      <c r="Q53" s="130"/>
      <c r="R53" s="130"/>
      <c r="S53" s="172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3"/>
      <c r="AV53" s="173"/>
      <c r="AW53" s="174"/>
      <c r="AX53" s="175"/>
      <c r="AY53" s="175"/>
      <c r="AZ53" s="175"/>
      <c r="BA53" s="175"/>
      <c r="BB53" s="175"/>
      <c r="BC53" s="176"/>
      <c r="BD53" s="179"/>
      <c r="BE53" s="175"/>
      <c r="BF53" s="175"/>
      <c r="BG53" s="175"/>
      <c r="BH53" s="175"/>
      <c r="BI53" s="175"/>
      <c r="BJ53" s="176"/>
      <c r="BK53" s="4"/>
    </row>
    <row r="54" spans="1:63" ht="15" customHeight="1">
      <c r="A54" s="1"/>
      <c r="B54" s="135"/>
      <c r="C54" s="136"/>
      <c r="D54" s="136"/>
      <c r="E54" s="136"/>
      <c r="F54" s="136"/>
      <c r="G54" s="137"/>
      <c r="H54" s="135"/>
      <c r="I54" s="136"/>
      <c r="J54" s="136"/>
      <c r="K54" s="136"/>
      <c r="L54" s="136"/>
      <c r="M54" s="136"/>
      <c r="N54" s="137"/>
      <c r="O54" s="135"/>
      <c r="P54" s="136"/>
      <c r="Q54" s="136"/>
      <c r="R54" s="136"/>
      <c r="S54" s="181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182"/>
      <c r="AR54" s="182"/>
      <c r="AS54" s="182"/>
      <c r="AT54" s="182"/>
      <c r="AU54" s="182"/>
      <c r="AV54" s="182"/>
      <c r="AW54" s="183"/>
      <c r="AX54" s="177"/>
      <c r="AY54" s="177"/>
      <c r="AZ54" s="177"/>
      <c r="BA54" s="177"/>
      <c r="BB54" s="177"/>
      <c r="BC54" s="178"/>
      <c r="BD54" s="180"/>
      <c r="BE54" s="177"/>
      <c r="BF54" s="177"/>
      <c r="BG54" s="177"/>
      <c r="BH54" s="177"/>
      <c r="BI54" s="177"/>
      <c r="BJ54" s="178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DF-366D-44B9-BD37-4CFBECA1014F}">
  <dimension ref="A1:BK55"/>
  <sheetViews>
    <sheetView view="pageBreakPreview" zoomScale="80" zoomScaleNormal="75" zoomScaleSheetLayoutView="80" workbookViewId="0">
      <selection activeCell="AB12" sqref="AB12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72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47" t="s">
        <v>76</v>
      </c>
      <c r="C7" s="48"/>
      <c r="D7" s="47" t="s">
        <v>73</v>
      </c>
      <c r="E7" s="49"/>
      <c r="F7" s="49"/>
      <c r="G7" s="49"/>
      <c r="H7" s="49"/>
      <c r="I7" s="49"/>
      <c r="J7" s="49"/>
      <c r="K7" s="49"/>
      <c r="L7" s="48"/>
      <c r="M7" s="47" t="s">
        <v>74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8"/>
      <c r="AB7" s="47" t="s">
        <v>75</v>
      </c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50"/>
      <c r="AR7" s="50"/>
      <c r="AS7" s="50"/>
      <c r="AT7" s="49"/>
      <c r="AU7" s="49"/>
      <c r="AV7" s="48"/>
      <c r="AW7" s="47" t="s">
        <v>77</v>
      </c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8"/>
      <c r="BK7" s="4"/>
    </row>
    <row r="8" spans="1:63" ht="15" customHeight="1">
      <c r="A8" s="1"/>
      <c r="B8" s="51"/>
      <c r="C8" s="52"/>
      <c r="D8" s="53" t="s">
        <v>255</v>
      </c>
      <c r="E8" s="54"/>
      <c r="F8" s="54"/>
      <c r="G8" s="54"/>
      <c r="H8" s="54"/>
      <c r="I8" s="54"/>
      <c r="J8" s="54"/>
      <c r="K8" s="54"/>
      <c r="L8" s="55"/>
      <c r="M8" s="60" t="s">
        <v>612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7"/>
      <c r="AB8" s="58" t="s">
        <v>795</v>
      </c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9"/>
      <c r="AR8" s="59"/>
      <c r="AS8" s="59"/>
      <c r="AT8" s="56"/>
      <c r="AU8" s="56"/>
      <c r="AV8" s="57"/>
      <c r="AW8" s="58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7"/>
      <c r="BK8" s="4"/>
    </row>
    <row r="9" spans="1:63" ht="15" customHeight="1">
      <c r="A9" s="1"/>
      <c r="B9" s="51"/>
      <c r="C9" s="52"/>
      <c r="D9" s="53" t="s">
        <v>256</v>
      </c>
      <c r="E9" s="54"/>
      <c r="F9" s="54"/>
      <c r="G9" s="54"/>
      <c r="H9" s="54"/>
      <c r="I9" s="54"/>
      <c r="J9" s="54"/>
      <c r="K9" s="54"/>
      <c r="L9" s="55"/>
      <c r="M9" s="60" t="s">
        <v>252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7"/>
      <c r="AB9" s="58" t="s">
        <v>796</v>
      </c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9"/>
      <c r="AR9" s="59"/>
      <c r="AS9" s="59"/>
      <c r="AT9" s="56"/>
      <c r="AU9" s="56"/>
      <c r="AV9" s="57"/>
      <c r="AW9" s="58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  <c r="BK9" s="4"/>
    </row>
    <row r="10" spans="1:63" ht="15" customHeight="1">
      <c r="A10" s="1"/>
      <c r="B10" s="51"/>
      <c r="C10" s="52"/>
      <c r="D10" s="53" t="s">
        <v>256</v>
      </c>
      <c r="E10" s="54"/>
      <c r="F10" s="54"/>
      <c r="G10" s="54"/>
      <c r="H10" s="54"/>
      <c r="I10" s="54"/>
      <c r="J10" s="54"/>
      <c r="K10" s="54"/>
      <c r="L10" s="55"/>
      <c r="M10" s="60" t="s">
        <v>792</v>
      </c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  <c r="AB10" s="58" t="s">
        <v>794</v>
      </c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9"/>
      <c r="AR10" s="59"/>
      <c r="AS10" s="59"/>
      <c r="AT10" s="56"/>
      <c r="AU10" s="56"/>
      <c r="AV10" s="57"/>
      <c r="AW10" s="58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7"/>
      <c r="BK10" s="4"/>
    </row>
    <row r="11" spans="1:63" ht="15" customHeight="1">
      <c r="A11" s="1"/>
      <c r="B11" s="51"/>
      <c r="C11" s="52"/>
      <c r="D11" s="53" t="s">
        <v>256</v>
      </c>
      <c r="E11" s="54"/>
      <c r="F11" s="54"/>
      <c r="G11" s="54"/>
      <c r="H11" s="54"/>
      <c r="I11" s="54"/>
      <c r="J11" s="54"/>
      <c r="K11" s="54"/>
      <c r="L11" s="55"/>
      <c r="M11" s="60" t="s">
        <v>253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58" t="s">
        <v>1422</v>
      </c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9"/>
      <c r="AR11" s="59"/>
      <c r="AS11" s="59"/>
      <c r="AT11" s="56"/>
      <c r="AU11" s="56"/>
      <c r="AV11" s="57"/>
      <c r="AW11" s="58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  <c r="BK11" s="4"/>
    </row>
    <row r="12" spans="1:63" ht="15" customHeight="1">
      <c r="A12" s="1"/>
      <c r="B12" s="51"/>
      <c r="C12" s="52"/>
      <c r="D12" s="53"/>
      <c r="E12" s="54"/>
      <c r="F12" s="54"/>
      <c r="G12" s="54"/>
      <c r="H12" s="54"/>
      <c r="I12" s="54"/>
      <c r="J12" s="54"/>
      <c r="K12" s="54"/>
      <c r="L12" s="55"/>
      <c r="M12" s="60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/>
      <c r="AB12" s="99" t="s">
        <v>1431</v>
      </c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9"/>
      <c r="AR12" s="59"/>
      <c r="AS12" s="59"/>
      <c r="AT12" s="56"/>
      <c r="AU12" s="56"/>
      <c r="AV12" s="57"/>
      <c r="AW12" s="58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/>
      <c r="BK12" s="4"/>
    </row>
    <row r="13" spans="1:63" ht="15" customHeight="1">
      <c r="A13" s="1"/>
      <c r="B13" s="51"/>
      <c r="C13" s="52"/>
      <c r="D13" s="53" t="s">
        <v>256</v>
      </c>
      <c r="E13" s="54"/>
      <c r="F13" s="54"/>
      <c r="G13" s="54"/>
      <c r="H13" s="54"/>
      <c r="I13" s="54"/>
      <c r="J13" s="54"/>
      <c r="K13" s="54"/>
      <c r="L13" s="55"/>
      <c r="M13" s="60" t="s">
        <v>1185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7"/>
      <c r="AB13" s="58" t="s">
        <v>257</v>
      </c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9"/>
      <c r="AR13" s="59"/>
      <c r="AS13" s="59"/>
      <c r="AT13" s="56"/>
      <c r="AU13" s="56"/>
      <c r="AV13" s="57"/>
      <c r="AW13" s="58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7"/>
      <c r="BK13" s="4"/>
    </row>
    <row r="14" spans="1:63" ht="15" customHeight="1">
      <c r="A14" s="1"/>
      <c r="B14" s="51"/>
      <c r="C14" s="52"/>
      <c r="D14" s="53" t="s">
        <v>256</v>
      </c>
      <c r="E14" s="54"/>
      <c r="F14" s="54"/>
      <c r="G14" s="54"/>
      <c r="H14" s="54"/>
      <c r="I14" s="54"/>
      <c r="J14" s="54"/>
      <c r="K14" s="54"/>
      <c r="L14" s="55"/>
      <c r="M14" s="60" t="s">
        <v>254</v>
      </c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B14" s="58" t="s">
        <v>258</v>
      </c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9"/>
      <c r="AR14" s="59"/>
      <c r="AS14" s="59"/>
      <c r="AT14" s="56"/>
      <c r="AU14" s="56"/>
      <c r="AV14" s="57"/>
      <c r="AW14" s="58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7"/>
      <c r="BK14" s="4"/>
    </row>
    <row r="15" spans="1:63" ht="15" customHeight="1">
      <c r="A15" s="1"/>
      <c r="B15" s="51"/>
      <c r="C15" s="52"/>
      <c r="D15" s="53"/>
      <c r="E15" s="54"/>
      <c r="F15" s="54"/>
      <c r="G15" s="54"/>
      <c r="H15" s="54"/>
      <c r="I15" s="54"/>
      <c r="J15" s="54"/>
      <c r="K15" s="54"/>
      <c r="L15" s="55"/>
      <c r="M15" s="60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7"/>
      <c r="AB15" s="58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9"/>
      <c r="AR15" s="59"/>
      <c r="AS15" s="59"/>
      <c r="AT15" s="56"/>
      <c r="AU15" s="56"/>
      <c r="AV15" s="57"/>
      <c r="AW15" s="58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7"/>
      <c r="BK15" s="4"/>
    </row>
    <row r="16" spans="1:63" ht="15" customHeight="1">
      <c r="A16" s="1"/>
      <c r="B16" s="51"/>
      <c r="C16" s="52"/>
      <c r="D16" s="53"/>
      <c r="E16" s="54"/>
      <c r="F16" s="54"/>
      <c r="G16" s="54"/>
      <c r="H16" s="54"/>
      <c r="I16" s="54"/>
      <c r="J16" s="54"/>
      <c r="K16" s="54"/>
      <c r="L16" s="55"/>
      <c r="M16" s="60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B16" s="58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9"/>
      <c r="AR16" s="59"/>
      <c r="AS16" s="59"/>
      <c r="AT16" s="56"/>
      <c r="AU16" s="56"/>
      <c r="AV16" s="57"/>
      <c r="AW16" s="58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7"/>
      <c r="BK16" s="4"/>
    </row>
    <row r="17" spans="1:63" ht="15" customHeight="1">
      <c r="A17" s="1"/>
      <c r="B17" s="51"/>
      <c r="C17" s="52"/>
      <c r="D17" s="53"/>
      <c r="E17" s="54"/>
      <c r="F17" s="54"/>
      <c r="G17" s="54"/>
      <c r="H17" s="54"/>
      <c r="I17" s="54"/>
      <c r="J17" s="54"/>
      <c r="K17" s="54"/>
      <c r="L17" s="55"/>
      <c r="M17" s="60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B17" s="58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9"/>
      <c r="AR17" s="59"/>
      <c r="AS17" s="59"/>
      <c r="AT17" s="56"/>
      <c r="AU17" s="56"/>
      <c r="AV17" s="57"/>
      <c r="AW17" s="58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  <c r="BK17" s="4"/>
    </row>
    <row r="18" spans="1:63" ht="15" customHeight="1">
      <c r="A18" s="1"/>
      <c r="B18" s="51"/>
      <c r="C18" s="52"/>
      <c r="D18" s="53"/>
      <c r="E18" s="54"/>
      <c r="F18" s="54"/>
      <c r="G18" s="54"/>
      <c r="H18" s="54"/>
      <c r="I18" s="54"/>
      <c r="J18" s="54"/>
      <c r="K18" s="54"/>
      <c r="L18" s="55"/>
      <c r="M18" s="60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  <c r="AB18" s="58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9"/>
      <c r="AR18" s="59"/>
      <c r="AS18" s="59"/>
      <c r="AT18" s="56"/>
      <c r="AU18" s="56"/>
      <c r="AV18" s="57"/>
      <c r="AW18" s="58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7"/>
      <c r="BK18" s="4"/>
    </row>
    <row r="19" spans="1:63" ht="15" customHeight="1">
      <c r="A19" s="1"/>
      <c r="B19" s="51"/>
      <c r="C19" s="52"/>
      <c r="D19" s="53"/>
      <c r="E19" s="54"/>
      <c r="F19" s="54"/>
      <c r="G19" s="54"/>
      <c r="H19" s="54"/>
      <c r="I19" s="54"/>
      <c r="J19" s="54"/>
      <c r="K19" s="54"/>
      <c r="L19" s="55"/>
      <c r="M19" s="60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  <c r="AB19" s="58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9"/>
      <c r="AR19" s="59"/>
      <c r="AS19" s="59"/>
      <c r="AT19" s="56"/>
      <c r="AU19" s="56"/>
      <c r="AV19" s="57"/>
      <c r="AW19" s="58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7"/>
      <c r="BK19" s="4"/>
    </row>
    <row r="20" spans="1:63" ht="15" customHeight="1">
      <c r="A20" s="1"/>
      <c r="B20" s="51"/>
      <c r="C20" s="52"/>
      <c r="D20" s="53"/>
      <c r="E20" s="54"/>
      <c r="F20" s="54"/>
      <c r="G20" s="54"/>
      <c r="H20" s="54"/>
      <c r="I20" s="54"/>
      <c r="J20" s="54"/>
      <c r="K20" s="54"/>
      <c r="L20" s="55"/>
      <c r="M20" s="60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7"/>
      <c r="AB20" s="58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9"/>
      <c r="AR20" s="59"/>
      <c r="AS20" s="59"/>
      <c r="AT20" s="56"/>
      <c r="AU20" s="56"/>
      <c r="AV20" s="57"/>
      <c r="AW20" s="58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7"/>
      <c r="BK20" s="4"/>
    </row>
    <row r="21" spans="1:63" ht="15" customHeight="1">
      <c r="A21" s="1"/>
      <c r="B21" s="51"/>
      <c r="C21" s="52"/>
      <c r="D21" s="53"/>
      <c r="E21" s="54"/>
      <c r="F21" s="54"/>
      <c r="G21" s="54"/>
      <c r="H21" s="54"/>
      <c r="I21" s="54"/>
      <c r="J21" s="54"/>
      <c r="K21" s="54"/>
      <c r="L21" s="55"/>
      <c r="M21" s="60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  <c r="AB21" s="58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9"/>
      <c r="AR21" s="59"/>
      <c r="AS21" s="59"/>
      <c r="AT21" s="56"/>
      <c r="AU21" s="56"/>
      <c r="AV21" s="57"/>
      <c r="AW21" s="58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7"/>
      <c r="BK21" s="4"/>
    </row>
    <row r="22" spans="1:63" ht="15" customHeight="1">
      <c r="A22" s="1"/>
      <c r="B22" s="51"/>
      <c r="C22" s="52"/>
      <c r="D22" s="53"/>
      <c r="E22" s="54"/>
      <c r="F22" s="54"/>
      <c r="G22" s="54"/>
      <c r="H22" s="54"/>
      <c r="I22" s="54"/>
      <c r="J22" s="54"/>
      <c r="K22" s="54"/>
      <c r="L22" s="55"/>
      <c r="M22" s="60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7"/>
      <c r="AB22" s="58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9"/>
      <c r="AR22" s="59"/>
      <c r="AS22" s="59"/>
      <c r="AT22" s="56"/>
      <c r="AU22" s="56"/>
      <c r="AV22" s="57"/>
      <c r="AW22" s="58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7"/>
      <c r="BK22" s="4"/>
    </row>
    <row r="23" spans="1:63" ht="15" customHeight="1">
      <c r="A23" s="1"/>
      <c r="B23" s="51"/>
      <c r="C23" s="52"/>
      <c r="D23" s="53"/>
      <c r="E23" s="54"/>
      <c r="F23" s="54"/>
      <c r="G23" s="54"/>
      <c r="H23" s="54"/>
      <c r="I23" s="54"/>
      <c r="J23" s="54"/>
      <c r="K23" s="54"/>
      <c r="L23" s="55"/>
      <c r="M23" s="60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7"/>
      <c r="AB23" s="58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9"/>
      <c r="AR23" s="59"/>
      <c r="AS23" s="59"/>
      <c r="AT23" s="56"/>
      <c r="AU23" s="56"/>
      <c r="AV23" s="57"/>
      <c r="AW23" s="58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7"/>
      <c r="BK23" s="4"/>
    </row>
    <row r="24" spans="1:63" ht="15" customHeight="1">
      <c r="A24" s="1"/>
      <c r="B24" s="51"/>
      <c r="C24" s="52"/>
      <c r="D24" s="53"/>
      <c r="E24" s="54"/>
      <c r="F24" s="54"/>
      <c r="G24" s="54"/>
      <c r="H24" s="54"/>
      <c r="I24" s="54"/>
      <c r="J24" s="54"/>
      <c r="K24" s="54"/>
      <c r="L24" s="55"/>
      <c r="M24" s="60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7"/>
      <c r="AB24" s="58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9"/>
      <c r="AR24" s="59"/>
      <c r="AS24" s="59"/>
      <c r="AT24" s="56"/>
      <c r="AU24" s="56"/>
      <c r="AV24" s="57"/>
      <c r="AW24" s="58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7"/>
      <c r="BK24" s="4"/>
    </row>
    <row r="25" spans="1:63" ht="15" customHeight="1">
      <c r="A25" s="1"/>
      <c r="B25" s="51"/>
      <c r="C25" s="52"/>
      <c r="D25" s="53"/>
      <c r="E25" s="54"/>
      <c r="F25" s="54"/>
      <c r="G25" s="54"/>
      <c r="H25" s="54"/>
      <c r="I25" s="54"/>
      <c r="J25" s="54"/>
      <c r="K25" s="54"/>
      <c r="L25" s="55"/>
      <c r="M25" s="60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7"/>
      <c r="AB25" s="58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9"/>
      <c r="AR25" s="59"/>
      <c r="AS25" s="59"/>
      <c r="AT25" s="56"/>
      <c r="AU25" s="56"/>
      <c r="AV25" s="57"/>
      <c r="AW25" s="58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7"/>
      <c r="BK25" s="4"/>
    </row>
    <row r="26" spans="1:63" ht="15" customHeight="1">
      <c r="A26" s="1"/>
      <c r="B26" s="51"/>
      <c r="C26" s="52"/>
      <c r="D26" s="53"/>
      <c r="E26" s="54"/>
      <c r="F26" s="54"/>
      <c r="G26" s="54"/>
      <c r="H26" s="54"/>
      <c r="I26" s="54"/>
      <c r="J26" s="54"/>
      <c r="K26" s="54"/>
      <c r="L26" s="55"/>
      <c r="M26" s="60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7"/>
      <c r="AB26" s="58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9"/>
      <c r="AR26" s="59"/>
      <c r="AS26" s="59"/>
      <c r="AT26" s="56"/>
      <c r="AU26" s="56"/>
      <c r="AV26" s="57"/>
      <c r="AW26" s="58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7"/>
      <c r="BK26" s="4"/>
    </row>
    <row r="27" spans="1:63" ht="15" customHeight="1">
      <c r="A27" s="1"/>
      <c r="B27" s="51"/>
      <c r="C27" s="52"/>
      <c r="D27" s="53"/>
      <c r="E27" s="54"/>
      <c r="F27" s="54"/>
      <c r="G27" s="54"/>
      <c r="H27" s="54"/>
      <c r="I27" s="54"/>
      <c r="J27" s="54"/>
      <c r="K27" s="54"/>
      <c r="L27" s="55"/>
      <c r="M27" s="60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7"/>
      <c r="AB27" s="58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9"/>
      <c r="AR27" s="59"/>
      <c r="AS27" s="59"/>
      <c r="AT27" s="56"/>
      <c r="AU27" s="56"/>
      <c r="AV27" s="57"/>
      <c r="AW27" s="58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7"/>
      <c r="BK27" s="4"/>
    </row>
    <row r="28" spans="1:63" ht="15" customHeight="1">
      <c r="A28" s="1"/>
      <c r="B28" s="51"/>
      <c r="C28" s="52"/>
      <c r="D28" s="53"/>
      <c r="E28" s="54"/>
      <c r="F28" s="54"/>
      <c r="G28" s="54"/>
      <c r="H28" s="54"/>
      <c r="I28" s="54"/>
      <c r="J28" s="54"/>
      <c r="K28" s="54"/>
      <c r="L28" s="55"/>
      <c r="M28" s="60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7"/>
      <c r="AB28" s="58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9"/>
      <c r="AR28" s="59"/>
      <c r="AS28" s="59"/>
      <c r="AT28" s="56"/>
      <c r="AU28" s="56"/>
      <c r="AV28" s="57"/>
      <c r="AW28" s="58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7"/>
      <c r="BK28" s="4"/>
    </row>
    <row r="29" spans="1:63" ht="15" customHeight="1">
      <c r="A29" s="1"/>
      <c r="B29" s="51"/>
      <c r="C29" s="52"/>
      <c r="D29" s="53"/>
      <c r="E29" s="54"/>
      <c r="F29" s="54"/>
      <c r="G29" s="54"/>
      <c r="H29" s="54"/>
      <c r="I29" s="54"/>
      <c r="J29" s="54"/>
      <c r="K29" s="54"/>
      <c r="L29" s="55"/>
      <c r="M29" s="60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  <c r="AB29" s="58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9"/>
      <c r="AR29" s="59"/>
      <c r="AS29" s="59"/>
      <c r="AT29" s="56"/>
      <c r="AU29" s="56"/>
      <c r="AV29" s="57"/>
      <c r="AW29" s="58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7"/>
      <c r="BK29" s="4"/>
    </row>
    <row r="30" spans="1:63" ht="15" customHeight="1">
      <c r="A30" s="1"/>
      <c r="B30" s="51"/>
      <c r="C30" s="52"/>
      <c r="D30" s="53"/>
      <c r="E30" s="54"/>
      <c r="F30" s="54"/>
      <c r="G30" s="54"/>
      <c r="H30" s="54"/>
      <c r="I30" s="54"/>
      <c r="J30" s="54"/>
      <c r="K30" s="54"/>
      <c r="L30" s="55"/>
      <c r="M30" s="60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  <c r="AB30" s="58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9"/>
      <c r="AR30" s="59"/>
      <c r="AS30" s="59"/>
      <c r="AT30" s="56"/>
      <c r="AU30" s="56"/>
      <c r="AV30" s="57"/>
      <c r="AW30" s="58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7"/>
      <c r="BK30" s="4"/>
    </row>
    <row r="31" spans="1:63" ht="15" customHeight="1">
      <c r="A31" s="1"/>
      <c r="B31" s="51"/>
      <c r="C31" s="52"/>
      <c r="D31" s="53"/>
      <c r="E31" s="54"/>
      <c r="F31" s="54"/>
      <c r="G31" s="54"/>
      <c r="H31" s="54"/>
      <c r="I31" s="54"/>
      <c r="J31" s="54"/>
      <c r="K31" s="54"/>
      <c r="L31" s="55"/>
      <c r="M31" s="60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7"/>
      <c r="AB31" s="58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9"/>
      <c r="AR31" s="59"/>
      <c r="AS31" s="59"/>
      <c r="AT31" s="56"/>
      <c r="AU31" s="56"/>
      <c r="AV31" s="57"/>
      <c r="AW31" s="58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7"/>
      <c r="BK31" s="4"/>
    </row>
    <row r="32" spans="1:63" ht="15" customHeight="1">
      <c r="A32" s="1"/>
      <c r="B32" s="51"/>
      <c r="C32" s="52"/>
      <c r="D32" s="53"/>
      <c r="E32" s="54"/>
      <c r="F32" s="54"/>
      <c r="G32" s="54"/>
      <c r="H32" s="54"/>
      <c r="I32" s="54"/>
      <c r="J32" s="54"/>
      <c r="K32" s="54"/>
      <c r="L32" s="55"/>
      <c r="M32" s="60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7"/>
      <c r="AB32" s="58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9"/>
      <c r="AR32" s="59"/>
      <c r="AS32" s="59"/>
      <c r="AT32" s="56"/>
      <c r="AU32" s="56"/>
      <c r="AV32" s="57"/>
      <c r="AW32" s="58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7"/>
      <c r="BK32" s="4"/>
    </row>
    <row r="33" spans="1:63" ht="15" customHeight="1">
      <c r="A33" s="1"/>
      <c r="B33" s="51"/>
      <c r="C33" s="52"/>
      <c r="D33" s="53"/>
      <c r="E33" s="54"/>
      <c r="F33" s="54"/>
      <c r="G33" s="54"/>
      <c r="H33" s="54"/>
      <c r="I33" s="54"/>
      <c r="J33" s="54"/>
      <c r="K33" s="54"/>
      <c r="L33" s="55"/>
      <c r="M33" s="60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7"/>
      <c r="AB33" s="58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9"/>
      <c r="AR33" s="59"/>
      <c r="AS33" s="59"/>
      <c r="AT33" s="56"/>
      <c r="AU33" s="56"/>
      <c r="AV33" s="57"/>
      <c r="AW33" s="58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7"/>
      <c r="BK33" s="4"/>
    </row>
    <row r="34" spans="1:63" ht="15" customHeight="1">
      <c r="A34" s="1"/>
      <c r="B34" s="51"/>
      <c r="C34" s="52"/>
      <c r="D34" s="53"/>
      <c r="E34" s="54"/>
      <c r="F34" s="54"/>
      <c r="G34" s="54"/>
      <c r="H34" s="54"/>
      <c r="I34" s="54"/>
      <c r="J34" s="54"/>
      <c r="K34" s="54"/>
      <c r="L34" s="55"/>
      <c r="M34" s="60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7"/>
      <c r="AB34" s="58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9"/>
      <c r="AR34" s="59"/>
      <c r="AS34" s="59"/>
      <c r="AT34" s="56"/>
      <c r="AU34" s="56"/>
      <c r="AV34" s="57"/>
      <c r="AW34" s="58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7"/>
      <c r="BK34" s="4"/>
    </row>
    <row r="35" spans="1:63" ht="15" customHeight="1">
      <c r="A35" s="1"/>
      <c r="B35" s="51"/>
      <c r="C35" s="52"/>
      <c r="D35" s="53"/>
      <c r="E35" s="54"/>
      <c r="F35" s="54"/>
      <c r="G35" s="54"/>
      <c r="H35" s="54"/>
      <c r="I35" s="54"/>
      <c r="J35" s="54"/>
      <c r="K35" s="54"/>
      <c r="L35" s="55"/>
      <c r="M35" s="60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7"/>
      <c r="AB35" s="58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9"/>
      <c r="AR35" s="59"/>
      <c r="AS35" s="59"/>
      <c r="AT35" s="56"/>
      <c r="AU35" s="56"/>
      <c r="AV35" s="57"/>
      <c r="AW35" s="58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7"/>
      <c r="BK35" s="4"/>
    </row>
    <row r="36" spans="1:63" ht="15" customHeight="1">
      <c r="A36" s="1"/>
      <c r="B36" s="51"/>
      <c r="C36" s="52"/>
      <c r="D36" s="53"/>
      <c r="E36" s="54"/>
      <c r="F36" s="54"/>
      <c r="G36" s="54"/>
      <c r="H36" s="54"/>
      <c r="I36" s="54"/>
      <c r="J36" s="54"/>
      <c r="K36" s="54"/>
      <c r="L36" s="55"/>
      <c r="M36" s="60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7"/>
      <c r="AB36" s="58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9"/>
      <c r="AR36" s="59"/>
      <c r="AS36" s="59"/>
      <c r="AT36" s="56"/>
      <c r="AU36" s="56"/>
      <c r="AV36" s="57"/>
      <c r="AW36" s="58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7"/>
      <c r="BK36" s="4"/>
    </row>
    <row r="37" spans="1:63" ht="15" customHeight="1">
      <c r="A37" s="1"/>
      <c r="B37" s="51"/>
      <c r="C37" s="52"/>
      <c r="D37" s="53"/>
      <c r="E37" s="54"/>
      <c r="F37" s="54"/>
      <c r="G37" s="54"/>
      <c r="H37" s="54"/>
      <c r="I37" s="54"/>
      <c r="J37" s="54"/>
      <c r="K37" s="54"/>
      <c r="L37" s="55"/>
      <c r="M37" s="60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  <c r="AB37" s="58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9"/>
      <c r="AR37" s="59"/>
      <c r="AS37" s="59"/>
      <c r="AT37" s="56"/>
      <c r="AU37" s="56"/>
      <c r="AV37" s="57"/>
      <c r="AW37" s="58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7"/>
      <c r="BK37" s="4"/>
    </row>
    <row r="38" spans="1:63" ht="15" customHeight="1">
      <c r="A38" s="1"/>
      <c r="B38" s="51"/>
      <c r="C38" s="52"/>
      <c r="D38" s="53"/>
      <c r="E38" s="54"/>
      <c r="F38" s="54"/>
      <c r="G38" s="54"/>
      <c r="H38" s="54"/>
      <c r="I38" s="54"/>
      <c r="J38" s="54"/>
      <c r="K38" s="54"/>
      <c r="L38" s="55"/>
      <c r="M38" s="60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  <c r="AB38" s="58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9"/>
      <c r="AR38" s="59"/>
      <c r="AS38" s="59"/>
      <c r="AT38" s="56"/>
      <c r="AU38" s="56"/>
      <c r="AV38" s="57"/>
      <c r="AW38" s="58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7"/>
      <c r="BK38" s="4"/>
    </row>
    <row r="39" spans="1:63" ht="15" customHeight="1">
      <c r="A39" s="1"/>
      <c r="B39" s="51"/>
      <c r="C39" s="52"/>
      <c r="D39" s="53"/>
      <c r="E39" s="54"/>
      <c r="F39" s="54"/>
      <c r="G39" s="54"/>
      <c r="H39" s="54"/>
      <c r="I39" s="54"/>
      <c r="J39" s="54"/>
      <c r="K39" s="54"/>
      <c r="L39" s="55"/>
      <c r="M39" s="60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  <c r="AB39" s="58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9"/>
      <c r="AR39" s="59"/>
      <c r="AS39" s="59"/>
      <c r="AT39" s="56"/>
      <c r="AU39" s="56"/>
      <c r="AV39" s="57"/>
      <c r="AW39" s="58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7"/>
      <c r="BK39" s="4"/>
    </row>
    <row r="40" spans="1:63" ht="15" customHeight="1">
      <c r="A40" s="1"/>
      <c r="B40" s="51"/>
      <c r="C40" s="52"/>
      <c r="D40" s="53"/>
      <c r="E40" s="54"/>
      <c r="F40" s="54"/>
      <c r="G40" s="54"/>
      <c r="H40" s="54"/>
      <c r="I40" s="54"/>
      <c r="J40" s="54"/>
      <c r="K40" s="54"/>
      <c r="L40" s="55"/>
      <c r="M40" s="60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  <c r="AB40" s="58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9"/>
      <c r="AR40" s="59"/>
      <c r="AS40" s="59"/>
      <c r="AT40" s="56"/>
      <c r="AU40" s="56"/>
      <c r="AV40" s="57"/>
      <c r="AW40" s="58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7"/>
      <c r="BK40" s="4"/>
    </row>
    <row r="41" spans="1:63" ht="15" customHeight="1">
      <c r="A41" s="1"/>
      <c r="B41" s="51"/>
      <c r="C41" s="52"/>
      <c r="D41" s="53"/>
      <c r="E41" s="54"/>
      <c r="F41" s="54"/>
      <c r="G41" s="54"/>
      <c r="H41" s="54"/>
      <c r="I41" s="54"/>
      <c r="J41" s="54"/>
      <c r="K41" s="54"/>
      <c r="L41" s="55"/>
      <c r="M41" s="60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  <c r="AB41" s="58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9"/>
      <c r="AR41" s="59"/>
      <c r="AS41" s="59"/>
      <c r="AT41" s="56"/>
      <c r="AU41" s="56"/>
      <c r="AV41" s="57"/>
      <c r="AW41" s="58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7"/>
      <c r="BK41" s="4"/>
    </row>
    <row r="42" spans="1:63" ht="15" customHeight="1">
      <c r="A42" s="1"/>
      <c r="B42" s="51"/>
      <c r="C42" s="52"/>
      <c r="D42" s="53"/>
      <c r="E42" s="54"/>
      <c r="F42" s="54"/>
      <c r="G42" s="54"/>
      <c r="H42" s="54"/>
      <c r="I42" s="54"/>
      <c r="J42" s="54"/>
      <c r="K42" s="54"/>
      <c r="L42" s="55"/>
      <c r="M42" s="60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7"/>
      <c r="AB42" s="58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9"/>
      <c r="AR42" s="59"/>
      <c r="AS42" s="59"/>
      <c r="AT42" s="56"/>
      <c r="AU42" s="56"/>
      <c r="AV42" s="57"/>
      <c r="AW42" s="58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7"/>
      <c r="BK42" s="4"/>
    </row>
    <row r="43" spans="1:63" ht="15" customHeight="1">
      <c r="A43" s="1"/>
      <c r="B43" s="51"/>
      <c r="C43" s="52"/>
      <c r="D43" s="53"/>
      <c r="E43" s="54"/>
      <c r="F43" s="54"/>
      <c r="G43" s="54"/>
      <c r="H43" s="54"/>
      <c r="I43" s="54"/>
      <c r="J43" s="54"/>
      <c r="K43" s="54"/>
      <c r="L43" s="55"/>
      <c r="M43" s="60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7"/>
      <c r="AB43" s="58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9"/>
      <c r="AR43" s="59"/>
      <c r="AS43" s="59"/>
      <c r="AT43" s="56"/>
      <c r="AU43" s="56"/>
      <c r="AV43" s="57"/>
      <c r="AW43" s="58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7"/>
      <c r="BK43" s="4"/>
    </row>
    <row r="44" spans="1:63" ht="15" customHeight="1">
      <c r="A44" s="1"/>
      <c r="B44" s="51"/>
      <c r="C44" s="52"/>
      <c r="D44" s="53"/>
      <c r="E44" s="54"/>
      <c r="F44" s="54"/>
      <c r="G44" s="54"/>
      <c r="H44" s="54"/>
      <c r="I44" s="54"/>
      <c r="J44" s="54"/>
      <c r="K44" s="54"/>
      <c r="L44" s="55"/>
      <c r="M44" s="60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7"/>
      <c r="AB44" s="58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9"/>
      <c r="AR44" s="59"/>
      <c r="AS44" s="59"/>
      <c r="AT44" s="56"/>
      <c r="AU44" s="56"/>
      <c r="AV44" s="57"/>
      <c r="AW44" s="58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7"/>
      <c r="BK44" s="4"/>
    </row>
    <row r="45" spans="1:63" ht="15" customHeight="1">
      <c r="A45" s="1"/>
      <c r="B45" s="51"/>
      <c r="C45" s="52"/>
      <c r="D45" s="53"/>
      <c r="E45" s="54"/>
      <c r="F45" s="54"/>
      <c r="G45" s="54"/>
      <c r="H45" s="54"/>
      <c r="I45" s="54"/>
      <c r="J45" s="54"/>
      <c r="K45" s="54"/>
      <c r="L45" s="55"/>
      <c r="M45" s="60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7"/>
      <c r="AB45" s="58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9"/>
      <c r="AR45" s="59"/>
      <c r="AS45" s="59"/>
      <c r="AT45" s="56"/>
      <c r="AU45" s="56"/>
      <c r="AV45" s="57"/>
      <c r="AW45" s="58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7"/>
      <c r="BK45" s="4"/>
    </row>
    <row r="46" spans="1:63" ht="15" customHeight="1">
      <c r="A46" s="1"/>
      <c r="B46" s="51"/>
      <c r="C46" s="52"/>
      <c r="D46" s="53"/>
      <c r="E46" s="54"/>
      <c r="F46" s="54"/>
      <c r="G46" s="54"/>
      <c r="H46" s="54"/>
      <c r="I46" s="54"/>
      <c r="J46" s="54"/>
      <c r="K46" s="54"/>
      <c r="L46" s="55"/>
      <c r="M46" s="60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7"/>
      <c r="AB46" s="58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9"/>
      <c r="AR46" s="59"/>
      <c r="AS46" s="59"/>
      <c r="AT46" s="56"/>
      <c r="AU46" s="56"/>
      <c r="AV46" s="57"/>
      <c r="AW46" s="58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7"/>
      <c r="BK46" s="4"/>
    </row>
    <row r="47" spans="1:63" ht="15" customHeight="1">
      <c r="A47" s="1"/>
      <c r="B47" s="51"/>
      <c r="C47" s="52"/>
      <c r="D47" s="53"/>
      <c r="E47" s="54"/>
      <c r="F47" s="54"/>
      <c r="G47" s="54"/>
      <c r="H47" s="54"/>
      <c r="I47" s="54"/>
      <c r="J47" s="54"/>
      <c r="K47" s="54"/>
      <c r="L47" s="55"/>
      <c r="M47" s="60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7"/>
      <c r="AB47" s="58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9"/>
      <c r="AR47" s="59"/>
      <c r="AS47" s="59"/>
      <c r="AT47" s="56"/>
      <c r="AU47" s="56"/>
      <c r="AV47" s="57"/>
      <c r="AW47" s="58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7"/>
      <c r="BK47" s="4"/>
    </row>
    <row r="48" spans="1:63" ht="15" customHeight="1">
      <c r="A48" s="1"/>
      <c r="B48" s="51"/>
      <c r="C48" s="52"/>
      <c r="D48" s="53"/>
      <c r="E48" s="54"/>
      <c r="F48" s="54"/>
      <c r="G48" s="54"/>
      <c r="H48" s="54"/>
      <c r="I48" s="54"/>
      <c r="J48" s="54"/>
      <c r="K48" s="54"/>
      <c r="L48" s="55"/>
      <c r="M48" s="60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7"/>
      <c r="AB48" s="58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9"/>
      <c r="AR48" s="59"/>
      <c r="AS48" s="59"/>
      <c r="AT48" s="56"/>
      <c r="AU48" s="56"/>
      <c r="AV48" s="57"/>
      <c r="AW48" s="58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7"/>
      <c r="BK48" s="4"/>
    </row>
    <row r="49" spans="1:63" ht="15" customHeight="1">
      <c r="A49" s="1"/>
      <c r="B49" s="51"/>
      <c r="C49" s="52"/>
      <c r="D49" s="53"/>
      <c r="E49" s="54"/>
      <c r="F49" s="54"/>
      <c r="G49" s="54"/>
      <c r="H49" s="54"/>
      <c r="I49" s="54"/>
      <c r="J49" s="54"/>
      <c r="K49" s="54"/>
      <c r="L49" s="55"/>
      <c r="M49" s="60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7"/>
      <c r="AB49" s="58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9"/>
      <c r="AR49" s="59"/>
      <c r="AS49" s="59"/>
      <c r="AT49" s="56"/>
      <c r="AU49" s="56"/>
      <c r="AV49" s="57"/>
      <c r="AW49" s="58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7"/>
      <c r="BK49" s="4"/>
    </row>
    <row r="50" spans="1:63" ht="15" customHeight="1">
      <c r="A50" s="1"/>
      <c r="B50" s="51"/>
      <c r="C50" s="52"/>
      <c r="D50" s="53"/>
      <c r="E50" s="54"/>
      <c r="F50" s="54"/>
      <c r="G50" s="54"/>
      <c r="H50" s="54"/>
      <c r="I50" s="54"/>
      <c r="J50" s="54"/>
      <c r="K50" s="54"/>
      <c r="L50" s="55"/>
      <c r="M50" s="60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7"/>
      <c r="AB50" s="58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9"/>
      <c r="AR50" s="59"/>
      <c r="AS50" s="59"/>
      <c r="AT50" s="56"/>
      <c r="AU50" s="56"/>
      <c r="AV50" s="57"/>
      <c r="AW50" s="58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7"/>
      <c r="BK50" s="4"/>
    </row>
    <row r="51" spans="1:63" ht="15" customHeight="1">
      <c r="A51" s="1"/>
      <c r="B51" s="51"/>
      <c r="C51" s="52"/>
      <c r="D51" s="53"/>
      <c r="E51" s="54"/>
      <c r="F51" s="54"/>
      <c r="G51" s="54"/>
      <c r="H51" s="54"/>
      <c r="I51" s="54"/>
      <c r="J51" s="54"/>
      <c r="K51" s="54"/>
      <c r="L51" s="55"/>
      <c r="M51" s="60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7"/>
      <c r="AB51" s="58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9"/>
      <c r="AR51" s="59"/>
      <c r="AS51" s="59"/>
      <c r="AT51" s="56"/>
      <c r="AU51" s="56"/>
      <c r="AV51" s="57"/>
      <c r="AW51" s="58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7"/>
      <c r="BK51" s="4"/>
    </row>
    <row r="52" spans="1:63" ht="15" customHeight="1">
      <c r="A52" s="1"/>
      <c r="B52" s="51"/>
      <c r="C52" s="52"/>
      <c r="D52" s="53"/>
      <c r="E52" s="54"/>
      <c r="F52" s="54"/>
      <c r="G52" s="54"/>
      <c r="H52" s="54"/>
      <c r="I52" s="54"/>
      <c r="J52" s="54"/>
      <c r="K52" s="54"/>
      <c r="L52" s="55"/>
      <c r="M52" s="60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7"/>
      <c r="AB52" s="58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9"/>
      <c r="AR52" s="59"/>
      <c r="AS52" s="59"/>
      <c r="AT52" s="56"/>
      <c r="AU52" s="56"/>
      <c r="AV52" s="57"/>
      <c r="AW52" s="58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7"/>
      <c r="BK52" s="4"/>
    </row>
    <row r="53" spans="1:63" ht="15" customHeight="1">
      <c r="A53" s="1"/>
      <c r="B53" s="51"/>
      <c r="C53" s="52"/>
      <c r="D53" s="53"/>
      <c r="E53" s="54"/>
      <c r="F53" s="54"/>
      <c r="G53" s="54"/>
      <c r="H53" s="54"/>
      <c r="I53" s="54"/>
      <c r="J53" s="54"/>
      <c r="K53" s="54"/>
      <c r="L53" s="55"/>
      <c r="M53" s="60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7"/>
      <c r="AB53" s="58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9"/>
      <c r="AR53" s="59"/>
      <c r="AS53" s="59"/>
      <c r="AT53" s="56"/>
      <c r="AU53" s="56"/>
      <c r="AV53" s="57"/>
      <c r="AW53" s="58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7"/>
      <c r="BK53" s="4"/>
    </row>
    <row r="54" spans="1:63" ht="15" customHeight="1">
      <c r="A54" s="1"/>
      <c r="B54" s="51"/>
      <c r="C54" s="52"/>
      <c r="D54" s="53"/>
      <c r="E54" s="54"/>
      <c r="F54" s="54"/>
      <c r="G54" s="54"/>
      <c r="H54" s="54"/>
      <c r="I54" s="54"/>
      <c r="J54" s="54"/>
      <c r="K54" s="54"/>
      <c r="L54" s="55"/>
      <c r="M54" s="60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7"/>
      <c r="AB54" s="58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9"/>
      <c r="AR54" s="59"/>
      <c r="AS54" s="59"/>
      <c r="AT54" s="56"/>
      <c r="AU54" s="56"/>
      <c r="AV54" s="57"/>
      <c r="AW54" s="58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7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06B3-8911-4FD2-AECF-F85798B9560F}">
  <dimension ref="A1:BK56"/>
  <sheetViews>
    <sheetView view="pageBreakPreview" zoomScale="80" zoomScaleNormal="75" zoomScaleSheetLayoutView="80" workbookViewId="0">
      <selection activeCell="D13" sqref="D13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72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191" t="s">
        <v>76</v>
      </c>
      <c r="C7" s="195"/>
      <c r="D7" s="191" t="s">
        <v>74</v>
      </c>
      <c r="E7" s="192"/>
      <c r="F7" s="192"/>
      <c r="G7" s="192"/>
      <c r="H7" s="192"/>
      <c r="I7" s="192"/>
      <c r="J7" s="192"/>
      <c r="K7" s="192"/>
      <c r="L7" s="195"/>
      <c r="M7" s="191" t="s">
        <v>1419</v>
      </c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85" t="s">
        <v>1425</v>
      </c>
      <c r="Z7" s="186"/>
      <c r="AA7" s="186"/>
      <c r="AB7" s="187"/>
      <c r="AC7" s="185" t="s">
        <v>1426</v>
      </c>
      <c r="AD7" s="186"/>
      <c r="AE7" s="186"/>
      <c r="AF7" s="187"/>
      <c r="AG7" s="185" t="s">
        <v>1426</v>
      </c>
      <c r="AH7" s="186"/>
      <c r="AI7" s="186"/>
      <c r="AJ7" s="187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6"/>
      <c r="BK7" s="4"/>
    </row>
    <row r="8" spans="1:63" ht="15" customHeight="1">
      <c r="A8" s="1"/>
      <c r="B8" s="193"/>
      <c r="C8" s="196"/>
      <c r="D8" s="193"/>
      <c r="E8" s="194"/>
      <c r="F8" s="194"/>
      <c r="G8" s="194"/>
      <c r="H8" s="194"/>
      <c r="I8" s="194"/>
      <c r="J8" s="194"/>
      <c r="K8" s="194"/>
      <c r="L8" s="196"/>
      <c r="M8" s="193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88" t="s">
        <v>1427</v>
      </c>
      <c r="Z8" s="189"/>
      <c r="AA8" s="189"/>
      <c r="AB8" s="190"/>
      <c r="AC8" s="188" t="s">
        <v>1428</v>
      </c>
      <c r="AD8" s="189"/>
      <c r="AE8" s="189"/>
      <c r="AF8" s="190"/>
      <c r="AG8" s="188" t="s">
        <v>1429</v>
      </c>
      <c r="AH8" s="189"/>
      <c r="AI8" s="189"/>
      <c r="AJ8" s="190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8"/>
      <c r="BK8" s="4"/>
    </row>
    <row r="9" spans="1:63" ht="15" customHeight="1">
      <c r="A9" s="1"/>
      <c r="B9" s="126" t="s">
        <v>1436</v>
      </c>
      <c r="C9" s="94"/>
      <c r="D9" s="60" t="s">
        <v>612</v>
      </c>
      <c r="E9" s="56"/>
      <c r="F9" s="56"/>
      <c r="G9" s="56"/>
      <c r="H9" s="56"/>
      <c r="I9" s="56"/>
      <c r="J9" s="56"/>
      <c r="K9" s="56"/>
      <c r="L9" s="57"/>
      <c r="M9" s="58" t="s">
        <v>1420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206">
        <v>87383</v>
      </c>
      <c r="Z9" s="207"/>
      <c r="AA9" s="207"/>
      <c r="AB9" s="208"/>
      <c r="AC9" s="206">
        <v>87383</v>
      </c>
      <c r="AD9" s="207"/>
      <c r="AE9" s="207"/>
      <c r="AF9" s="208"/>
      <c r="AG9" s="212">
        <v>7.6388888888888893E-4</v>
      </c>
      <c r="AH9" s="213"/>
      <c r="AI9" s="213"/>
      <c r="AJ9" s="214"/>
      <c r="AK9" s="56"/>
      <c r="AL9" s="56"/>
      <c r="AM9" s="56"/>
      <c r="AN9" s="56"/>
      <c r="AO9" s="56"/>
      <c r="AP9" s="56"/>
      <c r="AQ9" s="59"/>
      <c r="AR9" s="59"/>
      <c r="AS9" s="59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  <c r="BK9" s="4"/>
    </row>
    <row r="10" spans="1:63" ht="15" customHeight="1">
      <c r="A10" s="1"/>
      <c r="B10" s="124" t="s">
        <v>1437</v>
      </c>
      <c r="C10" s="105"/>
      <c r="D10" s="106" t="s">
        <v>252</v>
      </c>
      <c r="E10" s="107"/>
      <c r="F10" s="107"/>
      <c r="G10" s="107"/>
      <c r="H10" s="107"/>
      <c r="I10" s="107"/>
      <c r="J10" s="107"/>
      <c r="K10" s="107"/>
      <c r="L10" s="108"/>
      <c r="M10" s="109" t="s">
        <v>1423</v>
      </c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200">
        <v>36176</v>
      </c>
      <c r="Z10" s="201"/>
      <c r="AA10" s="201"/>
      <c r="AB10" s="202"/>
      <c r="AC10" s="200">
        <v>36176</v>
      </c>
      <c r="AD10" s="201"/>
      <c r="AE10" s="201"/>
      <c r="AF10" s="202"/>
      <c r="AG10" s="209">
        <v>1.7361111111111112E-4</v>
      </c>
      <c r="AH10" s="210"/>
      <c r="AI10" s="210"/>
      <c r="AJ10" s="211"/>
      <c r="AK10" s="107"/>
      <c r="AL10" s="107"/>
      <c r="AM10" s="107"/>
      <c r="AN10" s="107"/>
      <c r="AO10" s="107"/>
      <c r="AP10" s="107"/>
      <c r="AQ10" s="113"/>
      <c r="AR10" s="113"/>
      <c r="AS10" s="113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8"/>
      <c r="BK10" s="4"/>
    </row>
    <row r="11" spans="1:63" ht="15" customHeight="1">
      <c r="A11" s="1"/>
      <c r="B11" s="124" t="s">
        <v>1438</v>
      </c>
      <c r="C11" s="105"/>
      <c r="D11" s="106" t="s">
        <v>792</v>
      </c>
      <c r="E11" s="107"/>
      <c r="F11" s="107"/>
      <c r="G11" s="107"/>
      <c r="H11" s="107"/>
      <c r="I11" s="107"/>
      <c r="J11" s="107"/>
      <c r="K11" s="107"/>
      <c r="L11" s="108"/>
      <c r="M11" s="109" t="s">
        <v>1430</v>
      </c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200">
        <v>17201</v>
      </c>
      <c r="Z11" s="201"/>
      <c r="AA11" s="201"/>
      <c r="AB11" s="202"/>
      <c r="AC11" s="200">
        <v>17201</v>
      </c>
      <c r="AD11" s="201"/>
      <c r="AE11" s="201"/>
      <c r="AF11" s="202"/>
      <c r="AG11" s="209">
        <v>1.5046296296296297E-4</v>
      </c>
      <c r="AH11" s="210"/>
      <c r="AI11" s="210"/>
      <c r="AJ11" s="211"/>
      <c r="AK11" s="107"/>
      <c r="AL11" s="107"/>
      <c r="AM11" s="107"/>
      <c r="AN11" s="107"/>
      <c r="AO11" s="107"/>
      <c r="AP11" s="107"/>
      <c r="AQ11" s="113"/>
      <c r="AR11" s="113"/>
      <c r="AS11" s="113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8"/>
      <c r="BK11" s="4"/>
    </row>
    <row r="12" spans="1:63" ht="15" customHeight="1">
      <c r="A12" s="1"/>
      <c r="B12" s="124" t="s">
        <v>1439</v>
      </c>
      <c r="C12" s="105"/>
      <c r="D12" s="106" t="s">
        <v>253</v>
      </c>
      <c r="E12" s="107"/>
      <c r="F12" s="107"/>
      <c r="G12" s="107"/>
      <c r="H12" s="107"/>
      <c r="I12" s="107"/>
      <c r="J12" s="107"/>
      <c r="K12" s="107"/>
      <c r="L12" s="108"/>
      <c r="M12" s="109" t="s">
        <v>1421</v>
      </c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200">
        <v>469</v>
      </c>
      <c r="Z12" s="201"/>
      <c r="AA12" s="201"/>
      <c r="AB12" s="202"/>
      <c r="AC12" s="200">
        <v>469</v>
      </c>
      <c r="AD12" s="201"/>
      <c r="AE12" s="201"/>
      <c r="AF12" s="202"/>
      <c r="AG12" s="209">
        <v>2.3148148148148147E-5</v>
      </c>
      <c r="AH12" s="210"/>
      <c r="AI12" s="210"/>
      <c r="AJ12" s="211"/>
      <c r="AK12" s="107"/>
      <c r="AL12" s="107"/>
      <c r="AM12" s="107"/>
      <c r="AN12" s="107"/>
      <c r="AO12" s="107"/>
      <c r="AP12" s="107"/>
      <c r="AQ12" s="113"/>
      <c r="AR12" s="113"/>
      <c r="AS12" s="113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8"/>
      <c r="BK12" s="4"/>
    </row>
    <row r="13" spans="1:63" ht="15" customHeight="1">
      <c r="A13" s="1"/>
      <c r="B13" s="104"/>
      <c r="C13" s="105"/>
      <c r="D13" s="106" t="s">
        <v>1433</v>
      </c>
      <c r="E13" s="107"/>
      <c r="F13" s="107"/>
      <c r="G13" s="107"/>
      <c r="H13" s="107"/>
      <c r="I13" s="107"/>
      <c r="J13" s="107"/>
      <c r="K13" s="107"/>
      <c r="L13" s="108"/>
      <c r="M13" s="109" t="s">
        <v>1432</v>
      </c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200">
        <v>0</v>
      </c>
      <c r="Z13" s="201"/>
      <c r="AA13" s="201"/>
      <c r="AB13" s="202"/>
      <c r="AC13" s="200">
        <v>0</v>
      </c>
      <c r="AD13" s="201"/>
      <c r="AE13" s="201"/>
      <c r="AF13" s="202"/>
      <c r="AG13" s="218"/>
      <c r="AH13" s="219"/>
      <c r="AI13" s="219"/>
      <c r="AJ13" s="220"/>
      <c r="AK13" s="107"/>
      <c r="AL13" s="107"/>
      <c r="AM13" s="107"/>
      <c r="AN13" s="107"/>
      <c r="AO13" s="107"/>
      <c r="AP13" s="107"/>
      <c r="AQ13" s="113"/>
      <c r="AR13" s="113"/>
      <c r="AS13" s="113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8"/>
      <c r="BK13" s="4"/>
    </row>
    <row r="14" spans="1:63" ht="15" customHeight="1">
      <c r="A14" s="1"/>
      <c r="B14" s="104"/>
      <c r="C14" s="105"/>
      <c r="D14" s="106" t="s">
        <v>1442</v>
      </c>
      <c r="E14" s="107"/>
      <c r="F14" s="107"/>
      <c r="G14" s="107"/>
      <c r="H14" s="107"/>
      <c r="I14" s="107"/>
      <c r="J14" s="107"/>
      <c r="K14" s="107"/>
      <c r="L14" s="108"/>
      <c r="M14" s="109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10"/>
      <c r="Z14" s="111"/>
      <c r="AA14" s="111"/>
      <c r="AB14" s="112"/>
      <c r="AC14" s="110"/>
      <c r="AD14" s="111"/>
      <c r="AE14" s="111"/>
      <c r="AF14" s="112"/>
      <c r="AG14" s="109"/>
      <c r="AH14" s="107"/>
      <c r="AI14" s="107"/>
      <c r="AJ14" s="108"/>
      <c r="AK14" s="107"/>
      <c r="AL14" s="107"/>
      <c r="AM14" s="107"/>
      <c r="AN14" s="107"/>
      <c r="AO14" s="107"/>
      <c r="AP14" s="107"/>
      <c r="AQ14" s="113"/>
      <c r="AR14" s="113"/>
      <c r="AS14" s="113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8"/>
      <c r="BK14" s="4"/>
    </row>
    <row r="15" spans="1:63" ht="15" customHeight="1">
      <c r="A15" s="1"/>
      <c r="B15" s="124" t="s">
        <v>1440</v>
      </c>
      <c r="C15" s="105"/>
      <c r="D15" s="106" t="s">
        <v>1185</v>
      </c>
      <c r="E15" s="107"/>
      <c r="F15" s="107"/>
      <c r="G15" s="107"/>
      <c r="H15" s="107"/>
      <c r="I15" s="107"/>
      <c r="J15" s="107"/>
      <c r="K15" s="107"/>
      <c r="L15" s="108"/>
      <c r="M15" s="109" t="s">
        <v>257</v>
      </c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200">
        <v>201250</v>
      </c>
      <c r="Z15" s="201"/>
      <c r="AA15" s="201"/>
      <c r="AB15" s="202"/>
      <c r="AC15" s="200">
        <v>200810</v>
      </c>
      <c r="AD15" s="201"/>
      <c r="AE15" s="201"/>
      <c r="AF15" s="202"/>
      <c r="AG15" s="209">
        <v>3.5416666666666665E-3</v>
      </c>
      <c r="AH15" s="219"/>
      <c r="AI15" s="219"/>
      <c r="AJ15" s="220"/>
      <c r="AK15" s="107"/>
      <c r="AL15" s="107"/>
      <c r="AM15" s="107"/>
      <c r="AN15" s="107"/>
      <c r="AO15" s="107"/>
      <c r="AP15" s="107"/>
      <c r="AQ15" s="113"/>
      <c r="AR15" s="113"/>
      <c r="AS15" s="113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8"/>
      <c r="BK15" s="4"/>
    </row>
    <row r="16" spans="1:63" ht="15" customHeight="1">
      <c r="A16" s="1"/>
      <c r="B16" s="104"/>
      <c r="C16" s="105"/>
      <c r="D16" s="106" t="s">
        <v>1327</v>
      </c>
      <c r="E16" s="107"/>
      <c r="F16" s="107"/>
      <c r="G16" s="107"/>
      <c r="H16" s="107"/>
      <c r="I16" s="107"/>
      <c r="J16" s="107"/>
      <c r="K16" s="107"/>
      <c r="L16" s="108"/>
      <c r="M16" s="109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200" t="s">
        <v>1434</v>
      </c>
      <c r="Z16" s="201"/>
      <c r="AA16" s="201"/>
      <c r="AB16" s="202"/>
      <c r="AC16" s="200">
        <v>220</v>
      </c>
      <c r="AD16" s="201"/>
      <c r="AE16" s="201"/>
      <c r="AF16" s="202"/>
      <c r="AG16" s="218"/>
      <c r="AH16" s="219"/>
      <c r="AI16" s="219"/>
      <c r="AJ16" s="220"/>
      <c r="AK16" s="107"/>
      <c r="AL16" s="107"/>
      <c r="AM16" s="107"/>
      <c r="AN16" s="107"/>
      <c r="AO16" s="107"/>
      <c r="AP16" s="107"/>
      <c r="AQ16" s="113"/>
      <c r="AR16" s="113"/>
      <c r="AS16" s="113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8"/>
      <c r="BK16" s="4"/>
    </row>
    <row r="17" spans="1:63" ht="15" customHeight="1">
      <c r="A17" s="1"/>
      <c r="B17" s="104"/>
      <c r="C17" s="105"/>
      <c r="D17" s="109" t="s">
        <v>1401</v>
      </c>
      <c r="E17" s="107"/>
      <c r="F17" s="107"/>
      <c r="G17" s="107"/>
      <c r="H17" s="107"/>
      <c r="I17" s="107"/>
      <c r="J17" s="107"/>
      <c r="K17" s="107"/>
      <c r="L17" s="108"/>
      <c r="M17" s="106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203" t="s">
        <v>1434</v>
      </c>
      <c r="Z17" s="204"/>
      <c r="AA17" s="204"/>
      <c r="AB17" s="205"/>
      <c r="AC17" s="203">
        <v>220</v>
      </c>
      <c r="AD17" s="204"/>
      <c r="AE17" s="204"/>
      <c r="AF17" s="205"/>
      <c r="AG17" s="218"/>
      <c r="AH17" s="219"/>
      <c r="AI17" s="219"/>
      <c r="AJ17" s="220"/>
      <c r="AK17" s="107"/>
      <c r="AL17" s="107"/>
      <c r="AM17" s="107"/>
      <c r="AN17" s="107"/>
      <c r="AO17" s="107"/>
      <c r="AP17" s="107"/>
      <c r="AQ17" s="113"/>
      <c r="AR17" s="113"/>
      <c r="AS17" s="113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8"/>
      <c r="BK17" s="4"/>
    </row>
    <row r="18" spans="1:63" ht="15" customHeight="1">
      <c r="A18" s="1"/>
      <c r="B18" s="125" t="s">
        <v>1441</v>
      </c>
      <c r="C18" s="114"/>
      <c r="D18" s="115" t="s">
        <v>1424</v>
      </c>
      <c r="E18" s="116"/>
      <c r="F18" s="116"/>
      <c r="G18" s="116"/>
      <c r="H18" s="116"/>
      <c r="I18" s="116"/>
      <c r="J18" s="116"/>
      <c r="K18" s="116"/>
      <c r="L18" s="117"/>
      <c r="M18" s="118" t="s">
        <v>258</v>
      </c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97">
        <v>2770268</v>
      </c>
      <c r="Z18" s="198"/>
      <c r="AA18" s="198"/>
      <c r="AB18" s="199"/>
      <c r="AC18" s="197">
        <v>2717635</v>
      </c>
      <c r="AD18" s="198"/>
      <c r="AE18" s="198"/>
      <c r="AF18" s="199"/>
      <c r="AG18" s="221">
        <v>1.4074074074074074E-2</v>
      </c>
      <c r="AH18" s="222"/>
      <c r="AI18" s="222"/>
      <c r="AJ18" s="223"/>
      <c r="AK18" s="116"/>
      <c r="AL18" s="116"/>
      <c r="AM18" s="116"/>
      <c r="AN18" s="116"/>
      <c r="AO18" s="116"/>
      <c r="AP18" s="116"/>
      <c r="AQ18" s="119"/>
      <c r="AR18" s="119"/>
      <c r="AS18" s="119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7"/>
      <c r="BK18" s="4"/>
    </row>
    <row r="19" spans="1:63" ht="15" customHeight="1">
      <c r="A19" s="1"/>
      <c r="B19" s="100"/>
      <c r="C19" s="100"/>
      <c r="D19" s="101"/>
      <c r="E19" s="101"/>
      <c r="F19" s="101"/>
      <c r="G19" s="101"/>
      <c r="H19" s="101"/>
      <c r="I19" s="101"/>
      <c r="J19" s="101"/>
      <c r="K19" s="101"/>
      <c r="L19" s="101"/>
      <c r="M19" s="102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2"/>
      <c r="Z19" s="102"/>
      <c r="AA19" s="102"/>
      <c r="AB19" s="102"/>
      <c r="AC19" s="120"/>
      <c r="AD19" s="121"/>
      <c r="AE19" s="122"/>
      <c r="AF19" s="123" t="s">
        <v>1435</v>
      </c>
      <c r="AG19" s="215">
        <f>SUM(AG9:AJ18)</f>
        <v>1.8726851851851852E-2</v>
      </c>
      <c r="AH19" s="216"/>
      <c r="AI19" s="216"/>
      <c r="AJ19" s="217"/>
      <c r="AK19" s="101"/>
      <c r="AL19" s="101"/>
      <c r="AM19" s="101"/>
      <c r="AN19" s="101"/>
      <c r="AO19" s="101"/>
      <c r="AP19" s="101"/>
      <c r="AQ19" s="103"/>
      <c r="AR19" s="103"/>
      <c r="AS19" s="103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4"/>
    </row>
    <row r="20" spans="1:63" ht="15" customHeight="1">
      <c r="A20" s="1"/>
      <c r="B20" s="100"/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2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2"/>
      <c r="Z20" s="102"/>
      <c r="AA20" s="102"/>
      <c r="AB20" s="102"/>
      <c r="AC20" s="102"/>
      <c r="AD20" s="102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3"/>
      <c r="AR20" s="103"/>
      <c r="AS20" s="103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4"/>
    </row>
    <row r="21" spans="1:63" ht="15" customHeight="1">
      <c r="A21" s="1"/>
      <c r="B21" s="100"/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2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2"/>
      <c r="AA21" s="102"/>
      <c r="AB21" s="102"/>
      <c r="AC21" s="102"/>
      <c r="AD21" s="102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3"/>
      <c r="AR21" s="103"/>
      <c r="AS21" s="103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4"/>
    </row>
    <row r="22" spans="1:63" ht="15" customHeight="1">
      <c r="A22" s="1"/>
      <c r="B22" s="100"/>
      <c r="C22" s="100"/>
      <c r="D22" s="101"/>
      <c r="E22" s="101"/>
      <c r="F22" s="101"/>
      <c r="G22" s="101"/>
      <c r="H22" s="101"/>
      <c r="I22" s="101"/>
      <c r="J22" s="101"/>
      <c r="K22" s="101"/>
      <c r="L22" s="101"/>
      <c r="M22" s="102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2"/>
      <c r="Z22" s="102"/>
      <c r="AA22" s="102"/>
      <c r="AB22" s="102"/>
      <c r="AC22" s="102"/>
      <c r="AD22" s="102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3"/>
      <c r="AR22" s="103"/>
      <c r="AS22" s="103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4"/>
    </row>
    <row r="23" spans="1:63" ht="15" customHeight="1">
      <c r="A23" s="1"/>
      <c r="B23" s="100"/>
      <c r="C23" s="100"/>
      <c r="D23" s="101"/>
      <c r="E23" s="101"/>
      <c r="F23" s="101"/>
      <c r="G23" s="101"/>
      <c r="H23" s="101"/>
      <c r="I23" s="101"/>
      <c r="J23" s="101"/>
      <c r="K23" s="101"/>
      <c r="L23" s="101"/>
      <c r="M23" s="102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2"/>
      <c r="Z23" s="102"/>
      <c r="AA23" s="102"/>
      <c r="AB23" s="102"/>
      <c r="AC23" s="102"/>
      <c r="AD23" s="102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3"/>
      <c r="AR23" s="103"/>
      <c r="AS23" s="103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4"/>
    </row>
    <row r="24" spans="1:63" ht="15" customHeight="1">
      <c r="A24" s="1"/>
      <c r="B24" s="100"/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2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2"/>
      <c r="Z24" s="102"/>
      <c r="AA24" s="102"/>
      <c r="AB24" s="102"/>
      <c r="AC24" s="102"/>
      <c r="AD24" s="102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3"/>
      <c r="AR24" s="103"/>
      <c r="AS24" s="103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4"/>
    </row>
    <row r="25" spans="1:63" ht="15" customHeight="1">
      <c r="A25" s="1"/>
      <c r="B25" s="100"/>
      <c r="C25" s="100"/>
      <c r="D25" s="101"/>
      <c r="E25" s="101"/>
      <c r="F25" s="101"/>
      <c r="G25" s="101"/>
      <c r="H25" s="101"/>
      <c r="I25" s="101"/>
      <c r="J25" s="101"/>
      <c r="K25" s="101"/>
      <c r="L25" s="101"/>
      <c r="M25" s="102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2"/>
      <c r="Z25" s="102"/>
      <c r="AA25" s="102"/>
      <c r="AB25" s="102"/>
      <c r="AC25" s="102"/>
      <c r="AD25" s="102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3"/>
      <c r="AR25" s="103"/>
      <c r="AS25" s="103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4"/>
    </row>
    <row r="26" spans="1:63" ht="15" customHeight="1">
      <c r="A26" s="1"/>
      <c r="B26" s="100"/>
      <c r="C26" s="100"/>
      <c r="D26" s="101"/>
      <c r="E26" s="101"/>
      <c r="F26" s="101"/>
      <c r="G26" s="101"/>
      <c r="H26" s="101"/>
      <c r="I26" s="101"/>
      <c r="J26" s="101"/>
      <c r="K26" s="101"/>
      <c r="L26" s="101"/>
      <c r="M26" s="102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2"/>
      <c r="Z26" s="102"/>
      <c r="AA26" s="102"/>
      <c r="AB26" s="102"/>
      <c r="AC26" s="102"/>
      <c r="AD26" s="102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3"/>
      <c r="AR26" s="103"/>
      <c r="AS26" s="103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4"/>
    </row>
    <row r="27" spans="1:63" ht="15" customHeight="1">
      <c r="A27" s="1"/>
      <c r="B27" s="100"/>
      <c r="C27" s="100"/>
      <c r="D27" s="101"/>
      <c r="E27" s="101"/>
      <c r="F27" s="101"/>
      <c r="G27" s="101"/>
      <c r="H27" s="101"/>
      <c r="I27" s="101"/>
      <c r="J27" s="101"/>
      <c r="K27" s="101"/>
      <c r="L27" s="101"/>
      <c r="M27" s="102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2"/>
      <c r="Z27" s="102"/>
      <c r="AA27" s="102"/>
      <c r="AB27" s="102"/>
      <c r="AC27" s="102"/>
      <c r="AD27" s="102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3"/>
      <c r="AR27" s="103"/>
      <c r="AS27" s="103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4"/>
    </row>
    <row r="28" spans="1:63" ht="15" customHeight="1">
      <c r="A28" s="1"/>
      <c r="B28" s="100"/>
      <c r="C28" s="100"/>
      <c r="D28" s="101"/>
      <c r="E28" s="101"/>
      <c r="F28" s="101"/>
      <c r="G28" s="101"/>
      <c r="H28" s="101"/>
      <c r="I28" s="101"/>
      <c r="J28" s="101"/>
      <c r="K28" s="101"/>
      <c r="L28" s="101"/>
      <c r="M28" s="102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2"/>
      <c r="Z28" s="102"/>
      <c r="AA28" s="102"/>
      <c r="AB28" s="102"/>
      <c r="AC28" s="102"/>
      <c r="AD28" s="102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3"/>
      <c r="AR28" s="103"/>
      <c r="AS28" s="103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4"/>
    </row>
    <row r="29" spans="1:63" ht="15" customHeight="1">
      <c r="A29" s="1"/>
      <c r="B29" s="100"/>
      <c r="C29" s="100"/>
      <c r="D29" s="101"/>
      <c r="E29" s="101"/>
      <c r="F29" s="101"/>
      <c r="G29" s="101"/>
      <c r="H29" s="101"/>
      <c r="I29" s="101"/>
      <c r="J29" s="101"/>
      <c r="K29" s="101"/>
      <c r="L29" s="101"/>
      <c r="M29" s="102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2"/>
      <c r="Z29" s="102"/>
      <c r="AA29" s="102"/>
      <c r="AB29" s="102"/>
      <c r="AC29" s="102"/>
      <c r="AD29" s="102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3"/>
      <c r="AR29" s="103"/>
      <c r="AS29" s="103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4"/>
    </row>
    <row r="30" spans="1:63" ht="15" customHeight="1">
      <c r="A30" s="1"/>
      <c r="B30" s="100"/>
      <c r="C30" s="100"/>
      <c r="D30" s="101"/>
      <c r="E30" s="101"/>
      <c r="F30" s="101"/>
      <c r="G30" s="101"/>
      <c r="H30" s="101"/>
      <c r="I30" s="101"/>
      <c r="J30" s="101"/>
      <c r="K30" s="101"/>
      <c r="L30" s="101"/>
      <c r="M30" s="102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2"/>
      <c r="Z30" s="102"/>
      <c r="AA30" s="102"/>
      <c r="AB30" s="102"/>
      <c r="AC30" s="102"/>
      <c r="AD30" s="102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3"/>
      <c r="AR30" s="103"/>
      <c r="AS30" s="103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4"/>
    </row>
    <row r="31" spans="1:63" ht="15" customHeight="1">
      <c r="A31" s="1"/>
      <c r="B31" s="100"/>
      <c r="C31" s="100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2"/>
      <c r="Z31" s="102"/>
      <c r="AA31" s="102"/>
      <c r="AB31" s="102"/>
      <c r="AC31" s="102"/>
      <c r="AD31" s="102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3"/>
      <c r="AR31" s="103"/>
      <c r="AS31" s="103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4"/>
    </row>
    <row r="32" spans="1:63" ht="15" customHeight="1">
      <c r="A32" s="1"/>
      <c r="B32" s="100"/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102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2"/>
      <c r="Z32" s="102"/>
      <c r="AA32" s="102"/>
      <c r="AB32" s="102"/>
      <c r="AC32" s="102"/>
      <c r="AD32" s="102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3"/>
      <c r="AR32" s="103"/>
      <c r="AS32" s="103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4"/>
    </row>
    <row r="33" spans="1:63" ht="15" customHeight="1">
      <c r="A33" s="1"/>
      <c r="B33" s="100"/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2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2"/>
      <c r="Z33" s="102"/>
      <c r="AA33" s="102"/>
      <c r="AB33" s="102"/>
      <c r="AC33" s="102"/>
      <c r="AD33" s="102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3"/>
      <c r="AR33" s="103"/>
      <c r="AS33" s="103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4"/>
    </row>
    <row r="34" spans="1:63" ht="15" customHeight="1">
      <c r="A34" s="1"/>
      <c r="B34" s="100"/>
      <c r="C34" s="100"/>
      <c r="D34" s="101"/>
      <c r="E34" s="101"/>
      <c r="F34" s="101"/>
      <c r="G34" s="101"/>
      <c r="H34" s="101"/>
      <c r="I34" s="101"/>
      <c r="J34" s="101"/>
      <c r="K34" s="101"/>
      <c r="L34" s="101"/>
      <c r="M34" s="102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2"/>
      <c r="Z34" s="102"/>
      <c r="AA34" s="102"/>
      <c r="AB34" s="102"/>
      <c r="AC34" s="102"/>
      <c r="AD34" s="102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3"/>
      <c r="AR34" s="103"/>
      <c r="AS34" s="103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4"/>
    </row>
    <row r="35" spans="1:63" ht="15" customHeight="1">
      <c r="A35" s="1"/>
      <c r="B35" s="100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2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2"/>
      <c r="Z35" s="102"/>
      <c r="AA35" s="102"/>
      <c r="AB35" s="102"/>
      <c r="AC35" s="102"/>
      <c r="AD35" s="102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3"/>
      <c r="AR35" s="103"/>
      <c r="AS35" s="103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4"/>
    </row>
    <row r="36" spans="1:63" ht="15" customHeight="1">
      <c r="A36" s="1"/>
      <c r="B36" s="100"/>
      <c r="C36" s="100"/>
      <c r="D36" s="101"/>
      <c r="E36" s="101"/>
      <c r="F36" s="101"/>
      <c r="G36" s="101"/>
      <c r="H36" s="101"/>
      <c r="I36" s="101"/>
      <c r="J36" s="101"/>
      <c r="K36" s="101"/>
      <c r="L36" s="101"/>
      <c r="M36" s="102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2"/>
      <c r="Z36" s="102"/>
      <c r="AA36" s="102"/>
      <c r="AB36" s="102"/>
      <c r="AC36" s="102"/>
      <c r="AD36" s="102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3"/>
      <c r="AR36" s="103"/>
      <c r="AS36" s="103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4"/>
    </row>
    <row r="37" spans="1:63" ht="15" customHeight="1">
      <c r="A37" s="1"/>
      <c r="B37" s="100"/>
      <c r="C37" s="100"/>
      <c r="D37" s="101"/>
      <c r="E37" s="101"/>
      <c r="F37" s="101"/>
      <c r="G37" s="101"/>
      <c r="H37" s="101"/>
      <c r="I37" s="101"/>
      <c r="J37" s="101"/>
      <c r="K37" s="101"/>
      <c r="L37" s="101"/>
      <c r="M37" s="102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2"/>
      <c r="Z37" s="102"/>
      <c r="AA37" s="102"/>
      <c r="AB37" s="102"/>
      <c r="AC37" s="102"/>
      <c r="AD37" s="102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3"/>
      <c r="AR37" s="103"/>
      <c r="AS37" s="103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4"/>
    </row>
    <row r="38" spans="1:63" ht="15" customHeight="1">
      <c r="A38" s="1"/>
      <c r="B38" s="100"/>
      <c r="C38" s="100"/>
      <c r="D38" s="101"/>
      <c r="E38" s="101"/>
      <c r="F38" s="101"/>
      <c r="G38" s="101"/>
      <c r="H38" s="101"/>
      <c r="I38" s="101"/>
      <c r="J38" s="101"/>
      <c r="K38" s="101"/>
      <c r="L38" s="101"/>
      <c r="M38" s="102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2"/>
      <c r="Z38" s="102"/>
      <c r="AA38" s="102"/>
      <c r="AB38" s="102"/>
      <c r="AC38" s="102"/>
      <c r="AD38" s="102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3"/>
      <c r="AR38" s="103"/>
      <c r="AS38" s="103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4"/>
    </row>
    <row r="39" spans="1:63" ht="15" customHeight="1">
      <c r="A39" s="1"/>
      <c r="B39" s="100"/>
      <c r="C39" s="100"/>
      <c r="D39" s="101"/>
      <c r="E39" s="101"/>
      <c r="F39" s="101"/>
      <c r="G39" s="101"/>
      <c r="H39" s="101"/>
      <c r="I39" s="101"/>
      <c r="J39" s="101"/>
      <c r="K39" s="101"/>
      <c r="L39" s="101"/>
      <c r="M39" s="102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2"/>
      <c r="Z39" s="102"/>
      <c r="AA39" s="102"/>
      <c r="AB39" s="102"/>
      <c r="AC39" s="102"/>
      <c r="AD39" s="102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3"/>
      <c r="AR39" s="103"/>
      <c r="AS39" s="103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4"/>
    </row>
    <row r="40" spans="1:63" ht="15" customHeight="1">
      <c r="A40" s="1"/>
      <c r="B40" s="100"/>
      <c r="C40" s="100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2"/>
      <c r="Z40" s="102"/>
      <c r="AA40" s="102"/>
      <c r="AB40" s="102"/>
      <c r="AC40" s="102"/>
      <c r="AD40" s="102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3"/>
      <c r="AR40" s="103"/>
      <c r="AS40" s="103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4"/>
    </row>
    <row r="41" spans="1:63" ht="15" customHeight="1">
      <c r="A41" s="1"/>
      <c r="B41" s="100"/>
      <c r="C41" s="100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2"/>
      <c r="Z41" s="102"/>
      <c r="AA41" s="102"/>
      <c r="AB41" s="102"/>
      <c r="AC41" s="102"/>
      <c r="AD41" s="102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3"/>
      <c r="AR41" s="103"/>
      <c r="AS41" s="103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4"/>
    </row>
    <row r="42" spans="1:63" ht="15" customHeight="1">
      <c r="A42" s="1"/>
      <c r="B42" s="100"/>
      <c r="C42" s="100"/>
      <c r="D42" s="101"/>
      <c r="E42" s="101"/>
      <c r="F42" s="101"/>
      <c r="G42" s="101"/>
      <c r="H42" s="101"/>
      <c r="I42" s="101"/>
      <c r="J42" s="101"/>
      <c r="K42" s="101"/>
      <c r="L42" s="101"/>
      <c r="M42" s="102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2"/>
      <c r="Z42" s="102"/>
      <c r="AA42" s="102"/>
      <c r="AB42" s="102"/>
      <c r="AC42" s="102"/>
      <c r="AD42" s="102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3"/>
      <c r="AR42" s="103"/>
      <c r="AS42" s="103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4"/>
    </row>
    <row r="43" spans="1:63" ht="15" customHeight="1">
      <c r="A43" s="1"/>
      <c r="B43" s="100"/>
      <c r="C43" s="100"/>
      <c r="D43" s="101"/>
      <c r="E43" s="101"/>
      <c r="F43" s="101"/>
      <c r="G43" s="101"/>
      <c r="H43" s="101"/>
      <c r="I43" s="101"/>
      <c r="J43" s="101"/>
      <c r="K43" s="101"/>
      <c r="L43" s="101"/>
      <c r="M43" s="102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2"/>
      <c r="Z43" s="102"/>
      <c r="AA43" s="102"/>
      <c r="AB43" s="102"/>
      <c r="AC43" s="102"/>
      <c r="AD43" s="102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3"/>
      <c r="AR43" s="103"/>
      <c r="AS43" s="103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4"/>
    </row>
    <row r="44" spans="1:63" ht="15" customHeight="1">
      <c r="A44" s="1"/>
      <c r="B44" s="100"/>
      <c r="C44" s="100"/>
      <c r="D44" s="101"/>
      <c r="E44" s="101"/>
      <c r="F44" s="101"/>
      <c r="G44" s="101"/>
      <c r="H44" s="101"/>
      <c r="I44" s="101"/>
      <c r="J44" s="101"/>
      <c r="K44" s="101"/>
      <c r="L44" s="101"/>
      <c r="M44" s="102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2"/>
      <c r="Z44" s="102"/>
      <c r="AA44" s="102"/>
      <c r="AB44" s="102"/>
      <c r="AC44" s="102"/>
      <c r="AD44" s="102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3"/>
      <c r="AR44" s="103"/>
      <c r="AS44" s="103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4"/>
    </row>
    <row r="45" spans="1:63" ht="15" customHeight="1">
      <c r="A45" s="1"/>
      <c r="B45" s="100"/>
      <c r="C45" s="100"/>
      <c r="D45" s="101"/>
      <c r="E45" s="101"/>
      <c r="F45" s="101"/>
      <c r="G45" s="101"/>
      <c r="H45" s="101"/>
      <c r="I45" s="101"/>
      <c r="J45" s="101"/>
      <c r="K45" s="101"/>
      <c r="L45" s="101"/>
      <c r="M45" s="102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2"/>
      <c r="Z45" s="102"/>
      <c r="AA45" s="102"/>
      <c r="AB45" s="102"/>
      <c r="AC45" s="102"/>
      <c r="AD45" s="102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3"/>
      <c r="AR45" s="103"/>
      <c r="AS45" s="103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4"/>
    </row>
    <row r="46" spans="1:63" ht="15" customHeight="1">
      <c r="A46" s="1"/>
      <c r="B46" s="100"/>
      <c r="C46" s="100"/>
      <c r="D46" s="101"/>
      <c r="E46" s="101"/>
      <c r="F46" s="101"/>
      <c r="G46" s="101"/>
      <c r="H46" s="101"/>
      <c r="I46" s="101"/>
      <c r="J46" s="101"/>
      <c r="K46" s="101"/>
      <c r="L46" s="101"/>
      <c r="M46" s="102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2"/>
      <c r="Z46" s="102"/>
      <c r="AA46" s="102"/>
      <c r="AB46" s="102"/>
      <c r="AC46" s="102"/>
      <c r="AD46" s="102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3"/>
      <c r="AR46" s="103"/>
      <c r="AS46" s="103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4"/>
    </row>
    <row r="47" spans="1:63" ht="15" customHeight="1">
      <c r="A47" s="1"/>
      <c r="B47" s="100"/>
      <c r="C47" s="100"/>
      <c r="D47" s="101"/>
      <c r="E47" s="101"/>
      <c r="F47" s="101"/>
      <c r="G47" s="101"/>
      <c r="H47" s="101"/>
      <c r="I47" s="101"/>
      <c r="J47" s="101"/>
      <c r="K47" s="101"/>
      <c r="L47" s="101"/>
      <c r="M47" s="102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2"/>
      <c r="Z47" s="102"/>
      <c r="AA47" s="102"/>
      <c r="AB47" s="102"/>
      <c r="AC47" s="102"/>
      <c r="AD47" s="102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3"/>
      <c r="AR47" s="103"/>
      <c r="AS47" s="103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4"/>
    </row>
    <row r="48" spans="1:63" ht="15" customHeight="1">
      <c r="A48" s="1"/>
      <c r="B48" s="100"/>
      <c r="C48" s="100"/>
      <c r="D48" s="101"/>
      <c r="E48" s="101"/>
      <c r="F48" s="101"/>
      <c r="G48" s="101"/>
      <c r="H48" s="101"/>
      <c r="I48" s="101"/>
      <c r="J48" s="101"/>
      <c r="K48" s="101"/>
      <c r="L48" s="101"/>
      <c r="M48" s="102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2"/>
      <c r="Z48" s="102"/>
      <c r="AA48" s="102"/>
      <c r="AB48" s="102"/>
      <c r="AC48" s="102"/>
      <c r="AD48" s="102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3"/>
      <c r="AR48" s="103"/>
      <c r="AS48" s="103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4"/>
    </row>
    <row r="49" spans="1:63" ht="15" customHeight="1">
      <c r="A49" s="1"/>
      <c r="B49" s="100"/>
      <c r="C49" s="100"/>
      <c r="D49" s="101"/>
      <c r="E49" s="101"/>
      <c r="F49" s="101"/>
      <c r="G49" s="101"/>
      <c r="H49" s="101"/>
      <c r="I49" s="101"/>
      <c r="J49" s="101"/>
      <c r="K49" s="101"/>
      <c r="L49" s="101"/>
      <c r="M49" s="102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2"/>
      <c r="Z49" s="102"/>
      <c r="AA49" s="102"/>
      <c r="AB49" s="102"/>
      <c r="AC49" s="102"/>
      <c r="AD49" s="102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3"/>
      <c r="AR49" s="103"/>
      <c r="AS49" s="103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4"/>
    </row>
    <row r="50" spans="1:63" ht="15" customHeight="1">
      <c r="A50" s="1"/>
      <c r="B50" s="100"/>
      <c r="C50" s="100"/>
      <c r="D50" s="101"/>
      <c r="E50" s="101"/>
      <c r="F50" s="101"/>
      <c r="G50" s="101"/>
      <c r="H50" s="101"/>
      <c r="I50" s="101"/>
      <c r="J50" s="101"/>
      <c r="K50" s="101"/>
      <c r="L50" s="101"/>
      <c r="M50" s="102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2"/>
      <c r="Z50" s="102"/>
      <c r="AA50" s="102"/>
      <c r="AB50" s="102"/>
      <c r="AC50" s="102"/>
      <c r="AD50" s="102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3"/>
      <c r="AR50" s="103"/>
      <c r="AS50" s="103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4"/>
    </row>
    <row r="51" spans="1:63" ht="15" customHeight="1">
      <c r="A51" s="1"/>
      <c r="B51" s="100"/>
      <c r="C51" s="100"/>
      <c r="D51" s="101"/>
      <c r="E51" s="101"/>
      <c r="F51" s="101"/>
      <c r="G51" s="101"/>
      <c r="H51" s="101"/>
      <c r="I51" s="101"/>
      <c r="J51" s="101"/>
      <c r="K51" s="101"/>
      <c r="L51" s="101"/>
      <c r="M51" s="102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2"/>
      <c r="Z51" s="102"/>
      <c r="AA51" s="102"/>
      <c r="AB51" s="102"/>
      <c r="AC51" s="102"/>
      <c r="AD51" s="102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3"/>
      <c r="AR51" s="103"/>
      <c r="AS51" s="103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4"/>
    </row>
    <row r="52" spans="1:63" ht="15" customHeight="1">
      <c r="A52" s="1"/>
      <c r="B52" s="100"/>
      <c r="C52" s="100"/>
      <c r="D52" s="101"/>
      <c r="E52" s="101"/>
      <c r="F52" s="101"/>
      <c r="G52" s="101"/>
      <c r="H52" s="101"/>
      <c r="I52" s="101"/>
      <c r="J52" s="101"/>
      <c r="K52" s="101"/>
      <c r="L52" s="101"/>
      <c r="M52" s="102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2"/>
      <c r="Z52" s="102"/>
      <c r="AA52" s="102"/>
      <c r="AB52" s="102"/>
      <c r="AC52" s="102"/>
      <c r="AD52" s="102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3"/>
      <c r="AR52" s="103"/>
      <c r="AS52" s="103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4"/>
    </row>
    <row r="53" spans="1:63" ht="15" customHeight="1">
      <c r="A53" s="1"/>
      <c r="B53" s="100"/>
      <c r="C53" s="100"/>
      <c r="D53" s="101"/>
      <c r="E53" s="101"/>
      <c r="F53" s="101"/>
      <c r="G53" s="101"/>
      <c r="H53" s="101"/>
      <c r="I53" s="101"/>
      <c r="J53" s="101"/>
      <c r="K53" s="101"/>
      <c r="L53" s="101"/>
      <c r="M53" s="102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2"/>
      <c r="Z53" s="102"/>
      <c r="AA53" s="102"/>
      <c r="AB53" s="102"/>
      <c r="AC53" s="102"/>
      <c r="AD53" s="102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3"/>
      <c r="AR53" s="103"/>
      <c r="AS53" s="103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4"/>
    </row>
    <row r="54" spans="1:63" ht="15" customHeight="1">
      <c r="A54" s="1"/>
      <c r="B54" s="100"/>
      <c r="C54" s="100"/>
      <c r="D54" s="101"/>
      <c r="E54" s="101"/>
      <c r="F54" s="101"/>
      <c r="G54" s="101"/>
      <c r="H54" s="101"/>
      <c r="I54" s="101"/>
      <c r="J54" s="101"/>
      <c r="K54" s="101"/>
      <c r="L54" s="101"/>
      <c r="M54" s="102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2"/>
      <c r="Z54" s="102"/>
      <c r="AA54" s="102"/>
      <c r="AB54" s="102"/>
      <c r="AC54" s="102"/>
      <c r="AD54" s="102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3"/>
      <c r="AR54" s="103"/>
      <c r="AS54" s="103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4"/>
    </row>
    <row r="55" spans="1:63" ht="15" customHeight="1">
      <c r="A55" s="1"/>
      <c r="B55" s="100"/>
      <c r="C55" s="100"/>
      <c r="D55" s="101"/>
      <c r="E55" s="101"/>
      <c r="F55" s="101"/>
      <c r="G55" s="101"/>
      <c r="H55" s="101"/>
      <c r="I55" s="101"/>
      <c r="J55" s="101"/>
      <c r="K55" s="101"/>
      <c r="L55" s="101"/>
      <c r="M55" s="102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2"/>
      <c r="Z55" s="102"/>
      <c r="AA55" s="102"/>
      <c r="AB55" s="102"/>
      <c r="AC55" s="102"/>
      <c r="AD55" s="102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3"/>
      <c r="AR55" s="103"/>
      <c r="AS55" s="103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101"/>
      <c r="BK55" s="4"/>
    </row>
    <row r="56" spans="1:63" ht="15" customHeight="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5"/>
    </row>
  </sheetData>
  <mergeCells count="57">
    <mergeCell ref="AG13:AJ13"/>
    <mergeCell ref="AG15:AJ15"/>
    <mergeCell ref="AG16:AJ16"/>
    <mergeCell ref="AG17:AJ17"/>
    <mergeCell ref="AG18:AJ18"/>
    <mergeCell ref="AG19:AJ19"/>
    <mergeCell ref="AC15:AF15"/>
    <mergeCell ref="AC16:AF16"/>
    <mergeCell ref="AC17:AF17"/>
    <mergeCell ref="AC18:AF18"/>
    <mergeCell ref="Y9:AB9"/>
    <mergeCell ref="Y10:AB10"/>
    <mergeCell ref="Y11:AB11"/>
    <mergeCell ref="AG12:AJ12"/>
    <mergeCell ref="AC7:AF7"/>
    <mergeCell ref="AC8:AF8"/>
    <mergeCell ref="AC9:AF9"/>
    <mergeCell ref="AC10:AF10"/>
    <mergeCell ref="AC11:AF11"/>
    <mergeCell ref="AC12:AF12"/>
    <mergeCell ref="AG7:AJ7"/>
    <mergeCell ref="AG8:AJ8"/>
    <mergeCell ref="AG9:AJ9"/>
    <mergeCell ref="AG10:AJ10"/>
    <mergeCell ref="AG11:AJ11"/>
    <mergeCell ref="Y12:AB12"/>
    <mergeCell ref="Y18:AB18"/>
    <mergeCell ref="Y13:AB13"/>
    <mergeCell ref="AC13:AF13"/>
    <mergeCell ref="Y15:AB15"/>
    <mergeCell ref="Y16:AB16"/>
    <mergeCell ref="Y17:AB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D7:L8"/>
    <mergeCell ref="B7:C8"/>
    <mergeCell ref="A4:G4"/>
    <mergeCell ref="H4:T4"/>
    <mergeCell ref="U4:Y4"/>
    <mergeCell ref="Z4:AO4"/>
    <mergeCell ref="AP4:BK4"/>
    <mergeCell ref="Y7:AB7"/>
    <mergeCell ref="Y8:AB8"/>
    <mergeCell ref="M7:X8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D35F-2004-4F59-9FFE-BD11358DAEBC}">
  <dimension ref="A1:BK55"/>
  <sheetViews>
    <sheetView view="pageBreakPreview" zoomScale="80" zoomScaleNormal="75" zoomScaleSheetLayoutView="80" workbookViewId="0">
      <selection activeCell="BP19" sqref="BP19:BP51"/>
    </sheetView>
  </sheetViews>
  <sheetFormatPr defaultRowHeight="15.75"/>
  <cols>
    <col min="1" max="63" width="2.77734375" customWidth="1"/>
  </cols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204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C8DB-8728-4FF7-85BF-DDA51B7E388D}">
  <dimension ref="A1:CA171"/>
  <sheetViews>
    <sheetView tabSelected="1" view="pageBreakPreview" topLeftCell="A24" zoomScale="80" zoomScaleNormal="75" zoomScaleSheetLayoutView="80" workbookViewId="0">
      <selection activeCell="F28" sqref="F28:AB28"/>
    </sheetView>
  </sheetViews>
  <sheetFormatPr defaultRowHeight="15.75"/>
  <cols>
    <col min="1" max="63" width="2.77734375" customWidth="1"/>
    <col min="64" max="64" width="3.77734375" style="127" customWidth="1"/>
    <col min="65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259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524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`Replica_Kasumi`.`GHPLUM`;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263" t="s">
        <v>29</v>
      </c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4"/>
      <c r="BH20" s="264"/>
      <c r="BI20" s="264"/>
      <c r="BJ20" s="265"/>
      <c r="BK20" s="4"/>
      <c r="BP20" s="82" t="str">
        <f>"CREATE TABLE `"&amp;$G$8&amp;"`.`"&amp;$G$10&amp;"` ("</f>
        <v>CREATE TABLE `Replica_Kasumi`.`GHPLUM`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31.5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266"/>
      <c r="AU21" s="267"/>
      <c r="AV21" s="267"/>
      <c r="AW21" s="267"/>
      <c r="AX21" s="267"/>
      <c r="AY21" s="267"/>
      <c r="AZ21" s="267"/>
      <c r="BA21" s="267"/>
      <c r="BB21" s="267"/>
      <c r="BC21" s="267"/>
      <c r="BD21" s="267"/>
      <c r="BE21" s="267"/>
      <c r="BF21" s="267"/>
      <c r="BG21" s="267"/>
      <c r="BH21" s="267"/>
      <c r="BI21" s="267"/>
      <c r="BJ21" s="268"/>
      <c r="BK21" s="4"/>
      <c r="BL21" s="127" t="str">
        <f t="shared" ref="BL21:BL52" si="0">REPT("a"&amp;CHAR(10)&amp;"b",INT(LENB(SUBSTITUTE(AT21,CHAR(10),""))/70)+1)</f>
        <v>a
b</v>
      </c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31.5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269"/>
      <c r="AU22" s="270"/>
      <c r="AV22" s="270"/>
      <c r="AW22" s="270"/>
      <c r="AX22" s="270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1"/>
      <c r="BK22" s="4"/>
      <c r="BL22" s="127" t="str">
        <f t="shared" si="0"/>
        <v>a
b</v>
      </c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31.5">
      <c r="A23" s="1"/>
      <c r="B23" s="71">
        <f t="shared" ref="B23:B26" si="1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269"/>
      <c r="AU23" s="270"/>
      <c r="AV23" s="270"/>
      <c r="AW23" s="270"/>
      <c r="AX23" s="270"/>
      <c r="AY23" s="270"/>
      <c r="AZ23" s="270"/>
      <c r="BA23" s="270"/>
      <c r="BB23" s="270"/>
      <c r="BC23" s="270"/>
      <c r="BD23" s="270"/>
      <c r="BE23" s="270"/>
      <c r="BF23" s="270"/>
      <c r="BG23" s="270"/>
      <c r="BH23" s="270"/>
      <c r="BI23" s="270"/>
      <c r="BJ23" s="271"/>
      <c r="BK23" s="4"/>
      <c r="BL23" s="127" t="str">
        <f t="shared" si="0"/>
        <v>a
b</v>
      </c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31.5">
      <c r="A24" s="1"/>
      <c r="B24" s="71">
        <f t="shared" si="1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272" t="s">
        <v>71</v>
      </c>
      <c r="AU24" s="270"/>
      <c r="AV24" s="270"/>
      <c r="AW24" s="270"/>
      <c r="AX24" s="270"/>
      <c r="AY24" s="270"/>
      <c r="AZ24" s="270"/>
      <c r="BA24" s="270"/>
      <c r="BB24" s="270"/>
      <c r="BC24" s="270"/>
      <c r="BD24" s="270"/>
      <c r="BE24" s="270"/>
      <c r="BF24" s="270"/>
      <c r="BG24" s="270"/>
      <c r="BH24" s="270"/>
      <c r="BI24" s="270"/>
      <c r="BJ24" s="271"/>
      <c r="BK24" s="4"/>
      <c r="BL24" s="127" t="str">
        <f t="shared" si="0"/>
        <v>a
b</v>
      </c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`REPLICA_KASUMI`.`GHPLUM` A,`TMP`.`GHPLUM` B</v>
      </c>
      <c r="BW24" t="s">
        <v>223</v>
      </c>
      <c r="BY24" t="s">
        <v>223</v>
      </c>
      <c r="CA24" t="s">
        <v>223</v>
      </c>
    </row>
    <row r="25" spans="1:79" ht="31.5">
      <c r="A25" s="1"/>
      <c r="B25" s="71">
        <f t="shared" si="1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272" t="s">
        <v>71</v>
      </c>
      <c r="AU25" s="270"/>
      <c r="AV25" s="270"/>
      <c r="AW25" s="270"/>
      <c r="AX25" s="270"/>
      <c r="AY25" s="270"/>
      <c r="AZ25" s="270"/>
      <c r="BA25" s="270"/>
      <c r="BB25" s="270"/>
      <c r="BC25" s="270"/>
      <c r="BD25" s="270"/>
      <c r="BE25" s="270"/>
      <c r="BF25" s="270"/>
      <c r="BG25" s="270"/>
      <c r="BH25" s="270"/>
      <c r="BI25" s="270"/>
      <c r="BJ25" s="271"/>
      <c r="BK25" s="4"/>
      <c r="BL25" s="127" t="str">
        <f t="shared" si="0"/>
        <v>a
b</v>
      </c>
      <c r="BP25" s="82" t="s">
        <v>236</v>
      </c>
      <c r="BQ25" t="s">
        <v>223</v>
      </c>
      <c r="BR25" s="82" t="str">
        <f>"DROP TABLE IF EXISTS `TMP`.`"&amp;$G$10&amp;"`;"</f>
        <v>DROP TABLE IF EXISTS `TMP`.`GHPLUM`;</v>
      </c>
      <c r="BS25" t="s">
        <v>223</v>
      </c>
      <c r="BT25" s="82" t="str">
        <f>"LOAD DATA INFILE 'C:/04_DATAFILE/"&amp;$G$10&amp;"/TMP/"&amp;$G$10&amp;".CSV' "</f>
        <v xml:space="preserve">LOAD DATA INFILE 'C:/04_DATAFILE/GHPLUM/TMP/GHPLUM.CSV'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31.5">
      <c r="A26" s="84" t="s">
        <v>241</v>
      </c>
      <c r="B26" s="77">
        <f t="shared" si="1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273" t="s">
        <v>220</v>
      </c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5"/>
      <c r="BK26" s="4"/>
      <c r="BL26" s="127" t="str">
        <f t="shared" si="0"/>
        <v>a
b</v>
      </c>
      <c r="BP26" s="82" t="s">
        <v>235</v>
      </c>
      <c r="BQ26" t="s">
        <v>223</v>
      </c>
      <c r="BR26" s="82" t="str">
        <f>"CREATE TABLE `TMP`.`"&amp;G10&amp;"` ("</f>
        <v>CREATE TABLE `TMP`.`GHPLUM` (</v>
      </c>
      <c r="BS26" t="s">
        <v>223</v>
      </c>
      <c r="BT26" s="82" t="str">
        <f>"REPLACE INTO TABLE TMP.`"&amp;$G$10&amp;"` FIELDS TERMINATED BY ',' ENCLOSED BY '\""' LINES TERMINATED BY '\r\n' ("</f>
        <v>REPLACE INTO TABLE TMP.`GHPLUM`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`REPLICA_KASUMI`.`GHPLUM` (</v>
      </c>
      <c r="BY26" t="s">
        <v>223</v>
      </c>
      <c r="BZ26" s="82" t="s">
        <v>228</v>
      </c>
      <c r="CA26" t="s">
        <v>223</v>
      </c>
    </row>
    <row r="27" spans="1:79" ht="31.5">
      <c r="A27" s="84" t="s">
        <v>242</v>
      </c>
      <c r="B27" s="61">
        <v>7</v>
      </c>
      <c r="C27" s="62"/>
      <c r="D27" s="21" t="s">
        <v>261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355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76" t="s">
        <v>456</v>
      </c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7"/>
      <c r="BJ27" s="278"/>
      <c r="BK27" s="4"/>
      <c r="BL27" s="127" t="str">
        <f t="shared" si="0"/>
        <v>a
b</v>
      </c>
      <c r="BM27" t="s">
        <v>1444</v>
      </c>
      <c r="BN27">
        <v>1</v>
      </c>
      <c r="BP27" t="str">
        <f>",`"&amp;R27&amp;"` "&amp;AC27&amp;" "&amp;IF(AJ27="Y","NOT NULL","")&amp;" COMMENT '"&amp;D27&amp;"'"</f>
        <v>,`PRCS_TYP` varchar(1)  COMMENT '処理区分'</v>
      </c>
      <c r="BQ27" t="s">
        <v>223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47.25">
      <c r="A28" s="84" t="s">
        <v>243</v>
      </c>
      <c r="B28" s="23">
        <v>8</v>
      </c>
      <c r="C28" s="24"/>
      <c r="D28" s="22" t="s">
        <v>262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356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varchar(24)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79" t="s">
        <v>1443</v>
      </c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1"/>
      <c r="BK28" s="4"/>
      <c r="BL28" s="127" t="str">
        <f t="shared" si="0"/>
        <v>a
ba
b</v>
      </c>
      <c r="BM28" t="s">
        <v>449</v>
      </c>
      <c r="BN28">
        <v>24</v>
      </c>
      <c r="BP28" t="str">
        <f t="shared" ref="BP28:BP120" si="2">",`"&amp;R28&amp;"` "&amp;AC28&amp;" "&amp;IF(AJ28="Y","NOT NULL","")&amp;" COMMENT '"&amp;D28&amp;"'"</f>
        <v>,`PLUID` varchar(24)  COMMENT '商品コード'</v>
      </c>
      <c r="BQ28" t="s">
        <v>223</v>
      </c>
      <c r="BR28" s="82" t="str">
        <f>",`"&amp;R28&amp;"` "&amp;AC28&amp;" "&amp;IF(AJ28="Y","NOT NULL","")</f>
        <v xml:space="preserve">,`PLUID` varchar(24) </v>
      </c>
      <c r="BS28" t="s">
        <v>223</v>
      </c>
      <c r="BT28" t="str">
        <f>",`"&amp;R28&amp;"`"</f>
        <v>,`PLUID`</v>
      </c>
      <c r="BU28" t="s">
        <v>223</v>
      </c>
      <c r="BV28" s="82" t="str">
        <f t="shared" ref="BV28:BV120" si="3">",A.`"&amp;R28&amp;"` = B.`"&amp;R28&amp;"`"</f>
        <v>,A.`PLUID` = B.`PLUID`</v>
      </c>
      <c r="BW28" t="s">
        <v>223</v>
      </c>
      <c r="BX28" s="82" t="str">
        <f>",`"&amp;R28&amp;"`"</f>
        <v>,`PLUID`</v>
      </c>
      <c r="BY28" t="s">
        <v>223</v>
      </c>
      <c r="BZ28" s="82" t="str">
        <f t="shared" ref="BZ28:BZ149" si="4">",`"&amp;R28&amp;"`"</f>
        <v>,`PLUID`</v>
      </c>
      <c r="CA28" t="s">
        <v>223</v>
      </c>
    </row>
    <row r="29" spans="1:79" ht="31.5">
      <c r="A29" s="84" t="s">
        <v>244</v>
      </c>
      <c r="B29" s="23">
        <v>9</v>
      </c>
      <c r="C29" s="24"/>
      <c r="D29" s="22" t="s">
        <v>263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357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 cm="1">
        <f t="array" ref="AC29">_xlfn.SWITCH(BM29,"String","varchar("&amp;BN29&amp;")","Long","int","Integer","smallint","Double","decimal(9,2)","Currency","int")</f>
        <v>int</v>
      </c>
      <c r="AD29" s="258"/>
      <c r="AE29" s="258"/>
      <c r="AF29" s="258"/>
      <c r="AG29" s="259"/>
      <c r="AH29" s="22">
        <v>2</v>
      </c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79" t="s">
        <v>457</v>
      </c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1"/>
      <c r="BK29" s="4"/>
      <c r="BL29" s="127" t="str">
        <f t="shared" si="0"/>
        <v>a
b</v>
      </c>
      <c r="BM29" t="s">
        <v>454</v>
      </c>
      <c r="BP29" t="str">
        <f t="shared" ref="BP29:BP118" si="5">",`"&amp;R29&amp;"` "&amp;AC29&amp;" "&amp;IF(AJ29="Y","NOT NULL","")&amp;" COMMENT '"&amp;D29&amp;"'"</f>
        <v>,`STR_ID` int  COMMENT '店舗コード'</v>
      </c>
      <c r="BQ29" t="s">
        <v>223</v>
      </c>
      <c r="BR29" t="str">
        <f t="shared" ref="BR29:BR118" si="6">",`"&amp;R29&amp;"` "&amp;AC29&amp;" "&amp;IF(AJ29="Y","NOT NULL","")</f>
        <v xml:space="preserve">,`STR_ID` int </v>
      </c>
      <c r="BS29" t="s">
        <v>223</v>
      </c>
      <c r="BT29" t="str">
        <f t="shared" ref="BT29:BT92" si="7">",`"&amp;R29&amp;"`"</f>
        <v>,`STR_ID`</v>
      </c>
      <c r="BU29" t="s">
        <v>223</v>
      </c>
      <c r="BV29" s="82" t="str">
        <f t="shared" ref="BV29:BV118" si="8">",A.`"&amp;R29&amp;"` = B.`"&amp;R29&amp;"`"</f>
        <v>,A.`STR_ID` = B.`STR_ID`</v>
      </c>
      <c r="BW29" t="s">
        <v>223</v>
      </c>
      <c r="BX29" s="82" t="str">
        <f t="shared" ref="BX29:BX118" si="9">",`"&amp;R29&amp;"`"</f>
        <v>,`STR_ID`</v>
      </c>
      <c r="BY29" t="s">
        <v>223</v>
      </c>
      <c r="BZ29" s="82" t="str">
        <f t="shared" ref="BZ29:BZ118" si="10">",`"&amp;R29&amp;"`"</f>
        <v>,`STR_ID`</v>
      </c>
      <c r="CA29" t="s">
        <v>223</v>
      </c>
    </row>
    <row r="30" spans="1:79" ht="47.25">
      <c r="A30" s="84" t="s">
        <v>245</v>
      </c>
      <c r="B30" s="23">
        <v>9</v>
      </c>
      <c r="C30" s="24"/>
      <c r="D30" s="22" t="s">
        <v>264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1175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 cm="1">
        <f t="array" ref="AC30">_xlfn.SWITCH(BM30,"String","varchar("&amp;BN30&amp;")","Long","int","Integer","smallint","Double","decimal(9,2)","Currency","int")</f>
        <v>smallint</v>
      </c>
      <c r="AD30" s="258"/>
      <c r="AE30" s="258"/>
      <c r="AF30" s="258"/>
      <c r="AG30" s="259"/>
      <c r="AH30" s="22"/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79" t="s">
        <v>458</v>
      </c>
      <c r="AU30" s="280"/>
      <c r="AV30" s="280"/>
      <c r="AW30" s="280"/>
      <c r="AX30" s="280"/>
      <c r="AY30" s="280"/>
      <c r="AZ30" s="280"/>
      <c r="BA30" s="280"/>
      <c r="BB30" s="280"/>
      <c r="BC30" s="280"/>
      <c r="BD30" s="280"/>
      <c r="BE30" s="280"/>
      <c r="BF30" s="280"/>
      <c r="BG30" s="280"/>
      <c r="BH30" s="280"/>
      <c r="BI30" s="280"/>
      <c r="BJ30" s="281"/>
      <c r="BK30" s="4"/>
      <c r="BL30" s="127" t="str">
        <f t="shared" si="0"/>
        <v>a
ba
b</v>
      </c>
      <c r="BM30" t="s">
        <v>455</v>
      </c>
      <c r="BP30" t="str">
        <f t="shared" si="5"/>
        <v>,`TAXBLTY_CD` smallint  COMMENT '税種別コード'</v>
      </c>
      <c r="BQ30" t="s">
        <v>223</v>
      </c>
      <c r="BR30" t="str">
        <f t="shared" si="6"/>
        <v xml:space="preserve">,`TAXBLTY_CD` smallint </v>
      </c>
      <c r="BS30" t="s">
        <v>223</v>
      </c>
      <c r="BT30" t="str">
        <f t="shared" si="7"/>
        <v>,`TAXBLTY_CD`</v>
      </c>
      <c r="BU30" t="s">
        <v>223</v>
      </c>
      <c r="BV30" s="82" t="str">
        <f t="shared" si="8"/>
        <v>,A.`TAXBLTY_CD` = B.`TAXBLTY_CD`</v>
      </c>
      <c r="BW30" t="s">
        <v>223</v>
      </c>
      <c r="BX30" s="82" t="str">
        <f t="shared" si="9"/>
        <v>,`TAXBLTY_CD`</v>
      </c>
      <c r="BY30" t="s">
        <v>223</v>
      </c>
      <c r="BZ30" s="82" t="str">
        <f t="shared" si="10"/>
        <v>,`TAXBLTY_CD`</v>
      </c>
      <c r="CA30" t="s">
        <v>223</v>
      </c>
    </row>
    <row r="31" spans="1:79" ht="31.5">
      <c r="A31" s="84" t="s">
        <v>246</v>
      </c>
      <c r="B31" s="23">
        <v>9</v>
      </c>
      <c r="C31" s="24"/>
      <c r="D31" s="22" t="s">
        <v>265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1173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varchar(20)</v>
      </c>
      <c r="AD31" s="258"/>
      <c r="AE31" s="258"/>
      <c r="AF31" s="258"/>
      <c r="AG31" s="259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79" t="s">
        <v>459</v>
      </c>
      <c r="AU31" s="280"/>
      <c r="AV31" s="280"/>
      <c r="AW31" s="280"/>
      <c r="AX31" s="280"/>
      <c r="AY31" s="280"/>
      <c r="AZ31" s="280"/>
      <c r="BA31" s="280"/>
      <c r="BB31" s="280"/>
      <c r="BC31" s="280"/>
      <c r="BD31" s="280"/>
      <c r="BE31" s="280"/>
      <c r="BF31" s="280"/>
      <c r="BG31" s="280"/>
      <c r="BH31" s="280"/>
      <c r="BI31" s="280"/>
      <c r="BJ31" s="281"/>
      <c r="BK31" s="4"/>
      <c r="BL31" s="127" t="str">
        <f t="shared" si="0"/>
        <v>a
b</v>
      </c>
      <c r="BM31" t="s">
        <v>449</v>
      </c>
      <c r="BN31">
        <v>20</v>
      </c>
      <c r="BP31" t="str">
        <f t="shared" ref="BP31:BP46" si="11">",`"&amp;R31&amp;"` "&amp;AC31&amp;" "&amp;IF(AJ31="Y","NOT NULL","")&amp;" COMMENT '"&amp;D31&amp;"'"</f>
        <v>,`DSPL_DESCR` varchar(20)  COMMENT '単品名称'</v>
      </c>
      <c r="BQ31" t="s">
        <v>223</v>
      </c>
      <c r="BR31" t="str">
        <f t="shared" ref="BR31:BR46" si="12">",`"&amp;R31&amp;"` "&amp;AC31&amp;" "&amp;IF(AJ31="Y","NOT NULL","")</f>
        <v xml:space="preserve">,`DSPL_DESCR` varchar(20) </v>
      </c>
      <c r="BS31" t="s">
        <v>223</v>
      </c>
      <c r="BT31" t="str">
        <f t="shared" si="7"/>
        <v>,`DSPL_DESCR`</v>
      </c>
      <c r="BU31" t="s">
        <v>223</v>
      </c>
      <c r="BV31" s="82" t="str">
        <f t="shared" ref="BV31:BV46" si="13">",A.`"&amp;R31&amp;"` = B.`"&amp;R31&amp;"`"</f>
        <v>,A.`DSPL_DESCR` = B.`DSPL_DESCR`</v>
      </c>
      <c r="BW31" t="s">
        <v>223</v>
      </c>
      <c r="BX31" s="82" t="str">
        <f t="shared" ref="BX31:BX46" si="14">",`"&amp;R31&amp;"`"</f>
        <v>,`DSPL_DESCR`</v>
      </c>
      <c r="BY31" t="s">
        <v>223</v>
      </c>
      <c r="BZ31" s="82" t="str">
        <f t="shared" ref="BZ31:BZ46" si="15">",`"&amp;R31&amp;"`"</f>
        <v>,`DSPL_DESCR`</v>
      </c>
      <c r="CA31" t="s">
        <v>223</v>
      </c>
    </row>
    <row r="32" spans="1:79" ht="31.5">
      <c r="A32" s="84" t="s">
        <v>247</v>
      </c>
      <c r="B32" s="23">
        <v>9</v>
      </c>
      <c r="C32" s="24"/>
      <c r="D32" s="22" t="s">
        <v>266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360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varchar(10)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79" t="s">
        <v>460</v>
      </c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1"/>
      <c r="BK32" s="4"/>
      <c r="BL32" s="127" t="str">
        <f t="shared" si="0"/>
        <v>a
b</v>
      </c>
      <c r="BM32" t="s">
        <v>449</v>
      </c>
      <c r="BN32">
        <v>10</v>
      </c>
      <c r="BP32" t="str">
        <f t="shared" si="11"/>
        <v>,`DCPT_DESCR` varchar(10)  COMMENT 'レシート記述名'</v>
      </c>
      <c r="BQ32" t="s">
        <v>223</v>
      </c>
      <c r="BR32" t="str">
        <f t="shared" si="12"/>
        <v xml:space="preserve">,`DCPT_DESCR` varchar(10) </v>
      </c>
      <c r="BS32" t="s">
        <v>223</v>
      </c>
      <c r="BT32" t="str">
        <f t="shared" si="7"/>
        <v>,`DCPT_DESCR`</v>
      </c>
      <c r="BU32" t="s">
        <v>223</v>
      </c>
      <c r="BV32" s="82" t="str">
        <f t="shared" si="13"/>
        <v>,A.`DCPT_DESCR` = B.`DCPT_DESCR`</v>
      </c>
      <c r="BW32" t="s">
        <v>223</v>
      </c>
      <c r="BX32" s="82" t="str">
        <f t="shared" si="14"/>
        <v>,`DCPT_DESCR`</v>
      </c>
      <c r="BY32" t="s">
        <v>223</v>
      </c>
      <c r="BZ32" s="82" t="str">
        <f t="shared" si="15"/>
        <v>,`DCPT_DESCR`</v>
      </c>
      <c r="CA32" t="s">
        <v>223</v>
      </c>
    </row>
    <row r="33" spans="1:79" ht="31.5">
      <c r="A33" s="84" t="s">
        <v>248</v>
      </c>
      <c r="B33" s="71">
        <v>9</v>
      </c>
      <c r="C33" s="72"/>
      <c r="D33" s="73" t="s">
        <v>267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73" t="s">
        <v>361</v>
      </c>
      <c r="S33" s="74"/>
      <c r="T33" s="74"/>
      <c r="U33" s="74"/>
      <c r="V33" s="74"/>
      <c r="W33" s="74"/>
      <c r="X33" s="74"/>
      <c r="Y33" s="74"/>
      <c r="Z33" s="74"/>
      <c r="AA33" s="74"/>
      <c r="AB33" s="75"/>
      <c r="AC33" s="251" t="str" cm="1">
        <f t="array" ref="AC33">_xlfn.SWITCH(BM33,"String","varchar("&amp;BN33&amp;")","Long","int","Integer","smallint","Double","decimal(9,2)","Currency","int")</f>
        <v>int</v>
      </c>
      <c r="AD33" s="252"/>
      <c r="AE33" s="252"/>
      <c r="AF33" s="252"/>
      <c r="AG33" s="253"/>
      <c r="AH33" s="73"/>
      <c r="AI33" s="75"/>
      <c r="AJ33" s="73"/>
      <c r="AK33" s="74"/>
      <c r="AL33" s="75"/>
      <c r="AM33" s="73"/>
      <c r="AN33" s="74"/>
      <c r="AO33" s="74"/>
      <c r="AP33" s="74"/>
      <c r="AQ33" s="74"/>
      <c r="AR33" s="74"/>
      <c r="AS33" s="75"/>
      <c r="AT33" s="269" t="s">
        <v>461</v>
      </c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0"/>
      <c r="BH33" s="270"/>
      <c r="BI33" s="270"/>
      <c r="BJ33" s="271"/>
      <c r="BK33" s="4"/>
      <c r="BL33" s="127" t="str">
        <f t="shared" si="0"/>
        <v>a
b</v>
      </c>
      <c r="BM33" t="s">
        <v>450</v>
      </c>
      <c r="BP33" t="str">
        <f t="shared" si="11"/>
        <v>,`STR_HIER_ID` int  COMMENT '店舗階層コード'</v>
      </c>
      <c r="BQ33" t="s">
        <v>223</v>
      </c>
      <c r="BR33" t="str">
        <f t="shared" si="12"/>
        <v xml:space="preserve">,`STR_HIER_ID` int </v>
      </c>
      <c r="BS33" t="s">
        <v>223</v>
      </c>
      <c r="BT33" t="str">
        <f t="shared" si="7"/>
        <v>,`STR_HIER_ID`</v>
      </c>
      <c r="BU33" t="s">
        <v>223</v>
      </c>
      <c r="BV33" s="82" t="str">
        <f t="shared" si="13"/>
        <v>,A.`STR_HIER_ID` = B.`STR_HIER_ID`</v>
      </c>
      <c r="BW33" t="s">
        <v>223</v>
      </c>
      <c r="BX33" s="82" t="str">
        <f t="shared" si="14"/>
        <v>,`STR_HIER_ID`</v>
      </c>
      <c r="BY33" t="s">
        <v>223</v>
      </c>
      <c r="BZ33" s="82" t="str">
        <f t="shared" si="15"/>
        <v>,`STR_HIER_ID`</v>
      </c>
      <c r="CA33" t="s">
        <v>223</v>
      </c>
    </row>
    <row r="34" spans="1:79" ht="47.25">
      <c r="A34" s="84" t="s">
        <v>525</v>
      </c>
      <c r="B34" s="71">
        <v>9</v>
      </c>
      <c r="C34" s="72"/>
      <c r="D34" s="73" t="s">
        <v>268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73" t="s">
        <v>362</v>
      </c>
      <c r="S34" s="74"/>
      <c r="T34" s="74"/>
      <c r="U34" s="74"/>
      <c r="V34" s="74"/>
      <c r="W34" s="74"/>
      <c r="X34" s="74"/>
      <c r="Y34" s="74"/>
      <c r="Z34" s="74"/>
      <c r="AA34" s="74"/>
      <c r="AB34" s="75"/>
      <c r="AC34" s="251" t="str" cm="1">
        <f t="array" ref="AC34">_xlfn.SWITCH(BM34,"String","varchar("&amp;BN34&amp;")","Long","int","Integer","smallint","Double","decimal(9,2)","Currency","int")</f>
        <v>int</v>
      </c>
      <c r="AD34" s="252"/>
      <c r="AE34" s="252"/>
      <c r="AF34" s="252"/>
      <c r="AG34" s="253"/>
      <c r="AH34" s="73"/>
      <c r="AI34" s="75"/>
      <c r="AJ34" s="73"/>
      <c r="AK34" s="74"/>
      <c r="AL34" s="75"/>
      <c r="AM34" s="73"/>
      <c r="AN34" s="74"/>
      <c r="AO34" s="74"/>
      <c r="AP34" s="74"/>
      <c r="AQ34" s="74"/>
      <c r="AR34" s="74"/>
      <c r="AS34" s="75"/>
      <c r="AT34" s="269" t="s">
        <v>462</v>
      </c>
      <c r="AU34" s="270"/>
      <c r="AV34" s="270"/>
      <c r="AW34" s="270"/>
      <c r="AX34" s="270"/>
      <c r="AY34" s="270"/>
      <c r="AZ34" s="270"/>
      <c r="BA34" s="270"/>
      <c r="BB34" s="270"/>
      <c r="BC34" s="270"/>
      <c r="BD34" s="270"/>
      <c r="BE34" s="270"/>
      <c r="BF34" s="270"/>
      <c r="BG34" s="270"/>
      <c r="BH34" s="270"/>
      <c r="BI34" s="270"/>
      <c r="BJ34" s="271"/>
      <c r="BK34" s="4"/>
      <c r="BL34" s="127" t="str">
        <f t="shared" si="0"/>
        <v>a
ba
b</v>
      </c>
      <c r="BM34" t="s">
        <v>450</v>
      </c>
      <c r="BP34" t="str">
        <f t="shared" si="11"/>
        <v>,`LN_ITM_CD` int  COMMENT '商品／非商品識別コード'</v>
      </c>
      <c r="BQ34" t="s">
        <v>223</v>
      </c>
      <c r="BR34" t="str">
        <f t="shared" si="12"/>
        <v xml:space="preserve">,`LN_ITM_CD` int </v>
      </c>
      <c r="BS34" t="s">
        <v>223</v>
      </c>
      <c r="BT34" t="str">
        <f t="shared" si="7"/>
        <v>,`LN_ITM_CD`</v>
      </c>
      <c r="BU34" t="s">
        <v>223</v>
      </c>
      <c r="BV34" s="82" t="str">
        <f t="shared" si="13"/>
        <v>,A.`LN_ITM_CD` = B.`LN_ITM_CD`</v>
      </c>
      <c r="BW34" t="s">
        <v>223</v>
      </c>
      <c r="BX34" s="82" t="str">
        <f t="shared" si="14"/>
        <v>,`LN_ITM_CD`</v>
      </c>
      <c r="BY34" t="s">
        <v>223</v>
      </c>
      <c r="BZ34" s="82" t="str">
        <f t="shared" si="15"/>
        <v>,`LN_ITM_CD`</v>
      </c>
      <c r="CA34" t="s">
        <v>223</v>
      </c>
    </row>
    <row r="35" spans="1:79" ht="31.5">
      <c r="A35" s="84" t="s">
        <v>526</v>
      </c>
      <c r="B35" s="71">
        <v>9</v>
      </c>
      <c r="C35" s="72"/>
      <c r="D35" s="73" t="s">
        <v>269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73" t="s">
        <v>363</v>
      </c>
      <c r="S35" s="74"/>
      <c r="T35" s="74"/>
      <c r="U35" s="74"/>
      <c r="V35" s="74"/>
      <c r="W35" s="74"/>
      <c r="X35" s="74"/>
      <c r="Y35" s="74"/>
      <c r="Z35" s="74"/>
      <c r="AA35" s="74"/>
      <c r="AB35" s="75"/>
      <c r="AC35" s="251" t="str" cm="1">
        <f t="array" ref="AC35">_xlfn.SWITCH(BM35,"String","varchar("&amp;BN35&amp;")","Long","int","Integer","smallint","Double","decimal(9,2)","Currency","int")</f>
        <v>int</v>
      </c>
      <c r="AD35" s="252"/>
      <c r="AE35" s="252"/>
      <c r="AF35" s="252"/>
      <c r="AG35" s="253"/>
      <c r="AH35" s="73"/>
      <c r="AI35" s="75"/>
      <c r="AJ35" s="73"/>
      <c r="AK35" s="74"/>
      <c r="AL35" s="75"/>
      <c r="AM35" s="73"/>
      <c r="AN35" s="74"/>
      <c r="AO35" s="74"/>
      <c r="AP35" s="74"/>
      <c r="AQ35" s="74"/>
      <c r="AR35" s="74"/>
      <c r="AS35" s="75"/>
      <c r="AT35" s="269" t="s">
        <v>461</v>
      </c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0"/>
      <c r="BH35" s="270"/>
      <c r="BI35" s="270"/>
      <c r="BJ35" s="271"/>
      <c r="BK35" s="4"/>
      <c r="BL35" s="127" t="str">
        <f t="shared" si="0"/>
        <v>a
b</v>
      </c>
      <c r="BM35" t="s">
        <v>450</v>
      </c>
      <c r="BP35" t="str">
        <f t="shared" si="11"/>
        <v>,`SLS_RSTRCT_GRP` int  COMMENT '限定商品グループ'</v>
      </c>
      <c r="BQ35" t="s">
        <v>223</v>
      </c>
      <c r="BR35" t="str">
        <f t="shared" si="12"/>
        <v xml:space="preserve">,`SLS_RSTRCT_GRP` int </v>
      </c>
      <c r="BS35" t="s">
        <v>223</v>
      </c>
      <c r="BT35" t="str">
        <f t="shared" si="7"/>
        <v>,`SLS_RSTRCT_GRP`</v>
      </c>
      <c r="BU35" t="s">
        <v>223</v>
      </c>
      <c r="BV35" s="82" t="str">
        <f t="shared" si="13"/>
        <v>,A.`SLS_RSTRCT_GRP` = B.`SLS_RSTRCT_GRP`</v>
      </c>
      <c r="BW35" t="s">
        <v>223</v>
      </c>
      <c r="BX35" s="82" t="str">
        <f t="shared" si="14"/>
        <v>,`SLS_RSTRCT_GRP`</v>
      </c>
      <c r="BY35" t="s">
        <v>223</v>
      </c>
      <c r="BZ35" s="82" t="str">
        <f t="shared" si="15"/>
        <v>,`SLS_RSTRCT_GRP`</v>
      </c>
      <c r="CA35" t="s">
        <v>223</v>
      </c>
    </row>
    <row r="36" spans="1:79" ht="31.5">
      <c r="A36" s="84" t="s">
        <v>527</v>
      </c>
      <c r="B36" s="71">
        <v>9</v>
      </c>
      <c r="C36" s="72"/>
      <c r="D36" s="73" t="s">
        <v>270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73" t="s">
        <v>364</v>
      </c>
      <c r="S36" s="74"/>
      <c r="T36" s="74"/>
      <c r="U36" s="74"/>
      <c r="V36" s="74"/>
      <c r="W36" s="74"/>
      <c r="X36" s="74"/>
      <c r="Y36" s="74"/>
      <c r="Z36" s="74"/>
      <c r="AA36" s="74"/>
      <c r="AB36" s="75"/>
      <c r="AC36" s="251" t="str" cm="1">
        <f t="array" ref="AC36">_xlfn.SWITCH(BM36,"String","varchar("&amp;BN36&amp;")","Long","int","Integer","smallint","Double","decimal(9,2)","Currency","int")</f>
        <v>varchar(10)</v>
      </c>
      <c r="AD36" s="252"/>
      <c r="AE36" s="252"/>
      <c r="AF36" s="252"/>
      <c r="AG36" s="253"/>
      <c r="AH36" s="73"/>
      <c r="AI36" s="75"/>
      <c r="AJ36" s="73"/>
      <c r="AK36" s="74"/>
      <c r="AL36" s="75"/>
      <c r="AM36" s="73"/>
      <c r="AN36" s="74"/>
      <c r="AO36" s="74"/>
      <c r="AP36" s="74"/>
      <c r="AQ36" s="74"/>
      <c r="AR36" s="74"/>
      <c r="AS36" s="75"/>
      <c r="AT36" s="269" t="s">
        <v>463</v>
      </c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1"/>
      <c r="BK36" s="4"/>
      <c r="BL36" s="127" t="str">
        <f t="shared" si="0"/>
        <v>a
b</v>
      </c>
      <c r="BM36" t="s">
        <v>449</v>
      </c>
      <c r="BN36">
        <v>10</v>
      </c>
      <c r="BP36" t="str">
        <f t="shared" si="11"/>
        <v>,`DFLT_RTN_LOC_ID` varchar(10)  COMMENT '商品返品場所'</v>
      </c>
      <c r="BQ36" t="s">
        <v>223</v>
      </c>
      <c r="BR36" t="str">
        <f t="shared" si="12"/>
        <v xml:space="preserve">,`DFLT_RTN_LOC_ID` varchar(10) </v>
      </c>
      <c r="BS36" t="s">
        <v>223</v>
      </c>
      <c r="BT36" t="str">
        <f t="shared" si="7"/>
        <v>,`DFLT_RTN_LOC_ID`</v>
      </c>
      <c r="BU36" t="s">
        <v>223</v>
      </c>
      <c r="BV36" s="82" t="str">
        <f t="shared" si="13"/>
        <v>,A.`DFLT_RTN_LOC_ID` = B.`DFLT_RTN_LOC_ID`</v>
      </c>
      <c r="BW36" t="s">
        <v>223</v>
      </c>
      <c r="BX36" s="82" t="str">
        <f t="shared" si="14"/>
        <v>,`DFLT_RTN_LOC_ID`</v>
      </c>
      <c r="BY36" t="s">
        <v>223</v>
      </c>
      <c r="BZ36" s="82" t="str">
        <f t="shared" si="15"/>
        <v>,`DFLT_RTN_LOC_ID`</v>
      </c>
      <c r="CA36" t="s">
        <v>223</v>
      </c>
    </row>
    <row r="37" spans="1:79" ht="31.5">
      <c r="A37" s="84" t="s">
        <v>528</v>
      </c>
      <c r="B37" s="71">
        <v>9</v>
      </c>
      <c r="C37" s="72"/>
      <c r="D37" s="73" t="s">
        <v>271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73" t="s">
        <v>365</v>
      </c>
      <c r="S37" s="74"/>
      <c r="T37" s="74"/>
      <c r="U37" s="74"/>
      <c r="V37" s="74"/>
      <c r="W37" s="74"/>
      <c r="X37" s="74"/>
      <c r="Y37" s="74"/>
      <c r="Z37" s="74"/>
      <c r="AA37" s="74"/>
      <c r="AB37" s="75"/>
      <c r="AC37" s="251" t="str" cm="1">
        <f t="array" ref="AC37">_xlfn.SWITCH(BM37,"String","varchar("&amp;BN37&amp;")","Long","int","Integer","smallint","Double","decimal(9,2)","Currency","int")</f>
        <v>varchar(10)</v>
      </c>
      <c r="AD37" s="252"/>
      <c r="AE37" s="252"/>
      <c r="AF37" s="252"/>
      <c r="AG37" s="253"/>
      <c r="AH37" s="73"/>
      <c r="AI37" s="75"/>
      <c r="AJ37" s="73"/>
      <c r="AK37" s="74"/>
      <c r="AL37" s="75"/>
      <c r="AM37" s="73"/>
      <c r="AN37" s="74"/>
      <c r="AO37" s="74"/>
      <c r="AP37" s="74"/>
      <c r="AQ37" s="74"/>
      <c r="AR37" s="74"/>
      <c r="AS37" s="75"/>
      <c r="AT37" s="269" t="s">
        <v>463</v>
      </c>
      <c r="AU37" s="270"/>
      <c r="AV37" s="270"/>
      <c r="AW37" s="270"/>
      <c r="AX37" s="270"/>
      <c r="AY37" s="270"/>
      <c r="AZ37" s="270"/>
      <c r="BA37" s="270"/>
      <c r="BB37" s="270"/>
      <c r="BC37" s="270"/>
      <c r="BD37" s="270"/>
      <c r="BE37" s="270"/>
      <c r="BF37" s="270"/>
      <c r="BG37" s="270"/>
      <c r="BH37" s="270"/>
      <c r="BI37" s="270"/>
      <c r="BJ37" s="271"/>
      <c r="BK37" s="4"/>
      <c r="BL37" s="127" t="str">
        <f t="shared" si="0"/>
        <v>a
b</v>
      </c>
      <c r="BM37" t="s">
        <v>449</v>
      </c>
      <c r="BN37">
        <v>10</v>
      </c>
      <c r="BP37" t="str">
        <f t="shared" si="11"/>
        <v>,`UOM` varchar(10)  COMMENT '単品販売単位'</v>
      </c>
      <c r="BQ37" t="s">
        <v>223</v>
      </c>
      <c r="BR37" t="str">
        <f t="shared" si="12"/>
        <v xml:space="preserve">,`UOM` varchar(10) </v>
      </c>
      <c r="BS37" t="s">
        <v>223</v>
      </c>
      <c r="BT37" t="str">
        <f t="shared" si="7"/>
        <v>,`UOM`</v>
      </c>
      <c r="BU37" t="s">
        <v>223</v>
      </c>
      <c r="BV37" s="82" t="str">
        <f t="shared" si="13"/>
        <v>,A.`UOM` = B.`UOM`</v>
      </c>
      <c r="BW37" t="s">
        <v>223</v>
      </c>
      <c r="BX37" s="82" t="str">
        <f t="shared" si="14"/>
        <v>,`UOM`</v>
      </c>
      <c r="BY37" t="s">
        <v>223</v>
      </c>
      <c r="BZ37" s="82" t="str">
        <f t="shared" si="15"/>
        <v>,`UOM`</v>
      </c>
      <c r="CA37" t="s">
        <v>223</v>
      </c>
    </row>
    <row r="38" spans="1:79" ht="31.5">
      <c r="A38" s="84" t="s">
        <v>529</v>
      </c>
      <c r="B38" s="71">
        <v>9</v>
      </c>
      <c r="C38" s="72"/>
      <c r="D38" s="73" t="s">
        <v>272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73" t="s">
        <v>366</v>
      </c>
      <c r="S38" s="74"/>
      <c r="T38" s="74"/>
      <c r="U38" s="74"/>
      <c r="V38" s="74"/>
      <c r="W38" s="74"/>
      <c r="X38" s="74"/>
      <c r="Y38" s="74"/>
      <c r="Z38" s="74"/>
      <c r="AA38" s="74"/>
      <c r="AB38" s="75"/>
      <c r="AC38" s="251" t="str" cm="1">
        <f t="array" ref="AC38">_xlfn.SWITCH(BM38,"String","varchar("&amp;BN38&amp;")","Long","int","Integer","smallint","Double","decimal(9,2)","Currency","int")</f>
        <v>decimal(9,2)</v>
      </c>
      <c r="AD38" s="252"/>
      <c r="AE38" s="252"/>
      <c r="AF38" s="252"/>
      <c r="AG38" s="253"/>
      <c r="AH38" s="73"/>
      <c r="AI38" s="75"/>
      <c r="AJ38" s="73"/>
      <c r="AK38" s="74"/>
      <c r="AL38" s="75"/>
      <c r="AM38" s="73"/>
      <c r="AN38" s="74"/>
      <c r="AO38" s="74"/>
      <c r="AP38" s="74"/>
      <c r="AQ38" s="74"/>
      <c r="AR38" s="74"/>
      <c r="AS38" s="75"/>
      <c r="AT38" s="269" t="s">
        <v>464</v>
      </c>
      <c r="AU38" s="270"/>
      <c r="AV38" s="270"/>
      <c r="AW38" s="270"/>
      <c r="AX38" s="270"/>
      <c r="AY38" s="270"/>
      <c r="AZ38" s="270"/>
      <c r="BA38" s="270"/>
      <c r="BB38" s="270"/>
      <c r="BC38" s="270"/>
      <c r="BD38" s="270"/>
      <c r="BE38" s="270"/>
      <c r="BF38" s="270"/>
      <c r="BG38" s="270"/>
      <c r="BH38" s="270"/>
      <c r="BI38" s="270"/>
      <c r="BJ38" s="271"/>
      <c r="BK38" s="4"/>
      <c r="BL38" s="127" t="str">
        <f t="shared" si="0"/>
        <v>a
b</v>
      </c>
      <c r="BM38" t="s">
        <v>452</v>
      </c>
      <c r="BP38" t="str">
        <f t="shared" si="11"/>
        <v>,`UNT_QTY` decimal(9,2)  COMMENT '最小販売単位'</v>
      </c>
      <c r="BQ38" t="s">
        <v>223</v>
      </c>
      <c r="BR38" t="str">
        <f t="shared" si="12"/>
        <v xml:space="preserve">,`UNT_QTY` decimal(9,2) </v>
      </c>
      <c r="BS38" t="s">
        <v>223</v>
      </c>
      <c r="BT38" t="str">
        <f t="shared" si="7"/>
        <v>,`UNT_QTY`</v>
      </c>
      <c r="BU38" t="s">
        <v>223</v>
      </c>
      <c r="BV38" s="82" t="str">
        <f t="shared" si="13"/>
        <v>,A.`UNT_QTY` = B.`UNT_QTY`</v>
      </c>
      <c r="BW38" t="s">
        <v>223</v>
      </c>
      <c r="BX38" s="82" t="str">
        <f t="shared" si="14"/>
        <v>,`UNT_QTY`</v>
      </c>
      <c r="BY38" t="s">
        <v>223</v>
      </c>
      <c r="BZ38" s="82" t="str">
        <f t="shared" si="15"/>
        <v>,`UNT_QTY`</v>
      </c>
      <c r="CA38" t="s">
        <v>223</v>
      </c>
    </row>
    <row r="39" spans="1:79" ht="31.5">
      <c r="A39" s="84" t="s">
        <v>530</v>
      </c>
      <c r="B39" s="71">
        <v>9</v>
      </c>
      <c r="C39" s="72"/>
      <c r="D39" s="73" t="s">
        <v>273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  <c r="R39" s="73" t="s">
        <v>367</v>
      </c>
      <c r="S39" s="74"/>
      <c r="T39" s="74"/>
      <c r="U39" s="74"/>
      <c r="V39" s="74"/>
      <c r="W39" s="74"/>
      <c r="X39" s="74"/>
      <c r="Y39" s="74"/>
      <c r="Z39" s="74"/>
      <c r="AA39" s="74"/>
      <c r="AB39" s="75"/>
      <c r="AC39" s="251" t="str" cm="1">
        <f t="array" ref="AC39">_xlfn.SWITCH(BM39,"String","varchar("&amp;BN39&amp;")","Long","int","Integer","smallint","Double","decimal(9,2)","Currency","int")</f>
        <v>smallint</v>
      </c>
      <c r="AD39" s="252"/>
      <c r="AE39" s="252"/>
      <c r="AF39" s="252"/>
      <c r="AG39" s="253"/>
      <c r="AH39" s="73"/>
      <c r="AI39" s="75"/>
      <c r="AJ39" s="73"/>
      <c r="AK39" s="74"/>
      <c r="AL39" s="75"/>
      <c r="AM39" s="73"/>
      <c r="AN39" s="74"/>
      <c r="AO39" s="74"/>
      <c r="AP39" s="74"/>
      <c r="AQ39" s="74"/>
      <c r="AR39" s="74"/>
      <c r="AS39" s="75"/>
      <c r="AT39" s="269" t="s">
        <v>465</v>
      </c>
      <c r="AU39" s="270"/>
      <c r="AV39" s="270"/>
      <c r="AW39" s="270"/>
      <c r="AX39" s="270"/>
      <c r="AY39" s="270"/>
      <c r="AZ39" s="270"/>
      <c r="BA39" s="270"/>
      <c r="BB39" s="270"/>
      <c r="BC39" s="270"/>
      <c r="BD39" s="270"/>
      <c r="BE39" s="270"/>
      <c r="BF39" s="270"/>
      <c r="BG39" s="270"/>
      <c r="BH39" s="270"/>
      <c r="BI39" s="270"/>
      <c r="BJ39" s="271"/>
      <c r="BK39" s="4"/>
      <c r="BL39" s="127" t="str">
        <f t="shared" si="0"/>
        <v>a
b</v>
      </c>
      <c r="BM39" t="s">
        <v>451</v>
      </c>
      <c r="BP39" t="str">
        <f t="shared" si="11"/>
        <v>,`MD_FG` smallint  COMMENT '値引識別フラグ'</v>
      </c>
      <c r="BQ39" t="s">
        <v>223</v>
      </c>
      <c r="BR39" t="str">
        <f t="shared" si="12"/>
        <v xml:space="preserve">,`MD_FG` smallint </v>
      </c>
      <c r="BS39" t="s">
        <v>223</v>
      </c>
      <c r="BT39" t="str">
        <f t="shared" si="7"/>
        <v>,`MD_FG`</v>
      </c>
      <c r="BU39" t="s">
        <v>223</v>
      </c>
      <c r="BV39" s="82" t="str">
        <f t="shared" si="13"/>
        <v>,A.`MD_FG` = B.`MD_FG`</v>
      </c>
      <c r="BW39" t="s">
        <v>223</v>
      </c>
      <c r="BX39" s="82" t="str">
        <f t="shared" si="14"/>
        <v>,`MD_FG`</v>
      </c>
      <c r="BY39" t="s">
        <v>223</v>
      </c>
      <c r="BZ39" s="82" t="str">
        <f t="shared" si="15"/>
        <v>,`MD_FG`</v>
      </c>
      <c r="CA39" t="s">
        <v>223</v>
      </c>
    </row>
    <row r="40" spans="1:79" ht="31.5">
      <c r="A40" s="84" t="s">
        <v>531</v>
      </c>
      <c r="B40" s="71">
        <v>9</v>
      </c>
      <c r="C40" s="72"/>
      <c r="D40" s="73" t="s">
        <v>274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5"/>
      <c r="R40" s="73" t="s">
        <v>368</v>
      </c>
      <c r="S40" s="74"/>
      <c r="T40" s="74"/>
      <c r="U40" s="74"/>
      <c r="V40" s="74"/>
      <c r="W40" s="74"/>
      <c r="X40" s="74"/>
      <c r="Y40" s="74"/>
      <c r="Z40" s="74"/>
      <c r="AA40" s="74"/>
      <c r="AB40" s="75"/>
      <c r="AC40" s="251" t="str" cm="1">
        <f t="array" ref="AC40">_xlfn.SWITCH(BM40,"String","varchar("&amp;BN40&amp;")","Long","int","Integer","smallint","Double","decimal(9,2)","Currency","int")</f>
        <v>smallint</v>
      </c>
      <c r="AD40" s="252"/>
      <c r="AE40" s="252"/>
      <c r="AF40" s="252"/>
      <c r="AG40" s="253"/>
      <c r="AH40" s="73"/>
      <c r="AI40" s="75"/>
      <c r="AJ40" s="73"/>
      <c r="AK40" s="74"/>
      <c r="AL40" s="75"/>
      <c r="AM40" s="73"/>
      <c r="AN40" s="74"/>
      <c r="AO40" s="74"/>
      <c r="AP40" s="74"/>
      <c r="AQ40" s="74"/>
      <c r="AR40" s="74"/>
      <c r="AS40" s="75"/>
      <c r="AT40" s="269" t="s">
        <v>466</v>
      </c>
      <c r="AU40" s="270"/>
      <c r="AV40" s="270"/>
      <c r="AW40" s="270"/>
      <c r="AX40" s="270"/>
      <c r="AY40" s="270"/>
      <c r="AZ40" s="270"/>
      <c r="BA40" s="270"/>
      <c r="BB40" s="270"/>
      <c r="BC40" s="270"/>
      <c r="BD40" s="270"/>
      <c r="BE40" s="270"/>
      <c r="BF40" s="270"/>
      <c r="BG40" s="270"/>
      <c r="BH40" s="270"/>
      <c r="BI40" s="270"/>
      <c r="BJ40" s="271"/>
      <c r="BK40" s="4"/>
      <c r="BL40" s="127" t="str">
        <f t="shared" si="0"/>
        <v>a
b</v>
      </c>
      <c r="BM40" t="s">
        <v>451</v>
      </c>
      <c r="BP40" t="str">
        <f t="shared" si="11"/>
        <v>,`QTY_RQED_FG` smallint  COMMENT '数量登録必須フラグ'</v>
      </c>
      <c r="BQ40" t="s">
        <v>223</v>
      </c>
      <c r="BR40" t="str">
        <f t="shared" si="12"/>
        <v xml:space="preserve">,`QTY_RQED_FG` smallint </v>
      </c>
      <c r="BS40" t="s">
        <v>223</v>
      </c>
      <c r="BT40" t="str">
        <f t="shared" si="7"/>
        <v>,`QTY_RQED_FG`</v>
      </c>
      <c r="BU40" t="s">
        <v>223</v>
      </c>
      <c r="BV40" s="82" t="str">
        <f t="shared" si="13"/>
        <v>,A.`QTY_RQED_FG` = B.`QTY_RQED_FG`</v>
      </c>
      <c r="BW40" t="s">
        <v>223</v>
      </c>
      <c r="BX40" s="82" t="str">
        <f t="shared" si="14"/>
        <v>,`QTY_RQED_FG`</v>
      </c>
      <c r="BY40" t="s">
        <v>223</v>
      </c>
      <c r="BZ40" s="82" t="str">
        <f t="shared" si="15"/>
        <v>,`QTY_RQED_FG`</v>
      </c>
      <c r="CA40" t="s">
        <v>223</v>
      </c>
    </row>
    <row r="41" spans="1:79" ht="31.5">
      <c r="A41" s="84" t="s">
        <v>532</v>
      </c>
      <c r="B41" s="71">
        <v>9</v>
      </c>
      <c r="C41" s="72"/>
      <c r="D41" s="73" t="s">
        <v>275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5"/>
      <c r="R41" s="73" t="s">
        <v>369</v>
      </c>
      <c r="S41" s="74"/>
      <c r="T41" s="74"/>
      <c r="U41" s="74"/>
      <c r="V41" s="74"/>
      <c r="W41" s="74"/>
      <c r="X41" s="74"/>
      <c r="Y41" s="74"/>
      <c r="Z41" s="74"/>
      <c r="AA41" s="74"/>
      <c r="AB41" s="75"/>
      <c r="AC41" s="251" t="str" cm="1">
        <f t="array" ref="AC41">_xlfn.SWITCH(BM41,"String","varchar("&amp;BN41&amp;")","Long","int","Integer","smallint","Double","decimal(9,2)","Currency","int")</f>
        <v>smallint</v>
      </c>
      <c r="AD41" s="252"/>
      <c r="AE41" s="252"/>
      <c r="AF41" s="252"/>
      <c r="AG41" s="253"/>
      <c r="AH41" s="73"/>
      <c r="AI41" s="75"/>
      <c r="AJ41" s="73"/>
      <c r="AK41" s="74"/>
      <c r="AL41" s="75"/>
      <c r="AM41" s="73"/>
      <c r="AN41" s="74"/>
      <c r="AO41" s="74"/>
      <c r="AP41" s="74"/>
      <c r="AQ41" s="74"/>
      <c r="AR41" s="74"/>
      <c r="AS41" s="75"/>
      <c r="AT41" s="269" t="s">
        <v>466</v>
      </c>
      <c r="AU41" s="270"/>
      <c r="AV41" s="270"/>
      <c r="AW41" s="270"/>
      <c r="AX41" s="270"/>
      <c r="AY41" s="270"/>
      <c r="AZ41" s="270"/>
      <c r="BA41" s="270"/>
      <c r="BB41" s="270"/>
      <c r="BC41" s="270"/>
      <c r="BD41" s="270"/>
      <c r="BE41" s="270"/>
      <c r="BF41" s="270"/>
      <c r="BG41" s="270"/>
      <c r="BH41" s="270"/>
      <c r="BI41" s="270"/>
      <c r="BJ41" s="271"/>
      <c r="BK41" s="4"/>
      <c r="BL41" s="127" t="str">
        <f t="shared" si="0"/>
        <v>a
b</v>
      </c>
      <c r="BM41" t="s">
        <v>451</v>
      </c>
      <c r="BP41" t="str">
        <f t="shared" si="11"/>
        <v>,`QTY_ALLOWD` smallint  COMMENT '数量登録可否フラグ'</v>
      </c>
      <c r="BQ41" t="s">
        <v>223</v>
      </c>
      <c r="BR41" t="str">
        <f t="shared" si="12"/>
        <v xml:space="preserve">,`QTY_ALLOWD` smallint </v>
      </c>
      <c r="BS41" t="s">
        <v>223</v>
      </c>
      <c r="BT41" t="str">
        <f t="shared" si="7"/>
        <v>,`QTY_ALLOWD`</v>
      </c>
      <c r="BU41" t="s">
        <v>223</v>
      </c>
      <c r="BV41" s="82" t="str">
        <f t="shared" si="13"/>
        <v>,A.`QTY_ALLOWD` = B.`QTY_ALLOWD`</v>
      </c>
      <c r="BW41" t="s">
        <v>223</v>
      </c>
      <c r="BX41" s="82" t="str">
        <f t="shared" si="14"/>
        <v>,`QTY_ALLOWD`</v>
      </c>
      <c r="BY41" t="s">
        <v>223</v>
      </c>
      <c r="BZ41" s="82" t="str">
        <f t="shared" si="15"/>
        <v>,`QTY_ALLOWD`</v>
      </c>
      <c r="CA41" t="s">
        <v>223</v>
      </c>
    </row>
    <row r="42" spans="1:79" ht="31.5">
      <c r="A42" s="84" t="s">
        <v>533</v>
      </c>
      <c r="B42" s="71">
        <v>9</v>
      </c>
      <c r="C42" s="72"/>
      <c r="D42" s="73" t="s">
        <v>276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5"/>
      <c r="R42" s="73" t="s">
        <v>370</v>
      </c>
      <c r="S42" s="74"/>
      <c r="T42" s="74"/>
      <c r="U42" s="74"/>
      <c r="V42" s="74"/>
      <c r="W42" s="74"/>
      <c r="X42" s="74"/>
      <c r="Y42" s="74"/>
      <c r="Z42" s="74"/>
      <c r="AA42" s="74"/>
      <c r="AB42" s="75"/>
      <c r="AC42" s="251" t="str" cm="1">
        <f t="array" ref="AC42">_xlfn.SWITCH(BM42,"String","varchar("&amp;BN42&amp;")","Long","int","Integer","smallint","Double","decimal(9,2)","Currency","int")</f>
        <v>smallint</v>
      </c>
      <c r="AD42" s="252"/>
      <c r="AE42" s="252"/>
      <c r="AF42" s="252"/>
      <c r="AG42" s="253"/>
      <c r="AH42" s="73"/>
      <c r="AI42" s="75"/>
      <c r="AJ42" s="73"/>
      <c r="AK42" s="74"/>
      <c r="AL42" s="75"/>
      <c r="AM42" s="73"/>
      <c r="AN42" s="74"/>
      <c r="AO42" s="74"/>
      <c r="AP42" s="74"/>
      <c r="AQ42" s="74"/>
      <c r="AR42" s="74"/>
      <c r="AS42" s="75"/>
      <c r="AT42" s="269" t="s">
        <v>466</v>
      </c>
      <c r="AU42" s="270"/>
      <c r="AV42" s="270"/>
      <c r="AW42" s="270"/>
      <c r="AX42" s="270"/>
      <c r="AY42" s="270"/>
      <c r="AZ42" s="270"/>
      <c r="BA42" s="270"/>
      <c r="BB42" s="270"/>
      <c r="BC42" s="270"/>
      <c r="BD42" s="270"/>
      <c r="BE42" s="270"/>
      <c r="BF42" s="270"/>
      <c r="BG42" s="270"/>
      <c r="BH42" s="270"/>
      <c r="BI42" s="270"/>
      <c r="BJ42" s="271"/>
      <c r="BK42" s="4"/>
      <c r="BL42" s="127" t="str">
        <f t="shared" si="0"/>
        <v>a
b</v>
      </c>
      <c r="BM42" t="s">
        <v>451</v>
      </c>
      <c r="BP42" t="str">
        <f t="shared" si="11"/>
        <v>,`SLS_AURH_FG` smallint  COMMENT '販売時の承認フラグ'</v>
      </c>
      <c r="BQ42" t="s">
        <v>223</v>
      </c>
      <c r="BR42" t="str">
        <f t="shared" si="12"/>
        <v xml:space="preserve">,`SLS_AURH_FG` smallint </v>
      </c>
      <c r="BS42" t="s">
        <v>223</v>
      </c>
      <c r="BT42" t="str">
        <f t="shared" si="7"/>
        <v>,`SLS_AURH_FG`</v>
      </c>
      <c r="BU42" t="s">
        <v>223</v>
      </c>
      <c r="BV42" s="82" t="str">
        <f t="shared" si="13"/>
        <v>,A.`SLS_AURH_FG` = B.`SLS_AURH_FG`</v>
      </c>
      <c r="BW42" t="s">
        <v>223</v>
      </c>
      <c r="BX42" s="82" t="str">
        <f t="shared" si="14"/>
        <v>,`SLS_AURH_FG`</v>
      </c>
      <c r="BY42" t="s">
        <v>223</v>
      </c>
      <c r="BZ42" s="82" t="str">
        <f t="shared" si="15"/>
        <v>,`SLS_AURH_FG`</v>
      </c>
      <c r="CA42" t="s">
        <v>223</v>
      </c>
    </row>
    <row r="43" spans="1:79" ht="31.5">
      <c r="A43" s="84" t="s">
        <v>534</v>
      </c>
      <c r="B43" s="71">
        <v>9</v>
      </c>
      <c r="C43" s="72"/>
      <c r="D43" s="73" t="s">
        <v>277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5"/>
      <c r="R43" s="73" t="s">
        <v>371</v>
      </c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251" t="str" cm="1">
        <f t="array" ref="AC43">_xlfn.SWITCH(BM43,"String","varchar("&amp;BN43&amp;")","Long","int","Integer","smallint","Double","decimal(9,2)","Currency","int")</f>
        <v>smallint</v>
      </c>
      <c r="AD43" s="252"/>
      <c r="AE43" s="252"/>
      <c r="AF43" s="252"/>
      <c r="AG43" s="253"/>
      <c r="AH43" s="73"/>
      <c r="AI43" s="75"/>
      <c r="AJ43" s="73"/>
      <c r="AK43" s="74"/>
      <c r="AL43" s="75"/>
      <c r="AM43" s="73"/>
      <c r="AN43" s="74"/>
      <c r="AO43" s="74"/>
      <c r="AP43" s="74"/>
      <c r="AQ43" s="74"/>
      <c r="AR43" s="74"/>
      <c r="AS43" s="75"/>
      <c r="AT43" s="269" t="s">
        <v>467</v>
      </c>
      <c r="AU43" s="270"/>
      <c r="AV43" s="270"/>
      <c r="AW43" s="270"/>
      <c r="AX43" s="270"/>
      <c r="AY43" s="270"/>
      <c r="AZ43" s="270"/>
      <c r="BA43" s="270"/>
      <c r="BB43" s="270"/>
      <c r="BC43" s="270"/>
      <c r="BD43" s="270"/>
      <c r="BE43" s="270"/>
      <c r="BF43" s="270"/>
      <c r="BG43" s="270"/>
      <c r="BH43" s="270"/>
      <c r="BI43" s="270"/>
      <c r="BJ43" s="271"/>
      <c r="BK43" s="4"/>
      <c r="BL43" s="127" t="str">
        <f t="shared" si="0"/>
        <v>a
b</v>
      </c>
      <c r="BM43" t="s">
        <v>451</v>
      </c>
      <c r="BP43" t="str">
        <f t="shared" si="11"/>
        <v>,`MNL_PRC_LVL` smallint  COMMENT '手入力価格変更フラグ'</v>
      </c>
      <c r="BQ43" t="s">
        <v>223</v>
      </c>
      <c r="BR43" t="str">
        <f t="shared" si="12"/>
        <v xml:space="preserve">,`MNL_PRC_LVL` smallint </v>
      </c>
      <c r="BS43" t="s">
        <v>223</v>
      </c>
      <c r="BT43" t="str">
        <f t="shared" si="7"/>
        <v>,`MNL_PRC_LVL`</v>
      </c>
      <c r="BU43" t="s">
        <v>223</v>
      </c>
      <c r="BV43" s="82" t="str">
        <f t="shared" si="13"/>
        <v>,A.`MNL_PRC_LVL` = B.`MNL_PRC_LVL`</v>
      </c>
      <c r="BW43" t="s">
        <v>223</v>
      </c>
      <c r="BX43" s="82" t="str">
        <f t="shared" si="14"/>
        <v>,`MNL_PRC_LVL`</v>
      </c>
      <c r="BY43" t="s">
        <v>223</v>
      </c>
      <c r="BZ43" s="82" t="str">
        <f t="shared" si="15"/>
        <v>,`MNL_PRC_LVL`</v>
      </c>
      <c r="CA43" t="s">
        <v>223</v>
      </c>
    </row>
    <row r="44" spans="1:79" ht="31.5">
      <c r="A44" s="84" t="s">
        <v>535</v>
      </c>
      <c r="B44" s="71">
        <v>9</v>
      </c>
      <c r="C44" s="72"/>
      <c r="D44" s="73" t="s">
        <v>278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5"/>
      <c r="R44" s="73" t="s">
        <v>372</v>
      </c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251" t="str" cm="1">
        <f t="array" ref="AC44">_xlfn.SWITCH(BM44,"String","varchar("&amp;BN44&amp;")","Long","int","Integer","smallint","Double","decimal(9,2)","Currency","int")</f>
        <v>smallint</v>
      </c>
      <c r="AD44" s="252"/>
      <c r="AE44" s="252"/>
      <c r="AF44" s="252"/>
      <c r="AG44" s="253"/>
      <c r="AH44" s="73"/>
      <c r="AI44" s="75"/>
      <c r="AJ44" s="73"/>
      <c r="AK44" s="74"/>
      <c r="AL44" s="75"/>
      <c r="AM44" s="73"/>
      <c r="AN44" s="74"/>
      <c r="AO44" s="74"/>
      <c r="AP44" s="74"/>
      <c r="AQ44" s="74"/>
      <c r="AR44" s="74"/>
      <c r="AS44" s="75"/>
      <c r="AT44" s="269" t="s">
        <v>466</v>
      </c>
      <c r="AU44" s="270"/>
      <c r="AV44" s="270"/>
      <c r="AW44" s="270"/>
      <c r="AX44" s="270"/>
      <c r="AY44" s="270"/>
      <c r="AZ44" s="270"/>
      <c r="BA44" s="270"/>
      <c r="BB44" s="270"/>
      <c r="BC44" s="270"/>
      <c r="BD44" s="270"/>
      <c r="BE44" s="270"/>
      <c r="BF44" s="270"/>
      <c r="BG44" s="270"/>
      <c r="BH44" s="270"/>
      <c r="BI44" s="270"/>
      <c r="BJ44" s="271"/>
      <c r="BK44" s="4"/>
      <c r="BL44" s="127" t="str">
        <f t="shared" si="0"/>
        <v>a
b</v>
      </c>
      <c r="BM44" t="s">
        <v>451</v>
      </c>
      <c r="BP44" t="str">
        <f t="shared" si="11"/>
        <v>,`SRLZD_MDSE_FG` smallint  COMMENT '商品特定フラグ'</v>
      </c>
      <c r="BQ44" t="s">
        <v>223</v>
      </c>
      <c r="BR44" t="str">
        <f t="shared" si="12"/>
        <v xml:space="preserve">,`SRLZD_MDSE_FG` smallint </v>
      </c>
      <c r="BS44" t="s">
        <v>223</v>
      </c>
      <c r="BT44" t="str">
        <f t="shared" si="7"/>
        <v>,`SRLZD_MDSE_FG`</v>
      </c>
      <c r="BU44" t="s">
        <v>223</v>
      </c>
      <c r="BV44" s="82" t="str">
        <f t="shared" si="13"/>
        <v>,A.`SRLZD_MDSE_FG` = B.`SRLZD_MDSE_FG`</v>
      </c>
      <c r="BW44" t="s">
        <v>223</v>
      </c>
      <c r="BX44" s="82" t="str">
        <f t="shared" si="14"/>
        <v>,`SRLZD_MDSE_FG`</v>
      </c>
      <c r="BY44" t="s">
        <v>223</v>
      </c>
      <c r="BZ44" s="82" t="str">
        <f t="shared" si="15"/>
        <v>,`SRLZD_MDSE_FG`</v>
      </c>
      <c r="CA44" t="s">
        <v>223</v>
      </c>
    </row>
    <row r="45" spans="1:79" ht="31.5">
      <c r="A45" s="84" t="s">
        <v>536</v>
      </c>
      <c r="B45" s="71">
        <v>9</v>
      </c>
      <c r="C45" s="72"/>
      <c r="D45" s="73" t="s">
        <v>279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5"/>
      <c r="R45" s="73" t="s">
        <v>373</v>
      </c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251" t="str" cm="1">
        <f t="array" ref="AC45">_xlfn.SWITCH(BM45,"String","varchar("&amp;BN45&amp;")","Long","int","Integer","smallint","Double","decimal(9,2)","Currency","int")</f>
        <v>smallint</v>
      </c>
      <c r="AD45" s="252"/>
      <c r="AE45" s="252"/>
      <c r="AF45" s="252"/>
      <c r="AG45" s="253"/>
      <c r="AH45" s="73"/>
      <c r="AI45" s="75"/>
      <c r="AJ45" s="73"/>
      <c r="AK45" s="74"/>
      <c r="AL45" s="75"/>
      <c r="AM45" s="73"/>
      <c r="AN45" s="74"/>
      <c r="AO45" s="74"/>
      <c r="AP45" s="74"/>
      <c r="AQ45" s="74"/>
      <c r="AR45" s="74"/>
      <c r="AS45" s="75"/>
      <c r="AT45" s="269" t="s">
        <v>466</v>
      </c>
      <c r="AU45" s="270"/>
      <c r="AV45" s="270"/>
      <c r="AW45" s="270"/>
      <c r="AX45" s="270"/>
      <c r="AY45" s="270"/>
      <c r="AZ45" s="270"/>
      <c r="BA45" s="270"/>
      <c r="BB45" s="270"/>
      <c r="BC45" s="270"/>
      <c r="BD45" s="270"/>
      <c r="BE45" s="270"/>
      <c r="BF45" s="270"/>
      <c r="BG45" s="270"/>
      <c r="BH45" s="270"/>
      <c r="BI45" s="270"/>
      <c r="BJ45" s="271"/>
      <c r="BK45" s="4"/>
      <c r="BL45" s="127" t="str">
        <f t="shared" si="0"/>
        <v>a
b</v>
      </c>
      <c r="BM45" t="s">
        <v>451</v>
      </c>
      <c r="BP45" t="str">
        <f t="shared" si="11"/>
        <v>,`FD_STMP_FG` smallint  COMMENT 'フードスタンプ対象'</v>
      </c>
      <c r="BQ45" t="s">
        <v>223</v>
      </c>
      <c r="BR45" t="str">
        <f t="shared" si="12"/>
        <v xml:space="preserve">,`FD_STMP_FG` smallint </v>
      </c>
      <c r="BS45" t="s">
        <v>223</v>
      </c>
      <c r="BT45" t="str">
        <f t="shared" si="7"/>
        <v>,`FD_STMP_FG`</v>
      </c>
      <c r="BU45" t="s">
        <v>223</v>
      </c>
      <c r="BV45" s="82" t="str">
        <f t="shared" si="13"/>
        <v>,A.`FD_STMP_FG` = B.`FD_STMP_FG`</v>
      </c>
      <c r="BW45" t="s">
        <v>223</v>
      </c>
      <c r="BX45" s="82" t="str">
        <f t="shared" si="14"/>
        <v>,`FD_STMP_FG`</v>
      </c>
      <c r="BY45" t="s">
        <v>223</v>
      </c>
      <c r="BZ45" s="82" t="str">
        <f t="shared" si="15"/>
        <v>,`FD_STMP_FG`</v>
      </c>
      <c r="CA45" t="s">
        <v>223</v>
      </c>
    </row>
    <row r="46" spans="1:79" ht="31.5">
      <c r="A46" s="84" t="s">
        <v>537</v>
      </c>
      <c r="B46" s="71">
        <v>9</v>
      </c>
      <c r="C46" s="72"/>
      <c r="D46" s="73" t="s">
        <v>280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5"/>
      <c r="R46" s="73" t="s">
        <v>374</v>
      </c>
      <c r="S46" s="74"/>
      <c r="T46" s="74"/>
      <c r="U46" s="74"/>
      <c r="V46" s="74"/>
      <c r="W46" s="74"/>
      <c r="X46" s="74"/>
      <c r="Y46" s="74"/>
      <c r="Z46" s="74"/>
      <c r="AA46" s="74"/>
      <c r="AB46" s="75"/>
      <c r="AC46" s="251" t="str" cm="1">
        <f t="array" ref="AC46">_xlfn.SWITCH(BM46,"String","varchar("&amp;BN46&amp;")","Long","int","Integer","smallint","Double","decimal(9,2)","Currency","int")</f>
        <v>smallint</v>
      </c>
      <c r="AD46" s="252"/>
      <c r="AE46" s="252"/>
      <c r="AF46" s="252"/>
      <c r="AG46" s="253"/>
      <c r="AH46" s="73"/>
      <c r="AI46" s="75"/>
      <c r="AJ46" s="73"/>
      <c r="AK46" s="74"/>
      <c r="AL46" s="75"/>
      <c r="AM46" s="73"/>
      <c r="AN46" s="74"/>
      <c r="AO46" s="74"/>
      <c r="AP46" s="74"/>
      <c r="AQ46" s="74"/>
      <c r="AR46" s="74"/>
      <c r="AS46" s="75"/>
      <c r="AT46" s="269" t="s">
        <v>466</v>
      </c>
      <c r="AU46" s="270"/>
      <c r="AV46" s="270"/>
      <c r="AW46" s="270"/>
      <c r="AX46" s="270"/>
      <c r="AY46" s="270"/>
      <c r="AZ46" s="270"/>
      <c r="BA46" s="270"/>
      <c r="BB46" s="270"/>
      <c r="BC46" s="270"/>
      <c r="BD46" s="270"/>
      <c r="BE46" s="270"/>
      <c r="BF46" s="270"/>
      <c r="BG46" s="270"/>
      <c r="BH46" s="270"/>
      <c r="BI46" s="270"/>
      <c r="BJ46" s="271"/>
      <c r="BK46" s="4"/>
      <c r="BL46" s="127" t="str">
        <f t="shared" si="0"/>
        <v>a
b</v>
      </c>
      <c r="BM46" t="s">
        <v>451</v>
      </c>
      <c r="BP46" t="str">
        <f t="shared" si="11"/>
        <v>,`WIC_FG` smallint  COMMENT 'ＷＩＣ有効商品フラグ'</v>
      </c>
      <c r="BQ46" t="s">
        <v>223</v>
      </c>
      <c r="BR46" t="str">
        <f t="shared" si="12"/>
        <v xml:space="preserve">,`WIC_FG` smallint </v>
      </c>
      <c r="BS46" t="s">
        <v>223</v>
      </c>
      <c r="BT46" t="str">
        <f t="shared" si="7"/>
        <v>,`WIC_FG`</v>
      </c>
      <c r="BU46" t="s">
        <v>223</v>
      </c>
      <c r="BV46" s="82" t="str">
        <f t="shared" si="13"/>
        <v>,A.`WIC_FG` = B.`WIC_FG`</v>
      </c>
      <c r="BW46" t="s">
        <v>223</v>
      </c>
      <c r="BX46" s="82" t="str">
        <f t="shared" si="14"/>
        <v>,`WIC_FG`</v>
      </c>
      <c r="BY46" t="s">
        <v>223</v>
      </c>
      <c r="BZ46" s="82" t="str">
        <f t="shared" si="15"/>
        <v>,`WIC_FG`</v>
      </c>
      <c r="CA46" t="s">
        <v>223</v>
      </c>
    </row>
    <row r="47" spans="1:79" ht="31.5">
      <c r="A47" s="84" t="s">
        <v>538</v>
      </c>
      <c r="B47" s="71">
        <v>9</v>
      </c>
      <c r="C47" s="72"/>
      <c r="D47" s="73" t="s">
        <v>281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5"/>
      <c r="R47" s="73" t="s">
        <v>375</v>
      </c>
      <c r="S47" s="74"/>
      <c r="T47" s="74"/>
      <c r="U47" s="74"/>
      <c r="V47" s="74"/>
      <c r="W47" s="74"/>
      <c r="X47" s="74"/>
      <c r="Y47" s="74"/>
      <c r="Z47" s="74"/>
      <c r="AA47" s="74"/>
      <c r="AB47" s="75"/>
      <c r="AC47" s="251" t="str" cm="1">
        <f t="array" ref="AC47">_xlfn.SWITCH(BM47,"String","varchar("&amp;BN47&amp;")","Long","int","Integer","smallint","Double","decimal(9,2)","Currency","int")</f>
        <v>smallint</v>
      </c>
      <c r="AD47" s="252"/>
      <c r="AE47" s="252"/>
      <c r="AF47" s="252"/>
      <c r="AG47" s="253"/>
      <c r="AH47" s="73"/>
      <c r="AI47" s="75"/>
      <c r="AJ47" s="73"/>
      <c r="AK47" s="74"/>
      <c r="AL47" s="75"/>
      <c r="AM47" s="73"/>
      <c r="AN47" s="74"/>
      <c r="AO47" s="74"/>
      <c r="AP47" s="74"/>
      <c r="AQ47" s="74"/>
      <c r="AR47" s="74"/>
      <c r="AS47" s="75"/>
      <c r="AT47" s="269" t="s">
        <v>466</v>
      </c>
      <c r="AU47" s="270"/>
      <c r="AV47" s="270"/>
      <c r="AW47" s="270"/>
      <c r="AX47" s="270"/>
      <c r="AY47" s="270"/>
      <c r="AZ47" s="270"/>
      <c r="BA47" s="270"/>
      <c r="BB47" s="270"/>
      <c r="BC47" s="270"/>
      <c r="BD47" s="270"/>
      <c r="BE47" s="270"/>
      <c r="BF47" s="270"/>
      <c r="BG47" s="270"/>
      <c r="BH47" s="270"/>
      <c r="BI47" s="270"/>
      <c r="BJ47" s="271"/>
      <c r="BK47" s="4"/>
      <c r="BL47" s="127" t="str">
        <f t="shared" si="0"/>
        <v>a
b</v>
      </c>
      <c r="BM47" t="s">
        <v>451</v>
      </c>
      <c r="BP47" t="str">
        <f t="shared" si="5"/>
        <v>,`PERPET_INV_CD` smallint  COMMENT '在庫コード'</v>
      </c>
      <c r="BQ47" t="s">
        <v>223</v>
      </c>
      <c r="BR47" t="str">
        <f t="shared" si="6"/>
        <v xml:space="preserve">,`PERPET_INV_CD` smallint </v>
      </c>
      <c r="BS47" t="s">
        <v>223</v>
      </c>
      <c r="BT47" t="str">
        <f t="shared" si="7"/>
        <v>,`PERPET_INV_CD`</v>
      </c>
      <c r="BU47" t="s">
        <v>223</v>
      </c>
      <c r="BV47" s="82" t="str">
        <f t="shared" si="8"/>
        <v>,A.`PERPET_INV_CD` = B.`PERPET_INV_CD`</v>
      </c>
      <c r="BW47" t="s">
        <v>223</v>
      </c>
      <c r="BX47" s="82" t="str">
        <f t="shared" si="9"/>
        <v>,`PERPET_INV_CD`</v>
      </c>
      <c r="BY47" t="s">
        <v>223</v>
      </c>
      <c r="BZ47" s="82" t="str">
        <f t="shared" si="10"/>
        <v>,`PERPET_INV_CD`</v>
      </c>
      <c r="CA47" t="s">
        <v>223</v>
      </c>
    </row>
    <row r="48" spans="1:79" ht="31.5">
      <c r="A48" s="84" t="s">
        <v>539</v>
      </c>
      <c r="B48" s="23">
        <v>9</v>
      </c>
      <c r="C48" s="24"/>
      <c r="D48" s="22" t="s">
        <v>282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376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 cm="1">
        <f t="array" ref="AC48">_xlfn.SWITCH(BM48,"String","varchar("&amp;BN48&amp;")","Long","int","Integer","smallint","Double","decimal(9,2)","Currency","int")</f>
        <v>int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79"/>
      <c r="AU48" s="280"/>
      <c r="AV48" s="280"/>
      <c r="AW48" s="280"/>
      <c r="AX48" s="280"/>
      <c r="AY48" s="280"/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1"/>
      <c r="BK48" s="4"/>
      <c r="BL48" s="127" t="str">
        <f t="shared" si="0"/>
        <v>a
b</v>
      </c>
      <c r="BM48" t="s">
        <v>453</v>
      </c>
      <c r="BP48" t="str">
        <f t="shared" si="5"/>
        <v>,`RTL_PRC NV_CD` int  COMMENT '売価'</v>
      </c>
      <c r="BQ48" t="s">
        <v>223</v>
      </c>
      <c r="BR48" t="str">
        <f t="shared" si="6"/>
        <v xml:space="preserve">,`RTL_PRC NV_CD` int </v>
      </c>
      <c r="BS48" t="s">
        <v>223</v>
      </c>
      <c r="BT48" t="str">
        <f t="shared" si="7"/>
        <v>,`RTL_PRC NV_CD`</v>
      </c>
      <c r="BU48" t="s">
        <v>223</v>
      </c>
      <c r="BV48" s="82" t="str">
        <f t="shared" si="8"/>
        <v>,A.`RTL_PRC NV_CD` = B.`RTL_PRC NV_CD`</v>
      </c>
      <c r="BW48" t="s">
        <v>223</v>
      </c>
      <c r="BX48" s="82" t="str">
        <f t="shared" si="9"/>
        <v>,`RTL_PRC NV_CD`</v>
      </c>
      <c r="BY48" t="s">
        <v>223</v>
      </c>
      <c r="BZ48" s="82" t="str">
        <f t="shared" si="10"/>
        <v>,`RTL_PRC NV_CD`</v>
      </c>
      <c r="CA48" t="s">
        <v>223</v>
      </c>
    </row>
    <row r="49" spans="1:79" ht="31.5">
      <c r="A49" s="84" t="s">
        <v>540</v>
      </c>
      <c r="B49" s="23">
        <v>9</v>
      </c>
      <c r="C49" s="24"/>
      <c r="D49" s="22" t="s">
        <v>283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377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tr" cm="1">
        <f t="array" ref="AC49">_xlfn.SWITCH(BM49,"String","varchar("&amp;BN49&amp;")","Long","int","Integer","smallint","Double","decimal(9,2)","Currency","int")</f>
        <v>decimal(9,2)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79" t="s">
        <v>468</v>
      </c>
      <c r="AU49" s="280"/>
      <c r="AV49" s="280"/>
      <c r="AW49" s="280"/>
      <c r="AX49" s="280"/>
      <c r="AY49" s="280"/>
      <c r="AZ49" s="280"/>
      <c r="BA49" s="280"/>
      <c r="BB49" s="280"/>
      <c r="BC49" s="280"/>
      <c r="BD49" s="280"/>
      <c r="BE49" s="280"/>
      <c r="BF49" s="280"/>
      <c r="BG49" s="280"/>
      <c r="BH49" s="280"/>
      <c r="BI49" s="280"/>
      <c r="BJ49" s="281"/>
      <c r="BK49" s="4"/>
      <c r="BL49" s="127" t="str">
        <f t="shared" si="0"/>
        <v>a
b</v>
      </c>
      <c r="BM49" t="s">
        <v>452</v>
      </c>
      <c r="BP49" t="str">
        <f t="shared" si="5"/>
        <v>,`UNT_CST` decimal(9,2)  COMMENT '単位原価'</v>
      </c>
      <c r="BQ49" t="s">
        <v>223</v>
      </c>
      <c r="BR49" t="str">
        <f t="shared" si="6"/>
        <v xml:space="preserve">,`UNT_CST` decimal(9,2) </v>
      </c>
      <c r="BS49" t="s">
        <v>223</v>
      </c>
      <c r="BT49" t="str">
        <f t="shared" si="7"/>
        <v>,`UNT_CST`</v>
      </c>
      <c r="BU49" t="s">
        <v>223</v>
      </c>
      <c r="BV49" s="82" t="str">
        <f t="shared" si="8"/>
        <v>,A.`UNT_CST` = B.`UNT_CST`</v>
      </c>
      <c r="BW49" t="s">
        <v>223</v>
      </c>
      <c r="BX49" s="82" t="str">
        <f t="shared" si="9"/>
        <v>,`UNT_CST`</v>
      </c>
      <c r="BY49" t="s">
        <v>223</v>
      </c>
      <c r="BZ49" s="82" t="str">
        <f t="shared" si="10"/>
        <v>,`UNT_CST`</v>
      </c>
      <c r="CA49" t="s">
        <v>223</v>
      </c>
    </row>
    <row r="50" spans="1:79" ht="31.5">
      <c r="A50" s="84" t="s">
        <v>541</v>
      </c>
      <c r="B50" s="71">
        <v>9</v>
      </c>
      <c r="C50" s="72"/>
      <c r="D50" s="73" t="s">
        <v>284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5"/>
      <c r="R50" s="73" t="s">
        <v>378</v>
      </c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251" t="str" cm="1">
        <f t="array" ref="AC50">_xlfn.SWITCH(BM50,"String","varchar("&amp;BN50&amp;")","Long","int","Integer","smallint","Double","decimal(9,2)","Currency","int")</f>
        <v>int</v>
      </c>
      <c r="AD50" s="252"/>
      <c r="AE50" s="252"/>
      <c r="AF50" s="252"/>
      <c r="AG50" s="253"/>
      <c r="AH50" s="73"/>
      <c r="AI50" s="75"/>
      <c r="AJ50" s="73"/>
      <c r="AK50" s="74"/>
      <c r="AL50" s="75"/>
      <c r="AM50" s="73"/>
      <c r="AN50" s="74"/>
      <c r="AO50" s="74"/>
      <c r="AP50" s="74"/>
      <c r="AQ50" s="74"/>
      <c r="AR50" s="74"/>
      <c r="AS50" s="75"/>
      <c r="AT50" s="269" t="s">
        <v>464</v>
      </c>
      <c r="AU50" s="270"/>
      <c r="AV50" s="270"/>
      <c r="AW50" s="270"/>
      <c r="AX50" s="270"/>
      <c r="AY50" s="270"/>
      <c r="AZ50" s="270"/>
      <c r="BA50" s="270"/>
      <c r="BB50" s="270"/>
      <c r="BC50" s="270"/>
      <c r="BD50" s="270"/>
      <c r="BE50" s="270"/>
      <c r="BF50" s="270"/>
      <c r="BG50" s="270"/>
      <c r="BH50" s="270"/>
      <c r="BI50" s="270"/>
      <c r="BJ50" s="271"/>
      <c r="BK50" s="4"/>
      <c r="BL50" s="127" t="str">
        <f t="shared" si="0"/>
        <v>a
b</v>
      </c>
      <c r="BM50" t="s">
        <v>453</v>
      </c>
      <c r="BP50" t="str">
        <f t="shared" si="5"/>
        <v>,`MIN_MDSE_AMT` int  COMMENT '最低取引額'</v>
      </c>
      <c r="BQ50" t="s">
        <v>223</v>
      </c>
      <c r="BR50" t="str">
        <f t="shared" si="6"/>
        <v xml:space="preserve">,`MIN_MDSE_AMT` int </v>
      </c>
      <c r="BS50" t="s">
        <v>223</v>
      </c>
      <c r="BT50" t="str">
        <f t="shared" si="7"/>
        <v>,`MIN_MDSE_AMT`</v>
      </c>
      <c r="BU50" t="s">
        <v>223</v>
      </c>
      <c r="BV50" s="82" t="str">
        <f t="shared" si="8"/>
        <v>,A.`MIN_MDSE_AMT` = B.`MIN_MDSE_AMT`</v>
      </c>
      <c r="BW50" t="s">
        <v>223</v>
      </c>
      <c r="BX50" s="82" t="str">
        <f t="shared" si="9"/>
        <v>,`MIN_MDSE_AMT`</v>
      </c>
      <c r="BY50" t="s">
        <v>223</v>
      </c>
      <c r="BZ50" s="82" t="str">
        <f t="shared" si="10"/>
        <v>,`MIN_MDSE_AMT`</v>
      </c>
      <c r="CA50" t="s">
        <v>223</v>
      </c>
    </row>
    <row r="51" spans="1:79" ht="31.5">
      <c r="A51" s="84" t="s">
        <v>542</v>
      </c>
      <c r="B51" s="71">
        <v>9</v>
      </c>
      <c r="C51" s="72"/>
      <c r="D51" s="73" t="s">
        <v>285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5"/>
      <c r="R51" s="73" t="s">
        <v>379</v>
      </c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251" t="str" cm="1">
        <f t="array" ref="AC51">_xlfn.SWITCH(BM51,"String","varchar("&amp;BN51&amp;")","Long","int","Integer","smallint","Double","decimal(9,2)","Currency","int")</f>
        <v>int</v>
      </c>
      <c r="AD51" s="252"/>
      <c r="AE51" s="252"/>
      <c r="AF51" s="252"/>
      <c r="AG51" s="253"/>
      <c r="AH51" s="73"/>
      <c r="AI51" s="75"/>
      <c r="AJ51" s="73"/>
      <c r="AK51" s="74"/>
      <c r="AL51" s="75"/>
      <c r="AM51" s="73"/>
      <c r="AN51" s="74"/>
      <c r="AO51" s="74"/>
      <c r="AP51" s="74"/>
      <c r="AQ51" s="74"/>
      <c r="AR51" s="74"/>
      <c r="AS51" s="75"/>
      <c r="AT51" s="269" t="s">
        <v>464</v>
      </c>
      <c r="AU51" s="270"/>
      <c r="AV51" s="270"/>
      <c r="AW51" s="270"/>
      <c r="AX51" s="270"/>
      <c r="AY51" s="270"/>
      <c r="AZ51" s="270"/>
      <c r="BA51" s="270"/>
      <c r="BB51" s="270"/>
      <c r="BC51" s="270"/>
      <c r="BD51" s="270"/>
      <c r="BE51" s="270"/>
      <c r="BF51" s="270"/>
      <c r="BG51" s="270"/>
      <c r="BH51" s="270"/>
      <c r="BI51" s="270"/>
      <c r="BJ51" s="271"/>
      <c r="BK51" s="4"/>
      <c r="BL51" s="127" t="str">
        <f t="shared" si="0"/>
        <v>a
b</v>
      </c>
      <c r="BM51" t="s">
        <v>453</v>
      </c>
      <c r="BP51" t="str">
        <f t="shared" si="5"/>
        <v>,`MAX_MDSE_AMT` int  COMMENT '最高取引額'</v>
      </c>
      <c r="BQ51" t="s">
        <v>223</v>
      </c>
      <c r="BR51" t="str">
        <f t="shared" si="6"/>
        <v xml:space="preserve">,`MAX_MDSE_AMT` int </v>
      </c>
      <c r="BS51" t="s">
        <v>223</v>
      </c>
      <c r="BT51" t="str">
        <f t="shared" si="7"/>
        <v>,`MAX_MDSE_AMT`</v>
      </c>
      <c r="BU51" t="s">
        <v>223</v>
      </c>
      <c r="BV51" s="82" t="str">
        <f t="shared" si="8"/>
        <v>,A.`MAX_MDSE_AMT` = B.`MAX_MDSE_AMT`</v>
      </c>
      <c r="BW51" t="s">
        <v>223</v>
      </c>
      <c r="BX51" s="82" t="str">
        <f t="shared" si="9"/>
        <v>,`MAX_MDSE_AMT`</v>
      </c>
      <c r="BY51" t="s">
        <v>223</v>
      </c>
      <c r="BZ51" s="82" t="str">
        <f t="shared" si="10"/>
        <v>,`MAX_MDSE_AMT`</v>
      </c>
      <c r="CA51" t="s">
        <v>223</v>
      </c>
    </row>
    <row r="52" spans="1:79" ht="31.5">
      <c r="A52" s="84" t="s">
        <v>543</v>
      </c>
      <c r="B52" s="71">
        <v>9</v>
      </c>
      <c r="C52" s="72"/>
      <c r="D52" s="73" t="s">
        <v>286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  <c r="R52" s="73" t="s">
        <v>380</v>
      </c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251" t="str" cm="1">
        <f t="array" ref="AC52">_xlfn.SWITCH(BM52,"String","varchar("&amp;BN52&amp;")","Long","int","Integer","smallint","Double","decimal(9,2)","Currency","int")</f>
        <v>varchar(10)</v>
      </c>
      <c r="AD52" s="252"/>
      <c r="AE52" s="252"/>
      <c r="AF52" s="252"/>
      <c r="AG52" s="253"/>
      <c r="AH52" s="73"/>
      <c r="AI52" s="75"/>
      <c r="AJ52" s="73"/>
      <c r="AK52" s="74"/>
      <c r="AL52" s="75"/>
      <c r="AM52" s="73"/>
      <c r="AN52" s="74"/>
      <c r="AO52" s="74"/>
      <c r="AP52" s="74"/>
      <c r="AQ52" s="74"/>
      <c r="AR52" s="74"/>
      <c r="AS52" s="75"/>
      <c r="AT52" s="269" t="s">
        <v>469</v>
      </c>
      <c r="AU52" s="270"/>
      <c r="AV52" s="270"/>
      <c r="AW52" s="270"/>
      <c r="AX52" s="270"/>
      <c r="AY52" s="270"/>
      <c r="AZ52" s="270"/>
      <c r="BA52" s="270"/>
      <c r="BB52" s="270"/>
      <c r="BC52" s="270"/>
      <c r="BD52" s="270"/>
      <c r="BE52" s="270"/>
      <c r="BF52" s="270"/>
      <c r="BG52" s="270"/>
      <c r="BH52" s="270"/>
      <c r="BI52" s="270"/>
      <c r="BJ52" s="271"/>
      <c r="BK52" s="4"/>
      <c r="BL52" s="127" t="str">
        <f t="shared" si="0"/>
        <v>a
b</v>
      </c>
      <c r="BM52" t="s">
        <v>449</v>
      </c>
      <c r="BN52">
        <v>10</v>
      </c>
      <c r="BP52" t="str">
        <f t="shared" si="5"/>
        <v>,`DFLT_SLS_LOC_ID` varchar(10)  COMMENT '商品の売上場所'</v>
      </c>
      <c r="BQ52" t="s">
        <v>223</v>
      </c>
      <c r="BR52" t="str">
        <f t="shared" si="6"/>
        <v xml:space="preserve">,`DFLT_SLS_LOC_ID` varchar(10) </v>
      </c>
      <c r="BS52" t="s">
        <v>223</v>
      </c>
      <c r="BT52" t="str">
        <f t="shared" si="7"/>
        <v>,`DFLT_SLS_LOC_ID`</v>
      </c>
      <c r="BU52" t="s">
        <v>223</v>
      </c>
      <c r="BV52" s="82" t="str">
        <f t="shared" si="8"/>
        <v>,A.`DFLT_SLS_LOC_ID` = B.`DFLT_SLS_LOC_ID`</v>
      </c>
      <c r="BW52" t="s">
        <v>223</v>
      </c>
      <c r="BX52" s="82" t="str">
        <f t="shared" si="9"/>
        <v>,`DFLT_SLS_LOC_ID`</v>
      </c>
      <c r="BY52" t="s">
        <v>223</v>
      </c>
      <c r="BZ52" s="82" t="str">
        <f t="shared" si="10"/>
        <v>,`DFLT_SLS_LOC_ID`</v>
      </c>
      <c r="CA52" t="s">
        <v>223</v>
      </c>
    </row>
    <row r="53" spans="1:79" ht="31.5">
      <c r="A53" s="84" t="s">
        <v>544</v>
      </c>
      <c r="B53" s="71">
        <v>9</v>
      </c>
      <c r="C53" s="72"/>
      <c r="D53" s="73" t="s">
        <v>287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5"/>
      <c r="R53" s="73" t="s">
        <v>381</v>
      </c>
      <c r="S53" s="74"/>
      <c r="T53" s="74"/>
      <c r="U53" s="74"/>
      <c r="V53" s="74"/>
      <c r="W53" s="74"/>
      <c r="X53" s="74"/>
      <c r="Y53" s="74"/>
      <c r="Z53" s="74"/>
      <c r="AA53" s="74"/>
      <c r="AB53" s="75"/>
      <c r="AC53" s="251" t="str" cm="1">
        <f t="array" ref="AC53">_xlfn.SWITCH(BM53,"String","varchar("&amp;BN53&amp;")","Long","int","Integer","smallint","Double","decimal(9,2)","Currency","int")</f>
        <v>smallint</v>
      </c>
      <c r="AD53" s="252"/>
      <c r="AE53" s="252"/>
      <c r="AF53" s="252"/>
      <c r="AG53" s="253"/>
      <c r="AH53" s="73"/>
      <c r="AI53" s="75"/>
      <c r="AJ53" s="73"/>
      <c r="AK53" s="74"/>
      <c r="AL53" s="75"/>
      <c r="AM53" s="73"/>
      <c r="AN53" s="74"/>
      <c r="AO53" s="74"/>
      <c r="AP53" s="74"/>
      <c r="AQ53" s="74"/>
      <c r="AR53" s="74"/>
      <c r="AS53" s="75"/>
      <c r="AT53" s="269" t="s">
        <v>470</v>
      </c>
      <c r="AU53" s="270"/>
      <c r="AV53" s="270"/>
      <c r="AW53" s="270"/>
      <c r="AX53" s="270"/>
      <c r="AY53" s="270"/>
      <c r="AZ53" s="270"/>
      <c r="BA53" s="270"/>
      <c r="BB53" s="270"/>
      <c r="BC53" s="270"/>
      <c r="BD53" s="270"/>
      <c r="BE53" s="270"/>
      <c r="BF53" s="270"/>
      <c r="BG53" s="270"/>
      <c r="BH53" s="270"/>
      <c r="BI53" s="270"/>
      <c r="BJ53" s="271"/>
      <c r="BK53" s="4"/>
      <c r="BL53" s="127" t="str">
        <f t="shared" ref="BL53:BL84" si="16">REPT("a"&amp;CHAR(10)&amp;"b",INT(LENB(SUBSTITUTE(AT53,CHAR(10),""))/70)+1)</f>
        <v>a
b</v>
      </c>
      <c r="BM53" t="s">
        <v>451</v>
      </c>
      <c r="BP53" t="str">
        <f t="shared" si="5"/>
        <v>,`ITM_MVMNT_FG` smallint  COMMENT '商品移動'</v>
      </c>
      <c r="BQ53" t="s">
        <v>223</v>
      </c>
      <c r="BR53" t="str">
        <f t="shared" si="6"/>
        <v xml:space="preserve">,`ITM_MVMNT_FG` smallint </v>
      </c>
      <c r="BS53" t="s">
        <v>223</v>
      </c>
      <c r="BT53" t="str">
        <f t="shared" si="7"/>
        <v>,`ITM_MVMNT_FG`</v>
      </c>
      <c r="BU53" t="s">
        <v>223</v>
      </c>
      <c r="BV53" s="82" t="str">
        <f t="shared" si="8"/>
        <v>,A.`ITM_MVMNT_FG` = B.`ITM_MVMNT_FG`</v>
      </c>
      <c r="BW53" t="s">
        <v>223</v>
      </c>
      <c r="BX53" s="82" t="str">
        <f t="shared" si="9"/>
        <v>,`ITM_MVMNT_FG`</v>
      </c>
      <c r="BY53" t="s">
        <v>223</v>
      </c>
      <c r="BZ53" s="82" t="str">
        <f t="shared" si="10"/>
        <v>,`ITM_MVMNT_FG`</v>
      </c>
      <c r="CA53" t="s">
        <v>223</v>
      </c>
    </row>
    <row r="54" spans="1:79" ht="31.5">
      <c r="A54" s="84" t="s">
        <v>545</v>
      </c>
      <c r="B54" s="23">
        <v>9</v>
      </c>
      <c r="C54" s="24"/>
      <c r="D54" s="22" t="s">
        <v>288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382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57" t="str" cm="1">
        <f t="array" ref="AC54">_xlfn.SWITCH(BM54,"String","varchar("&amp;BN54&amp;")","Long","int","Integer","smallint","Double","decimal(9,2)","Currency","int")</f>
        <v>varchar(20)</v>
      </c>
      <c r="AD54" s="258"/>
      <c r="AE54" s="258"/>
      <c r="AF54" s="258"/>
      <c r="AG54" s="259"/>
      <c r="AH54" s="22"/>
      <c r="AI54" s="26"/>
      <c r="AJ54" s="22"/>
      <c r="AK54" s="25"/>
      <c r="AL54" s="26"/>
      <c r="AM54" s="22"/>
      <c r="AN54" s="25"/>
      <c r="AO54" s="25"/>
      <c r="AP54" s="25"/>
      <c r="AQ54" s="25"/>
      <c r="AR54" s="25"/>
      <c r="AS54" s="26"/>
      <c r="AT54" s="279" t="s">
        <v>471</v>
      </c>
      <c r="AU54" s="280"/>
      <c r="AV54" s="280"/>
      <c r="AW54" s="280"/>
      <c r="AX54" s="280"/>
      <c r="AY54" s="280"/>
      <c r="AZ54" s="280"/>
      <c r="BA54" s="280"/>
      <c r="BB54" s="280"/>
      <c r="BC54" s="280"/>
      <c r="BD54" s="280"/>
      <c r="BE54" s="280"/>
      <c r="BF54" s="280"/>
      <c r="BG54" s="280"/>
      <c r="BH54" s="280"/>
      <c r="BI54" s="280"/>
      <c r="BJ54" s="281"/>
      <c r="BK54" s="4"/>
      <c r="BL54" s="127" t="str">
        <f t="shared" si="16"/>
        <v>a
b</v>
      </c>
      <c r="BM54" t="s">
        <v>449</v>
      </c>
      <c r="BN54">
        <v>20</v>
      </c>
      <c r="BP54" t="str">
        <f t="shared" si="5"/>
        <v>,`RCPT_DESCR_1` varchar(20)  COMMENT 'ＶＦＤ表示名称'</v>
      </c>
      <c r="BQ54" t="s">
        <v>223</v>
      </c>
      <c r="BR54" t="str">
        <f t="shared" si="6"/>
        <v xml:space="preserve">,`RCPT_DESCR_1` varchar(20) </v>
      </c>
      <c r="BS54" t="s">
        <v>223</v>
      </c>
      <c r="BT54" t="str">
        <f t="shared" si="7"/>
        <v>,`RCPT_DESCR_1`</v>
      </c>
      <c r="BU54" t="s">
        <v>223</v>
      </c>
      <c r="BV54" s="82" t="str">
        <f t="shared" si="8"/>
        <v>,A.`RCPT_DESCR_1` = B.`RCPT_DESCR_1`</v>
      </c>
      <c r="BW54" t="s">
        <v>223</v>
      </c>
      <c r="BX54" s="82" t="str">
        <f t="shared" si="9"/>
        <v>,`RCPT_DESCR_1`</v>
      </c>
      <c r="BY54" t="s">
        <v>223</v>
      </c>
      <c r="BZ54" s="82" t="str">
        <f t="shared" si="10"/>
        <v>,`RCPT_DESCR_1`</v>
      </c>
      <c r="CA54" t="s">
        <v>223</v>
      </c>
    </row>
    <row r="55" spans="1:79" ht="31.5">
      <c r="A55" s="84" t="s">
        <v>546</v>
      </c>
      <c r="B55" s="71">
        <v>9</v>
      </c>
      <c r="C55" s="72"/>
      <c r="D55" s="73" t="s">
        <v>289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5"/>
      <c r="R55" s="73" t="s">
        <v>383</v>
      </c>
      <c r="S55" s="74"/>
      <c r="T55" s="74"/>
      <c r="U55" s="74"/>
      <c r="V55" s="74"/>
      <c r="W55" s="74"/>
      <c r="X55" s="74"/>
      <c r="Y55" s="74"/>
      <c r="Z55" s="74"/>
      <c r="AA55" s="74"/>
      <c r="AB55" s="75"/>
      <c r="AC55" s="251" t="str" cm="1">
        <f t="array" ref="AC55">_xlfn.SWITCH(BM55,"String","varchar("&amp;BN55&amp;")","Long","int","Integer","smallint","Double","decimal(9,2)","Currency","int")</f>
        <v>varchar(20)</v>
      </c>
      <c r="AD55" s="252"/>
      <c r="AE55" s="252"/>
      <c r="AF55" s="252"/>
      <c r="AG55" s="253"/>
      <c r="AH55" s="73"/>
      <c r="AI55" s="75"/>
      <c r="AJ55" s="73"/>
      <c r="AK55" s="74"/>
      <c r="AL55" s="75"/>
      <c r="AM55" s="73"/>
      <c r="AN55" s="74"/>
      <c r="AO55" s="74"/>
      <c r="AP55" s="74"/>
      <c r="AQ55" s="74"/>
      <c r="AR55" s="74"/>
      <c r="AS55" s="75"/>
      <c r="AT55" s="269" t="s">
        <v>472</v>
      </c>
      <c r="AU55" s="270"/>
      <c r="AV55" s="270"/>
      <c r="AW55" s="270"/>
      <c r="AX55" s="270"/>
      <c r="AY55" s="270"/>
      <c r="AZ55" s="270"/>
      <c r="BA55" s="270"/>
      <c r="BB55" s="270"/>
      <c r="BC55" s="270"/>
      <c r="BD55" s="270"/>
      <c r="BE55" s="270"/>
      <c r="BF55" s="270"/>
      <c r="BG55" s="270"/>
      <c r="BH55" s="270"/>
      <c r="BI55" s="270"/>
      <c r="BJ55" s="271"/>
      <c r="BK55" s="4"/>
      <c r="BL55" s="127" t="str">
        <f t="shared" si="16"/>
        <v>a
b</v>
      </c>
      <c r="BM55" t="s">
        <v>449</v>
      </c>
      <c r="BN55">
        <v>20</v>
      </c>
      <c r="BP55" t="str">
        <f t="shared" si="5"/>
        <v>,`RCPT_DESCR_2` varchar(20)  COMMENT 'レシート記述名称２'</v>
      </c>
      <c r="BQ55" t="s">
        <v>223</v>
      </c>
      <c r="BR55" t="str">
        <f t="shared" si="6"/>
        <v xml:space="preserve">,`RCPT_DESCR_2` varchar(20) </v>
      </c>
      <c r="BS55" t="s">
        <v>223</v>
      </c>
      <c r="BT55" t="str">
        <f t="shared" si="7"/>
        <v>,`RCPT_DESCR_2`</v>
      </c>
      <c r="BU55" t="s">
        <v>223</v>
      </c>
      <c r="BV55" s="82" t="str">
        <f t="shared" si="8"/>
        <v>,A.`RCPT_DESCR_2` = B.`RCPT_DESCR_2`</v>
      </c>
      <c r="BW55" t="s">
        <v>223</v>
      </c>
      <c r="BX55" s="82" t="str">
        <f t="shared" si="9"/>
        <v>,`RCPT_DESCR_2`</v>
      </c>
      <c r="BY55" t="s">
        <v>223</v>
      </c>
      <c r="BZ55" s="82" t="str">
        <f t="shared" si="10"/>
        <v>,`RCPT_DESCR_2`</v>
      </c>
      <c r="CA55" t="s">
        <v>223</v>
      </c>
    </row>
    <row r="56" spans="1:79" ht="31.5">
      <c r="A56" s="84" t="s">
        <v>547</v>
      </c>
      <c r="B56" s="71">
        <v>9</v>
      </c>
      <c r="C56" s="72"/>
      <c r="D56" s="73" t="s">
        <v>290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5"/>
      <c r="R56" s="73" t="s">
        <v>384</v>
      </c>
      <c r="S56" s="74"/>
      <c r="T56" s="74"/>
      <c r="U56" s="74"/>
      <c r="V56" s="74"/>
      <c r="W56" s="74"/>
      <c r="X56" s="74"/>
      <c r="Y56" s="74"/>
      <c r="Z56" s="74"/>
      <c r="AA56" s="74"/>
      <c r="AB56" s="75"/>
      <c r="AC56" s="251" t="str" cm="1">
        <f t="array" ref="AC56">_xlfn.SWITCH(BM56,"String","varchar("&amp;BN56&amp;")","Long","int","Integer","smallint","Double","decimal(9,2)","Currency","int")</f>
        <v>varchar(20)</v>
      </c>
      <c r="AD56" s="252"/>
      <c r="AE56" s="252"/>
      <c r="AF56" s="252"/>
      <c r="AG56" s="253"/>
      <c r="AH56" s="73"/>
      <c r="AI56" s="75"/>
      <c r="AJ56" s="73"/>
      <c r="AK56" s="74"/>
      <c r="AL56" s="75"/>
      <c r="AM56" s="73"/>
      <c r="AN56" s="74"/>
      <c r="AO56" s="74"/>
      <c r="AP56" s="74"/>
      <c r="AQ56" s="74"/>
      <c r="AR56" s="74"/>
      <c r="AS56" s="75"/>
      <c r="AT56" s="269" t="s">
        <v>472</v>
      </c>
      <c r="AU56" s="270"/>
      <c r="AV56" s="270"/>
      <c r="AW56" s="270"/>
      <c r="AX56" s="270"/>
      <c r="AY56" s="270"/>
      <c r="AZ56" s="270"/>
      <c r="BA56" s="270"/>
      <c r="BB56" s="270"/>
      <c r="BC56" s="270"/>
      <c r="BD56" s="270"/>
      <c r="BE56" s="270"/>
      <c r="BF56" s="270"/>
      <c r="BG56" s="270"/>
      <c r="BH56" s="270"/>
      <c r="BI56" s="270"/>
      <c r="BJ56" s="271"/>
      <c r="BK56" s="4"/>
      <c r="BL56" s="127" t="str">
        <f t="shared" si="16"/>
        <v>a
b</v>
      </c>
      <c r="BM56" t="s">
        <v>449</v>
      </c>
      <c r="BN56">
        <v>20</v>
      </c>
      <c r="BP56" t="str">
        <f t="shared" si="5"/>
        <v>,`RCPT_DESCR_3` varchar(20)  COMMENT 'レシート記述名称３'</v>
      </c>
      <c r="BQ56" t="s">
        <v>223</v>
      </c>
      <c r="BR56" t="str">
        <f t="shared" si="6"/>
        <v xml:space="preserve">,`RCPT_DESCR_3` varchar(20) </v>
      </c>
      <c r="BS56" t="s">
        <v>223</v>
      </c>
      <c r="BT56" t="str">
        <f t="shared" si="7"/>
        <v>,`RCPT_DESCR_3`</v>
      </c>
      <c r="BU56" t="s">
        <v>223</v>
      </c>
      <c r="BV56" s="82" t="str">
        <f t="shared" si="8"/>
        <v>,A.`RCPT_DESCR_3` = B.`RCPT_DESCR_3`</v>
      </c>
      <c r="BW56" t="s">
        <v>223</v>
      </c>
      <c r="BX56" s="82" t="str">
        <f t="shared" si="9"/>
        <v>,`RCPT_DESCR_3`</v>
      </c>
      <c r="BY56" t="s">
        <v>223</v>
      </c>
      <c r="BZ56" s="82" t="str">
        <f t="shared" si="10"/>
        <v>,`RCPT_DESCR_3`</v>
      </c>
      <c r="CA56" t="s">
        <v>223</v>
      </c>
    </row>
    <row r="57" spans="1:79" ht="31.5">
      <c r="A57" s="84" t="s">
        <v>548</v>
      </c>
      <c r="B57" s="71">
        <v>9</v>
      </c>
      <c r="C57" s="72"/>
      <c r="D57" s="73" t="s">
        <v>291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3" t="s">
        <v>385</v>
      </c>
      <c r="S57" s="74"/>
      <c r="T57" s="74"/>
      <c r="U57" s="74"/>
      <c r="V57" s="74"/>
      <c r="W57" s="74"/>
      <c r="X57" s="74"/>
      <c r="Y57" s="74"/>
      <c r="Z57" s="74"/>
      <c r="AA57" s="74"/>
      <c r="AB57" s="75"/>
      <c r="AC57" s="251" t="str" cm="1">
        <f t="array" ref="AC57">_xlfn.SWITCH(BM57,"String","varchar("&amp;BN57&amp;")","Long","int","Integer","smallint","Double","decimal(9,2)","Currency","int")</f>
        <v>varchar(20)</v>
      </c>
      <c r="AD57" s="252"/>
      <c r="AE57" s="252"/>
      <c r="AF57" s="252"/>
      <c r="AG57" s="253"/>
      <c r="AH57" s="73"/>
      <c r="AI57" s="75"/>
      <c r="AJ57" s="73"/>
      <c r="AK57" s="74"/>
      <c r="AL57" s="75"/>
      <c r="AM57" s="73"/>
      <c r="AN57" s="74"/>
      <c r="AO57" s="74"/>
      <c r="AP57" s="74"/>
      <c r="AQ57" s="74"/>
      <c r="AR57" s="74"/>
      <c r="AS57" s="75"/>
      <c r="AT57" s="269" t="s">
        <v>472</v>
      </c>
      <c r="AU57" s="270"/>
      <c r="AV57" s="270"/>
      <c r="AW57" s="270"/>
      <c r="AX57" s="270"/>
      <c r="AY57" s="270"/>
      <c r="AZ57" s="270"/>
      <c r="BA57" s="270"/>
      <c r="BB57" s="270"/>
      <c r="BC57" s="270"/>
      <c r="BD57" s="270"/>
      <c r="BE57" s="270"/>
      <c r="BF57" s="270"/>
      <c r="BG57" s="270"/>
      <c r="BH57" s="270"/>
      <c r="BI57" s="270"/>
      <c r="BJ57" s="271"/>
      <c r="BK57" s="4"/>
      <c r="BL57" s="127" t="str">
        <f t="shared" si="16"/>
        <v>a
b</v>
      </c>
      <c r="BM57" t="s">
        <v>449</v>
      </c>
      <c r="BN57">
        <v>20</v>
      </c>
      <c r="BP57" t="str">
        <f t="shared" si="5"/>
        <v>,`RCPT_DESCR_4` varchar(20)  COMMENT 'レシート記述名称４'</v>
      </c>
      <c r="BQ57" t="s">
        <v>223</v>
      </c>
      <c r="BR57" t="str">
        <f t="shared" si="6"/>
        <v xml:space="preserve">,`RCPT_DESCR_4` varchar(20) </v>
      </c>
      <c r="BS57" t="s">
        <v>223</v>
      </c>
      <c r="BT57" t="str">
        <f t="shared" si="7"/>
        <v>,`RCPT_DESCR_4`</v>
      </c>
      <c r="BU57" t="s">
        <v>223</v>
      </c>
      <c r="BV57" s="82" t="str">
        <f t="shared" si="8"/>
        <v>,A.`RCPT_DESCR_4` = B.`RCPT_DESCR_4`</v>
      </c>
      <c r="BW57" t="s">
        <v>223</v>
      </c>
      <c r="BX57" s="82" t="str">
        <f t="shared" si="9"/>
        <v>,`RCPT_DESCR_4`</v>
      </c>
      <c r="BY57" t="s">
        <v>223</v>
      </c>
      <c r="BZ57" s="82" t="str">
        <f t="shared" si="10"/>
        <v>,`RCPT_DESCR_4`</v>
      </c>
      <c r="CA57" t="s">
        <v>223</v>
      </c>
    </row>
    <row r="58" spans="1:79" ht="31.5">
      <c r="A58" s="84" t="s">
        <v>549</v>
      </c>
      <c r="B58" s="71">
        <v>9</v>
      </c>
      <c r="C58" s="72"/>
      <c r="D58" s="73" t="s">
        <v>292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5"/>
      <c r="R58" s="73" t="s">
        <v>386</v>
      </c>
      <c r="S58" s="74"/>
      <c r="T58" s="74"/>
      <c r="U58" s="74"/>
      <c r="V58" s="74"/>
      <c r="W58" s="74"/>
      <c r="X58" s="74"/>
      <c r="Y58" s="74"/>
      <c r="Z58" s="74"/>
      <c r="AA58" s="74"/>
      <c r="AB58" s="75"/>
      <c r="AC58" s="251" t="str" cm="1">
        <f t="array" ref="AC58">_xlfn.SWITCH(BM58,"String","varchar("&amp;BN58&amp;")","Long","int","Integer","smallint","Double","decimal(9,2)","Currency","int")</f>
        <v>smallint</v>
      </c>
      <c r="AD58" s="252"/>
      <c r="AE58" s="252"/>
      <c r="AF58" s="252"/>
      <c r="AG58" s="253"/>
      <c r="AH58" s="73"/>
      <c r="AI58" s="75"/>
      <c r="AJ58" s="73"/>
      <c r="AK58" s="74"/>
      <c r="AL58" s="75"/>
      <c r="AM58" s="73"/>
      <c r="AN58" s="74"/>
      <c r="AO58" s="74"/>
      <c r="AP58" s="74"/>
      <c r="AQ58" s="74"/>
      <c r="AR58" s="74"/>
      <c r="AS58" s="75"/>
      <c r="AT58" s="269" t="s">
        <v>470</v>
      </c>
      <c r="AU58" s="270"/>
      <c r="AV58" s="270"/>
      <c r="AW58" s="270"/>
      <c r="AX58" s="270"/>
      <c r="AY58" s="270"/>
      <c r="AZ58" s="270"/>
      <c r="BA58" s="270"/>
      <c r="BB58" s="270"/>
      <c r="BC58" s="270"/>
      <c r="BD58" s="270"/>
      <c r="BE58" s="270"/>
      <c r="BF58" s="270"/>
      <c r="BG58" s="270"/>
      <c r="BH58" s="270"/>
      <c r="BI58" s="270"/>
      <c r="BJ58" s="271"/>
      <c r="BK58" s="4"/>
      <c r="BL58" s="127" t="str">
        <f t="shared" si="16"/>
        <v>a
b</v>
      </c>
      <c r="BM58" t="s">
        <v>451</v>
      </c>
      <c r="BP58" t="str">
        <f t="shared" si="5"/>
        <v>,`PRC_MTHD` smallint  COMMENT '価格算出方法'</v>
      </c>
      <c r="BQ58" t="s">
        <v>223</v>
      </c>
      <c r="BR58" t="str">
        <f t="shared" si="6"/>
        <v xml:space="preserve">,`PRC_MTHD` smallint </v>
      </c>
      <c r="BS58" t="s">
        <v>223</v>
      </c>
      <c r="BT58" t="str">
        <f t="shared" si="7"/>
        <v>,`PRC_MTHD`</v>
      </c>
      <c r="BU58" t="s">
        <v>223</v>
      </c>
      <c r="BV58" s="82" t="str">
        <f t="shared" si="8"/>
        <v>,A.`PRC_MTHD` = B.`PRC_MTHD`</v>
      </c>
      <c r="BW58" t="s">
        <v>223</v>
      </c>
      <c r="BX58" s="82" t="str">
        <f t="shared" si="9"/>
        <v>,`PRC_MTHD`</v>
      </c>
      <c r="BY58" t="s">
        <v>223</v>
      </c>
      <c r="BZ58" s="82" t="str">
        <f t="shared" si="10"/>
        <v>,`PRC_MTHD`</v>
      </c>
      <c r="CA58" t="s">
        <v>223</v>
      </c>
    </row>
    <row r="59" spans="1:79" ht="31.5">
      <c r="A59" s="84" t="s">
        <v>550</v>
      </c>
      <c r="B59" s="71">
        <v>9</v>
      </c>
      <c r="C59" s="72"/>
      <c r="D59" s="73" t="s">
        <v>293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5"/>
      <c r="R59" s="73" t="s">
        <v>387</v>
      </c>
      <c r="S59" s="74"/>
      <c r="T59" s="74"/>
      <c r="U59" s="74"/>
      <c r="V59" s="74"/>
      <c r="W59" s="74"/>
      <c r="X59" s="74"/>
      <c r="Y59" s="74"/>
      <c r="Z59" s="74"/>
      <c r="AA59" s="74"/>
      <c r="AB59" s="75"/>
      <c r="AC59" s="251" t="str" cm="1">
        <f t="array" ref="AC59">_xlfn.SWITCH(BM59,"String","varchar("&amp;BN59&amp;")","Long","int","Integer","smallint","Double","decimal(9,2)","Currency","int")</f>
        <v>decimal(9,2)</v>
      </c>
      <c r="AD59" s="252"/>
      <c r="AE59" s="252"/>
      <c r="AF59" s="252"/>
      <c r="AG59" s="253"/>
      <c r="AH59" s="73"/>
      <c r="AI59" s="75"/>
      <c r="AJ59" s="73"/>
      <c r="AK59" s="74"/>
      <c r="AL59" s="75"/>
      <c r="AM59" s="73"/>
      <c r="AN59" s="74"/>
      <c r="AO59" s="74"/>
      <c r="AP59" s="74"/>
      <c r="AQ59" s="74"/>
      <c r="AR59" s="74"/>
      <c r="AS59" s="75"/>
      <c r="AT59" s="269" t="s">
        <v>470</v>
      </c>
      <c r="AU59" s="270"/>
      <c r="AV59" s="270"/>
      <c r="AW59" s="270"/>
      <c r="AX59" s="270"/>
      <c r="AY59" s="270"/>
      <c r="AZ59" s="270"/>
      <c r="BA59" s="270"/>
      <c r="BB59" s="270"/>
      <c r="BC59" s="270"/>
      <c r="BD59" s="270"/>
      <c r="BE59" s="270"/>
      <c r="BF59" s="270"/>
      <c r="BG59" s="270"/>
      <c r="BH59" s="270"/>
      <c r="BI59" s="270"/>
      <c r="BJ59" s="271"/>
      <c r="BK59" s="4"/>
      <c r="BL59" s="127" t="str">
        <f t="shared" si="16"/>
        <v>a
b</v>
      </c>
      <c r="BM59" t="s">
        <v>452</v>
      </c>
      <c r="BP59" t="str">
        <f t="shared" si="5"/>
        <v>,`DEAL_QTY` decimal(9,2)  COMMENT '組合せ成立数量'</v>
      </c>
      <c r="BQ59" t="s">
        <v>223</v>
      </c>
      <c r="BR59" t="str">
        <f t="shared" si="6"/>
        <v xml:space="preserve">,`DEAL_QTY` decimal(9,2) </v>
      </c>
      <c r="BS59" t="s">
        <v>223</v>
      </c>
      <c r="BT59" t="str">
        <f t="shared" si="7"/>
        <v>,`DEAL_QTY`</v>
      </c>
      <c r="BU59" t="s">
        <v>223</v>
      </c>
      <c r="BV59" s="82" t="str">
        <f t="shared" si="8"/>
        <v>,A.`DEAL_QTY` = B.`DEAL_QTY`</v>
      </c>
      <c r="BW59" t="s">
        <v>223</v>
      </c>
      <c r="BX59" s="82" t="str">
        <f t="shared" si="9"/>
        <v>,`DEAL_QTY`</v>
      </c>
      <c r="BY59" t="s">
        <v>223</v>
      </c>
      <c r="BZ59" s="82" t="str">
        <f t="shared" si="10"/>
        <v>,`DEAL_QTY`</v>
      </c>
      <c r="CA59" t="s">
        <v>223</v>
      </c>
    </row>
    <row r="60" spans="1:79" ht="31.5">
      <c r="A60" s="84" t="s">
        <v>551</v>
      </c>
      <c r="B60" s="71">
        <v>9</v>
      </c>
      <c r="C60" s="72"/>
      <c r="D60" s="73" t="s">
        <v>294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/>
      <c r="R60" s="73" t="s">
        <v>388</v>
      </c>
      <c r="S60" s="74"/>
      <c r="T60" s="74"/>
      <c r="U60" s="74"/>
      <c r="V60" s="74"/>
      <c r="W60" s="74"/>
      <c r="X60" s="74"/>
      <c r="Y60" s="74"/>
      <c r="Z60" s="74"/>
      <c r="AA60" s="74"/>
      <c r="AB60" s="75"/>
      <c r="AC60" s="251" t="str" cm="1">
        <f t="array" ref="AC60">_xlfn.SWITCH(BM60,"String","varchar("&amp;BN60&amp;")","Long","int","Integer","smallint","Double","decimal(9,2)","Currency","int")</f>
        <v>int</v>
      </c>
      <c r="AD60" s="252"/>
      <c r="AE60" s="252"/>
      <c r="AF60" s="252"/>
      <c r="AG60" s="253"/>
      <c r="AH60" s="73"/>
      <c r="AI60" s="75"/>
      <c r="AJ60" s="73"/>
      <c r="AK60" s="74"/>
      <c r="AL60" s="75"/>
      <c r="AM60" s="73"/>
      <c r="AN60" s="74"/>
      <c r="AO60" s="74"/>
      <c r="AP60" s="74"/>
      <c r="AQ60" s="74"/>
      <c r="AR60" s="74"/>
      <c r="AS60" s="75"/>
      <c r="AT60" s="269" t="s">
        <v>470</v>
      </c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1"/>
      <c r="BK60" s="4"/>
      <c r="BL60" s="127" t="str">
        <f t="shared" si="16"/>
        <v>a
b</v>
      </c>
      <c r="BM60" t="s">
        <v>453</v>
      </c>
      <c r="BP60" t="str">
        <f t="shared" si="5"/>
        <v>,`DEAL_PRC` int  COMMENT '組合せ成立金額'</v>
      </c>
      <c r="BQ60" t="s">
        <v>223</v>
      </c>
      <c r="BR60" t="str">
        <f t="shared" si="6"/>
        <v xml:space="preserve">,`DEAL_PRC` int </v>
      </c>
      <c r="BS60" t="s">
        <v>223</v>
      </c>
      <c r="BT60" t="str">
        <f t="shared" si="7"/>
        <v>,`DEAL_PRC`</v>
      </c>
      <c r="BU60" t="s">
        <v>223</v>
      </c>
      <c r="BV60" s="82" t="str">
        <f t="shared" si="8"/>
        <v>,A.`DEAL_PRC` = B.`DEAL_PRC`</v>
      </c>
      <c r="BW60" t="s">
        <v>223</v>
      </c>
      <c r="BX60" s="82" t="str">
        <f t="shared" si="9"/>
        <v>,`DEAL_PRC`</v>
      </c>
      <c r="BY60" t="s">
        <v>223</v>
      </c>
      <c r="BZ60" s="82" t="str">
        <f t="shared" si="10"/>
        <v>,`DEAL_PRC`</v>
      </c>
      <c r="CA60" t="s">
        <v>223</v>
      </c>
    </row>
    <row r="61" spans="1:79" ht="31.5">
      <c r="A61" s="84" t="s">
        <v>552</v>
      </c>
      <c r="B61" s="23">
        <v>9</v>
      </c>
      <c r="C61" s="24"/>
      <c r="D61" s="22" t="s">
        <v>295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389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51" t="str" cm="1">
        <f t="array" ref="AC61">_xlfn.SWITCH(BM61,"String","varchar("&amp;BN61&amp;")","Long","int","Integer","smallint","Double","decimal(9,2)","Currency","int")</f>
        <v>smallint</v>
      </c>
      <c r="AD61" s="252"/>
      <c r="AE61" s="252"/>
      <c r="AF61" s="252"/>
      <c r="AG61" s="253"/>
      <c r="AH61" s="22"/>
      <c r="AI61" s="26"/>
      <c r="AJ61" s="22"/>
      <c r="AK61" s="25"/>
      <c r="AL61" s="26"/>
      <c r="AM61" s="22"/>
      <c r="AN61" s="25"/>
      <c r="AO61" s="25"/>
      <c r="AP61" s="25"/>
      <c r="AQ61" s="25"/>
      <c r="AR61" s="25"/>
      <c r="AS61" s="26"/>
      <c r="AT61" s="279" t="s">
        <v>473</v>
      </c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1"/>
      <c r="BK61" s="4"/>
      <c r="BL61" s="127" t="str">
        <f t="shared" si="16"/>
        <v>a
b</v>
      </c>
      <c r="BM61" t="s">
        <v>451</v>
      </c>
      <c r="BP61" t="str">
        <f t="shared" si="5"/>
        <v>,`PRC_RQRD_FG` smallint  COMMENT 'オペレータによる金額入力'</v>
      </c>
      <c r="BQ61" t="s">
        <v>223</v>
      </c>
      <c r="BR61" t="str">
        <f t="shared" si="6"/>
        <v xml:space="preserve">,`PRC_RQRD_FG` smallint </v>
      </c>
      <c r="BS61" t="s">
        <v>223</v>
      </c>
      <c r="BT61" t="str">
        <f t="shared" si="7"/>
        <v>,`PRC_RQRD_FG`</v>
      </c>
      <c r="BU61" t="s">
        <v>223</v>
      </c>
      <c r="BV61" s="82" t="str">
        <f t="shared" si="8"/>
        <v>,A.`PRC_RQRD_FG` = B.`PRC_RQRD_FG`</v>
      </c>
      <c r="BW61" t="s">
        <v>223</v>
      </c>
      <c r="BX61" s="82" t="str">
        <f t="shared" si="9"/>
        <v>,`PRC_RQRD_FG`</v>
      </c>
      <c r="BY61" t="s">
        <v>223</v>
      </c>
      <c r="BZ61" s="82" t="str">
        <f t="shared" si="10"/>
        <v>,`PRC_RQRD_FG`</v>
      </c>
      <c r="CA61" t="s">
        <v>223</v>
      </c>
    </row>
    <row r="62" spans="1:79" ht="31.5">
      <c r="A62" s="84" t="s">
        <v>553</v>
      </c>
      <c r="B62" s="23">
        <v>9</v>
      </c>
      <c r="C62" s="24"/>
      <c r="D62" s="22" t="s">
        <v>296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390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51" t="str" cm="1">
        <f t="array" ref="AC62">_xlfn.SWITCH(BM62,"String","varchar("&amp;BN62&amp;")","Long","int","Integer","smallint","Double","decimal(9,2)","Currency","int")</f>
        <v>int</v>
      </c>
      <c r="AD62" s="252"/>
      <c r="AE62" s="252"/>
      <c r="AF62" s="252"/>
      <c r="AG62" s="253"/>
      <c r="AH62" s="22"/>
      <c r="AI62" s="26"/>
      <c r="AJ62" s="22"/>
      <c r="AK62" s="25"/>
      <c r="AL62" s="26"/>
      <c r="AM62" s="22"/>
      <c r="AN62" s="25"/>
      <c r="AO62" s="25"/>
      <c r="AP62" s="25"/>
      <c r="AQ62" s="25"/>
      <c r="AR62" s="25"/>
      <c r="AS62" s="26"/>
      <c r="AT62" s="279" t="s">
        <v>474</v>
      </c>
      <c r="AU62" s="280"/>
      <c r="AV62" s="280"/>
      <c r="AW62" s="280"/>
      <c r="AX62" s="280"/>
      <c r="AY62" s="280"/>
      <c r="AZ62" s="280"/>
      <c r="BA62" s="280"/>
      <c r="BB62" s="280"/>
      <c r="BC62" s="280"/>
      <c r="BD62" s="280"/>
      <c r="BE62" s="280"/>
      <c r="BF62" s="280"/>
      <c r="BG62" s="280"/>
      <c r="BH62" s="280"/>
      <c r="BI62" s="280"/>
      <c r="BJ62" s="281"/>
      <c r="BK62" s="4"/>
      <c r="BL62" s="127" t="str">
        <f t="shared" si="16"/>
        <v>a
b</v>
      </c>
      <c r="BM62" t="s">
        <v>453</v>
      </c>
      <c r="BP62" t="str">
        <f t="shared" si="5"/>
        <v>,`UNT_PRC` int  COMMENT '販売単位価格'</v>
      </c>
      <c r="BQ62" t="s">
        <v>223</v>
      </c>
      <c r="BR62" t="str">
        <f t="shared" si="6"/>
        <v xml:space="preserve">,`UNT_PRC` int </v>
      </c>
      <c r="BS62" t="s">
        <v>223</v>
      </c>
      <c r="BT62" t="str">
        <f t="shared" si="7"/>
        <v>,`UNT_PRC`</v>
      </c>
      <c r="BU62" t="s">
        <v>223</v>
      </c>
      <c r="BV62" s="82" t="str">
        <f t="shared" si="8"/>
        <v>,A.`UNT_PRC` = B.`UNT_PRC`</v>
      </c>
      <c r="BW62" t="s">
        <v>223</v>
      </c>
      <c r="BX62" s="82" t="str">
        <f t="shared" si="9"/>
        <v>,`UNT_PRC`</v>
      </c>
      <c r="BY62" t="s">
        <v>223</v>
      </c>
      <c r="BZ62" s="82" t="str">
        <f t="shared" si="10"/>
        <v>,`UNT_PRC`</v>
      </c>
      <c r="CA62" t="s">
        <v>223</v>
      </c>
    </row>
    <row r="63" spans="1:79" ht="31.5">
      <c r="A63" s="84" t="s">
        <v>554</v>
      </c>
      <c r="B63" s="23">
        <v>9</v>
      </c>
      <c r="C63" s="24"/>
      <c r="D63" s="22" t="s">
        <v>297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391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1" t="str" cm="1">
        <f t="array" ref="AC63">_xlfn.SWITCH(BM63,"String","varchar("&amp;BN63&amp;")","Long","int","Integer","smallint","Double","decimal(9,2)","Currency","int")</f>
        <v>int</v>
      </c>
      <c r="AD63" s="252"/>
      <c r="AE63" s="252"/>
      <c r="AF63" s="252"/>
      <c r="AG63" s="253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79" t="s">
        <v>475</v>
      </c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1"/>
      <c r="BK63" s="4"/>
      <c r="BL63" s="127" t="str">
        <f t="shared" si="16"/>
        <v>a
b</v>
      </c>
      <c r="BM63" t="s">
        <v>453</v>
      </c>
      <c r="BP63" t="str">
        <f t="shared" si="5"/>
        <v>,`RTN_PRC` int  COMMENT '返品価格'</v>
      </c>
      <c r="BQ63" t="s">
        <v>223</v>
      </c>
      <c r="BR63" t="str">
        <f t="shared" si="6"/>
        <v xml:space="preserve">,`RTN_PRC` int </v>
      </c>
      <c r="BS63" t="s">
        <v>223</v>
      </c>
      <c r="BT63" t="str">
        <f t="shared" si="7"/>
        <v>,`RTN_PRC`</v>
      </c>
      <c r="BU63" t="s">
        <v>223</v>
      </c>
      <c r="BV63" s="82" t="str">
        <f t="shared" si="8"/>
        <v>,A.`RTN_PRC` = B.`RTN_PRC`</v>
      </c>
      <c r="BW63" t="s">
        <v>223</v>
      </c>
      <c r="BX63" s="82" t="str">
        <f t="shared" si="9"/>
        <v>,`RTN_PRC`</v>
      </c>
      <c r="BY63" t="s">
        <v>223</v>
      </c>
      <c r="BZ63" s="82" t="str">
        <f t="shared" si="10"/>
        <v>,`RTN_PRC`</v>
      </c>
      <c r="CA63" t="s">
        <v>223</v>
      </c>
    </row>
    <row r="64" spans="1:79" ht="31.5">
      <c r="A64" s="84" t="s">
        <v>555</v>
      </c>
      <c r="B64" s="71">
        <v>9</v>
      </c>
      <c r="C64" s="72"/>
      <c r="D64" s="73" t="s">
        <v>298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3" t="s">
        <v>392</v>
      </c>
      <c r="S64" s="74"/>
      <c r="T64" s="74"/>
      <c r="U64" s="74"/>
      <c r="V64" s="74"/>
      <c r="W64" s="74"/>
      <c r="X64" s="74"/>
      <c r="Y64" s="74"/>
      <c r="Z64" s="74"/>
      <c r="AA64" s="74"/>
      <c r="AB64" s="75"/>
      <c r="AC64" s="251" t="str" cm="1">
        <f t="array" ref="AC64">_xlfn.SWITCH(BM64,"String","varchar("&amp;BN64&amp;")","Long","int","Integer","smallint","Double","decimal(9,2)","Currency","int")</f>
        <v>smallint</v>
      </c>
      <c r="AD64" s="252"/>
      <c r="AE64" s="252"/>
      <c r="AF64" s="252"/>
      <c r="AG64" s="253"/>
      <c r="AH64" s="73"/>
      <c r="AI64" s="75"/>
      <c r="AJ64" s="73"/>
      <c r="AK64" s="74"/>
      <c r="AL64" s="75"/>
      <c r="AM64" s="73"/>
      <c r="AN64" s="74"/>
      <c r="AO64" s="74"/>
      <c r="AP64" s="74"/>
      <c r="AQ64" s="74"/>
      <c r="AR64" s="74"/>
      <c r="AS64" s="75"/>
      <c r="AT64" s="269" t="s">
        <v>470</v>
      </c>
      <c r="AU64" s="270"/>
      <c r="AV64" s="270"/>
      <c r="AW64" s="270"/>
      <c r="AX64" s="270"/>
      <c r="AY64" s="270"/>
      <c r="AZ64" s="270"/>
      <c r="BA64" s="270"/>
      <c r="BB64" s="270"/>
      <c r="BC64" s="270"/>
      <c r="BD64" s="270"/>
      <c r="BE64" s="270"/>
      <c r="BF64" s="270"/>
      <c r="BG64" s="270"/>
      <c r="BH64" s="270"/>
      <c r="BI64" s="270"/>
      <c r="BJ64" s="271"/>
      <c r="BK64" s="4"/>
      <c r="BL64" s="127" t="str">
        <f t="shared" si="16"/>
        <v>a
b</v>
      </c>
      <c r="BM64" t="s">
        <v>451</v>
      </c>
      <c r="BP64" t="str">
        <f t="shared" ref="BP64:BP85" si="17">",`"&amp;R64&amp;"` "&amp;AC64&amp;" "&amp;IF(AJ64="Y","NOT NULL","")&amp;" COMMENT '"&amp;D64&amp;"'"</f>
        <v>,`PRC_GRP_ID` smallint  COMMENT '価格グループ'</v>
      </c>
      <c r="BQ64" t="s">
        <v>223</v>
      </c>
      <c r="BR64" t="str">
        <f t="shared" ref="BR64:BR85" si="18">",`"&amp;R64&amp;"` "&amp;AC64&amp;" "&amp;IF(AJ64="Y","NOT NULL","")</f>
        <v xml:space="preserve">,`PRC_GRP_ID` smallint </v>
      </c>
      <c r="BS64" t="s">
        <v>223</v>
      </c>
      <c r="BT64" t="str">
        <f t="shared" si="7"/>
        <v>,`PRC_GRP_ID`</v>
      </c>
      <c r="BU64" t="s">
        <v>223</v>
      </c>
      <c r="BV64" s="82" t="str">
        <f t="shared" ref="BV64:BV85" si="19">",A.`"&amp;R64&amp;"` = B.`"&amp;R64&amp;"`"</f>
        <v>,A.`PRC_GRP_ID` = B.`PRC_GRP_ID`</v>
      </c>
      <c r="BW64" t="s">
        <v>223</v>
      </c>
      <c r="BX64" s="82" t="str">
        <f t="shared" ref="BX64:BX85" si="20">",`"&amp;R64&amp;"`"</f>
        <v>,`PRC_GRP_ID`</v>
      </c>
      <c r="BY64" t="s">
        <v>223</v>
      </c>
      <c r="BZ64" s="82" t="str">
        <f t="shared" ref="BZ64:BZ85" si="21">",`"&amp;R64&amp;"`"</f>
        <v>,`PRC_GRP_ID`</v>
      </c>
      <c r="CA64" t="s">
        <v>223</v>
      </c>
    </row>
    <row r="65" spans="1:79" ht="31.5">
      <c r="A65" s="84" t="s">
        <v>556</v>
      </c>
      <c r="B65" s="71">
        <v>9</v>
      </c>
      <c r="C65" s="72"/>
      <c r="D65" s="73" t="s">
        <v>299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3" t="s">
        <v>393</v>
      </c>
      <c r="S65" s="74"/>
      <c r="T65" s="74"/>
      <c r="U65" s="74"/>
      <c r="V65" s="74"/>
      <c r="W65" s="74"/>
      <c r="X65" s="74"/>
      <c r="Y65" s="74"/>
      <c r="Z65" s="74"/>
      <c r="AA65" s="74"/>
      <c r="AB65" s="75"/>
      <c r="AC65" s="251" t="str" cm="1">
        <f t="array" ref="AC65">_xlfn.SWITCH(BM65,"String","varchar("&amp;BN65&amp;")","Long","int","Integer","smallint","Double","decimal(9,2)","Currency","int")</f>
        <v>varchar(12)</v>
      </c>
      <c r="AD65" s="252"/>
      <c r="AE65" s="252"/>
      <c r="AF65" s="252"/>
      <c r="AG65" s="253"/>
      <c r="AH65" s="73"/>
      <c r="AI65" s="75"/>
      <c r="AJ65" s="73"/>
      <c r="AK65" s="74"/>
      <c r="AL65" s="75"/>
      <c r="AM65" s="73"/>
      <c r="AN65" s="74"/>
      <c r="AO65" s="74"/>
      <c r="AP65" s="74"/>
      <c r="AQ65" s="74"/>
      <c r="AR65" s="74"/>
      <c r="AS65" s="75"/>
      <c r="AT65" s="269" t="s">
        <v>472</v>
      </c>
      <c r="AU65" s="270"/>
      <c r="AV65" s="270"/>
      <c r="AW65" s="270"/>
      <c r="AX65" s="270"/>
      <c r="AY65" s="270"/>
      <c r="AZ65" s="270"/>
      <c r="BA65" s="270"/>
      <c r="BB65" s="270"/>
      <c r="BC65" s="270"/>
      <c r="BD65" s="270"/>
      <c r="BE65" s="270"/>
      <c r="BF65" s="270"/>
      <c r="BG65" s="270"/>
      <c r="BH65" s="270"/>
      <c r="BI65" s="270"/>
      <c r="BJ65" s="271"/>
      <c r="BK65" s="4"/>
      <c r="BL65" s="127" t="str">
        <f t="shared" si="16"/>
        <v>a
b</v>
      </c>
      <c r="BM65" t="s">
        <v>449</v>
      </c>
      <c r="BN65">
        <v>12</v>
      </c>
      <c r="BP65" t="str">
        <f t="shared" si="17"/>
        <v>,`EVENT_ID` varchar(12)  COMMENT '企画番号'</v>
      </c>
      <c r="BQ65" t="s">
        <v>223</v>
      </c>
      <c r="BR65" t="str">
        <f t="shared" si="18"/>
        <v xml:space="preserve">,`EVENT_ID` varchar(12) </v>
      </c>
      <c r="BS65" t="s">
        <v>223</v>
      </c>
      <c r="BT65" t="str">
        <f t="shared" si="7"/>
        <v>,`EVENT_ID`</v>
      </c>
      <c r="BU65" t="s">
        <v>223</v>
      </c>
      <c r="BV65" s="82" t="str">
        <f t="shared" si="19"/>
        <v>,A.`EVENT_ID` = B.`EVENT_ID`</v>
      </c>
      <c r="BW65" t="s">
        <v>223</v>
      </c>
      <c r="BX65" s="82" t="str">
        <f t="shared" si="20"/>
        <v>,`EVENT_ID`</v>
      </c>
      <c r="BY65" t="s">
        <v>223</v>
      </c>
      <c r="BZ65" s="82" t="str">
        <f t="shared" si="21"/>
        <v>,`EVENT_ID`</v>
      </c>
      <c r="CA65" t="s">
        <v>223</v>
      </c>
    </row>
    <row r="66" spans="1:79" ht="31.5">
      <c r="A66" s="84" t="s">
        <v>557</v>
      </c>
      <c r="B66" s="23">
        <v>9</v>
      </c>
      <c r="C66" s="24"/>
      <c r="D66" s="22" t="s">
        <v>300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2" t="s">
        <v>394</v>
      </c>
      <c r="S66" s="25"/>
      <c r="T66" s="25"/>
      <c r="U66" s="25"/>
      <c r="V66" s="25"/>
      <c r="W66" s="25"/>
      <c r="X66" s="25"/>
      <c r="Y66" s="25"/>
      <c r="Z66" s="25"/>
      <c r="AA66" s="25"/>
      <c r="AB66" s="26"/>
      <c r="AC66" s="257" t="str" cm="1">
        <f t="array" ref="AC66">_xlfn.SWITCH(BM66,"String","varchar("&amp;BN66&amp;")","Long","int","Integer","smallint","Double","decimal(9,2)","Currency","int")</f>
        <v>varchar(12)</v>
      </c>
      <c r="AD66" s="258"/>
      <c r="AE66" s="258"/>
      <c r="AF66" s="258"/>
      <c r="AG66" s="259"/>
      <c r="AH66" s="22"/>
      <c r="AI66" s="26"/>
      <c r="AJ66" s="22"/>
      <c r="AK66" s="25"/>
      <c r="AL66" s="26"/>
      <c r="AM66" s="22"/>
      <c r="AN66" s="25"/>
      <c r="AO66" s="25"/>
      <c r="AP66" s="25"/>
      <c r="AQ66" s="25"/>
      <c r="AR66" s="25"/>
      <c r="AS66" s="26"/>
      <c r="AT66" s="279" t="s">
        <v>476</v>
      </c>
      <c r="AU66" s="280"/>
      <c r="AV66" s="280"/>
      <c r="AW66" s="280"/>
      <c r="AX66" s="280"/>
      <c r="AY66" s="280"/>
      <c r="AZ66" s="280"/>
      <c r="BA66" s="280"/>
      <c r="BB66" s="280"/>
      <c r="BC66" s="280"/>
      <c r="BD66" s="280"/>
      <c r="BE66" s="280"/>
      <c r="BF66" s="280"/>
      <c r="BG66" s="280"/>
      <c r="BH66" s="280"/>
      <c r="BI66" s="280"/>
      <c r="BJ66" s="281"/>
      <c r="BK66" s="4"/>
      <c r="BL66" s="127" t="str">
        <f t="shared" si="16"/>
        <v>a
b</v>
      </c>
      <c r="BM66" t="s">
        <v>449</v>
      </c>
      <c r="BN66">
        <v>12</v>
      </c>
      <c r="BP66" t="str">
        <f t="shared" si="17"/>
        <v>,`MDSE_STRC_NBR1` varchar(12)  COMMENT '業態'</v>
      </c>
      <c r="BQ66" t="s">
        <v>223</v>
      </c>
      <c r="BR66" t="str">
        <f t="shared" si="18"/>
        <v xml:space="preserve">,`MDSE_STRC_NBR1` varchar(12) </v>
      </c>
      <c r="BS66" t="s">
        <v>223</v>
      </c>
      <c r="BT66" t="str">
        <f t="shared" si="7"/>
        <v>,`MDSE_STRC_NBR1`</v>
      </c>
      <c r="BU66" t="s">
        <v>223</v>
      </c>
      <c r="BV66" s="82" t="str">
        <f t="shared" si="19"/>
        <v>,A.`MDSE_STRC_NBR1` = B.`MDSE_STRC_NBR1`</v>
      </c>
      <c r="BW66" t="s">
        <v>223</v>
      </c>
      <c r="BX66" s="82" t="str">
        <f t="shared" si="20"/>
        <v>,`MDSE_STRC_NBR1`</v>
      </c>
      <c r="BY66" t="s">
        <v>223</v>
      </c>
      <c r="BZ66" s="82" t="str">
        <f t="shared" si="21"/>
        <v>,`MDSE_STRC_NBR1`</v>
      </c>
      <c r="CA66" t="s">
        <v>223</v>
      </c>
    </row>
    <row r="67" spans="1:79" ht="31.5">
      <c r="A67" s="84" t="s">
        <v>558</v>
      </c>
      <c r="B67" s="23">
        <v>9</v>
      </c>
      <c r="C67" s="24"/>
      <c r="D67" s="22" t="s">
        <v>301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  <c r="R67" s="22" t="s">
        <v>395</v>
      </c>
      <c r="S67" s="25"/>
      <c r="T67" s="25"/>
      <c r="U67" s="25"/>
      <c r="V67" s="25"/>
      <c r="W67" s="25"/>
      <c r="X67" s="25"/>
      <c r="Y67" s="25"/>
      <c r="Z67" s="25"/>
      <c r="AA67" s="25"/>
      <c r="AB67" s="26"/>
      <c r="AC67" s="257" t="str" cm="1">
        <f t="array" ref="AC67">_xlfn.SWITCH(BM67,"String","varchar("&amp;BN67&amp;")","Long","int","Integer","smallint","Double","decimal(9,2)","Currency","int")</f>
        <v>varchar(12)</v>
      </c>
      <c r="AD67" s="258"/>
      <c r="AE67" s="258"/>
      <c r="AF67" s="258"/>
      <c r="AG67" s="259"/>
      <c r="AH67" s="22"/>
      <c r="AI67" s="26"/>
      <c r="AJ67" s="22"/>
      <c r="AK67" s="25"/>
      <c r="AL67" s="26"/>
      <c r="AM67" s="22"/>
      <c r="AN67" s="25"/>
      <c r="AO67" s="25"/>
      <c r="AP67" s="25"/>
      <c r="AQ67" s="25"/>
      <c r="AR67" s="25"/>
      <c r="AS67" s="26"/>
      <c r="AT67" s="279" t="s">
        <v>477</v>
      </c>
      <c r="AU67" s="280"/>
      <c r="AV67" s="280"/>
      <c r="AW67" s="280"/>
      <c r="AX67" s="280"/>
      <c r="AY67" s="280"/>
      <c r="AZ67" s="280"/>
      <c r="BA67" s="280"/>
      <c r="BB67" s="280"/>
      <c r="BC67" s="280"/>
      <c r="BD67" s="280"/>
      <c r="BE67" s="280"/>
      <c r="BF67" s="280"/>
      <c r="BG67" s="280"/>
      <c r="BH67" s="280"/>
      <c r="BI67" s="280"/>
      <c r="BJ67" s="281"/>
      <c r="BK67" s="4"/>
      <c r="BL67" s="127" t="str">
        <f t="shared" si="16"/>
        <v>a
b</v>
      </c>
      <c r="BM67" t="s">
        <v>449</v>
      </c>
      <c r="BN67">
        <v>12</v>
      </c>
      <c r="BP67" t="str">
        <f t="shared" si="17"/>
        <v>,`MDSE_STRC_NBR2` varchar(12)  COMMENT 'グループ'</v>
      </c>
      <c r="BQ67" t="s">
        <v>223</v>
      </c>
      <c r="BR67" t="str">
        <f t="shared" si="18"/>
        <v xml:space="preserve">,`MDSE_STRC_NBR2` varchar(12) </v>
      </c>
      <c r="BS67" t="s">
        <v>223</v>
      </c>
      <c r="BT67" t="str">
        <f t="shared" si="7"/>
        <v>,`MDSE_STRC_NBR2`</v>
      </c>
      <c r="BU67" t="s">
        <v>223</v>
      </c>
      <c r="BV67" s="82" t="str">
        <f t="shared" si="19"/>
        <v>,A.`MDSE_STRC_NBR2` = B.`MDSE_STRC_NBR2`</v>
      </c>
      <c r="BW67" t="s">
        <v>223</v>
      </c>
      <c r="BX67" s="82" t="str">
        <f t="shared" si="20"/>
        <v>,`MDSE_STRC_NBR2`</v>
      </c>
      <c r="BY67" t="s">
        <v>223</v>
      </c>
      <c r="BZ67" s="82" t="str">
        <f t="shared" si="21"/>
        <v>,`MDSE_STRC_NBR2`</v>
      </c>
      <c r="CA67" t="s">
        <v>223</v>
      </c>
    </row>
    <row r="68" spans="1:79" ht="31.5">
      <c r="A68" s="84" t="s">
        <v>559</v>
      </c>
      <c r="B68" s="23">
        <v>9</v>
      </c>
      <c r="C68" s="24"/>
      <c r="D68" s="22" t="s">
        <v>302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2" t="s">
        <v>396</v>
      </c>
      <c r="S68" s="25"/>
      <c r="T68" s="25"/>
      <c r="U68" s="25"/>
      <c r="V68" s="25"/>
      <c r="W68" s="25"/>
      <c r="X68" s="25"/>
      <c r="Y68" s="25"/>
      <c r="Z68" s="25"/>
      <c r="AA68" s="25"/>
      <c r="AB68" s="26"/>
      <c r="AC68" s="257" t="str" cm="1">
        <f t="array" ref="AC68">_xlfn.SWITCH(BM68,"String","varchar("&amp;BN68&amp;")","Long","int","Integer","smallint","Double","decimal(9,2)","Currency","int")</f>
        <v>varchar(12)</v>
      </c>
      <c r="AD68" s="258"/>
      <c r="AE68" s="258"/>
      <c r="AF68" s="258"/>
      <c r="AG68" s="259"/>
      <c r="AH68" s="22"/>
      <c r="AI68" s="26"/>
      <c r="AJ68" s="22"/>
      <c r="AK68" s="25"/>
      <c r="AL68" s="26"/>
      <c r="AM68" s="22"/>
      <c r="AN68" s="25"/>
      <c r="AO68" s="25"/>
      <c r="AP68" s="25"/>
      <c r="AQ68" s="25"/>
      <c r="AR68" s="25"/>
      <c r="AS68" s="26"/>
      <c r="AT68" s="279" t="s">
        <v>477</v>
      </c>
      <c r="AU68" s="280"/>
      <c r="AV68" s="280"/>
      <c r="AW68" s="280"/>
      <c r="AX68" s="280"/>
      <c r="AY68" s="280"/>
      <c r="AZ68" s="280"/>
      <c r="BA68" s="280"/>
      <c r="BB68" s="280"/>
      <c r="BC68" s="280"/>
      <c r="BD68" s="280"/>
      <c r="BE68" s="280"/>
      <c r="BF68" s="280"/>
      <c r="BG68" s="280"/>
      <c r="BH68" s="280"/>
      <c r="BI68" s="280"/>
      <c r="BJ68" s="281"/>
      <c r="BK68" s="4"/>
      <c r="BL68" s="127" t="str">
        <f t="shared" si="16"/>
        <v>a
b</v>
      </c>
      <c r="BM68" t="s">
        <v>449</v>
      </c>
      <c r="BN68">
        <v>12</v>
      </c>
      <c r="BP68" t="str">
        <f t="shared" si="17"/>
        <v>,`MDSE_STRC_NBR3` varchar(12)  COMMENT '部門'</v>
      </c>
      <c r="BQ68" t="s">
        <v>223</v>
      </c>
      <c r="BR68" t="str">
        <f t="shared" si="18"/>
        <v xml:space="preserve">,`MDSE_STRC_NBR3` varchar(12) </v>
      </c>
      <c r="BS68" t="s">
        <v>223</v>
      </c>
      <c r="BT68" t="str">
        <f t="shared" si="7"/>
        <v>,`MDSE_STRC_NBR3`</v>
      </c>
      <c r="BU68" t="s">
        <v>223</v>
      </c>
      <c r="BV68" s="82" t="str">
        <f t="shared" si="19"/>
        <v>,A.`MDSE_STRC_NBR3` = B.`MDSE_STRC_NBR3`</v>
      </c>
      <c r="BW68" t="s">
        <v>223</v>
      </c>
      <c r="BX68" s="82" t="str">
        <f t="shared" si="20"/>
        <v>,`MDSE_STRC_NBR3`</v>
      </c>
      <c r="BY68" t="s">
        <v>223</v>
      </c>
      <c r="BZ68" s="82" t="str">
        <f t="shared" si="21"/>
        <v>,`MDSE_STRC_NBR3`</v>
      </c>
      <c r="CA68" t="s">
        <v>223</v>
      </c>
    </row>
    <row r="69" spans="1:79" ht="31.5">
      <c r="A69" s="84" t="s">
        <v>560</v>
      </c>
      <c r="B69" s="23">
        <v>9</v>
      </c>
      <c r="C69" s="24"/>
      <c r="D69" s="22" t="s">
        <v>303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6"/>
      <c r="R69" s="22" t="s">
        <v>397</v>
      </c>
      <c r="S69" s="25"/>
      <c r="T69" s="25"/>
      <c r="U69" s="25"/>
      <c r="V69" s="25"/>
      <c r="W69" s="25"/>
      <c r="X69" s="25"/>
      <c r="Y69" s="25"/>
      <c r="Z69" s="25"/>
      <c r="AA69" s="25"/>
      <c r="AB69" s="26"/>
      <c r="AC69" s="257" t="str" cm="1">
        <f t="array" ref="AC69">_xlfn.SWITCH(BM69,"String","varchar("&amp;BN69&amp;")","Long","int","Integer","smallint","Double","decimal(9,2)","Currency","int")</f>
        <v>varchar(12)</v>
      </c>
      <c r="AD69" s="258"/>
      <c r="AE69" s="258"/>
      <c r="AF69" s="258"/>
      <c r="AG69" s="259"/>
      <c r="AH69" s="22"/>
      <c r="AI69" s="26"/>
      <c r="AJ69" s="22"/>
      <c r="AK69" s="25"/>
      <c r="AL69" s="26"/>
      <c r="AM69" s="22"/>
      <c r="AN69" s="25"/>
      <c r="AO69" s="25"/>
      <c r="AP69" s="25"/>
      <c r="AQ69" s="25"/>
      <c r="AR69" s="25"/>
      <c r="AS69" s="26"/>
      <c r="AT69" s="279" t="s">
        <v>477</v>
      </c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1"/>
      <c r="BK69" s="4"/>
      <c r="BL69" s="127" t="str">
        <f t="shared" si="16"/>
        <v>a
b</v>
      </c>
      <c r="BM69" t="s">
        <v>449</v>
      </c>
      <c r="BN69">
        <v>12</v>
      </c>
      <c r="BP69" t="str">
        <f t="shared" si="17"/>
        <v>,`MDSE_STRC_NBR4` varchar(12)  COMMENT 'クラス'</v>
      </c>
      <c r="BQ69" t="s">
        <v>223</v>
      </c>
      <c r="BR69" t="str">
        <f t="shared" si="18"/>
        <v xml:space="preserve">,`MDSE_STRC_NBR4` varchar(12) </v>
      </c>
      <c r="BS69" t="s">
        <v>223</v>
      </c>
      <c r="BT69" t="str">
        <f t="shared" si="7"/>
        <v>,`MDSE_STRC_NBR4`</v>
      </c>
      <c r="BU69" t="s">
        <v>223</v>
      </c>
      <c r="BV69" s="82" t="str">
        <f t="shared" si="19"/>
        <v>,A.`MDSE_STRC_NBR4` = B.`MDSE_STRC_NBR4`</v>
      </c>
      <c r="BW69" t="s">
        <v>223</v>
      </c>
      <c r="BX69" s="82" t="str">
        <f t="shared" si="20"/>
        <v>,`MDSE_STRC_NBR4`</v>
      </c>
      <c r="BY69" t="s">
        <v>223</v>
      </c>
      <c r="BZ69" s="82" t="str">
        <f t="shared" si="21"/>
        <v>,`MDSE_STRC_NBR4`</v>
      </c>
      <c r="CA69" t="s">
        <v>223</v>
      </c>
    </row>
    <row r="70" spans="1:79" ht="31.5">
      <c r="A70" s="84" t="s">
        <v>561</v>
      </c>
      <c r="B70" s="23">
        <v>9</v>
      </c>
      <c r="C70" s="24"/>
      <c r="D70" s="22" t="s">
        <v>304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  <c r="R70" s="22" t="s">
        <v>398</v>
      </c>
      <c r="S70" s="25"/>
      <c r="T70" s="25"/>
      <c r="U70" s="25"/>
      <c r="V70" s="25"/>
      <c r="W70" s="25"/>
      <c r="X70" s="25"/>
      <c r="Y70" s="25"/>
      <c r="Z70" s="25"/>
      <c r="AA70" s="25"/>
      <c r="AB70" s="26"/>
      <c r="AC70" s="257" t="str" cm="1">
        <f t="array" ref="AC70">_xlfn.SWITCH(BM70,"String","varchar("&amp;BN70&amp;")","Long","int","Integer","smallint","Double","decimal(9,2)","Currency","int")</f>
        <v>varchar(12)</v>
      </c>
      <c r="AD70" s="258"/>
      <c r="AE70" s="258"/>
      <c r="AF70" s="258"/>
      <c r="AG70" s="259"/>
      <c r="AH70" s="22"/>
      <c r="AI70" s="26"/>
      <c r="AJ70" s="22"/>
      <c r="AK70" s="25"/>
      <c r="AL70" s="26"/>
      <c r="AM70" s="22"/>
      <c r="AN70" s="25"/>
      <c r="AO70" s="25"/>
      <c r="AP70" s="25"/>
      <c r="AQ70" s="25"/>
      <c r="AR70" s="25"/>
      <c r="AS70" s="26"/>
      <c r="AT70" s="279" t="s">
        <v>477</v>
      </c>
      <c r="AU70" s="280"/>
      <c r="AV70" s="280"/>
      <c r="AW70" s="280"/>
      <c r="AX70" s="280"/>
      <c r="AY70" s="280"/>
      <c r="AZ70" s="280"/>
      <c r="BA70" s="280"/>
      <c r="BB70" s="280"/>
      <c r="BC70" s="280"/>
      <c r="BD70" s="280"/>
      <c r="BE70" s="280"/>
      <c r="BF70" s="280"/>
      <c r="BG70" s="280"/>
      <c r="BH70" s="280"/>
      <c r="BI70" s="280"/>
      <c r="BJ70" s="281"/>
      <c r="BK70" s="4"/>
      <c r="BL70" s="127" t="str">
        <f t="shared" si="16"/>
        <v>a
b</v>
      </c>
      <c r="BM70" t="s">
        <v>449</v>
      </c>
      <c r="BN70">
        <v>12</v>
      </c>
      <c r="BP70" t="str">
        <f t="shared" si="17"/>
        <v>,`MDSE_STRC_NBR5` varchar(12)  COMMENT '品群'</v>
      </c>
      <c r="BQ70" t="s">
        <v>223</v>
      </c>
      <c r="BR70" t="str">
        <f t="shared" si="18"/>
        <v xml:space="preserve">,`MDSE_STRC_NBR5` varchar(12) </v>
      </c>
      <c r="BS70" t="s">
        <v>223</v>
      </c>
      <c r="BT70" t="str">
        <f t="shared" si="7"/>
        <v>,`MDSE_STRC_NBR5`</v>
      </c>
      <c r="BU70" t="s">
        <v>223</v>
      </c>
      <c r="BV70" s="82" t="str">
        <f t="shared" si="19"/>
        <v>,A.`MDSE_STRC_NBR5` = B.`MDSE_STRC_NBR5`</v>
      </c>
      <c r="BW70" t="s">
        <v>223</v>
      </c>
      <c r="BX70" s="82" t="str">
        <f t="shared" si="20"/>
        <v>,`MDSE_STRC_NBR5`</v>
      </c>
      <c r="BY70" t="s">
        <v>223</v>
      </c>
      <c r="BZ70" s="82" t="str">
        <f t="shared" si="21"/>
        <v>,`MDSE_STRC_NBR5`</v>
      </c>
      <c r="CA70" t="s">
        <v>223</v>
      </c>
    </row>
    <row r="71" spans="1:79" ht="31.5">
      <c r="A71" s="84" t="s">
        <v>562</v>
      </c>
      <c r="B71" s="23">
        <v>9</v>
      </c>
      <c r="C71" s="24"/>
      <c r="D71" s="22" t="s">
        <v>305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  <c r="R71" s="22" t="s">
        <v>399</v>
      </c>
      <c r="S71" s="25"/>
      <c r="T71" s="25"/>
      <c r="U71" s="25"/>
      <c r="V71" s="25"/>
      <c r="W71" s="25"/>
      <c r="X71" s="25"/>
      <c r="Y71" s="25"/>
      <c r="Z71" s="25"/>
      <c r="AA71" s="25"/>
      <c r="AB71" s="26"/>
      <c r="AC71" s="257" t="str" cm="1">
        <f t="array" ref="AC71">_xlfn.SWITCH(BM71,"String","varchar("&amp;BN71&amp;")","Long","int","Integer","smallint","Double","decimal(9,2)","Currency","int")</f>
        <v>varchar(12)</v>
      </c>
      <c r="AD71" s="258"/>
      <c r="AE71" s="258"/>
      <c r="AF71" s="258"/>
      <c r="AG71" s="259"/>
      <c r="AH71" s="22"/>
      <c r="AI71" s="26"/>
      <c r="AJ71" s="22"/>
      <c r="AK71" s="25"/>
      <c r="AL71" s="26"/>
      <c r="AM71" s="22"/>
      <c r="AN71" s="25"/>
      <c r="AO71" s="25"/>
      <c r="AP71" s="25"/>
      <c r="AQ71" s="25"/>
      <c r="AR71" s="25"/>
      <c r="AS71" s="26"/>
      <c r="AT71" s="279" t="s">
        <v>477</v>
      </c>
      <c r="AU71" s="280"/>
      <c r="AV71" s="280"/>
      <c r="AW71" s="280"/>
      <c r="AX71" s="280"/>
      <c r="AY71" s="280"/>
      <c r="AZ71" s="280"/>
      <c r="BA71" s="280"/>
      <c r="BB71" s="280"/>
      <c r="BC71" s="280"/>
      <c r="BD71" s="280"/>
      <c r="BE71" s="280"/>
      <c r="BF71" s="280"/>
      <c r="BG71" s="280"/>
      <c r="BH71" s="280"/>
      <c r="BI71" s="280"/>
      <c r="BJ71" s="281"/>
      <c r="BK71" s="4"/>
      <c r="BL71" s="127" t="str">
        <f t="shared" si="16"/>
        <v>a
b</v>
      </c>
      <c r="BM71" t="s">
        <v>449</v>
      </c>
      <c r="BN71">
        <v>12</v>
      </c>
      <c r="BP71" t="str">
        <f t="shared" si="17"/>
        <v>,`MDSE_STRC_NBR6` varchar(12)  COMMENT '品種'</v>
      </c>
      <c r="BQ71" t="s">
        <v>223</v>
      </c>
      <c r="BR71" t="str">
        <f t="shared" si="18"/>
        <v xml:space="preserve">,`MDSE_STRC_NBR6` varchar(12) </v>
      </c>
      <c r="BS71" t="s">
        <v>223</v>
      </c>
      <c r="BT71" t="str">
        <f t="shared" si="7"/>
        <v>,`MDSE_STRC_NBR6`</v>
      </c>
      <c r="BU71" t="s">
        <v>223</v>
      </c>
      <c r="BV71" s="82" t="str">
        <f t="shared" si="19"/>
        <v>,A.`MDSE_STRC_NBR6` = B.`MDSE_STRC_NBR6`</v>
      </c>
      <c r="BW71" t="s">
        <v>223</v>
      </c>
      <c r="BX71" s="82" t="str">
        <f t="shared" si="20"/>
        <v>,`MDSE_STRC_NBR6`</v>
      </c>
      <c r="BY71" t="s">
        <v>223</v>
      </c>
      <c r="BZ71" s="82" t="str">
        <f t="shared" si="21"/>
        <v>,`MDSE_STRC_NBR6`</v>
      </c>
      <c r="CA71" t="s">
        <v>223</v>
      </c>
    </row>
    <row r="72" spans="1:79" ht="31.5">
      <c r="A72" s="84" t="s">
        <v>563</v>
      </c>
      <c r="B72" s="23">
        <v>9</v>
      </c>
      <c r="C72" s="24"/>
      <c r="D72" s="22" t="s">
        <v>306</v>
      </c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  <c r="R72" s="22" t="s">
        <v>400</v>
      </c>
      <c r="S72" s="25"/>
      <c r="T72" s="25"/>
      <c r="U72" s="25"/>
      <c r="V72" s="25"/>
      <c r="W72" s="25"/>
      <c r="X72" s="25"/>
      <c r="Y72" s="25"/>
      <c r="Z72" s="25"/>
      <c r="AA72" s="25"/>
      <c r="AB72" s="26"/>
      <c r="AC72" s="257" t="str" cm="1">
        <f t="array" ref="AC72">_xlfn.SWITCH(BM72,"String","varchar("&amp;BN72&amp;")","Long","int","Integer","smallint","Double","decimal(9,2)","Currency","int")</f>
        <v>varchar(12)</v>
      </c>
      <c r="AD72" s="258"/>
      <c r="AE72" s="258"/>
      <c r="AF72" s="258"/>
      <c r="AG72" s="259"/>
      <c r="AH72" s="22"/>
      <c r="AI72" s="26"/>
      <c r="AJ72" s="22"/>
      <c r="AK72" s="25"/>
      <c r="AL72" s="26"/>
      <c r="AM72" s="22"/>
      <c r="AN72" s="25"/>
      <c r="AO72" s="25"/>
      <c r="AP72" s="25"/>
      <c r="AQ72" s="25"/>
      <c r="AR72" s="25"/>
      <c r="AS72" s="26"/>
      <c r="AT72" s="279" t="s">
        <v>477</v>
      </c>
      <c r="AU72" s="280"/>
      <c r="AV72" s="280"/>
      <c r="AW72" s="280"/>
      <c r="AX72" s="280"/>
      <c r="AY72" s="280"/>
      <c r="AZ72" s="280"/>
      <c r="BA72" s="280"/>
      <c r="BB72" s="280"/>
      <c r="BC72" s="280"/>
      <c r="BD72" s="280"/>
      <c r="BE72" s="280"/>
      <c r="BF72" s="280"/>
      <c r="BG72" s="280"/>
      <c r="BH72" s="280"/>
      <c r="BI72" s="280"/>
      <c r="BJ72" s="281"/>
      <c r="BK72" s="4"/>
      <c r="BL72" s="127" t="str">
        <f t="shared" si="16"/>
        <v>a
b</v>
      </c>
      <c r="BM72" t="s">
        <v>449</v>
      </c>
      <c r="BN72">
        <v>12</v>
      </c>
      <c r="BP72" t="str">
        <f t="shared" si="17"/>
        <v>,`MDSE_STRC_NBR7` varchar(12)  COMMENT '分類'</v>
      </c>
      <c r="BQ72" t="s">
        <v>223</v>
      </c>
      <c r="BR72" t="str">
        <f t="shared" si="18"/>
        <v xml:space="preserve">,`MDSE_STRC_NBR7` varchar(12) </v>
      </c>
      <c r="BS72" t="s">
        <v>223</v>
      </c>
      <c r="BT72" t="str">
        <f t="shared" si="7"/>
        <v>,`MDSE_STRC_NBR7`</v>
      </c>
      <c r="BU72" t="s">
        <v>223</v>
      </c>
      <c r="BV72" s="82" t="str">
        <f t="shared" si="19"/>
        <v>,A.`MDSE_STRC_NBR7` = B.`MDSE_STRC_NBR7`</v>
      </c>
      <c r="BW72" t="s">
        <v>223</v>
      </c>
      <c r="BX72" s="82" t="str">
        <f t="shared" si="20"/>
        <v>,`MDSE_STRC_NBR7`</v>
      </c>
      <c r="BY72" t="s">
        <v>223</v>
      </c>
      <c r="BZ72" s="82" t="str">
        <f t="shared" si="21"/>
        <v>,`MDSE_STRC_NBR7`</v>
      </c>
      <c r="CA72" t="s">
        <v>223</v>
      </c>
    </row>
    <row r="73" spans="1:79" ht="31.5">
      <c r="A73" s="84" t="s">
        <v>564</v>
      </c>
      <c r="B73" s="71">
        <v>9</v>
      </c>
      <c r="C73" s="72"/>
      <c r="D73" s="73" t="s">
        <v>307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73" t="s">
        <v>401</v>
      </c>
      <c r="S73" s="74"/>
      <c r="T73" s="74"/>
      <c r="U73" s="74"/>
      <c r="V73" s="74"/>
      <c r="W73" s="74"/>
      <c r="X73" s="74"/>
      <c r="Y73" s="74"/>
      <c r="Z73" s="74"/>
      <c r="AA73" s="74"/>
      <c r="AB73" s="75"/>
      <c r="AC73" s="251" t="str" cm="1">
        <f t="array" ref="AC73">_xlfn.SWITCH(BM73,"String","varchar("&amp;BN73&amp;")","Long","int","Integer","smallint","Double","decimal(9,2)","Currency","int")</f>
        <v>varchar(12)</v>
      </c>
      <c r="AD73" s="252"/>
      <c r="AE73" s="252"/>
      <c r="AF73" s="252"/>
      <c r="AG73" s="253"/>
      <c r="AH73" s="73"/>
      <c r="AI73" s="75"/>
      <c r="AJ73" s="73"/>
      <c r="AK73" s="74"/>
      <c r="AL73" s="75"/>
      <c r="AM73" s="73"/>
      <c r="AN73" s="74"/>
      <c r="AO73" s="74"/>
      <c r="AP73" s="74"/>
      <c r="AQ73" s="74"/>
      <c r="AR73" s="74"/>
      <c r="AS73" s="75"/>
      <c r="AT73" s="269" t="s">
        <v>478</v>
      </c>
      <c r="AU73" s="270"/>
      <c r="AV73" s="270"/>
      <c r="AW73" s="270"/>
      <c r="AX73" s="270"/>
      <c r="AY73" s="270"/>
      <c r="AZ73" s="270"/>
      <c r="BA73" s="270"/>
      <c r="BB73" s="270"/>
      <c r="BC73" s="270"/>
      <c r="BD73" s="270"/>
      <c r="BE73" s="270"/>
      <c r="BF73" s="270"/>
      <c r="BG73" s="270"/>
      <c r="BH73" s="270"/>
      <c r="BI73" s="270"/>
      <c r="BJ73" s="271"/>
      <c r="BK73" s="4"/>
      <c r="BL73" s="127" t="str">
        <f t="shared" si="16"/>
        <v>a
b</v>
      </c>
      <c r="BM73" t="s">
        <v>449</v>
      </c>
      <c r="BN73">
        <v>12</v>
      </c>
      <c r="BP73" t="str">
        <f t="shared" si="17"/>
        <v>,`MDSE_STRC_NBR8` varchar(12)  COMMENT '商品階層８'</v>
      </c>
      <c r="BQ73" t="s">
        <v>223</v>
      </c>
      <c r="BR73" t="str">
        <f t="shared" si="18"/>
        <v xml:space="preserve">,`MDSE_STRC_NBR8` varchar(12) </v>
      </c>
      <c r="BS73" t="s">
        <v>223</v>
      </c>
      <c r="BT73" t="str">
        <f t="shared" si="7"/>
        <v>,`MDSE_STRC_NBR8`</v>
      </c>
      <c r="BU73" t="s">
        <v>223</v>
      </c>
      <c r="BV73" s="82" t="str">
        <f t="shared" si="19"/>
        <v>,A.`MDSE_STRC_NBR8` = B.`MDSE_STRC_NBR8`</v>
      </c>
      <c r="BW73" t="s">
        <v>223</v>
      </c>
      <c r="BX73" s="82" t="str">
        <f t="shared" si="20"/>
        <v>,`MDSE_STRC_NBR8`</v>
      </c>
      <c r="BY73" t="s">
        <v>223</v>
      </c>
      <c r="BZ73" s="82" t="str">
        <f t="shared" si="21"/>
        <v>,`MDSE_STRC_NBR8`</v>
      </c>
      <c r="CA73" t="s">
        <v>223</v>
      </c>
    </row>
    <row r="74" spans="1:79" ht="31.5">
      <c r="A74" s="84" t="s">
        <v>565</v>
      </c>
      <c r="B74" s="71">
        <v>9</v>
      </c>
      <c r="C74" s="72"/>
      <c r="D74" s="73" t="s">
        <v>308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73" t="s">
        <v>402</v>
      </c>
      <c r="S74" s="74"/>
      <c r="T74" s="74"/>
      <c r="U74" s="74"/>
      <c r="V74" s="74"/>
      <c r="W74" s="74"/>
      <c r="X74" s="74"/>
      <c r="Y74" s="74"/>
      <c r="Z74" s="74"/>
      <c r="AA74" s="74"/>
      <c r="AB74" s="75"/>
      <c r="AC74" s="251" t="str" cm="1">
        <f t="array" ref="AC74">_xlfn.SWITCH(BM74,"String","varchar("&amp;BN74&amp;")","Long","int","Integer","smallint","Double","decimal(9,2)","Currency","int")</f>
        <v>varchar(12)</v>
      </c>
      <c r="AD74" s="252"/>
      <c r="AE74" s="252"/>
      <c r="AF74" s="252"/>
      <c r="AG74" s="253"/>
      <c r="AH74" s="73"/>
      <c r="AI74" s="75"/>
      <c r="AJ74" s="73"/>
      <c r="AK74" s="74"/>
      <c r="AL74" s="75"/>
      <c r="AM74" s="73"/>
      <c r="AN74" s="74"/>
      <c r="AO74" s="74"/>
      <c r="AP74" s="74"/>
      <c r="AQ74" s="74"/>
      <c r="AR74" s="74"/>
      <c r="AS74" s="75"/>
      <c r="AT74" s="269" t="s">
        <v>478</v>
      </c>
      <c r="AU74" s="270"/>
      <c r="AV74" s="270"/>
      <c r="AW74" s="270"/>
      <c r="AX74" s="270"/>
      <c r="AY74" s="270"/>
      <c r="AZ74" s="270"/>
      <c r="BA74" s="270"/>
      <c r="BB74" s="270"/>
      <c r="BC74" s="270"/>
      <c r="BD74" s="270"/>
      <c r="BE74" s="270"/>
      <c r="BF74" s="270"/>
      <c r="BG74" s="270"/>
      <c r="BH74" s="270"/>
      <c r="BI74" s="270"/>
      <c r="BJ74" s="271"/>
      <c r="BK74" s="4"/>
      <c r="BL74" s="127" t="str">
        <f t="shared" si="16"/>
        <v>a
b</v>
      </c>
      <c r="BM74" t="s">
        <v>449</v>
      </c>
      <c r="BN74">
        <v>12</v>
      </c>
      <c r="BP74" t="str">
        <f t="shared" si="17"/>
        <v>,`MDSE_STRC_NBR9` varchar(12)  COMMENT '商品階層９'</v>
      </c>
      <c r="BQ74" t="s">
        <v>223</v>
      </c>
      <c r="BR74" t="str">
        <f t="shared" si="18"/>
        <v xml:space="preserve">,`MDSE_STRC_NBR9` varchar(12) </v>
      </c>
      <c r="BS74" t="s">
        <v>223</v>
      </c>
      <c r="BT74" t="str">
        <f t="shared" si="7"/>
        <v>,`MDSE_STRC_NBR9`</v>
      </c>
      <c r="BU74" t="s">
        <v>223</v>
      </c>
      <c r="BV74" s="82" t="str">
        <f t="shared" si="19"/>
        <v>,A.`MDSE_STRC_NBR9` = B.`MDSE_STRC_NBR9`</v>
      </c>
      <c r="BW74" t="s">
        <v>223</v>
      </c>
      <c r="BX74" s="82" t="str">
        <f t="shared" si="20"/>
        <v>,`MDSE_STRC_NBR9`</v>
      </c>
      <c r="BY74" t="s">
        <v>223</v>
      </c>
      <c r="BZ74" s="82" t="str">
        <f t="shared" si="21"/>
        <v>,`MDSE_STRC_NBR9`</v>
      </c>
      <c r="CA74" t="s">
        <v>223</v>
      </c>
    </row>
    <row r="75" spans="1:79" ht="31.5">
      <c r="A75" s="84" t="s">
        <v>566</v>
      </c>
      <c r="B75" s="71">
        <v>9</v>
      </c>
      <c r="C75" s="72"/>
      <c r="D75" s="73" t="s">
        <v>309</v>
      </c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5"/>
      <c r="R75" s="73" t="s">
        <v>403</v>
      </c>
      <c r="S75" s="74"/>
      <c r="T75" s="74"/>
      <c r="U75" s="74"/>
      <c r="V75" s="74"/>
      <c r="W75" s="74"/>
      <c r="X75" s="74"/>
      <c r="Y75" s="74"/>
      <c r="Z75" s="74"/>
      <c r="AA75" s="74"/>
      <c r="AB75" s="75"/>
      <c r="AC75" s="251" t="str" cm="1">
        <f t="array" ref="AC75">_xlfn.SWITCH(BM75,"String","varchar("&amp;BN75&amp;")","Long","int","Integer","smallint","Double","decimal(9,2)","Currency","int")</f>
        <v>varchar(20)</v>
      </c>
      <c r="AD75" s="252"/>
      <c r="AE75" s="252"/>
      <c r="AF75" s="252"/>
      <c r="AG75" s="253"/>
      <c r="AH75" s="73"/>
      <c r="AI75" s="75"/>
      <c r="AJ75" s="73"/>
      <c r="AK75" s="74"/>
      <c r="AL75" s="75"/>
      <c r="AM75" s="73"/>
      <c r="AN75" s="74"/>
      <c r="AO75" s="74"/>
      <c r="AP75" s="74"/>
      <c r="AQ75" s="74"/>
      <c r="AR75" s="74"/>
      <c r="AS75" s="75"/>
      <c r="AT75" s="269" t="s">
        <v>472</v>
      </c>
      <c r="AU75" s="270"/>
      <c r="AV75" s="270"/>
      <c r="AW75" s="270"/>
      <c r="AX75" s="270"/>
      <c r="AY75" s="270"/>
      <c r="AZ75" s="270"/>
      <c r="BA75" s="270"/>
      <c r="BB75" s="270"/>
      <c r="BC75" s="270"/>
      <c r="BD75" s="270"/>
      <c r="BE75" s="270"/>
      <c r="BF75" s="270"/>
      <c r="BG75" s="270"/>
      <c r="BH75" s="270"/>
      <c r="BI75" s="270"/>
      <c r="BJ75" s="271"/>
      <c r="BK75" s="4"/>
      <c r="BL75" s="127" t="str">
        <f t="shared" si="16"/>
        <v>a
b</v>
      </c>
      <c r="BM75" t="s">
        <v>449</v>
      </c>
      <c r="BN75">
        <v>20</v>
      </c>
      <c r="BP75" t="str">
        <f t="shared" si="17"/>
        <v>,`PROMO_BGN_TS` varchar(20)  COMMENT 'プロモーション開始時間'</v>
      </c>
      <c r="BQ75" t="s">
        <v>223</v>
      </c>
      <c r="BR75" t="str">
        <f t="shared" si="18"/>
        <v xml:space="preserve">,`PROMO_BGN_TS` varchar(20) </v>
      </c>
      <c r="BS75" t="s">
        <v>223</v>
      </c>
      <c r="BT75" t="str">
        <f t="shared" si="7"/>
        <v>,`PROMO_BGN_TS`</v>
      </c>
      <c r="BU75" t="s">
        <v>223</v>
      </c>
      <c r="BV75" s="82" t="str">
        <f t="shared" si="19"/>
        <v>,A.`PROMO_BGN_TS` = B.`PROMO_BGN_TS`</v>
      </c>
      <c r="BW75" t="s">
        <v>223</v>
      </c>
      <c r="BX75" s="82" t="str">
        <f t="shared" si="20"/>
        <v>,`PROMO_BGN_TS`</v>
      </c>
      <c r="BY75" t="s">
        <v>223</v>
      </c>
      <c r="BZ75" s="82" t="str">
        <f t="shared" si="21"/>
        <v>,`PROMO_BGN_TS`</v>
      </c>
      <c r="CA75" t="s">
        <v>223</v>
      </c>
    </row>
    <row r="76" spans="1:79" ht="31.5">
      <c r="A76" s="84" t="s">
        <v>567</v>
      </c>
      <c r="B76" s="71">
        <v>9</v>
      </c>
      <c r="C76" s="72"/>
      <c r="D76" s="73" t="s">
        <v>310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73" t="s">
        <v>404</v>
      </c>
      <c r="S76" s="74"/>
      <c r="T76" s="74"/>
      <c r="U76" s="74"/>
      <c r="V76" s="74"/>
      <c r="W76" s="74"/>
      <c r="X76" s="74"/>
      <c r="Y76" s="74"/>
      <c r="Z76" s="74"/>
      <c r="AA76" s="74"/>
      <c r="AB76" s="75"/>
      <c r="AC76" s="251" t="str" cm="1">
        <f t="array" ref="AC76">_xlfn.SWITCH(BM76,"String","varchar("&amp;BN76&amp;")","Long","int","Integer","smallint","Double","decimal(9,2)","Currency","int")</f>
        <v>varchar(20)</v>
      </c>
      <c r="AD76" s="252"/>
      <c r="AE76" s="252"/>
      <c r="AF76" s="252"/>
      <c r="AG76" s="253"/>
      <c r="AH76" s="73"/>
      <c r="AI76" s="75"/>
      <c r="AJ76" s="73"/>
      <c r="AK76" s="74"/>
      <c r="AL76" s="75"/>
      <c r="AM76" s="73"/>
      <c r="AN76" s="74"/>
      <c r="AO76" s="74"/>
      <c r="AP76" s="74"/>
      <c r="AQ76" s="74"/>
      <c r="AR76" s="74"/>
      <c r="AS76" s="75"/>
      <c r="AT76" s="269" t="s">
        <v>472</v>
      </c>
      <c r="AU76" s="270"/>
      <c r="AV76" s="270"/>
      <c r="AW76" s="270"/>
      <c r="AX76" s="270"/>
      <c r="AY76" s="270"/>
      <c r="AZ76" s="270"/>
      <c r="BA76" s="270"/>
      <c r="BB76" s="270"/>
      <c r="BC76" s="270"/>
      <c r="BD76" s="270"/>
      <c r="BE76" s="270"/>
      <c r="BF76" s="270"/>
      <c r="BG76" s="270"/>
      <c r="BH76" s="270"/>
      <c r="BI76" s="270"/>
      <c r="BJ76" s="271"/>
      <c r="BK76" s="4"/>
      <c r="BL76" s="127" t="str">
        <f t="shared" si="16"/>
        <v>a
b</v>
      </c>
      <c r="BM76" t="s">
        <v>449</v>
      </c>
      <c r="BN76">
        <v>20</v>
      </c>
      <c r="BP76" t="str">
        <f t="shared" si="17"/>
        <v>,`PROMO_END_TS` varchar(20)  COMMENT 'プロモーション終了時間'</v>
      </c>
      <c r="BQ76" t="s">
        <v>223</v>
      </c>
      <c r="BR76" t="str">
        <f t="shared" si="18"/>
        <v xml:space="preserve">,`PROMO_END_TS` varchar(20) </v>
      </c>
      <c r="BS76" t="s">
        <v>223</v>
      </c>
      <c r="BT76" t="str">
        <f t="shared" si="7"/>
        <v>,`PROMO_END_TS`</v>
      </c>
      <c r="BU76" t="s">
        <v>223</v>
      </c>
      <c r="BV76" s="82" t="str">
        <f t="shared" si="19"/>
        <v>,A.`PROMO_END_TS` = B.`PROMO_END_TS`</v>
      </c>
      <c r="BW76" t="s">
        <v>223</v>
      </c>
      <c r="BX76" s="82" t="str">
        <f t="shared" si="20"/>
        <v>,`PROMO_END_TS`</v>
      </c>
      <c r="BY76" t="s">
        <v>223</v>
      </c>
      <c r="BZ76" s="82" t="str">
        <f t="shared" si="21"/>
        <v>,`PROMO_END_TS`</v>
      </c>
      <c r="CA76" t="s">
        <v>223</v>
      </c>
    </row>
    <row r="77" spans="1:79" ht="31.5">
      <c r="A77" s="84" t="s">
        <v>568</v>
      </c>
      <c r="B77" s="71">
        <v>9</v>
      </c>
      <c r="C77" s="72"/>
      <c r="D77" s="73" t="s">
        <v>311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/>
      <c r="R77" s="73" t="s">
        <v>405</v>
      </c>
      <c r="S77" s="74"/>
      <c r="T77" s="74"/>
      <c r="U77" s="74"/>
      <c r="V77" s="74"/>
      <c r="W77" s="74"/>
      <c r="X77" s="74"/>
      <c r="Y77" s="74"/>
      <c r="Z77" s="74"/>
      <c r="AA77" s="74"/>
      <c r="AB77" s="75"/>
      <c r="AC77" s="251" t="str" cm="1">
        <f t="array" ref="AC77">_xlfn.SWITCH(BM77,"String","varchar("&amp;BN77&amp;")","Long","int","Integer","smallint","Double","decimal(9,2)","Currency","int")</f>
        <v>smallint</v>
      </c>
      <c r="AD77" s="252"/>
      <c r="AE77" s="252"/>
      <c r="AF77" s="252"/>
      <c r="AG77" s="253"/>
      <c r="AH77" s="73"/>
      <c r="AI77" s="75"/>
      <c r="AJ77" s="73"/>
      <c r="AK77" s="74"/>
      <c r="AL77" s="75"/>
      <c r="AM77" s="73"/>
      <c r="AN77" s="74"/>
      <c r="AO77" s="74"/>
      <c r="AP77" s="74"/>
      <c r="AQ77" s="74"/>
      <c r="AR77" s="74"/>
      <c r="AS77" s="75"/>
      <c r="AT77" s="269" t="s">
        <v>470</v>
      </c>
      <c r="AU77" s="270"/>
      <c r="AV77" s="270"/>
      <c r="AW77" s="270"/>
      <c r="AX77" s="270"/>
      <c r="AY77" s="270"/>
      <c r="AZ77" s="270"/>
      <c r="BA77" s="270"/>
      <c r="BB77" s="270"/>
      <c r="BC77" s="270"/>
      <c r="BD77" s="270"/>
      <c r="BE77" s="270"/>
      <c r="BF77" s="270"/>
      <c r="BG77" s="270"/>
      <c r="BH77" s="270"/>
      <c r="BI77" s="270"/>
      <c r="BJ77" s="271"/>
      <c r="BK77" s="4"/>
      <c r="BL77" s="127" t="str">
        <f t="shared" si="16"/>
        <v>a
b</v>
      </c>
      <c r="BM77" t="s">
        <v>451</v>
      </c>
      <c r="BP77" t="str">
        <f t="shared" si="17"/>
        <v>,`PROMO_PRC_MTHD_` smallint  COMMENT 'プロモーション中の価格計算'</v>
      </c>
      <c r="BQ77" t="s">
        <v>223</v>
      </c>
      <c r="BR77" t="str">
        <f t="shared" si="18"/>
        <v xml:space="preserve">,`PROMO_PRC_MTHD_` smallint </v>
      </c>
      <c r="BS77" t="s">
        <v>223</v>
      </c>
      <c r="BT77" t="str">
        <f t="shared" si="7"/>
        <v>,`PROMO_PRC_MTHD_`</v>
      </c>
      <c r="BU77" t="s">
        <v>223</v>
      </c>
      <c r="BV77" s="82" t="str">
        <f t="shared" si="19"/>
        <v>,A.`PROMO_PRC_MTHD_` = B.`PROMO_PRC_MTHD_`</v>
      </c>
      <c r="BW77" t="s">
        <v>223</v>
      </c>
      <c r="BX77" s="82" t="str">
        <f t="shared" si="20"/>
        <v>,`PROMO_PRC_MTHD_`</v>
      </c>
      <c r="BY77" t="s">
        <v>223</v>
      </c>
      <c r="BZ77" s="82" t="str">
        <f t="shared" si="21"/>
        <v>,`PROMO_PRC_MTHD_`</v>
      </c>
      <c r="CA77" t="s">
        <v>223</v>
      </c>
    </row>
    <row r="78" spans="1:79" ht="31.5">
      <c r="A78" s="84" t="s">
        <v>569</v>
      </c>
      <c r="B78" s="71">
        <v>9</v>
      </c>
      <c r="C78" s="72"/>
      <c r="D78" s="73" t="s">
        <v>312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5"/>
      <c r="R78" s="73" t="s">
        <v>406</v>
      </c>
      <c r="S78" s="74"/>
      <c r="T78" s="74"/>
      <c r="U78" s="74"/>
      <c r="V78" s="74"/>
      <c r="W78" s="74"/>
      <c r="X78" s="74"/>
      <c r="Y78" s="74"/>
      <c r="Z78" s="74"/>
      <c r="AA78" s="74"/>
      <c r="AB78" s="75"/>
      <c r="AC78" s="251" t="str" cm="1">
        <f t="array" ref="AC78">_xlfn.SWITCH(BM78,"String","varchar("&amp;BN78&amp;")","Long","int","Integer","smallint","Double","decimal(9,2)","Currency","int")</f>
        <v>decimal(9,2)</v>
      </c>
      <c r="AD78" s="252"/>
      <c r="AE78" s="252"/>
      <c r="AF78" s="252"/>
      <c r="AG78" s="253"/>
      <c r="AH78" s="73"/>
      <c r="AI78" s="75"/>
      <c r="AJ78" s="73"/>
      <c r="AK78" s="74"/>
      <c r="AL78" s="75"/>
      <c r="AM78" s="73"/>
      <c r="AN78" s="74"/>
      <c r="AO78" s="74"/>
      <c r="AP78" s="74"/>
      <c r="AQ78" s="74"/>
      <c r="AR78" s="74"/>
      <c r="AS78" s="75"/>
      <c r="AT78" s="269" t="s">
        <v>470</v>
      </c>
      <c r="AU78" s="270"/>
      <c r="AV78" s="270"/>
      <c r="AW78" s="270"/>
      <c r="AX78" s="270"/>
      <c r="AY78" s="270"/>
      <c r="AZ78" s="270"/>
      <c r="BA78" s="270"/>
      <c r="BB78" s="270"/>
      <c r="BC78" s="270"/>
      <c r="BD78" s="270"/>
      <c r="BE78" s="270"/>
      <c r="BF78" s="270"/>
      <c r="BG78" s="270"/>
      <c r="BH78" s="270"/>
      <c r="BI78" s="270"/>
      <c r="BJ78" s="271"/>
      <c r="BK78" s="4"/>
      <c r="BL78" s="127" t="str">
        <f t="shared" si="16"/>
        <v>a
b</v>
      </c>
      <c r="BM78" t="s">
        <v>452</v>
      </c>
      <c r="BP78" t="str">
        <f t="shared" si="17"/>
        <v>,`PROMO_DEAL_QTY` decimal(9,2)  COMMENT 'プロモーション契約数'</v>
      </c>
      <c r="BQ78" t="s">
        <v>223</v>
      </c>
      <c r="BR78" t="str">
        <f t="shared" si="18"/>
        <v xml:space="preserve">,`PROMO_DEAL_QTY` decimal(9,2) </v>
      </c>
      <c r="BS78" t="s">
        <v>223</v>
      </c>
      <c r="BT78" t="str">
        <f t="shared" si="7"/>
        <v>,`PROMO_DEAL_QTY`</v>
      </c>
      <c r="BU78" t="s">
        <v>223</v>
      </c>
      <c r="BV78" s="82" t="str">
        <f t="shared" si="19"/>
        <v>,A.`PROMO_DEAL_QTY` = B.`PROMO_DEAL_QTY`</v>
      </c>
      <c r="BW78" t="s">
        <v>223</v>
      </c>
      <c r="BX78" s="82" t="str">
        <f t="shared" si="20"/>
        <v>,`PROMO_DEAL_QTY`</v>
      </c>
      <c r="BY78" t="s">
        <v>223</v>
      </c>
      <c r="BZ78" s="82" t="str">
        <f t="shared" si="21"/>
        <v>,`PROMO_DEAL_QTY`</v>
      </c>
      <c r="CA78" t="s">
        <v>223</v>
      </c>
    </row>
    <row r="79" spans="1:79" ht="31.5">
      <c r="A79" s="84" t="s">
        <v>570</v>
      </c>
      <c r="B79" s="71">
        <v>9</v>
      </c>
      <c r="C79" s="72"/>
      <c r="D79" s="73" t="s">
        <v>313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5"/>
      <c r="R79" s="73" t="s">
        <v>407</v>
      </c>
      <c r="S79" s="74"/>
      <c r="T79" s="74"/>
      <c r="U79" s="74"/>
      <c r="V79" s="74"/>
      <c r="W79" s="74"/>
      <c r="X79" s="74"/>
      <c r="Y79" s="74"/>
      <c r="Z79" s="74"/>
      <c r="AA79" s="74"/>
      <c r="AB79" s="75"/>
      <c r="AC79" s="251" t="str" cm="1">
        <f t="array" ref="AC79">_xlfn.SWITCH(BM79,"String","varchar("&amp;BN79&amp;")","Long","int","Integer","smallint","Double","decimal(9,2)","Currency","int")</f>
        <v>int</v>
      </c>
      <c r="AD79" s="252"/>
      <c r="AE79" s="252"/>
      <c r="AF79" s="252"/>
      <c r="AG79" s="253"/>
      <c r="AH79" s="73"/>
      <c r="AI79" s="75"/>
      <c r="AJ79" s="73"/>
      <c r="AK79" s="74"/>
      <c r="AL79" s="75"/>
      <c r="AM79" s="73"/>
      <c r="AN79" s="74"/>
      <c r="AO79" s="74"/>
      <c r="AP79" s="74"/>
      <c r="AQ79" s="74"/>
      <c r="AR79" s="74"/>
      <c r="AS79" s="75"/>
      <c r="AT79" s="269" t="s">
        <v>470</v>
      </c>
      <c r="AU79" s="270"/>
      <c r="AV79" s="270"/>
      <c r="AW79" s="270"/>
      <c r="AX79" s="270"/>
      <c r="AY79" s="270"/>
      <c r="AZ79" s="270"/>
      <c r="BA79" s="270"/>
      <c r="BB79" s="270"/>
      <c r="BC79" s="270"/>
      <c r="BD79" s="270"/>
      <c r="BE79" s="270"/>
      <c r="BF79" s="270"/>
      <c r="BG79" s="270"/>
      <c r="BH79" s="270"/>
      <c r="BI79" s="270"/>
      <c r="BJ79" s="271"/>
      <c r="BK79" s="4"/>
      <c r="BL79" s="127" t="str">
        <f t="shared" si="16"/>
        <v>a
b</v>
      </c>
      <c r="BM79" t="s">
        <v>453</v>
      </c>
      <c r="BP79" t="str">
        <f t="shared" si="17"/>
        <v>,`PROMO_DEAL_PRC` int  COMMENT 'プロモーション契約価格'</v>
      </c>
      <c r="BQ79" t="s">
        <v>223</v>
      </c>
      <c r="BR79" t="str">
        <f t="shared" si="18"/>
        <v xml:space="preserve">,`PROMO_DEAL_PRC` int </v>
      </c>
      <c r="BS79" t="s">
        <v>223</v>
      </c>
      <c r="BT79" t="str">
        <f t="shared" si="7"/>
        <v>,`PROMO_DEAL_PRC`</v>
      </c>
      <c r="BU79" t="s">
        <v>223</v>
      </c>
      <c r="BV79" s="82" t="str">
        <f t="shared" si="19"/>
        <v>,A.`PROMO_DEAL_PRC` = B.`PROMO_DEAL_PRC`</v>
      </c>
      <c r="BW79" t="s">
        <v>223</v>
      </c>
      <c r="BX79" s="82" t="str">
        <f t="shared" si="20"/>
        <v>,`PROMO_DEAL_PRC`</v>
      </c>
      <c r="BY79" t="s">
        <v>223</v>
      </c>
      <c r="BZ79" s="82" t="str">
        <f t="shared" si="21"/>
        <v>,`PROMO_DEAL_PRC`</v>
      </c>
      <c r="CA79" t="s">
        <v>223</v>
      </c>
    </row>
    <row r="80" spans="1:79" ht="31.5">
      <c r="A80" s="84" t="s">
        <v>571</v>
      </c>
      <c r="B80" s="71">
        <v>9</v>
      </c>
      <c r="C80" s="72"/>
      <c r="D80" s="73" t="s">
        <v>314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5"/>
      <c r="R80" s="73" t="s">
        <v>408</v>
      </c>
      <c r="S80" s="74"/>
      <c r="T80" s="74"/>
      <c r="U80" s="74"/>
      <c r="V80" s="74"/>
      <c r="W80" s="74"/>
      <c r="X80" s="74"/>
      <c r="Y80" s="74"/>
      <c r="Z80" s="74"/>
      <c r="AA80" s="74"/>
      <c r="AB80" s="75"/>
      <c r="AC80" s="251" t="str" cm="1">
        <f t="array" ref="AC80">_xlfn.SWITCH(BM80,"String","varchar("&amp;BN80&amp;")","Long","int","Integer","smallint","Double","decimal(9,2)","Currency","int")</f>
        <v>int</v>
      </c>
      <c r="AD80" s="252"/>
      <c r="AE80" s="252"/>
      <c r="AF80" s="252"/>
      <c r="AG80" s="253"/>
      <c r="AH80" s="73"/>
      <c r="AI80" s="75"/>
      <c r="AJ80" s="73"/>
      <c r="AK80" s="74"/>
      <c r="AL80" s="75"/>
      <c r="AM80" s="73"/>
      <c r="AN80" s="74"/>
      <c r="AO80" s="74"/>
      <c r="AP80" s="74"/>
      <c r="AQ80" s="74"/>
      <c r="AR80" s="74"/>
      <c r="AS80" s="75"/>
      <c r="AT80" s="269" t="s">
        <v>470</v>
      </c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  <c r="BI80" s="270"/>
      <c r="BJ80" s="271"/>
      <c r="BK80" s="4"/>
      <c r="BL80" s="127" t="str">
        <f t="shared" si="16"/>
        <v>a
b</v>
      </c>
      <c r="BM80" t="s">
        <v>453</v>
      </c>
      <c r="BP80" t="str">
        <f t="shared" si="17"/>
        <v>,`PROMO_UNT_PRC` int  COMMENT 'プロモーション単価'</v>
      </c>
      <c r="BQ80" t="s">
        <v>223</v>
      </c>
      <c r="BR80" t="str">
        <f t="shared" si="18"/>
        <v xml:space="preserve">,`PROMO_UNT_PRC` int </v>
      </c>
      <c r="BS80" t="s">
        <v>223</v>
      </c>
      <c r="BT80" t="str">
        <f t="shared" si="7"/>
        <v>,`PROMO_UNT_PRC`</v>
      </c>
      <c r="BU80" t="s">
        <v>223</v>
      </c>
      <c r="BV80" s="82" t="str">
        <f t="shared" si="19"/>
        <v>,A.`PROMO_UNT_PRC` = B.`PROMO_UNT_PRC`</v>
      </c>
      <c r="BW80" t="s">
        <v>223</v>
      </c>
      <c r="BX80" s="82" t="str">
        <f t="shared" si="20"/>
        <v>,`PROMO_UNT_PRC`</v>
      </c>
      <c r="BY80" t="s">
        <v>223</v>
      </c>
      <c r="BZ80" s="82" t="str">
        <f t="shared" si="21"/>
        <v>,`PROMO_UNT_PRC`</v>
      </c>
      <c r="CA80" t="s">
        <v>223</v>
      </c>
    </row>
    <row r="81" spans="1:79" ht="31.5">
      <c r="A81" s="84" t="s">
        <v>572</v>
      </c>
      <c r="B81" s="71">
        <v>9</v>
      </c>
      <c r="C81" s="72"/>
      <c r="D81" s="73" t="s">
        <v>315</v>
      </c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5"/>
      <c r="R81" s="73" t="s">
        <v>409</v>
      </c>
      <c r="S81" s="74"/>
      <c r="T81" s="74"/>
      <c r="U81" s="74"/>
      <c r="V81" s="74"/>
      <c r="W81" s="74"/>
      <c r="X81" s="74"/>
      <c r="Y81" s="74"/>
      <c r="Z81" s="74"/>
      <c r="AA81" s="74"/>
      <c r="AB81" s="75"/>
      <c r="AC81" s="251" t="str" cm="1">
        <f t="array" ref="AC81">_xlfn.SWITCH(BM81,"String","varchar("&amp;BN81&amp;")","Long","int","Integer","smallint","Double","decimal(9,2)","Currency","int")</f>
        <v>smallint</v>
      </c>
      <c r="AD81" s="252"/>
      <c r="AE81" s="252"/>
      <c r="AF81" s="252"/>
      <c r="AG81" s="253"/>
      <c r="AH81" s="73"/>
      <c r="AI81" s="75"/>
      <c r="AJ81" s="73"/>
      <c r="AK81" s="74"/>
      <c r="AL81" s="75"/>
      <c r="AM81" s="73"/>
      <c r="AN81" s="74"/>
      <c r="AO81" s="74"/>
      <c r="AP81" s="74"/>
      <c r="AQ81" s="74"/>
      <c r="AR81" s="74"/>
      <c r="AS81" s="75"/>
      <c r="AT81" s="269" t="s">
        <v>470</v>
      </c>
      <c r="AU81" s="270"/>
      <c r="AV81" s="270"/>
      <c r="AW81" s="270"/>
      <c r="AX81" s="270"/>
      <c r="AY81" s="270"/>
      <c r="AZ81" s="270"/>
      <c r="BA81" s="270"/>
      <c r="BB81" s="270"/>
      <c r="BC81" s="270"/>
      <c r="BD81" s="270"/>
      <c r="BE81" s="270"/>
      <c r="BF81" s="270"/>
      <c r="BG81" s="270"/>
      <c r="BH81" s="270"/>
      <c r="BI81" s="270"/>
      <c r="BJ81" s="271"/>
      <c r="BK81" s="4"/>
      <c r="BL81" s="127" t="str">
        <f t="shared" si="16"/>
        <v>a
b</v>
      </c>
      <c r="BM81" t="s">
        <v>451</v>
      </c>
      <c r="BP81" t="str">
        <f t="shared" si="17"/>
        <v>,`PROMO_EXCL_OFFER` smallint  COMMENT 'プロモーション申込'</v>
      </c>
      <c r="BQ81" t="s">
        <v>223</v>
      </c>
      <c r="BR81" t="str">
        <f t="shared" si="18"/>
        <v xml:space="preserve">,`PROMO_EXCL_OFFER` smallint </v>
      </c>
      <c r="BS81" t="s">
        <v>223</v>
      </c>
      <c r="BT81" t="str">
        <f t="shared" si="7"/>
        <v>,`PROMO_EXCL_OFFER`</v>
      </c>
      <c r="BU81" t="s">
        <v>223</v>
      </c>
      <c r="BV81" s="82" t="str">
        <f t="shared" si="19"/>
        <v>,A.`PROMO_EXCL_OFFER` = B.`PROMO_EXCL_OFFER`</v>
      </c>
      <c r="BW81" t="s">
        <v>223</v>
      </c>
      <c r="BX81" s="82" t="str">
        <f t="shared" si="20"/>
        <v>,`PROMO_EXCL_OFFER`</v>
      </c>
      <c r="BY81" t="s">
        <v>223</v>
      </c>
      <c r="BZ81" s="82" t="str">
        <f t="shared" si="21"/>
        <v>,`PROMO_EXCL_OFFER`</v>
      </c>
      <c r="CA81" t="s">
        <v>223</v>
      </c>
    </row>
    <row r="82" spans="1:79" ht="31.5">
      <c r="A82" s="84" t="s">
        <v>573</v>
      </c>
      <c r="B82" s="71">
        <v>9</v>
      </c>
      <c r="C82" s="72"/>
      <c r="D82" s="73" t="s">
        <v>316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5"/>
      <c r="R82" s="73" t="s">
        <v>410</v>
      </c>
      <c r="S82" s="74"/>
      <c r="T82" s="74"/>
      <c r="U82" s="74"/>
      <c r="V82" s="74"/>
      <c r="W82" s="74"/>
      <c r="X82" s="74"/>
      <c r="Y82" s="74"/>
      <c r="Z82" s="74"/>
      <c r="AA82" s="74"/>
      <c r="AB82" s="75"/>
      <c r="AC82" s="251" t="str" cm="1">
        <f t="array" ref="AC82">_xlfn.SWITCH(BM82,"String","varchar("&amp;BN82&amp;")","Long","int","Integer","smallint","Double","decimal(9,2)","Currency","int")</f>
        <v>smallint</v>
      </c>
      <c r="AD82" s="252"/>
      <c r="AE82" s="252"/>
      <c r="AF82" s="252"/>
      <c r="AG82" s="253"/>
      <c r="AH82" s="73"/>
      <c r="AI82" s="75"/>
      <c r="AJ82" s="73"/>
      <c r="AK82" s="74"/>
      <c r="AL82" s="75"/>
      <c r="AM82" s="73"/>
      <c r="AN82" s="74"/>
      <c r="AO82" s="74"/>
      <c r="AP82" s="74"/>
      <c r="AQ82" s="74"/>
      <c r="AR82" s="74"/>
      <c r="AS82" s="75"/>
      <c r="AT82" s="269" t="s">
        <v>470</v>
      </c>
      <c r="AU82" s="270"/>
      <c r="AV82" s="270"/>
      <c r="AW82" s="270"/>
      <c r="AX82" s="270"/>
      <c r="AY82" s="270"/>
      <c r="AZ82" s="270"/>
      <c r="BA82" s="270"/>
      <c r="BB82" s="270"/>
      <c r="BC82" s="270"/>
      <c r="BD82" s="270"/>
      <c r="BE82" s="270"/>
      <c r="BF82" s="270"/>
      <c r="BG82" s="270"/>
      <c r="BH82" s="270"/>
      <c r="BI82" s="270"/>
      <c r="BJ82" s="271"/>
      <c r="BK82" s="4"/>
      <c r="BL82" s="127" t="str">
        <f t="shared" si="16"/>
        <v>a
b</v>
      </c>
      <c r="BM82" t="s">
        <v>451</v>
      </c>
      <c r="BP82" t="str">
        <f t="shared" si="17"/>
        <v>,`PROMO_EXPN_FG` smallint  COMMENT 'プロモーション費用'</v>
      </c>
      <c r="BQ82" t="s">
        <v>223</v>
      </c>
      <c r="BR82" t="str">
        <f t="shared" si="18"/>
        <v xml:space="preserve">,`PROMO_EXPN_FG` smallint </v>
      </c>
      <c r="BS82" t="s">
        <v>223</v>
      </c>
      <c r="BT82" t="str">
        <f t="shared" si="7"/>
        <v>,`PROMO_EXPN_FG`</v>
      </c>
      <c r="BU82" t="s">
        <v>223</v>
      </c>
      <c r="BV82" s="82" t="str">
        <f t="shared" si="19"/>
        <v>,A.`PROMO_EXPN_FG` = B.`PROMO_EXPN_FG`</v>
      </c>
      <c r="BW82" t="s">
        <v>223</v>
      </c>
      <c r="BX82" s="82" t="str">
        <f t="shared" si="20"/>
        <v>,`PROMO_EXPN_FG`</v>
      </c>
      <c r="BY82" t="s">
        <v>223</v>
      </c>
      <c r="BZ82" s="82" t="str">
        <f t="shared" si="21"/>
        <v>,`PROMO_EXPN_FG`</v>
      </c>
      <c r="CA82" t="s">
        <v>223</v>
      </c>
    </row>
    <row r="83" spans="1:79" ht="31.5">
      <c r="A83" s="84" t="s">
        <v>574</v>
      </c>
      <c r="B83" s="71">
        <v>9</v>
      </c>
      <c r="C83" s="72"/>
      <c r="D83" s="73" t="s">
        <v>317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5"/>
      <c r="R83" s="73" t="s">
        <v>411</v>
      </c>
      <c r="S83" s="74"/>
      <c r="T83" s="74"/>
      <c r="U83" s="74"/>
      <c r="V83" s="74"/>
      <c r="W83" s="74"/>
      <c r="X83" s="74"/>
      <c r="Y83" s="74"/>
      <c r="Z83" s="74"/>
      <c r="AA83" s="74"/>
      <c r="AB83" s="75"/>
      <c r="AC83" s="251" t="str" cm="1">
        <f t="array" ref="AC83">_xlfn.SWITCH(BM83,"String","varchar("&amp;BN83&amp;")","Long","int","Integer","smallint","Double","decimal(9,2)","Currency","int")</f>
        <v>varchar(20)</v>
      </c>
      <c r="AD83" s="252"/>
      <c r="AE83" s="252"/>
      <c r="AF83" s="252"/>
      <c r="AG83" s="253"/>
      <c r="AH83" s="73"/>
      <c r="AI83" s="75"/>
      <c r="AJ83" s="73"/>
      <c r="AK83" s="74"/>
      <c r="AL83" s="75"/>
      <c r="AM83" s="73"/>
      <c r="AN83" s="74"/>
      <c r="AO83" s="74"/>
      <c r="AP83" s="74"/>
      <c r="AQ83" s="74"/>
      <c r="AR83" s="74"/>
      <c r="AS83" s="75"/>
      <c r="AT83" s="269" t="s">
        <v>472</v>
      </c>
      <c r="AU83" s="270"/>
      <c r="AV83" s="270"/>
      <c r="AW83" s="270"/>
      <c r="AX83" s="270"/>
      <c r="AY83" s="270"/>
      <c r="AZ83" s="270"/>
      <c r="BA83" s="270"/>
      <c r="BB83" s="270"/>
      <c r="BC83" s="270"/>
      <c r="BD83" s="270"/>
      <c r="BE83" s="270"/>
      <c r="BF83" s="270"/>
      <c r="BG83" s="270"/>
      <c r="BH83" s="270"/>
      <c r="BI83" s="270"/>
      <c r="BJ83" s="271"/>
      <c r="BK83" s="4"/>
      <c r="BL83" s="127" t="str">
        <f t="shared" si="16"/>
        <v>a
b</v>
      </c>
      <c r="BM83" t="s">
        <v>449</v>
      </c>
      <c r="BN83">
        <v>20</v>
      </c>
      <c r="BP83" t="str">
        <f t="shared" si="17"/>
        <v>,`PROMO_GL_ACCT` varchar(20)  COMMENT 'プロモーション貯金'</v>
      </c>
      <c r="BQ83" t="s">
        <v>223</v>
      </c>
      <c r="BR83" t="str">
        <f t="shared" si="18"/>
        <v xml:space="preserve">,`PROMO_GL_ACCT` varchar(20) </v>
      </c>
      <c r="BS83" t="s">
        <v>223</v>
      </c>
      <c r="BT83" t="str">
        <f t="shared" si="7"/>
        <v>,`PROMO_GL_ACCT`</v>
      </c>
      <c r="BU83" t="s">
        <v>223</v>
      </c>
      <c r="BV83" s="82" t="str">
        <f t="shared" si="19"/>
        <v>,A.`PROMO_GL_ACCT` = B.`PROMO_GL_ACCT`</v>
      </c>
      <c r="BW83" t="s">
        <v>223</v>
      </c>
      <c r="BX83" s="82" t="str">
        <f t="shared" si="20"/>
        <v>,`PROMO_GL_ACCT`</v>
      </c>
      <c r="BY83" t="s">
        <v>223</v>
      </c>
      <c r="BZ83" s="82" t="str">
        <f t="shared" si="21"/>
        <v>,`PROMO_GL_ACCT`</v>
      </c>
      <c r="CA83" t="s">
        <v>223</v>
      </c>
    </row>
    <row r="84" spans="1:79" ht="31.5">
      <c r="A84" s="84" t="s">
        <v>575</v>
      </c>
      <c r="B84" s="71">
        <v>9</v>
      </c>
      <c r="C84" s="72"/>
      <c r="D84" s="73" t="s">
        <v>318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73" t="s">
        <v>412</v>
      </c>
      <c r="S84" s="74"/>
      <c r="T84" s="74"/>
      <c r="U84" s="74"/>
      <c r="V84" s="74"/>
      <c r="W84" s="74"/>
      <c r="X84" s="74"/>
      <c r="Y84" s="74"/>
      <c r="Z84" s="74"/>
      <c r="AA84" s="74"/>
      <c r="AB84" s="75"/>
      <c r="AC84" s="251" t="str" cm="1">
        <f t="array" ref="AC84">_xlfn.SWITCH(BM84,"String","varchar("&amp;BN84&amp;")","Long","int","Integer","smallint","Double","decimal(9,2)","Currency","int")</f>
        <v>varchar(20)</v>
      </c>
      <c r="AD84" s="252"/>
      <c r="AE84" s="252"/>
      <c r="AF84" s="252"/>
      <c r="AG84" s="253"/>
      <c r="AH84" s="73"/>
      <c r="AI84" s="75"/>
      <c r="AJ84" s="73"/>
      <c r="AK84" s="74"/>
      <c r="AL84" s="75"/>
      <c r="AM84" s="73"/>
      <c r="AN84" s="74"/>
      <c r="AO84" s="74"/>
      <c r="AP84" s="74"/>
      <c r="AQ84" s="74"/>
      <c r="AR84" s="74"/>
      <c r="AS84" s="75"/>
      <c r="AT84" s="269" t="s">
        <v>472</v>
      </c>
      <c r="AU84" s="270"/>
      <c r="AV84" s="270"/>
      <c r="AW84" s="270"/>
      <c r="AX84" s="270"/>
      <c r="AY84" s="270"/>
      <c r="AZ84" s="270"/>
      <c r="BA84" s="270"/>
      <c r="BB84" s="270"/>
      <c r="BC84" s="270"/>
      <c r="BD84" s="270"/>
      <c r="BE84" s="270"/>
      <c r="BF84" s="270"/>
      <c r="BG84" s="270"/>
      <c r="BH84" s="270"/>
      <c r="BI84" s="270"/>
      <c r="BJ84" s="271"/>
      <c r="BK84" s="4"/>
      <c r="BL84" s="127" t="str">
        <f t="shared" si="16"/>
        <v>a
b</v>
      </c>
      <c r="BM84" t="s">
        <v>449</v>
      </c>
      <c r="BN84">
        <v>20</v>
      </c>
      <c r="BP84" t="str">
        <f t="shared" si="17"/>
        <v>,`VAT_CD` varchar(20)  COMMENT 'ＶＡＴコード'</v>
      </c>
      <c r="BQ84" t="s">
        <v>223</v>
      </c>
      <c r="BR84" t="str">
        <f t="shared" si="18"/>
        <v xml:space="preserve">,`VAT_CD` varchar(20) </v>
      </c>
      <c r="BS84" t="s">
        <v>223</v>
      </c>
      <c r="BT84" t="str">
        <f t="shared" si="7"/>
        <v>,`VAT_CD`</v>
      </c>
      <c r="BU84" t="s">
        <v>223</v>
      </c>
      <c r="BV84" s="82" t="str">
        <f t="shared" si="19"/>
        <v>,A.`VAT_CD` = B.`VAT_CD`</v>
      </c>
      <c r="BW84" t="s">
        <v>223</v>
      </c>
      <c r="BX84" s="82" t="str">
        <f t="shared" si="20"/>
        <v>,`VAT_CD`</v>
      </c>
      <c r="BY84" t="s">
        <v>223</v>
      </c>
      <c r="BZ84" s="82" t="str">
        <f t="shared" si="21"/>
        <v>,`VAT_CD`</v>
      </c>
      <c r="CA84" t="s">
        <v>223</v>
      </c>
    </row>
    <row r="85" spans="1:79" ht="31.5">
      <c r="A85" s="84" t="s">
        <v>576</v>
      </c>
      <c r="B85" s="71">
        <v>9</v>
      </c>
      <c r="C85" s="72"/>
      <c r="D85" s="73" t="s">
        <v>319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5"/>
      <c r="R85" s="73" t="s">
        <v>413</v>
      </c>
      <c r="S85" s="74"/>
      <c r="T85" s="74"/>
      <c r="U85" s="74"/>
      <c r="V85" s="74"/>
      <c r="W85" s="74"/>
      <c r="X85" s="74"/>
      <c r="Y85" s="74"/>
      <c r="Z85" s="74"/>
      <c r="AA85" s="74"/>
      <c r="AB85" s="75"/>
      <c r="AC85" s="251" t="str" cm="1">
        <f t="array" ref="AC85">_xlfn.SWITCH(BM85,"String","varchar("&amp;BN85&amp;")","Long","int","Integer","smallint","Double","decimal(9,2)","Currency","int")</f>
        <v>varchar(20)</v>
      </c>
      <c r="AD85" s="252"/>
      <c r="AE85" s="252"/>
      <c r="AF85" s="252"/>
      <c r="AG85" s="253"/>
      <c r="AH85" s="73"/>
      <c r="AI85" s="75"/>
      <c r="AJ85" s="73"/>
      <c r="AK85" s="74"/>
      <c r="AL85" s="75"/>
      <c r="AM85" s="73"/>
      <c r="AN85" s="74"/>
      <c r="AO85" s="74"/>
      <c r="AP85" s="74"/>
      <c r="AQ85" s="74"/>
      <c r="AR85" s="74"/>
      <c r="AS85" s="75"/>
      <c r="AT85" s="269" t="s">
        <v>472</v>
      </c>
      <c r="AU85" s="270"/>
      <c r="AV85" s="270"/>
      <c r="AW85" s="270"/>
      <c r="AX85" s="270"/>
      <c r="AY85" s="270"/>
      <c r="AZ85" s="270"/>
      <c r="BA85" s="270"/>
      <c r="BB85" s="270"/>
      <c r="BC85" s="270"/>
      <c r="BD85" s="270"/>
      <c r="BE85" s="270"/>
      <c r="BF85" s="270"/>
      <c r="BG85" s="270"/>
      <c r="BH85" s="270"/>
      <c r="BI85" s="270"/>
      <c r="BJ85" s="271"/>
      <c r="BK85" s="4"/>
      <c r="BL85" s="127" t="str">
        <f t="shared" ref="BL85:BL120" si="22">REPT("a"&amp;CHAR(10)&amp;"b",INT(LENB(SUBSTITUTE(AT85,CHAR(10),""))/70)+1)</f>
        <v>a
b</v>
      </c>
      <c r="BM85" t="s">
        <v>449</v>
      </c>
      <c r="BN85">
        <v>20</v>
      </c>
      <c r="BP85" t="str">
        <f t="shared" si="17"/>
        <v>,`GL_ACCT_ID` varchar(20)  COMMENT 'Ｇ／Ｌ口座ナンバー'</v>
      </c>
      <c r="BQ85" t="s">
        <v>223</v>
      </c>
      <c r="BR85" t="str">
        <f t="shared" si="18"/>
        <v xml:space="preserve">,`GL_ACCT_ID` varchar(20) </v>
      </c>
      <c r="BS85" t="s">
        <v>223</v>
      </c>
      <c r="BT85" t="str">
        <f t="shared" si="7"/>
        <v>,`GL_ACCT_ID`</v>
      </c>
      <c r="BU85" t="s">
        <v>223</v>
      </c>
      <c r="BV85" s="82" t="str">
        <f t="shared" si="19"/>
        <v>,A.`GL_ACCT_ID` = B.`GL_ACCT_ID`</v>
      </c>
      <c r="BW85" t="s">
        <v>223</v>
      </c>
      <c r="BX85" s="82" t="str">
        <f t="shared" si="20"/>
        <v>,`GL_ACCT_ID`</v>
      </c>
      <c r="BY85" t="s">
        <v>223</v>
      </c>
      <c r="BZ85" s="82" t="str">
        <f t="shared" si="21"/>
        <v>,`GL_ACCT_ID`</v>
      </c>
      <c r="CA85" t="s">
        <v>223</v>
      </c>
    </row>
    <row r="86" spans="1:79" ht="31.5">
      <c r="A86" s="84" t="s">
        <v>577</v>
      </c>
      <c r="B86" s="71">
        <v>9</v>
      </c>
      <c r="C86" s="72"/>
      <c r="D86" s="73" t="s">
        <v>320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5"/>
      <c r="R86" s="73" t="s">
        <v>414</v>
      </c>
      <c r="S86" s="74"/>
      <c r="T86" s="74"/>
      <c r="U86" s="74"/>
      <c r="V86" s="74"/>
      <c r="W86" s="74"/>
      <c r="X86" s="74"/>
      <c r="Y86" s="74"/>
      <c r="Z86" s="74"/>
      <c r="AA86" s="74"/>
      <c r="AB86" s="75"/>
      <c r="AC86" s="251" t="str" cm="1">
        <f t="array" ref="AC86">_xlfn.SWITCH(BM86,"String","varchar("&amp;BN86&amp;")","Long","int","Integer","smallint","Double","decimal(9,2)","Currency","int")</f>
        <v>smallint</v>
      </c>
      <c r="AD86" s="252"/>
      <c r="AE86" s="252"/>
      <c r="AF86" s="252"/>
      <c r="AG86" s="253"/>
      <c r="AH86" s="73"/>
      <c r="AI86" s="75"/>
      <c r="AJ86" s="73"/>
      <c r="AK86" s="74"/>
      <c r="AL86" s="75"/>
      <c r="AM86" s="73"/>
      <c r="AN86" s="74"/>
      <c r="AO86" s="74"/>
      <c r="AP86" s="74"/>
      <c r="AQ86" s="74"/>
      <c r="AR86" s="74"/>
      <c r="AS86" s="75"/>
      <c r="AT86" s="269" t="s">
        <v>470</v>
      </c>
      <c r="AU86" s="270"/>
      <c r="AV86" s="270"/>
      <c r="AW86" s="270"/>
      <c r="AX86" s="270"/>
      <c r="AY86" s="270"/>
      <c r="AZ86" s="270"/>
      <c r="BA86" s="270"/>
      <c r="BB86" s="270"/>
      <c r="BC86" s="270"/>
      <c r="BD86" s="270"/>
      <c r="BE86" s="270"/>
      <c r="BF86" s="270"/>
      <c r="BG86" s="270"/>
      <c r="BH86" s="270"/>
      <c r="BI86" s="270"/>
      <c r="BJ86" s="271"/>
      <c r="BK86" s="4"/>
      <c r="BL86" s="127" t="str">
        <f t="shared" si="22"/>
        <v>a
b</v>
      </c>
      <c r="BM86" t="s">
        <v>451</v>
      </c>
      <c r="BP86" t="str">
        <f t="shared" si="5"/>
        <v>,`ITM_GRP_CD` smallint  COMMENT '商品グループコード'</v>
      </c>
      <c r="BQ86" t="s">
        <v>223</v>
      </c>
      <c r="BR86" t="str">
        <f t="shared" si="6"/>
        <v xml:space="preserve">,`ITM_GRP_CD` smallint </v>
      </c>
      <c r="BS86" t="s">
        <v>223</v>
      </c>
      <c r="BT86" t="str">
        <f t="shared" si="7"/>
        <v>,`ITM_GRP_CD`</v>
      </c>
      <c r="BU86" t="s">
        <v>223</v>
      </c>
      <c r="BV86" s="82" t="str">
        <f t="shared" si="8"/>
        <v>,A.`ITM_GRP_CD` = B.`ITM_GRP_CD`</v>
      </c>
      <c r="BW86" t="s">
        <v>223</v>
      </c>
      <c r="BX86" s="82" t="str">
        <f t="shared" si="9"/>
        <v>,`ITM_GRP_CD`</v>
      </c>
      <c r="BY86" t="s">
        <v>223</v>
      </c>
      <c r="BZ86" s="82" t="str">
        <f t="shared" si="10"/>
        <v>,`ITM_GRP_CD`</v>
      </c>
      <c r="CA86" t="s">
        <v>223</v>
      </c>
    </row>
    <row r="87" spans="1:79" ht="31.5">
      <c r="A87" s="84" t="s">
        <v>578</v>
      </c>
      <c r="B87" s="23">
        <v>9</v>
      </c>
      <c r="C87" s="24"/>
      <c r="D87" s="22" t="s">
        <v>321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6"/>
      <c r="R87" s="22" t="s">
        <v>415</v>
      </c>
      <c r="S87" s="25"/>
      <c r="T87" s="25"/>
      <c r="U87" s="25"/>
      <c r="V87" s="25"/>
      <c r="W87" s="25"/>
      <c r="X87" s="25"/>
      <c r="Y87" s="25"/>
      <c r="Z87" s="25"/>
      <c r="AA87" s="25"/>
      <c r="AB87" s="26"/>
      <c r="AC87" s="257" t="str" cm="1">
        <f t="array" ref="AC87">_xlfn.SWITCH(BM87,"String","varchar("&amp;BN87&amp;")","Long","int","Integer","smallint","Double","decimal(9,2)","Currency","int")</f>
        <v>smallint</v>
      </c>
      <c r="AD87" s="258"/>
      <c r="AE87" s="258"/>
      <c r="AF87" s="258"/>
      <c r="AG87" s="259"/>
      <c r="AH87" s="22"/>
      <c r="AI87" s="26"/>
      <c r="AJ87" s="22"/>
      <c r="AK87" s="25"/>
      <c r="AL87" s="26"/>
      <c r="AM87" s="22"/>
      <c r="AN87" s="25"/>
      <c r="AO87" s="25"/>
      <c r="AP87" s="25"/>
      <c r="AQ87" s="25"/>
      <c r="AR87" s="25"/>
      <c r="AS87" s="26"/>
      <c r="AT87" s="279" t="s">
        <v>479</v>
      </c>
      <c r="AU87" s="280"/>
      <c r="AV87" s="280"/>
      <c r="AW87" s="280"/>
      <c r="AX87" s="280"/>
      <c r="AY87" s="280"/>
      <c r="AZ87" s="280"/>
      <c r="BA87" s="280"/>
      <c r="BB87" s="280"/>
      <c r="BC87" s="280"/>
      <c r="BD87" s="280"/>
      <c r="BE87" s="280"/>
      <c r="BF87" s="280"/>
      <c r="BG87" s="280"/>
      <c r="BH87" s="280"/>
      <c r="BI87" s="280"/>
      <c r="BJ87" s="281"/>
      <c r="BK87" s="4"/>
      <c r="BL87" s="127" t="str">
        <f t="shared" si="22"/>
        <v>a
b</v>
      </c>
      <c r="BM87" t="s">
        <v>451</v>
      </c>
      <c r="BP87" t="str">
        <f t="shared" si="5"/>
        <v>,`NON_MDSE_FG` smallint  COMMENT '非商品フラグ'</v>
      </c>
      <c r="BQ87" t="s">
        <v>223</v>
      </c>
      <c r="BR87" t="str">
        <f t="shared" si="6"/>
        <v xml:space="preserve">,`NON_MDSE_FG` smallint </v>
      </c>
      <c r="BS87" t="s">
        <v>223</v>
      </c>
      <c r="BT87" t="str">
        <f t="shared" si="7"/>
        <v>,`NON_MDSE_FG`</v>
      </c>
      <c r="BU87" t="s">
        <v>223</v>
      </c>
      <c r="BV87" s="82" t="str">
        <f t="shared" si="8"/>
        <v>,A.`NON_MDSE_FG` = B.`NON_MDSE_FG`</v>
      </c>
      <c r="BW87" t="s">
        <v>223</v>
      </c>
      <c r="BX87" s="82" t="str">
        <f t="shared" si="9"/>
        <v>,`NON_MDSE_FG`</v>
      </c>
      <c r="BY87" t="s">
        <v>223</v>
      </c>
      <c r="BZ87" s="82" t="str">
        <f t="shared" si="10"/>
        <v>,`NON_MDSE_FG`</v>
      </c>
      <c r="CA87" t="s">
        <v>223</v>
      </c>
    </row>
    <row r="88" spans="1:79" ht="31.5">
      <c r="A88" s="84" t="s">
        <v>579</v>
      </c>
      <c r="B88" s="71">
        <v>9</v>
      </c>
      <c r="C88" s="72"/>
      <c r="D88" s="73" t="s">
        <v>322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5"/>
      <c r="R88" s="73" t="s">
        <v>416</v>
      </c>
      <c r="S88" s="74"/>
      <c r="T88" s="74"/>
      <c r="U88" s="74"/>
      <c r="V88" s="74"/>
      <c r="W88" s="74"/>
      <c r="X88" s="74"/>
      <c r="Y88" s="74"/>
      <c r="Z88" s="74"/>
      <c r="AA88" s="74"/>
      <c r="AB88" s="75"/>
      <c r="AC88" s="251" t="str" cm="1">
        <f t="array" ref="AC88">_xlfn.SWITCH(BM88,"String","varchar("&amp;BN88&amp;")","Long","int","Integer","smallint","Double","decimal(9,2)","Currency","int")</f>
        <v>smallint</v>
      </c>
      <c r="AD88" s="252"/>
      <c r="AE88" s="252"/>
      <c r="AF88" s="252"/>
      <c r="AG88" s="253"/>
      <c r="AH88" s="73"/>
      <c r="AI88" s="75"/>
      <c r="AJ88" s="73"/>
      <c r="AK88" s="74"/>
      <c r="AL88" s="75"/>
      <c r="AM88" s="73"/>
      <c r="AN88" s="74"/>
      <c r="AO88" s="74"/>
      <c r="AP88" s="74"/>
      <c r="AQ88" s="74"/>
      <c r="AR88" s="74"/>
      <c r="AS88" s="75"/>
      <c r="AT88" s="269" t="s">
        <v>470</v>
      </c>
      <c r="AU88" s="270"/>
      <c r="AV88" s="270"/>
      <c r="AW88" s="270"/>
      <c r="AX88" s="270"/>
      <c r="AY88" s="270"/>
      <c r="AZ88" s="270"/>
      <c r="BA88" s="270"/>
      <c r="BB88" s="270"/>
      <c r="BC88" s="270"/>
      <c r="BD88" s="270"/>
      <c r="BE88" s="270"/>
      <c r="BF88" s="270"/>
      <c r="BG88" s="270"/>
      <c r="BH88" s="270"/>
      <c r="BI88" s="270"/>
      <c r="BJ88" s="271"/>
      <c r="BK88" s="4"/>
      <c r="BL88" s="127" t="str">
        <f t="shared" si="22"/>
        <v>a
b</v>
      </c>
      <c r="BM88" t="s">
        <v>451</v>
      </c>
      <c r="BP88" t="str">
        <f t="shared" si="5"/>
        <v>,`PROMO_EXCL_DISC` smallint  COMMENT 'プロモーション割引'</v>
      </c>
      <c r="BQ88" t="s">
        <v>223</v>
      </c>
      <c r="BR88" t="str">
        <f t="shared" si="6"/>
        <v xml:space="preserve">,`PROMO_EXCL_DISC` smallint </v>
      </c>
      <c r="BS88" t="s">
        <v>223</v>
      </c>
      <c r="BT88" t="str">
        <f t="shared" si="7"/>
        <v>,`PROMO_EXCL_DISC`</v>
      </c>
      <c r="BU88" t="s">
        <v>223</v>
      </c>
      <c r="BV88" s="82" t="str">
        <f t="shared" si="8"/>
        <v>,A.`PROMO_EXCL_DISC` = B.`PROMO_EXCL_DISC`</v>
      </c>
      <c r="BW88" t="s">
        <v>223</v>
      </c>
      <c r="BX88" s="82" t="str">
        <f t="shared" si="9"/>
        <v>,`PROMO_EXCL_DISC`</v>
      </c>
      <c r="BY88" t="s">
        <v>223</v>
      </c>
      <c r="BZ88" s="82" t="str">
        <f t="shared" si="10"/>
        <v>,`PROMO_EXCL_DISC`</v>
      </c>
      <c r="CA88" t="s">
        <v>223</v>
      </c>
    </row>
    <row r="89" spans="1:79" ht="31.5">
      <c r="A89" s="84" t="s">
        <v>580</v>
      </c>
      <c r="B89" s="71">
        <v>9</v>
      </c>
      <c r="C89" s="72"/>
      <c r="D89" s="73" t="s">
        <v>323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5"/>
      <c r="R89" s="73" t="s">
        <v>417</v>
      </c>
      <c r="S89" s="74"/>
      <c r="T89" s="74"/>
      <c r="U89" s="74"/>
      <c r="V89" s="74"/>
      <c r="W89" s="74"/>
      <c r="X89" s="74"/>
      <c r="Y89" s="74"/>
      <c r="Z89" s="74"/>
      <c r="AA89" s="74"/>
      <c r="AB89" s="75"/>
      <c r="AC89" s="251" t="str" cm="1">
        <f t="array" ref="AC89">_xlfn.SWITCH(BM89,"String","varchar("&amp;BN89&amp;")","Long","int","Integer","smallint","Double","decimal(9,2)","Currency","int")</f>
        <v>smallint</v>
      </c>
      <c r="AD89" s="252"/>
      <c r="AE89" s="252"/>
      <c r="AF89" s="252"/>
      <c r="AG89" s="253"/>
      <c r="AH89" s="73"/>
      <c r="AI89" s="75"/>
      <c r="AJ89" s="73"/>
      <c r="AK89" s="74"/>
      <c r="AL89" s="75"/>
      <c r="AM89" s="73"/>
      <c r="AN89" s="74"/>
      <c r="AO89" s="74"/>
      <c r="AP89" s="74"/>
      <c r="AQ89" s="74"/>
      <c r="AR89" s="74"/>
      <c r="AS89" s="75"/>
      <c r="AT89" s="269" t="s">
        <v>470</v>
      </c>
      <c r="AU89" s="270"/>
      <c r="AV89" s="270"/>
      <c r="AW89" s="270"/>
      <c r="AX89" s="270"/>
      <c r="AY89" s="270"/>
      <c r="AZ89" s="270"/>
      <c r="BA89" s="270"/>
      <c r="BB89" s="270"/>
      <c r="BC89" s="270"/>
      <c r="BD89" s="270"/>
      <c r="BE89" s="270"/>
      <c r="BF89" s="270"/>
      <c r="BG89" s="270"/>
      <c r="BH89" s="270"/>
      <c r="BI89" s="270"/>
      <c r="BJ89" s="271"/>
      <c r="BK89" s="4"/>
      <c r="BL89" s="127" t="str">
        <f t="shared" si="22"/>
        <v>a
b</v>
      </c>
      <c r="BM89" t="s">
        <v>451</v>
      </c>
      <c r="BP89" t="str">
        <f t="shared" si="5"/>
        <v>,`DEAL_EXCL_OFFER` smallint  COMMENT '契約申込'</v>
      </c>
      <c r="BQ89" t="s">
        <v>223</v>
      </c>
      <c r="BR89" t="str">
        <f t="shared" si="6"/>
        <v xml:space="preserve">,`DEAL_EXCL_OFFER` smallint </v>
      </c>
      <c r="BS89" t="s">
        <v>223</v>
      </c>
      <c r="BT89" t="str">
        <f t="shared" si="7"/>
        <v>,`DEAL_EXCL_OFFER`</v>
      </c>
      <c r="BU89" t="s">
        <v>223</v>
      </c>
      <c r="BV89" s="82" t="str">
        <f t="shared" si="8"/>
        <v>,A.`DEAL_EXCL_OFFER` = B.`DEAL_EXCL_OFFER`</v>
      </c>
      <c r="BW89" t="s">
        <v>223</v>
      </c>
      <c r="BX89" s="82" t="str">
        <f t="shared" si="9"/>
        <v>,`DEAL_EXCL_OFFER`</v>
      </c>
      <c r="BY89" t="s">
        <v>223</v>
      </c>
      <c r="BZ89" s="82" t="str">
        <f t="shared" si="10"/>
        <v>,`DEAL_EXCL_OFFER`</v>
      </c>
      <c r="CA89" t="s">
        <v>223</v>
      </c>
    </row>
    <row r="90" spans="1:79" ht="31.5">
      <c r="A90" s="84" t="s">
        <v>581</v>
      </c>
      <c r="B90" s="71">
        <v>9</v>
      </c>
      <c r="C90" s="72"/>
      <c r="D90" s="73" t="s">
        <v>324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/>
      <c r="R90" s="73" t="s">
        <v>418</v>
      </c>
      <c r="S90" s="74"/>
      <c r="T90" s="74"/>
      <c r="U90" s="74"/>
      <c r="V90" s="74"/>
      <c r="W90" s="74"/>
      <c r="X90" s="74"/>
      <c r="Y90" s="74"/>
      <c r="Z90" s="74"/>
      <c r="AA90" s="74"/>
      <c r="AB90" s="75"/>
      <c r="AC90" s="251" t="str" cm="1">
        <f t="array" ref="AC90">_xlfn.SWITCH(BM90,"String","varchar("&amp;BN90&amp;")","Long","int","Integer","smallint","Double","decimal(9,2)","Currency","int")</f>
        <v>smallint</v>
      </c>
      <c r="AD90" s="252"/>
      <c r="AE90" s="252"/>
      <c r="AF90" s="252"/>
      <c r="AG90" s="253"/>
      <c r="AH90" s="73"/>
      <c r="AI90" s="75"/>
      <c r="AJ90" s="73"/>
      <c r="AK90" s="74"/>
      <c r="AL90" s="75"/>
      <c r="AM90" s="73"/>
      <c r="AN90" s="74"/>
      <c r="AO90" s="74"/>
      <c r="AP90" s="74"/>
      <c r="AQ90" s="74"/>
      <c r="AR90" s="74"/>
      <c r="AS90" s="75"/>
      <c r="AT90" s="269" t="s">
        <v>470</v>
      </c>
      <c r="AU90" s="270"/>
      <c r="AV90" s="270"/>
      <c r="AW90" s="270"/>
      <c r="AX90" s="270"/>
      <c r="AY90" s="270"/>
      <c r="AZ90" s="270"/>
      <c r="BA90" s="270"/>
      <c r="BB90" s="270"/>
      <c r="BC90" s="270"/>
      <c r="BD90" s="270"/>
      <c r="BE90" s="270"/>
      <c r="BF90" s="270"/>
      <c r="BG90" s="270"/>
      <c r="BH90" s="270"/>
      <c r="BI90" s="270"/>
      <c r="BJ90" s="271"/>
      <c r="BK90" s="4"/>
      <c r="BL90" s="127" t="str">
        <f t="shared" si="22"/>
        <v>a
b</v>
      </c>
      <c r="BM90" t="s">
        <v>451</v>
      </c>
      <c r="BP90" t="str">
        <f t="shared" si="5"/>
        <v>,`DEAL_EXCL_DISC` smallint  COMMENT '契約値引'</v>
      </c>
      <c r="BQ90" t="s">
        <v>223</v>
      </c>
      <c r="BR90" t="str">
        <f t="shared" si="6"/>
        <v xml:space="preserve">,`DEAL_EXCL_DISC` smallint </v>
      </c>
      <c r="BS90" t="s">
        <v>223</v>
      </c>
      <c r="BT90" t="str">
        <f t="shared" si="7"/>
        <v>,`DEAL_EXCL_DISC`</v>
      </c>
      <c r="BU90" t="s">
        <v>223</v>
      </c>
      <c r="BV90" s="82" t="str">
        <f t="shared" si="8"/>
        <v>,A.`DEAL_EXCL_DISC` = B.`DEAL_EXCL_DISC`</v>
      </c>
      <c r="BW90" t="s">
        <v>223</v>
      </c>
      <c r="BX90" s="82" t="str">
        <f t="shared" si="9"/>
        <v>,`DEAL_EXCL_DISC`</v>
      </c>
      <c r="BY90" t="s">
        <v>223</v>
      </c>
      <c r="BZ90" s="82" t="str">
        <f t="shared" si="10"/>
        <v>,`DEAL_EXCL_DISC`</v>
      </c>
      <c r="CA90" t="s">
        <v>223</v>
      </c>
    </row>
    <row r="91" spans="1:79" ht="31.5">
      <c r="A91" s="84" t="s">
        <v>582</v>
      </c>
      <c r="B91" s="71">
        <v>9</v>
      </c>
      <c r="C91" s="72"/>
      <c r="D91" s="73" t="s">
        <v>325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5"/>
      <c r="R91" s="73" t="s">
        <v>419</v>
      </c>
      <c r="S91" s="74"/>
      <c r="T91" s="74"/>
      <c r="U91" s="74"/>
      <c r="V91" s="74"/>
      <c r="W91" s="74"/>
      <c r="X91" s="74"/>
      <c r="Y91" s="74"/>
      <c r="Z91" s="74"/>
      <c r="AA91" s="74"/>
      <c r="AB91" s="75"/>
      <c r="AC91" s="251" t="str" cm="1">
        <f t="array" ref="AC91">_xlfn.SWITCH(BM91,"String","varchar("&amp;BN91&amp;")","Long","int","Integer","smallint","Double","decimal(9,2)","Currency","int")</f>
        <v>decimal(9,2)</v>
      </c>
      <c r="AD91" s="252"/>
      <c r="AE91" s="252"/>
      <c r="AF91" s="252"/>
      <c r="AG91" s="253"/>
      <c r="AH91" s="73"/>
      <c r="AI91" s="75"/>
      <c r="AJ91" s="73"/>
      <c r="AK91" s="74"/>
      <c r="AL91" s="75"/>
      <c r="AM91" s="73"/>
      <c r="AN91" s="74"/>
      <c r="AO91" s="74"/>
      <c r="AP91" s="74"/>
      <c r="AQ91" s="74"/>
      <c r="AR91" s="74"/>
      <c r="AS91" s="75"/>
      <c r="AT91" s="269" t="s">
        <v>470</v>
      </c>
      <c r="AU91" s="270"/>
      <c r="AV91" s="270"/>
      <c r="AW91" s="270"/>
      <c r="AX91" s="270"/>
      <c r="AY91" s="270"/>
      <c r="AZ91" s="270"/>
      <c r="BA91" s="270"/>
      <c r="BB91" s="270"/>
      <c r="BC91" s="270"/>
      <c r="BD91" s="270"/>
      <c r="BE91" s="270"/>
      <c r="BF91" s="270"/>
      <c r="BG91" s="270"/>
      <c r="BH91" s="270"/>
      <c r="BI91" s="270"/>
      <c r="BJ91" s="271"/>
      <c r="BK91" s="4"/>
      <c r="BL91" s="127" t="str">
        <f t="shared" si="22"/>
        <v>a
b</v>
      </c>
      <c r="BM91" t="s">
        <v>452</v>
      </c>
      <c r="BP91" t="str">
        <f t="shared" si="5"/>
        <v>,`DEAL_MAX_QTY` decimal(9,2)  COMMENT '契約最高数量'</v>
      </c>
      <c r="BQ91" t="s">
        <v>223</v>
      </c>
      <c r="BR91" t="str">
        <f t="shared" si="6"/>
        <v xml:space="preserve">,`DEAL_MAX_QTY` decimal(9,2) </v>
      </c>
      <c r="BS91" t="s">
        <v>223</v>
      </c>
      <c r="BT91" t="str">
        <f t="shared" si="7"/>
        <v>,`DEAL_MAX_QTY`</v>
      </c>
      <c r="BU91" t="s">
        <v>223</v>
      </c>
      <c r="BV91" s="82" t="str">
        <f t="shared" si="8"/>
        <v>,A.`DEAL_MAX_QTY` = B.`DEAL_MAX_QTY`</v>
      </c>
      <c r="BW91" t="s">
        <v>223</v>
      </c>
      <c r="BX91" s="82" t="str">
        <f t="shared" si="9"/>
        <v>,`DEAL_MAX_QTY`</v>
      </c>
      <c r="BY91" t="s">
        <v>223</v>
      </c>
      <c r="BZ91" s="82" t="str">
        <f t="shared" si="10"/>
        <v>,`DEAL_MAX_QTY`</v>
      </c>
      <c r="CA91" t="s">
        <v>223</v>
      </c>
    </row>
    <row r="92" spans="1:79" ht="31.5">
      <c r="A92" s="84" t="s">
        <v>583</v>
      </c>
      <c r="B92" s="71">
        <v>9</v>
      </c>
      <c r="C92" s="72"/>
      <c r="D92" s="73" t="s">
        <v>326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5"/>
      <c r="R92" s="73" t="s">
        <v>420</v>
      </c>
      <c r="S92" s="74"/>
      <c r="T92" s="74"/>
      <c r="U92" s="74"/>
      <c r="V92" s="74"/>
      <c r="W92" s="74"/>
      <c r="X92" s="74"/>
      <c r="Y92" s="74"/>
      <c r="Z92" s="74"/>
      <c r="AA92" s="74"/>
      <c r="AB92" s="75"/>
      <c r="AC92" s="251" t="str" cm="1">
        <f t="array" ref="AC92">_xlfn.SWITCH(BM92,"String","varchar("&amp;BN92&amp;")","Long","int","Integer","smallint","Double","decimal(9,2)","Currency","int")</f>
        <v>decimal(9,2)</v>
      </c>
      <c r="AD92" s="252"/>
      <c r="AE92" s="252"/>
      <c r="AF92" s="252"/>
      <c r="AG92" s="253"/>
      <c r="AH92" s="73"/>
      <c r="AI92" s="75"/>
      <c r="AJ92" s="73"/>
      <c r="AK92" s="74"/>
      <c r="AL92" s="75"/>
      <c r="AM92" s="73"/>
      <c r="AN92" s="74"/>
      <c r="AO92" s="74"/>
      <c r="AP92" s="74"/>
      <c r="AQ92" s="74"/>
      <c r="AR92" s="74"/>
      <c r="AS92" s="75"/>
      <c r="AT92" s="269" t="s">
        <v>470</v>
      </c>
      <c r="AU92" s="270"/>
      <c r="AV92" s="270"/>
      <c r="AW92" s="270"/>
      <c r="AX92" s="270"/>
      <c r="AY92" s="270"/>
      <c r="AZ92" s="270"/>
      <c r="BA92" s="270"/>
      <c r="BB92" s="270"/>
      <c r="BC92" s="270"/>
      <c r="BD92" s="270"/>
      <c r="BE92" s="270"/>
      <c r="BF92" s="270"/>
      <c r="BG92" s="270"/>
      <c r="BH92" s="270"/>
      <c r="BI92" s="270"/>
      <c r="BJ92" s="271"/>
      <c r="BK92" s="4"/>
      <c r="BL92" s="127" t="str">
        <f t="shared" si="22"/>
        <v>a
b</v>
      </c>
      <c r="BM92" t="s">
        <v>452</v>
      </c>
      <c r="BP92" t="str">
        <f t="shared" si="5"/>
        <v>,`PROMO_DEAL_MAX_QTY` decimal(9,2)  COMMENT 'プロモーション最高価格'</v>
      </c>
      <c r="BQ92" t="s">
        <v>223</v>
      </c>
      <c r="BR92" t="str">
        <f t="shared" si="6"/>
        <v xml:space="preserve">,`PROMO_DEAL_MAX_QTY` decimal(9,2) </v>
      </c>
      <c r="BS92" t="s">
        <v>223</v>
      </c>
      <c r="BT92" t="str">
        <f t="shared" si="7"/>
        <v>,`PROMO_DEAL_MAX_QTY`</v>
      </c>
      <c r="BU92" t="s">
        <v>223</v>
      </c>
      <c r="BV92" s="82" t="str">
        <f t="shared" si="8"/>
        <v>,A.`PROMO_DEAL_MAX_QTY` = B.`PROMO_DEAL_MAX_QTY`</v>
      </c>
      <c r="BW92" t="s">
        <v>223</v>
      </c>
      <c r="BX92" s="82" t="str">
        <f t="shared" si="9"/>
        <v>,`PROMO_DEAL_MAX_QTY`</v>
      </c>
      <c r="BY92" t="s">
        <v>223</v>
      </c>
      <c r="BZ92" s="82" t="str">
        <f t="shared" si="10"/>
        <v>,`PROMO_DEAL_MAX_QTY`</v>
      </c>
      <c r="CA92" t="s">
        <v>223</v>
      </c>
    </row>
    <row r="93" spans="1:79" ht="31.5">
      <c r="A93" s="84" t="s">
        <v>584</v>
      </c>
      <c r="B93" s="71">
        <v>9</v>
      </c>
      <c r="C93" s="72"/>
      <c r="D93" s="73" t="s">
        <v>327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/>
      <c r="R93" s="73" t="s">
        <v>421</v>
      </c>
      <c r="S93" s="74"/>
      <c r="T93" s="74"/>
      <c r="U93" s="74"/>
      <c r="V93" s="74"/>
      <c r="W93" s="74"/>
      <c r="X93" s="74"/>
      <c r="Y93" s="74"/>
      <c r="Z93" s="74"/>
      <c r="AA93" s="74"/>
      <c r="AB93" s="75"/>
      <c r="AC93" s="251" t="str" cm="1">
        <f t="array" ref="AC93">_xlfn.SWITCH(BM93,"String","varchar("&amp;BN93&amp;")","Long","int","Integer","smallint","Double","decimal(9,2)","Currency","int")</f>
        <v>smallint</v>
      </c>
      <c r="AD93" s="252"/>
      <c r="AE93" s="252"/>
      <c r="AF93" s="252"/>
      <c r="AG93" s="253"/>
      <c r="AH93" s="73"/>
      <c r="AI93" s="75"/>
      <c r="AJ93" s="73"/>
      <c r="AK93" s="74"/>
      <c r="AL93" s="75"/>
      <c r="AM93" s="73"/>
      <c r="AN93" s="74"/>
      <c r="AO93" s="74"/>
      <c r="AP93" s="74"/>
      <c r="AQ93" s="74"/>
      <c r="AR93" s="74"/>
      <c r="AS93" s="75"/>
      <c r="AT93" s="269" t="s">
        <v>470</v>
      </c>
      <c r="AU93" s="270"/>
      <c r="AV93" s="270"/>
      <c r="AW93" s="270"/>
      <c r="AX93" s="270"/>
      <c r="AY93" s="270"/>
      <c r="AZ93" s="270"/>
      <c r="BA93" s="270"/>
      <c r="BB93" s="270"/>
      <c r="BC93" s="270"/>
      <c r="BD93" s="270"/>
      <c r="BE93" s="270"/>
      <c r="BF93" s="270"/>
      <c r="BG93" s="270"/>
      <c r="BH93" s="270"/>
      <c r="BI93" s="270"/>
      <c r="BJ93" s="271"/>
      <c r="BK93" s="4"/>
      <c r="BL93" s="127" t="str">
        <f t="shared" si="22"/>
        <v>a
b</v>
      </c>
      <c r="BM93" t="s">
        <v>451</v>
      </c>
      <c r="BP93" t="str">
        <f t="shared" si="5"/>
        <v>,`LINK_ITM_FG` smallint  COMMENT '値引商品'</v>
      </c>
      <c r="BQ93" t="s">
        <v>223</v>
      </c>
      <c r="BR93" t="str">
        <f t="shared" si="6"/>
        <v xml:space="preserve">,`LINK_ITM_FG` smallint </v>
      </c>
      <c r="BS93" t="s">
        <v>223</v>
      </c>
      <c r="BT93" t="str">
        <f t="shared" ref="BT93:BT120" si="23">",`"&amp;R93&amp;"`"</f>
        <v>,`LINK_ITM_FG`</v>
      </c>
      <c r="BU93" t="s">
        <v>223</v>
      </c>
      <c r="BV93" s="82" t="str">
        <f t="shared" si="8"/>
        <v>,A.`LINK_ITM_FG` = B.`LINK_ITM_FG`</v>
      </c>
      <c r="BW93" t="s">
        <v>223</v>
      </c>
      <c r="BX93" s="82" t="str">
        <f t="shared" si="9"/>
        <v>,`LINK_ITM_FG`</v>
      </c>
      <c r="BY93" t="s">
        <v>223</v>
      </c>
      <c r="BZ93" s="82" t="str">
        <f t="shared" si="10"/>
        <v>,`LINK_ITM_FG`</v>
      </c>
      <c r="CA93" t="s">
        <v>223</v>
      </c>
    </row>
    <row r="94" spans="1:79" ht="31.5">
      <c r="A94" s="84" t="s">
        <v>585</v>
      </c>
      <c r="B94" s="71">
        <v>9</v>
      </c>
      <c r="C94" s="72"/>
      <c r="D94" s="73" t="s">
        <v>328</v>
      </c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5"/>
      <c r="R94" s="73" t="s">
        <v>422</v>
      </c>
      <c r="S94" s="74"/>
      <c r="T94" s="74"/>
      <c r="U94" s="74"/>
      <c r="V94" s="74"/>
      <c r="W94" s="74"/>
      <c r="X94" s="74"/>
      <c r="Y94" s="74"/>
      <c r="Z94" s="74"/>
      <c r="AA94" s="74"/>
      <c r="AB94" s="75"/>
      <c r="AC94" s="251" t="str" cm="1">
        <f t="array" ref="AC94">_xlfn.SWITCH(BM94,"String","varchar("&amp;BN94&amp;")","Long","int","Integer","smallint","Double","decimal(9,2)","Currency","int")</f>
        <v>int</v>
      </c>
      <c r="AD94" s="252"/>
      <c r="AE94" s="252"/>
      <c r="AF94" s="252"/>
      <c r="AG94" s="253"/>
      <c r="AH94" s="73"/>
      <c r="AI94" s="75"/>
      <c r="AJ94" s="73"/>
      <c r="AK94" s="74"/>
      <c r="AL94" s="75"/>
      <c r="AM94" s="73"/>
      <c r="AN94" s="74"/>
      <c r="AO94" s="74"/>
      <c r="AP94" s="74"/>
      <c r="AQ94" s="74"/>
      <c r="AR94" s="74"/>
      <c r="AS94" s="75"/>
      <c r="AT94" s="269" t="s">
        <v>470</v>
      </c>
      <c r="AU94" s="270"/>
      <c r="AV94" s="270"/>
      <c r="AW94" s="270"/>
      <c r="AX94" s="270"/>
      <c r="AY94" s="270"/>
      <c r="AZ94" s="270"/>
      <c r="BA94" s="270"/>
      <c r="BB94" s="270"/>
      <c r="BC94" s="270"/>
      <c r="BD94" s="270"/>
      <c r="BE94" s="270"/>
      <c r="BF94" s="270"/>
      <c r="BG94" s="270"/>
      <c r="BH94" s="270"/>
      <c r="BI94" s="270"/>
      <c r="BJ94" s="271"/>
      <c r="BK94" s="4"/>
      <c r="BL94" s="127" t="str">
        <f t="shared" si="22"/>
        <v>a
b</v>
      </c>
      <c r="BM94" t="s">
        <v>450</v>
      </c>
      <c r="BP94" t="str">
        <f t="shared" si="5"/>
        <v>,`PRCH_RSTRCT_GRP_ID` int  COMMENT '購買制限グループ'</v>
      </c>
      <c r="BQ94" t="s">
        <v>223</v>
      </c>
      <c r="BR94" t="str">
        <f t="shared" si="6"/>
        <v xml:space="preserve">,`PRCH_RSTRCT_GRP_ID` int </v>
      </c>
      <c r="BS94" t="s">
        <v>223</v>
      </c>
      <c r="BT94" t="str">
        <f t="shared" si="23"/>
        <v>,`PRCH_RSTRCT_GRP_ID`</v>
      </c>
      <c r="BU94" t="s">
        <v>223</v>
      </c>
      <c r="BV94" s="82" t="str">
        <f t="shared" si="8"/>
        <v>,A.`PRCH_RSTRCT_GRP_ID` = B.`PRCH_RSTRCT_GRP_ID`</v>
      </c>
      <c r="BW94" t="s">
        <v>223</v>
      </c>
      <c r="BX94" s="82" t="str">
        <f t="shared" si="9"/>
        <v>,`PRCH_RSTRCT_GRP_ID`</v>
      </c>
      <c r="BY94" t="s">
        <v>223</v>
      </c>
      <c r="BZ94" s="82" t="str">
        <f t="shared" si="10"/>
        <v>,`PRCH_RSTRCT_GRP_ID`</v>
      </c>
      <c r="CA94" t="s">
        <v>223</v>
      </c>
    </row>
    <row r="95" spans="1:79" ht="31.5">
      <c r="A95" s="84" t="s">
        <v>586</v>
      </c>
      <c r="B95" s="71">
        <v>9</v>
      </c>
      <c r="C95" s="72"/>
      <c r="D95" s="73" t="s">
        <v>329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5"/>
      <c r="R95" s="73" t="s">
        <v>423</v>
      </c>
      <c r="S95" s="74"/>
      <c r="T95" s="74"/>
      <c r="U95" s="74"/>
      <c r="V95" s="74"/>
      <c r="W95" s="74"/>
      <c r="X95" s="74"/>
      <c r="Y95" s="74"/>
      <c r="Z95" s="74"/>
      <c r="AA95" s="74"/>
      <c r="AB95" s="75"/>
      <c r="AC95" s="251" t="str" cm="1">
        <f t="array" ref="AC95">_xlfn.SWITCH(BM95,"String","varchar("&amp;BN95&amp;")","Long","int","Integer","smallint","Double","decimal(9,2)","Currency","int")</f>
        <v>smallint</v>
      </c>
      <c r="AD95" s="252"/>
      <c r="AE95" s="252"/>
      <c r="AF95" s="252"/>
      <c r="AG95" s="253"/>
      <c r="AH95" s="73"/>
      <c r="AI95" s="75"/>
      <c r="AJ95" s="73"/>
      <c r="AK95" s="74"/>
      <c r="AL95" s="75"/>
      <c r="AM95" s="73"/>
      <c r="AN95" s="74"/>
      <c r="AO95" s="74"/>
      <c r="AP95" s="74"/>
      <c r="AQ95" s="74"/>
      <c r="AR95" s="74"/>
      <c r="AS95" s="75"/>
      <c r="AT95" s="269" t="s">
        <v>480</v>
      </c>
      <c r="AU95" s="270"/>
      <c r="AV95" s="270"/>
      <c r="AW95" s="270"/>
      <c r="AX95" s="270"/>
      <c r="AY95" s="270"/>
      <c r="AZ95" s="270"/>
      <c r="BA95" s="270"/>
      <c r="BB95" s="270"/>
      <c r="BC95" s="270"/>
      <c r="BD95" s="270"/>
      <c r="BE95" s="270"/>
      <c r="BF95" s="270"/>
      <c r="BG95" s="270"/>
      <c r="BH95" s="270"/>
      <c r="BI95" s="270"/>
      <c r="BJ95" s="271"/>
      <c r="BK95" s="4"/>
      <c r="BL95" s="127" t="str">
        <f t="shared" si="22"/>
        <v>a
b</v>
      </c>
      <c r="BM95" t="s">
        <v>451</v>
      </c>
      <c r="BP95" t="str">
        <f t="shared" si="5"/>
        <v>,`STR_FG` smallint  COMMENT 'テナントフラグ'</v>
      </c>
      <c r="BQ95" t="s">
        <v>223</v>
      </c>
      <c r="BR95" t="str">
        <f t="shared" si="6"/>
        <v xml:space="preserve">,`STR_FG` smallint </v>
      </c>
      <c r="BS95" t="s">
        <v>223</v>
      </c>
      <c r="BT95" t="str">
        <f t="shared" si="23"/>
        <v>,`STR_FG`</v>
      </c>
      <c r="BU95" t="s">
        <v>223</v>
      </c>
      <c r="BV95" s="82" t="str">
        <f t="shared" si="8"/>
        <v>,A.`STR_FG` = B.`STR_FG`</v>
      </c>
      <c r="BW95" t="s">
        <v>223</v>
      </c>
      <c r="BX95" s="82" t="str">
        <f t="shared" si="9"/>
        <v>,`STR_FG`</v>
      </c>
      <c r="BY95" t="s">
        <v>223</v>
      </c>
      <c r="BZ95" s="82" t="str">
        <f t="shared" si="10"/>
        <v>,`STR_FG`</v>
      </c>
      <c r="CA95" t="s">
        <v>223</v>
      </c>
    </row>
    <row r="96" spans="1:79" ht="31.5">
      <c r="A96" s="84" t="s">
        <v>587</v>
      </c>
      <c r="B96" s="71">
        <v>9</v>
      </c>
      <c r="C96" s="72"/>
      <c r="D96" s="73" t="s">
        <v>330</v>
      </c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73" t="s">
        <v>424</v>
      </c>
      <c r="S96" s="74"/>
      <c r="T96" s="74"/>
      <c r="U96" s="74"/>
      <c r="V96" s="74"/>
      <c r="W96" s="74"/>
      <c r="X96" s="74"/>
      <c r="Y96" s="74"/>
      <c r="Z96" s="74"/>
      <c r="AA96" s="74"/>
      <c r="AB96" s="75"/>
      <c r="AC96" s="251" t="str" cm="1">
        <f t="array" ref="AC96">_xlfn.SWITCH(BM96,"String","varchar("&amp;BN96&amp;")","Long","int","Integer","smallint","Double","decimal(9,2)","Currency","int")</f>
        <v>smallint</v>
      </c>
      <c r="AD96" s="252"/>
      <c r="AE96" s="252"/>
      <c r="AF96" s="252"/>
      <c r="AG96" s="253"/>
      <c r="AH96" s="73"/>
      <c r="AI96" s="75"/>
      <c r="AJ96" s="73"/>
      <c r="AK96" s="74"/>
      <c r="AL96" s="75"/>
      <c r="AM96" s="73"/>
      <c r="AN96" s="74"/>
      <c r="AO96" s="74"/>
      <c r="AP96" s="74"/>
      <c r="AQ96" s="74"/>
      <c r="AR96" s="74"/>
      <c r="AS96" s="75"/>
      <c r="AT96" s="269" t="s">
        <v>481</v>
      </c>
      <c r="AU96" s="270"/>
      <c r="AV96" s="270"/>
      <c r="AW96" s="270"/>
      <c r="AX96" s="270"/>
      <c r="AY96" s="270"/>
      <c r="AZ96" s="270"/>
      <c r="BA96" s="270"/>
      <c r="BB96" s="270"/>
      <c r="BC96" s="270"/>
      <c r="BD96" s="270"/>
      <c r="BE96" s="270"/>
      <c r="BF96" s="270"/>
      <c r="BG96" s="270"/>
      <c r="BH96" s="270"/>
      <c r="BI96" s="270"/>
      <c r="BJ96" s="271"/>
      <c r="BK96" s="4"/>
      <c r="BL96" s="127" t="str">
        <f t="shared" si="22"/>
        <v>a
b</v>
      </c>
      <c r="BM96" t="s">
        <v>451</v>
      </c>
      <c r="BP96" t="str">
        <f t="shared" si="5"/>
        <v>,`PLU_QUAL_CD` smallint  COMMENT 'ＰＬＵ属性の有無'</v>
      </c>
      <c r="BQ96" t="s">
        <v>223</v>
      </c>
      <c r="BR96" t="str">
        <f t="shared" si="6"/>
        <v xml:space="preserve">,`PLU_QUAL_CD` smallint </v>
      </c>
      <c r="BS96" t="s">
        <v>223</v>
      </c>
      <c r="BT96" t="str">
        <f t="shared" si="23"/>
        <v>,`PLU_QUAL_CD`</v>
      </c>
      <c r="BU96" t="s">
        <v>223</v>
      </c>
      <c r="BV96" s="82" t="str">
        <f t="shared" si="8"/>
        <v>,A.`PLU_QUAL_CD` = B.`PLU_QUAL_CD`</v>
      </c>
      <c r="BW96" t="s">
        <v>223</v>
      </c>
      <c r="BX96" s="82" t="str">
        <f t="shared" si="9"/>
        <v>,`PLU_QUAL_CD`</v>
      </c>
      <c r="BY96" t="s">
        <v>223</v>
      </c>
      <c r="BZ96" s="82" t="str">
        <f t="shared" si="10"/>
        <v>,`PLU_QUAL_CD`</v>
      </c>
      <c r="CA96" t="s">
        <v>223</v>
      </c>
    </row>
    <row r="97" spans="1:79" ht="31.5">
      <c r="A97" s="84" t="s">
        <v>588</v>
      </c>
      <c r="B97" s="71">
        <v>9</v>
      </c>
      <c r="C97" s="72"/>
      <c r="D97" s="73" t="s">
        <v>331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73" t="s">
        <v>425</v>
      </c>
      <c r="S97" s="74"/>
      <c r="T97" s="74"/>
      <c r="U97" s="74"/>
      <c r="V97" s="74"/>
      <c r="W97" s="74"/>
      <c r="X97" s="74"/>
      <c r="Y97" s="74"/>
      <c r="Z97" s="74"/>
      <c r="AA97" s="74"/>
      <c r="AB97" s="75"/>
      <c r="AC97" s="251" t="str" cm="1">
        <f t="array" ref="AC97">_xlfn.SWITCH(BM97,"String","varchar("&amp;BN97&amp;")","Long","int","Integer","smallint","Double","decimal(9,2)","Currency","int")</f>
        <v>varchar(20)</v>
      </c>
      <c r="AD97" s="252"/>
      <c r="AE97" s="252"/>
      <c r="AF97" s="252"/>
      <c r="AG97" s="253"/>
      <c r="AH97" s="73"/>
      <c r="AI97" s="75"/>
      <c r="AJ97" s="73"/>
      <c r="AK97" s="74"/>
      <c r="AL97" s="75"/>
      <c r="AM97" s="73"/>
      <c r="AN97" s="74"/>
      <c r="AO97" s="74"/>
      <c r="AP97" s="74"/>
      <c r="AQ97" s="74"/>
      <c r="AR97" s="74"/>
      <c r="AS97" s="75"/>
      <c r="AT97" s="269" t="s">
        <v>482</v>
      </c>
      <c r="AU97" s="270"/>
      <c r="AV97" s="270"/>
      <c r="AW97" s="270"/>
      <c r="AX97" s="270"/>
      <c r="AY97" s="270"/>
      <c r="AZ97" s="270"/>
      <c r="BA97" s="270"/>
      <c r="BB97" s="270"/>
      <c r="BC97" s="270"/>
      <c r="BD97" s="270"/>
      <c r="BE97" s="270"/>
      <c r="BF97" s="270"/>
      <c r="BG97" s="270"/>
      <c r="BH97" s="270"/>
      <c r="BI97" s="270"/>
      <c r="BJ97" s="271"/>
      <c r="BK97" s="4"/>
      <c r="BL97" s="127" t="str">
        <f t="shared" si="22"/>
        <v>a
b</v>
      </c>
      <c r="BM97" t="s">
        <v>449</v>
      </c>
      <c r="BN97">
        <v>20</v>
      </c>
      <c r="BP97" t="str">
        <f t="shared" si="5"/>
        <v>,`DFLT_DP_LOC_ID` varchar(20)  COMMENT '取引遅延のロケーションコード'</v>
      </c>
      <c r="BQ97" t="s">
        <v>223</v>
      </c>
      <c r="BR97" t="str">
        <f t="shared" si="6"/>
        <v xml:space="preserve">,`DFLT_DP_LOC_ID` varchar(20) </v>
      </c>
      <c r="BS97" t="s">
        <v>223</v>
      </c>
      <c r="BT97" t="str">
        <f t="shared" si="23"/>
        <v>,`DFLT_DP_LOC_ID`</v>
      </c>
      <c r="BU97" t="s">
        <v>223</v>
      </c>
      <c r="BV97" s="82" t="str">
        <f t="shared" si="8"/>
        <v>,A.`DFLT_DP_LOC_ID` = B.`DFLT_DP_LOC_ID`</v>
      </c>
      <c r="BW97" t="s">
        <v>223</v>
      </c>
      <c r="BX97" s="82" t="str">
        <f t="shared" si="9"/>
        <v>,`DFLT_DP_LOC_ID`</v>
      </c>
      <c r="BY97" t="s">
        <v>223</v>
      </c>
      <c r="BZ97" s="82" t="str">
        <f t="shared" si="10"/>
        <v>,`DFLT_DP_LOC_ID`</v>
      </c>
      <c r="CA97" t="s">
        <v>223</v>
      </c>
    </row>
    <row r="98" spans="1:79" ht="31.5">
      <c r="A98" s="84" t="s">
        <v>589</v>
      </c>
      <c r="B98" s="71">
        <v>9</v>
      </c>
      <c r="C98" s="72"/>
      <c r="D98" s="73" t="s">
        <v>332</v>
      </c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5"/>
      <c r="R98" s="73" t="s">
        <v>1404</v>
      </c>
      <c r="S98" s="74"/>
      <c r="T98" s="74"/>
      <c r="U98" s="74"/>
      <c r="V98" s="74"/>
      <c r="W98" s="74"/>
      <c r="X98" s="74"/>
      <c r="Y98" s="74"/>
      <c r="Z98" s="74"/>
      <c r="AA98" s="74"/>
      <c r="AB98" s="75"/>
      <c r="AC98" s="251" t="str" cm="1">
        <f t="array" ref="AC98">_xlfn.SWITCH(BM98,"String","varchar("&amp;BN98&amp;")","Long","int","Integer","smallint","Double","decimal(9,2)","Currency","int")</f>
        <v>smallint</v>
      </c>
      <c r="AD98" s="252"/>
      <c r="AE98" s="252"/>
      <c r="AF98" s="252"/>
      <c r="AG98" s="253"/>
      <c r="AH98" s="73"/>
      <c r="AI98" s="75"/>
      <c r="AJ98" s="73"/>
      <c r="AK98" s="74"/>
      <c r="AL98" s="75"/>
      <c r="AM98" s="73"/>
      <c r="AN98" s="74"/>
      <c r="AO98" s="74"/>
      <c r="AP98" s="74"/>
      <c r="AQ98" s="74"/>
      <c r="AR98" s="74"/>
      <c r="AS98" s="75"/>
      <c r="AT98" s="269" t="s">
        <v>470</v>
      </c>
      <c r="AU98" s="270"/>
      <c r="AV98" s="270"/>
      <c r="AW98" s="270"/>
      <c r="AX98" s="270"/>
      <c r="AY98" s="270"/>
      <c r="AZ98" s="270"/>
      <c r="BA98" s="270"/>
      <c r="BB98" s="270"/>
      <c r="BC98" s="270"/>
      <c r="BD98" s="270"/>
      <c r="BE98" s="270"/>
      <c r="BF98" s="270"/>
      <c r="BG98" s="270"/>
      <c r="BH98" s="270"/>
      <c r="BI98" s="270"/>
      <c r="BJ98" s="271"/>
      <c r="BK98" s="4"/>
      <c r="BL98" s="127" t="str">
        <f t="shared" si="22"/>
        <v>a
b</v>
      </c>
      <c r="BM98" t="s">
        <v>451</v>
      </c>
      <c r="BP98" t="str">
        <f t="shared" si="5"/>
        <v>,`TND_RSTRCT_FG` smallint  COMMENT '支払制限フラグ'</v>
      </c>
      <c r="BQ98" t="s">
        <v>223</v>
      </c>
      <c r="BR98" t="str">
        <f t="shared" si="6"/>
        <v xml:space="preserve">,`TND_RSTRCT_FG` smallint </v>
      </c>
      <c r="BS98" t="s">
        <v>223</v>
      </c>
      <c r="BT98" t="str">
        <f t="shared" si="23"/>
        <v>,`TND_RSTRCT_FG`</v>
      </c>
      <c r="BU98" t="s">
        <v>223</v>
      </c>
      <c r="BV98" s="82" t="str">
        <f t="shared" si="8"/>
        <v>,A.`TND_RSTRCT_FG` = B.`TND_RSTRCT_FG`</v>
      </c>
      <c r="BW98" t="s">
        <v>223</v>
      </c>
      <c r="BX98" s="82" t="str">
        <f t="shared" si="9"/>
        <v>,`TND_RSTRCT_FG`</v>
      </c>
      <c r="BY98" t="s">
        <v>223</v>
      </c>
      <c r="BZ98" s="82" t="str">
        <f t="shared" si="10"/>
        <v>,`TND_RSTRCT_FG`</v>
      </c>
      <c r="CA98" t="s">
        <v>223</v>
      </c>
    </row>
    <row r="99" spans="1:79" ht="31.5">
      <c r="A99" s="84" t="s">
        <v>590</v>
      </c>
      <c r="B99" s="71">
        <v>9</v>
      </c>
      <c r="C99" s="72"/>
      <c r="D99" s="73" t="s">
        <v>333</v>
      </c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5"/>
      <c r="R99" s="73" t="s">
        <v>427</v>
      </c>
      <c r="S99" s="74"/>
      <c r="T99" s="74"/>
      <c r="U99" s="74"/>
      <c r="V99" s="74"/>
      <c r="W99" s="74"/>
      <c r="X99" s="74"/>
      <c r="Y99" s="74"/>
      <c r="Z99" s="74"/>
      <c r="AA99" s="74"/>
      <c r="AB99" s="75"/>
      <c r="AC99" s="251" t="str" cm="1">
        <f t="array" ref="AC99">_xlfn.SWITCH(BM99,"String","varchar("&amp;BN99&amp;")","Long","int","Integer","smallint","Double","decimal(9,2)","Currency","int")</f>
        <v>smallint</v>
      </c>
      <c r="AD99" s="252"/>
      <c r="AE99" s="252"/>
      <c r="AF99" s="252"/>
      <c r="AG99" s="253"/>
      <c r="AH99" s="73"/>
      <c r="AI99" s="75"/>
      <c r="AJ99" s="73"/>
      <c r="AK99" s="74"/>
      <c r="AL99" s="75"/>
      <c r="AM99" s="73"/>
      <c r="AN99" s="74"/>
      <c r="AO99" s="74"/>
      <c r="AP99" s="74"/>
      <c r="AQ99" s="74"/>
      <c r="AR99" s="74"/>
      <c r="AS99" s="75"/>
      <c r="AT99" s="269" t="s">
        <v>470</v>
      </c>
      <c r="AU99" s="270"/>
      <c r="AV99" s="270"/>
      <c r="AW99" s="270"/>
      <c r="AX99" s="270"/>
      <c r="AY99" s="270"/>
      <c r="AZ99" s="270"/>
      <c r="BA99" s="270"/>
      <c r="BB99" s="270"/>
      <c r="BC99" s="270"/>
      <c r="BD99" s="270"/>
      <c r="BE99" s="270"/>
      <c r="BF99" s="270"/>
      <c r="BG99" s="270"/>
      <c r="BH99" s="270"/>
      <c r="BI99" s="270"/>
      <c r="BJ99" s="271"/>
      <c r="BK99" s="4"/>
      <c r="BL99" s="127" t="str">
        <f t="shared" si="22"/>
        <v>a
b</v>
      </c>
      <c r="BM99" t="s">
        <v>451</v>
      </c>
      <c r="BP99" t="str">
        <f t="shared" si="5"/>
        <v>,`DISC_CD` smallint  COMMENT '割引コード'</v>
      </c>
      <c r="BQ99" t="s">
        <v>223</v>
      </c>
      <c r="BR99" t="str">
        <f t="shared" si="6"/>
        <v xml:space="preserve">,`DISC_CD` smallint </v>
      </c>
      <c r="BS99" t="s">
        <v>223</v>
      </c>
      <c r="BT99" t="str">
        <f t="shared" si="23"/>
        <v>,`DISC_CD`</v>
      </c>
      <c r="BU99" t="s">
        <v>223</v>
      </c>
      <c r="BV99" s="82" t="str">
        <f t="shared" si="8"/>
        <v>,A.`DISC_CD` = B.`DISC_CD`</v>
      </c>
      <c r="BW99" t="s">
        <v>223</v>
      </c>
      <c r="BX99" s="82" t="str">
        <f t="shared" si="9"/>
        <v>,`DISC_CD`</v>
      </c>
      <c r="BY99" t="s">
        <v>223</v>
      </c>
      <c r="BZ99" s="82" t="str">
        <f t="shared" si="10"/>
        <v>,`DISC_CD`</v>
      </c>
      <c r="CA99" t="s">
        <v>223</v>
      </c>
    </row>
    <row r="100" spans="1:79" ht="31.5">
      <c r="A100" s="84" t="s">
        <v>591</v>
      </c>
      <c r="B100" s="23">
        <v>9</v>
      </c>
      <c r="C100" s="24"/>
      <c r="D100" s="22" t="s">
        <v>334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6"/>
      <c r="R100" s="22" t="s">
        <v>428</v>
      </c>
      <c r="S100" s="25"/>
      <c r="T100" s="25"/>
      <c r="U100" s="25"/>
      <c r="V100" s="25"/>
      <c r="W100" s="25"/>
      <c r="X100" s="25"/>
      <c r="Y100" s="25"/>
      <c r="Z100" s="25"/>
      <c r="AA100" s="25"/>
      <c r="AB100" s="26"/>
      <c r="AC100" s="257" t="str" cm="1">
        <f t="array" ref="AC100">_xlfn.SWITCH(BM100,"String","varchar("&amp;BN100&amp;")","Long","int","Integer","smallint","Double","decimal(9,2)","Currency","int")</f>
        <v>int</v>
      </c>
      <c r="AD100" s="258"/>
      <c r="AE100" s="258"/>
      <c r="AF100" s="258"/>
      <c r="AG100" s="259"/>
      <c r="AH100" s="22"/>
      <c r="AI100" s="26"/>
      <c r="AJ100" s="22"/>
      <c r="AK100" s="25"/>
      <c r="AL100" s="26"/>
      <c r="AM100" s="22"/>
      <c r="AN100" s="25"/>
      <c r="AO100" s="25"/>
      <c r="AP100" s="25"/>
      <c r="AQ100" s="25"/>
      <c r="AR100" s="25"/>
      <c r="AS100" s="26"/>
      <c r="AT100" s="279" t="s">
        <v>483</v>
      </c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1"/>
      <c r="BK100" s="4"/>
      <c r="BL100" s="127" t="str">
        <f t="shared" si="22"/>
        <v>a
b</v>
      </c>
      <c r="BM100" t="s">
        <v>453</v>
      </c>
      <c r="BP100" t="str">
        <f t="shared" si="5"/>
        <v>,`GSFD_MBR_PRC` int  COMMENT '会員価格'</v>
      </c>
      <c r="BQ100" t="s">
        <v>223</v>
      </c>
      <c r="BR100" t="str">
        <f t="shared" si="6"/>
        <v xml:space="preserve">,`GSFD_MBR_PRC` int </v>
      </c>
      <c r="BS100" t="s">
        <v>223</v>
      </c>
      <c r="BT100" t="str">
        <f t="shared" si="23"/>
        <v>,`GSFD_MBR_PRC`</v>
      </c>
      <c r="BU100" t="s">
        <v>223</v>
      </c>
      <c r="BV100" s="82" t="str">
        <f t="shared" si="8"/>
        <v>,A.`GSFD_MBR_PRC` = B.`GSFD_MBR_PRC`</v>
      </c>
      <c r="BW100" t="s">
        <v>223</v>
      </c>
      <c r="BX100" s="82" t="str">
        <f t="shared" si="9"/>
        <v>,`GSFD_MBR_PRC`</v>
      </c>
      <c r="BY100" t="s">
        <v>223</v>
      </c>
      <c r="BZ100" s="82" t="str">
        <f t="shared" si="10"/>
        <v>,`GSFD_MBR_PRC`</v>
      </c>
      <c r="CA100" t="s">
        <v>223</v>
      </c>
    </row>
    <row r="101" spans="1:79" ht="78.75">
      <c r="A101" s="84" t="s">
        <v>592</v>
      </c>
      <c r="B101" s="23">
        <v>9</v>
      </c>
      <c r="C101" s="24"/>
      <c r="D101" s="22" t="s">
        <v>335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6"/>
      <c r="R101" s="22" t="s">
        <v>429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6"/>
      <c r="AC101" s="257" t="str" cm="1">
        <f t="array" ref="AC101">_xlfn.SWITCH(BM101,"String","varchar("&amp;BN101&amp;")","Long","int","Integer","smallint","Double","decimal(9,2)","Currency","int")</f>
        <v>smallint</v>
      </c>
      <c r="AD101" s="258"/>
      <c r="AE101" s="258"/>
      <c r="AF101" s="258"/>
      <c r="AG101" s="259"/>
      <c r="AH101" s="22"/>
      <c r="AI101" s="26"/>
      <c r="AJ101" s="22"/>
      <c r="AK101" s="25"/>
      <c r="AL101" s="26"/>
      <c r="AM101" s="22"/>
      <c r="AN101" s="25"/>
      <c r="AO101" s="25"/>
      <c r="AP101" s="25"/>
      <c r="AQ101" s="25"/>
      <c r="AR101" s="25"/>
      <c r="AS101" s="26"/>
      <c r="AT101" s="279" t="s">
        <v>484</v>
      </c>
      <c r="AU101" s="280"/>
      <c r="AV101" s="280"/>
      <c r="AW101" s="280"/>
      <c r="AX101" s="280"/>
      <c r="AY101" s="280"/>
      <c r="AZ101" s="280"/>
      <c r="BA101" s="280"/>
      <c r="BB101" s="280"/>
      <c r="BC101" s="280"/>
      <c r="BD101" s="280"/>
      <c r="BE101" s="280"/>
      <c r="BF101" s="280"/>
      <c r="BG101" s="280"/>
      <c r="BH101" s="280"/>
      <c r="BI101" s="280"/>
      <c r="BJ101" s="281"/>
      <c r="BK101" s="4"/>
      <c r="BL101" s="127" t="str">
        <f t="shared" si="22"/>
        <v>a
ba
ba
ba
b</v>
      </c>
      <c r="BM101" t="s">
        <v>451</v>
      </c>
      <c r="BP101" t="str">
        <f t="shared" si="5"/>
        <v>,`GSFD_MINL_DISC_ITEM_EXCL_FG` smallint  COMMENT '単品値引除外'</v>
      </c>
      <c r="BQ101" t="s">
        <v>223</v>
      </c>
      <c r="BR101" t="str">
        <f t="shared" si="6"/>
        <v xml:space="preserve">,`GSFD_MINL_DISC_ITEM_EXCL_FG` smallint </v>
      </c>
      <c r="BS101" t="s">
        <v>223</v>
      </c>
      <c r="BT101" t="str">
        <f t="shared" si="23"/>
        <v>,`GSFD_MINL_DISC_ITEM_EXCL_FG`</v>
      </c>
      <c r="BU101" t="s">
        <v>223</v>
      </c>
      <c r="BV101" s="82" t="str">
        <f t="shared" si="8"/>
        <v>,A.`GSFD_MINL_DISC_ITEM_EXCL_FG` = B.`GSFD_MINL_DISC_ITEM_EXCL_FG`</v>
      </c>
      <c r="BW101" t="s">
        <v>223</v>
      </c>
      <c r="BX101" s="82" t="str">
        <f t="shared" si="9"/>
        <v>,`GSFD_MINL_DISC_ITEM_EXCL_FG`</v>
      </c>
      <c r="BY101" t="s">
        <v>223</v>
      </c>
      <c r="BZ101" s="82" t="str">
        <f t="shared" si="10"/>
        <v>,`GSFD_MINL_DISC_ITEM_EXCL_FG`</v>
      </c>
      <c r="CA101" t="s">
        <v>223</v>
      </c>
    </row>
    <row r="102" spans="1:79" ht="31.5">
      <c r="A102" s="84" t="s">
        <v>593</v>
      </c>
      <c r="B102" s="23">
        <v>9</v>
      </c>
      <c r="C102" s="24"/>
      <c r="D102" s="22" t="s">
        <v>336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6"/>
      <c r="R102" s="22" t="s">
        <v>430</v>
      </c>
      <c r="S102" s="25"/>
      <c r="T102" s="25"/>
      <c r="U102" s="25"/>
      <c r="V102" s="25"/>
      <c r="W102" s="25"/>
      <c r="X102" s="25"/>
      <c r="Y102" s="25"/>
      <c r="Z102" s="25"/>
      <c r="AA102" s="25"/>
      <c r="AB102" s="26"/>
      <c r="AC102" s="257" t="str" cm="1">
        <f t="array" ref="AC102">_xlfn.SWITCH(BM102,"String","varchar("&amp;BN102&amp;")","Long","int","Integer","smallint","Double","decimal(9,2)","Currency","int")</f>
        <v>smallint</v>
      </c>
      <c r="AD102" s="258"/>
      <c r="AE102" s="258"/>
      <c r="AF102" s="258"/>
      <c r="AG102" s="259"/>
      <c r="AH102" s="22"/>
      <c r="AI102" s="26"/>
      <c r="AJ102" s="22"/>
      <c r="AK102" s="25"/>
      <c r="AL102" s="26"/>
      <c r="AM102" s="22"/>
      <c r="AN102" s="25"/>
      <c r="AO102" s="25"/>
      <c r="AP102" s="25"/>
      <c r="AQ102" s="25"/>
      <c r="AR102" s="25"/>
      <c r="AS102" s="26"/>
      <c r="AT102" s="279" t="s">
        <v>485</v>
      </c>
      <c r="AU102" s="280"/>
      <c r="AV102" s="280"/>
      <c r="AW102" s="280"/>
      <c r="AX102" s="280"/>
      <c r="AY102" s="280"/>
      <c r="AZ102" s="280"/>
      <c r="BA102" s="280"/>
      <c r="BB102" s="280"/>
      <c r="BC102" s="280"/>
      <c r="BD102" s="280"/>
      <c r="BE102" s="280"/>
      <c r="BF102" s="280"/>
      <c r="BG102" s="280"/>
      <c r="BH102" s="280"/>
      <c r="BI102" s="280"/>
      <c r="BJ102" s="281"/>
      <c r="BK102" s="4"/>
      <c r="BL102" s="127" t="str">
        <f t="shared" si="22"/>
        <v>a
b</v>
      </c>
      <c r="BM102" t="s">
        <v>451</v>
      </c>
      <c r="BP102" t="str">
        <f t="shared" si="5"/>
        <v>,`GSFD_MINL_DISC_TRAN_EXCL_FG` smallint  COMMENT '小計マニュアル値引除外'</v>
      </c>
      <c r="BQ102" t="s">
        <v>223</v>
      </c>
      <c r="BR102" t="str">
        <f t="shared" si="6"/>
        <v xml:space="preserve">,`GSFD_MINL_DISC_TRAN_EXCL_FG` smallint </v>
      </c>
      <c r="BS102" t="s">
        <v>223</v>
      </c>
      <c r="BT102" t="str">
        <f t="shared" si="23"/>
        <v>,`GSFD_MINL_DISC_TRAN_EXCL_FG`</v>
      </c>
      <c r="BU102" t="s">
        <v>223</v>
      </c>
      <c r="BV102" s="82" t="str">
        <f t="shared" si="8"/>
        <v>,A.`GSFD_MINL_DISC_TRAN_EXCL_FG` = B.`GSFD_MINL_DISC_TRAN_EXCL_FG`</v>
      </c>
      <c r="BW102" t="s">
        <v>223</v>
      </c>
      <c r="BX102" s="82" t="str">
        <f t="shared" si="9"/>
        <v>,`GSFD_MINL_DISC_TRAN_EXCL_FG`</v>
      </c>
      <c r="BY102" t="s">
        <v>223</v>
      </c>
      <c r="BZ102" s="82" t="str">
        <f t="shared" si="10"/>
        <v>,`GSFD_MINL_DISC_TRAN_EXCL_FG`</v>
      </c>
      <c r="CA102" t="s">
        <v>223</v>
      </c>
    </row>
    <row r="103" spans="1:79" ht="31.5">
      <c r="A103" s="84" t="s">
        <v>594</v>
      </c>
      <c r="B103" s="23">
        <v>9</v>
      </c>
      <c r="C103" s="24"/>
      <c r="D103" s="22" t="s">
        <v>337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6"/>
      <c r="R103" s="22" t="s">
        <v>431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6"/>
      <c r="AC103" s="257" t="str" cm="1">
        <f t="array" ref="AC103">_xlfn.SWITCH(BM103,"String","varchar("&amp;BN103&amp;")","Long","int","Integer","smallint","Double","decimal(9,2)","Currency","int")</f>
        <v>smallint</v>
      </c>
      <c r="AD103" s="258"/>
      <c r="AE103" s="258"/>
      <c r="AF103" s="258"/>
      <c r="AG103" s="259"/>
      <c r="AH103" s="22"/>
      <c r="AI103" s="26"/>
      <c r="AJ103" s="22"/>
      <c r="AK103" s="25"/>
      <c r="AL103" s="26"/>
      <c r="AM103" s="22"/>
      <c r="AN103" s="25"/>
      <c r="AO103" s="25"/>
      <c r="AP103" s="25"/>
      <c r="AQ103" s="25"/>
      <c r="AR103" s="25"/>
      <c r="AS103" s="26"/>
      <c r="AT103" s="279" t="s">
        <v>486</v>
      </c>
      <c r="AU103" s="280"/>
      <c r="AV103" s="280"/>
      <c r="AW103" s="280"/>
      <c r="AX103" s="280"/>
      <c r="AY103" s="280"/>
      <c r="AZ103" s="280"/>
      <c r="BA103" s="280"/>
      <c r="BB103" s="280"/>
      <c r="BC103" s="280"/>
      <c r="BD103" s="280"/>
      <c r="BE103" s="280"/>
      <c r="BF103" s="280"/>
      <c r="BG103" s="280"/>
      <c r="BH103" s="280"/>
      <c r="BI103" s="280"/>
      <c r="BJ103" s="281"/>
      <c r="BK103" s="4"/>
      <c r="BL103" s="127" t="str">
        <f t="shared" si="22"/>
        <v>a
b</v>
      </c>
      <c r="BM103" t="s">
        <v>451</v>
      </c>
      <c r="BP103" t="str">
        <f t="shared" si="5"/>
        <v>,`MBR_MTHD` smallint  COMMENT '会員価格方式'</v>
      </c>
      <c r="BQ103" t="s">
        <v>223</v>
      </c>
      <c r="BR103" t="str">
        <f t="shared" si="6"/>
        <v xml:space="preserve">,`MBR_MTHD` smallint </v>
      </c>
      <c r="BS103" t="s">
        <v>223</v>
      </c>
      <c r="BT103" t="str">
        <f t="shared" si="23"/>
        <v>,`MBR_MTHD`</v>
      </c>
      <c r="BU103" t="s">
        <v>223</v>
      </c>
      <c r="BV103" s="82" t="str">
        <f t="shared" si="8"/>
        <v>,A.`MBR_MTHD` = B.`MBR_MTHD`</v>
      </c>
      <c r="BW103" t="s">
        <v>223</v>
      </c>
      <c r="BX103" s="82" t="str">
        <f t="shared" si="9"/>
        <v>,`MBR_MTHD`</v>
      </c>
      <c r="BY103" t="s">
        <v>223</v>
      </c>
      <c r="BZ103" s="82" t="str">
        <f t="shared" si="10"/>
        <v>,`MBR_MTHD`</v>
      </c>
      <c r="CA103" t="s">
        <v>223</v>
      </c>
    </row>
    <row r="104" spans="1:79" ht="31.5">
      <c r="A104" s="84" t="s">
        <v>595</v>
      </c>
      <c r="B104" s="23">
        <v>9</v>
      </c>
      <c r="C104" s="24"/>
      <c r="D104" s="22" t="s">
        <v>338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6"/>
      <c r="R104" s="22" t="s">
        <v>1402</v>
      </c>
      <c r="S104" s="25"/>
      <c r="T104" s="25"/>
      <c r="U104" s="25"/>
      <c r="V104" s="25"/>
      <c r="W104" s="25"/>
      <c r="X104" s="25"/>
      <c r="Y104" s="25"/>
      <c r="Z104" s="25"/>
      <c r="AA104" s="25"/>
      <c r="AB104" s="26"/>
      <c r="AC104" s="257" t="str" cm="1">
        <f t="array" ref="AC104">_xlfn.SWITCH(BM104,"String","varchar("&amp;BN104&amp;")","Long","int","Integer","smallint","Double","decimal(9,2)","Currency","int")</f>
        <v>int</v>
      </c>
      <c r="AD104" s="258"/>
      <c r="AE104" s="258"/>
      <c r="AF104" s="258"/>
      <c r="AG104" s="259"/>
      <c r="AH104" s="22"/>
      <c r="AI104" s="26"/>
      <c r="AJ104" s="22"/>
      <c r="AK104" s="25"/>
      <c r="AL104" s="26"/>
      <c r="AM104" s="22"/>
      <c r="AN104" s="25"/>
      <c r="AO104" s="25"/>
      <c r="AP104" s="25"/>
      <c r="AQ104" s="25"/>
      <c r="AR104" s="25"/>
      <c r="AS104" s="26"/>
      <c r="AT104" s="279"/>
      <c r="AU104" s="280"/>
      <c r="AV104" s="280"/>
      <c r="AW104" s="280"/>
      <c r="AX104" s="280"/>
      <c r="AY104" s="280"/>
      <c r="AZ104" s="280"/>
      <c r="BA104" s="280"/>
      <c r="BB104" s="280"/>
      <c r="BC104" s="280"/>
      <c r="BD104" s="280"/>
      <c r="BE104" s="280"/>
      <c r="BF104" s="280"/>
      <c r="BG104" s="280"/>
      <c r="BH104" s="280"/>
      <c r="BI104" s="280"/>
      <c r="BJ104" s="281"/>
      <c r="BK104" s="4"/>
      <c r="BL104" s="127" t="str">
        <f t="shared" si="22"/>
        <v>a
b</v>
      </c>
      <c r="BM104" t="s">
        <v>450</v>
      </c>
      <c r="BP104" t="str">
        <f t="shared" si="5"/>
        <v>,`RCVD_QTY` int  COMMENT '仕入数'</v>
      </c>
      <c r="BQ104" t="s">
        <v>223</v>
      </c>
      <c r="BR104" t="str">
        <f t="shared" si="6"/>
        <v xml:space="preserve">,`RCVD_QTY` int </v>
      </c>
      <c r="BS104" t="s">
        <v>223</v>
      </c>
      <c r="BT104" t="str">
        <f t="shared" si="23"/>
        <v>,`RCVD_QTY`</v>
      </c>
      <c r="BU104" t="s">
        <v>223</v>
      </c>
      <c r="BV104" s="82" t="str">
        <f t="shared" si="8"/>
        <v>,A.`RCVD_QTY` = B.`RCVD_QTY`</v>
      </c>
      <c r="BW104" t="s">
        <v>223</v>
      </c>
      <c r="BX104" s="82" t="str">
        <f t="shared" si="9"/>
        <v>,`RCVD_QTY`</v>
      </c>
      <c r="BY104" t="s">
        <v>223</v>
      </c>
      <c r="BZ104" s="82" t="str">
        <f t="shared" si="10"/>
        <v>,`RCVD_QTY`</v>
      </c>
      <c r="CA104" t="s">
        <v>223</v>
      </c>
    </row>
    <row r="105" spans="1:79" ht="31.5">
      <c r="A105" s="84" t="s">
        <v>596</v>
      </c>
      <c r="B105" s="23">
        <v>9</v>
      </c>
      <c r="C105" s="24"/>
      <c r="D105" s="22" t="s">
        <v>339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6"/>
      <c r="R105" s="22" t="s">
        <v>433</v>
      </c>
      <c r="S105" s="25"/>
      <c r="T105" s="25"/>
      <c r="U105" s="25"/>
      <c r="V105" s="25"/>
      <c r="W105" s="25"/>
      <c r="X105" s="25"/>
      <c r="Y105" s="25"/>
      <c r="Z105" s="25"/>
      <c r="AA105" s="25"/>
      <c r="AB105" s="26"/>
      <c r="AC105" s="257" t="str" cm="1">
        <f t="array" ref="AC105">_xlfn.SWITCH(BM105,"String","varchar("&amp;BN105&amp;")","Long","int","Integer","smallint","Double","decimal(9,2)","Currency","int")</f>
        <v>int</v>
      </c>
      <c r="AD105" s="258"/>
      <c r="AE105" s="258"/>
      <c r="AF105" s="258"/>
      <c r="AG105" s="259"/>
      <c r="AH105" s="22"/>
      <c r="AI105" s="26"/>
      <c r="AJ105" s="22"/>
      <c r="AK105" s="25"/>
      <c r="AL105" s="26"/>
      <c r="AM105" s="22"/>
      <c r="AN105" s="25"/>
      <c r="AO105" s="25"/>
      <c r="AP105" s="25"/>
      <c r="AQ105" s="25"/>
      <c r="AR105" s="25"/>
      <c r="AS105" s="26"/>
      <c r="AT105" s="279"/>
      <c r="AU105" s="280"/>
      <c r="AV105" s="280"/>
      <c r="AW105" s="280"/>
      <c r="AX105" s="280"/>
      <c r="AY105" s="280"/>
      <c r="AZ105" s="280"/>
      <c r="BA105" s="280"/>
      <c r="BB105" s="280"/>
      <c r="BC105" s="280"/>
      <c r="BD105" s="280"/>
      <c r="BE105" s="280"/>
      <c r="BF105" s="280"/>
      <c r="BG105" s="280"/>
      <c r="BH105" s="280"/>
      <c r="BI105" s="280"/>
      <c r="BJ105" s="281"/>
      <c r="BK105" s="4"/>
      <c r="BL105" s="127" t="str">
        <f t="shared" si="22"/>
        <v>a
b</v>
      </c>
      <c r="BM105" t="s">
        <v>450</v>
      </c>
      <c r="BP105" t="str">
        <f t="shared" si="5"/>
        <v>,`INV_QTY` int  COMMENT '在庫数'</v>
      </c>
      <c r="BQ105" t="s">
        <v>223</v>
      </c>
      <c r="BR105" t="str">
        <f t="shared" si="6"/>
        <v xml:space="preserve">,`INV_QTY` int </v>
      </c>
      <c r="BS105" t="s">
        <v>223</v>
      </c>
      <c r="BT105" t="str">
        <f t="shared" si="23"/>
        <v>,`INV_QTY`</v>
      </c>
      <c r="BU105" t="s">
        <v>223</v>
      </c>
      <c r="BV105" s="82" t="str">
        <f t="shared" si="8"/>
        <v>,A.`INV_QTY` = B.`INV_QTY`</v>
      </c>
      <c r="BW105" t="s">
        <v>223</v>
      </c>
      <c r="BX105" s="82" t="str">
        <f t="shared" si="9"/>
        <v>,`INV_QTY`</v>
      </c>
      <c r="BY105" t="s">
        <v>223</v>
      </c>
      <c r="BZ105" s="82" t="str">
        <f t="shared" si="10"/>
        <v>,`INV_QTY`</v>
      </c>
      <c r="CA105" t="s">
        <v>223</v>
      </c>
    </row>
    <row r="106" spans="1:79" ht="31.5">
      <c r="A106" s="84" t="s">
        <v>597</v>
      </c>
      <c r="B106" s="71">
        <v>9</v>
      </c>
      <c r="C106" s="72"/>
      <c r="D106" s="73" t="s">
        <v>340</v>
      </c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5"/>
      <c r="R106" s="73" t="s">
        <v>434</v>
      </c>
      <c r="S106" s="74"/>
      <c r="T106" s="74"/>
      <c r="U106" s="74"/>
      <c r="V106" s="74"/>
      <c r="W106" s="74"/>
      <c r="X106" s="74"/>
      <c r="Y106" s="74"/>
      <c r="Z106" s="74"/>
      <c r="AA106" s="74"/>
      <c r="AB106" s="75"/>
      <c r="AC106" s="251" t="str" cm="1">
        <f t="array" ref="AC106">_xlfn.SWITCH(BM106,"String","varchar("&amp;BN106&amp;")","Long","int","Integer","smallint","Double","decimal(9,2)","Currency","int")</f>
        <v>varchar(8)</v>
      </c>
      <c r="AD106" s="252"/>
      <c r="AE106" s="252"/>
      <c r="AF106" s="252"/>
      <c r="AG106" s="253"/>
      <c r="AH106" s="73"/>
      <c r="AI106" s="75"/>
      <c r="AJ106" s="73"/>
      <c r="AK106" s="74"/>
      <c r="AL106" s="75"/>
      <c r="AM106" s="73"/>
      <c r="AN106" s="74"/>
      <c r="AO106" s="74"/>
      <c r="AP106" s="74"/>
      <c r="AQ106" s="74"/>
      <c r="AR106" s="74"/>
      <c r="AS106" s="75"/>
      <c r="AT106" s="269" t="s">
        <v>472</v>
      </c>
      <c r="AU106" s="270"/>
      <c r="AV106" s="270"/>
      <c r="AW106" s="270"/>
      <c r="AX106" s="270"/>
      <c r="AY106" s="270"/>
      <c r="AZ106" s="270"/>
      <c r="BA106" s="270"/>
      <c r="BB106" s="270"/>
      <c r="BC106" s="270"/>
      <c r="BD106" s="270"/>
      <c r="BE106" s="270"/>
      <c r="BF106" s="270"/>
      <c r="BG106" s="270"/>
      <c r="BH106" s="270"/>
      <c r="BI106" s="270"/>
      <c r="BJ106" s="271"/>
      <c r="BK106" s="4"/>
      <c r="BL106" s="127" t="str">
        <f t="shared" si="22"/>
        <v>a
b</v>
      </c>
      <c r="BM106" t="s">
        <v>449</v>
      </c>
      <c r="BN106">
        <v>8</v>
      </c>
      <c r="BP106" t="str">
        <f t="shared" si="5"/>
        <v>,`ENTRY_DY` varchar(8)  COMMENT '登録日'</v>
      </c>
      <c r="BQ106" t="s">
        <v>223</v>
      </c>
      <c r="BR106" t="str">
        <f t="shared" si="6"/>
        <v xml:space="preserve">,`ENTRY_DY` varchar(8) </v>
      </c>
      <c r="BS106" t="s">
        <v>223</v>
      </c>
      <c r="BT106" t="str">
        <f t="shared" si="23"/>
        <v>,`ENTRY_DY`</v>
      </c>
      <c r="BU106" t="s">
        <v>223</v>
      </c>
      <c r="BV106" s="82" t="str">
        <f t="shared" si="8"/>
        <v>,A.`ENTRY_DY` = B.`ENTRY_DY`</v>
      </c>
      <c r="BW106" t="s">
        <v>223</v>
      </c>
      <c r="BX106" s="82" t="str">
        <f t="shared" si="9"/>
        <v>,`ENTRY_DY`</v>
      </c>
      <c r="BY106" t="s">
        <v>223</v>
      </c>
      <c r="BZ106" s="82" t="str">
        <f t="shared" si="10"/>
        <v>,`ENTRY_DY`</v>
      </c>
      <c r="CA106" t="s">
        <v>223</v>
      </c>
    </row>
    <row r="107" spans="1:79" ht="31.5">
      <c r="A107" s="84" t="s">
        <v>598</v>
      </c>
      <c r="B107" s="71">
        <v>9</v>
      </c>
      <c r="C107" s="72"/>
      <c r="D107" s="73" t="s">
        <v>341</v>
      </c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5"/>
      <c r="R107" s="73" t="s">
        <v>435</v>
      </c>
      <c r="S107" s="74"/>
      <c r="T107" s="74"/>
      <c r="U107" s="74"/>
      <c r="V107" s="74"/>
      <c r="W107" s="74"/>
      <c r="X107" s="74"/>
      <c r="Y107" s="74"/>
      <c r="Z107" s="74"/>
      <c r="AA107" s="74"/>
      <c r="AB107" s="75"/>
      <c r="AC107" s="251" t="str" cm="1">
        <f t="array" ref="AC107">_xlfn.SWITCH(BM107,"String","varchar("&amp;BN107&amp;")","Long","int","Integer","smallint","Double","decimal(9,2)","Currency","int")</f>
        <v>varchar(8)</v>
      </c>
      <c r="AD107" s="252"/>
      <c r="AE107" s="252"/>
      <c r="AF107" s="252"/>
      <c r="AG107" s="253"/>
      <c r="AH107" s="73"/>
      <c r="AI107" s="75"/>
      <c r="AJ107" s="73"/>
      <c r="AK107" s="74"/>
      <c r="AL107" s="75"/>
      <c r="AM107" s="73"/>
      <c r="AN107" s="74"/>
      <c r="AO107" s="74"/>
      <c r="AP107" s="74"/>
      <c r="AQ107" s="74"/>
      <c r="AR107" s="74"/>
      <c r="AS107" s="75"/>
      <c r="AT107" s="269" t="s">
        <v>472</v>
      </c>
      <c r="AU107" s="270"/>
      <c r="AV107" s="270"/>
      <c r="AW107" s="270"/>
      <c r="AX107" s="270"/>
      <c r="AY107" s="270"/>
      <c r="AZ107" s="270"/>
      <c r="BA107" s="270"/>
      <c r="BB107" s="270"/>
      <c r="BC107" s="270"/>
      <c r="BD107" s="270"/>
      <c r="BE107" s="270"/>
      <c r="BF107" s="270"/>
      <c r="BG107" s="270"/>
      <c r="BH107" s="270"/>
      <c r="BI107" s="270"/>
      <c r="BJ107" s="271"/>
      <c r="BK107" s="4"/>
      <c r="BL107" s="127" t="str">
        <f t="shared" si="22"/>
        <v>a
b</v>
      </c>
      <c r="BM107" t="s">
        <v>449</v>
      </c>
      <c r="BN107">
        <v>8</v>
      </c>
      <c r="BP107" t="str">
        <f t="shared" si="5"/>
        <v>,`LST_SLS_DY` varchar(8)  COMMENT '最終売上日'</v>
      </c>
      <c r="BQ107" t="s">
        <v>223</v>
      </c>
      <c r="BR107" t="str">
        <f t="shared" si="6"/>
        <v xml:space="preserve">,`LST_SLS_DY` varchar(8) </v>
      </c>
      <c r="BS107" t="s">
        <v>223</v>
      </c>
      <c r="BT107" t="str">
        <f t="shared" si="23"/>
        <v>,`LST_SLS_DY`</v>
      </c>
      <c r="BU107" t="s">
        <v>223</v>
      </c>
      <c r="BV107" s="82" t="str">
        <f t="shared" si="8"/>
        <v>,A.`LST_SLS_DY` = B.`LST_SLS_DY`</v>
      </c>
      <c r="BW107" t="s">
        <v>223</v>
      </c>
      <c r="BX107" s="82" t="str">
        <f t="shared" si="9"/>
        <v>,`LST_SLS_DY`</v>
      </c>
      <c r="BY107" t="s">
        <v>223</v>
      </c>
      <c r="BZ107" s="82" t="str">
        <f t="shared" si="10"/>
        <v>,`LST_SLS_DY`</v>
      </c>
      <c r="CA107" t="s">
        <v>223</v>
      </c>
    </row>
    <row r="108" spans="1:79" ht="31.5">
      <c r="A108" s="84" t="s">
        <v>599</v>
      </c>
      <c r="B108" s="23">
        <v>9</v>
      </c>
      <c r="C108" s="24"/>
      <c r="D108" s="22" t="s">
        <v>342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6"/>
      <c r="R108" s="22" t="s">
        <v>436</v>
      </c>
      <c r="S108" s="25"/>
      <c r="T108" s="25"/>
      <c r="U108" s="25"/>
      <c r="V108" s="25"/>
      <c r="W108" s="25"/>
      <c r="X108" s="25"/>
      <c r="Y108" s="25"/>
      <c r="Z108" s="25"/>
      <c r="AA108" s="25"/>
      <c r="AB108" s="26"/>
      <c r="AC108" s="257" t="str" cm="1">
        <f t="array" ref="AC108">_xlfn.SWITCH(BM108,"String","varchar("&amp;BN108&amp;")","Long","int","Integer","smallint","Double","decimal(9,2)","Currency","int")</f>
        <v>int</v>
      </c>
      <c r="AD108" s="258"/>
      <c r="AE108" s="258"/>
      <c r="AF108" s="258"/>
      <c r="AG108" s="259"/>
      <c r="AH108" s="22"/>
      <c r="AI108" s="26"/>
      <c r="AJ108" s="22"/>
      <c r="AK108" s="25"/>
      <c r="AL108" s="26"/>
      <c r="AM108" s="22"/>
      <c r="AN108" s="25"/>
      <c r="AO108" s="25"/>
      <c r="AP108" s="25"/>
      <c r="AQ108" s="25"/>
      <c r="AR108" s="25"/>
      <c r="AS108" s="26"/>
      <c r="AT108" s="279" t="s">
        <v>487</v>
      </c>
      <c r="AU108" s="280"/>
      <c r="AV108" s="280"/>
      <c r="AW108" s="280"/>
      <c r="AX108" s="280"/>
      <c r="AY108" s="280"/>
      <c r="AZ108" s="280"/>
      <c r="BA108" s="280"/>
      <c r="BB108" s="280"/>
      <c r="BC108" s="280"/>
      <c r="BD108" s="280"/>
      <c r="BE108" s="280"/>
      <c r="BF108" s="280"/>
      <c r="BG108" s="280"/>
      <c r="BH108" s="280"/>
      <c r="BI108" s="280"/>
      <c r="BJ108" s="281"/>
      <c r="BK108" s="4"/>
      <c r="BL108" s="127" t="str">
        <f t="shared" si="22"/>
        <v>a
b</v>
      </c>
      <c r="BM108" t="s">
        <v>453</v>
      </c>
      <c r="BP108" t="str">
        <f t="shared" si="5"/>
        <v>,`REG_PRC` int  COMMENT '定価'</v>
      </c>
      <c r="BQ108" t="s">
        <v>223</v>
      </c>
      <c r="BR108" t="str">
        <f t="shared" si="6"/>
        <v xml:space="preserve">,`REG_PRC` int </v>
      </c>
      <c r="BS108" t="s">
        <v>223</v>
      </c>
      <c r="BT108" t="str">
        <f t="shared" si="23"/>
        <v>,`REG_PRC`</v>
      </c>
      <c r="BU108" t="s">
        <v>223</v>
      </c>
      <c r="BV108" s="82" t="str">
        <f t="shared" si="8"/>
        <v>,A.`REG_PRC` = B.`REG_PRC`</v>
      </c>
      <c r="BW108" t="s">
        <v>223</v>
      </c>
      <c r="BX108" s="82" t="str">
        <f t="shared" si="9"/>
        <v>,`REG_PRC`</v>
      </c>
      <c r="BY108" t="s">
        <v>223</v>
      </c>
      <c r="BZ108" s="82" t="str">
        <f t="shared" si="10"/>
        <v>,`REG_PRC`</v>
      </c>
      <c r="CA108" t="s">
        <v>223</v>
      </c>
    </row>
    <row r="109" spans="1:79" ht="31.5">
      <c r="A109" s="84" t="s">
        <v>600</v>
      </c>
      <c r="B109" s="23">
        <v>9</v>
      </c>
      <c r="C109" s="24"/>
      <c r="D109" s="22" t="s">
        <v>343</v>
      </c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6"/>
      <c r="R109" s="22" t="s">
        <v>1414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6"/>
      <c r="AC109" s="257" t="str" cm="1">
        <f t="array" ref="AC109">_xlfn.SWITCH(BM109,"String","varchar("&amp;BN109&amp;")","Long","int","Integer","smallint","Double","decimal(9,2)","Currency","int")</f>
        <v>varchar(24)</v>
      </c>
      <c r="AD109" s="258"/>
      <c r="AE109" s="258"/>
      <c r="AF109" s="258"/>
      <c r="AG109" s="259"/>
      <c r="AH109" s="22"/>
      <c r="AI109" s="26"/>
      <c r="AJ109" s="22"/>
      <c r="AK109" s="25"/>
      <c r="AL109" s="26"/>
      <c r="AM109" s="22"/>
      <c r="AN109" s="25"/>
      <c r="AO109" s="25"/>
      <c r="AP109" s="25"/>
      <c r="AQ109" s="25"/>
      <c r="AR109" s="25"/>
      <c r="AS109" s="26"/>
      <c r="AT109" s="279" t="s">
        <v>488</v>
      </c>
      <c r="AU109" s="280"/>
      <c r="AV109" s="280"/>
      <c r="AW109" s="280"/>
      <c r="AX109" s="280"/>
      <c r="AY109" s="280"/>
      <c r="AZ109" s="280"/>
      <c r="BA109" s="280"/>
      <c r="BB109" s="280"/>
      <c r="BC109" s="280"/>
      <c r="BD109" s="280"/>
      <c r="BE109" s="280"/>
      <c r="BF109" s="280"/>
      <c r="BG109" s="280"/>
      <c r="BH109" s="280"/>
      <c r="BI109" s="280"/>
      <c r="BJ109" s="281"/>
      <c r="BK109" s="4"/>
      <c r="BL109" s="127" t="str">
        <f t="shared" si="22"/>
        <v>a
b</v>
      </c>
      <c r="BM109" t="s">
        <v>449</v>
      </c>
      <c r="BN109">
        <v>24</v>
      </c>
      <c r="BP109" t="str">
        <f t="shared" si="5"/>
        <v>,`SCAN_ID` varchar(24)  COMMENT 'スキャンコード'</v>
      </c>
      <c r="BQ109" t="s">
        <v>223</v>
      </c>
      <c r="BR109" t="str">
        <f t="shared" si="6"/>
        <v xml:space="preserve">,`SCAN_ID` varchar(24) </v>
      </c>
      <c r="BS109" t="s">
        <v>223</v>
      </c>
      <c r="BT109" t="str">
        <f t="shared" si="23"/>
        <v>,`SCAN_ID`</v>
      </c>
      <c r="BU109" t="s">
        <v>223</v>
      </c>
      <c r="BV109" s="82" t="str">
        <f t="shared" si="8"/>
        <v>,A.`SCAN_ID` = B.`SCAN_ID`</v>
      </c>
      <c r="BW109" t="s">
        <v>223</v>
      </c>
      <c r="BX109" s="82" t="str">
        <f t="shared" si="9"/>
        <v>,`SCAN_ID`</v>
      </c>
      <c r="BY109" t="s">
        <v>223</v>
      </c>
      <c r="BZ109" s="82" t="str">
        <f t="shared" si="10"/>
        <v>,`SCAN_ID`</v>
      </c>
      <c r="CA109" t="s">
        <v>223</v>
      </c>
    </row>
    <row r="110" spans="1:79" ht="31.5">
      <c r="A110" s="84" t="s">
        <v>601</v>
      </c>
      <c r="B110" s="71">
        <v>9</v>
      </c>
      <c r="C110" s="72"/>
      <c r="D110" s="73" t="s">
        <v>344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5"/>
      <c r="R110" s="73" t="s">
        <v>438</v>
      </c>
      <c r="S110" s="74"/>
      <c r="T110" s="74"/>
      <c r="U110" s="74"/>
      <c r="V110" s="74"/>
      <c r="W110" s="74"/>
      <c r="X110" s="74"/>
      <c r="Y110" s="74"/>
      <c r="Z110" s="74"/>
      <c r="AA110" s="74"/>
      <c r="AB110" s="75"/>
      <c r="AC110" s="251" t="str" cm="1">
        <f t="array" ref="AC110">_xlfn.SWITCH(BM110,"String","varchar("&amp;BN110&amp;")","Long","int","Integer","smallint","Double","decimal(9,2)","Currency","int")</f>
        <v>smallint</v>
      </c>
      <c r="AD110" s="252"/>
      <c r="AE110" s="252"/>
      <c r="AF110" s="252"/>
      <c r="AG110" s="253"/>
      <c r="AH110" s="73"/>
      <c r="AI110" s="75"/>
      <c r="AJ110" s="73"/>
      <c r="AK110" s="74"/>
      <c r="AL110" s="75"/>
      <c r="AM110" s="73"/>
      <c r="AN110" s="74"/>
      <c r="AO110" s="74"/>
      <c r="AP110" s="74"/>
      <c r="AQ110" s="74"/>
      <c r="AR110" s="74"/>
      <c r="AS110" s="75"/>
      <c r="AT110" s="269" t="s">
        <v>470</v>
      </c>
      <c r="AU110" s="270"/>
      <c r="AV110" s="270"/>
      <c r="AW110" s="270"/>
      <c r="AX110" s="270"/>
      <c r="AY110" s="270"/>
      <c r="AZ110" s="270"/>
      <c r="BA110" s="270"/>
      <c r="BB110" s="270"/>
      <c r="BC110" s="270"/>
      <c r="BD110" s="270"/>
      <c r="BE110" s="270"/>
      <c r="BF110" s="270"/>
      <c r="BG110" s="270"/>
      <c r="BH110" s="270"/>
      <c r="BI110" s="270"/>
      <c r="BJ110" s="271"/>
      <c r="BK110" s="4"/>
      <c r="BL110" s="127" t="str">
        <f t="shared" si="22"/>
        <v>a
b</v>
      </c>
      <c r="BM110" t="s">
        <v>451</v>
      </c>
      <c r="BP110" t="str">
        <f t="shared" si="5"/>
        <v>,`SCAN_TYP` smallint  COMMENT 'ＰＬＵタイプ'</v>
      </c>
      <c r="BQ110" t="s">
        <v>223</v>
      </c>
      <c r="BR110" t="str">
        <f t="shared" si="6"/>
        <v xml:space="preserve">,`SCAN_TYP` smallint </v>
      </c>
      <c r="BS110" t="s">
        <v>223</v>
      </c>
      <c r="BT110" t="str">
        <f t="shared" si="23"/>
        <v>,`SCAN_TYP`</v>
      </c>
      <c r="BU110" t="s">
        <v>223</v>
      </c>
      <c r="BV110" s="82" t="str">
        <f t="shared" si="8"/>
        <v>,A.`SCAN_TYP` = B.`SCAN_TYP`</v>
      </c>
      <c r="BW110" t="s">
        <v>223</v>
      </c>
      <c r="BX110" s="82" t="str">
        <f t="shared" si="9"/>
        <v>,`SCAN_TYP`</v>
      </c>
      <c r="BY110" t="s">
        <v>223</v>
      </c>
      <c r="BZ110" s="82" t="str">
        <f t="shared" si="10"/>
        <v>,`SCAN_TYP`</v>
      </c>
      <c r="CA110" t="s">
        <v>223</v>
      </c>
    </row>
    <row r="111" spans="1:79" ht="31.5">
      <c r="A111" s="84" t="s">
        <v>602</v>
      </c>
      <c r="B111" s="71">
        <v>9</v>
      </c>
      <c r="C111" s="72"/>
      <c r="D111" s="73" t="s">
        <v>345</v>
      </c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/>
      <c r="R111" s="73" t="s">
        <v>439</v>
      </c>
      <c r="S111" s="74"/>
      <c r="T111" s="74"/>
      <c r="U111" s="74"/>
      <c r="V111" s="74"/>
      <c r="W111" s="74"/>
      <c r="X111" s="74"/>
      <c r="Y111" s="74"/>
      <c r="Z111" s="74"/>
      <c r="AA111" s="74"/>
      <c r="AB111" s="75"/>
      <c r="AC111" s="251" t="str" cm="1">
        <f t="array" ref="AC111">_xlfn.SWITCH(BM111,"String","varchar("&amp;BN111&amp;")","Long","int","Integer","smallint","Double","decimal(9,2)","Currency","int")</f>
        <v>int</v>
      </c>
      <c r="AD111" s="252"/>
      <c r="AE111" s="252"/>
      <c r="AF111" s="252"/>
      <c r="AG111" s="253"/>
      <c r="AH111" s="73"/>
      <c r="AI111" s="75"/>
      <c r="AJ111" s="73"/>
      <c r="AK111" s="74"/>
      <c r="AL111" s="75"/>
      <c r="AM111" s="73"/>
      <c r="AN111" s="74"/>
      <c r="AO111" s="74"/>
      <c r="AP111" s="74"/>
      <c r="AQ111" s="74"/>
      <c r="AR111" s="74"/>
      <c r="AS111" s="75"/>
      <c r="AT111" s="269" t="s">
        <v>470</v>
      </c>
      <c r="AU111" s="270"/>
      <c r="AV111" s="270"/>
      <c r="AW111" s="270"/>
      <c r="AX111" s="270"/>
      <c r="AY111" s="270"/>
      <c r="AZ111" s="270"/>
      <c r="BA111" s="270"/>
      <c r="BB111" s="270"/>
      <c r="BC111" s="270"/>
      <c r="BD111" s="270"/>
      <c r="BE111" s="270"/>
      <c r="BF111" s="270"/>
      <c r="BG111" s="270"/>
      <c r="BH111" s="270"/>
      <c r="BI111" s="270"/>
      <c r="BJ111" s="271"/>
      <c r="BK111" s="4"/>
      <c r="BL111" s="127" t="str">
        <f t="shared" si="22"/>
        <v>a
b</v>
      </c>
      <c r="BM111" t="s">
        <v>450</v>
      </c>
      <c r="BP111" t="str">
        <f t="shared" si="5"/>
        <v>,`COUP_FAM_CD` int  COMMENT 'クーポンコード'</v>
      </c>
      <c r="BQ111" t="s">
        <v>223</v>
      </c>
      <c r="BR111" t="str">
        <f t="shared" si="6"/>
        <v xml:space="preserve">,`COUP_FAM_CD` int </v>
      </c>
      <c r="BS111" t="s">
        <v>223</v>
      </c>
      <c r="BT111" t="str">
        <f t="shared" si="23"/>
        <v>,`COUP_FAM_CD`</v>
      </c>
      <c r="BU111" t="s">
        <v>223</v>
      </c>
      <c r="BV111" s="82" t="str">
        <f t="shared" si="8"/>
        <v>,A.`COUP_FAM_CD` = B.`COUP_FAM_CD`</v>
      </c>
      <c r="BW111" t="s">
        <v>223</v>
      </c>
      <c r="BX111" s="82" t="str">
        <f t="shared" si="9"/>
        <v>,`COUP_FAM_CD`</v>
      </c>
      <c r="BY111" t="s">
        <v>223</v>
      </c>
      <c r="BZ111" s="82" t="str">
        <f t="shared" si="10"/>
        <v>,`COUP_FAM_CD`</v>
      </c>
      <c r="CA111" t="s">
        <v>223</v>
      </c>
    </row>
    <row r="112" spans="1:79" ht="31.5">
      <c r="A112" s="84" t="s">
        <v>603</v>
      </c>
      <c r="B112" s="71">
        <v>9</v>
      </c>
      <c r="C112" s="72"/>
      <c r="D112" s="73" t="s">
        <v>346</v>
      </c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5"/>
      <c r="R112" s="73" t="s">
        <v>440</v>
      </c>
      <c r="S112" s="74"/>
      <c r="T112" s="74"/>
      <c r="U112" s="74"/>
      <c r="V112" s="74"/>
      <c r="W112" s="74"/>
      <c r="X112" s="74"/>
      <c r="Y112" s="74"/>
      <c r="Z112" s="74"/>
      <c r="AA112" s="74"/>
      <c r="AB112" s="75"/>
      <c r="AC112" s="251" t="str" cm="1">
        <f t="array" ref="AC112">_xlfn.SWITCH(BM112,"String","varchar("&amp;BN112&amp;")","Long","int","Integer","smallint","Double","decimal(9,2)","Currency","int")</f>
        <v>int</v>
      </c>
      <c r="AD112" s="252"/>
      <c r="AE112" s="252"/>
      <c r="AF112" s="252"/>
      <c r="AG112" s="253"/>
      <c r="AH112" s="73"/>
      <c r="AI112" s="75"/>
      <c r="AJ112" s="73"/>
      <c r="AK112" s="74"/>
      <c r="AL112" s="75"/>
      <c r="AM112" s="73"/>
      <c r="AN112" s="74"/>
      <c r="AO112" s="74"/>
      <c r="AP112" s="74"/>
      <c r="AQ112" s="74"/>
      <c r="AR112" s="74"/>
      <c r="AS112" s="75"/>
      <c r="AT112" s="269" t="s">
        <v>470</v>
      </c>
      <c r="AU112" s="270"/>
      <c r="AV112" s="270"/>
      <c r="AW112" s="270"/>
      <c r="AX112" s="270"/>
      <c r="AY112" s="270"/>
      <c r="AZ112" s="270"/>
      <c r="BA112" s="270"/>
      <c r="BB112" s="270"/>
      <c r="BC112" s="270"/>
      <c r="BD112" s="270"/>
      <c r="BE112" s="270"/>
      <c r="BF112" s="270"/>
      <c r="BG112" s="270"/>
      <c r="BH112" s="270"/>
      <c r="BI112" s="270"/>
      <c r="BJ112" s="271"/>
      <c r="BK112" s="4"/>
      <c r="BL112" s="127" t="str">
        <f t="shared" si="22"/>
        <v>a
b</v>
      </c>
      <c r="BM112" t="s">
        <v>450</v>
      </c>
      <c r="BP112" t="str">
        <f t="shared" si="5"/>
        <v>,`MFG_ID` int  COMMENT 'メーカ発行クーポンコード'</v>
      </c>
      <c r="BQ112" t="s">
        <v>223</v>
      </c>
      <c r="BR112" t="str">
        <f t="shared" si="6"/>
        <v xml:space="preserve">,`MFG_ID` int </v>
      </c>
      <c r="BS112" t="s">
        <v>223</v>
      </c>
      <c r="BT112" t="str">
        <f t="shared" si="23"/>
        <v>,`MFG_ID`</v>
      </c>
      <c r="BU112" t="s">
        <v>223</v>
      </c>
      <c r="BV112" s="82" t="str">
        <f t="shared" si="8"/>
        <v>,A.`MFG_ID` = B.`MFG_ID`</v>
      </c>
      <c r="BW112" t="s">
        <v>223</v>
      </c>
      <c r="BX112" s="82" t="str">
        <f t="shared" si="9"/>
        <v>,`MFG_ID`</v>
      </c>
      <c r="BY112" t="s">
        <v>223</v>
      </c>
      <c r="BZ112" s="82" t="str">
        <f t="shared" si="10"/>
        <v>,`MFG_ID`</v>
      </c>
      <c r="CA112" t="s">
        <v>223</v>
      </c>
    </row>
    <row r="113" spans="1:79" ht="31.5">
      <c r="A113" s="84" t="s">
        <v>604</v>
      </c>
      <c r="B113" s="71">
        <v>9</v>
      </c>
      <c r="C113" s="72"/>
      <c r="D113" s="73" t="s">
        <v>347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5"/>
      <c r="R113" s="73" t="s">
        <v>441</v>
      </c>
      <c r="S113" s="74"/>
      <c r="T113" s="74"/>
      <c r="U113" s="74"/>
      <c r="V113" s="74"/>
      <c r="W113" s="74"/>
      <c r="X113" s="74"/>
      <c r="Y113" s="74"/>
      <c r="Z113" s="74"/>
      <c r="AA113" s="74"/>
      <c r="AB113" s="75"/>
      <c r="AC113" s="251" t="str" cm="1">
        <f t="array" ref="AC113">_xlfn.SWITCH(BM113,"String","varchar("&amp;BN113&amp;")","Long","int","Integer","smallint","Double","decimal(9,2)","Currency","int")</f>
        <v>smallint</v>
      </c>
      <c r="AD113" s="252"/>
      <c r="AE113" s="252"/>
      <c r="AF113" s="252"/>
      <c r="AG113" s="253"/>
      <c r="AH113" s="73"/>
      <c r="AI113" s="75"/>
      <c r="AJ113" s="73"/>
      <c r="AK113" s="74"/>
      <c r="AL113" s="75"/>
      <c r="AM113" s="73"/>
      <c r="AN113" s="74"/>
      <c r="AO113" s="74"/>
      <c r="AP113" s="74"/>
      <c r="AQ113" s="74"/>
      <c r="AR113" s="74"/>
      <c r="AS113" s="75"/>
      <c r="AT113" s="269" t="s">
        <v>470</v>
      </c>
      <c r="AU113" s="270"/>
      <c r="AV113" s="270"/>
      <c r="AW113" s="270"/>
      <c r="AX113" s="270"/>
      <c r="AY113" s="270"/>
      <c r="AZ113" s="270"/>
      <c r="BA113" s="270"/>
      <c r="BB113" s="270"/>
      <c r="BC113" s="270"/>
      <c r="BD113" s="270"/>
      <c r="BE113" s="270"/>
      <c r="BF113" s="270"/>
      <c r="BG113" s="270"/>
      <c r="BH113" s="270"/>
      <c r="BI113" s="270"/>
      <c r="BJ113" s="271"/>
      <c r="BK113" s="4"/>
      <c r="BL113" s="127" t="str">
        <f t="shared" si="22"/>
        <v>a
b</v>
      </c>
      <c r="BM113" t="s">
        <v>451</v>
      </c>
      <c r="BP113" t="str">
        <f t="shared" si="5"/>
        <v>,`ACCEL_ITM_FG` smallint  COMMENT '商品コードの識別'</v>
      </c>
      <c r="BQ113" t="s">
        <v>223</v>
      </c>
      <c r="BR113" t="str">
        <f t="shared" si="6"/>
        <v xml:space="preserve">,`ACCEL_ITM_FG` smallint </v>
      </c>
      <c r="BS113" t="s">
        <v>223</v>
      </c>
      <c r="BT113" t="str">
        <f t="shared" si="23"/>
        <v>,`ACCEL_ITM_FG`</v>
      </c>
      <c r="BU113" t="s">
        <v>223</v>
      </c>
      <c r="BV113" s="82" t="str">
        <f t="shared" si="8"/>
        <v>,A.`ACCEL_ITM_FG` = B.`ACCEL_ITM_FG`</v>
      </c>
      <c r="BW113" t="s">
        <v>223</v>
      </c>
      <c r="BX113" s="82" t="str">
        <f t="shared" si="9"/>
        <v>,`ACCEL_ITM_FG`</v>
      </c>
      <c r="BY113" t="s">
        <v>223</v>
      </c>
      <c r="BZ113" s="82" t="str">
        <f t="shared" si="10"/>
        <v>,`ACCEL_ITM_FG`</v>
      </c>
      <c r="CA113" t="s">
        <v>223</v>
      </c>
    </row>
    <row r="114" spans="1:79" ht="31.5">
      <c r="A114" s="84" t="s">
        <v>605</v>
      </c>
      <c r="B114" s="71">
        <v>9</v>
      </c>
      <c r="C114" s="72"/>
      <c r="D114" s="73" t="s">
        <v>348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5"/>
      <c r="R114" s="73" t="s">
        <v>442</v>
      </c>
      <c r="S114" s="74"/>
      <c r="T114" s="74"/>
      <c r="U114" s="74"/>
      <c r="V114" s="74"/>
      <c r="W114" s="74"/>
      <c r="X114" s="74"/>
      <c r="Y114" s="74"/>
      <c r="Z114" s="74"/>
      <c r="AA114" s="74"/>
      <c r="AB114" s="75"/>
      <c r="AC114" s="251" t="str" cm="1">
        <f t="array" ref="AC114">_xlfn.SWITCH(BM114,"String","varchar("&amp;BN114&amp;")","Long","int","Integer","smallint","Double","decimal(9,2)","Currency","int")</f>
        <v>varchar(24)</v>
      </c>
      <c r="AD114" s="252"/>
      <c r="AE114" s="252"/>
      <c r="AF114" s="252"/>
      <c r="AG114" s="253"/>
      <c r="AH114" s="73"/>
      <c r="AI114" s="75"/>
      <c r="AJ114" s="73"/>
      <c r="AK114" s="74"/>
      <c r="AL114" s="75"/>
      <c r="AM114" s="73"/>
      <c r="AN114" s="74"/>
      <c r="AO114" s="74"/>
      <c r="AP114" s="74"/>
      <c r="AQ114" s="74"/>
      <c r="AR114" s="74"/>
      <c r="AS114" s="75"/>
      <c r="AT114" s="269" t="s">
        <v>472</v>
      </c>
      <c r="AU114" s="270"/>
      <c r="AV114" s="270"/>
      <c r="AW114" s="270"/>
      <c r="AX114" s="270"/>
      <c r="AY114" s="270"/>
      <c r="AZ114" s="270"/>
      <c r="BA114" s="270"/>
      <c r="BB114" s="270"/>
      <c r="BC114" s="270"/>
      <c r="BD114" s="270"/>
      <c r="BE114" s="270"/>
      <c r="BF114" s="270"/>
      <c r="BG114" s="270"/>
      <c r="BH114" s="270"/>
      <c r="BI114" s="270"/>
      <c r="BJ114" s="271"/>
      <c r="BK114" s="4"/>
      <c r="BL114" s="127" t="str">
        <f t="shared" si="22"/>
        <v>a
b</v>
      </c>
      <c r="BM114" t="s">
        <v>449</v>
      </c>
      <c r="BN114">
        <v>24</v>
      </c>
      <c r="BP114" t="str">
        <f t="shared" si="5"/>
        <v>,`ITM_ID` varchar(24)  COMMENT '商品コード'</v>
      </c>
      <c r="BQ114" t="s">
        <v>223</v>
      </c>
      <c r="BR114" t="str">
        <f t="shared" si="6"/>
        <v xml:space="preserve">,`ITM_ID` varchar(24) </v>
      </c>
      <c r="BS114" t="s">
        <v>223</v>
      </c>
      <c r="BT114" t="str">
        <f t="shared" si="23"/>
        <v>,`ITM_ID`</v>
      </c>
      <c r="BU114" t="s">
        <v>223</v>
      </c>
      <c r="BV114" s="82" t="str">
        <f t="shared" si="8"/>
        <v>,A.`ITM_ID` = B.`ITM_ID`</v>
      </c>
      <c r="BW114" t="s">
        <v>223</v>
      </c>
      <c r="BX114" s="82" t="str">
        <f t="shared" si="9"/>
        <v>,`ITM_ID`</v>
      </c>
      <c r="BY114" t="s">
        <v>223</v>
      </c>
      <c r="BZ114" s="82" t="str">
        <f t="shared" si="10"/>
        <v>,`ITM_ID`</v>
      </c>
      <c r="CA114" t="s">
        <v>223</v>
      </c>
    </row>
    <row r="115" spans="1:79" ht="31.5">
      <c r="A115" s="84" t="s">
        <v>606</v>
      </c>
      <c r="B115" s="71">
        <v>9</v>
      </c>
      <c r="C115" s="72"/>
      <c r="D115" s="73" t="s">
        <v>349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5"/>
      <c r="R115" s="73" t="s">
        <v>443</v>
      </c>
      <c r="S115" s="74"/>
      <c r="T115" s="74"/>
      <c r="U115" s="74"/>
      <c r="V115" s="74"/>
      <c r="W115" s="74"/>
      <c r="X115" s="74"/>
      <c r="Y115" s="74"/>
      <c r="Z115" s="74"/>
      <c r="AA115" s="74"/>
      <c r="AB115" s="75"/>
      <c r="AC115" s="251" t="str" cm="1">
        <f t="array" ref="AC115">_xlfn.SWITCH(BM115,"String","varchar("&amp;BN115&amp;")","Long","int","Integer","smallint","Double","decimal(9,2)","Currency","int")</f>
        <v>int</v>
      </c>
      <c r="AD115" s="252"/>
      <c r="AE115" s="252"/>
      <c r="AF115" s="252"/>
      <c r="AG115" s="253"/>
      <c r="AH115" s="73"/>
      <c r="AI115" s="75"/>
      <c r="AJ115" s="73"/>
      <c r="AK115" s="74"/>
      <c r="AL115" s="75"/>
      <c r="AM115" s="73"/>
      <c r="AN115" s="74"/>
      <c r="AO115" s="74"/>
      <c r="AP115" s="74"/>
      <c r="AQ115" s="74"/>
      <c r="AR115" s="74"/>
      <c r="AS115" s="75"/>
      <c r="AT115" s="269" t="s">
        <v>470</v>
      </c>
      <c r="AU115" s="270"/>
      <c r="AV115" s="270"/>
      <c r="AW115" s="270"/>
      <c r="AX115" s="270"/>
      <c r="AY115" s="270"/>
      <c r="AZ115" s="270"/>
      <c r="BA115" s="270"/>
      <c r="BB115" s="270"/>
      <c r="BC115" s="270"/>
      <c r="BD115" s="270"/>
      <c r="BE115" s="270"/>
      <c r="BF115" s="270"/>
      <c r="BG115" s="270"/>
      <c r="BH115" s="270"/>
      <c r="BI115" s="270"/>
      <c r="BJ115" s="271"/>
      <c r="BK115" s="4"/>
      <c r="BL115" s="127" t="str">
        <f t="shared" si="22"/>
        <v>a
b</v>
      </c>
      <c r="BM115" t="s">
        <v>450</v>
      </c>
      <c r="BP115" t="str">
        <f t="shared" si="5"/>
        <v>,`TNT_ID` int  COMMENT 'テナントコード'</v>
      </c>
      <c r="BQ115" t="s">
        <v>223</v>
      </c>
      <c r="BR115" t="str">
        <f t="shared" si="6"/>
        <v xml:space="preserve">,`TNT_ID` int </v>
      </c>
      <c r="BS115" t="s">
        <v>223</v>
      </c>
      <c r="BT115" t="str">
        <f t="shared" si="23"/>
        <v>,`TNT_ID`</v>
      </c>
      <c r="BU115" t="s">
        <v>223</v>
      </c>
      <c r="BV115" s="82" t="str">
        <f t="shared" si="8"/>
        <v>,A.`TNT_ID` = B.`TNT_ID`</v>
      </c>
      <c r="BW115" t="s">
        <v>223</v>
      </c>
      <c r="BX115" s="82" t="str">
        <f t="shared" si="9"/>
        <v>,`TNT_ID`</v>
      </c>
      <c r="BY115" t="s">
        <v>223</v>
      </c>
      <c r="BZ115" s="82" t="str">
        <f t="shared" si="10"/>
        <v>,`TNT_ID`</v>
      </c>
      <c r="CA115" t="s">
        <v>223</v>
      </c>
    </row>
    <row r="116" spans="1:79" ht="31.5">
      <c r="A116" s="84" t="s">
        <v>607</v>
      </c>
      <c r="B116" s="71">
        <v>9</v>
      </c>
      <c r="C116" s="72"/>
      <c r="D116" s="73" t="s">
        <v>350</v>
      </c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5"/>
      <c r="R116" s="73" t="s">
        <v>444</v>
      </c>
      <c r="S116" s="74"/>
      <c r="T116" s="74"/>
      <c r="U116" s="74"/>
      <c r="V116" s="74"/>
      <c r="W116" s="74"/>
      <c r="X116" s="74"/>
      <c r="Y116" s="74"/>
      <c r="Z116" s="74"/>
      <c r="AA116" s="74"/>
      <c r="AB116" s="75"/>
      <c r="AC116" s="251" t="str" cm="1">
        <f t="array" ref="AC116">_xlfn.SWITCH(BM116,"String","varchar("&amp;BN116&amp;")","Long","int","Integer","smallint","Double","decimal(9,2)","Currency","int")</f>
        <v>int</v>
      </c>
      <c r="AD116" s="252"/>
      <c r="AE116" s="252"/>
      <c r="AF116" s="252"/>
      <c r="AG116" s="253"/>
      <c r="AH116" s="73"/>
      <c r="AI116" s="75"/>
      <c r="AJ116" s="73"/>
      <c r="AK116" s="74"/>
      <c r="AL116" s="75"/>
      <c r="AM116" s="73"/>
      <c r="AN116" s="74"/>
      <c r="AO116" s="74"/>
      <c r="AP116" s="74"/>
      <c r="AQ116" s="74"/>
      <c r="AR116" s="74"/>
      <c r="AS116" s="75"/>
      <c r="AT116" s="269" t="s">
        <v>470</v>
      </c>
      <c r="AU116" s="270"/>
      <c r="AV116" s="270"/>
      <c r="AW116" s="270"/>
      <c r="AX116" s="270"/>
      <c r="AY116" s="270"/>
      <c r="AZ116" s="270"/>
      <c r="BA116" s="270"/>
      <c r="BB116" s="270"/>
      <c r="BC116" s="270"/>
      <c r="BD116" s="270"/>
      <c r="BE116" s="270"/>
      <c r="BF116" s="270"/>
      <c r="BG116" s="270"/>
      <c r="BH116" s="270"/>
      <c r="BI116" s="270"/>
      <c r="BJ116" s="271"/>
      <c r="BK116" s="4"/>
      <c r="BL116" s="127" t="str">
        <f t="shared" si="22"/>
        <v>a
b</v>
      </c>
      <c r="BM116" t="s">
        <v>450</v>
      </c>
      <c r="BP116" t="str">
        <f t="shared" si="5"/>
        <v>,`PLU_QUAL_TYP2` int  COMMENT 'ＰＬＵ属性'</v>
      </c>
      <c r="BQ116" t="s">
        <v>223</v>
      </c>
      <c r="BR116" t="str">
        <f t="shared" si="6"/>
        <v xml:space="preserve">,`PLU_QUAL_TYP2` int </v>
      </c>
      <c r="BS116" t="s">
        <v>223</v>
      </c>
      <c r="BT116" t="str">
        <f t="shared" si="23"/>
        <v>,`PLU_QUAL_TYP2`</v>
      </c>
      <c r="BU116" t="s">
        <v>223</v>
      </c>
      <c r="BV116" s="82" t="str">
        <f t="shared" si="8"/>
        <v>,A.`PLU_QUAL_TYP2` = B.`PLU_QUAL_TYP2`</v>
      </c>
      <c r="BW116" t="s">
        <v>223</v>
      </c>
      <c r="BX116" s="82" t="str">
        <f t="shared" si="9"/>
        <v>,`PLU_QUAL_TYP2`</v>
      </c>
      <c r="BY116" t="s">
        <v>223</v>
      </c>
      <c r="BZ116" s="82" t="str">
        <f t="shared" si="10"/>
        <v>,`PLU_QUAL_TYP2`</v>
      </c>
      <c r="CA116" t="s">
        <v>223</v>
      </c>
    </row>
    <row r="117" spans="1:79" ht="31.5">
      <c r="A117" s="84" t="s">
        <v>608</v>
      </c>
      <c r="B117" s="23">
        <v>9</v>
      </c>
      <c r="C117" s="24"/>
      <c r="D117" s="22" t="s">
        <v>351</v>
      </c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6"/>
      <c r="R117" s="22" t="s">
        <v>445</v>
      </c>
      <c r="S117" s="25"/>
      <c r="T117" s="25"/>
      <c r="U117" s="25"/>
      <c r="V117" s="25"/>
      <c r="W117" s="25"/>
      <c r="X117" s="25"/>
      <c r="Y117" s="25"/>
      <c r="Z117" s="25"/>
      <c r="AA117" s="25"/>
      <c r="AB117" s="26"/>
      <c r="AC117" s="257" t="str" cm="1">
        <f t="array" ref="AC117">_xlfn.SWITCH(BM117,"String","varchar("&amp;BN117&amp;")","Long","int","Integer","smallint","Double","decimal(9,2)","Currency","int")</f>
        <v>varchar(8)</v>
      </c>
      <c r="AD117" s="258"/>
      <c r="AE117" s="258"/>
      <c r="AF117" s="258"/>
      <c r="AG117" s="259"/>
      <c r="AH117" s="22"/>
      <c r="AI117" s="26"/>
      <c r="AJ117" s="22"/>
      <c r="AK117" s="25"/>
      <c r="AL117" s="26"/>
      <c r="AM117" s="22"/>
      <c r="AN117" s="25"/>
      <c r="AO117" s="25"/>
      <c r="AP117" s="25"/>
      <c r="AQ117" s="25"/>
      <c r="AR117" s="25"/>
      <c r="AS117" s="26"/>
      <c r="AT117" s="279" t="s">
        <v>489</v>
      </c>
      <c r="AU117" s="280"/>
      <c r="AV117" s="280"/>
      <c r="AW117" s="280"/>
      <c r="AX117" s="280"/>
      <c r="AY117" s="280"/>
      <c r="AZ117" s="280"/>
      <c r="BA117" s="280"/>
      <c r="BB117" s="280"/>
      <c r="BC117" s="280"/>
      <c r="BD117" s="280"/>
      <c r="BE117" s="280"/>
      <c r="BF117" s="280"/>
      <c r="BG117" s="280"/>
      <c r="BH117" s="280"/>
      <c r="BI117" s="280"/>
      <c r="BJ117" s="281"/>
      <c r="BK117" s="4"/>
      <c r="BL117" s="127" t="str">
        <f t="shared" si="22"/>
        <v>a
b</v>
      </c>
      <c r="BM117" t="s">
        <v>449</v>
      </c>
      <c r="BN117">
        <v>8</v>
      </c>
      <c r="BP117" t="str">
        <f t="shared" si="5"/>
        <v>,`CRT_DT` varchar(8)  COMMENT '作成日'</v>
      </c>
      <c r="BQ117" t="s">
        <v>223</v>
      </c>
      <c r="BR117" t="str">
        <f t="shared" si="6"/>
        <v xml:space="preserve">,`CRT_DT` varchar(8) </v>
      </c>
      <c r="BS117" t="s">
        <v>223</v>
      </c>
      <c r="BT117" t="str">
        <f t="shared" si="23"/>
        <v>,`CRT_DT`</v>
      </c>
      <c r="BU117" t="s">
        <v>223</v>
      </c>
      <c r="BV117" s="82" t="str">
        <f t="shared" si="8"/>
        <v>,A.`CRT_DT` = B.`CRT_DT`</v>
      </c>
      <c r="BW117" t="s">
        <v>223</v>
      </c>
      <c r="BX117" s="82" t="str">
        <f t="shared" si="9"/>
        <v>,`CRT_DT`</v>
      </c>
      <c r="BY117" t="s">
        <v>223</v>
      </c>
      <c r="BZ117" s="82" t="str">
        <f t="shared" si="10"/>
        <v>,`CRT_DT`</v>
      </c>
      <c r="CA117" t="s">
        <v>223</v>
      </c>
    </row>
    <row r="118" spans="1:79" ht="31.5">
      <c r="A118" s="84" t="s">
        <v>609</v>
      </c>
      <c r="B118" s="23">
        <v>9</v>
      </c>
      <c r="C118" s="24"/>
      <c r="D118" s="22" t="s">
        <v>352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6"/>
      <c r="R118" s="22" t="s">
        <v>446</v>
      </c>
      <c r="S118" s="25"/>
      <c r="T118" s="25"/>
      <c r="U118" s="25"/>
      <c r="V118" s="25"/>
      <c r="W118" s="25"/>
      <c r="X118" s="25"/>
      <c r="Y118" s="25"/>
      <c r="Z118" s="25"/>
      <c r="AA118" s="25"/>
      <c r="AB118" s="26"/>
      <c r="AC118" s="257" t="str" cm="1">
        <f t="array" ref="AC118">_xlfn.SWITCH(BM118,"String","varchar("&amp;BN118&amp;")","Long","int","Integer","smallint","Double","decimal(9,2)","Currency","int")</f>
        <v>varchar(8)</v>
      </c>
      <c r="AD118" s="258"/>
      <c r="AE118" s="258"/>
      <c r="AF118" s="258"/>
      <c r="AG118" s="259"/>
      <c r="AH118" s="22"/>
      <c r="AI118" s="26"/>
      <c r="AJ118" s="22"/>
      <c r="AK118" s="25"/>
      <c r="AL118" s="26"/>
      <c r="AM118" s="22"/>
      <c r="AN118" s="25"/>
      <c r="AO118" s="25"/>
      <c r="AP118" s="25"/>
      <c r="AQ118" s="25"/>
      <c r="AR118" s="25"/>
      <c r="AS118" s="26"/>
      <c r="AT118" s="279" t="s">
        <v>490</v>
      </c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1"/>
      <c r="BK118" s="4"/>
      <c r="BL118" s="127" t="str">
        <f t="shared" si="22"/>
        <v>a
b</v>
      </c>
      <c r="BM118" t="s">
        <v>449</v>
      </c>
      <c r="BN118">
        <v>8</v>
      </c>
      <c r="BP118" t="str">
        <f t="shared" si="5"/>
        <v>,`PRCS_DT` varchar(8)  COMMENT '処理日'</v>
      </c>
      <c r="BQ118" t="s">
        <v>223</v>
      </c>
      <c r="BR118" t="str">
        <f t="shared" si="6"/>
        <v xml:space="preserve">,`PRCS_DT` varchar(8) </v>
      </c>
      <c r="BS118" t="s">
        <v>223</v>
      </c>
      <c r="BT118" t="str">
        <f t="shared" si="23"/>
        <v>,`PRCS_DT`</v>
      </c>
      <c r="BU118" t="s">
        <v>223</v>
      </c>
      <c r="BV118" s="82" t="str">
        <f t="shared" si="8"/>
        <v>,A.`PRCS_DT` = B.`PRCS_DT`</v>
      </c>
      <c r="BW118" t="s">
        <v>223</v>
      </c>
      <c r="BX118" s="82" t="str">
        <f t="shared" si="9"/>
        <v>,`PRCS_DT`</v>
      </c>
      <c r="BY118" t="s">
        <v>223</v>
      </c>
      <c r="BZ118" s="82" t="str">
        <f t="shared" si="10"/>
        <v>,`PRCS_DT`</v>
      </c>
      <c r="CA118" t="s">
        <v>223</v>
      </c>
    </row>
    <row r="119" spans="1:79" ht="31.5">
      <c r="A119" s="84" t="s">
        <v>610</v>
      </c>
      <c r="B119" s="23">
        <v>9</v>
      </c>
      <c r="C119" s="24"/>
      <c r="D119" s="22" t="s">
        <v>353</v>
      </c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6"/>
      <c r="R119" s="22" t="s">
        <v>447</v>
      </c>
      <c r="S119" s="25"/>
      <c r="T119" s="25"/>
      <c r="U119" s="25"/>
      <c r="V119" s="25"/>
      <c r="W119" s="25"/>
      <c r="X119" s="25"/>
      <c r="Y119" s="25"/>
      <c r="Z119" s="25"/>
      <c r="AA119" s="25"/>
      <c r="AB119" s="26"/>
      <c r="AC119" s="257" t="str" cm="1">
        <f t="array" ref="AC119">_xlfn.SWITCH(BM119,"String","varchar("&amp;BN119&amp;")","Long","int","Integer","smallint","Double","decimal(9,2)","Currency","int")</f>
        <v>varchar(8)</v>
      </c>
      <c r="AD119" s="258"/>
      <c r="AE119" s="258"/>
      <c r="AF119" s="258"/>
      <c r="AG119" s="259"/>
      <c r="AH119" s="22"/>
      <c r="AI119" s="26"/>
      <c r="AJ119" s="22"/>
      <c r="AK119" s="25"/>
      <c r="AL119" s="26"/>
      <c r="AM119" s="22"/>
      <c r="AN119" s="25"/>
      <c r="AO119" s="25"/>
      <c r="AP119" s="25"/>
      <c r="AQ119" s="25"/>
      <c r="AR119" s="25"/>
      <c r="AS119" s="26"/>
      <c r="AT119" s="279" t="s">
        <v>491</v>
      </c>
      <c r="AU119" s="280"/>
      <c r="AV119" s="280"/>
      <c r="AW119" s="280"/>
      <c r="AX119" s="280"/>
      <c r="AY119" s="280"/>
      <c r="AZ119" s="280"/>
      <c r="BA119" s="280"/>
      <c r="BB119" s="280"/>
      <c r="BC119" s="280"/>
      <c r="BD119" s="280"/>
      <c r="BE119" s="280"/>
      <c r="BF119" s="280"/>
      <c r="BG119" s="280"/>
      <c r="BH119" s="280"/>
      <c r="BI119" s="280"/>
      <c r="BJ119" s="281"/>
      <c r="BK119" s="4"/>
      <c r="BL119" s="127" t="str">
        <f t="shared" si="22"/>
        <v>a
b</v>
      </c>
      <c r="BM119" t="s">
        <v>449</v>
      </c>
      <c r="BN119">
        <v>8</v>
      </c>
      <c r="BP119" t="str">
        <f t="shared" si="2"/>
        <v>,`RCV_DT` varchar(8)  COMMENT '受信日'</v>
      </c>
      <c r="BQ119" t="s">
        <v>223</v>
      </c>
      <c r="BR119" t="str">
        <f t="shared" ref="BR119:BR120" si="24">",`"&amp;R119&amp;"` "&amp;AC119&amp;" "&amp;IF(AJ119="Y","NOT NULL","")</f>
        <v xml:space="preserve">,`RCV_DT` varchar(8) </v>
      </c>
      <c r="BS119" t="s">
        <v>223</v>
      </c>
      <c r="BT119" t="str">
        <f t="shared" si="23"/>
        <v>,`RCV_DT`</v>
      </c>
      <c r="BU119" t="s">
        <v>223</v>
      </c>
      <c r="BV119" s="82" t="str">
        <f t="shared" si="3"/>
        <v>,A.`RCV_DT` = B.`RCV_DT`</v>
      </c>
      <c r="BW119" t="s">
        <v>223</v>
      </c>
      <c r="BX119" s="82" t="str">
        <f t="shared" ref="BX119:BX120" si="25">",`"&amp;R119&amp;"`"</f>
        <v>,`RCV_DT`</v>
      </c>
      <c r="BY119" t="s">
        <v>223</v>
      </c>
      <c r="BZ119" s="82" t="str">
        <f t="shared" si="4"/>
        <v>,`RCV_DT`</v>
      </c>
      <c r="CA119" t="s">
        <v>223</v>
      </c>
    </row>
    <row r="120" spans="1:79" ht="31.5">
      <c r="A120" s="84" t="s">
        <v>611</v>
      </c>
      <c r="B120" s="27">
        <v>10</v>
      </c>
      <c r="C120" s="28"/>
      <c r="D120" s="29" t="s">
        <v>354</v>
      </c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1"/>
      <c r="R120" s="29" t="s">
        <v>448</v>
      </c>
      <c r="S120" s="30"/>
      <c r="T120" s="30"/>
      <c r="U120" s="30"/>
      <c r="V120" s="30"/>
      <c r="W120" s="30"/>
      <c r="X120" s="30"/>
      <c r="Y120" s="30"/>
      <c r="Z120" s="30"/>
      <c r="AA120" s="30"/>
      <c r="AB120" s="31"/>
      <c r="AC120" s="260" t="str" cm="1">
        <f t="array" ref="AC120">_xlfn.SWITCH(BM120,"String","varchar("&amp;BN120&amp;")","Long","int","Integer","smallint","Double","decimal(9,2)","Currency","int")</f>
        <v>varchar(1)</v>
      </c>
      <c r="AD120" s="261"/>
      <c r="AE120" s="261"/>
      <c r="AF120" s="261"/>
      <c r="AG120" s="262"/>
      <c r="AH120" s="29"/>
      <c r="AI120" s="31"/>
      <c r="AJ120" s="29"/>
      <c r="AK120" s="30"/>
      <c r="AL120" s="31"/>
      <c r="AM120" s="29"/>
      <c r="AN120" s="30"/>
      <c r="AO120" s="30"/>
      <c r="AP120" s="30"/>
      <c r="AQ120" s="30"/>
      <c r="AR120" s="30"/>
      <c r="AS120" s="31"/>
      <c r="AT120" s="282" t="s">
        <v>492</v>
      </c>
      <c r="AU120" s="283"/>
      <c r="AV120" s="283"/>
      <c r="AW120" s="283"/>
      <c r="AX120" s="283"/>
      <c r="AY120" s="283"/>
      <c r="AZ120" s="283"/>
      <c r="BA120" s="283"/>
      <c r="BB120" s="283"/>
      <c r="BC120" s="283"/>
      <c r="BD120" s="283"/>
      <c r="BE120" s="283"/>
      <c r="BF120" s="283"/>
      <c r="BG120" s="283"/>
      <c r="BH120" s="283"/>
      <c r="BI120" s="283"/>
      <c r="BJ120" s="284"/>
      <c r="BK120" s="4"/>
      <c r="BL120" s="127" t="str">
        <f t="shared" si="22"/>
        <v>a
b</v>
      </c>
      <c r="BM120" t="s">
        <v>449</v>
      </c>
      <c r="BN120">
        <v>1</v>
      </c>
      <c r="BP120" t="str">
        <f t="shared" si="2"/>
        <v>,`PRCS_FG` varchar(1)  COMMENT '処理フラグ'</v>
      </c>
      <c r="BQ120" t="s">
        <v>223</v>
      </c>
      <c r="BR120" t="str">
        <f t="shared" si="24"/>
        <v xml:space="preserve">,`PRCS_FG` varchar(1) </v>
      </c>
      <c r="BS120" t="s">
        <v>223</v>
      </c>
      <c r="BT120" t="str">
        <f t="shared" si="23"/>
        <v>,`PRCS_FG`</v>
      </c>
      <c r="BU120" t="s">
        <v>223</v>
      </c>
      <c r="BV120" s="82" t="str">
        <f t="shared" si="3"/>
        <v>,A.`PRCS_FG` = B.`PRCS_FG`</v>
      </c>
      <c r="BW120" t="s">
        <v>223</v>
      </c>
      <c r="BX120" s="82" t="str">
        <f t="shared" si="25"/>
        <v>,`PRCS_FG`</v>
      </c>
      <c r="BY120" t="s">
        <v>223</v>
      </c>
      <c r="BZ120" s="82" t="str">
        <f t="shared" si="4"/>
        <v>,`PRCS_FG`</v>
      </c>
      <c r="CA120" t="s">
        <v>223</v>
      </c>
    </row>
    <row r="121" spans="1:79" ht="15" customHeight="1">
      <c r="A121" s="84"/>
      <c r="BK121" s="4"/>
      <c r="BP121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(`PLUID`,`STR_ID`),</v>
      </c>
      <c r="BQ121" t="s">
        <v>223</v>
      </c>
      <c r="BR121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(`PLUID`,`STR_ID`)</v>
      </c>
      <c r="BS121" t="s">
        <v>223</v>
      </c>
      <c r="BT121" s="82" t="s">
        <v>226</v>
      </c>
      <c r="BU121" t="s">
        <v>223</v>
      </c>
      <c r="BV121" s="82" t="s">
        <v>231</v>
      </c>
      <c r="BW121" t="s">
        <v>223</v>
      </c>
      <c r="BY121" t="s">
        <v>223</v>
      </c>
      <c r="BZ121" s="82" t="str">
        <f>"FROM `TMP`.`"&amp;$G$10&amp;"` A"</f>
        <v>FROM `TMP`.`GHPLUM` A</v>
      </c>
      <c r="CA121" t="s">
        <v>223</v>
      </c>
    </row>
    <row r="122" spans="1:79" ht="15" customHeight="1">
      <c r="A122" s="84"/>
      <c r="BK122" s="4"/>
      <c r="BP122" s="82" t="s">
        <v>222</v>
      </c>
      <c r="BQ122" t="s">
        <v>223</v>
      </c>
      <c r="BR122" s="82" t="str">
        <f>") ENGINE=InnoDB DEFAULT CHARSET=utf8mb4 COLLATE=utf8mb4_0900_ai_ci COMMENT = '"&amp;$G$9&amp;"_TMP';"</f>
        <v>) ENGINE=InnoDB DEFAULT CHARSET=utf8mb4 COLLATE=utf8mb4_0900_ai_ci COMMENT = 'ＰＬＵメンテ_TMP';</v>
      </c>
      <c r="BS122" t="s">
        <v>223</v>
      </c>
      <c r="BU122" t="s">
        <v>223</v>
      </c>
      <c r="BV122" s="82" t="str">
        <f>IF(_xlfn.XLOOKUP(1,$AH:$AH,$R:$R,"",0)="","","A.`"&amp;_xlfn.XLOOKUP(1,$AH:$AH,$R:$R,"",0)&amp;"` = B.`"&amp;_xlfn.XLOOKUP(1,$AH:$AH,$R:$R,"",0)&amp;"`")</f>
        <v>A.`PLUID` = B.`PLUID`</v>
      </c>
      <c r="BW122" t="s">
        <v>223</v>
      </c>
      <c r="BY122" t="s">
        <v>223</v>
      </c>
      <c r="BZ122" s="82" t="s">
        <v>232</v>
      </c>
      <c r="CA122" t="s">
        <v>223</v>
      </c>
    </row>
    <row r="123" spans="1:79" ht="15" customHeight="1">
      <c r="A123" s="84"/>
      <c r="B123" s="36" t="s">
        <v>47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4"/>
      <c r="BP123" s="82" t="str">
        <f>") ENGINE=InnoDB DEFAULT CHARSET=utf8mb4 COLLATE=utf8mb4_0900_ai_ci COMMENT = '"&amp;$G$9&amp;"';"</f>
        <v>) ENGINE=InnoDB DEFAULT CHARSET=utf8mb4 COLLATE=utf8mb4_0900_ai_ci COMMENT = 'ＰＬＵメンテ';</v>
      </c>
      <c r="BQ123" t="s">
        <v>223</v>
      </c>
      <c r="BS123" t="s">
        <v>223</v>
      </c>
      <c r="BU123" t="s">
        <v>223</v>
      </c>
      <c r="BV123" s="82" t="str">
        <f>IF(_xlfn.XLOOKUP(2,$AH:$AH,$R:$R,"",0)="","","AND A.`"&amp;_xlfn.XLOOKUP(2,$AH:$AH,$R:$R,"",0)&amp;"` = B.`"&amp;_xlfn.XLOOKUP(2,$AH:$AH,$R:$R,"",0)&amp;"`")</f>
        <v>AND A.`STR_ID` = B.`STR_ID`</v>
      </c>
      <c r="BW123" t="s">
        <v>223</v>
      </c>
      <c r="BY123" t="s">
        <v>223</v>
      </c>
      <c r="BZ123" s="82" t="str">
        <f>"FROM `REPLICA_KASUMI`.`"&amp;$G$10&amp;"` B"</f>
        <v>FROM `REPLICA_KASUMI`.`GHPLUM` B</v>
      </c>
      <c r="CA123" t="s">
        <v>223</v>
      </c>
    </row>
    <row r="124" spans="1:79" ht="15" customHeight="1">
      <c r="A124" s="84"/>
      <c r="B124" s="33" t="s">
        <v>48</v>
      </c>
      <c r="C124" s="34"/>
      <c r="D124" s="33" t="s">
        <v>49</v>
      </c>
      <c r="E124" s="43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4"/>
      <c r="R124" s="33" t="s">
        <v>50</v>
      </c>
      <c r="S124" s="43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4"/>
      <c r="AL124" s="33" t="s">
        <v>51</v>
      </c>
      <c r="AM124" s="35"/>
      <c r="AN124" s="35"/>
      <c r="AO124" s="44"/>
      <c r="AP124" s="33" t="s">
        <v>52</v>
      </c>
      <c r="AQ124" s="35"/>
      <c r="AR124" s="35"/>
      <c r="AS124" s="34"/>
      <c r="AT124" s="33" t="s">
        <v>46</v>
      </c>
      <c r="AU124" s="43"/>
      <c r="AV124" s="43"/>
      <c r="AW124" s="35"/>
      <c r="AX124" s="35"/>
      <c r="AY124" s="43"/>
      <c r="AZ124" s="35"/>
      <c r="BA124" s="35"/>
      <c r="BB124" s="35"/>
      <c r="BC124" s="35"/>
      <c r="BD124" s="35"/>
      <c r="BE124" s="35"/>
      <c r="BF124" s="35"/>
      <c r="BG124" s="35"/>
      <c r="BH124" s="35"/>
      <c r="BI124" s="43"/>
      <c r="BJ124" s="34"/>
      <c r="BK124" s="4"/>
      <c r="BP124" s="82"/>
      <c r="BQ124" t="s">
        <v>223</v>
      </c>
      <c r="BS124" t="s">
        <v>223</v>
      </c>
      <c r="BU124" t="s">
        <v>223</v>
      </c>
      <c r="BV124" s="82" t="str">
        <f>IF(_xlfn.XLOOKUP(3,$AH:$AH,$R:$R,"",0)="","","AND A.`"&amp;_xlfn.XLOOKUP(3,$AH:$AH,$R:$R,"",0)&amp;"` = B.`"&amp;_xlfn.XLOOKUP(3,$AH:$AH,$R:$R,"",0)&amp;"`")</f>
        <v/>
      </c>
      <c r="BW124" t="s">
        <v>223</v>
      </c>
      <c r="BY124" t="s">
        <v>223</v>
      </c>
      <c r="BZ124" s="82" t="s">
        <v>229</v>
      </c>
      <c r="CA124" t="s">
        <v>223</v>
      </c>
    </row>
    <row r="125" spans="1:79" ht="15" customHeight="1">
      <c r="A125" s="84"/>
      <c r="B125" s="37">
        <v>1</v>
      </c>
      <c r="C125" s="38"/>
      <c r="D125" s="37" t="s">
        <v>53</v>
      </c>
      <c r="E125" s="45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8"/>
      <c r="R125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`PLUID`,`STR_ID`</v>
      </c>
      <c r="S125" s="45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8"/>
      <c r="AL125" s="37" t="s">
        <v>224</v>
      </c>
      <c r="AM125" s="39"/>
      <c r="AN125" s="39"/>
      <c r="AO125" s="46"/>
      <c r="AP125" s="37" t="s">
        <v>224</v>
      </c>
      <c r="AQ125" s="39"/>
      <c r="AR125" s="39"/>
      <c r="AS125" s="38"/>
      <c r="AT125" s="37"/>
      <c r="AU125" s="45"/>
      <c r="AV125" s="45"/>
      <c r="AW125" s="39"/>
      <c r="AX125" s="39"/>
      <c r="AY125" s="45"/>
      <c r="AZ125" s="39"/>
      <c r="BA125" s="39"/>
      <c r="BB125" s="39"/>
      <c r="BC125" s="39"/>
      <c r="BD125" s="39"/>
      <c r="BE125" s="39"/>
      <c r="BF125" s="39"/>
      <c r="BG125" s="39"/>
      <c r="BH125" s="39"/>
      <c r="BI125" s="45"/>
      <c r="BJ125" s="38"/>
      <c r="BK125" s="4"/>
      <c r="BP125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`GHPLUM_CR_Date_Time` BEFORE INSERT ON `GHPLUM` FOR EACH ROW SET NEW.record_create_date = CURRENT_DATE, NEW.record_create_time = CURRENT_TIME, NEW.record_update_date = CURRENT_DATE, NEW.record_update_time = CURRENT_TIME;</v>
      </c>
      <c r="BQ125" t="s">
        <v>223</v>
      </c>
      <c r="BS125" t="s">
        <v>223</v>
      </c>
      <c r="BU125" t="s">
        <v>223</v>
      </c>
      <c r="BV125" s="82" t="str">
        <f>IF(_xlfn.XLOOKUP(4,$AH:$AH,$R:$R,"",0)="","","AND A.`"&amp;_xlfn.XLOOKUP(4,$AH:$AH,$R:$R,"",0)&amp;"` = B.`"&amp;_xlfn.XLOOKUP(4,$AH:$AH,$R:$R,"",0)&amp;"`")</f>
        <v/>
      </c>
      <c r="BW125" t="s">
        <v>223</v>
      </c>
      <c r="BY125" t="s">
        <v>223</v>
      </c>
      <c r="BZ125" s="82" t="str">
        <f>IF(_xlfn.XLOOKUP(1,$AH:$AH,$R:$R,"",0)="","","A.`"&amp;_xlfn.XLOOKUP(1,$AH:$AH,$R:$R,"",0)&amp;"` = B.`"&amp;_xlfn.XLOOKUP(1,$AH:$AH,$R:$R,"",0)&amp;"`")</f>
        <v>A.`PLUID` = B.`PLUID`</v>
      </c>
      <c r="CA125" t="s">
        <v>223</v>
      </c>
    </row>
    <row r="126" spans="1:79" ht="15" customHeight="1">
      <c r="A126" s="84"/>
      <c r="BK126" s="4"/>
      <c r="BP126" s="82" t="str">
        <f>"CREATE TRIGGER `"&amp;$G$10&amp;"_UP_Date_Time` BEFORE UPDATE ON `"&amp;$G$10&amp;"` FOR EACH ROW SET NEW.record_update_date = CURRENT_DATE, NEW.record_update_time = CURRENT_TIME;"</f>
        <v>CREATE TRIGGER `GHPLUM_UP_Date_Time` BEFORE UPDATE ON `GHPLUM` FOR EACH ROW SET NEW.record_update_date = CURRENT_DATE, NEW.record_update_time = CURRENT_TIME;</v>
      </c>
      <c r="BQ126" t="s">
        <v>223</v>
      </c>
      <c r="BS126" t="s">
        <v>223</v>
      </c>
      <c r="BU126" t="s">
        <v>223</v>
      </c>
      <c r="BV126" s="82" t="str">
        <f>IF(_xlfn.XLOOKUP(5,$AH:$AH,$R:$R,"",0)="","","AND A.`"&amp;_xlfn.XLOOKUP(5,$AH:$AH,$R:$R,"",0)&amp;"` = B.`"&amp;_xlfn.XLOOKUP(5,$AH:$AH,$R:$R,"",0)&amp;"`")</f>
        <v/>
      </c>
      <c r="BW126" t="s">
        <v>223</v>
      </c>
      <c r="BY126" t="s">
        <v>223</v>
      </c>
      <c r="BZ126" s="82" t="str">
        <f>IF(_xlfn.XLOOKUP(2,$AH:$AH,$R:$R,"",0)="","","AND A.`"&amp;_xlfn.XLOOKUP(2,$AH:$AH,$R:$R,"",0)&amp;"` = B.`"&amp;_xlfn.XLOOKUP(2,$AH:$AH,$R:$R,"",0)&amp;"`")</f>
        <v>AND A.`STR_ID` = B.`STR_ID`</v>
      </c>
      <c r="CA126" t="s">
        <v>223</v>
      </c>
    </row>
    <row r="127" spans="1:79" ht="15" customHeight="1">
      <c r="A127" s="84"/>
      <c r="BK127" s="4"/>
      <c r="BQ127" t="s">
        <v>223</v>
      </c>
      <c r="BS127" t="s">
        <v>223</v>
      </c>
      <c r="BU127" t="s">
        <v>223</v>
      </c>
      <c r="BV127" s="82" t="str">
        <f>IF(_xlfn.XLOOKUP(6,$AH:$AH,$R:$R,"",0)="","","AND A.`"&amp;_xlfn.XLOOKUP(6,$AH:$AH,$R:$R,"",0)&amp;"` = B.`"&amp;_xlfn.XLOOKUP(6,$AH:$AH,$R:$R,"",0)&amp;"`")</f>
        <v/>
      </c>
      <c r="BW127" t="s">
        <v>223</v>
      </c>
      <c r="BY127" t="s">
        <v>223</v>
      </c>
      <c r="BZ127" s="82" t="str">
        <f>IF(_xlfn.XLOOKUP(3,$AH:$AH,$R:$R,"",0)="","","AND A.`"&amp;_xlfn.XLOOKUP(3,$AH:$AH,$R:$R,"",0)&amp;"` = B.`"&amp;_xlfn.XLOOKUP(3,$AH:$AH,$R:$R,"",0)&amp;"`")</f>
        <v/>
      </c>
      <c r="CA127" t="s">
        <v>223</v>
      </c>
    </row>
    <row r="128" spans="1:79" ht="15" customHeight="1">
      <c r="A128" s="84"/>
      <c r="B128" s="36" t="s">
        <v>32</v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4"/>
      <c r="BQ128" t="s">
        <v>223</v>
      </c>
      <c r="BS128" t="s">
        <v>223</v>
      </c>
      <c r="BU128" t="s">
        <v>223</v>
      </c>
      <c r="BV128" s="82" t="str">
        <f>IF(_xlfn.XLOOKUP(7,$AH:$AH,$R:$R,"",0)="","","AND A.`"&amp;_xlfn.XLOOKUP(7,$AH:$AH,$R:$R,"",0)&amp;"` = B.`"&amp;_xlfn.XLOOKUP(7,$AH:$AH,$R:$R,"",0)&amp;"`")</f>
        <v/>
      </c>
      <c r="BW128" t="s">
        <v>223</v>
      </c>
      <c r="BY128" t="s">
        <v>223</v>
      </c>
      <c r="BZ128" s="82" t="str">
        <f>IF(_xlfn.XLOOKUP(4,$AH:$AH,$R:$R,"",0)="","","AND A.`"&amp;_xlfn.XLOOKUP(4,$AH:$AH,$R:$R,"",0)&amp;"` = B.`"&amp;_xlfn.XLOOKUP(4,$AH:$AH,$R:$R,"",0)&amp;"`")</f>
        <v/>
      </c>
      <c r="CA128" t="s">
        <v>223</v>
      </c>
    </row>
    <row r="129" spans="1:79" ht="15" customHeight="1">
      <c r="A129" s="84"/>
      <c r="B129" s="33" t="s">
        <v>33</v>
      </c>
      <c r="C129" s="44"/>
      <c r="D129" s="33" t="s">
        <v>34</v>
      </c>
      <c r="E129" s="43"/>
      <c r="F129" s="43"/>
      <c r="G129" s="43"/>
      <c r="H129" s="43"/>
      <c r="I129" s="43"/>
      <c r="J129" s="43"/>
      <c r="K129" s="43"/>
      <c r="L129" s="35"/>
      <c r="M129" s="35"/>
      <c r="N129" s="35"/>
      <c r="O129" s="35"/>
      <c r="P129" s="35"/>
      <c r="Q129" s="34"/>
      <c r="R129" s="33" t="s">
        <v>35</v>
      </c>
      <c r="S129" s="35"/>
      <c r="T129" s="44"/>
      <c r="U129" s="33" t="s">
        <v>36</v>
      </c>
      <c r="V129" s="35"/>
      <c r="W129" s="43"/>
      <c r="X129" s="44"/>
      <c r="Y129" s="33" t="s">
        <v>37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4"/>
      <c r="BK129" s="4"/>
      <c r="BQ129" t="s">
        <v>223</v>
      </c>
      <c r="BS129" t="s">
        <v>223</v>
      </c>
      <c r="BU129" t="s">
        <v>223</v>
      </c>
      <c r="BV129" s="82" t="str">
        <f>IF(_xlfn.XLOOKUP(8,$AH:$AH,$R:$R,"",0)="","","AND A.`"&amp;_xlfn.XLOOKUP(8,$AH:$AH,$R:$R,"",0)&amp;"` = B.`"&amp;_xlfn.XLOOKUP(8,$AH:$AH,$R:$R,"",0)&amp;"`")</f>
        <v/>
      </c>
      <c r="BW129" t="s">
        <v>223</v>
      </c>
      <c r="BY129" t="s">
        <v>223</v>
      </c>
      <c r="BZ129" s="82" t="str">
        <f>IF(_xlfn.XLOOKUP(5,$AH:$AH,$R:$R,"",0)="","","AND A.`"&amp;_xlfn.XLOOKUP(5,$AH:$AH,$R:$R,"",0)&amp;"` = B.`"&amp;_xlfn.XLOOKUP(5,$AH:$AH,$R:$R,"",0)&amp;"`")</f>
        <v/>
      </c>
      <c r="CA129" t="s">
        <v>223</v>
      </c>
    </row>
    <row r="130" spans="1:79" ht="15" customHeight="1">
      <c r="A130" s="84"/>
      <c r="B130" s="40">
        <v>1</v>
      </c>
      <c r="C130" s="46"/>
      <c r="D130" s="40" t="str">
        <f>G10&amp;"_"&amp;R130&amp;"_"&amp;"trg"</f>
        <v>GHPLUM_update_trg</v>
      </c>
      <c r="E130" s="45"/>
      <c r="F130" s="45"/>
      <c r="G130" s="45"/>
      <c r="H130" s="45"/>
      <c r="I130" s="45"/>
      <c r="J130" s="45"/>
      <c r="K130" s="45"/>
      <c r="L130" s="41"/>
      <c r="M130" s="41"/>
      <c r="N130" s="41"/>
      <c r="O130" s="41"/>
      <c r="P130" s="41"/>
      <c r="Q130" s="42"/>
      <c r="R130" s="40" t="s">
        <v>38</v>
      </c>
      <c r="S130" s="41"/>
      <c r="T130" s="46"/>
      <c r="U130" s="40" t="s">
        <v>39</v>
      </c>
      <c r="V130" s="41"/>
      <c r="W130" s="45"/>
      <c r="X130" s="46"/>
      <c r="Y130" s="40" t="s">
        <v>40</v>
      </c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2"/>
      <c r="BK130" s="4"/>
      <c r="BQ130" t="s">
        <v>223</v>
      </c>
      <c r="BS130" t="s">
        <v>223</v>
      </c>
      <c r="BU130" t="s">
        <v>223</v>
      </c>
      <c r="BV130" s="82" t="s">
        <v>233</v>
      </c>
      <c r="BW130" t="s">
        <v>223</v>
      </c>
      <c r="BY130" t="s">
        <v>223</v>
      </c>
      <c r="BZ130" s="82" t="str">
        <f>IF(_xlfn.XLOOKUP(6,$AH:$AH,$R:$R,"",0)="","","AND A.`"&amp;_xlfn.XLOOKUP(6,$AH:$AH,$R:$R,"",0)&amp;"` = B.`"&amp;_xlfn.XLOOKUP(6,$AH:$AH,$R:$R,"",0)&amp;"`")</f>
        <v/>
      </c>
      <c r="CA130" t="s">
        <v>223</v>
      </c>
    </row>
    <row r="131" spans="1:79" ht="15" customHeight="1">
      <c r="A131" s="84"/>
      <c r="BK131" s="4"/>
      <c r="BQ131" t="s">
        <v>223</v>
      </c>
      <c r="BS131" t="s">
        <v>223</v>
      </c>
      <c r="BU131" t="s">
        <v>223</v>
      </c>
      <c r="BW131" t="s">
        <v>223</v>
      </c>
      <c r="BY131" t="s">
        <v>223</v>
      </c>
      <c r="BZ131" s="82" t="str">
        <f>IF(_xlfn.XLOOKUP(7,$AH:$AH,$R:$R,"",0)="","","AND A.`"&amp;_xlfn.XLOOKUP(7,$AH:$AH,$R:$R,"",0)&amp;"` = B.`"&amp;_xlfn.XLOOKUP(7,$AH:$AH,$R:$R,"",0)&amp;"`")</f>
        <v/>
      </c>
      <c r="CA131" t="s">
        <v>223</v>
      </c>
    </row>
    <row r="132" spans="1:79" ht="15" customHeight="1">
      <c r="A132" s="84"/>
      <c r="BK132" s="4"/>
      <c r="BQ132" t="s">
        <v>223</v>
      </c>
      <c r="BS132" t="s">
        <v>223</v>
      </c>
      <c r="BU132" t="s">
        <v>223</v>
      </c>
      <c r="BW132" t="s">
        <v>223</v>
      </c>
      <c r="BY132" t="s">
        <v>223</v>
      </c>
      <c r="BZ132" s="82" t="str">
        <f>IF(_xlfn.XLOOKUP(8,$AH:$AH,$R:$R,"",0)="","","AND A.`"&amp;_xlfn.XLOOKUP(8,$AH:$AH,$R:$R,"",0)&amp;"` = B.`"&amp;_xlfn.XLOOKUP(8,$AH:$AH,$R:$R,"",0)&amp;"`")</f>
        <v/>
      </c>
      <c r="CA132" t="s">
        <v>223</v>
      </c>
    </row>
    <row r="133" spans="1:79" ht="15" customHeight="1">
      <c r="A133" s="84"/>
      <c r="BK133" s="4"/>
      <c r="BQ133" t="s">
        <v>223</v>
      </c>
      <c r="BS133" t="s">
        <v>223</v>
      </c>
      <c r="BU133" t="s">
        <v>223</v>
      </c>
      <c r="BW133" t="s">
        <v>223</v>
      </c>
      <c r="BY133" t="s">
        <v>223</v>
      </c>
      <c r="BZ133" s="82" t="s">
        <v>226</v>
      </c>
      <c r="CA133" t="s">
        <v>223</v>
      </c>
    </row>
    <row r="134" spans="1:79" ht="15" customHeight="1">
      <c r="A134" s="84"/>
      <c r="BK134" s="4"/>
      <c r="BQ134" t="s">
        <v>223</v>
      </c>
      <c r="BS134" t="s">
        <v>223</v>
      </c>
      <c r="BU134" t="s">
        <v>223</v>
      </c>
      <c r="BW134" t="s">
        <v>223</v>
      </c>
      <c r="BY134" t="s">
        <v>223</v>
      </c>
      <c r="CA134" t="s">
        <v>223</v>
      </c>
    </row>
    <row r="135" spans="1:79" ht="15" customHeight="1">
      <c r="A135" s="84"/>
      <c r="BK135" s="4"/>
      <c r="BQ135" t="s">
        <v>223</v>
      </c>
      <c r="BS135" t="s">
        <v>223</v>
      </c>
      <c r="BU135" t="s">
        <v>223</v>
      </c>
      <c r="BW135" t="s">
        <v>223</v>
      </c>
      <c r="BY135" t="s">
        <v>223</v>
      </c>
      <c r="BZ135" s="83"/>
      <c r="CA135" t="s">
        <v>223</v>
      </c>
    </row>
    <row r="136" spans="1:79" ht="15" customHeight="1">
      <c r="A136" s="84"/>
      <c r="BK136" s="4"/>
      <c r="BQ136" t="s">
        <v>223</v>
      </c>
      <c r="BS136" t="s">
        <v>223</v>
      </c>
      <c r="BU136" t="s">
        <v>223</v>
      </c>
      <c r="BW136" t="s">
        <v>223</v>
      </c>
      <c r="BY136" t="s">
        <v>223</v>
      </c>
      <c r="BZ136" t="str">
        <f>"DROP TABLE IF EXISTS `TMP`.`"&amp;$G$10&amp;"`;"</f>
        <v>DROP TABLE IF EXISTS `TMP`.`GHPLUM`;</v>
      </c>
      <c r="CA136" t="s">
        <v>223</v>
      </c>
    </row>
    <row r="137" spans="1:79" ht="15" customHeight="1">
      <c r="A137" s="84"/>
      <c r="BK137" s="4"/>
      <c r="BQ137" t="s">
        <v>223</v>
      </c>
      <c r="BS137" t="s">
        <v>223</v>
      </c>
      <c r="BU137" t="s">
        <v>223</v>
      </c>
      <c r="BW137" t="s">
        <v>223</v>
      </c>
      <c r="BY137" t="s">
        <v>223</v>
      </c>
      <c r="BZ137" t="s">
        <v>234</v>
      </c>
      <c r="CA137" t="s">
        <v>223</v>
      </c>
    </row>
    <row r="138" spans="1:79" ht="15" customHeight="1">
      <c r="A138" s="84"/>
      <c r="BK138" s="4"/>
      <c r="BQ138" t="s">
        <v>223</v>
      </c>
      <c r="BS138" t="s">
        <v>223</v>
      </c>
      <c r="BU138" t="s">
        <v>223</v>
      </c>
      <c r="BW138" t="s">
        <v>223</v>
      </c>
      <c r="BY138" t="s">
        <v>223</v>
      </c>
      <c r="CA138" t="s">
        <v>223</v>
      </c>
    </row>
    <row r="139" spans="1:79" ht="15" customHeight="1">
      <c r="A139" s="84"/>
      <c r="BK139" s="4"/>
      <c r="BQ139" t="s">
        <v>223</v>
      </c>
      <c r="BS139" t="s">
        <v>223</v>
      </c>
      <c r="BU139" t="s">
        <v>223</v>
      </c>
      <c r="BW139" t="s">
        <v>223</v>
      </c>
      <c r="BY139" t="s">
        <v>223</v>
      </c>
      <c r="CA139" t="s">
        <v>223</v>
      </c>
    </row>
    <row r="140" spans="1:79" ht="15" customHeight="1">
      <c r="A140" s="84"/>
      <c r="BK140" s="4"/>
      <c r="BQ140" t="s">
        <v>223</v>
      </c>
      <c r="BS140" t="s">
        <v>223</v>
      </c>
      <c r="BU140" t="s">
        <v>223</v>
      </c>
      <c r="BW140" t="s">
        <v>223</v>
      </c>
      <c r="BY140" t="s">
        <v>223</v>
      </c>
      <c r="CA140" t="s">
        <v>223</v>
      </c>
    </row>
    <row r="141" spans="1:79" ht="15" customHeight="1">
      <c r="A141" s="84"/>
      <c r="BK141" s="4"/>
      <c r="BQ141" t="s">
        <v>223</v>
      </c>
      <c r="BS141" t="s">
        <v>223</v>
      </c>
      <c r="BU141" t="s">
        <v>223</v>
      </c>
      <c r="BW141" t="s">
        <v>223</v>
      </c>
      <c r="BY141" t="s">
        <v>223</v>
      </c>
      <c r="CA141" t="s">
        <v>223</v>
      </c>
    </row>
    <row r="142" spans="1:79" ht="15" customHeight="1">
      <c r="A142" s="8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5"/>
      <c r="BQ142" t="s">
        <v>223</v>
      </c>
      <c r="BS142" t="s">
        <v>223</v>
      </c>
      <c r="BU142" t="s">
        <v>223</v>
      </c>
      <c r="BV142" s="82" t="str">
        <f t="shared" ref="BV142:BV149" si="26">",A.`"&amp;R142&amp;"` = B.`"&amp;R142&amp;"`"</f>
        <v>,A.`` = B.``</v>
      </c>
      <c r="BW142" t="s">
        <v>223</v>
      </c>
      <c r="BX142" s="82" t="str">
        <f t="shared" ref="BX142:BX149" si="27">",`"&amp;R142&amp;"`"</f>
        <v>,``</v>
      </c>
      <c r="BY142" t="s">
        <v>223</v>
      </c>
      <c r="BZ142" s="82" t="str">
        <f t="shared" si="4"/>
        <v>,``</v>
      </c>
      <c r="CA142" t="s">
        <v>223</v>
      </c>
    </row>
    <row r="143" spans="1:79">
      <c r="A143" s="84"/>
      <c r="BQ143" t="s">
        <v>223</v>
      </c>
      <c r="BS143" t="s">
        <v>223</v>
      </c>
      <c r="BU143" t="s">
        <v>223</v>
      </c>
      <c r="BV143" s="82" t="str">
        <f t="shared" si="26"/>
        <v>,A.`` = B.``</v>
      </c>
      <c r="BW143" t="s">
        <v>223</v>
      </c>
      <c r="BX143" s="82" t="str">
        <f t="shared" si="27"/>
        <v>,``</v>
      </c>
      <c r="BY143" t="s">
        <v>223</v>
      </c>
      <c r="BZ143" s="82" t="str">
        <f t="shared" si="4"/>
        <v>,``</v>
      </c>
      <c r="CA143" t="s">
        <v>223</v>
      </c>
    </row>
    <row r="144" spans="1:79">
      <c r="A144" s="84"/>
      <c r="BQ144" t="s">
        <v>223</v>
      </c>
      <c r="BS144" t="s">
        <v>223</v>
      </c>
      <c r="BU144" t="s">
        <v>223</v>
      </c>
      <c r="BV144" s="82" t="str">
        <f t="shared" si="26"/>
        <v>,A.`` = B.``</v>
      </c>
      <c r="BW144" t="s">
        <v>223</v>
      </c>
      <c r="BX144" s="82" t="str">
        <f t="shared" si="27"/>
        <v>,``</v>
      </c>
      <c r="BY144" t="s">
        <v>223</v>
      </c>
      <c r="BZ144" s="82" t="str">
        <f t="shared" si="4"/>
        <v>,``</v>
      </c>
      <c r="CA144" t="s">
        <v>223</v>
      </c>
    </row>
    <row r="145" spans="1:79">
      <c r="A145" s="84"/>
      <c r="BQ145" t="s">
        <v>223</v>
      </c>
      <c r="BS145" t="s">
        <v>223</v>
      </c>
      <c r="BU145" t="s">
        <v>223</v>
      </c>
      <c r="BV145" s="82" t="str">
        <f t="shared" si="26"/>
        <v>,A.`` = B.``</v>
      </c>
      <c r="BW145" t="s">
        <v>223</v>
      </c>
      <c r="BX145" s="82" t="str">
        <f t="shared" si="27"/>
        <v>,``</v>
      </c>
      <c r="BY145" t="s">
        <v>223</v>
      </c>
      <c r="BZ145" s="82" t="str">
        <f t="shared" si="4"/>
        <v>,``</v>
      </c>
      <c r="CA145" t="s">
        <v>223</v>
      </c>
    </row>
    <row r="146" spans="1:79">
      <c r="A146" s="84"/>
      <c r="BQ146" t="s">
        <v>223</v>
      </c>
      <c r="BS146" t="s">
        <v>223</v>
      </c>
      <c r="BU146" t="s">
        <v>223</v>
      </c>
      <c r="BV146" s="82" t="str">
        <f t="shared" si="26"/>
        <v>,A.`` = B.``</v>
      </c>
      <c r="BW146" t="s">
        <v>223</v>
      </c>
      <c r="BX146" s="82" t="str">
        <f t="shared" si="27"/>
        <v>,``</v>
      </c>
      <c r="BY146" t="s">
        <v>223</v>
      </c>
      <c r="BZ146" s="82" t="str">
        <f t="shared" si="4"/>
        <v>,``</v>
      </c>
      <c r="CA146" t="s">
        <v>223</v>
      </c>
    </row>
    <row r="147" spans="1:79">
      <c r="A147" s="84"/>
      <c r="BQ147" t="s">
        <v>223</v>
      </c>
      <c r="BS147" t="s">
        <v>223</v>
      </c>
      <c r="BU147" t="s">
        <v>223</v>
      </c>
      <c r="BV147" s="82" t="str">
        <f t="shared" si="26"/>
        <v>,A.`` = B.``</v>
      </c>
      <c r="BW147" t="s">
        <v>223</v>
      </c>
      <c r="BX147" s="82" t="str">
        <f t="shared" si="27"/>
        <v>,``</v>
      </c>
      <c r="BY147" t="s">
        <v>223</v>
      </c>
      <c r="BZ147" s="82" t="str">
        <f t="shared" si="4"/>
        <v>,``</v>
      </c>
      <c r="CA147" t="s">
        <v>223</v>
      </c>
    </row>
    <row r="148" spans="1:79">
      <c r="A148" s="84"/>
      <c r="BQ148" t="s">
        <v>223</v>
      </c>
      <c r="BS148" t="s">
        <v>223</v>
      </c>
      <c r="BU148" t="s">
        <v>223</v>
      </c>
      <c r="BV148" s="82" t="str">
        <f t="shared" si="26"/>
        <v>,A.`` = B.``</v>
      </c>
      <c r="BW148" t="s">
        <v>223</v>
      </c>
      <c r="BX148" s="82" t="str">
        <f t="shared" si="27"/>
        <v>,``</v>
      </c>
      <c r="BY148" t="s">
        <v>223</v>
      </c>
      <c r="BZ148" s="82" t="str">
        <f t="shared" si="4"/>
        <v>,``</v>
      </c>
      <c r="CA148" t="s">
        <v>223</v>
      </c>
    </row>
    <row r="149" spans="1:79">
      <c r="A149" s="83"/>
      <c r="BQ149" t="s">
        <v>223</v>
      </c>
      <c r="BS149" t="s">
        <v>223</v>
      </c>
      <c r="BU149" t="s">
        <v>223</v>
      </c>
      <c r="BV149" s="82" t="str">
        <f t="shared" si="26"/>
        <v>,A.`` = B.``</v>
      </c>
      <c r="BW149" t="s">
        <v>223</v>
      </c>
      <c r="BX149" s="82" t="str">
        <f t="shared" si="27"/>
        <v>,``</v>
      </c>
      <c r="BY149" t="s">
        <v>223</v>
      </c>
      <c r="BZ149" s="82" t="str">
        <f t="shared" si="4"/>
        <v>,``</v>
      </c>
      <c r="CA149" t="s">
        <v>223</v>
      </c>
    </row>
    <row r="150" spans="1:79">
      <c r="BQ150" t="s">
        <v>223</v>
      </c>
      <c r="BS150" t="s">
        <v>223</v>
      </c>
      <c r="BU150" t="s">
        <v>223</v>
      </c>
      <c r="BV150" s="82" t="s">
        <v>231</v>
      </c>
      <c r="BW150" t="s">
        <v>223</v>
      </c>
      <c r="BY150" t="s">
        <v>223</v>
      </c>
      <c r="BZ150" s="82" t="str">
        <f>"FROM `TMP`.`"&amp;$G$10&amp;"` A"</f>
        <v>FROM `TMP`.`GHPLUM` A</v>
      </c>
      <c r="CA150" t="s">
        <v>223</v>
      </c>
    </row>
    <row r="151" spans="1:79">
      <c r="BQ151" t="s">
        <v>223</v>
      </c>
      <c r="BS151" t="s">
        <v>223</v>
      </c>
      <c r="BU151" t="s">
        <v>223</v>
      </c>
      <c r="BV151" s="82" t="str">
        <f>IF(_xlfn.XLOOKUP(1,$AH:$AH,$R:$R,"",0)="","","A.`"&amp;_xlfn.XLOOKUP(1,$AH:$AH,$R:$R,"",0)&amp;"` = B.`"&amp;_xlfn.XLOOKUP(1,$AH:$AH,$R:$R,"",0)&amp;"`")</f>
        <v>A.`PLUID` = B.`PLUID`</v>
      </c>
      <c r="BW151" t="s">
        <v>223</v>
      </c>
      <c r="BY151" t="s">
        <v>223</v>
      </c>
      <c r="BZ151" s="82" t="s">
        <v>232</v>
      </c>
      <c r="CA151" t="s">
        <v>223</v>
      </c>
    </row>
    <row r="152" spans="1:79">
      <c r="BQ152" t="s">
        <v>223</v>
      </c>
      <c r="BS152" t="s">
        <v>223</v>
      </c>
      <c r="BU152" t="s">
        <v>223</v>
      </c>
      <c r="BV152" s="82" t="str">
        <f>IF(_xlfn.XLOOKUP(2,$AH:$AH,$R:$R,"",0)="","","AND A.`"&amp;_xlfn.XLOOKUP(2,$AH:$AH,$R:$R,"",0)&amp;"` = B.`"&amp;_xlfn.XLOOKUP(2,$AH:$AH,$R:$R,"",0)&amp;"`")</f>
        <v>AND A.`STR_ID` = B.`STR_ID`</v>
      </c>
      <c r="BW152" t="s">
        <v>223</v>
      </c>
      <c r="BY152" t="s">
        <v>223</v>
      </c>
      <c r="BZ152" s="82" t="str">
        <f>"FROM `REPLICA_KASUMI`.`"&amp;$G$10&amp;"` B"</f>
        <v>FROM `REPLICA_KASUMI`.`GHPLUM` B</v>
      </c>
      <c r="CA152" t="s">
        <v>223</v>
      </c>
    </row>
    <row r="153" spans="1:79">
      <c r="BQ153" t="s">
        <v>223</v>
      </c>
      <c r="BS153" t="s">
        <v>223</v>
      </c>
      <c r="BU153" t="s">
        <v>223</v>
      </c>
      <c r="BV153" s="82" t="str">
        <f>IF(_xlfn.XLOOKUP(3,$AH:$AH,$R:$R,"",0)="","","AND A.`"&amp;_xlfn.XLOOKUP(3,$AH:$AH,$R:$R,"",0)&amp;"` = B.`"&amp;_xlfn.XLOOKUP(3,$AH:$AH,$R:$R,"",0)&amp;"`")</f>
        <v/>
      </c>
      <c r="BW153" t="s">
        <v>223</v>
      </c>
      <c r="BY153" t="s">
        <v>223</v>
      </c>
      <c r="BZ153" s="82" t="s">
        <v>229</v>
      </c>
      <c r="CA153" t="s">
        <v>223</v>
      </c>
    </row>
    <row r="154" spans="1:79">
      <c r="BQ154" t="s">
        <v>223</v>
      </c>
      <c r="BS154" t="s">
        <v>223</v>
      </c>
      <c r="BU154" t="s">
        <v>223</v>
      </c>
      <c r="BV154" s="82" t="str">
        <f>IF(_xlfn.XLOOKUP(4,$AH:$AH,$R:$R,"",0)="","","AND A.`"&amp;_xlfn.XLOOKUP(4,$AH:$AH,$R:$R,"",0)&amp;"` = B.`"&amp;_xlfn.XLOOKUP(4,$AH:$AH,$R:$R,"",0)&amp;"`")</f>
        <v/>
      </c>
      <c r="BW154" t="s">
        <v>223</v>
      </c>
      <c r="BY154" t="s">
        <v>223</v>
      </c>
      <c r="BZ154" s="82" t="str">
        <f>IF(_xlfn.XLOOKUP(1,$AH:$AH,$R:$R,"",0)="","","A.`"&amp;_xlfn.XLOOKUP(1,$AH:$AH,$R:$R,"",0)&amp;"` = B.`"&amp;_xlfn.XLOOKUP(1,$AH:$AH,$R:$R,"",0)&amp;"`")</f>
        <v>A.`PLUID` = B.`PLUID`</v>
      </c>
      <c r="CA154" t="s">
        <v>223</v>
      </c>
    </row>
    <row r="155" spans="1:79">
      <c r="BQ155" t="s">
        <v>223</v>
      </c>
      <c r="BS155" t="s">
        <v>223</v>
      </c>
      <c r="BU155" t="s">
        <v>223</v>
      </c>
      <c r="BV155" s="82" t="str">
        <f>IF(_xlfn.XLOOKUP(5,$AH:$AH,$R:$R,"",0)="","","AND A.`"&amp;_xlfn.XLOOKUP(5,$AH:$AH,$R:$R,"",0)&amp;"` = B.`"&amp;_xlfn.XLOOKUP(5,$AH:$AH,$R:$R,"",0)&amp;"`")</f>
        <v/>
      </c>
      <c r="BW155" t="s">
        <v>223</v>
      </c>
      <c r="BY155" t="s">
        <v>223</v>
      </c>
      <c r="BZ155" s="82" t="str">
        <f>IF(_xlfn.XLOOKUP(2,$AH:$AH,$R:$R,"",0)="","","AND A.`"&amp;_xlfn.XLOOKUP(2,$AH:$AH,$R:$R,"",0)&amp;"` = B.`"&amp;_xlfn.XLOOKUP(2,$AH:$AH,$R:$R,"",0)&amp;"`")</f>
        <v>AND A.`STR_ID` = B.`STR_ID`</v>
      </c>
      <c r="CA155" t="s">
        <v>223</v>
      </c>
    </row>
    <row r="156" spans="1:79">
      <c r="BQ156" t="s">
        <v>223</v>
      </c>
      <c r="BS156" t="s">
        <v>223</v>
      </c>
      <c r="BU156" t="s">
        <v>223</v>
      </c>
      <c r="BV156" s="82" t="str">
        <f>IF(_xlfn.XLOOKUP(6,$AH:$AH,$R:$R,"",0)="","","AND A.`"&amp;_xlfn.XLOOKUP(6,$AH:$AH,$R:$R,"",0)&amp;"` = B.`"&amp;_xlfn.XLOOKUP(6,$AH:$AH,$R:$R,"",0)&amp;"`")</f>
        <v/>
      </c>
      <c r="BW156" t="s">
        <v>223</v>
      </c>
      <c r="BY156" t="s">
        <v>223</v>
      </c>
      <c r="BZ156" s="82" t="str">
        <f>IF(_xlfn.XLOOKUP(3,$AH:$AH,$R:$R,"",0)="","","AND A.`"&amp;_xlfn.XLOOKUP(3,$AH:$AH,$R:$R,"",0)&amp;"` = B.`"&amp;_xlfn.XLOOKUP(3,$AH:$AH,$R:$R,"",0)&amp;"`")</f>
        <v/>
      </c>
      <c r="CA156" t="s">
        <v>223</v>
      </c>
    </row>
    <row r="157" spans="1:79">
      <c r="BQ157" t="s">
        <v>223</v>
      </c>
      <c r="BS157" t="s">
        <v>223</v>
      </c>
      <c r="BU157" t="s">
        <v>223</v>
      </c>
      <c r="BV157" s="82" t="str">
        <f>IF(_xlfn.XLOOKUP(7,$AH:$AH,$R:$R,"",0)="","","AND A.`"&amp;_xlfn.XLOOKUP(7,$AH:$AH,$R:$R,"",0)&amp;"` = B.`"&amp;_xlfn.XLOOKUP(7,$AH:$AH,$R:$R,"",0)&amp;"`")</f>
        <v/>
      </c>
      <c r="BW157" t="s">
        <v>223</v>
      </c>
      <c r="BY157" t="s">
        <v>223</v>
      </c>
      <c r="BZ157" s="82" t="str">
        <f>IF(_xlfn.XLOOKUP(4,$AH:$AH,$R:$R,"",0)="","","AND A.`"&amp;_xlfn.XLOOKUP(4,$AH:$AH,$R:$R,"",0)&amp;"` = B.`"&amp;_xlfn.XLOOKUP(4,$AH:$AH,$R:$R,"",0)&amp;"`")</f>
        <v/>
      </c>
      <c r="CA157" t="s">
        <v>223</v>
      </c>
    </row>
    <row r="158" spans="1:79">
      <c r="BQ158" t="s">
        <v>223</v>
      </c>
      <c r="BS158" t="s">
        <v>223</v>
      </c>
      <c r="BU158" t="s">
        <v>223</v>
      </c>
      <c r="BV158" s="82" t="str">
        <f>IF(_xlfn.XLOOKUP(8,$AH:$AH,$R:$R,"",0)="","","AND A.`"&amp;_xlfn.XLOOKUP(8,$AH:$AH,$R:$R,"",0)&amp;"` = B.`"&amp;_xlfn.XLOOKUP(8,$AH:$AH,$R:$R,"",0)&amp;"`")</f>
        <v/>
      </c>
      <c r="BW158" t="s">
        <v>223</v>
      </c>
      <c r="BY158" t="s">
        <v>223</v>
      </c>
      <c r="BZ158" s="82" t="str">
        <f>IF(_xlfn.XLOOKUP(5,$AH:$AH,$R:$R,"",0)="","","AND A.`"&amp;_xlfn.XLOOKUP(5,$AH:$AH,$R:$R,"",0)&amp;"` = B.`"&amp;_xlfn.XLOOKUP(5,$AH:$AH,$R:$R,"",0)&amp;"`")</f>
        <v/>
      </c>
      <c r="CA158" t="s">
        <v>223</v>
      </c>
    </row>
    <row r="159" spans="1:79">
      <c r="BQ159" t="s">
        <v>223</v>
      </c>
      <c r="BS159" t="s">
        <v>223</v>
      </c>
      <c r="BU159" t="s">
        <v>223</v>
      </c>
      <c r="BV159" s="82" t="s">
        <v>233</v>
      </c>
      <c r="BW159" t="s">
        <v>223</v>
      </c>
      <c r="BY159" t="s">
        <v>223</v>
      </c>
      <c r="BZ159" s="82" t="str">
        <f>IF(_xlfn.XLOOKUP(6,$AH:$AH,$R:$R,"",0)="","","AND A.`"&amp;_xlfn.XLOOKUP(6,$AH:$AH,$R:$R,"",0)&amp;"` = B.`"&amp;_xlfn.XLOOKUP(6,$AH:$AH,$R:$R,"",0)&amp;"`")</f>
        <v/>
      </c>
      <c r="CA159" t="s">
        <v>223</v>
      </c>
    </row>
    <row r="160" spans="1:79">
      <c r="BQ160" t="s">
        <v>223</v>
      </c>
      <c r="BS160" t="s">
        <v>223</v>
      </c>
      <c r="BU160" t="s">
        <v>223</v>
      </c>
      <c r="BW160" t="s">
        <v>223</v>
      </c>
      <c r="BY160" t="s">
        <v>223</v>
      </c>
      <c r="BZ160" s="82" t="str">
        <f>IF(_xlfn.XLOOKUP(7,$AH:$AH,$R:$R,"",0)="","","AND A.`"&amp;_xlfn.XLOOKUP(7,$AH:$AH,$R:$R,"",0)&amp;"` = B.`"&amp;_xlfn.XLOOKUP(7,$AH:$AH,$R:$R,"",0)&amp;"`")</f>
        <v/>
      </c>
      <c r="CA160" t="s">
        <v>223</v>
      </c>
    </row>
    <row r="161" spans="69:79">
      <c r="BQ161" t="s">
        <v>223</v>
      </c>
      <c r="BS161" t="s">
        <v>223</v>
      </c>
      <c r="BU161" t="s">
        <v>223</v>
      </c>
      <c r="BW161" t="s">
        <v>223</v>
      </c>
      <c r="BY161" t="s">
        <v>223</v>
      </c>
      <c r="BZ161" s="82" t="str">
        <f>IF(_xlfn.XLOOKUP(8,$AH:$AH,$R:$R,"",0)="","","AND A.`"&amp;_xlfn.XLOOKUP(8,$AH:$AH,$R:$R,"",0)&amp;"` = B.`"&amp;_xlfn.XLOOKUP(8,$AH:$AH,$R:$R,"",0)&amp;"`")</f>
        <v/>
      </c>
      <c r="CA161" t="s">
        <v>223</v>
      </c>
    </row>
    <row r="162" spans="69:79">
      <c r="BQ162" t="s">
        <v>223</v>
      </c>
      <c r="BS162" t="s">
        <v>223</v>
      </c>
      <c r="BU162" t="s">
        <v>223</v>
      </c>
      <c r="BW162" t="s">
        <v>223</v>
      </c>
      <c r="BY162" t="s">
        <v>223</v>
      </c>
      <c r="BZ162" s="82" t="s">
        <v>226</v>
      </c>
      <c r="CA162" t="s">
        <v>223</v>
      </c>
    </row>
    <row r="163" spans="69:79">
      <c r="BQ163" t="s">
        <v>223</v>
      </c>
      <c r="BS163" t="s">
        <v>223</v>
      </c>
      <c r="BU163" t="s">
        <v>223</v>
      </c>
      <c r="BW163" t="s">
        <v>223</v>
      </c>
      <c r="BY163" t="s">
        <v>223</v>
      </c>
      <c r="CA163" t="s">
        <v>223</v>
      </c>
    </row>
    <row r="164" spans="69:79">
      <c r="BQ164" t="s">
        <v>223</v>
      </c>
      <c r="BS164" t="s">
        <v>223</v>
      </c>
      <c r="BU164" t="s">
        <v>223</v>
      </c>
      <c r="BW164" t="s">
        <v>223</v>
      </c>
      <c r="BY164" t="s">
        <v>223</v>
      </c>
      <c r="BZ164" s="83"/>
      <c r="CA164" t="s">
        <v>223</v>
      </c>
    </row>
    <row r="165" spans="69:79">
      <c r="BQ165" t="s">
        <v>223</v>
      </c>
      <c r="BS165" t="s">
        <v>223</v>
      </c>
      <c r="BU165" t="s">
        <v>223</v>
      </c>
      <c r="BW165" t="s">
        <v>223</v>
      </c>
      <c r="BY165" t="s">
        <v>223</v>
      </c>
      <c r="BZ165" t="str">
        <f>"DROP TABLE IF EXISTS `TMP`.`"&amp;$G$10&amp;"`;"</f>
        <v>DROP TABLE IF EXISTS `TMP`.`GHPLUM`;</v>
      </c>
      <c r="CA165" t="s">
        <v>223</v>
      </c>
    </row>
    <row r="166" spans="69:79">
      <c r="BQ166" t="s">
        <v>223</v>
      </c>
      <c r="BS166" t="s">
        <v>223</v>
      </c>
      <c r="BU166" t="s">
        <v>223</v>
      </c>
      <c r="BW166" t="s">
        <v>223</v>
      </c>
      <c r="BY166" t="s">
        <v>223</v>
      </c>
      <c r="BZ166" t="s">
        <v>234</v>
      </c>
      <c r="CA166" t="s">
        <v>223</v>
      </c>
    </row>
    <row r="167" spans="69:79">
      <c r="BQ167" t="s">
        <v>223</v>
      </c>
      <c r="BS167" t="s">
        <v>223</v>
      </c>
      <c r="BU167" t="s">
        <v>223</v>
      </c>
      <c r="BW167" t="s">
        <v>223</v>
      </c>
      <c r="BY167" t="s">
        <v>223</v>
      </c>
      <c r="CA167" t="s">
        <v>223</v>
      </c>
    </row>
    <row r="168" spans="69:79">
      <c r="BQ168" t="s">
        <v>223</v>
      </c>
      <c r="BS168" t="s">
        <v>223</v>
      </c>
      <c r="BU168" t="s">
        <v>223</v>
      </c>
      <c r="BW168" t="s">
        <v>223</v>
      </c>
      <c r="BY168" t="s">
        <v>223</v>
      </c>
      <c r="CA168" t="s">
        <v>223</v>
      </c>
    </row>
    <row r="169" spans="69:79">
      <c r="BQ169" t="s">
        <v>223</v>
      </c>
      <c r="BS169" t="s">
        <v>223</v>
      </c>
      <c r="BU169" t="s">
        <v>223</v>
      </c>
      <c r="BW169" t="s">
        <v>223</v>
      </c>
      <c r="BY169" t="s">
        <v>223</v>
      </c>
      <c r="CA169" t="s">
        <v>223</v>
      </c>
    </row>
    <row r="170" spans="69:79">
      <c r="BQ170" t="s">
        <v>223</v>
      </c>
      <c r="BS170" t="s">
        <v>223</v>
      </c>
      <c r="BU170" t="s">
        <v>223</v>
      </c>
      <c r="BW170" t="s">
        <v>223</v>
      </c>
      <c r="BY170" t="s">
        <v>223</v>
      </c>
      <c r="CA170" t="s">
        <v>223</v>
      </c>
    </row>
    <row r="171" spans="69:79">
      <c r="BQ171" t="s">
        <v>223</v>
      </c>
      <c r="BS171" t="s">
        <v>223</v>
      </c>
      <c r="BU171" t="s">
        <v>223</v>
      </c>
      <c r="BW171" t="s">
        <v>223</v>
      </c>
      <c r="BY171" t="s">
        <v>223</v>
      </c>
      <c r="CA171" t="s">
        <v>223</v>
      </c>
    </row>
  </sheetData>
  <mergeCells count="233">
    <mergeCell ref="AT119:BJ119"/>
    <mergeCell ref="AT120:BJ120"/>
    <mergeCell ref="AT110:BJ110"/>
    <mergeCell ref="AT111:BJ111"/>
    <mergeCell ref="AT112:BJ112"/>
    <mergeCell ref="AT113:BJ113"/>
    <mergeCell ref="AT114:BJ114"/>
    <mergeCell ref="AT115:BJ115"/>
    <mergeCell ref="AT116:BJ116"/>
    <mergeCell ref="AT117:BJ117"/>
    <mergeCell ref="AT118:BJ118"/>
    <mergeCell ref="AT101:BJ101"/>
    <mergeCell ref="AT102:BJ102"/>
    <mergeCell ref="AT103:BJ103"/>
    <mergeCell ref="AT104:BJ104"/>
    <mergeCell ref="AT105:BJ105"/>
    <mergeCell ref="AT106:BJ106"/>
    <mergeCell ref="AT107:BJ107"/>
    <mergeCell ref="AT108:BJ108"/>
    <mergeCell ref="AT109:BJ109"/>
    <mergeCell ref="AT92:BJ92"/>
    <mergeCell ref="AT93:BJ93"/>
    <mergeCell ref="AT94:BJ94"/>
    <mergeCell ref="AT95:BJ95"/>
    <mergeCell ref="AT96:BJ96"/>
    <mergeCell ref="AT97:BJ97"/>
    <mergeCell ref="AT98:BJ98"/>
    <mergeCell ref="AT99:BJ99"/>
    <mergeCell ref="AT100:BJ100"/>
    <mergeCell ref="AT83:BJ83"/>
    <mergeCell ref="AT84:BJ84"/>
    <mergeCell ref="AT85:BJ85"/>
    <mergeCell ref="AT86:BJ86"/>
    <mergeCell ref="AT87:BJ87"/>
    <mergeCell ref="AT88:BJ88"/>
    <mergeCell ref="AT89:BJ89"/>
    <mergeCell ref="AT90:BJ90"/>
    <mergeCell ref="AT91:BJ91"/>
    <mergeCell ref="AT74:BJ74"/>
    <mergeCell ref="AT75:BJ75"/>
    <mergeCell ref="AT76:BJ76"/>
    <mergeCell ref="AT77:BJ77"/>
    <mergeCell ref="AT78:BJ78"/>
    <mergeCell ref="AT79:BJ79"/>
    <mergeCell ref="AT80:BJ80"/>
    <mergeCell ref="AT81:BJ81"/>
    <mergeCell ref="AT82:BJ82"/>
    <mergeCell ref="AT65:BJ65"/>
    <mergeCell ref="AT66:BJ66"/>
    <mergeCell ref="AT67:BJ67"/>
    <mergeCell ref="AT68:BJ68"/>
    <mergeCell ref="AT69:BJ69"/>
    <mergeCell ref="AT70:BJ70"/>
    <mergeCell ref="AT71:BJ71"/>
    <mergeCell ref="AT72:BJ72"/>
    <mergeCell ref="AT73:BJ73"/>
    <mergeCell ref="AT56:BJ56"/>
    <mergeCell ref="AT57:BJ57"/>
    <mergeCell ref="AT58:BJ58"/>
    <mergeCell ref="AT59:BJ59"/>
    <mergeCell ref="AT60:BJ60"/>
    <mergeCell ref="AT61:BJ61"/>
    <mergeCell ref="AT62:BJ62"/>
    <mergeCell ref="AT63:BJ63"/>
    <mergeCell ref="AT64:BJ64"/>
    <mergeCell ref="AT47:BJ47"/>
    <mergeCell ref="AT48:BJ48"/>
    <mergeCell ref="AT49:BJ49"/>
    <mergeCell ref="AT50:BJ50"/>
    <mergeCell ref="AT51:BJ51"/>
    <mergeCell ref="AT52:BJ52"/>
    <mergeCell ref="AT53:BJ53"/>
    <mergeCell ref="AT54:BJ54"/>
    <mergeCell ref="AT55:BJ55"/>
    <mergeCell ref="AT38:BJ38"/>
    <mergeCell ref="AT39:BJ39"/>
    <mergeCell ref="AT40:BJ40"/>
    <mergeCell ref="AT41:BJ41"/>
    <mergeCell ref="AT42:BJ42"/>
    <mergeCell ref="AT43:BJ43"/>
    <mergeCell ref="AT44:BJ44"/>
    <mergeCell ref="AT45:BJ45"/>
    <mergeCell ref="AT46:BJ46"/>
    <mergeCell ref="AT29:BJ29"/>
    <mergeCell ref="AT30:BJ30"/>
    <mergeCell ref="AT31:BJ31"/>
    <mergeCell ref="AT32:BJ32"/>
    <mergeCell ref="AT33:BJ33"/>
    <mergeCell ref="AT34:BJ34"/>
    <mergeCell ref="AT35:BJ35"/>
    <mergeCell ref="AT36:BJ36"/>
    <mergeCell ref="AT37:BJ37"/>
    <mergeCell ref="AT20:BJ20"/>
    <mergeCell ref="AT21:BJ21"/>
    <mergeCell ref="AT22:BJ22"/>
    <mergeCell ref="AT23:BJ23"/>
    <mergeCell ref="AT24:BJ24"/>
    <mergeCell ref="AT25:BJ25"/>
    <mergeCell ref="AT26:BJ26"/>
    <mergeCell ref="AT27:BJ27"/>
    <mergeCell ref="AT28:BJ28"/>
    <mergeCell ref="AC117:AG117"/>
    <mergeCell ref="AC118:AG118"/>
    <mergeCell ref="AC119:AG119"/>
    <mergeCell ref="AC120:AG120"/>
    <mergeCell ref="AC111:AG111"/>
    <mergeCell ref="AC112:AG112"/>
    <mergeCell ref="AC113:AG113"/>
    <mergeCell ref="AC114:AG114"/>
    <mergeCell ref="AC115:AG115"/>
    <mergeCell ref="AC116:AG116"/>
    <mergeCell ref="AC105:AG105"/>
    <mergeCell ref="AC106:AG106"/>
    <mergeCell ref="AC107:AG107"/>
    <mergeCell ref="AC108:AG108"/>
    <mergeCell ref="AC109:AG109"/>
    <mergeCell ref="AC110:AG110"/>
    <mergeCell ref="AC99:AG99"/>
    <mergeCell ref="AC100:AG100"/>
    <mergeCell ref="AC101:AG101"/>
    <mergeCell ref="AC102:AG102"/>
    <mergeCell ref="AC103:AG103"/>
    <mergeCell ref="AC104:AG104"/>
    <mergeCell ref="AC93:AG93"/>
    <mergeCell ref="AC94:AG94"/>
    <mergeCell ref="AC95:AG95"/>
    <mergeCell ref="AC96:AG96"/>
    <mergeCell ref="AC97:AG97"/>
    <mergeCell ref="AC98:AG98"/>
    <mergeCell ref="AC87:AG87"/>
    <mergeCell ref="AC88:AG88"/>
    <mergeCell ref="AC89:AG89"/>
    <mergeCell ref="AC90:AG90"/>
    <mergeCell ref="AC91:AG91"/>
    <mergeCell ref="AC92:AG92"/>
    <mergeCell ref="AC81:AG81"/>
    <mergeCell ref="AC82:AG82"/>
    <mergeCell ref="AC83:AG83"/>
    <mergeCell ref="AC84:AG84"/>
    <mergeCell ref="AC85:AG85"/>
    <mergeCell ref="AC86:AG86"/>
    <mergeCell ref="AC75:AG75"/>
    <mergeCell ref="AC76:AG76"/>
    <mergeCell ref="AC77:AG77"/>
    <mergeCell ref="AC78:AG78"/>
    <mergeCell ref="AC79:AG79"/>
    <mergeCell ref="AC80:AG80"/>
    <mergeCell ref="AC69:AG69"/>
    <mergeCell ref="AC70:AG70"/>
    <mergeCell ref="AC71:AG71"/>
    <mergeCell ref="AC72:AG72"/>
    <mergeCell ref="AC73:AG73"/>
    <mergeCell ref="AC74:AG74"/>
    <mergeCell ref="AC63:AG63"/>
    <mergeCell ref="AC64:AG64"/>
    <mergeCell ref="AC65:AG65"/>
    <mergeCell ref="AC66:AG66"/>
    <mergeCell ref="AC67:AG67"/>
    <mergeCell ref="AC68:AG68"/>
    <mergeCell ref="AC57:AG57"/>
    <mergeCell ref="AC58:AG58"/>
    <mergeCell ref="AC59:AG59"/>
    <mergeCell ref="AC60:AG60"/>
    <mergeCell ref="AC61:AG61"/>
    <mergeCell ref="AC62:AG62"/>
    <mergeCell ref="AC51:AG51"/>
    <mergeCell ref="AC52:AG52"/>
    <mergeCell ref="AC53:AG53"/>
    <mergeCell ref="AC54:AG54"/>
    <mergeCell ref="AC55:AG55"/>
    <mergeCell ref="AC56:AG56"/>
    <mergeCell ref="AC45:AG45"/>
    <mergeCell ref="AC46:AG46"/>
    <mergeCell ref="AC47:AG47"/>
    <mergeCell ref="AC48:AG48"/>
    <mergeCell ref="AC49:AG49"/>
    <mergeCell ref="AC50:AG50"/>
    <mergeCell ref="AC39:AG39"/>
    <mergeCell ref="AC40:AG40"/>
    <mergeCell ref="AC41:AG41"/>
    <mergeCell ref="AC42:AG42"/>
    <mergeCell ref="AC43:AG43"/>
    <mergeCell ref="AC44:AG44"/>
    <mergeCell ref="AC33:AG33"/>
    <mergeCell ref="AC34:AG34"/>
    <mergeCell ref="AC35:AG35"/>
    <mergeCell ref="AC36:AG36"/>
    <mergeCell ref="AC37:AG37"/>
    <mergeCell ref="AC38:AG38"/>
    <mergeCell ref="AC27:AG27"/>
    <mergeCell ref="AC28:AG28"/>
    <mergeCell ref="AC29:AG29"/>
    <mergeCell ref="AC30:AG30"/>
    <mergeCell ref="AC31:AG31"/>
    <mergeCell ref="AC32:AG32"/>
    <mergeCell ref="B11:AN11"/>
    <mergeCell ref="B12:AN12"/>
    <mergeCell ref="B13:AN13"/>
    <mergeCell ref="B14:AN14"/>
    <mergeCell ref="B15:AN15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A4:G4"/>
    <mergeCell ref="H4:T4"/>
    <mergeCell ref="U4:Y4"/>
    <mergeCell ref="Z4:AO4"/>
    <mergeCell ref="AP4:BK4"/>
    <mergeCell ref="B8:F8"/>
    <mergeCell ref="G8:X8"/>
    <mergeCell ref="Y8:AC8"/>
    <mergeCell ref="AD8:AN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A751-FCAE-4FF4-8D8A-95350CE2B2F1}">
  <dimension ref="A1:CA129"/>
  <sheetViews>
    <sheetView view="pageBreakPreview" topLeftCell="D57" zoomScale="80" zoomScaleNormal="75" zoomScaleSheetLayoutView="80" workbookViewId="0">
      <selection activeCell="BV94" sqref="BV94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613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614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`Replica_Kasumi`.`GHDISCOUNTM`;</v>
      </c>
      <c r="BQ19" s="88" t="s">
        <v>727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`Replica_Kasumi`.`GHDISCOUNTM` (</v>
      </c>
      <c r="BQ20" s="88" t="s">
        <v>728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s="88" t="s">
        <v>729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s="88" t="s">
        <v>730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s="88" t="s">
        <v>731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s="88" t="s">
        <v>732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`REPLICA_KASUMI`.`GHDISCOUNTM` A,`TMP`.`GHDISCOUNTM`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s="88" t="s">
        <v>733</v>
      </c>
      <c r="BR25" s="82" t="str">
        <f>"DROP TABLE IF EXISTS `TMP`.`"&amp;$G$10&amp;"`;"</f>
        <v>DROP TABLE IF EXISTS `TMP`.`GHDISCOUNTM`;</v>
      </c>
      <c r="BS25" t="s">
        <v>223</v>
      </c>
      <c r="BT25" s="82" t="str">
        <f>"LOAD DATA INFILE 'C:/04_DATAFILE/"&amp;$G$10&amp;"/TMP/"&amp;$G$10&amp;".CSV' "</f>
        <v xml:space="preserve">LOAD DATA INFILE 'C:/04_DATAFILE/GHDISCOUNTM/TMP/GHDISCOUNTM.CSV'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s="88" t="s">
        <v>734</v>
      </c>
      <c r="BR26" s="82" t="str">
        <f>"CREATE TABLE `TMP`.`"&amp;G10&amp;"` ("</f>
        <v>CREATE TABLE `TMP`.`GHDISCOUNTM` (</v>
      </c>
      <c r="BS26" t="s">
        <v>223</v>
      </c>
      <c r="BT26" s="82" t="str">
        <f>"REPLACE INTO TABLE TMP.`"&amp;$G$10&amp;"` FIELDS TERMINATED BY ',' ENCLOSED BY '\""' LINES TERMINATED BY '\r\n' ("</f>
        <v>REPLACE INTO TABLE TMP.`GHDISCOUNTM`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`REPLICA_KASUMI`.`GHDISCOUNTM`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261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355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703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 t="s">
        <v>449</v>
      </c>
      <c r="BN27">
        <v>1</v>
      </c>
      <c r="BP27" t="str">
        <f>",`"&amp;R27&amp;"` "&amp;AC27&amp;" "&amp;IF(AJ27="Y","NOT NULL","")&amp;" COMMENT '"&amp;D27&amp;" "&amp;AT27&amp;"'"</f>
        <v>,`PRCS_TYP` varchar(1)  COMMENT '処理区分 Ａ：登録　Ｕ：更新　Ｄ：削除'</v>
      </c>
      <c r="BQ27" s="88" t="s">
        <v>735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15" customHeight="1">
      <c r="A28" s="84" t="s">
        <v>243</v>
      </c>
      <c r="B28" s="23">
        <v>8</v>
      </c>
      <c r="C28" s="24"/>
      <c r="D28" s="22" t="s">
        <v>615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357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int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 t="s">
        <v>704</v>
      </c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M28" t="s">
        <v>450</v>
      </c>
      <c r="BP28" t="str">
        <f t="shared" ref="BP28:BP78" si="1">",`"&amp;R28&amp;"` "&amp;AC28&amp;" "&amp;IF(AJ28="Y","NOT NULL","")&amp;" COMMENT '"&amp;D28&amp;" "&amp;AT28&amp;"'"</f>
        <v>,`STR_ID` int  COMMENT '店舗コード ０は不可'</v>
      </c>
      <c r="BQ28" s="88" t="s">
        <v>736</v>
      </c>
      <c r="BR28" s="82" t="str">
        <f>",`"&amp;R28&amp;"` "&amp;AC28&amp;" "&amp;IF(AJ28="Y","NOT NULL","")</f>
        <v xml:space="preserve">,`STR_ID` int </v>
      </c>
      <c r="BS28" t="s">
        <v>223</v>
      </c>
      <c r="BT28" t="str">
        <f>",`"&amp;R28&amp;"`"</f>
        <v>,`STR_ID`</v>
      </c>
      <c r="BU28" t="s">
        <v>223</v>
      </c>
      <c r="BV28" s="82" t="str">
        <f t="shared" ref="BV28:BV78" si="2">",A.`"&amp;R28&amp;"` = B.`"&amp;R28&amp;"`"</f>
        <v>,A.`STR_ID` = B.`STR_ID`</v>
      </c>
      <c r="BW28" t="s">
        <v>223</v>
      </c>
      <c r="BX28" s="82" t="str">
        <f>",`"&amp;R28&amp;"`"</f>
        <v>,`STR_ID`</v>
      </c>
      <c r="BY28" t="s">
        <v>223</v>
      </c>
      <c r="BZ28" s="82" t="str">
        <f t="shared" ref="BZ28:BZ107" si="3">",`"&amp;R28&amp;"`"</f>
        <v>,`STR_ID`</v>
      </c>
      <c r="CA28" t="s">
        <v>223</v>
      </c>
    </row>
    <row r="29" spans="1:79" ht="15" customHeight="1">
      <c r="A29" s="84" t="s">
        <v>244</v>
      </c>
      <c r="B29" s="23">
        <v>9</v>
      </c>
      <c r="C29" s="24"/>
      <c r="D29" s="22" t="s">
        <v>616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661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 cm="1">
        <f t="array" ref="AC29">_xlfn.SWITCH(BM29,"String","varchar("&amp;BN29&amp;")","Long","int","Integer","smallint","Double","decimal(9,2)","Currency","int")</f>
        <v>varchar(7)</v>
      </c>
      <c r="AD29" s="258"/>
      <c r="AE29" s="258"/>
      <c r="AF29" s="258"/>
      <c r="AG29" s="259"/>
      <c r="AH29" s="22">
        <v>2</v>
      </c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2" t="s">
        <v>705</v>
      </c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M29" t="s">
        <v>449</v>
      </c>
      <c r="BN29">
        <v>7</v>
      </c>
      <c r="BP29" t="str">
        <f t="shared" si="1"/>
        <v>,`EVNT_NBR` varchar(7)  COMMENT '企画Ｎo． 左詰  企画マスタに存在すること'</v>
      </c>
      <c r="BQ29" s="88" t="s">
        <v>737</v>
      </c>
      <c r="BR29" t="str">
        <f t="shared" ref="BR29:BR78" si="4">",`"&amp;R29&amp;"` "&amp;AC29&amp;" "&amp;IF(AJ29="Y","NOT NULL","")</f>
        <v xml:space="preserve">,`EVNT_NBR` varchar(7) </v>
      </c>
      <c r="BS29" t="s">
        <v>223</v>
      </c>
      <c r="BT29" t="str">
        <f t="shared" ref="BT29:BT78" si="5">",`"&amp;R29&amp;"`"</f>
        <v>,`EVNT_NBR`</v>
      </c>
      <c r="BU29" t="s">
        <v>223</v>
      </c>
      <c r="BV29" s="82" t="str">
        <f t="shared" si="2"/>
        <v>,A.`EVNT_NBR` = B.`EVNT_NBR`</v>
      </c>
      <c r="BW29" t="s">
        <v>223</v>
      </c>
      <c r="BX29" s="82" t="str">
        <f t="shared" ref="BX29:BX78" si="6">",`"&amp;R29&amp;"`"</f>
        <v>,`EVNT_NBR`</v>
      </c>
      <c r="BY29" t="s">
        <v>223</v>
      </c>
      <c r="BZ29" s="82" t="str">
        <f t="shared" si="3"/>
        <v>,`EVNT_NBR`</v>
      </c>
      <c r="CA29" t="s">
        <v>223</v>
      </c>
    </row>
    <row r="30" spans="1:79" ht="15" customHeight="1">
      <c r="A30" s="84" t="s">
        <v>245</v>
      </c>
      <c r="B30" s="23">
        <v>9</v>
      </c>
      <c r="C30" s="24"/>
      <c r="D30" s="22" t="s">
        <v>617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662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 cm="1">
        <f t="array" ref="AC30">_xlfn.SWITCH(BM30,"String","varchar("&amp;BN30&amp;")","Long","int","Integer","smallint","Double","decimal(9,2)","Currency","int")</f>
        <v>smallint</v>
      </c>
      <c r="AD30" s="258"/>
      <c r="AE30" s="258"/>
      <c r="AF30" s="258"/>
      <c r="AG30" s="259"/>
      <c r="AH30" s="22">
        <v>6</v>
      </c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2" t="s">
        <v>706</v>
      </c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M30" t="s">
        <v>451</v>
      </c>
      <c r="BP30" t="str">
        <f t="shared" si="1"/>
        <v>,`MBR_FG` smallint  COMMENT '会員フラグ ０：一般特売  １：会員特売'</v>
      </c>
      <c r="BQ30" s="88" t="s">
        <v>738</v>
      </c>
      <c r="BR30" t="str">
        <f t="shared" si="4"/>
        <v xml:space="preserve">,`MBR_FG` smallint </v>
      </c>
      <c r="BS30" t="s">
        <v>223</v>
      </c>
      <c r="BT30" t="str">
        <f t="shared" si="5"/>
        <v>,`MBR_FG`</v>
      </c>
      <c r="BU30" t="s">
        <v>223</v>
      </c>
      <c r="BV30" s="82" t="str">
        <f t="shared" si="2"/>
        <v>,A.`MBR_FG` = B.`MBR_FG`</v>
      </c>
      <c r="BW30" t="s">
        <v>223</v>
      </c>
      <c r="BX30" s="82" t="str">
        <f t="shared" si="6"/>
        <v>,`MBR_FG`</v>
      </c>
      <c r="BY30" t="s">
        <v>223</v>
      </c>
      <c r="BZ30" s="82" t="str">
        <f t="shared" si="3"/>
        <v>,`MBR_FG`</v>
      </c>
      <c r="CA30" t="s">
        <v>223</v>
      </c>
    </row>
    <row r="31" spans="1:79" ht="15" customHeight="1">
      <c r="A31" s="84" t="s">
        <v>246</v>
      </c>
      <c r="B31" s="23">
        <v>9</v>
      </c>
      <c r="C31" s="24"/>
      <c r="D31" s="22" t="s">
        <v>262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663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varchar(24)</v>
      </c>
      <c r="AD31" s="258"/>
      <c r="AE31" s="258"/>
      <c r="AF31" s="258"/>
      <c r="AG31" s="259"/>
      <c r="AH31" s="22">
        <v>5</v>
      </c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 t="s">
        <v>707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M31" t="s">
        <v>449</v>
      </c>
      <c r="BN31">
        <v>24</v>
      </c>
      <c r="BP31" t="str">
        <f t="shared" si="1"/>
        <v>,`PLU_ID` varchar(24)  COMMENT '商品コード 左詰  数字で最大19桁。 特にＰＬＵコードを使用しない場合はスキャンコードと同じ値を入れておくこと'</v>
      </c>
      <c r="BQ31" s="88" t="s">
        <v>739</v>
      </c>
      <c r="BR31" t="str">
        <f t="shared" si="4"/>
        <v xml:space="preserve">,`PLU_ID` varchar(24) </v>
      </c>
      <c r="BS31" t="s">
        <v>223</v>
      </c>
      <c r="BT31" t="str">
        <f t="shared" si="5"/>
        <v>,`PLU_ID`</v>
      </c>
      <c r="BU31" t="s">
        <v>223</v>
      </c>
      <c r="BV31" s="82" t="str">
        <f t="shared" si="2"/>
        <v>,A.`PLU_ID` = B.`PLU_ID`</v>
      </c>
      <c r="BW31" t="s">
        <v>223</v>
      </c>
      <c r="BX31" s="82" t="str">
        <f t="shared" si="6"/>
        <v>,`PLU_ID`</v>
      </c>
      <c r="BY31" t="s">
        <v>223</v>
      </c>
      <c r="BZ31" s="82" t="str">
        <f t="shared" si="3"/>
        <v>,`PLU_ID`</v>
      </c>
      <c r="CA31" t="s">
        <v>223</v>
      </c>
    </row>
    <row r="32" spans="1:79" ht="15" customHeight="1">
      <c r="A32" s="84" t="s">
        <v>247</v>
      </c>
      <c r="B32" s="23">
        <v>9</v>
      </c>
      <c r="C32" s="24"/>
      <c r="D32" s="22" t="s">
        <v>618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664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varchar(8)</v>
      </c>
      <c r="AD32" s="258"/>
      <c r="AE32" s="258"/>
      <c r="AF32" s="258"/>
      <c r="AG32" s="259"/>
      <c r="AH32" s="22">
        <v>3</v>
      </c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 t="s">
        <v>708</v>
      </c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M32" t="s">
        <v>449</v>
      </c>
      <c r="BN32">
        <v>8</v>
      </c>
      <c r="BP32" t="str">
        <f t="shared" si="1"/>
        <v>,`EVNT_BGN_TM` varchar(8)  COMMENT '特売開始日 ＹＹＹＹＭＭＤＤ形式で８桁フルに設定すること'</v>
      </c>
      <c r="BQ32" s="88" t="s">
        <v>740</v>
      </c>
      <c r="BR32" t="str">
        <f t="shared" si="4"/>
        <v xml:space="preserve">,`EVNT_BGN_TM` varchar(8) </v>
      </c>
      <c r="BS32" t="s">
        <v>223</v>
      </c>
      <c r="BT32" t="str">
        <f t="shared" si="5"/>
        <v>,`EVNT_BGN_TM`</v>
      </c>
      <c r="BU32" t="s">
        <v>223</v>
      </c>
      <c r="BV32" s="82" t="str">
        <f t="shared" si="2"/>
        <v>,A.`EVNT_BGN_TM` = B.`EVNT_BGN_TM`</v>
      </c>
      <c r="BW32" t="s">
        <v>223</v>
      </c>
      <c r="BX32" s="82" t="str">
        <f t="shared" si="6"/>
        <v>,`EVNT_BGN_TM`</v>
      </c>
      <c r="BY32" t="s">
        <v>223</v>
      </c>
      <c r="BZ32" s="82" t="str">
        <f t="shared" si="3"/>
        <v>,`EVNT_BGN_TM`</v>
      </c>
      <c r="CA32" t="s">
        <v>223</v>
      </c>
    </row>
    <row r="33" spans="1:79" ht="15" customHeight="1">
      <c r="A33" s="84" t="s">
        <v>248</v>
      </c>
      <c r="B33" s="23">
        <v>9</v>
      </c>
      <c r="C33" s="24"/>
      <c r="D33" s="22" t="s">
        <v>619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665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 cm="1">
        <f t="array" ref="AC33">_xlfn.SWITCH(BM33,"String","varchar("&amp;BN33&amp;")","Long","int","Integer","smallint","Double","decimal(9,2)","Currency","int")</f>
        <v>varchar(8)</v>
      </c>
      <c r="AD33" s="258"/>
      <c r="AE33" s="258"/>
      <c r="AF33" s="258"/>
      <c r="AG33" s="259"/>
      <c r="AH33" s="22">
        <v>4</v>
      </c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 t="s">
        <v>708</v>
      </c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M33" t="s">
        <v>449</v>
      </c>
      <c r="BN33">
        <v>8</v>
      </c>
      <c r="BP33" t="str">
        <f t="shared" si="1"/>
        <v>,`EVNT_END_TM` varchar(8)  COMMENT '特売終了日 ＹＹＹＹＭＭＤＤ形式で８桁フルに設定すること'</v>
      </c>
      <c r="BQ33" s="88" t="s">
        <v>741</v>
      </c>
      <c r="BR33" t="str">
        <f t="shared" si="4"/>
        <v xml:space="preserve">,`EVNT_END_TM` varchar(8) </v>
      </c>
      <c r="BS33" t="s">
        <v>223</v>
      </c>
      <c r="BT33" t="str">
        <f t="shared" si="5"/>
        <v>,`EVNT_END_TM`</v>
      </c>
      <c r="BU33" t="s">
        <v>223</v>
      </c>
      <c r="BV33" s="82" t="str">
        <f t="shared" si="2"/>
        <v>,A.`EVNT_END_TM` = B.`EVNT_END_TM`</v>
      </c>
      <c r="BW33" t="s">
        <v>223</v>
      </c>
      <c r="BX33" s="82" t="str">
        <f t="shared" si="6"/>
        <v>,`EVNT_END_TM`</v>
      </c>
      <c r="BY33" t="s">
        <v>223</v>
      </c>
      <c r="BZ33" s="82" t="str">
        <f t="shared" si="3"/>
        <v>,`EVNT_END_TM`</v>
      </c>
      <c r="CA33" t="s">
        <v>223</v>
      </c>
    </row>
    <row r="34" spans="1:79" ht="15" customHeight="1">
      <c r="A34" s="84" t="s">
        <v>525</v>
      </c>
      <c r="B34" s="23">
        <v>9</v>
      </c>
      <c r="C34" s="24"/>
      <c r="D34" s="22" t="s">
        <v>620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666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 cm="1">
        <f t="array" ref="AC34">_xlfn.SWITCH(BM34,"String","varchar("&amp;BN34&amp;")","Long","int","Integer","smallint","Double","decimal(9,2)","Currency","int")</f>
        <v>varchar(3)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 t="s">
        <v>709</v>
      </c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M34" t="s">
        <v>449</v>
      </c>
      <c r="BN34">
        <v>3</v>
      </c>
      <c r="BP34" t="str">
        <f t="shared" si="1"/>
        <v>,`EVNT_HLDL_DY` varchar(3)  COMMENT '特売削除日数 期間終了後の削除猶予期間 ００２－０９９ 未使用時はＮＵＬＬ'</v>
      </c>
      <c r="BQ34" s="88" t="s">
        <v>742</v>
      </c>
      <c r="BR34" t="str">
        <f t="shared" si="4"/>
        <v xml:space="preserve">,`EVNT_HLDL_DY` varchar(3) </v>
      </c>
      <c r="BS34" t="s">
        <v>223</v>
      </c>
      <c r="BT34" t="str">
        <f t="shared" si="5"/>
        <v>,`EVNT_HLDL_DY`</v>
      </c>
      <c r="BU34" t="s">
        <v>223</v>
      </c>
      <c r="BV34" s="82" t="str">
        <f t="shared" si="2"/>
        <v>,A.`EVNT_HLDL_DY` = B.`EVNT_HLDL_DY`</v>
      </c>
      <c r="BW34" t="s">
        <v>223</v>
      </c>
      <c r="BX34" s="82" t="str">
        <f t="shared" si="6"/>
        <v>,`EVNT_HLDL_DY`</v>
      </c>
      <c r="BY34" t="s">
        <v>223</v>
      </c>
      <c r="BZ34" s="82" t="str">
        <f t="shared" si="3"/>
        <v>,`EVNT_HLDL_DY`</v>
      </c>
      <c r="CA34" t="s">
        <v>223</v>
      </c>
    </row>
    <row r="35" spans="1:79" ht="15" customHeight="1">
      <c r="A35" s="84" t="s">
        <v>526</v>
      </c>
      <c r="B35" s="23">
        <v>9</v>
      </c>
      <c r="C35" s="24"/>
      <c r="D35" s="22" t="s">
        <v>621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667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7" t="str" cm="1">
        <f t="array" ref="AC35">_xlfn.SWITCH(BM35,"String","varchar("&amp;BN35&amp;")","Long","int","Integer","smallint","Double","decimal(9,2)","Currency","int")</f>
        <v>smallint</v>
      </c>
      <c r="AD35" s="258"/>
      <c r="AE35" s="258"/>
      <c r="AF35" s="258"/>
      <c r="AG35" s="259"/>
      <c r="AH35" s="22"/>
      <c r="AI35" s="26"/>
      <c r="AJ35" s="22"/>
      <c r="AK35" s="25"/>
      <c r="AL35" s="26"/>
      <c r="AM35" s="22"/>
      <c r="AN35" s="25"/>
      <c r="AO35" s="25"/>
      <c r="AP35" s="25"/>
      <c r="AQ35" s="25"/>
      <c r="AR35" s="25"/>
      <c r="AS35" s="26"/>
      <c r="AT35" s="22" t="s">
        <v>710</v>
      </c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  <c r="BM35" t="s">
        <v>451</v>
      </c>
      <c r="BP35" t="str">
        <f t="shared" si="1"/>
        <v>,`EVNT_SRC` smallint  COMMENT '特売優先区分 現在１固定  ０：店舗優先  １：本部優先'</v>
      </c>
      <c r="BQ35" s="88" t="s">
        <v>743</v>
      </c>
      <c r="BR35" t="str">
        <f t="shared" si="4"/>
        <v xml:space="preserve">,`EVNT_SRC` smallint </v>
      </c>
      <c r="BS35" t="s">
        <v>223</v>
      </c>
      <c r="BT35" t="str">
        <f t="shared" si="5"/>
        <v>,`EVNT_SRC`</v>
      </c>
      <c r="BU35" t="s">
        <v>223</v>
      </c>
      <c r="BV35" s="82" t="str">
        <f t="shared" si="2"/>
        <v>,A.`EVNT_SRC` = B.`EVNT_SRC`</v>
      </c>
      <c r="BW35" t="s">
        <v>223</v>
      </c>
      <c r="BX35" s="82" t="str">
        <f t="shared" si="6"/>
        <v>,`EVNT_SRC`</v>
      </c>
      <c r="BY35" t="s">
        <v>223</v>
      </c>
      <c r="BZ35" s="82" t="str">
        <f t="shared" si="3"/>
        <v>,`EVNT_SRC`</v>
      </c>
      <c r="CA35" t="s">
        <v>223</v>
      </c>
    </row>
    <row r="36" spans="1:79" ht="15" customHeight="1">
      <c r="A36" s="84" t="s">
        <v>527</v>
      </c>
      <c r="B36" s="23">
        <v>9</v>
      </c>
      <c r="C36" s="24"/>
      <c r="D36" s="22" t="s">
        <v>622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668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 cm="1">
        <f t="array" ref="AC36">_xlfn.SWITCH(BM36,"String","varchar("&amp;BN36&amp;")","Long","int","Integer","smallint","Double","decimal(9,2)","Currency","int")</f>
        <v>smallint</v>
      </c>
      <c r="AD36" s="258"/>
      <c r="AE36" s="258"/>
      <c r="AF36" s="258"/>
      <c r="AG36" s="259"/>
      <c r="AH36" s="22"/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 t="s">
        <v>724</v>
      </c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M36" t="s">
        <v>451</v>
      </c>
      <c r="BP36" t="str">
        <f t="shared" si="1"/>
        <v>,`EVNT_EXCL_FG` smallint  COMMENT '特売保留フラグ ０：保留しない  １：保留する'</v>
      </c>
      <c r="BQ36" s="88" t="s">
        <v>744</v>
      </c>
      <c r="BR36" t="str">
        <f t="shared" si="4"/>
        <v xml:space="preserve">,`EVNT_EXCL_FG` smallint </v>
      </c>
      <c r="BS36" t="s">
        <v>223</v>
      </c>
      <c r="BT36" t="str">
        <f t="shared" si="5"/>
        <v>,`EVNT_EXCL_FG`</v>
      </c>
      <c r="BU36" t="s">
        <v>223</v>
      </c>
      <c r="BV36" s="82" t="str">
        <f t="shared" si="2"/>
        <v>,A.`EVNT_EXCL_FG` = B.`EVNT_EXCL_FG`</v>
      </c>
      <c r="BW36" t="s">
        <v>223</v>
      </c>
      <c r="BX36" s="82" t="str">
        <f t="shared" si="6"/>
        <v>,`EVNT_EXCL_FG`</v>
      </c>
      <c r="BY36" t="s">
        <v>223</v>
      </c>
      <c r="BZ36" s="82" t="str">
        <f t="shared" si="3"/>
        <v>,`EVNT_EXCL_FG`</v>
      </c>
      <c r="CA36" t="s">
        <v>223</v>
      </c>
    </row>
    <row r="37" spans="1:79" ht="15" customHeight="1">
      <c r="A37" s="84" t="s">
        <v>528</v>
      </c>
      <c r="B37" s="23">
        <v>9</v>
      </c>
      <c r="C37" s="24"/>
      <c r="D37" s="22" t="s">
        <v>623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669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7" t="str" cm="1">
        <f t="array" ref="AC37">_xlfn.SWITCH(BM37,"String","varchar("&amp;BN37&amp;")","Long","int","Integer","smallint","Double","decimal(9,2)","Currency","int")</f>
        <v>smallint</v>
      </c>
      <c r="AD37" s="258"/>
      <c r="AE37" s="258"/>
      <c r="AF37" s="258"/>
      <c r="AG37" s="259"/>
      <c r="AH37" s="22"/>
      <c r="AI37" s="26"/>
      <c r="AJ37" s="22"/>
      <c r="AK37" s="25"/>
      <c r="AL37" s="26"/>
      <c r="AM37" s="22"/>
      <c r="AN37" s="25"/>
      <c r="AO37" s="25"/>
      <c r="AP37" s="25"/>
      <c r="AQ37" s="25"/>
      <c r="AR37" s="25"/>
      <c r="AS37" s="26"/>
      <c r="AT37" s="22" t="s">
        <v>711</v>
      </c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  <c r="BM37" t="s">
        <v>451</v>
      </c>
      <c r="BP37" t="str">
        <f t="shared" si="1"/>
        <v>,`TIME_SERVICE_FG` smallint  COMMENT 'タイムサービスフラグ ０：期間  １：期間＆曜日  ２：期間＆時間  ３：期間＆時間＆曜日'</v>
      </c>
      <c r="BQ37" s="88" t="s">
        <v>745</v>
      </c>
      <c r="BR37" t="str">
        <f t="shared" si="4"/>
        <v xml:space="preserve">,`TIME_SERVICE_FG` smallint </v>
      </c>
      <c r="BS37" t="s">
        <v>223</v>
      </c>
      <c r="BT37" t="str">
        <f t="shared" si="5"/>
        <v>,`TIME_SERVICE_FG`</v>
      </c>
      <c r="BU37" t="s">
        <v>223</v>
      </c>
      <c r="BV37" s="82" t="str">
        <f t="shared" si="2"/>
        <v>,A.`TIME_SERVICE_FG` = B.`TIME_SERVICE_FG`</v>
      </c>
      <c r="BW37" t="s">
        <v>223</v>
      </c>
      <c r="BX37" s="82" t="str">
        <f t="shared" si="6"/>
        <v>,`TIME_SERVICE_FG`</v>
      </c>
      <c r="BY37" t="s">
        <v>223</v>
      </c>
      <c r="BZ37" s="82" t="str">
        <f t="shared" si="3"/>
        <v>,`TIME_SERVICE_FG`</v>
      </c>
      <c r="CA37" t="s">
        <v>223</v>
      </c>
    </row>
    <row r="38" spans="1:79" ht="15" customHeight="1">
      <c r="A38" s="84" t="s">
        <v>529</v>
      </c>
      <c r="B38" s="23">
        <v>9</v>
      </c>
      <c r="C38" s="24"/>
      <c r="D38" s="22" t="s">
        <v>624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670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 cm="1">
        <f t="array" ref="AC38">_xlfn.SWITCH(BM38,"String","varchar("&amp;BN38&amp;")","Long","int","Integer","smallint","Double","decimal(9,2)","Currency","int")</f>
        <v>smallint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 t="s">
        <v>712</v>
      </c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M38" t="s">
        <v>451</v>
      </c>
      <c r="BP38" t="str">
        <f t="shared" si="1"/>
        <v>,`MON_EXCL_FG` smallint  COMMENT '月曜日除外フラグ ０：除外しない  １：除外する'</v>
      </c>
      <c r="BQ38" s="88" t="s">
        <v>746</v>
      </c>
      <c r="BR38" t="str">
        <f t="shared" si="4"/>
        <v xml:space="preserve">,`MON_EXCL_FG` smallint </v>
      </c>
      <c r="BS38" t="s">
        <v>223</v>
      </c>
      <c r="BT38" t="str">
        <f t="shared" si="5"/>
        <v>,`MON_EXCL_FG`</v>
      </c>
      <c r="BU38" t="s">
        <v>223</v>
      </c>
      <c r="BV38" s="82" t="str">
        <f t="shared" si="2"/>
        <v>,A.`MON_EXCL_FG` = B.`MON_EXCL_FG`</v>
      </c>
      <c r="BW38" t="s">
        <v>223</v>
      </c>
      <c r="BX38" s="82" t="str">
        <f t="shared" si="6"/>
        <v>,`MON_EXCL_FG`</v>
      </c>
      <c r="BY38" t="s">
        <v>223</v>
      </c>
      <c r="BZ38" s="82" t="str">
        <f t="shared" si="3"/>
        <v>,`MON_EXCL_FG`</v>
      </c>
      <c r="CA38" t="s">
        <v>223</v>
      </c>
    </row>
    <row r="39" spans="1:79" ht="15" customHeight="1">
      <c r="A39" s="84" t="s">
        <v>530</v>
      </c>
      <c r="B39" s="23">
        <v>9</v>
      </c>
      <c r="C39" s="24"/>
      <c r="D39" s="22" t="s">
        <v>625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671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 cm="1">
        <f t="array" ref="AC39">_xlfn.SWITCH(BM39,"String","varchar("&amp;BN39&amp;")","Long","int","Integer","smallint","Double","decimal(9,2)","Currency","int")</f>
        <v>smallint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 t="s">
        <v>712</v>
      </c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M39" t="s">
        <v>451</v>
      </c>
      <c r="BP39" t="str">
        <f t="shared" si="1"/>
        <v>,`TUES_EXCL_FG` smallint  COMMENT '火曜日除外フラグ ０：除外しない  １：除外する'</v>
      </c>
      <c r="BQ39" s="88" t="s">
        <v>747</v>
      </c>
      <c r="BR39" t="str">
        <f t="shared" si="4"/>
        <v xml:space="preserve">,`TUES_EXCL_FG` smallint </v>
      </c>
      <c r="BS39" t="s">
        <v>223</v>
      </c>
      <c r="BT39" t="str">
        <f t="shared" si="5"/>
        <v>,`TUES_EXCL_FG`</v>
      </c>
      <c r="BU39" t="s">
        <v>223</v>
      </c>
      <c r="BV39" s="82" t="str">
        <f t="shared" si="2"/>
        <v>,A.`TUES_EXCL_FG` = B.`TUES_EXCL_FG`</v>
      </c>
      <c r="BW39" t="s">
        <v>223</v>
      </c>
      <c r="BX39" s="82" t="str">
        <f t="shared" si="6"/>
        <v>,`TUES_EXCL_FG`</v>
      </c>
      <c r="BY39" t="s">
        <v>223</v>
      </c>
      <c r="BZ39" s="82" t="str">
        <f t="shared" si="3"/>
        <v>,`TUES_EXCL_FG`</v>
      </c>
      <c r="CA39" t="s">
        <v>223</v>
      </c>
    </row>
    <row r="40" spans="1:79" ht="15" customHeight="1">
      <c r="A40" s="84" t="s">
        <v>531</v>
      </c>
      <c r="B40" s="23">
        <v>9</v>
      </c>
      <c r="C40" s="24"/>
      <c r="D40" s="22" t="s">
        <v>626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672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 cm="1">
        <f t="array" ref="AC40">_xlfn.SWITCH(BM40,"String","varchar("&amp;BN40&amp;")","Long","int","Integer","smallint","Double","decimal(9,2)","Currency","int")</f>
        <v>smallint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 t="s">
        <v>712</v>
      </c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M40" t="s">
        <v>451</v>
      </c>
      <c r="BP40" t="str">
        <f t="shared" si="1"/>
        <v>,`WED_EXCL_FG` smallint  COMMENT '水曜日除外フラグ ０：除外しない  １：除外する'</v>
      </c>
      <c r="BQ40" s="88" t="s">
        <v>748</v>
      </c>
      <c r="BR40" t="str">
        <f t="shared" si="4"/>
        <v xml:space="preserve">,`WED_EXCL_FG` smallint </v>
      </c>
      <c r="BS40" t="s">
        <v>223</v>
      </c>
      <c r="BT40" t="str">
        <f t="shared" si="5"/>
        <v>,`WED_EXCL_FG`</v>
      </c>
      <c r="BU40" t="s">
        <v>223</v>
      </c>
      <c r="BV40" s="82" t="str">
        <f t="shared" si="2"/>
        <v>,A.`WED_EXCL_FG` = B.`WED_EXCL_FG`</v>
      </c>
      <c r="BW40" t="s">
        <v>223</v>
      </c>
      <c r="BX40" s="82" t="str">
        <f t="shared" si="6"/>
        <v>,`WED_EXCL_FG`</v>
      </c>
      <c r="BY40" t="s">
        <v>223</v>
      </c>
      <c r="BZ40" s="82" t="str">
        <f t="shared" si="3"/>
        <v>,`WED_EXCL_FG`</v>
      </c>
      <c r="CA40" t="s">
        <v>223</v>
      </c>
    </row>
    <row r="41" spans="1:79" ht="15" customHeight="1">
      <c r="A41" s="84" t="s">
        <v>532</v>
      </c>
      <c r="B41" s="23">
        <v>9</v>
      </c>
      <c r="C41" s="24"/>
      <c r="D41" s="22" t="s">
        <v>627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673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 cm="1">
        <f t="array" ref="AC41">_xlfn.SWITCH(BM41,"String","varchar("&amp;BN41&amp;")","Long","int","Integer","smallint","Double","decimal(9,2)","Currency","int")</f>
        <v>smallint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 t="s">
        <v>712</v>
      </c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M41" t="s">
        <v>451</v>
      </c>
      <c r="BP41" t="str">
        <f t="shared" si="1"/>
        <v>,`THUS_EXCL_FG` smallint  COMMENT '木曜日除外フラグ ０：除外しない  １：除外する'</v>
      </c>
      <c r="BQ41" s="88" t="s">
        <v>749</v>
      </c>
      <c r="BR41" t="str">
        <f t="shared" si="4"/>
        <v xml:space="preserve">,`THUS_EXCL_FG` smallint </v>
      </c>
      <c r="BS41" t="s">
        <v>223</v>
      </c>
      <c r="BT41" t="str">
        <f t="shared" si="5"/>
        <v>,`THUS_EXCL_FG`</v>
      </c>
      <c r="BU41" t="s">
        <v>223</v>
      </c>
      <c r="BV41" s="82" t="str">
        <f t="shared" si="2"/>
        <v>,A.`THUS_EXCL_FG` = B.`THUS_EXCL_FG`</v>
      </c>
      <c r="BW41" t="s">
        <v>223</v>
      </c>
      <c r="BX41" s="82" t="str">
        <f t="shared" si="6"/>
        <v>,`THUS_EXCL_FG`</v>
      </c>
      <c r="BY41" t="s">
        <v>223</v>
      </c>
      <c r="BZ41" s="82" t="str">
        <f t="shared" si="3"/>
        <v>,`THUS_EXCL_FG`</v>
      </c>
      <c r="CA41" t="s">
        <v>223</v>
      </c>
    </row>
    <row r="42" spans="1:79" ht="15" customHeight="1">
      <c r="A42" s="84" t="s">
        <v>533</v>
      </c>
      <c r="B42" s="23">
        <v>9</v>
      </c>
      <c r="C42" s="24"/>
      <c r="D42" s="22" t="s">
        <v>628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674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 cm="1">
        <f t="array" ref="AC42">_xlfn.SWITCH(BM42,"String","varchar("&amp;BN42&amp;")","Long","int","Integer","smallint","Double","decimal(9,2)","Currency","int")</f>
        <v>smallint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 t="s">
        <v>712</v>
      </c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M42" t="s">
        <v>451</v>
      </c>
      <c r="BP42" t="str">
        <f t="shared" si="1"/>
        <v>,`FRI_EXCL_FG` smallint  COMMENT '金曜日除外フラグ ０：除外しない  １：除外する'</v>
      </c>
      <c r="BQ42" s="88" t="s">
        <v>750</v>
      </c>
      <c r="BR42" t="str">
        <f t="shared" si="4"/>
        <v xml:space="preserve">,`FRI_EXCL_FG` smallint </v>
      </c>
      <c r="BS42" t="s">
        <v>223</v>
      </c>
      <c r="BT42" t="str">
        <f t="shared" si="5"/>
        <v>,`FRI_EXCL_FG`</v>
      </c>
      <c r="BU42" t="s">
        <v>223</v>
      </c>
      <c r="BV42" s="82" t="str">
        <f t="shared" si="2"/>
        <v>,A.`FRI_EXCL_FG` = B.`FRI_EXCL_FG`</v>
      </c>
      <c r="BW42" t="s">
        <v>223</v>
      </c>
      <c r="BX42" s="82" t="str">
        <f t="shared" si="6"/>
        <v>,`FRI_EXCL_FG`</v>
      </c>
      <c r="BY42" t="s">
        <v>223</v>
      </c>
      <c r="BZ42" s="82" t="str">
        <f t="shared" si="3"/>
        <v>,`FRI_EXCL_FG`</v>
      </c>
      <c r="CA42" t="s">
        <v>223</v>
      </c>
    </row>
    <row r="43" spans="1:79" ht="15" customHeight="1">
      <c r="A43" s="84" t="s">
        <v>534</v>
      </c>
      <c r="B43" s="23">
        <v>9</v>
      </c>
      <c r="C43" s="24"/>
      <c r="D43" s="22" t="s">
        <v>629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675</v>
      </c>
      <c r="S43" s="25"/>
      <c r="T43" s="25"/>
      <c r="U43" s="25"/>
      <c r="V43" s="25"/>
      <c r="W43" s="25"/>
      <c r="X43" s="25"/>
      <c r="Y43" s="25"/>
      <c r="Z43" s="25"/>
      <c r="AA43" s="25"/>
      <c r="AB43" s="26"/>
      <c r="AC43" s="257" t="str" cm="1">
        <f t="array" ref="AC43">_xlfn.SWITCH(BM43,"String","varchar("&amp;BN43&amp;")","Long","int","Integer","smallint","Double","decimal(9,2)","Currency","int")</f>
        <v>smallint</v>
      </c>
      <c r="AD43" s="258"/>
      <c r="AE43" s="258"/>
      <c r="AF43" s="258"/>
      <c r="AG43" s="259"/>
      <c r="AH43" s="22"/>
      <c r="AI43" s="26"/>
      <c r="AJ43" s="22"/>
      <c r="AK43" s="25"/>
      <c r="AL43" s="26"/>
      <c r="AM43" s="22"/>
      <c r="AN43" s="25"/>
      <c r="AO43" s="25"/>
      <c r="AP43" s="25"/>
      <c r="AQ43" s="25"/>
      <c r="AR43" s="25"/>
      <c r="AS43" s="26"/>
      <c r="AT43" s="22" t="s">
        <v>712</v>
      </c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4"/>
      <c r="BM43" t="s">
        <v>451</v>
      </c>
      <c r="BP43" t="str">
        <f t="shared" si="1"/>
        <v>,`SAT_EXCL_FG` smallint  COMMENT '土曜日除外フラグ ０：除外しない  １：除外する'</v>
      </c>
      <c r="BQ43" s="88" t="s">
        <v>751</v>
      </c>
      <c r="BR43" t="str">
        <f t="shared" si="4"/>
        <v xml:space="preserve">,`SAT_EXCL_FG` smallint </v>
      </c>
      <c r="BS43" t="s">
        <v>223</v>
      </c>
      <c r="BT43" t="str">
        <f t="shared" si="5"/>
        <v>,`SAT_EXCL_FG`</v>
      </c>
      <c r="BU43" t="s">
        <v>223</v>
      </c>
      <c r="BV43" s="82" t="str">
        <f t="shared" si="2"/>
        <v>,A.`SAT_EXCL_FG` = B.`SAT_EXCL_FG`</v>
      </c>
      <c r="BW43" t="s">
        <v>223</v>
      </c>
      <c r="BX43" s="82" t="str">
        <f t="shared" si="6"/>
        <v>,`SAT_EXCL_FG`</v>
      </c>
      <c r="BY43" t="s">
        <v>223</v>
      </c>
      <c r="BZ43" s="82" t="str">
        <f t="shared" si="3"/>
        <v>,`SAT_EXCL_FG`</v>
      </c>
      <c r="CA43" t="s">
        <v>223</v>
      </c>
    </row>
    <row r="44" spans="1:79" ht="15" customHeight="1">
      <c r="A44" s="84" t="s">
        <v>535</v>
      </c>
      <c r="B44" s="23">
        <v>9</v>
      </c>
      <c r="C44" s="24"/>
      <c r="D44" s="22" t="s">
        <v>630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676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 cm="1">
        <f t="array" ref="AC44">_xlfn.SWITCH(BM44,"String","varchar("&amp;BN44&amp;")","Long","int","Integer","smallint","Double","decimal(9,2)","Currency","int")</f>
        <v>smallint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 t="s">
        <v>713</v>
      </c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M44" t="s">
        <v>451</v>
      </c>
      <c r="BP44" t="str">
        <f t="shared" si="1"/>
        <v>,`SUN_EXCL_FG` smallint  COMMENT '日曜日除外フラグ ０：除外しない  ２：除外する'</v>
      </c>
      <c r="BQ44" s="88" t="s">
        <v>752</v>
      </c>
      <c r="BR44" t="str">
        <f t="shared" si="4"/>
        <v xml:space="preserve">,`SUN_EXCL_FG` smallint </v>
      </c>
      <c r="BS44" t="s">
        <v>223</v>
      </c>
      <c r="BT44" t="str">
        <f t="shared" si="5"/>
        <v>,`SUN_EXCL_FG`</v>
      </c>
      <c r="BU44" t="s">
        <v>223</v>
      </c>
      <c r="BV44" s="82" t="str">
        <f t="shared" si="2"/>
        <v>,A.`SUN_EXCL_FG` = B.`SUN_EXCL_FG`</v>
      </c>
      <c r="BW44" t="s">
        <v>223</v>
      </c>
      <c r="BX44" s="82" t="str">
        <f t="shared" si="6"/>
        <v>,`SUN_EXCL_FG`</v>
      </c>
      <c r="BY44" t="s">
        <v>223</v>
      </c>
      <c r="BZ44" s="82" t="str">
        <f t="shared" si="3"/>
        <v>,`SUN_EXCL_FG`</v>
      </c>
      <c r="CA44" t="s">
        <v>223</v>
      </c>
    </row>
    <row r="45" spans="1:79" ht="15" customHeight="1">
      <c r="A45" s="84" t="s">
        <v>536</v>
      </c>
      <c r="B45" s="23">
        <v>9</v>
      </c>
      <c r="C45" s="24"/>
      <c r="D45" s="22" t="s">
        <v>631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677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57" t="str" cm="1">
        <f t="array" ref="AC45">_xlfn.SWITCH(BM45,"String","varchar("&amp;BN45&amp;")","Long","int","Integer","smallint","Double","decimal(9,2)","Currency","int")</f>
        <v>int</v>
      </c>
      <c r="AD45" s="258"/>
      <c r="AE45" s="258"/>
      <c r="AF45" s="258"/>
      <c r="AG45" s="259"/>
      <c r="AH45" s="22"/>
      <c r="AI45" s="26"/>
      <c r="AJ45" s="22"/>
      <c r="AK45" s="25"/>
      <c r="AL45" s="26"/>
      <c r="AM45" s="22"/>
      <c r="AN45" s="25"/>
      <c r="AO45" s="25"/>
      <c r="AP45" s="25"/>
      <c r="AQ45" s="25"/>
      <c r="AR45" s="25"/>
      <c r="AS45" s="26"/>
      <c r="AT45" s="22" t="s">
        <v>714</v>
      </c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4"/>
      <c r="BM45" t="s">
        <v>453</v>
      </c>
      <c r="BP45" t="str">
        <f t="shared" si="1"/>
        <v>,`PROMO_COST` int  COMMENT '特売原価 ０以上'</v>
      </c>
      <c r="BQ45" s="88" t="s">
        <v>753</v>
      </c>
      <c r="BR45" t="str">
        <f t="shared" si="4"/>
        <v xml:space="preserve">,`PROMO_COST` int </v>
      </c>
      <c r="BS45" t="s">
        <v>223</v>
      </c>
      <c r="BT45" t="str">
        <f t="shared" si="5"/>
        <v>,`PROMO_COST`</v>
      </c>
      <c r="BU45" t="s">
        <v>223</v>
      </c>
      <c r="BV45" s="82" t="str">
        <f t="shared" si="2"/>
        <v>,A.`PROMO_COST` = B.`PROMO_COST`</v>
      </c>
      <c r="BW45" t="s">
        <v>223</v>
      </c>
      <c r="BX45" s="82" t="str">
        <f t="shared" si="6"/>
        <v>,`PROMO_COST`</v>
      </c>
      <c r="BY45" t="s">
        <v>223</v>
      </c>
      <c r="BZ45" s="82" t="str">
        <f t="shared" si="3"/>
        <v>,`PROMO_COST`</v>
      </c>
      <c r="CA45" t="s">
        <v>223</v>
      </c>
    </row>
    <row r="46" spans="1:79" ht="15" customHeight="1">
      <c r="A46" s="84" t="s">
        <v>537</v>
      </c>
      <c r="B46" s="23">
        <v>9</v>
      </c>
      <c r="C46" s="24"/>
      <c r="D46" s="22" t="s">
        <v>632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678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 cm="1">
        <f t="array" ref="AC46">_xlfn.SWITCH(BM46,"String","varchar("&amp;BN46&amp;")","Long","int","Integer","smallint","Double","decimal(9,2)","Currency","int")</f>
        <v>smallint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 t="s">
        <v>715</v>
      </c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M46" t="s">
        <v>451</v>
      </c>
      <c r="BP46" t="str">
        <f t="shared" si="1"/>
        <v>,`DISC_MTHD` smallint  COMMENT '割引タイプ 現在６固定  １：差額  ２：％（率）  ６：金額'</v>
      </c>
      <c r="BQ46" s="88" t="s">
        <v>754</v>
      </c>
      <c r="BR46" t="str">
        <f t="shared" si="4"/>
        <v xml:space="preserve">,`DISC_MTHD` smallint </v>
      </c>
      <c r="BS46" t="s">
        <v>223</v>
      </c>
      <c r="BT46" t="str">
        <f t="shared" si="5"/>
        <v>,`DISC_MTHD`</v>
      </c>
      <c r="BU46" t="s">
        <v>223</v>
      </c>
      <c r="BV46" s="82" t="str">
        <f t="shared" si="2"/>
        <v>,A.`DISC_MTHD` = B.`DISC_MTHD`</v>
      </c>
      <c r="BW46" t="s">
        <v>223</v>
      </c>
      <c r="BX46" s="82" t="str">
        <f t="shared" si="6"/>
        <v>,`DISC_MTHD`</v>
      </c>
      <c r="BY46" t="s">
        <v>223</v>
      </c>
      <c r="BZ46" s="82" t="str">
        <f t="shared" si="3"/>
        <v>,`DISC_MTHD`</v>
      </c>
      <c r="CA46" t="s">
        <v>223</v>
      </c>
    </row>
    <row r="47" spans="1:79" ht="15" customHeight="1">
      <c r="A47" s="84" t="s">
        <v>538</v>
      </c>
      <c r="B47" s="23">
        <v>9</v>
      </c>
      <c r="C47" s="24"/>
      <c r="D47" s="22" t="s">
        <v>633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679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 cm="1">
        <f t="array" ref="AC47">_xlfn.SWITCH(BM47,"String","varchar("&amp;BN47&amp;")","Long","int","Integer","smallint","Double","decimal(9,2)","Currency","int")</f>
        <v>decimal(9,2)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M47" t="s">
        <v>452</v>
      </c>
      <c r="BP47" t="str">
        <f t="shared" si="1"/>
        <v>,`DISC_VALUE` decimal(9,2)  COMMENT '特売価格 '</v>
      </c>
      <c r="BQ47" s="88" t="s">
        <v>755</v>
      </c>
      <c r="BR47" t="str">
        <f t="shared" si="4"/>
        <v xml:space="preserve">,`DISC_VALUE` decimal(9,2) </v>
      </c>
      <c r="BS47" t="s">
        <v>223</v>
      </c>
      <c r="BT47" t="str">
        <f t="shared" si="5"/>
        <v>,`DISC_VALUE`</v>
      </c>
      <c r="BU47" t="s">
        <v>223</v>
      </c>
      <c r="BV47" s="82" t="str">
        <f t="shared" si="2"/>
        <v>,A.`DISC_VALUE` = B.`DISC_VALUE`</v>
      </c>
      <c r="BW47" t="s">
        <v>223</v>
      </c>
      <c r="BX47" s="82" t="str">
        <f t="shared" si="6"/>
        <v>,`DISC_VALUE`</v>
      </c>
      <c r="BY47" t="s">
        <v>223</v>
      </c>
      <c r="BZ47" s="82" t="str">
        <f t="shared" si="3"/>
        <v>,`DISC_VALUE`</v>
      </c>
      <c r="CA47" t="s">
        <v>223</v>
      </c>
    </row>
    <row r="48" spans="1:79" ht="15" customHeight="1">
      <c r="A48" s="84" t="s">
        <v>539</v>
      </c>
      <c r="B48" s="71">
        <v>9</v>
      </c>
      <c r="C48" s="72"/>
      <c r="D48" s="73" t="s">
        <v>634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5"/>
      <c r="R48" s="73" t="s">
        <v>680</v>
      </c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251" t="str" cm="1">
        <f t="array" ref="AC48">_xlfn.SWITCH(BM48,"String","varchar("&amp;BN48&amp;")","Long","int","Integer","smallint","Double","decimal(9,2)","Currency","int")</f>
        <v>decimal(9,2)</v>
      </c>
      <c r="AD48" s="252"/>
      <c r="AE48" s="252"/>
      <c r="AF48" s="252"/>
      <c r="AG48" s="253"/>
      <c r="AH48" s="73"/>
      <c r="AI48" s="75"/>
      <c r="AJ48" s="73"/>
      <c r="AK48" s="74"/>
      <c r="AL48" s="75"/>
      <c r="AM48" s="73"/>
      <c r="AN48" s="74"/>
      <c r="AO48" s="74"/>
      <c r="AP48" s="74"/>
      <c r="AQ48" s="74"/>
      <c r="AR48" s="74"/>
      <c r="AS48" s="75"/>
      <c r="AT48" s="73" t="s">
        <v>716</v>
      </c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5"/>
      <c r="BK48" s="4"/>
      <c r="BM48" t="s">
        <v>452</v>
      </c>
      <c r="BP48" t="str">
        <f t="shared" si="1"/>
        <v>,`DISC_ITM_LMT` decimal(9,2)  COMMENT '個数制限 現在未使用  ０固定'</v>
      </c>
      <c r="BQ48" s="88" t="s">
        <v>756</v>
      </c>
      <c r="BR48" t="str">
        <f t="shared" si="4"/>
        <v xml:space="preserve">,`DISC_ITM_LMT` decimal(9,2) </v>
      </c>
      <c r="BS48" t="s">
        <v>223</v>
      </c>
      <c r="BT48" t="str">
        <f t="shared" si="5"/>
        <v>,`DISC_ITM_LMT`</v>
      </c>
      <c r="BU48" t="s">
        <v>223</v>
      </c>
      <c r="BV48" s="82" t="str">
        <f t="shared" si="2"/>
        <v>,A.`DISC_ITM_LMT` = B.`DISC_ITM_LMT`</v>
      </c>
      <c r="BW48" t="s">
        <v>223</v>
      </c>
      <c r="BX48" s="82" t="str">
        <f t="shared" si="6"/>
        <v>,`DISC_ITM_LMT`</v>
      </c>
      <c r="BY48" t="s">
        <v>223</v>
      </c>
      <c r="BZ48" s="82" t="str">
        <f t="shared" si="3"/>
        <v>,`DISC_ITM_LMT`</v>
      </c>
      <c r="CA48" t="s">
        <v>223</v>
      </c>
    </row>
    <row r="49" spans="1:79" ht="15" customHeight="1">
      <c r="A49" s="84" t="s">
        <v>540</v>
      </c>
      <c r="B49" s="23">
        <v>9</v>
      </c>
      <c r="C49" s="24"/>
      <c r="D49" s="22" t="s">
        <v>635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681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tr" cm="1">
        <f t="array" ref="AC49">_xlfn.SWITCH(BM49,"String","varchar("&amp;BN49&amp;")","Long","int","Integer","smallint","Double","decimal(9,2)","Currency","int")</f>
        <v>varchar(4)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2" t="s">
        <v>717</v>
      </c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4"/>
      <c r="BM49" t="s">
        <v>449</v>
      </c>
      <c r="BN49">
        <v>4</v>
      </c>
      <c r="BP49" t="str">
        <f t="shared" si="1"/>
        <v>,`PROMO_BGN_TM` varchar(4)  COMMENT '特売開始時間 ＨＨＭＭ形式で４桁フルに設定すること（２４時間制）'</v>
      </c>
      <c r="BQ49" s="88" t="s">
        <v>757</v>
      </c>
      <c r="BR49" t="str">
        <f t="shared" si="4"/>
        <v xml:space="preserve">,`PROMO_BGN_TM` varchar(4) </v>
      </c>
      <c r="BS49" t="s">
        <v>223</v>
      </c>
      <c r="BT49" t="str">
        <f t="shared" si="5"/>
        <v>,`PROMO_BGN_TM`</v>
      </c>
      <c r="BU49" t="s">
        <v>223</v>
      </c>
      <c r="BV49" s="82" t="str">
        <f t="shared" si="2"/>
        <v>,A.`PROMO_BGN_TM` = B.`PROMO_BGN_TM`</v>
      </c>
      <c r="BW49" t="s">
        <v>223</v>
      </c>
      <c r="BX49" s="82" t="str">
        <f t="shared" si="6"/>
        <v>,`PROMO_BGN_TM`</v>
      </c>
      <c r="BY49" t="s">
        <v>223</v>
      </c>
      <c r="BZ49" s="82" t="str">
        <f t="shared" si="3"/>
        <v>,`PROMO_BGN_TM`</v>
      </c>
      <c r="CA49" t="s">
        <v>223</v>
      </c>
    </row>
    <row r="50" spans="1:79" ht="15" customHeight="1">
      <c r="A50" s="84" t="s">
        <v>541</v>
      </c>
      <c r="B50" s="23">
        <v>9</v>
      </c>
      <c r="C50" s="24"/>
      <c r="D50" s="22" t="s">
        <v>636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2" t="s">
        <v>682</v>
      </c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57" t="str" cm="1">
        <f t="array" ref="AC50">_xlfn.SWITCH(BM50,"String","varchar("&amp;BN50&amp;")","Long","int","Integer","smallint","Double","decimal(9,2)","Currency","int")</f>
        <v>varchar(4)</v>
      </c>
      <c r="AD50" s="258"/>
      <c r="AE50" s="258"/>
      <c r="AF50" s="258"/>
      <c r="AG50" s="259"/>
      <c r="AH50" s="22"/>
      <c r="AI50" s="26"/>
      <c r="AJ50" s="22"/>
      <c r="AK50" s="25"/>
      <c r="AL50" s="26"/>
      <c r="AM50" s="22"/>
      <c r="AN50" s="25"/>
      <c r="AO50" s="25"/>
      <c r="AP50" s="25"/>
      <c r="AQ50" s="25"/>
      <c r="AR50" s="25"/>
      <c r="AS50" s="26"/>
      <c r="AT50" s="22" t="s">
        <v>718</v>
      </c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4"/>
      <c r="BM50" t="s">
        <v>449</v>
      </c>
      <c r="BN50">
        <v>4</v>
      </c>
      <c r="BP50" t="str">
        <f t="shared" si="1"/>
        <v>,`PROMO_END_TM` varchar(4)  COMMENT '特売終了時間 ＨＨＭＭ形式で４桁フルに設定すること（２４時間制）'</v>
      </c>
      <c r="BQ50" s="88" t="s">
        <v>758</v>
      </c>
      <c r="BR50" t="str">
        <f t="shared" si="4"/>
        <v xml:space="preserve">,`PROMO_END_TM` varchar(4) </v>
      </c>
      <c r="BS50" t="s">
        <v>223</v>
      </c>
      <c r="BT50" t="str">
        <f t="shared" si="5"/>
        <v>,`PROMO_END_TM`</v>
      </c>
      <c r="BU50" t="s">
        <v>223</v>
      </c>
      <c r="BV50" s="82" t="str">
        <f t="shared" si="2"/>
        <v>,A.`PROMO_END_TM` = B.`PROMO_END_TM`</v>
      </c>
      <c r="BW50" t="s">
        <v>223</v>
      </c>
      <c r="BX50" s="82" t="str">
        <f t="shared" si="6"/>
        <v>,`PROMO_END_TM`</v>
      </c>
      <c r="BY50" t="s">
        <v>223</v>
      </c>
      <c r="BZ50" s="82" t="str">
        <f t="shared" si="3"/>
        <v>,`PROMO_END_TM`</v>
      </c>
      <c r="CA50" t="s">
        <v>223</v>
      </c>
    </row>
    <row r="51" spans="1:79" ht="15" customHeight="1">
      <c r="A51" s="84" t="s">
        <v>542</v>
      </c>
      <c r="B51" s="71">
        <v>9</v>
      </c>
      <c r="C51" s="72"/>
      <c r="D51" s="73" t="s">
        <v>637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5"/>
      <c r="R51" s="73" t="s">
        <v>683</v>
      </c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251" t="str" cm="1">
        <f t="array" ref="AC51">_xlfn.SWITCH(BM51,"String","varchar("&amp;BN51&amp;")","Long","int","Integer","smallint","Double","decimal(9,2)","Currency","int")</f>
        <v>varchar(8)</v>
      </c>
      <c r="AD51" s="252"/>
      <c r="AE51" s="252"/>
      <c r="AF51" s="252"/>
      <c r="AG51" s="253"/>
      <c r="AH51" s="73"/>
      <c r="AI51" s="75"/>
      <c r="AJ51" s="73"/>
      <c r="AK51" s="74"/>
      <c r="AL51" s="75"/>
      <c r="AM51" s="73"/>
      <c r="AN51" s="74"/>
      <c r="AO51" s="74"/>
      <c r="AP51" s="74"/>
      <c r="AQ51" s="74"/>
      <c r="AR51" s="74"/>
      <c r="AS51" s="75"/>
      <c r="AT51" s="73" t="s">
        <v>719</v>
      </c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5"/>
      <c r="BK51" s="4"/>
      <c r="BM51" t="s">
        <v>449</v>
      </c>
      <c r="BN51">
        <v>8</v>
      </c>
      <c r="BP51" t="str">
        <f t="shared" si="1"/>
        <v>,`BFR_EVNT_BGN_TM` varchar(8)  COMMENT '事前特売開始日 現在未使用  Ｎull固定'</v>
      </c>
      <c r="BQ51" s="88" t="s">
        <v>759</v>
      </c>
      <c r="BR51" t="str">
        <f t="shared" si="4"/>
        <v xml:space="preserve">,`BFR_EVNT_BGN_TM` varchar(8) </v>
      </c>
      <c r="BS51" t="s">
        <v>223</v>
      </c>
      <c r="BT51" t="str">
        <f t="shared" si="5"/>
        <v>,`BFR_EVNT_BGN_TM`</v>
      </c>
      <c r="BU51" t="s">
        <v>223</v>
      </c>
      <c r="BV51" s="82" t="str">
        <f t="shared" si="2"/>
        <v>,A.`BFR_EVNT_BGN_TM` = B.`BFR_EVNT_BGN_TM`</v>
      </c>
      <c r="BW51" t="s">
        <v>223</v>
      </c>
      <c r="BX51" s="82" t="str">
        <f t="shared" si="6"/>
        <v>,`BFR_EVNT_BGN_TM`</v>
      </c>
      <c r="BY51" t="s">
        <v>223</v>
      </c>
      <c r="BZ51" s="82" t="str">
        <f t="shared" si="3"/>
        <v>,`BFR_EVNT_BGN_TM`</v>
      </c>
      <c r="CA51" t="s">
        <v>223</v>
      </c>
    </row>
    <row r="52" spans="1:79" ht="15" customHeight="1">
      <c r="A52" s="84" t="s">
        <v>543</v>
      </c>
      <c r="B52" s="71">
        <v>9</v>
      </c>
      <c r="C52" s="72"/>
      <c r="D52" s="73" t="s">
        <v>638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  <c r="R52" s="73" t="s">
        <v>684</v>
      </c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251" t="str" cm="1">
        <f t="array" ref="AC52">_xlfn.SWITCH(BM52,"String","varchar("&amp;BN52&amp;")","Long","int","Integer","smallint","Double","decimal(9,2)","Currency","int")</f>
        <v>smallint</v>
      </c>
      <c r="AD52" s="252"/>
      <c r="AE52" s="252"/>
      <c r="AF52" s="252"/>
      <c r="AG52" s="253"/>
      <c r="AH52" s="73"/>
      <c r="AI52" s="75"/>
      <c r="AJ52" s="73"/>
      <c r="AK52" s="74"/>
      <c r="AL52" s="75"/>
      <c r="AM52" s="73"/>
      <c r="AN52" s="74"/>
      <c r="AO52" s="74"/>
      <c r="AP52" s="74"/>
      <c r="AQ52" s="74"/>
      <c r="AR52" s="74"/>
      <c r="AS52" s="75"/>
      <c r="AT52" s="73" t="s">
        <v>716</v>
      </c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5"/>
      <c r="BK52" s="4"/>
      <c r="BM52" t="s">
        <v>451</v>
      </c>
      <c r="BP52" t="str">
        <f t="shared" si="1"/>
        <v>,`BFR_DISC_MTHD` smallint  COMMENT '事前割引タイプ 現在未使用  ０固定'</v>
      </c>
      <c r="BQ52" s="88" t="s">
        <v>760</v>
      </c>
      <c r="BR52" t="str">
        <f t="shared" si="4"/>
        <v xml:space="preserve">,`BFR_DISC_MTHD` smallint </v>
      </c>
      <c r="BS52" t="s">
        <v>223</v>
      </c>
      <c r="BT52" t="str">
        <f t="shared" si="5"/>
        <v>,`BFR_DISC_MTHD`</v>
      </c>
      <c r="BU52" t="s">
        <v>223</v>
      </c>
      <c r="BV52" s="82" t="str">
        <f t="shared" si="2"/>
        <v>,A.`BFR_DISC_MTHD` = B.`BFR_DISC_MTHD`</v>
      </c>
      <c r="BW52" t="s">
        <v>223</v>
      </c>
      <c r="BX52" s="82" t="str">
        <f t="shared" si="6"/>
        <v>,`BFR_DISC_MTHD`</v>
      </c>
      <c r="BY52" t="s">
        <v>223</v>
      </c>
      <c r="BZ52" s="82" t="str">
        <f t="shared" si="3"/>
        <v>,`BFR_DISC_MTHD`</v>
      </c>
      <c r="CA52" t="s">
        <v>223</v>
      </c>
    </row>
    <row r="53" spans="1:79" ht="15" customHeight="1">
      <c r="A53" s="84" t="s">
        <v>544</v>
      </c>
      <c r="B53" s="71">
        <v>9</v>
      </c>
      <c r="C53" s="72"/>
      <c r="D53" s="73" t="s">
        <v>639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5"/>
      <c r="R53" s="73" t="s">
        <v>726</v>
      </c>
      <c r="S53" s="74"/>
      <c r="T53" s="74"/>
      <c r="U53" s="74"/>
      <c r="V53" s="74"/>
      <c r="W53" s="74"/>
      <c r="X53" s="74"/>
      <c r="Y53" s="74"/>
      <c r="Z53" s="74"/>
      <c r="AA53" s="74"/>
      <c r="AB53" s="75"/>
      <c r="AC53" s="251" t="str" cm="1">
        <f t="array" ref="AC53">_xlfn.SWITCH(BM53,"String","varchar("&amp;BN53&amp;")","Long","int","Integer","smallint","Double","decimal(9,2)","Currency","int")</f>
        <v>decimal(9,2)</v>
      </c>
      <c r="AD53" s="252"/>
      <c r="AE53" s="252"/>
      <c r="AF53" s="252"/>
      <c r="AG53" s="253"/>
      <c r="AH53" s="73"/>
      <c r="AI53" s="75"/>
      <c r="AJ53" s="73"/>
      <c r="AK53" s="74"/>
      <c r="AL53" s="75"/>
      <c r="AM53" s="73"/>
      <c r="AN53" s="74"/>
      <c r="AO53" s="74"/>
      <c r="AP53" s="74"/>
      <c r="AQ53" s="74"/>
      <c r="AR53" s="74"/>
      <c r="AS53" s="75"/>
      <c r="AT53" s="73" t="s">
        <v>470</v>
      </c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5"/>
      <c r="BK53" s="4"/>
      <c r="BM53" t="s">
        <v>452</v>
      </c>
      <c r="BP53" t="str">
        <f t="shared" si="1"/>
        <v>,`BFR_DISC_VALUE` decimal(9,2)  COMMENT '事前特売価格 現在未使用  ０固定'</v>
      </c>
      <c r="BQ53" s="88" t="s">
        <v>761</v>
      </c>
      <c r="BR53" t="str">
        <f t="shared" si="4"/>
        <v xml:space="preserve">,`BFR_DISC_VALUE` decimal(9,2) </v>
      </c>
      <c r="BS53" t="s">
        <v>223</v>
      </c>
      <c r="BT53" t="str">
        <f t="shared" si="5"/>
        <v>,`BFR_DISC_VALUE`</v>
      </c>
      <c r="BU53" t="s">
        <v>223</v>
      </c>
      <c r="BV53" s="82" t="str">
        <f t="shared" si="2"/>
        <v>,A.`BFR_DISC_VALUE` = B.`BFR_DISC_VALUE`</v>
      </c>
      <c r="BW53" t="s">
        <v>223</v>
      </c>
      <c r="BX53" s="82" t="str">
        <f t="shared" si="6"/>
        <v>,`BFR_DISC_VALUE`</v>
      </c>
      <c r="BY53" t="s">
        <v>223</v>
      </c>
      <c r="BZ53" s="82" t="str">
        <f t="shared" si="3"/>
        <v>,`BFR_DISC_VALUE`</v>
      </c>
      <c r="CA53" t="s">
        <v>223</v>
      </c>
    </row>
    <row r="54" spans="1:79" ht="15" customHeight="1">
      <c r="A54" s="84" t="s">
        <v>545</v>
      </c>
      <c r="B54" s="71">
        <v>9</v>
      </c>
      <c r="C54" s="72"/>
      <c r="D54" s="73" t="s">
        <v>640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5"/>
      <c r="R54" s="73" t="s">
        <v>685</v>
      </c>
      <c r="S54" s="74"/>
      <c r="T54" s="74"/>
      <c r="U54" s="74"/>
      <c r="V54" s="74"/>
      <c r="W54" s="74"/>
      <c r="X54" s="74"/>
      <c r="Y54" s="74"/>
      <c r="Z54" s="74"/>
      <c r="AA54" s="74"/>
      <c r="AB54" s="75"/>
      <c r="AC54" s="251" t="str" cm="1">
        <f t="array" ref="AC54">_xlfn.SWITCH(BM54,"String","varchar("&amp;BN54&amp;")","Long","int","Integer","smallint","Double","decimal(9,2)","Currency","int")</f>
        <v>varchar(8)</v>
      </c>
      <c r="AD54" s="252"/>
      <c r="AE54" s="252"/>
      <c r="AF54" s="252"/>
      <c r="AG54" s="253"/>
      <c r="AH54" s="73"/>
      <c r="AI54" s="75"/>
      <c r="AJ54" s="73"/>
      <c r="AK54" s="74"/>
      <c r="AL54" s="75"/>
      <c r="AM54" s="73"/>
      <c r="AN54" s="74"/>
      <c r="AO54" s="74"/>
      <c r="AP54" s="74"/>
      <c r="AQ54" s="74"/>
      <c r="AR54" s="74"/>
      <c r="AS54" s="75"/>
      <c r="AT54" s="73" t="s">
        <v>719</v>
      </c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5"/>
      <c r="BK54" s="4"/>
      <c r="BM54" t="s">
        <v>449</v>
      </c>
      <c r="BN54">
        <v>8</v>
      </c>
      <c r="BP54" t="str">
        <f t="shared" si="1"/>
        <v>,`AFT_DISC_END_TM` varchar(8)  COMMENT '継続特売終了日 現在未使用  Ｎull固定'</v>
      </c>
      <c r="BQ54" s="88" t="s">
        <v>762</v>
      </c>
      <c r="BR54" t="str">
        <f t="shared" si="4"/>
        <v xml:space="preserve">,`AFT_DISC_END_TM` varchar(8) </v>
      </c>
      <c r="BS54" t="s">
        <v>223</v>
      </c>
      <c r="BT54" t="str">
        <f t="shared" si="5"/>
        <v>,`AFT_DISC_END_TM`</v>
      </c>
      <c r="BU54" t="s">
        <v>223</v>
      </c>
      <c r="BV54" s="82" t="str">
        <f t="shared" si="2"/>
        <v>,A.`AFT_DISC_END_TM` = B.`AFT_DISC_END_TM`</v>
      </c>
      <c r="BW54" t="s">
        <v>223</v>
      </c>
      <c r="BX54" s="82" t="str">
        <f t="shared" si="6"/>
        <v>,`AFT_DISC_END_TM`</v>
      </c>
      <c r="BY54" t="s">
        <v>223</v>
      </c>
      <c r="BZ54" s="82" t="str">
        <f t="shared" si="3"/>
        <v>,`AFT_DISC_END_TM`</v>
      </c>
      <c r="CA54" t="s">
        <v>223</v>
      </c>
    </row>
    <row r="55" spans="1:79" ht="15" customHeight="1">
      <c r="A55" s="84" t="s">
        <v>546</v>
      </c>
      <c r="B55" s="71">
        <v>9</v>
      </c>
      <c r="C55" s="72"/>
      <c r="D55" s="73" t="s">
        <v>641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5"/>
      <c r="R55" s="73" t="s">
        <v>686</v>
      </c>
      <c r="S55" s="74"/>
      <c r="T55" s="74"/>
      <c r="U55" s="74"/>
      <c r="V55" s="74"/>
      <c r="W55" s="74"/>
      <c r="X55" s="74"/>
      <c r="Y55" s="74"/>
      <c r="Z55" s="74"/>
      <c r="AA55" s="74"/>
      <c r="AB55" s="75"/>
      <c r="AC55" s="251" t="str" cm="1">
        <f t="array" ref="AC55">_xlfn.SWITCH(BM55,"String","varchar("&amp;BN55&amp;")","Long","int","Integer","smallint","Double","decimal(9,2)","Currency","int")</f>
        <v>smallint</v>
      </c>
      <c r="AD55" s="252"/>
      <c r="AE55" s="252"/>
      <c r="AF55" s="252"/>
      <c r="AG55" s="253"/>
      <c r="AH55" s="73"/>
      <c r="AI55" s="75"/>
      <c r="AJ55" s="73"/>
      <c r="AK55" s="74"/>
      <c r="AL55" s="75"/>
      <c r="AM55" s="73"/>
      <c r="AN55" s="74"/>
      <c r="AO55" s="74"/>
      <c r="AP55" s="74"/>
      <c r="AQ55" s="74"/>
      <c r="AR55" s="74"/>
      <c r="AS55" s="75"/>
      <c r="AT55" s="73" t="s">
        <v>470</v>
      </c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5"/>
      <c r="BK55" s="4"/>
      <c r="BM55" t="s">
        <v>451</v>
      </c>
      <c r="BP55" t="str">
        <f t="shared" si="1"/>
        <v>,`AFT_DISC_MTHD` smallint  COMMENT '継続割引タイプ 現在未使用  ０固定'</v>
      </c>
      <c r="BQ55" s="88" t="s">
        <v>763</v>
      </c>
      <c r="BR55" t="str">
        <f t="shared" si="4"/>
        <v xml:space="preserve">,`AFT_DISC_MTHD` smallint </v>
      </c>
      <c r="BS55" t="s">
        <v>223</v>
      </c>
      <c r="BT55" t="str">
        <f t="shared" si="5"/>
        <v>,`AFT_DISC_MTHD`</v>
      </c>
      <c r="BU55" t="s">
        <v>223</v>
      </c>
      <c r="BV55" s="82" t="str">
        <f t="shared" si="2"/>
        <v>,A.`AFT_DISC_MTHD` = B.`AFT_DISC_MTHD`</v>
      </c>
      <c r="BW55" t="s">
        <v>223</v>
      </c>
      <c r="BX55" s="82" t="str">
        <f t="shared" si="6"/>
        <v>,`AFT_DISC_MTHD`</v>
      </c>
      <c r="BY55" t="s">
        <v>223</v>
      </c>
      <c r="BZ55" s="82" t="str">
        <f t="shared" si="3"/>
        <v>,`AFT_DISC_MTHD`</v>
      </c>
      <c r="CA55" t="s">
        <v>223</v>
      </c>
    </row>
    <row r="56" spans="1:79" ht="15" customHeight="1">
      <c r="A56" s="84" t="s">
        <v>547</v>
      </c>
      <c r="B56" s="71">
        <v>9</v>
      </c>
      <c r="C56" s="72"/>
      <c r="D56" s="73" t="s">
        <v>642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5"/>
      <c r="R56" s="73" t="s">
        <v>687</v>
      </c>
      <c r="S56" s="74"/>
      <c r="T56" s="74"/>
      <c r="U56" s="74"/>
      <c r="V56" s="74"/>
      <c r="W56" s="74"/>
      <c r="X56" s="74"/>
      <c r="Y56" s="74"/>
      <c r="Z56" s="74"/>
      <c r="AA56" s="74"/>
      <c r="AB56" s="75"/>
      <c r="AC56" s="251" t="str" cm="1">
        <f t="array" ref="AC56">_xlfn.SWITCH(BM56,"String","varchar("&amp;BN56&amp;")","Long","int","Integer","smallint","Double","decimal(9,2)","Currency","int")</f>
        <v>decimal(9,2)</v>
      </c>
      <c r="AD56" s="252"/>
      <c r="AE56" s="252"/>
      <c r="AF56" s="252"/>
      <c r="AG56" s="253"/>
      <c r="AH56" s="73"/>
      <c r="AI56" s="75"/>
      <c r="AJ56" s="73"/>
      <c r="AK56" s="74"/>
      <c r="AL56" s="75"/>
      <c r="AM56" s="73"/>
      <c r="AN56" s="74"/>
      <c r="AO56" s="74"/>
      <c r="AP56" s="74"/>
      <c r="AQ56" s="74"/>
      <c r="AR56" s="74"/>
      <c r="AS56" s="75"/>
      <c r="AT56" s="73" t="s">
        <v>470</v>
      </c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5"/>
      <c r="BK56" s="4"/>
      <c r="BM56" t="s">
        <v>452</v>
      </c>
      <c r="BP56" t="str">
        <f t="shared" si="1"/>
        <v>,`AFT_DISC_VALUE` decimal(9,2)  COMMENT '継続特売価格 現在未使用  ０固定'</v>
      </c>
      <c r="BQ56" s="88" t="s">
        <v>764</v>
      </c>
      <c r="BR56" t="str">
        <f t="shared" si="4"/>
        <v xml:space="preserve">,`AFT_DISC_VALUE` decimal(9,2) </v>
      </c>
      <c r="BS56" t="s">
        <v>223</v>
      </c>
      <c r="BT56" t="str">
        <f t="shared" si="5"/>
        <v>,`AFT_DISC_VALUE`</v>
      </c>
      <c r="BU56" t="s">
        <v>223</v>
      </c>
      <c r="BV56" s="82" t="str">
        <f t="shared" si="2"/>
        <v>,A.`AFT_DISC_VALUE` = B.`AFT_DISC_VALUE`</v>
      </c>
      <c r="BW56" t="s">
        <v>223</v>
      </c>
      <c r="BX56" s="82" t="str">
        <f t="shared" si="6"/>
        <v>,`AFT_DISC_VALUE`</v>
      </c>
      <c r="BY56" t="s">
        <v>223</v>
      </c>
      <c r="BZ56" s="82" t="str">
        <f t="shared" si="3"/>
        <v>,`AFT_DISC_VALUE`</v>
      </c>
      <c r="CA56" t="s">
        <v>223</v>
      </c>
    </row>
    <row r="57" spans="1:79" ht="15" customHeight="1">
      <c r="A57" s="84" t="s">
        <v>548</v>
      </c>
      <c r="B57" s="71">
        <v>9</v>
      </c>
      <c r="C57" s="72"/>
      <c r="D57" s="73" t="s">
        <v>643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73" t="s">
        <v>392</v>
      </c>
      <c r="S57" s="74"/>
      <c r="T57" s="74"/>
      <c r="U57" s="74"/>
      <c r="V57" s="74"/>
      <c r="W57" s="74"/>
      <c r="X57" s="74"/>
      <c r="Y57" s="74"/>
      <c r="Z57" s="74"/>
      <c r="AA57" s="74"/>
      <c r="AB57" s="75"/>
      <c r="AC57" s="251" t="str" cm="1">
        <f t="array" ref="AC57">_xlfn.SWITCH(BM57,"String","varchar("&amp;BN57&amp;")","Long","int","Integer","smallint","Double","decimal(9,2)","Currency","int")</f>
        <v>smallint</v>
      </c>
      <c r="AD57" s="252"/>
      <c r="AE57" s="252"/>
      <c r="AF57" s="252"/>
      <c r="AG57" s="253"/>
      <c r="AH57" s="73"/>
      <c r="AI57" s="75"/>
      <c r="AJ57" s="73"/>
      <c r="AK57" s="74"/>
      <c r="AL57" s="75"/>
      <c r="AM57" s="73"/>
      <c r="AN57" s="74"/>
      <c r="AO57" s="74"/>
      <c r="AP57" s="74"/>
      <c r="AQ57" s="74"/>
      <c r="AR57" s="74"/>
      <c r="AS57" s="75"/>
      <c r="AT57" s="73" t="s">
        <v>470</v>
      </c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5"/>
      <c r="BK57" s="4"/>
      <c r="BM57" t="s">
        <v>451</v>
      </c>
      <c r="BP57" t="str">
        <f t="shared" si="1"/>
        <v>,`PRC_GRP_ID` smallint  COMMENT '価格グループＩＤ 現在未使用  ０固定'</v>
      </c>
      <c r="BQ57" s="88" t="s">
        <v>765</v>
      </c>
      <c r="BR57" t="str">
        <f t="shared" si="4"/>
        <v xml:space="preserve">,`PRC_GRP_ID` smallint </v>
      </c>
      <c r="BS57" t="s">
        <v>223</v>
      </c>
      <c r="BT57" t="str">
        <f t="shared" si="5"/>
        <v>,`PRC_GRP_ID`</v>
      </c>
      <c r="BU57" t="s">
        <v>223</v>
      </c>
      <c r="BV57" s="82" t="str">
        <f t="shared" si="2"/>
        <v>,A.`PRC_GRP_ID` = B.`PRC_GRP_ID`</v>
      </c>
      <c r="BW57" t="s">
        <v>223</v>
      </c>
      <c r="BX57" s="82" t="str">
        <f t="shared" si="6"/>
        <v>,`PRC_GRP_ID`</v>
      </c>
      <c r="BY57" t="s">
        <v>223</v>
      </c>
      <c r="BZ57" s="82" t="str">
        <f t="shared" si="3"/>
        <v>,`PRC_GRP_ID`</v>
      </c>
      <c r="CA57" t="s">
        <v>223</v>
      </c>
    </row>
    <row r="58" spans="1:79" ht="15" customHeight="1">
      <c r="A58" s="84" t="s">
        <v>549</v>
      </c>
      <c r="B58" s="71">
        <v>9</v>
      </c>
      <c r="C58" s="72"/>
      <c r="D58" s="73" t="s">
        <v>644</v>
      </c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5"/>
      <c r="R58" s="73" t="s">
        <v>688</v>
      </c>
      <c r="S58" s="74"/>
      <c r="T58" s="74"/>
      <c r="U58" s="74"/>
      <c r="V58" s="74"/>
      <c r="W58" s="74"/>
      <c r="X58" s="74"/>
      <c r="Y58" s="74"/>
      <c r="Z58" s="74"/>
      <c r="AA58" s="74"/>
      <c r="AB58" s="75"/>
      <c r="AC58" s="251" t="str" cm="1">
        <f t="array" ref="AC58">_xlfn.SWITCH(BM58,"String","varchar("&amp;BN58&amp;")","Long","int","Integer","smallint","Double","decimal(9,2)","Currency","int")</f>
        <v>int</v>
      </c>
      <c r="AD58" s="252"/>
      <c r="AE58" s="252"/>
      <c r="AF58" s="252"/>
      <c r="AG58" s="253"/>
      <c r="AH58" s="73"/>
      <c r="AI58" s="75"/>
      <c r="AJ58" s="73"/>
      <c r="AK58" s="74"/>
      <c r="AL58" s="75"/>
      <c r="AM58" s="73"/>
      <c r="AN58" s="74"/>
      <c r="AO58" s="74"/>
      <c r="AP58" s="74"/>
      <c r="AQ58" s="74"/>
      <c r="AR58" s="74"/>
      <c r="AS58" s="75"/>
      <c r="AT58" s="73" t="s">
        <v>470</v>
      </c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5"/>
      <c r="BK58" s="4"/>
      <c r="BM58" t="s">
        <v>450</v>
      </c>
      <c r="BP58" t="str">
        <f t="shared" si="1"/>
        <v>,`MDSE_XREF_NO` int  COMMENT '商品階層コード 現在未使用  ０固定'</v>
      </c>
      <c r="BQ58" s="88" t="s">
        <v>766</v>
      </c>
      <c r="BR58" t="str">
        <f t="shared" si="4"/>
        <v xml:space="preserve">,`MDSE_XREF_NO` int </v>
      </c>
      <c r="BS58" t="s">
        <v>223</v>
      </c>
      <c r="BT58" t="str">
        <f t="shared" si="5"/>
        <v>,`MDSE_XREF_NO`</v>
      </c>
      <c r="BU58" t="s">
        <v>223</v>
      </c>
      <c r="BV58" s="82" t="str">
        <f t="shared" si="2"/>
        <v>,A.`MDSE_XREF_NO` = B.`MDSE_XREF_NO`</v>
      </c>
      <c r="BW58" t="s">
        <v>223</v>
      </c>
      <c r="BX58" s="82" t="str">
        <f t="shared" si="6"/>
        <v>,`MDSE_XREF_NO`</v>
      </c>
      <c r="BY58" t="s">
        <v>223</v>
      </c>
      <c r="BZ58" s="82" t="str">
        <f t="shared" si="3"/>
        <v>,`MDSE_XREF_NO`</v>
      </c>
      <c r="CA58" t="s">
        <v>223</v>
      </c>
    </row>
    <row r="59" spans="1:79" ht="15" customHeight="1">
      <c r="A59" s="84" t="s">
        <v>550</v>
      </c>
      <c r="B59" s="71">
        <v>9</v>
      </c>
      <c r="C59" s="72"/>
      <c r="D59" s="73" t="s">
        <v>1261</v>
      </c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5"/>
      <c r="R59" s="87" t="s">
        <v>689</v>
      </c>
      <c r="S59" s="74"/>
      <c r="T59" s="74"/>
      <c r="U59" s="74"/>
      <c r="V59" s="74"/>
      <c r="W59" s="74"/>
      <c r="X59" s="74"/>
      <c r="Y59" s="74"/>
      <c r="Z59" s="74"/>
      <c r="AA59" s="74"/>
      <c r="AB59" s="75"/>
      <c r="AC59" s="251" t="str" cm="1">
        <f t="array" ref="AC59">_xlfn.SWITCH(BM59,"String","varchar("&amp;BN59&amp;")","Long","int","Integer","smallint","Double","decimal(9,2)","Currency","int")</f>
        <v>int</v>
      </c>
      <c r="AD59" s="252"/>
      <c r="AE59" s="252"/>
      <c r="AF59" s="252"/>
      <c r="AG59" s="253"/>
      <c r="AH59" s="73"/>
      <c r="AI59" s="75"/>
      <c r="AJ59" s="73"/>
      <c r="AK59" s="74"/>
      <c r="AL59" s="75"/>
      <c r="AM59" s="73"/>
      <c r="AN59" s="74"/>
      <c r="AO59" s="74"/>
      <c r="AP59" s="74"/>
      <c r="AQ59" s="74"/>
      <c r="AR59" s="74"/>
      <c r="AS59" s="75"/>
      <c r="AT59" s="73" t="s">
        <v>470</v>
      </c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5"/>
      <c r="BK59" s="4"/>
      <c r="BM59" t="s">
        <v>450</v>
      </c>
      <c r="BP59" t="str">
        <f t="shared" si="1"/>
        <v>,`PLU_QUAL_TYP` int  COMMENT 'PLU属性 現在未使用  ０固定'</v>
      </c>
      <c r="BQ59" s="88" t="s">
        <v>767</v>
      </c>
      <c r="BR59" t="str">
        <f t="shared" si="4"/>
        <v xml:space="preserve">,`PLU_QUAL_TYP` int </v>
      </c>
      <c r="BS59" t="s">
        <v>223</v>
      </c>
      <c r="BT59" t="str">
        <f t="shared" si="5"/>
        <v>,`PLU_QUAL_TYP`</v>
      </c>
      <c r="BU59" t="s">
        <v>223</v>
      </c>
      <c r="BV59" s="82" t="str">
        <f t="shared" si="2"/>
        <v>,A.`PLU_QUAL_TYP` = B.`PLU_QUAL_TYP`</v>
      </c>
      <c r="BW59" t="s">
        <v>223</v>
      </c>
      <c r="BX59" s="82" t="str">
        <f t="shared" si="6"/>
        <v>,`PLU_QUAL_TYP`</v>
      </c>
      <c r="BY59" t="s">
        <v>223</v>
      </c>
      <c r="BZ59" s="82" t="str">
        <f t="shared" si="3"/>
        <v>,`PLU_QUAL_TYP`</v>
      </c>
      <c r="CA59" t="s">
        <v>223</v>
      </c>
    </row>
    <row r="60" spans="1:79" ht="15" customHeight="1">
      <c r="A60" s="84" t="s">
        <v>551</v>
      </c>
      <c r="B60" s="71">
        <v>9</v>
      </c>
      <c r="C60" s="72"/>
      <c r="D60" s="73" t="s">
        <v>1260</v>
      </c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5"/>
      <c r="R60" s="73" t="s">
        <v>690</v>
      </c>
      <c r="S60" s="74"/>
      <c r="T60" s="74"/>
      <c r="U60" s="74"/>
      <c r="V60" s="74"/>
      <c r="W60" s="74"/>
      <c r="X60" s="74"/>
      <c r="Y60" s="74"/>
      <c r="Z60" s="74"/>
      <c r="AA60" s="74"/>
      <c r="AB60" s="75"/>
      <c r="AC60" s="251" t="str" cm="1">
        <f t="array" ref="AC60">_xlfn.SWITCH(BM60,"String","varchar("&amp;BN60&amp;")","Long","int","Integer","smallint","Double","decimal(9,2)","Currency","int")</f>
        <v>smallint</v>
      </c>
      <c r="AD60" s="252"/>
      <c r="AE60" s="252"/>
      <c r="AF60" s="252"/>
      <c r="AG60" s="253"/>
      <c r="AH60" s="73"/>
      <c r="AI60" s="75"/>
      <c r="AJ60" s="73"/>
      <c r="AK60" s="74"/>
      <c r="AL60" s="75"/>
      <c r="AM60" s="73"/>
      <c r="AN60" s="74"/>
      <c r="AO60" s="74"/>
      <c r="AP60" s="74"/>
      <c r="AQ60" s="74"/>
      <c r="AR60" s="74"/>
      <c r="AS60" s="75"/>
      <c r="AT60" s="73" t="s">
        <v>470</v>
      </c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5"/>
      <c r="BK60" s="4"/>
      <c r="BM60" t="s">
        <v>451</v>
      </c>
      <c r="BP60" t="str">
        <f t="shared" si="1"/>
        <v>,`ALT_NO` smallint  COMMENT 'ALTコード 現在未使用  ０固定'</v>
      </c>
      <c r="BQ60" s="88" t="s">
        <v>768</v>
      </c>
      <c r="BR60" t="str">
        <f t="shared" si="4"/>
        <v xml:space="preserve">,`ALT_NO` smallint </v>
      </c>
      <c r="BS60" t="s">
        <v>223</v>
      </c>
      <c r="BT60" t="str">
        <f t="shared" si="5"/>
        <v>,`ALT_NO`</v>
      </c>
      <c r="BU60" t="s">
        <v>223</v>
      </c>
      <c r="BV60" s="82" t="str">
        <f t="shared" si="2"/>
        <v>,A.`ALT_NO` = B.`ALT_NO`</v>
      </c>
      <c r="BW60" t="s">
        <v>223</v>
      </c>
      <c r="BX60" s="82" t="str">
        <f t="shared" si="6"/>
        <v>,`ALT_NO`</v>
      </c>
      <c r="BY60" t="s">
        <v>223</v>
      </c>
      <c r="BZ60" s="82" t="str">
        <f t="shared" si="3"/>
        <v>,`ALT_NO`</v>
      </c>
      <c r="CA60" t="s">
        <v>223</v>
      </c>
    </row>
    <row r="61" spans="1:79" ht="15" customHeight="1">
      <c r="A61" s="84" t="s">
        <v>552</v>
      </c>
      <c r="B61" s="71">
        <v>9</v>
      </c>
      <c r="C61" s="72"/>
      <c r="D61" s="73" t="s">
        <v>645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5"/>
      <c r="R61" s="73" t="s">
        <v>691</v>
      </c>
      <c r="S61" s="74"/>
      <c r="T61" s="74"/>
      <c r="U61" s="74"/>
      <c r="V61" s="74"/>
      <c r="W61" s="74"/>
      <c r="X61" s="74"/>
      <c r="Y61" s="74"/>
      <c r="Z61" s="74"/>
      <c r="AA61" s="74"/>
      <c r="AB61" s="75"/>
      <c r="AC61" s="251" t="str" cm="1">
        <f t="array" ref="AC61">_xlfn.SWITCH(BM61,"String","varchar("&amp;BN61&amp;")","Long","int","Integer","smallint","Double","decimal(9,2)","Currency","int")</f>
        <v>varchar(20)</v>
      </c>
      <c r="AD61" s="252"/>
      <c r="AE61" s="252"/>
      <c r="AF61" s="252"/>
      <c r="AG61" s="253"/>
      <c r="AH61" s="73"/>
      <c r="AI61" s="75"/>
      <c r="AJ61" s="73"/>
      <c r="AK61" s="74"/>
      <c r="AL61" s="75"/>
      <c r="AM61" s="73"/>
      <c r="AN61" s="74"/>
      <c r="AO61" s="74"/>
      <c r="AP61" s="74"/>
      <c r="AQ61" s="74"/>
      <c r="AR61" s="74"/>
      <c r="AS61" s="75"/>
      <c r="AT61" s="73" t="s">
        <v>482</v>
      </c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5"/>
      <c r="BK61" s="4"/>
      <c r="BM61" t="s">
        <v>449</v>
      </c>
      <c r="BN61">
        <v>20</v>
      </c>
      <c r="BP61" t="str">
        <f t="shared" si="1"/>
        <v>,`SUB_ID` varchar(20)  COMMENT 'サブＩＤ 現在未使用  Ｎull固定'</v>
      </c>
      <c r="BQ61" s="88" t="s">
        <v>769</v>
      </c>
      <c r="BR61" t="str">
        <f t="shared" si="4"/>
        <v xml:space="preserve">,`SUB_ID` varchar(20) </v>
      </c>
      <c r="BS61" t="s">
        <v>223</v>
      </c>
      <c r="BT61" t="str">
        <f t="shared" si="5"/>
        <v>,`SUB_ID`</v>
      </c>
      <c r="BU61" t="s">
        <v>223</v>
      </c>
      <c r="BV61" s="82" t="str">
        <f t="shared" si="2"/>
        <v>,A.`SUB_ID` = B.`SUB_ID`</v>
      </c>
      <c r="BW61" t="s">
        <v>223</v>
      </c>
      <c r="BX61" s="82" t="str">
        <f t="shared" si="6"/>
        <v>,`SUB_ID`</v>
      </c>
      <c r="BY61" t="s">
        <v>223</v>
      </c>
      <c r="BZ61" s="82" t="str">
        <f t="shared" si="3"/>
        <v>,`SUB_ID`</v>
      </c>
      <c r="CA61" t="s">
        <v>223</v>
      </c>
    </row>
    <row r="62" spans="1:79" ht="15" customHeight="1">
      <c r="A62" s="84" t="s">
        <v>553</v>
      </c>
      <c r="B62" s="71">
        <v>9</v>
      </c>
      <c r="C62" s="72"/>
      <c r="D62" s="73" t="s">
        <v>646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5"/>
      <c r="R62" s="73" t="s">
        <v>692</v>
      </c>
      <c r="S62" s="74"/>
      <c r="T62" s="74"/>
      <c r="U62" s="74"/>
      <c r="V62" s="74"/>
      <c r="W62" s="74"/>
      <c r="X62" s="74"/>
      <c r="Y62" s="74"/>
      <c r="Z62" s="74"/>
      <c r="AA62" s="74"/>
      <c r="AB62" s="75"/>
      <c r="AC62" s="251" t="str" cm="1">
        <f t="array" ref="AC62">_xlfn.SWITCH(BM62,"String","varchar("&amp;BN62&amp;")","Long","int","Integer","smallint","Double","decimal(9,2)","Currency","int")</f>
        <v>varchar(20)</v>
      </c>
      <c r="AD62" s="252"/>
      <c r="AE62" s="252"/>
      <c r="AF62" s="252"/>
      <c r="AG62" s="253"/>
      <c r="AH62" s="73"/>
      <c r="AI62" s="75"/>
      <c r="AJ62" s="73"/>
      <c r="AK62" s="74"/>
      <c r="AL62" s="75"/>
      <c r="AM62" s="73"/>
      <c r="AN62" s="74"/>
      <c r="AO62" s="74"/>
      <c r="AP62" s="74"/>
      <c r="AQ62" s="74"/>
      <c r="AR62" s="74"/>
      <c r="AS62" s="75"/>
      <c r="AT62" s="73" t="s">
        <v>482</v>
      </c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5"/>
      <c r="BK62" s="4"/>
      <c r="BM62" t="s">
        <v>449</v>
      </c>
      <c r="BN62">
        <v>20</v>
      </c>
      <c r="BP62" t="str">
        <f t="shared" si="1"/>
        <v>,`DG_ID` varchar(20)  COMMENT '割引グループＩＤ 現在未使用  Ｎull固定'</v>
      </c>
      <c r="BQ62" s="88" t="s">
        <v>770</v>
      </c>
      <c r="BR62" t="str">
        <f t="shared" si="4"/>
        <v xml:space="preserve">,`DG_ID` varchar(20) </v>
      </c>
      <c r="BS62" t="s">
        <v>223</v>
      </c>
      <c r="BT62" t="str">
        <f t="shared" si="5"/>
        <v>,`DG_ID`</v>
      </c>
      <c r="BU62" t="s">
        <v>223</v>
      </c>
      <c r="BV62" s="82" t="str">
        <f t="shared" si="2"/>
        <v>,A.`DG_ID` = B.`DG_ID`</v>
      </c>
      <c r="BW62" t="s">
        <v>223</v>
      </c>
      <c r="BX62" s="82" t="str">
        <f t="shared" si="6"/>
        <v>,`DG_ID`</v>
      </c>
      <c r="BY62" t="s">
        <v>223</v>
      </c>
      <c r="BZ62" s="82" t="str">
        <f t="shared" si="3"/>
        <v>,`DG_ID`</v>
      </c>
      <c r="CA62" t="s">
        <v>223</v>
      </c>
    </row>
    <row r="63" spans="1:79" ht="15" customHeight="1">
      <c r="A63" s="84" t="s">
        <v>554</v>
      </c>
      <c r="B63" s="23">
        <v>9</v>
      </c>
      <c r="C63" s="24"/>
      <c r="D63" s="22" t="s">
        <v>647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693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7" t="str" cm="1">
        <f t="array" ref="AC63">_xlfn.SWITCH(BM63,"String","varchar("&amp;BN63&amp;")","Long","int","Integer","smallint","Double","decimal(9,2)","Currency","int")</f>
        <v>smallint</v>
      </c>
      <c r="AD63" s="258"/>
      <c r="AE63" s="258"/>
      <c r="AF63" s="258"/>
      <c r="AG63" s="259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2" t="s">
        <v>720</v>
      </c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  <c r="BM63" t="s">
        <v>451</v>
      </c>
      <c r="BP63" t="str">
        <f t="shared" si="1"/>
        <v>,`AUX_CD` smallint  COMMENT 'ＡＵＸコード ０：一般  １：会員'</v>
      </c>
      <c r="BQ63" s="88" t="s">
        <v>771</v>
      </c>
      <c r="BR63" t="str">
        <f t="shared" si="4"/>
        <v xml:space="preserve">,`AUX_CD` smallint </v>
      </c>
      <c r="BS63" t="s">
        <v>223</v>
      </c>
      <c r="BT63" t="str">
        <f t="shared" si="5"/>
        <v>,`AUX_CD`</v>
      </c>
      <c r="BU63" t="s">
        <v>223</v>
      </c>
      <c r="BV63" s="82" t="str">
        <f t="shared" si="2"/>
        <v>,A.`AUX_CD` = B.`AUX_CD`</v>
      </c>
      <c r="BW63" t="s">
        <v>223</v>
      </c>
      <c r="BX63" s="82" t="str">
        <f t="shared" si="6"/>
        <v>,`AUX_CD`</v>
      </c>
      <c r="BY63" t="s">
        <v>223</v>
      </c>
      <c r="BZ63" s="82" t="str">
        <f t="shared" si="3"/>
        <v>,`AUX_CD`</v>
      </c>
      <c r="CA63" t="s">
        <v>223</v>
      </c>
    </row>
    <row r="64" spans="1:79" ht="15" customHeight="1">
      <c r="A64" s="84" t="s">
        <v>555</v>
      </c>
      <c r="B64" s="71">
        <v>9</v>
      </c>
      <c r="C64" s="72"/>
      <c r="D64" s="73" t="s">
        <v>648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3" t="s">
        <v>694</v>
      </c>
      <c r="S64" s="74"/>
      <c r="T64" s="74"/>
      <c r="U64" s="74"/>
      <c r="V64" s="74"/>
      <c r="W64" s="74"/>
      <c r="X64" s="74"/>
      <c r="Y64" s="74"/>
      <c r="Z64" s="74"/>
      <c r="AA64" s="74"/>
      <c r="AB64" s="75"/>
      <c r="AC64" s="251" t="str" cm="1">
        <f t="array" ref="AC64">_xlfn.SWITCH(BM64,"String","varchar("&amp;BN64&amp;")","Long","int","Integer","smallint","Double","decimal(9,2)","Currency","int")</f>
        <v>varchar(20)</v>
      </c>
      <c r="AD64" s="252"/>
      <c r="AE64" s="252"/>
      <c r="AF64" s="252"/>
      <c r="AG64" s="253"/>
      <c r="AH64" s="73"/>
      <c r="AI64" s="75"/>
      <c r="AJ64" s="73"/>
      <c r="AK64" s="74"/>
      <c r="AL64" s="75"/>
      <c r="AM64" s="73"/>
      <c r="AN64" s="74"/>
      <c r="AO64" s="74"/>
      <c r="AP64" s="74"/>
      <c r="AQ64" s="74"/>
      <c r="AR64" s="74"/>
      <c r="AS64" s="75"/>
      <c r="AT64" s="73" t="s">
        <v>482</v>
      </c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5"/>
      <c r="BK64" s="4"/>
      <c r="BM64" t="s">
        <v>449</v>
      </c>
      <c r="BN64">
        <v>20</v>
      </c>
      <c r="BP64" t="str">
        <f t="shared" si="1"/>
        <v>,`DISC_ACCT` varchar(20)  COMMENT '割引アカウント 現在未使用  Ｎull固定'</v>
      </c>
      <c r="BQ64" s="88" t="s">
        <v>772</v>
      </c>
      <c r="BR64" t="str">
        <f t="shared" si="4"/>
        <v xml:space="preserve">,`DISC_ACCT` varchar(20) </v>
      </c>
      <c r="BS64" t="s">
        <v>223</v>
      </c>
      <c r="BT64" t="str">
        <f t="shared" si="5"/>
        <v>,`DISC_ACCT`</v>
      </c>
      <c r="BU64" t="s">
        <v>223</v>
      </c>
      <c r="BV64" s="82" t="str">
        <f t="shared" si="2"/>
        <v>,A.`DISC_ACCT` = B.`DISC_ACCT`</v>
      </c>
      <c r="BW64" t="s">
        <v>223</v>
      </c>
      <c r="BX64" s="82" t="str">
        <f t="shared" si="6"/>
        <v>,`DISC_ACCT`</v>
      </c>
      <c r="BY64" t="s">
        <v>223</v>
      </c>
      <c r="BZ64" s="82" t="str">
        <f t="shared" si="3"/>
        <v>,`DISC_ACCT`</v>
      </c>
      <c r="CA64" t="s">
        <v>223</v>
      </c>
    </row>
    <row r="65" spans="1:79" ht="15" customHeight="1">
      <c r="A65" s="84" t="s">
        <v>556</v>
      </c>
      <c r="B65" s="71">
        <v>9</v>
      </c>
      <c r="C65" s="72"/>
      <c r="D65" s="73" t="s">
        <v>649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3" t="s">
        <v>695</v>
      </c>
      <c r="S65" s="74"/>
      <c r="T65" s="74"/>
      <c r="U65" s="74"/>
      <c r="V65" s="74"/>
      <c r="W65" s="74"/>
      <c r="X65" s="74"/>
      <c r="Y65" s="74"/>
      <c r="Z65" s="74"/>
      <c r="AA65" s="74"/>
      <c r="AB65" s="75"/>
      <c r="AC65" s="251" t="str" cm="1">
        <f t="array" ref="AC65">_xlfn.SWITCH(BM65,"String","varchar("&amp;BN65&amp;")","Long","int","Integer","smallint","Double","decimal(9,2)","Currency","int")</f>
        <v>int</v>
      </c>
      <c r="AD65" s="252"/>
      <c r="AE65" s="252"/>
      <c r="AF65" s="252"/>
      <c r="AG65" s="253"/>
      <c r="AH65" s="73"/>
      <c r="AI65" s="75"/>
      <c r="AJ65" s="73"/>
      <c r="AK65" s="74"/>
      <c r="AL65" s="75"/>
      <c r="AM65" s="73"/>
      <c r="AN65" s="74"/>
      <c r="AO65" s="74"/>
      <c r="AP65" s="74"/>
      <c r="AQ65" s="74"/>
      <c r="AR65" s="74"/>
      <c r="AS65" s="75"/>
      <c r="AT65" s="73" t="s">
        <v>470</v>
      </c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5"/>
      <c r="BK65" s="4"/>
      <c r="BM65" t="s">
        <v>450</v>
      </c>
      <c r="BP65" t="str">
        <f t="shared" si="1"/>
        <v>,`DISC_CLASS_ID` int  COMMENT '割引クラスＩＤ 現在未使用  ０固定'</v>
      </c>
      <c r="BQ65" s="88" t="s">
        <v>773</v>
      </c>
      <c r="BR65" t="str">
        <f t="shared" si="4"/>
        <v xml:space="preserve">,`DISC_CLASS_ID` int </v>
      </c>
      <c r="BS65" t="s">
        <v>223</v>
      </c>
      <c r="BT65" t="str">
        <f t="shared" si="5"/>
        <v>,`DISC_CLASS_ID`</v>
      </c>
      <c r="BU65" t="s">
        <v>223</v>
      </c>
      <c r="BV65" s="82" t="str">
        <f t="shared" si="2"/>
        <v>,A.`DISC_CLASS_ID` = B.`DISC_CLASS_ID`</v>
      </c>
      <c r="BW65" t="s">
        <v>223</v>
      </c>
      <c r="BX65" s="82" t="str">
        <f t="shared" si="6"/>
        <v>,`DISC_CLASS_ID`</v>
      </c>
      <c r="BY65" t="s">
        <v>223</v>
      </c>
      <c r="BZ65" s="82" t="str">
        <f t="shared" si="3"/>
        <v>,`DISC_CLASS_ID`</v>
      </c>
      <c r="CA65" t="s">
        <v>223</v>
      </c>
    </row>
    <row r="66" spans="1:79" ht="15" customHeight="1">
      <c r="A66" s="84" t="s">
        <v>557</v>
      </c>
      <c r="B66" s="71">
        <v>9</v>
      </c>
      <c r="C66" s="72"/>
      <c r="D66" s="73" t="s">
        <v>650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/>
      <c r="R66" s="73" t="s">
        <v>696</v>
      </c>
      <c r="S66" s="74"/>
      <c r="T66" s="74"/>
      <c r="U66" s="74"/>
      <c r="V66" s="74"/>
      <c r="W66" s="74"/>
      <c r="X66" s="74"/>
      <c r="Y66" s="74"/>
      <c r="Z66" s="74"/>
      <c r="AA66" s="74"/>
      <c r="AB66" s="75"/>
      <c r="AC66" s="251" t="str" cm="1">
        <f t="array" ref="AC66">_xlfn.SWITCH(BM66,"String","varchar("&amp;BN66&amp;")","Long","int","Integer","smallint","Double","decimal(9,2)","Currency","int")</f>
        <v>int</v>
      </c>
      <c r="AD66" s="252"/>
      <c r="AE66" s="252"/>
      <c r="AF66" s="252"/>
      <c r="AG66" s="253"/>
      <c r="AH66" s="73"/>
      <c r="AI66" s="75"/>
      <c r="AJ66" s="73"/>
      <c r="AK66" s="74"/>
      <c r="AL66" s="75"/>
      <c r="AM66" s="73"/>
      <c r="AN66" s="74"/>
      <c r="AO66" s="74"/>
      <c r="AP66" s="74"/>
      <c r="AQ66" s="74"/>
      <c r="AR66" s="74"/>
      <c r="AS66" s="75"/>
      <c r="AT66" s="73" t="s">
        <v>470</v>
      </c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5"/>
      <c r="BK66" s="4"/>
      <c r="BM66" t="s">
        <v>453</v>
      </c>
      <c r="BP66" t="str">
        <f t="shared" si="1"/>
        <v>,`MAX_DISC_AMT` int  COMMENT '特売最大値引額 現在未使用  ０固定'</v>
      </c>
      <c r="BQ66" s="88" t="s">
        <v>774</v>
      </c>
      <c r="BR66" t="str">
        <f t="shared" si="4"/>
        <v xml:space="preserve">,`MAX_DISC_AMT` int </v>
      </c>
      <c r="BS66" t="s">
        <v>223</v>
      </c>
      <c r="BT66" t="str">
        <f t="shared" si="5"/>
        <v>,`MAX_DISC_AMT`</v>
      </c>
      <c r="BU66" t="s">
        <v>223</v>
      </c>
      <c r="BV66" s="82" t="str">
        <f t="shared" si="2"/>
        <v>,A.`MAX_DISC_AMT` = B.`MAX_DISC_AMT`</v>
      </c>
      <c r="BW66" t="s">
        <v>223</v>
      </c>
      <c r="BX66" s="82" t="str">
        <f t="shared" si="6"/>
        <v>,`MAX_DISC_AMT`</v>
      </c>
      <c r="BY66" t="s">
        <v>223</v>
      </c>
      <c r="BZ66" s="82" t="str">
        <f t="shared" si="3"/>
        <v>,`MAX_DISC_AMT`</v>
      </c>
      <c r="CA66" t="s">
        <v>223</v>
      </c>
    </row>
    <row r="67" spans="1:79" ht="15" customHeight="1">
      <c r="A67" s="84" t="s">
        <v>558</v>
      </c>
      <c r="B67" s="71">
        <v>9</v>
      </c>
      <c r="C67" s="72"/>
      <c r="D67" s="73" t="s">
        <v>651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3" t="s">
        <v>697</v>
      </c>
      <c r="S67" s="74"/>
      <c r="T67" s="74"/>
      <c r="U67" s="74"/>
      <c r="V67" s="74"/>
      <c r="W67" s="74"/>
      <c r="X67" s="74"/>
      <c r="Y67" s="74"/>
      <c r="Z67" s="74"/>
      <c r="AA67" s="74"/>
      <c r="AB67" s="75"/>
      <c r="AC67" s="251" t="str" cm="1">
        <f t="array" ref="AC67">_xlfn.SWITCH(BM67,"String","varchar("&amp;BN67&amp;")","Long","int","Integer","smallint","Double","decimal(9,2)","Currency","int")</f>
        <v>smallint</v>
      </c>
      <c r="AD67" s="252"/>
      <c r="AE67" s="252"/>
      <c r="AF67" s="252"/>
      <c r="AG67" s="253"/>
      <c r="AH67" s="73"/>
      <c r="AI67" s="75"/>
      <c r="AJ67" s="73"/>
      <c r="AK67" s="74"/>
      <c r="AL67" s="75"/>
      <c r="AM67" s="73"/>
      <c r="AN67" s="74"/>
      <c r="AO67" s="74"/>
      <c r="AP67" s="74"/>
      <c r="AQ67" s="74"/>
      <c r="AR67" s="74"/>
      <c r="AS67" s="75"/>
      <c r="AT67" s="73" t="s">
        <v>470</v>
      </c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5"/>
      <c r="BK67" s="4"/>
      <c r="BM67" t="s">
        <v>451</v>
      </c>
      <c r="BP67" t="str">
        <f t="shared" si="1"/>
        <v>,`DISC_TRAN_CNT` smallint  COMMENT '割引トラン数 現在未使用  ０固定'</v>
      </c>
      <c r="BQ67" s="88" t="s">
        <v>775</v>
      </c>
      <c r="BR67" t="str">
        <f t="shared" si="4"/>
        <v xml:space="preserve">,`DISC_TRAN_CNT` smallint </v>
      </c>
      <c r="BS67" t="s">
        <v>223</v>
      </c>
      <c r="BT67" t="str">
        <f t="shared" si="5"/>
        <v>,`DISC_TRAN_CNT`</v>
      </c>
      <c r="BU67" t="s">
        <v>223</v>
      </c>
      <c r="BV67" s="82" t="str">
        <f t="shared" si="2"/>
        <v>,A.`DISC_TRAN_CNT` = B.`DISC_TRAN_CNT`</v>
      </c>
      <c r="BW67" t="s">
        <v>223</v>
      </c>
      <c r="BX67" s="82" t="str">
        <f t="shared" si="6"/>
        <v>,`DISC_TRAN_CNT`</v>
      </c>
      <c r="BY67" t="s">
        <v>223</v>
      </c>
      <c r="BZ67" s="82" t="str">
        <f t="shared" si="3"/>
        <v>,`DISC_TRAN_CNT`</v>
      </c>
      <c r="CA67" t="s">
        <v>223</v>
      </c>
    </row>
    <row r="68" spans="1:79" ht="15" customHeight="1">
      <c r="A68" s="84" t="s">
        <v>559</v>
      </c>
      <c r="B68" s="71">
        <v>9</v>
      </c>
      <c r="C68" s="72"/>
      <c r="D68" s="73" t="s">
        <v>652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73" t="s">
        <v>698</v>
      </c>
      <c r="S68" s="74"/>
      <c r="T68" s="74"/>
      <c r="U68" s="74"/>
      <c r="V68" s="74"/>
      <c r="W68" s="74"/>
      <c r="X68" s="74"/>
      <c r="Y68" s="74"/>
      <c r="Z68" s="74"/>
      <c r="AA68" s="74"/>
      <c r="AB68" s="75"/>
      <c r="AC68" s="251" t="str" cm="1">
        <f t="array" ref="AC68">_xlfn.SWITCH(BM68,"String","varchar("&amp;BN68&amp;")","Long","int","Integer","smallint","Double","decimal(9,2)","Currency","int")</f>
        <v>int</v>
      </c>
      <c r="AD68" s="252"/>
      <c r="AE68" s="252"/>
      <c r="AF68" s="252"/>
      <c r="AG68" s="253"/>
      <c r="AH68" s="73"/>
      <c r="AI68" s="75"/>
      <c r="AJ68" s="73"/>
      <c r="AK68" s="74"/>
      <c r="AL68" s="75"/>
      <c r="AM68" s="73"/>
      <c r="AN68" s="74"/>
      <c r="AO68" s="74"/>
      <c r="AP68" s="74"/>
      <c r="AQ68" s="74"/>
      <c r="AR68" s="74"/>
      <c r="AS68" s="75"/>
      <c r="AT68" s="73" t="s">
        <v>470</v>
      </c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5"/>
      <c r="BK68" s="4"/>
      <c r="BM68" t="s">
        <v>450</v>
      </c>
      <c r="BP68" t="str">
        <f t="shared" si="1"/>
        <v>,`BATCH_NBR` int  COMMENT 'バッチＮｏ． 現在未使用  ０固定'</v>
      </c>
      <c r="BQ68" s="88" t="s">
        <v>776</v>
      </c>
      <c r="BR68" t="str">
        <f t="shared" si="4"/>
        <v xml:space="preserve">,`BATCH_NBR` int </v>
      </c>
      <c r="BS68" t="s">
        <v>223</v>
      </c>
      <c r="BT68" t="str">
        <f t="shared" si="5"/>
        <v>,`BATCH_NBR`</v>
      </c>
      <c r="BU68" t="s">
        <v>223</v>
      </c>
      <c r="BV68" s="82" t="str">
        <f t="shared" si="2"/>
        <v>,A.`BATCH_NBR` = B.`BATCH_NBR`</v>
      </c>
      <c r="BW68" t="s">
        <v>223</v>
      </c>
      <c r="BX68" s="82" t="str">
        <f t="shared" si="6"/>
        <v>,`BATCH_NBR`</v>
      </c>
      <c r="BY68" t="s">
        <v>223</v>
      </c>
      <c r="BZ68" s="82" t="str">
        <f t="shared" si="3"/>
        <v>,`BATCH_NBR`</v>
      </c>
      <c r="CA68" t="s">
        <v>223</v>
      </c>
    </row>
    <row r="69" spans="1:79" ht="15" customHeight="1">
      <c r="A69" s="84" t="s">
        <v>560</v>
      </c>
      <c r="B69" s="71">
        <v>9</v>
      </c>
      <c r="C69" s="72"/>
      <c r="D69" s="73" t="s">
        <v>653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5"/>
      <c r="R69" s="73" t="s">
        <v>699</v>
      </c>
      <c r="S69" s="74"/>
      <c r="T69" s="74"/>
      <c r="U69" s="74"/>
      <c r="V69" s="74"/>
      <c r="W69" s="74"/>
      <c r="X69" s="74"/>
      <c r="Y69" s="74"/>
      <c r="Z69" s="74"/>
      <c r="AA69" s="74"/>
      <c r="AB69" s="75"/>
      <c r="AC69" s="251" t="str" cm="1">
        <f t="array" ref="AC69">_xlfn.SWITCH(BM69,"String","varchar("&amp;BN69&amp;")","Long","int","Integer","smallint","Double","decimal(9,2)","Currency","int")</f>
        <v>smallint</v>
      </c>
      <c r="AD69" s="252"/>
      <c r="AE69" s="252"/>
      <c r="AF69" s="252"/>
      <c r="AG69" s="253"/>
      <c r="AH69" s="73"/>
      <c r="AI69" s="75"/>
      <c r="AJ69" s="73"/>
      <c r="AK69" s="74"/>
      <c r="AL69" s="75"/>
      <c r="AM69" s="73"/>
      <c r="AN69" s="74"/>
      <c r="AO69" s="74"/>
      <c r="AP69" s="74"/>
      <c r="AQ69" s="74"/>
      <c r="AR69" s="74"/>
      <c r="AS69" s="75"/>
      <c r="AT69" s="73" t="s">
        <v>470</v>
      </c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5"/>
      <c r="BK69" s="4"/>
      <c r="BM69" t="s">
        <v>451</v>
      </c>
      <c r="BP69" t="str">
        <f t="shared" si="1"/>
        <v>,`SEQ_ID` smallint  COMMENT 'シーケンス番号 現在未使用  ０固定'</v>
      </c>
      <c r="BQ69" s="88" t="s">
        <v>777</v>
      </c>
      <c r="BR69" t="str">
        <f t="shared" si="4"/>
        <v xml:space="preserve">,`SEQ_ID` smallint </v>
      </c>
      <c r="BS69" t="s">
        <v>223</v>
      </c>
      <c r="BT69" t="str">
        <f t="shared" si="5"/>
        <v>,`SEQ_ID`</v>
      </c>
      <c r="BU69" t="s">
        <v>223</v>
      </c>
      <c r="BV69" s="82" t="str">
        <f t="shared" si="2"/>
        <v>,A.`SEQ_ID` = B.`SEQ_ID`</v>
      </c>
      <c r="BW69" t="s">
        <v>223</v>
      </c>
      <c r="BX69" s="82" t="str">
        <f t="shared" si="6"/>
        <v>,`SEQ_ID`</v>
      </c>
      <c r="BY69" t="s">
        <v>223</v>
      </c>
      <c r="BZ69" s="82" t="str">
        <f t="shared" si="3"/>
        <v>,`SEQ_ID`</v>
      </c>
      <c r="CA69" t="s">
        <v>223</v>
      </c>
    </row>
    <row r="70" spans="1:79" ht="15" customHeight="1">
      <c r="A70" s="84" t="s">
        <v>561</v>
      </c>
      <c r="B70" s="71">
        <v>9</v>
      </c>
      <c r="C70" s="72"/>
      <c r="D70" s="73" t="s">
        <v>654</v>
      </c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5"/>
      <c r="R70" s="73" t="s">
        <v>700</v>
      </c>
      <c r="S70" s="74"/>
      <c r="T70" s="74"/>
      <c r="U70" s="74"/>
      <c r="V70" s="74"/>
      <c r="W70" s="74"/>
      <c r="X70" s="74"/>
      <c r="Y70" s="74"/>
      <c r="Z70" s="74"/>
      <c r="AA70" s="74"/>
      <c r="AB70" s="75"/>
      <c r="AC70" s="251" t="str" cm="1">
        <f t="array" ref="AC70">_xlfn.SWITCH(BM70,"String","varchar("&amp;BN70&amp;")","Long","int","Integer","smallint","Double","decimal(9,2)","Currency","int")</f>
        <v>decimal(9,2)</v>
      </c>
      <c r="AD70" s="252"/>
      <c r="AE70" s="252"/>
      <c r="AF70" s="252"/>
      <c r="AG70" s="253"/>
      <c r="AH70" s="73"/>
      <c r="AI70" s="75"/>
      <c r="AJ70" s="73"/>
      <c r="AK70" s="74"/>
      <c r="AL70" s="75"/>
      <c r="AM70" s="73"/>
      <c r="AN70" s="74"/>
      <c r="AO70" s="74"/>
      <c r="AP70" s="74"/>
      <c r="AQ70" s="74"/>
      <c r="AR70" s="74"/>
      <c r="AS70" s="75"/>
      <c r="AT70" s="73" t="s">
        <v>470</v>
      </c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5"/>
      <c r="BK70" s="4"/>
      <c r="BM70" t="s">
        <v>452</v>
      </c>
      <c r="BP70" t="str">
        <f t="shared" si="1"/>
        <v>,`MIN_QTY` decimal(9,2)  COMMENT '成立数量 現在未使用  ０固定'</v>
      </c>
      <c r="BQ70" s="88" t="s">
        <v>778</v>
      </c>
      <c r="BR70" t="str">
        <f t="shared" si="4"/>
        <v xml:space="preserve">,`MIN_QTY` decimal(9,2) </v>
      </c>
      <c r="BS70" t="s">
        <v>223</v>
      </c>
      <c r="BT70" t="str">
        <f t="shared" si="5"/>
        <v>,`MIN_QTY`</v>
      </c>
      <c r="BU70" t="s">
        <v>223</v>
      </c>
      <c r="BV70" s="82" t="str">
        <f t="shared" si="2"/>
        <v>,A.`MIN_QTY` = B.`MIN_QTY`</v>
      </c>
      <c r="BW70" t="s">
        <v>223</v>
      </c>
      <c r="BX70" s="82" t="str">
        <f t="shared" si="6"/>
        <v>,`MIN_QTY`</v>
      </c>
      <c r="BY70" t="s">
        <v>223</v>
      </c>
      <c r="BZ70" s="82" t="str">
        <f t="shared" si="3"/>
        <v>,`MIN_QTY`</v>
      </c>
      <c r="CA70" t="s">
        <v>223</v>
      </c>
    </row>
    <row r="71" spans="1:79" ht="15" customHeight="1">
      <c r="A71" s="84" t="s">
        <v>562</v>
      </c>
      <c r="B71" s="71">
        <v>9</v>
      </c>
      <c r="C71" s="72"/>
      <c r="D71" s="73" t="s">
        <v>655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5"/>
      <c r="R71" s="73" t="s">
        <v>701</v>
      </c>
      <c r="S71" s="74"/>
      <c r="T71" s="74"/>
      <c r="U71" s="74"/>
      <c r="V71" s="74"/>
      <c r="W71" s="74"/>
      <c r="X71" s="74"/>
      <c r="Y71" s="74"/>
      <c r="Z71" s="74"/>
      <c r="AA71" s="74"/>
      <c r="AB71" s="75"/>
      <c r="AC71" s="251" t="str" cm="1">
        <f t="array" ref="AC71">_xlfn.SWITCH(BM71,"String","varchar("&amp;BN71&amp;")","Long","int","Integer","smallint","Double","decimal(9,2)","Currency","int")</f>
        <v>int</v>
      </c>
      <c r="AD71" s="252"/>
      <c r="AE71" s="252"/>
      <c r="AF71" s="252"/>
      <c r="AG71" s="253"/>
      <c r="AH71" s="73"/>
      <c r="AI71" s="75"/>
      <c r="AJ71" s="73"/>
      <c r="AK71" s="74"/>
      <c r="AL71" s="75"/>
      <c r="AM71" s="73"/>
      <c r="AN71" s="74"/>
      <c r="AO71" s="74"/>
      <c r="AP71" s="74"/>
      <c r="AQ71" s="74"/>
      <c r="AR71" s="74"/>
      <c r="AS71" s="75"/>
      <c r="AT71" s="73" t="s">
        <v>470</v>
      </c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5"/>
      <c r="BK71" s="4"/>
      <c r="BM71" t="s">
        <v>453</v>
      </c>
      <c r="BP71" t="str">
        <f t="shared" si="1"/>
        <v>,`MIN_AMT` int  COMMENT '成立価格 現在未使用  ０固定'</v>
      </c>
      <c r="BQ71" s="88" t="s">
        <v>779</v>
      </c>
      <c r="BR71" t="str">
        <f t="shared" si="4"/>
        <v xml:space="preserve">,`MIN_AMT` int </v>
      </c>
      <c r="BS71" t="s">
        <v>223</v>
      </c>
      <c r="BT71" t="str">
        <f t="shared" si="5"/>
        <v>,`MIN_AMT`</v>
      </c>
      <c r="BU71" t="s">
        <v>223</v>
      </c>
      <c r="BV71" s="82" t="str">
        <f t="shared" si="2"/>
        <v>,A.`MIN_AMT` = B.`MIN_AMT`</v>
      </c>
      <c r="BW71" t="s">
        <v>223</v>
      </c>
      <c r="BX71" s="82" t="str">
        <f t="shared" si="6"/>
        <v>,`MIN_AMT`</v>
      </c>
      <c r="BY71" t="s">
        <v>223</v>
      </c>
      <c r="BZ71" s="82" t="str">
        <f t="shared" si="3"/>
        <v>,`MIN_AMT`</v>
      </c>
      <c r="CA71" t="s">
        <v>223</v>
      </c>
    </row>
    <row r="72" spans="1:79" ht="15" customHeight="1">
      <c r="A72" s="84" t="s">
        <v>563</v>
      </c>
      <c r="B72" s="71">
        <v>9</v>
      </c>
      <c r="C72" s="72"/>
      <c r="D72" s="73" t="s">
        <v>656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5"/>
      <c r="R72" s="73" t="s">
        <v>702</v>
      </c>
      <c r="S72" s="74"/>
      <c r="T72" s="74"/>
      <c r="U72" s="74"/>
      <c r="V72" s="74"/>
      <c r="W72" s="74"/>
      <c r="X72" s="74"/>
      <c r="Y72" s="74"/>
      <c r="Z72" s="74"/>
      <c r="AA72" s="74"/>
      <c r="AB72" s="75"/>
      <c r="AC72" s="251" t="str" cm="1">
        <f t="array" ref="AC72">_xlfn.SWITCH(BM72,"String","varchar("&amp;BN72&amp;")","Long","int","Integer","smallint","Double","decimal(9,2)","Currency","int")</f>
        <v>smallint</v>
      </c>
      <c r="AD72" s="252"/>
      <c r="AE72" s="252"/>
      <c r="AF72" s="252"/>
      <c r="AG72" s="253"/>
      <c r="AH72" s="73"/>
      <c r="AI72" s="75"/>
      <c r="AJ72" s="73"/>
      <c r="AK72" s="74"/>
      <c r="AL72" s="75"/>
      <c r="AM72" s="73"/>
      <c r="AN72" s="74"/>
      <c r="AO72" s="74"/>
      <c r="AP72" s="74"/>
      <c r="AQ72" s="74"/>
      <c r="AR72" s="74"/>
      <c r="AS72" s="75"/>
      <c r="AT72" s="73" t="s">
        <v>470</v>
      </c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5"/>
      <c r="BK72" s="4"/>
      <c r="BM72" t="s">
        <v>451</v>
      </c>
      <c r="BP72" t="str">
        <f t="shared" si="1"/>
        <v>,`AUX_CD2` smallint  COMMENT 'ＡＵＸコード２ 現在未使用  ０固定'</v>
      </c>
      <c r="BQ72" s="88" t="s">
        <v>780</v>
      </c>
      <c r="BR72" t="str">
        <f t="shared" si="4"/>
        <v xml:space="preserve">,`AUX_CD2` smallint </v>
      </c>
      <c r="BS72" t="s">
        <v>223</v>
      </c>
      <c r="BT72" t="str">
        <f t="shared" si="5"/>
        <v>,`AUX_CD2`</v>
      </c>
      <c r="BU72" t="s">
        <v>223</v>
      </c>
      <c r="BV72" s="82" t="str">
        <f t="shared" si="2"/>
        <v>,A.`AUX_CD2` = B.`AUX_CD2`</v>
      </c>
      <c r="BW72" t="s">
        <v>223</v>
      </c>
      <c r="BX72" s="82" t="str">
        <f t="shared" si="6"/>
        <v>,`AUX_CD2`</v>
      </c>
      <c r="BY72" t="s">
        <v>223</v>
      </c>
      <c r="BZ72" s="82" t="str">
        <f t="shared" si="3"/>
        <v>,`AUX_CD2`</v>
      </c>
      <c r="CA72" t="s">
        <v>223</v>
      </c>
    </row>
    <row r="73" spans="1:79" ht="15" customHeight="1">
      <c r="A73" s="84" t="s">
        <v>564</v>
      </c>
      <c r="B73" s="71">
        <v>9</v>
      </c>
      <c r="C73" s="72"/>
      <c r="D73" s="73" t="s">
        <v>349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73" t="s">
        <v>443</v>
      </c>
      <c r="S73" s="74"/>
      <c r="T73" s="74"/>
      <c r="U73" s="74"/>
      <c r="V73" s="74"/>
      <c r="W73" s="74"/>
      <c r="X73" s="74"/>
      <c r="Y73" s="74"/>
      <c r="Z73" s="74"/>
      <c r="AA73" s="74"/>
      <c r="AB73" s="75"/>
      <c r="AC73" s="251" t="str" cm="1">
        <f t="array" ref="AC73">_xlfn.SWITCH(BM73,"String","varchar("&amp;BN73&amp;")","Long","int","Integer","smallint","Double","decimal(9,2)","Currency","int")</f>
        <v>int</v>
      </c>
      <c r="AD73" s="252"/>
      <c r="AE73" s="252"/>
      <c r="AF73" s="252"/>
      <c r="AG73" s="253"/>
      <c r="AH73" s="73"/>
      <c r="AI73" s="75"/>
      <c r="AJ73" s="73"/>
      <c r="AK73" s="74"/>
      <c r="AL73" s="75"/>
      <c r="AM73" s="73"/>
      <c r="AN73" s="74"/>
      <c r="AO73" s="74"/>
      <c r="AP73" s="74"/>
      <c r="AQ73" s="74"/>
      <c r="AR73" s="74"/>
      <c r="AS73" s="75"/>
      <c r="AT73" s="73" t="s">
        <v>470</v>
      </c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5"/>
      <c r="BK73" s="4"/>
      <c r="BM73" t="s">
        <v>450</v>
      </c>
      <c r="BP73" t="str">
        <f t="shared" si="1"/>
        <v>,`TNT_ID` int  COMMENT 'テナントコード 現在未使用  ０固定'</v>
      </c>
      <c r="BQ73" s="88" t="s">
        <v>781</v>
      </c>
      <c r="BR73" t="str">
        <f t="shared" si="4"/>
        <v xml:space="preserve">,`TNT_ID` int </v>
      </c>
      <c r="BS73" t="s">
        <v>223</v>
      </c>
      <c r="BT73" t="str">
        <f t="shared" si="5"/>
        <v>,`TNT_ID`</v>
      </c>
      <c r="BU73" t="s">
        <v>223</v>
      </c>
      <c r="BV73" s="82" t="str">
        <f t="shared" si="2"/>
        <v>,A.`TNT_ID` = B.`TNT_ID`</v>
      </c>
      <c r="BW73" t="s">
        <v>223</v>
      </c>
      <c r="BX73" s="82" t="str">
        <f t="shared" si="6"/>
        <v>,`TNT_ID`</v>
      </c>
      <c r="BY73" t="s">
        <v>223</v>
      </c>
      <c r="BZ73" s="82" t="str">
        <f t="shared" si="3"/>
        <v>,`TNT_ID`</v>
      </c>
      <c r="CA73" t="s">
        <v>223</v>
      </c>
    </row>
    <row r="74" spans="1:79" ht="15" customHeight="1">
      <c r="A74" s="84" t="s">
        <v>565</v>
      </c>
      <c r="B74" s="71">
        <v>9</v>
      </c>
      <c r="C74" s="72"/>
      <c r="D74" s="73" t="s">
        <v>657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73" t="s">
        <v>444</v>
      </c>
      <c r="S74" s="74"/>
      <c r="T74" s="74"/>
      <c r="U74" s="74"/>
      <c r="V74" s="74"/>
      <c r="W74" s="74"/>
      <c r="X74" s="74"/>
      <c r="Y74" s="74"/>
      <c r="Z74" s="74"/>
      <c r="AA74" s="74"/>
      <c r="AB74" s="75"/>
      <c r="AC74" s="251" t="str" cm="1">
        <f t="array" ref="AC74">_xlfn.SWITCH(BM74,"String","varchar("&amp;BN74&amp;")","Long","int","Integer","smallint","Double","decimal(9,2)","Currency","int")</f>
        <v>int</v>
      </c>
      <c r="AD74" s="252"/>
      <c r="AE74" s="252"/>
      <c r="AF74" s="252"/>
      <c r="AG74" s="253"/>
      <c r="AH74" s="73"/>
      <c r="AI74" s="75"/>
      <c r="AJ74" s="73"/>
      <c r="AK74" s="74"/>
      <c r="AL74" s="75"/>
      <c r="AM74" s="73"/>
      <c r="AN74" s="74"/>
      <c r="AO74" s="74"/>
      <c r="AP74" s="74"/>
      <c r="AQ74" s="74"/>
      <c r="AR74" s="74"/>
      <c r="AS74" s="75"/>
      <c r="AT74" s="73" t="s">
        <v>470</v>
      </c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5"/>
      <c r="BK74" s="4"/>
      <c r="BM74" t="s">
        <v>450</v>
      </c>
      <c r="BP74" t="str">
        <f t="shared" si="1"/>
        <v>,`PLU_QUAL_TYP2` int  COMMENT 'ＰＬＵ属性２ 現在未使用  ０固定'</v>
      </c>
      <c r="BQ74" s="88" t="s">
        <v>782</v>
      </c>
      <c r="BR74" t="str">
        <f t="shared" si="4"/>
        <v xml:space="preserve">,`PLU_QUAL_TYP2` int </v>
      </c>
      <c r="BS74" t="s">
        <v>223</v>
      </c>
      <c r="BT74" t="str">
        <f t="shared" si="5"/>
        <v>,`PLU_QUAL_TYP2`</v>
      </c>
      <c r="BU74" t="s">
        <v>223</v>
      </c>
      <c r="BV74" s="82" t="str">
        <f t="shared" si="2"/>
        <v>,A.`PLU_QUAL_TYP2` = B.`PLU_QUAL_TYP2`</v>
      </c>
      <c r="BW74" t="s">
        <v>223</v>
      </c>
      <c r="BX74" s="82" t="str">
        <f t="shared" si="6"/>
        <v>,`PLU_QUAL_TYP2`</v>
      </c>
      <c r="BY74" t="s">
        <v>223</v>
      </c>
      <c r="BZ74" s="82" t="str">
        <f t="shared" si="3"/>
        <v>,`PLU_QUAL_TYP2`</v>
      </c>
      <c r="CA74" t="s">
        <v>223</v>
      </c>
    </row>
    <row r="75" spans="1:79" ht="15" customHeight="1">
      <c r="A75" s="84" t="s">
        <v>566</v>
      </c>
      <c r="B75" s="23">
        <v>9</v>
      </c>
      <c r="C75" s="24"/>
      <c r="D75" s="22" t="s">
        <v>658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6"/>
      <c r="R75" s="22" t="s">
        <v>445</v>
      </c>
      <c r="S75" s="25"/>
      <c r="T75" s="25"/>
      <c r="U75" s="25"/>
      <c r="V75" s="25"/>
      <c r="W75" s="25"/>
      <c r="X75" s="25"/>
      <c r="Y75" s="25"/>
      <c r="Z75" s="25"/>
      <c r="AA75" s="25"/>
      <c r="AB75" s="26"/>
      <c r="AC75" s="257" t="str" cm="1">
        <f t="array" ref="AC75">_xlfn.SWITCH(BM75,"String","varchar("&amp;BN75&amp;")","Long","int","Integer","smallint","Double","decimal(9,2)","Currency","int")</f>
        <v>varchar(8)</v>
      </c>
      <c r="AD75" s="258"/>
      <c r="AE75" s="258"/>
      <c r="AF75" s="258"/>
      <c r="AG75" s="259"/>
      <c r="AH75" s="22"/>
      <c r="AI75" s="26"/>
      <c r="AJ75" s="22"/>
      <c r="AK75" s="25"/>
      <c r="AL75" s="26"/>
      <c r="AM75" s="22"/>
      <c r="AN75" s="25"/>
      <c r="AO75" s="25"/>
      <c r="AP75" s="25"/>
      <c r="AQ75" s="25"/>
      <c r="AR75" s="25"/>
      <c r="AS75" s="26"/>
      <c r="AT75" s="22" t="s">
        <v>721</v>
      </c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6"/>
      <c r="BK75" s="4"/>
      <c r="BM75" t="s">
        <v>449</v>
      </c>
      <c r="BN75">
        <v>8</v>
      </c>
      <c r="BP75" t="str">
        <f t="shared" si="1"/>
        <v>,`CRT_DT` varchar(8)  COMMENT '作成日 ＹＹＹＹＭＭＤＤ形式で8桁フルに設定すること'</v>
      </c>
      <c r="BQ75" s="88" t="s">
        <v>783</v>
      </c>
      <c r="BR75" t="str">
        <f t="shared" si="4"/>
        <v xml:space="preserve">,`CRT_DT` varchar(8) </v>
      </c>
      <c r="BS75" t="s">
        <v>223</v>
      </c>
      <c r="BT75" t="str">
        <f t="shared" si="5"/>
        <v>,`CRT_DT`</v>
      </c>
      <c r="BU75" t="s">
        <v>223</v>
      </c>
      <c r="BV75" s="82" t="str">
        <f t="shared" si="2"/>
        <v>,A.`CRT_DT` = B.`CRT_DT`</v>
      </c>
      <c r="BW75" t="s">
        <v>223</v>
      </c>
      <c r="BX75" s="82" t="str">
        <f t="shared" si="6"/>
        <v>,`CRT_DT`</v>
      </c>
      <c r="BY75" t="s">
        <v>223</v>
      </c>
      <c r="BZ75" s="82" t="str">
        <f t="shared" si="3"/>
        <v>,`CRT_DT`</v>
      </c>
      <c r="CA75" t="s">
        <v>223</v>
      </c>
    </row>
    <row r="76" spans="1:79" ht="15" customHeight="1">
      <c r="A76" s="84" t="s">
        <v>567</v>
      </c>
      <c r="B76" s="23">
        <v>9</v>
      </c>
      <c r="C76" s="24"/>
      <c r="D76" s="22" t="s">
        <v>352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6"/>
      <c r="R76" s="22" t="s">
        <v>446</v>
      </c>
      <c r="S76" s="25"/>
      <c r="T76" s="25"/>
      <c r="U76" s="25"/>
      <c r="V76" s="25"/>
      <c r="W76" s="25"/>
      <c r="X76" s="25"/>
      <c r="Y76" s="25"/>
      <c r="Z76" s="25"/>
      <c r="AA76" s="25"/>
      <c r="AB76" s="26"/>
      <c r="AC76" s="257" t="str" cm="1">
        <f t="array" ref="AC76">_xlfn.SWITCH(BM76,"String","varchar("&amp;BN76&amp;")","Long","int","Integer","smallint","Double","decimal(9,2)","Currency","int")</f>
        <v>varchar(8)</v>
      </c>
      <c r="AD76" s="258"/>
      <c r="AE76" s="258"/>
      <c r="AF76" s="258"/>
      <c r="AG76" s="259"/>
      <c r="AH76" s="22"/>
      <c r="AI76" s="26"/>
      <c r="AJ76" s="22"/>
      <c r="AK76" s="25"/>
      <c r="AL76" s="26"/>
      <c r="AM76" s="22"/>
      <c r="AN76" s="25"/>
      <c r="AO76" s="25"/>
      <c r="AP76" s="25"/>
      <c r="AQ76" s="25"/>
      <c r="AR76" s="25"/>
      <c r="AS76" s="26"/>
      <c r="AT76" s="22" t="s">
        <v>721</v>
      </c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6"/>
      <c r="BK76" s="4"/>
      <c r="BM76" t="s">
        <v>449</v>
      </c>
      <c r="BN76">
        <v>8</v>
      </c>
      <c r="BP76" t="str">
        <f t="shared" si="1"/>
        <v>,`PRCS_DT` varchar(8)  COMMENT '処理日 ＹＹＹＹＭＭＤＤ形式で8桁フルに設定すること'</v>
      </c>
      <c r="BQ76" s="88" t="s">
        <v>784</v>
      </c>
      <c r="BR76" t="str">
        <f t="shared" si="4"/>
        <v xml:space="preserve">,`PRCS_DT` varchar(8) </v>
      </c>
      <c r="BS76" t="s">
        <v>223</v>
      </c>
      <c r="BT76" t="str">
        <f t="shared" si="5"/>
        <v>,`PRCS_DT`</v>
      </c>
      <c r="BU76" t="s">
        <v>223</v>
      </c>
      <c r="BV76" s="82" t="str">
        <f t="shared" si="2"/>
        <v>,A.`PRCS_DT` = B.`PRCS_DT`</v>
      </c>
      <c r="BW76" t="s">
        <v>223</v>
      </c>
      <c r="BX76" s="82" t="str">
        <f t="shared" si="6"/>
        <v>,`PRCS_DT`</v>
      </c>
      <c r="BY76" t="s">
        <v>223</v>
      </c>
      <c r="BZ76" s="82" t="str">
        <f t="shared" si="3"/>
        <v>,`PRCS_DT`</v>
      </c>
      <c r="CA76" t="s">
        <v>223</v>
      </c>
    </row>
    <row r="77" spans="1:79" ht="15" customHeight="1">
      <c r="A77" s="84" t="s">
        <v>568</v>
      </c>
      <c r="B77" s="23">
        <v>9</v>
      </c>
      <c r="C77" s="24"/>
      <c r="D77" s="22" t="s">
        <v>659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6"/>
      <c r="R77" s="22" t="s">
        <v>447</v>
      </c>
      <c r="S77" s="25"/>
      <c r="T77" s="25"/>
      <c r="U77" s="25"/>
      <c r="V77" s="25"/>
      <c r="W77" s="25"/>
      <c r="X77" s="25"/>
      <c r="Y77" s="25"/>
      <c r="Z77" s="25"/>
      <c r="AA77" s="25"/>
      <c r="AB77" s="26"/>
      <c r="AC77" s="257" t="str" cm="1">
        <f t="array" ref="AC77">_xlfn.SWITCH(BM77,"String","varchar("&amp;BN77&amp;")","Long","int","Integer","smallint","Double","decimal(9,2)","Currency","int")</f>
        <v>varchar(8)</v>
      </c>
      <c r="AD77" s="258"/>
      <c r="AE77" s="258"/>
      <c r="AF77" s="258"/>
      <c r="AG77" s="259"/>
      <c r="AH77" s="22"/>
      <c r="AI77" s="26"/>
      <c r="AJ77" s="22"/>
      <c r="AK77" s="25"/>
      <c r="AL77" s="26"/>
      <c r="AM77" s="22"/>
      <c r="AN77" s="25"/>
      <c r="AO77" s="25"/>
      <c r="AP77" s="25"/>
      <c r="AQ77" s="25"/>
      <c r="AR77" s="25"/>
      <c r="AS77" s="26"/>
      <c r="AT77" s="22" t="s">
        <v>722</v>
      </c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6"/>
      <c r="BK77" s="4"/>
      <c r="BM77" t="s">
        <v>449</v>
      </c>
      <c r="BN77">
        <v>8</v>
      </c>
      <c r="BP77" t="str">
        <f t="shared" si="1"/>
        <v>,`RCV_DT` varchar(8)  COMMENT '受信日 Ｎｕｌｌ固定  システム内で使用'</v>
      </c>
      <c r="BQ77" s="88" t="s">
        <v>785</v>
      </c>
      <c r="BR77" t="str">
        <f t="shared" si="4"/>
        <v xml:space="preserve">,`RCV_DT` varchar(8) </v>
      </c>
      <c r="BS77" t="s">
        <v>223</v>
      </c>
      <c r="BT77" t="str">
        <f t="shared" si="5"/>
        <v>,`RCV_DT`</v>
      </c>
      <c r="BU77" t="s">
        <v>223</v>
      </c>
      <c r="BV77" s="82" t="str">
        <f t="shared" si="2"/>
        <v>,A.`RCV_DT` = B.`RCV_DT`</v>
      </c>
      <c r="BW77" t="s">
        <v>223</v>
      </c>
      <c r="BX77" s="82" t="str">
        <f t="shared" si="6"/>
        <v>,`RCV_DT`</v>
      </c>
      <c r="BY77" t="s">
        <v>223</v>
      </c>
      <c r="BZ77" s="82" t="str">
        <f t="shared" si="3"/>
        <v>,`RCV_DT`</v>
      </c>
      <c r="CA77" t="s">
        <v>223</v>
      </c>
    </row>
    <row r="78" spans="1:79" ht="15" customHeight="1">
      <c r="A78" s="84" t="s">
        <v>569</v>
      </c>
      <c r="B78" s="23">
        <v>9</v>
      </c>
      <c r="C78" s="24"/>
      <c r="D78" s="22" t="s">
        <v>354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6"/>
      <c r="R78" s="22" t="s">
        <v>448</v>
      </c>
      <c r="S78" s="25"/>
      <c r="T78" s="25"/>
      <c r="U78" s="25"/>
      <c r="V78" s="25"/>
      <c r="W78" s="25"/>
      <c r="X78" s="25"/>
      <c r="Y78" s="25"/>
      <c r="Z78" s="25"/>
      <c r="AA78" s="25"/>
      <c r="AB78" s="26"/>
      <c r="AC78" s="257" t="str" cm="1">
        <f t="array" ref="AC78">_xlfn.SWITCH(BM78,"String","varchar("&amp;BN78&amp;")","Long","int","Integer","smallint","Double","decimal(9,2)","Currency","int")</f>
        <v>varchar(1)</v>
      </c>
      <c r="AD78" s="258"/>
      <c r="AE78" s="258"/>
      <c r="AF78" s="258"/>
      <c r="AG78" s="259"/>
      <c r="AH78" s="22"/>
      <c r="AI78" s="26"/>
      <c r="AJ78" s="22"/>
      <c r="AK78" s="25"/>
      <c r="AL78" s="26"/>
      <c r="AM78" s="22"/>
      <c r="AN78" s="25"/>
      <c r="AO78" s="25"/>
      <c r="AP78" s="25"/>
      <c r="AQ78" s="25"/>
      <c r="AR78" s="25"/>
      <c r="AS78" s="26"/>
      <c r="AT78" s="22" t="s">
        <v>723</v>
      </c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6"/>
      <c r="BK78" s="4"/>
      <c r="BM78" t="s">
        <v>449</v>
      </c>
      <c r="BN78">
        <v>1</v>
      </c>
      <c r="BP78" t="str">
        <f t="shared" si="1"/>
        <v>,`PRCS_FG` varchar(1)  COMMENT '処理フラグ ＊固定  システム内で使用（＊：未処理  １：処理済）'</v>
      </c>
      <c r="BQ78" s="88" t="s">
        <v>786</v>
      </c>
      <c r="BR78" t="str">
        <f t="shared" si="4"/>
        <v xml:space="preserve">,`PRCS_FG` varchar(1) </v>
      </c>
      <c r="BS78" t="s">
        <v>223</v>
      </c>
      <c r="BT78" t="str">
        <f t="shared" si="5"/>
        <v>,`PRCS_FG`</v>
      </c>
      <c r="BU78" t="s">
        <v>223</v>
      </c>
      <c r="BV78" s="82" t="str">
        <f t="shared" si="2"/>
        <v>,A.`PRCS_FG` = B.`PRCS_FG`</v>
      </c>
      <c r="BW78" t="s">
        <v>223</v>
      </c>
      <c r="BX78" s="82" t="str">
        <f t="shared" si="6"/>
        <v>,`PRCS_FG`</v>
      </c>
      <c r="BY78" t="s">
        <v>223</v>
      </c>
      <c r="BZ78" s="82" t="str">
        <f t="shared" si="3"/>
        <v>,`PRCS_FG`</v>
      </c>
      <c r="CA78" t="s">
        <v>223</v>
      </c>
    </row>
    <row r="79" spans="1:79" ht="15" customHeight="1">
      <c r="A79" s="84"/>
      <c r="BK79" s="4"/>
      <c r="BP79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(`STR_ID`,`EVNT_NBR`,`EVNT_BGN_TM`,`EVNT_END_TM`,`PLU_ID`,`MBR_FG`),</v>
      </c>
      <c r="BQ79" s="88" t="s">
        <v>787</v>
      </c>
      <c r="BR79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(`STR_ID`,`EVNT_NBR`,`EVNT_BGN_TM`,`EVNT_END_TM`,`PLU_ID`,`MBR_FG`)</v>
      </c>
      <c r="BS79" t="s">
        <v>223</v>
      </c>
      <c r="BT79" s="82" t="s">
        <v>226</v>
      </c>
      <c r="BU79" t="s">
        <v>223</v>
      </c>
      <c r="BV79" s="82" t="s">
        <v>231</v>
      </c>
      <c r="BW79" t="s">
        <v>223</v>
      </c>
      <c r="BY79" t="s">
        <v>223</v>
      </c>
      <c r="BZ79" s="82" t="str">
        <f>"FROM `TMP`.`"&amp;$G$10&amp;"` A"</f>
        <v>FROM `TMP`.`GHDISCOUNTM` A</v>
      </c>
      <c r="CA79" t="s">
        <v>223</v>
      </c>
    </row>
    <row r="80" spans="1:79" ht="15" customHeight="1">
      <c r="A80" s="84"/>
      <c r="BK80" s="4"/>
      <c r="BP80" s="82" t="s">
        <v>222</v>
      </c>
      <c r="BQ80" s="88" t="s">
        <v>788</v>
      </c>
      <c r="BR80" s="82" t="str">
        <f>") ENGINE=InnoDB DEFAULT CHARSET=utf8mb4 COLLATE=utf8mb4_0900_ai_ci COMMENT = '"&amp;$G$9&amp;"_TMP';"</f>
        <v>) ENGINE=InnoDB DEFAULT CHARSET=utf8mb4 COLLATE=utf8mb4_0900_ai_ci COMMENT = '特売メンテ_TMP';</v>
      </c>
      <c r="BS80" t="s">
        <v>223</v>
      </c>
      <c r="BU80" t="s">
        <v>223</v>
      </c>
      <c r="BV80" s="82" t="str">
        <f>IF(_xlfn.XLOOKUP(1,$AH:$AH,$R:$R,"",0)="","","A.`"&amp;_xlfn.XLOOKUP(1,$AH:$AH,$R:$R,"",0)&amp;"` = B.`"&amp;_xlfn.XLOOKUP(1,$AH:$AH,$R:$R,"",0)&amp;"`")</f>
        <v>A.`STR_ID` = B.`STR_ID`</v>
      </c>
      <c r="BW80" t="s">
        <v>223</v>
      </c>
      <c r="BY80" t="s">
        <v>223</v>
      </c>
      <c r="BZ80" s="82" t="s">
        <v>232</v>
      </c>
      <c r="CA80" t="s">
        <v>223</v>
      </c>
    </row>
    <row r="81" spans="1:79" ht="15" customHeight="1">
      <c r="A81" s="84"/>
      <c r="B81" s="36" t="s">
        <v>47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4"/>
      <c r="BP81" s="82" t="str">
        <f>") ENGINE=InnoDB DEFAULT CHARSET=utf8mb4 COLLATE=utf8mb4_0900_ai_ci COMMENT = '"&amp;$G$9&amp;"';"</f>
        <v>) ENGINE=InnoDB DEFAULT CHARSET=utf8mb4 COLLATE=utf8mb4_0900_ai_ci COMMENT = '特売メンテ';</v>
      </c>
      <c r="BQ81" s="88" t="s">
        <v>789</v>
      </c>
      <c r="BS81" t="s">
        <v>223</v>
      </c>
      <c r="BU81" t="s">
        <v>223</v>
      </c>
      <c r="BV81" s="82" t="str">
        <f>IF(_xlfn.XLOOKUP(2,$AH:$AH,$R:$R,"",0)="","","AND A.`"&amp;_xlfn.XLOOKUP(2,$AH:$AH,$R:$R,"",0)&amp;"` = B.`"&amp;_xlfn.XLOOKUP(2,$AH:$AH,$R:$R,"",0)&amp;"`")</f>
        <v>AND A.`EVNT_NBR` = B.`EVNT_NBR`</v>
      </c>
      <c r="BW81" t="s">
        <v>223</v>
      </c>
      <c r="BY81" t="s">
        <v>223</v>
      </c>
      <c r="BZ81" s="82" t="str">
        <f>"FROM `REPLICA_KASUMI`.`"&amp;$G$10&amp;"` B"</f>
        <v>FROM `REPLICA_KASUMI`.`GHDISCOUNTM` B</v>
      </c>
      <c r="CA81" t="s">
        <v>223</v>
      </c>
    </row>
    <row r="82" spans="1:79" ht="15" customHeight="1">
      <c r="A82" s="84"/>
      <c r="B82" s="33" t="s">
        <v>48</v>
      </c>
      <c r="C82" s="34"/>
      <c r="D82" s="33" t="s">
        <v>49</v>
      </c>
      <c r="E82" s="43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4"/>
      <c r="R82" s="33" t="s">
        <v>50</v>
      </c>
      <c r="S82" s="43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4"/>
      <c r="AL82" s="33" t="s">
        <v>51</v>
      </c>
      <c r="AM82" s="35"/>
      <c r="AN82" s="35"/>
      <c r="AO82" s="44"/>
      <c r="AP82" s="33" t="s">
        <v>52</v>
      </c>
      <c r="AQ82" s="35"/>
      <c r="AR82" s="35"/>
      <c r="AS82" s="34"/>
      <c r="AT82" s="33" t="s">
        <v>46</v>
      </c>
      <c r="AU82" s="43"/>
      <c r="AV82" s="43"/>
      <c r="AW82" s="35"/>
      <c r="AX82" s="35"/>
      <c r="AY82" s="43"/>
      <c r="AZ82" s="35"/>
      <c r="BA82" s="35"/>
      <c r="BB82" s="35"/>
      <c r="BC82" s="35"/>
      <c r="BD82" s="35"/>
      <c r="BE82" s="35"/>
      <c r="BF82" s="35"/>
      <c r="BG82" s="35"/>
      <c r="BH82" s="35"/>
      <c r="BI82" s="43"/>
      <c r="BJ82" s="34"/>
      <c r="BK82" s="4"/>
      <c r="BP82" s="82"/>
      <c r="BQ82" s="88"/>
      <c r="BS82" t="s">
        <v>223</v>
      </c>
      <c r="BU82" t="s">
        <v>223</v>
      </c>
      <c r="BV82" s="82" t="str">
        <f>IF(_xlfn.XLOOKUP(3,$AH:$AH,$R:$R,"",0)="","","AND A.`"&amp;_xlfn.XLOOKUP(3,$AH:$AH,$R:$R,"",0)&amp;"` = B.`"&amp;_xlfn.XLOOKUP(3,$AH:$AH,$R:$R,"",0)&amp;"`")</f>
        <v>AND A.`EVNT_BGN_TM` = B.`EVNT_BGN_TM`</v>
      </c>
      <c r="BW82" t="s">
        <v>223</v>
      </c>
      <c r="BY82" t="s">
        <v>223</v>
      </c>
      <c r="BZ82" s="82" t="s">
        <v>229</v>
      </c>
      <c r="CA82" t="s">
        <v>223</v>
      </c>
    </row>
    <row r="83" spans="1:79" ht="15" customHeight="1">
      <c r="A83" s="84"/>
      <c r="B83" s="37">
        <v>1</v>
      </c>
      <c r="C83" s="38"/>
      <c r="D83" s="37" t="s">
        <v>53</v>
      </c>
      <c r="E83" s="45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8"/>
      <c r="R83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`STR_ID`,`EVNT_NBR`,`EVNT_BGN_TM`,`EVNT_END_TM`,`PLU_ID`,`MBR_FG`</v>
      </c>
      <c r="S83" s="45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8"/>
      <c r="AL83" s="37" t="s">
        <v>224</v>
      </c>
      <c r="AM83" s="39"/>
      <c r="AN83" s="39"/>
      <c r="AO83" s="46"/>
      <c r="AP83" s="37" t="s">
        <v>224</v>
      </c>
      <c r="AQ83" s="39"/>
      <c r="AR83" s="39"/>
      <c r="AS83" s="38"/>
      <c r="AT83" s="37"/>
      <c r="AU83" s="45"/>
      <c r="AV83" s="45"/>
      <c r="AW83" s="39"/>
      <c r="AX83" s="39"/>
      <c r="AY83" s="45"/>
      <c r="AZ83" s="39"/>
      <c r="BA83" s="39"/>
      <c r="BB83" s="39"/>
      <c r="BC83" s="39"/>
      <c r="BD83" s="39"/>
      <c r="BE83" s="39"/>
      <c r="BF83" s="39"/>
      <c r="BG83" s="39"/>
      <c r="BH83" s="39"/>
      <c r="BI83" s="45"/>
      <c r="BJ83" s="38"/>
      <c r="BK83" s="4"/>
      <c r="BP83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`GHDISCOUNTM_CR_Date_Time` BEFORE INSERT ON `GHDISCOUNTM` FOR EACH ROW SET NEW.record_create_date = CURRENT_DATE, NEW.record_create_time = CURRENT_TIME, NEW.record_update_date = CURRENT_DATE, NEW.record_update_time = CURRENT_TIME;</v>
      </c>
      <c r="BQ83" s="88" t="s">
        <v>790</v>
      </c>
      <c r="BS83" t="s">
        <v>223</v>
      </c>
      <c r="BU83" t="s">
        <v>223</v>
      </c>
      <c r="BV83" s="82" t="str">
        <f>IF(_xlfn.XLOOKUP(4,$AH:$AH,$R:$R,"",0)="","","AND A.`"&amp;_xlfn.XLOOKUP(4,$AH:$AH,$R:$R,"",0)&amp;"` = B.`"&amp;_xlfn.XLOOKUP(4,$AH:$AH,$R:$R,"",0)&amp;"`")</f>
        <v>AND A.`EVNT_END_TM` = B.`EVNT_END_TM`</v>
      </c>
      <c r="BW83" t="s">
        <v>223</v>
      </c>
      <c r="BY83" t="s">
        <v>223</v>
      </c>
      <c r="BZ83" s="82" t="str">
        <f>IF(_xlfn.XLOOKUP(1,$AH:$AH,$R:$R,"",0)="","","A.`"&amp;_xlfn.XLOOKUP(1,$AH:$AH,$R:$R,"",0)&amp;"` = B.`"&amp;_xlfn.XLOOKUP(1,$AH:$AH,$R:$R,"",0)&amp;"`")</f>
        <v>A.`STR_ID` = B.`STR_ID`</v>
      </c>
      <c r="CA83" t="s">
        <v>223</v>
      </c>
    </row>
    <row r="84" spans="1:79" ht="15" customHeight="1">
      <c r="A84" s="84"/>
      <c r="BK84" s="4"/>
      <c r="BP84" s="82" t="str">
        <f>"CREATE TRIGGER `"&amp;$G$10&amp;"_UP_Date_Time` BEFORE UPDATE ON `"&amp;$G$10&amp;"` FOR EACH ROW SET NEW.record_update_date = CURRENT_DATE, NEW.record_update_time = CURRENT_TIME;"</f>
        <v>CREATE TRIGGER `GHDISCOUNTM_UP_Date_Time` BEFORE UPDATE ON `GHDISCOUNTM` FOR EACH ROW SET NEW.record_update_date = CURRENT_DATE, NEW.record_update_time = CURRENT_TIME;</v>
      </c>
      <c r="BQ84" s="88"/>
      <c r="BS84" t="s">
        <v>223</v>
      </c>
      <c r="BU84" t="s">
        <v>223</v>
      </c>
      <c r="BV84" s="82" t="str">
        <f>IF(_xlfn.XLOOKUP(5,$AH:$AH,$R:$R,"",0)="","","AND A.`"&amp;_xlfn.XLOOKUP(5,$AH:$AH,$R:$R,"",0)&amp;"` = B.`"&amp;_xlfn.XLOOKUP(5,$AH:$AH,$R:$R,"",0)&amp;"`")</f>
        <v>AND A.`PLU_ID` = B.`PLU_ID`</v>
      </c>
      <c r="BW84" t="s">
        <v>223</v>
      </c>
      <c r="BY84" t="s">
        <v>223</v>
      </c>
      <c r="BZ84" s="82" t="str">
        <f>IF(_xlfn.XLOOKUP(2,$AH:$AH,$R:$R,"",0)="","","AND A.`"&amp;_xlfn.XLOOKUP(2,$AH:$AH,$R:$R,"",0)&amp;"` = B.`"&amp;_xlfn.XLOOKUP(2,$AH:$AH,$R:$R,"",0)&amp;"`")</f>
        <v>AND A.`EVNT_NBR` = B.`EVNT_NBR`</v>
      </c>
      <c r="CA84" t="s">
        <v>223</v>
      </c>
    </row>
    <row r="85" spans="1:79" ht="15" customHeight="1">
      <c r="A85" s="84"/>
      <c r="BK85" s="4"/>
      <c r="BQ85" s="88" t="s">
        <v>791</v>
      </c>
      <c r="BS85" t="s">
        <v>223</v>
      </c>
      <c r="BU85" t="s">
        <v>223</v>
      </c>
      <c r="BV85" s="82" t="str">
        <f>IF(_xlfn.XLOOKUP(6,$AH:$AH,$R:$R,"",0)="","","AND A.`"&amp;_xlfn.XLOOKUP(6,$AH:$AH,$R:$R,"",0)&amp;"` = B.`"&amp;_xlfn.XLOOKUP(6,$AH:$AH,$R:$R,"",0)&amp;"`")</f>
        <v>AND A.`MBR_FG` = B.`MBR_FG`</v>
      </c>
      <c r="BW85" t="s">
        <v>223</v>
      </c>
      <c r="BY85" t="s">
        <v>223</v>
      </c>
      <c r="BZ85" s="82" t="str">
        <f>IF(_xlfn.XLOOKUP(3,$AH:$AH,$R:$R,"",0)="","","AND A.`"&amp;_xlfn.XLOOKUP(3,$AH:$AH,$R:$R,"",0)&amp;"` = B.`"&amp;_xlfn.XLOOKUP(3,$AH:$AH,$R:$R,"",0)&amp;"`")</f>
        <v>AND A.`EVNT_BGN_TM` = B.`EVNT_BGN_TM`</v>
      </c>
      <c r="CA85" t="s">
        <v>223</v>
      </c>
    </row>
    <row r="86" spans="1:79" ht="15" customHeight="1">
      <c r="A86" s="84"/>
      <c r="B86" s="36" t="s">
        <v>32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4"/>
      <c r="BQ86" t="s">
        <v>223</v>
      </c>
      <c r="BS86" t="s">
        <v>223</v>
      </c>
      <c r="BU86" t="s">
        <v>223</v>
      </c>
      <c r="BV86" s="82" t="str">
        <f>IF(_xlfn.XLOOKUP(7,$AH:$AH,$R:$R,"",0)="","","AND A.`"&amp;_xlfn.XLOOKUP(7,$AH:$AH,$R:$R,"",0)&amp;"` = B.`"&amp;_xlfn.XLOOKUP(7,$AH:$AH,$R:$R,"",0)&amp;"`")</f>
        <v/>
      </c>
      <c r="BW86" t="s">
        <v>223</v>
      </c>
      <c r="BY86" t="s">
        <v>223</v>
      </c>
      <c r="BZ86" s="82" t="str">
        <f>IF(_xlfn.XLOOKUP(4,$AH:$AH,$R:$R,"",0)="","","AND A.`"&amp;_xlfn.XLOOKUP(4,$AH:$AH,$R:$R,"",0)&amp;"` = B.`"&amp;_xlfn.XLOOKUP(4,$AH:$AH,$R:$R,"",0)&amp;"`")</f>
        <v>AND A.`EVNT_END_TM` = B.`EVNT_END_TM`</v>
      </c>
      <c r="CA86" t="s">
        <v>223</v>
      </c>
    </row>
    <row r="87" spans="1:79" ht="15" customHeight="1">
      <c r="A87" s="84"/>
      <c r="B87" s="33" t="s">
        <v>33</v>
      </c>
      <c r="C87" s="44"/>
      <c r="D87" s="33" t="s">
        <v>34</v>
      </c>
      <c r="E87" s="43"/>
      <c r="F87" s="43"/>
      <c r="G87" s="43"/>
      <c r="H87" s="43"/>
      <c r="I87" s="43"/>
      <c r="J87" s="43"/>
      <c r="K87" s="43"/>
      <c r="L87" s="35"/>
      <c r="M87" s="35"/>
      <c r="N87" s="35"/>
      <c r="O87" s="35"/>
      <c r="P87" s="35"/>
      <c r="Q87" s="34"/>
      <c r="R87" s="33" t="s">
        <v>35</v>
      </c>
      <c r="S87" s="35"/>
      <c r="T87" s="44"/>
      <c r="U87" s="33" t="s">
        <v>36</v>
      </c>
      <c r="V87" s="35"/>
      <c r="W87" s="43"/>
      <c r="X87" s="44"/>
      <c r="Y87" s="33" t="s">
        <v>37</v>
      </c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4"/>
      <c r="BK87" s="4"/>
      <c r="BQ87" t="s">
        <v>223</v>
      </c>
      <c r="BS87" t="s">
        <v>223</v>
      </c>
      <c r="BU87" t="s">
        <v>223</v>
      </c>
      <c r="BV87" s="82" t="str">
        <f>IF(_xlfn.XLOOKUP(8,$AH:$AH,$R:$R,"",0)="","","AND A.`"&amp;_xlfn.XLOOKUP(8,$AH:$AH,$R:$R,"",0)&amp;"` = B.`"&amp;_xlfn.XLOOKUP(8,$AH:$AH,$R:$R,"",0)&amp;"`")</f>
        <v/>
      </c>
      <c r="BW87" t="s">
        <v>223</v>
      </c>
      <c r="BY87" t="s">
        <v>223</v>
      </c>
      <c r="BZ87" s="82" t="str">
        <f>IF(_xlfn.XLOOKUP(5,$AH:$AH,$R:$R,"",0)="","","AND A.`"&amp;_xlfn.XLOOKUP(5,$AH:$AH,$R:$R,"",0)&amp;"` = B.`"&amp;_xlfn.XLOOKUP(5,$AH:$AH,$R:$R,"",0)&amp;"`")</f>
        <v>AND A.`PLU_ID` = B.`PLU_ID`</v>
      </c>
      <c r="CA87" t="s">
        <v>223</v>
      </c>
    </row>
    <row r="88" spans="1:79" ht="15" customHeight="1">
      <c r="A88" s="84"/>
      <c r="B88" s="40">
        <v>1</v>
      </c>
      <c r="C88" s="46"/>
      <c r="D88" s="40" t="str">
        <f>G10&amp;"_"&amp;R88&amp;"_"&amp;"trg"</f>
        <v>GHDISCOUNTM_update_trg</v>
      </c>
      <c r="E88" s="45"/>
      <c r="F88" s="45"/>
      <c r="G88" s="45"/>
      <c r="H88" s="45"/>
      <c r="I88" s="45"/>
      <c r="J88" s="45"/>
      <c r="K88" s="45"/>
      <c r="L88" s="41"/>
      <c r="M88" s="41"/>
      <c r="N88" s="41"/>
      <c r="O88" s="41"/>
      <c r="P88" s="41"/>
      <c r="Q88" s="42"/>
      <c r="R88" s="40" t="s">
        <v>38</v>
      </c>
      <c r="S88" s="41"/>
      <c r="T88" s="46"/>
      <c r="U88" s="40" t="s">
        <v>39</v>
      </c>
      <c r="V88" s="41"/>
      <c r="W88" s="45"/>
      <c r="X88" s="46"/>
      <c r="Y88" s="40" t="s">
        <v>40</v>
      </c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2"/>
      <c r="BK88" s="4"/>
      <c r="BQ88" t="s">
        <v>223</v>
      </c>
      <c r="BS88" t="s">
        <v>223</v>
      </c>
      <c r="BU88" t="s">
        <v>223</v>
      </c>
      <c r="BV88" s="82" t="s">
        <v>233</v>
      </c>
      <c r="BW88" t="s">
        <v>223</v>
      </c>
      <c r="BY88" t="s">
        <v>223</v>
      </c>
      <c r="BZ88" s="82" t="str">
        <f>IF(_xlfn.XLOOKUP(6,$AH:$AH,$R:$R,"",0)="","","AND A.`"&amp;_xlfn.XLOOKUP(6,$AH:$AH,$R:$R,"",0)&amp;"` = B.`"&amp;_xlfn.XLOOKUP(6,$AH:$AH,$R:$R,"",0)&amp;"`")</f>
        <v>AND A.`MBR_FG` = B.`MBR_FG`</v>
      </c>
      <c r="CA88" t="s">
        <v>223</v>
      </c>
    </row>
    <row r="89" spans="1:79" ht="15" customHeight="1">
      <c r="A89" s="84"/>
      <c r="BK89" s="4"/>
      <c r="BQ89" t="s">
        <v>223</v>
      </c>
      <c r="BS89" t="s">
        <v>223</v>
      </c>
      <c r="BU89" t="s">
        <v>223</v>
      </c>
      <c r="BW89" t="s">
        <v>223</v>
      </c>
      <c r="BY89" t="s">
        <v>223</v>
      </c>
      <c r="BZ89" s="82" t="str">
        <f>IF(_xlfn.XLOOKUP(7,$AH:$AH,$R:$R,"",0)="","","AND A.`"&amp;_xlfn.XLOOKUP(7,$AH:$AH,$R:$R,"",0)&amp;"` = B.`"&amp;_xlfn.XLOOKUP(7,$AH:$AH,$R:$R,"",0)&amp;"`")</f>
        <v/>
      </c>
      <c r="CA89" t="s">
        <v>223</v>
      </c>
    </row>
    <row r="90" spans="1:79" ht="15" customHeight="1">
      <c r="A90" s="84"/>
      <c r="BK90" s="4"/>
      <c r="BQ90" t="s">
        <v>223</v>
      </c>
      <c r="BS90" t="s">
        <v>223</v>
      </c>
      <c r="BU90" t="s">
        <v>223</v>
      </c>
      <c r="BW90" t="s">
        <v>223</v>
      </c>
      <c r="BY90" t="s">
        <v>223</v>
      </c>
      <c r="BZ90" s="82" t="str">
        <f>IF(_xlfn.XLOOKUP(8,$AH:$AH,$R:$R,"",0)="","","AND A.`"&amp;_xlfn.XLOOKUP(8,$AH:$AH,$R:$R,"",0)&amp;"` = B.`"&amp;_xlfn.XLOOKUP(8,$AH:$AH,$R:$R,"",0)&amp;"`")</f>
        <v/>
      </c>
      <c r="CA90" t="s">
        <v>223</v>
      </c>
    </row>
    <row r="91" spans="1:79" ht="15" customHeight="1">
      <c r="A91" s="84"/>
      <c r="BK91" s="4"/>
      <c r="BQ91" t="s">
        <v>223</v>
      </c>
      <c r="BS91" t="s">
        <v>223</v>
      </c>
      <c r="BU91" t="s">
        <v>223</v>
      </c>
      <c r="BW91" t="s">
        <v>223</v>
      </c>
      <c r="BY91" t="s">
        <v>223</v>
      </c>
      <c r="BZ91" s="82" t="s">
        <v>226</v>
      </c>
      <c r="CA91" t="s">
        <v>223</v>
      </c>
    </row>
    <row r="92" spans="1:79" ht="15" customHeight="1">
      <c r="A92" s="84"/>
      <c r="BK92" s="4"/>
      <c r="BQ92" t="s">
        <v>223</v>
      </c>
      <c r="BS92" t="s">
        <v>223</v>
      </c>
      <c r="BU92" t="s">
        <v>223</v>
      </c>
      <c r="BW92" t="s">
        <v>223</v>
      </c>
      <c r="BY92" t="s">
        <v>223</v>
      </c>
      <c r="CA92" t="s">
        <v>223</v>
      </c>
    </row>
    <row r="93" spans="1:79" ht="15" customHeight="1">
      <c r="A93" s="84"/>
      <c r="BK93" s="4"/>
      <c r="BQ93" t="s">
        <v>223</v>
      </c>
      <c r="BS93" t="s">
        <v>223</v>
      </c>
      <c r="BU93" t="s">
        <v>223</v>
      </c>
      <c r="BW93" t="s">
        <v>223</v>
      </c>
      <c r="BY93" t="s">
        <v>223</v>
      </c>
      <c r="BZ93" s="83"/>
      <c r="CA93" t="s">
        <v>223</v>
      </c>
    </row>
    <row r="94" spans="1:79" ht="15" customHeight="1">
      <c r="A94" s="84"/>
      <c r="BK94" s="4"/>
      <c r="BQ94" t="s">
        <v>223</v>
      </c>
      <c r="BS94" t="s">
        <v>223</v>
      </c>
      <c r="BU94" t="s">
        <v>223</v>
      </c>
      <c r="BW94" t="s">
        <v>223</v>
      </c>
      <c r="BY94" t="s">
        <v>223</v>
      </c>
      <c r="BZ94" t="str">
        <f>"DROP TABLE IF EXISTS `TMP`.`"&amp;$G$10&amp;"`;"</f>
        <v>DROP TABLE IF EXISTS `TMP`.`GHDISCOUNTM`;</v>
      </c>
      <c r="CA94" t="s">
        <v>223</v>
      </c>
    </row>
    <row r="95" spans="1:79" ht="15" customHeight="1">
      <c r="A95" s="84"/>
      <c r="BK95" s="4"/>
      <c r="BQ95" t="s">
        <v>223</v>
      </c>
      <c r="BS95" t="s">
        <v>223</v>
      </c>
      <c r="BU95" t="s">
        <v>223</v>
      </c>
      <c r="BW95" t="s">
        <v>223</v>
      </c>
      <c r="BY95" t="s">
        <v>223</v>
      </c>
      <c r="BZ95" t="s">
        <v>234</v>
      </c>
      <c r="CA95" t="s">
        <v>223</v>
      </c>
    </row>
    <row r="96" spans="1:79" ht="15" customHeight="1">
      <c r="A96" s="84"/>
      <c r="BK96" s="4"/>
      <c r="BQ96" t="s">
        <v>223</v>
      </c>
      <c r="BS96" t="s">
        <v>223</v>
      </c>
      <c r="BU96" t="s">
        <v>223</v>
      </c>
      <c r="BW96" t="s">
        <v>223</v>
      </c>
      <c r="BY96" t="s">
        <v>223</v>
      </c>
      <c r="CA96" t="s">
        <v>223</v>
      </c>
    </row>
    <row r="97" spans="1:79" ht="15" customHeight="1">
      <c r="A97" s="84"/>
      <c r="BK97" s="4"/>
      <c r="BQ97" t="s">
        <v>223</v>
      </c>
      <c r="BS97" t="s">
        <v>223</v>
      </c>
      <c r="BU97" t="s">
        <v>223</v>
      </c>
      <c r="BW97" t="s">
        <v>223</v>
      </c>
      <c r="BY97" t="s">
        <v>223</v>
      </c>
      <c r="CA97" t="s">
        <v>223</v>
      </c>
    </row>
    <row r="98" spans="1:79" ht="15" customHeight="1">
      <c r="A98" s="84"/>
      <c r="BK98" s="4"/>
      <c r="BQ98" t="s">
        <v>223</v>
      </c>
      <c r="BS98" t="s">
        <v>223</v>
      </c>
      <c r="BU98" t="s">
        <v>223</v>
      </c>
      <c r="BW98" t="s">
        <v>223</v>
      </c>
      <c r="BY98" t="s">
        <v>223</v>
      </c>
      <c r="CA98" t="s">
        <v>223</v>
      </c>
    </row>
    <row r="99" spans="1:79" ht="15" customHeight="1">
      <c r="A99" s="84"/>
      <c r="BK99" s="4"/>
      <c r="BQ99" t="s">
        <v>223</v>
      </c>
      <c r="BS99" t="s">
        <v>223</v>
      </c>
      <c r="BU99" t="s">
        <v>223</v>
      </c>
      <c r="BW99" t="s">
        <v>223</v>
      </c>
      <c r="BY99" t="s">
        <v>223</v>
      </c>
      <c r="CA99" t="s">
        <v>223</v>
      </c>
    </row>
    <row r="100" spans="1:79" ht="15" customHeight="1">
      <c r="A100" s="8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5"/>
      <c r="BQ100" t="s">
        <v>223</v>
      </c>
      <c r="BS100" t="s">
        <v>223</v>
      </c>
      <c r="BU100" t="s">
        <v>223</v>
      </c>
      <c r="BV100" s="82" t="str">
        <f t="shared" ref="BV100:BV107" si="7">",A.`"&amp;R100&amp;"` = B.`"&amp;R100&amp;"`"</f>
        <v>,A.`` = B.``</v>
      </c>
      <c r="BW100" t="s">
        <v>223</v>
      </c>
      <c r="BX100" s="82" t="str">
        <f t="shared" ref="BX100:BX107" si="8">",`"&amp;R100&amp;"`"</f>
        <v>,``</v>
      </c>
      <c r="BY100" t="s">
        <v>223</v>
      </c>
      <c r="BZ100" s="82" t="str">
        <f t="shared" si="3"/>
        <v>,``</v>
      </c>
      <c r="CA100" t="s">
        <v>223</v>
      </c>
    </row>
    <row r="101" spans="1:79">
      <c r="A101" s="84"/>
      <c r="BQ101" t="s">
        <v>223</v>
      </c>
      <c r="BS101" t="s">
        <v>223</v>
      </c>
      <c r="BU101" t="s">
        <v>223</v>
      </c>
      <c r="BV101" s="82" t="str">
        <f t="shared" si="7"/>
        <v>,A.`` = B.``</v>
      </c>
      <c r="BW101" t="s">
        <v>223</v>
      </c>
      <c r="BX101" s="82" t="str">
        <f t="shared" si="8"/>
        <v>,``</v>
      </c>
      <c r="BY101" t="s">
        <v>223</v>
      </c>
      <c r="BZ101" s="82" t="str">
        <f t="shared" si="3"/>
        <v>,``</v>
      </c>
      <c r="CA101" t="s">
        <v>223</v>
      </c>
    </row>
    <row r="102" spans="1:79">
      <c r="A102" s="84"/>
      <c r="BQ102" t="s">
        <v>223</v>
      </c>
      <c r="BS102" t="s">
        <v>223</v>
      </c>
      <c r="BU102" t="s">
        <v>223</v>
      </c>
      <c r="BV102" s="82" t="str">
        <f t="shared" si="7"/>
        <v>,A.`` = B.``</v>
      </c>
      <c r="BW102" t="s">
        <v>223</v>
      </c>
      <c r="BX102" s="82" t="str">
        <f t="shared" si="8"/>
        <v>,``</v>
      </c>
      <c r="BY102" t="s">
        <v>223</v>
      </c>
      <c r="BZ102" s="82" t="str">
        <f t="shared" si="3"/>
        <v>,``</v>
      </c>
      <c r="CA102" t="s">
        <v>223</v>
      </c>
    </row>
    <row r="103" spans="1:79">
      <c r="A103" s="84"/>
      <c r="BQ103" t="s">
        <v>223</v>
      </c>
      <c r="BS103" t="s">
        <v>223</v>
      </c>
      <c r="BU103" t="s">
        <v>223</v>
      </c>
      <c r="BV103" s="82" t="str">
        <f t="shared" si="7"/>
        <v>,A.`` = B.``</v>
      </c>
      <c r="BW103" t="s">
        <v>223</v>
      </c>
      <c r="BX103" s="82" t="str">
        <f t="shared" si="8"/>
        <v>,``</v>
      </c>
      <c r="BY103" t="s">
        <v>223</v>
      </c>
      <c r="BZ103" s="82" t="str">
        <f t="shared" si="3"/>
        <v>,``</v>
      </c>
      <c r="CA103" t="s">
        <v>223</v>
      </c>
    </row>
    <row r="104" spans="1:79">
      <c r="A104" s="84"/>
      <c r="BQ104" t="s">
        <v>223</v>
      </c>
      <c r="BS104" t="s">
        <v>223</v>
      </c>
      <c r="BU104" t="s">
        <v>223</v>
      </c>
      <c r="BV104" s="82" t="str">
        <f t="shared" si="7"/>
        <v>,A.`` = B.``</v>
      </c>
      <c r="BW104" t="s">
        <v>223</v>
      </c>
      <c r="BX104" s="82" t="str">
        <f t="shared" si="8"/>
        <v>,``</v>
      </c>
      <c r="BY104" t="s">
        <v>223</v>
      </c>
      <c r="BZ104" s="82" t="str">
        <f t="shared" si="3"/>
        <v>,``</v>
      </c>
      <c r="CA104" t="s">
        <v>223</v>
      </c>
    </row>
    <row r="105" spans="1:79">
      <c r="A105" s="84"/>
      <c r="BQ105" t="s">
        <v>223</v>
      </c>
      <c r="BS105" t="s">
        <v>223</v>
      </c>
      <c r="BU105" t="s">
        <v>223</v>
      </c>
      <c r="BV105" s="82" t="str">
        <f t="shared" si="7"/>
        <v>,A.`` = B.``</v>
      </c>
      <c r="BW105" t="s">
        <v>223</v>
      </c>
      <c r="BX105" s="82" t="str">
        <f t="shared" si="8"/>
        <v>,``</v>
      </c>
      <c r="BY105" t="s">
        <v>223</v>
      </c>
      <c r="BZ105" s="82" t="str">
        <f t="shared" si="3"/>
        <v>,``</v>
      </c>
      <c r="CA105" t="s">
        <v>223</v>
      </c>
    </row>
    <row r="106" spans="1:79">
      <c r="A106" s="84"/>
      <c r="BQ106" t="s">
        <v>223</v>
      </c>
      <c r="BS106" t="s">
        <v>223</v>
      </c>
      <c r="BU106" t="s">
        <v>223</v>
      </c>
      <c r="BV106" s="82" t="str">
        <f t="shared" si="7"/>
        <v>,A.`` = B.``</v>
      </c>
      <c r="BW106" t="s">
        <v>223</v>
      </c>
      <c r="BX106" s="82" t="str">
        <f t="shared" si="8"/>
        <v>,``</v>
      </c>
      <c r="BY106" t="s">
        <v>223</v>
      </c>
      <c r="BZ106" s="82" t="str">
        <f t="shared" si="3"/>
        <v>,``</v>
      </c>
      <c r="CA106" t="s">
        <v>223</v>
      </c>
    </row>
    <row r="107" spans="1:79">
      <c r="A107" s="83"/>
      <c r="BQ107" t="s">
        <v>223</v>
      </c>
      <c r="BS107" t="s">
        <v>223</v>
      </c>
      <c r="BU107" t="s">
        <v>223</v>
      </c>
      <c r="BV107" s="82" t="str">
        <f t="shared" si="7"/>
        <v>,A.`` = B.``</v>
      </c>
      <c r="BW107" t="s">
        <v>223</v>
      </c>
      <c r="BX107" s="82" t="str">
        <f t="shared" si="8"/>
        <v>,``</v>
      </c>
      <c r="BY107" t="s">
        <v>223</v>
      </c>
      <c r="BZ107" s="82" t="str">
        <f t="shared" si="3"/>
        <v>,``</v>
      </c>
      <c r="CA107" t="s">
        <v>223</v>
      </c>
    </row>
    <row r="108" spans="1:79">
      <c r="BQ108" t="s">
        <v>223</v>
      </c>
      <c r="BS108" t="s">
        <v>223</v>
      </c>
      <c r="BU108" t="s">
        <v>223</v>
      </c>
      <c r="BV108" s="82" t="s">
        <v>231</v>
      </c>
      <c r="BW108" t="s">
        <v>223</v>
      </c>
      <c r="BY108" t="s">
        <v>223</v>
      </c>
      <c r="BZ108" s="82" t="str">
        <f>"FROM `TMP`.`"&amp;$G$10&amp;"` A"</f>
        <v>FROM `TMP`.`GHDISCOUNTM` A</v>
      </c>
      <c r="CA108" t="s">
        <v>223</v>
      </c>
    </row>
    <row r="109" spans="1:79">
      <c r="BQ109" t="s">
        <v>223</v>
      </c>
      <c r="BS109" t="s">
        <v>223</v>
      </c>
      <c r="BU109" t="s">
        <v>223</v>
      </c>
      <c r="BV109" s="82" t="str">
        <f>IF(_xlfn.XLOOKUP(1,$AH:$AH,$R:$R,"",0)="","","A.`"&amp;_xlfn.XLOOKUP(1,$AH:$AH,$R:$R,"",0)&amp;"` = B.`"&amp;_xlfn.XLOOKUP(1,$AH:$AH,$R:$R,"",0)&amp;"`")</f>
        <v>A.`STR_ID` = B.`STR_ID`</v>
      </c>
      <c r="BW109" t="s">
        <v>223</v>
      </c>
      <c r="BY109" t="s">
        <v>223</v>
      </c>
      <c r="BZ109" s="82" t="s">
        <v>232</v>
      </c>
      <c r="CA109" t="s">
        <v>223</v>
      </c>
    </row>
    <row r="110" spans="1:79">
      <c r="BQ110" t="s">
        <v>223</v>
      </c>
      <c r="BS110" t="s">
        <v>223</v>
      </c>
      <c r="BU110" t="s">
        <v>223</v>
      </c>
      <c r="BV110" s="82" t="str">
        <f>IF(_xlfn.XLOOKUP(2,$AH:$AH,$R:$R,"",0)="","","AND A.`"&amp;_xlfn.XLOOKUP(2,$AH:$AH,$R:$R,"",0)&amp;"` = B.`"&amp;_xlfn.XLOOKUP(2,$AH:$AH,$R:$R,"",0)&amp;"`")</f>
        <v>AND A.`EVNT_NBR` = B.`EVNT_NBR`</v>
      </c>
      <c r="BW110" t="s">
        <v>223</v>
      </c>
      <c r="BY110" t="s">
        <v>223</v>
      </c>
      <c r="BZ110" s="82" t="str">
        <f>"FROM `REPLICA_KASUMI`.`"&amp;$G$10&amp;"` B"</f>
        <v>FROM `REPLICA_KASUMI`.`GHDISCOUNTM` B</v>
      </c>
      <c r="CA110" t="s">
        <v>223</v>
      </c>
    </row>
    <row r="111" spans="1:79">
      <c r="BQ111" t="s">
        <v>223</v>
      </c>
      <c r="BS111" t="s">
        <v>223</v>
      </c>
      <c r="BU111" t="s">
        <v>223</v>
      </c>
      <c r="BV111" s="82" t="str">
        <f>IF(_xlfn.XLOOKUP(3,$AH:$AH,$R:$R,"",0)="","","AND A.`"&amp;_xlfn.XLOOKUP(3,$AH:$AH,$R:$R,"",0)&amp;"` = B.`"&amp;_xlfn.XLOOKUP(3,$AH:$AH,$R:$R,"",0)&amp;"`")</f>
        <v>AND A.`EVNT_BGN_TM` = B.`EVNT_BGN_TM`</v>
      </c>
      <c r="BW111" t="s">
        <v>223</v>
      </c>
      <c r="BY111" t="s">
        <v>223</v>
      </c>
      <c r="BZ111" s="82" t="s">
        <v>229</v>
      </c>
      <c r="CA111" t="s">
        <v>223</v>
      </c>
    </row>
    <row r="112" spans="1:79">
      <c r="BQ112" t="s">
        <v>223</v>
      </c>
      <c r="BS112" t="s">
        <v>223</v>
      </c>
      <c r="BU112" t="s">
        <v>223</v>
      </c>
      <c r="BV112" s="82" t="str">
        <f>IF(_xlfn.XLOOKUP(4,$AH:$AH,$R:$R,"",0)="","","AND A.`"&amp;_xlfn.XLOOKUP(4,$AH:$AH,$R:$R,"",0)&amp;"` = B.`"&amp;_xlfn.XLOOKUP(4,$AH:$AH,$R:$R,"",0)&amp;"`")</f>
        <v>AND A.`EVNT_END_TM` = B.`EVNT_END_TM`</v>
      </c>
      <c r="BW112" t="s">
        <v>223</v>
      </c>
      <c r="BY112" t="s">
        <v>223</v>
      </c>
      <c r="BZ112" s="82" t="str">
        <f>IF(_xlfn.XLOOKUP(1,$AH:$AH,$R:$R,"",0)="","","A.`"&amp;_xlfn.XLOOKUP(1,$AH:$AH,$R:$R,"",0)&amp;"` = B.`"&amp;_xlfn.XLOOKUP(1,$AH:$AH,$R:$R,"",0)&amp;"`")</f>
        <v>A.`STR_ID` = B.`STR_ID`</v>
      </c>
      <c r="CA112" t="s">
        <v>223</v>
      </c>
    </row>
    <row r="113" spans="69:79">
      <c r="BQ113" t="s">
        <v>223</v>
      </c>
      <c r="BS113" t="s">
        <v>223</v>
      </c>
      <c r="BU113" t="s">
        <v>223</v>
      </c>
      <c r="BV113" s="82" t="str">
        <f>IF(_xlfn.XLOOKUP(5,$AH:$AH,$R:$R,"",0)="","","AND A.`"&amp;_xlfn.XLOOKUP(5,$AH:$AH,$R:$R,"",0)&amp;"` = B.`"&amp;_xlfn.XLOOKUP(5,$AH:$AH,$R:$R,"",0)&amp;"`")</f>
        <v>AND A.`PLU_ID` = B.`PLU_ID`</v>
      </c>
      <c r="BW113" t="s">
        <v>223</v>
      </c>
      <c r="BY113" t="s">
        <v>223</v>
      </c>
      <c r="BZ113" s="82" t="str">
        <f>IF(_xlfn.XLOOKUP(2,$AH:$AH,$R:$R,"",0)="","","AND A.`"&amp;_xlfn.XLOOKUP(2,$AH:$AH,$R:$R,"",0)&amp;"` = B.`"&amp;_xlfn.XLOOKUP(2,$AH:$AH,$R:$R,"",0)&amp;"`")</f>
        <v>AND A.`EVNT_NBR` = B.`EVNT_NBR`</v>
      </c>
      <c r="CA113" t="s">
        <v>223</v>
      </c>
    </row>
    <row r="114" spans="69:79">
      <c r="BQ114" t="s">
        <v>223</v>
      </c>
      <c r="BS114" t="s">
        <v>223</v>
      </c>
      <c r="BU114" t="s">
        <v>223</v>
      </c>
      <c r="BV114" s="82" t="str">
        <f>IF(_xlfn.XLOOKUP(6,$AH:$AH,$R:$R,"",0)="","","AND A.`"&amp;_xlfn.XLOOKUP(6,$AH:$AH,$R:$R,"",0)&amp;"` = B.`"&amp;_xlfn.XLOOKUP(6,$AH:$AH,$R:$R,"",0)&amp;"`")</f>
        <v>AND A.`MBR_FG` = B.`MBR_FG`</v>
      </c>
      <c r="BW114" t="s">
        <v>223</v>
      </c>
      <c r="BY114" t="s">
        <v>223</v>
      </c>
      <c r="BZ114" s="82" t="str">
        <f>IF(_xlfn.XLOOKUP(3,$AH:$AH,$R:$R,"",0)="","","AND A.`"&amp;_xlfn.XLOOKUP(3,$AH:$AH,$R:$R,"",0)&amp;"` = B.`"&amp;_xlfn.XLOOKUP(3,$AH:$AH,$R:$R,"",0)&amp;"`")</f>
        <v>AND A.`EVNT_BGN_TM` = B.`EVNT_BGN_TM`</v>
      </c>
      <c r="CA114" t="s">
        <v>223</v>
      </c>
    </row>
    <row r="115" spans="69:79">
      <c r="BQ115" t="s">
        <v>223</v>
      </c>
      <c r="BS115" t="s">
        <v>223</v>
      </c>
      <c r="BU115" t="s">
        <v>223</v>
      </c>
      <c r="BV115" s="82" t="str">
        <f>IF(_xlfn.XLOOKUP(7,$AH:$AH,$R:$R,"",0)="","","AND A.`"&amp;_xlfn.XLOOKUP(7,$AH:$AH,$R:$R,"",0)&amp;"` = B.`"&amp;_xlfn.XLOOKUP(7,$AH:$AH,$R:$R,"",0)&amp;"`")</f>
        <v/>
      </c>
      <c r="BW115" t="s">
        <v>223</v>
      </c>
      <c r="BY115" t="s">
        <v>223</v>
      </c>
      <c r="BZ115" s="82" t="str">
        <f>IF(_xlfn.XLOOKUP(4,$AH:$AH,$R:$R,"",0)="","","AND A.`"&amp;_xlfn.XLOOKUP(4,$AH:$AH,$R:$R,"",0)&amp;"` = B.`"&amp;_xlfn.XLOOKUP(4,$AH:$AH,$R:$R,"",0)&amp;"`")</f>
        <v>AND A.`EVNT_END_TM` = B.`EVNT_END_TM`</v>
      </c>
      <c r="CA115" t="s">
        <v>223</v>
      </c>
    </row>
    <row r="116" spans="69:79">
      <c r="BQ116" t="s">
        <v>223</v>
      </c>
      <c r="BS116" t="s">
        <v>223</v>
      </c>
      <c r="BU116" t="s">
        <v>223</v>
      </c>
      <c r="BV116" s="82" t="str">
        <f>IF(_xlfn.XLOOKUP(8,$AH:$AH,$R:$R,"",0)="","","AND A.`"&amp;_xlfn.XLOOKUP(8,$AH:$AH,$R:$R,"",0)&amp;"` = B.`"&amp;_xlfn.XLOOKUP(8,$AH:$AH,$R:$R,"",0)&amp;"`")</f>
        <v/>
      </c>
      <c r="BW116" t="s">
        <v>223</v>
      </c>
      <c r="BY116" t="s">
        <v>223</v>
      </c>
      <c r="BZ116" s="82" t="str">
        <f>IF(_xlfn.XLOOKUP(5,$AH:$AH,$R:$R,"",0)="","","AND A.`"&amp;_xlfn.XLOOKUP(5,$AH:$AH,$R:$R,"",0)&amp;"` = B.`"&amp;_xlfn.XLOOKUP(5,$AH:$AH,$R:$R,"",0)&amp;"`")</f>
        <v>AND A.`PLU_ID` = B.`PLU_ID`</v>
      </c>
      <c r="CA116" t="s">
        <v>223</v>
      </c>
    </row>
    <row r="117" spans="69:79">
      <c r="BQ117" t="s">
        <v>223</v>
      </c>
      <c r="BS117" t="s">
        <v>223</v>
      </c>
      <c r="BU117" t="s">
        <v>223</v>
      </c>
      <c r="BV117" s="82" t="s">
        <v>233</v>
      </c>
      <c r="BW117" t="s">
        <v>223</v>
      </c>
      <c r="BY117" t="s">
        <v>223</v>
      </c>
      <c r="BZ117" s="82" t="str">
        <f>IF(_xlfn.XLOOKUP(6,$AH:$AH,$R:$R,"",0)="","","AND A.`"&amp;_xlfn.XLOOKUP(6,$AH:$AH,$R:$R,"",0)&amp;"` = B.`"&amp;_xlfn.XLOOKUP(6,$AH:$AH,$R:$R,"",0)&amp;"`")</f>
        <v>AND A.`MBR_FG` = B.`MBR_FG`</v>
      </c>
      <c r="CA117" t="s">
        <v>223</v>
      </c>
    </row>
    <row r="118" spans="69:79">
      <c r="BQ118" t="s">
        <v>223</v>
      </c>
      <c r="BS118" t="s">
        <v>223</v>
      </c>
      <c r="BU118" t="s">
        <v>223</v>
      </c>
      <c r="BW118" t="s">
        <v>223</v>
      </c>
      <c r="BY118" t="s">
        <v>223</v>
      </c>
      <c r="BZ118" s="82" t="str">
        <f>IF(_xlfn.XLOOKUP(7,$AH:$AH,$R:$R,"",0)="","","AND A.`"&amp;_xlfn.XLOOKUP(7,$AH:$AH,$R:$R,"",0)&amp;"` = B.`"&amp;_xlfn.XLOOKUP(7,$AH:$AH,$R:$R,"",0)&amp;"`")</f>
        <v/>
      </c>
      <c r="CA118" t="s">
        <v>223</v>
      </c>
    </row>
    <row r="119" spans="69:79">
      <c r="BQ119" t="s">
        <v>223</v>
      </c>
      <c r="BS119" t="s">
        <v>223</v>
      </c>
      <c r="BU119" t="s">
        <v>223</v>
      </c>
      <c r="BW119" t="s">
        <v>223</v>
      </c>
      <c r="BY119" t="s">
        <v>223</v>
      </c>
      <c r="BZ119" s="82" t="str">
        <f>IF(_xlfn.XLOOKUP(8,$AH:$AH,$R:$R,"",0)="","","AND A.`"&amp;_xlfn.XLOOKUP(8,$AH:$AH,$R:$R,"",0)&amp;"` = B.`"&amp;_xlfn.XLOOKUP(8,$AH:$AH,$R:$R,"",0)&amp;"`")</f>
        <v/>
      </c>
      <c r="CA119" t="s">
        <v>223</v>
      </c>
    </row>
    <row r="120" spans="69:79">
      <c r="BQ120" t="s">
        <v>223</v>
      </c>
      <c r="BS120" t="s">
        <v>223</v>
      </c>
      <c r="BU120" t="s">
        <v>223</v>
      </c>
      <c r="BW120" t="s">
        <v>223</v>
      </c>
      <c r="BY120" t="s">
        <v>223</v>
      </c>
      <c r="BZ120" s="82" t="s">
        <v>226</v>
      </c>
      <c r="CA120" t="s">
        <v>223</v>
      </c>
    </row>
    <row r="121" spans="69:79">
      <c r="BQ121" t="s">
        <v>223</v>
      </c>
      <c r="BS121" t="s">
        <v>223</v>
      </c>
      <c r="BU121" t="s">
        <v>223</v>
      </c>
      <c r="BW121" t="s">
        <v>223</v>
      </c>
      <c r="BY121" t="s">
        <v>223</v>
      </c>
      <c r="CA121" t="s">
        <v>223</v>
      </c>
    </row>
    <row r="122" spans="69:79">
      <c r="BQ122" t="s">
        <v>223</v>
      </c>
      <c r="BS122" t="s">
        <v>223</v>
      </c>
      <c r="BU122" t="s">
        <v>223</v>
      </c>
      <c r="BW122" t="s">
        <v>223</v>
      </c>
      <c r="BY122" t="s">
        <v>223</v>
      </c>
      <c r="BZ122" s="83"/>
      <c r="CA122" t="s">
        <v>223</v>
      </c>
    </row>
    <row r="123" spans="69:79">
      <c r="BQ123" t="s">
        <v>223</v>
      </c>
      <c r="BS123" t="s">
        <v>223</v>
      </c>
      <c r="BU123" t="s">
        <v>223</v>
      </c>
      <c r="BW123" t="s">
        <v>223</v>
      </c>
      <c r="BY123" t="s">
        <v>223</v>
      </c>
      <c r="BZ123" t="str">
        <f>"DROP TABLE IF EXISTS `TMP`.`"&amp;$G$10&amp;"`;"</f>
        <v>DROP TABLE IF EXISTS `TMP`.`GHDISCOUNTM`;</v>
      </c>
      <c r="CA123" t="s">
        <v>223</v>
      </c>
    </row>
    <row r="124" spans="69:79">
      <c r="BQ124" t="s">
        <v>223</v>
      </c>
      <c r="BS124" t="s">
        <v>223</v>
      </c>
      <c r="BU124" t="s">
        <v>223</v>
      </c>
      <c r="BW124" t="s">
        <v>223</v>
      </c>
      <c r="BY124" t="s">
        <v>223</v>
      </c>
      <c r="BZ124" t="s">
        <v>234</v>
      </c>
      <c r="CA124" t="s">
        <v>223</v>
      </c>
    </row>
    <row r="125" spans="69:79">
      <c r="BQ125" t="s">
        <v>223</v>
      </c>
      <c r="BS125" t="s">
        <v>223</v>
      </c>
      <c r="BU125" t="s">
        <v>223</v>
      </c>
      <c r="BW125" t="s">
        <v>223</v>
      </c>
      <c r="BY125" t="s">
        <v>223</v>
      </c>
      <c r="CA125" t="s">
        <v>223</v>
      </c>
    </row>
    <row r="126" spans="69:79">
      <c r="BQ126" t="s">
        <v>223</v>
      </c>
      <c r="BS126" t="s">
        <v>223</v>
      </c>
      <c r="BU126" t="s">
        <v>223</v>
      </c>
      <c r="BW126" t="s">
        <v>223</v>
      </c>
      <c r="BY126" t="s">
        <v>223</v>
      </c>
      <c r="CA126" t="s">
        <v>223</v>
      </c>
    </row>
    <row r="127" spans="69:79">
      <c r="BQ127" t="s">
        <v>223</v>
      </c>
      <c r="BS127" t="s">
        <v>223</v>
      </c>
      <c r="BU127" t="s">
        <v>223</v>
      </c>
      <c r="BW127" t="s">
        <v>223</v>
      </c>
      <c r="BY127" t="s">
        <v>223</v>
      </c>
      <c r="CA127" t="s">
        <v>223</v>
      </c>
    </row>
    <row r="128" spans="69:79">
      <c r="BQ128" t="s">
        <v>223</v>
      </c>
      <c r="BS128" t="s">
        <v>223</v>
      </c>
      <c r="BU128" t="s">
        <v>223</v>
      </c>
      <c r="BW128" t="s">
        <v>223</v>
      </c>
      <c r="BY128" t="s">
        <v>223</v>
      </c>
      <c r="CA128" t="s">
        <v>223</v>
      </c>
    </row>
    <row r="129" spans="69:79">
      <c r="BQ129" t="s">
        <v>223</v>
      </c>
      <c r="BS129" t="s">
        <v>223</v>
      </c>
      <c r="BU129" t="s">
        <v>223</v>
      </c>
      <c r="BW129" t="s">
        <v>223</v>
      </c>
      <c r="BY129" t="s">
        <v>223</v>
      </c>
      <c r="CA129" t="s">
        <v>223</v>
      </c>
    </row>
  </sheetData>
  <mergeCells count="90">
    <mergeCell ref="AC75:AG75"/>
    <mergeCell ref="AC76:AG76"/>
    <mergeCell ref="AC77:AG77"/>
    <mergeCell ref="AC78:AG78"/>
    <mergeCell ref="AC69:AG69"/>
    <mergeCell ref="AC70:AG70"/>
    <mergeCell ref="AC71:AG71"/>
    <mergeCell ref="AC72:AG72"/>
    <mergeCell ref="AC73:AG73"/>
    <mergeCell ref="AC74:AG74"/>
    <mergeCell ref="AC68:AG68"/>
    <mergeCell ref="AC57:AG57"/>
    <mergeCell ref="AC58:AG58"/>
    <mergeCell ref="AC59:AG59"/>
    <mergeCell ref="AC60:AG60"/>
    <mergeCell ref="AC61:AG61"/>
    <mergeCell ref="AC62:AG62"/>
    <mergeCell ref="AC63:AG63"/>
    <mergeCell ref="AC64:AG64"/>
    <mergeCell ref="AC65:AG65"/>
    <mergeCell ref="AC66:AG66"/>
    <mergeCell ref="AC67:AG67"/>
    <mergeCell ref="AC56:AG56"/>
    <mergeCell ref="AC45:AG45"/>
    <mergeCell ref="AC46:AG46"/>
    <mergeCell ref="AC47:AG47"/>
    <mergeCell ref="AC48:AG48"/>
    <mergeCell ref="AC49:AG49"/>
    <mergeCell ref="AC50:AG50"/>
    <mergeCell ref="AC51:AG51"/>
    <mergeCell ref="AC52:AG52"/>
    <mergeCell ref="AC53:AG53"/>
    <mergeCell ref="AC54:AG54"/>
    <mergeCell ref="AC55:AG55"/>
    <mergeCell ref="AC44:AG44"/>
    <mergeCell ref="AC33:AG33"/>
    <mergeCell ref="AC34:AG34"/>
    <mergeCell ref="AC35:AG35"/>
    <mergeCell ref="AC36:AG36"/>
    <mergeCell ref="AC37:AG37"/>
    <mergeCell ref="AC38:AG38"/>
    <mergeCell ref="AC39:AG39"/>
    <mergeCell ref="AC40:AG40"/>
    <mergeCell ref="AC41:AG41"/>
    <mergeCell ref="AC42:AG42"/>
    <mergeCell ref="AC43:AG43"/>
    <mergeCell ref="AC32:AG32"/>
    <mergeCell ref="B11:AN11"/>
    <mergeCell ref="B12:AN12"/>
    <mergeCell ref="B13:AN13"/>
    <mergeCell ref="B14:AN14"/>
    <mergeCell ref="B15:AN15"/>
    <mergeCell ref="B16:AN16"/>
    <mergeCell ref="AC27:AG27"/>
    <mergeCell ref="AC28:AG28"/>
    <mergeCell ref="AC29:AG29"/>
    <mergeCell ref="AC30:AG30"/>
    <mergeCell ref="AC31:AG31"/>
    <mergeCell ref="B9:F9"/>
    <mergeCell ref="G9:X9"/>
    <mergeCell ref="Y9:AC9"/>
    <mergeCell ref="AD9:AN9"/>
    <mergeCell ref="B10:F10"/>
    <mergeCell ref="G10:X10"/>
    <mergeCell ref="Y10:AC10"/>
    <mergeCell ref="AD10:AN10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F866-4433-4F13-B870-BBAB37A78B08}">
  <dimension ref="A1:CA245"/>
  <sheetViews>
    <sheetView view="pageBreakPreview" topLeftCell="A204" zoomScale="80" zoomScaleNormal="75" zoomScaleSheetLayoutView="80" workbookViewId="0">
      <selection activeCell="BV23" sqref="BV23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793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1133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`Replica_Kasumi`.`GHBUNDLEM`;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`Replica_Kasumi`.`GHBUNDLEM`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`REPLICA_KASUMI`.`GHBUNDLEM` A,`TMP`.`GHBUNDLEM`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`TMP`.`GHBUNDLEM`;</v>
      </c>
      <c r="BS25" t="s">
        <v>223</v>
      </c>
      <c r="BT25" s="82" t="str">
        <f>"LOAD DATA INFILE 'C:/04_DATAFILE/"&amp;$G$10&amp;"/TMP/"&amp;$G$10&amp;".CSV' "</f>
        <v xml:space="preserve">LOAD DATA INFILE 'C:/04_DATAFILE/GHBUNDLEM/TMP/GHBUNDLEM.CSV'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`TMP`.`GHBUNDLEM` (</v>
      </c>
      <c r="BS26" t="s">
        <v>223</v>
      </c>
      <c r="BT26" s="82" t="str">
        <f>"REPLACE INTO TABLE TMP.`"&amp;$G$10&amp;"` FIELDS TERMINATED BY ',' ENCLOSED BY '\""' LINES TERMINATED BY '\r\n' ("</f>
        <v>REPLACE INTO TABLE TMP.`GHBUNDLEM`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`REPLICA_KASUMI`.`GHBUNDLEM`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797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1170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1086</v>
      </c>
      <c r="AU27" s="63"/>
      <c r="AV27" s="63"/>
      <c r="AW27" s="63"/>
      <c r="AX27" s="63"/>
      <c r="AY27" s="63"/>
      <c r="AZ27" s="63" t="s">
        <v>1087</v>
      </c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 t="s">
        <v>449</v>
      </c>
      <c r="BN27">
        <v>1</v>
      </c>
      <c r="BP27" t="str">
        <f>",`"&amp;R27&amp;"` "&amp;AC27&amp;" "&amp;IF(AJ27="Y","NOT NULL","")&amp;" COMMENT '"&amp;D27&amp;"'"</f>
        <v>,`PRCS_TYP` varchar(1)  COMMENT '処理区分'</v>
      </c>
      <c r="BQ27" t="s">
        <v>223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15" customHeight="1">
      <c r="A28" s="84" t="s">
        <v>243</v>
      </c>
      <c r="B28" s="23">
        <v>8</v>
      </c>
      <c r="C28" s="24"/>
      <c r="D28" s="22" t="s">
        <v>263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357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int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 t="s">
        <v>704</v>
      </c>
      <c r="AU28" s="25"/>
      <c r="AV28" s="25"/>
      <c r="AW28" s="25"/>
      <c r="AX28" s="25"/>
      <c r="AY28" s="25"/>
      <c r="AZ28" s="25" t="s">
        <v>1088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M28" t="s">
        <v>450</v>
      </c>
      <c r="BP28" t="str">
        <f t="shared" ref="BP28:BP194" si="1">",`"&amp;R28&amp;"` "&amp;AC28&amp;" "&amp;IF(AJ28="Y","NOT NULL","")&amp;" COMMENT '"&amp;D28&amp;"'"</f>
        <v>,`STR_ID` int  COMMENT '店舗コード'</v>
      </c>
      <c r="BQ28" t="s">
        <v>223</v>
      </c>
      <c r="BR28" s="82" t="str">
        <f>",`"&amp;R28&amp;"` "&amp;AC28&amp;" "&amp;IF(AJ28="Y","NOT NULL","")</f>
        <v xml:space="preserve">,`STR_ID` int </v>
      </c>
      <c r="BS28" t="s">
        <v>223</v>
      </c>
      <c r="BT28" t="str">
        <f>",`"&amp;R28&amp;"`"</f>
        <v>,`STR_ID`</v>
      </c>
      <c r="BU28" t="s">
        <v>223</v>
      </c>
      <c r="BV28" s="82" t="str">
        <f t="shared" ref="BV28:BV194" si="2">",A.`"&amp;R28&amp;"` = B.`"&amp;R28&amp;"`"</f>
        <v>,A.`STR_ID` = B.`STR_ID`</v>
      </c>
      <c r="BW28" t="s">
        <v>223</v>
      </c>
      <c r="BX28" s="82" t="str">
        <f>",`"&amp;R28&amp;"`"</f>
        <v>,`STR_ID`</v>
      </c>
      <c r="BY28" t="s">
        <v>223</v>
      </c>
      <c r="BZ28" s="82" t="str">
        <f t="shared" ref="BZ28:BZ223" si="3">",`"&amp;R28&amp;"`"</f>
        <v>,`STR_ID`</v>
      </c>
      <c r="CA28" t="s">
        <v>223</v>
      </c>
    </row>
    <row r="29" spans="1:79" ht="15" customHeight="1">
      <c r="A29" s="84" t="s">
        <v>244</v>
      </c>
      <c r="B29" s="71">
        <v>9</v>
      </c>
      <c r="C29" s="72"/>
      <c r="D29" s="73" t="s">
        <v>798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5"/>
      <c r="R29" s="73" t="s">
        <v>955</v>
      </c>
      <c r="S29" s="74"/>
      <c r="T29" s="74"/>
      <c r="U29" s="74"/>
      <c r="V29" s="74"/>
      <c r="W29" s="74"/>
      <c r="X29" s="74"/>
      <c r="Y29" s="74"/>
      <c r="Z29" s="74"/>
      <c r="AA29" s="74"/>
      <c r="AB29" s="75"/>
      <c r="AC29" s="251" t="str" cm="1">
        <f t="array" ref="AC29">_xlfn.SWITCH(BM29,"String","varchar("&amp;BN29&amp;")","Long","int","Integer","smallint","Double","decimal(9,2)","Currency","int")</f>
        <v>varchar(7)</v>
      </c>
      <c r="AD29" s="252"/>
      <c r="AE29" s="252"/>
      <c r="AF29" s="252"/>
      <c r="AG29" s="253"/>
      <c r="AH29" s="73"/>
      <c r="AI29" s="75"/>
      <c r="AJ29" s="73"/>
      <c r="AK29" s="74"/>
      <c r="AL29" s="75"/>
      <c r="AM29" s="73"/>
      <c r="AN29" s="74"/>
      <c r="AO29" s="74"/>
      <c r="AP29" s="74"/>
      <c r="AQ29" s="74"/>
      <c r="AR29" s="74"/>
      <c r="AS29" s="75"/>
      <c r="AT29" s="73" t="s">
        <v>719</v>
      </c>
      <c r="AU29" s="74"/>
      <c r="AV29" s="74"/>
      <c r="AW29" s="74"/>
      <c r="AX29" s="74"/>
      <c r="AY29" s="74"/>
      <c r="AZ29" s="74" t="s">
        <v>1089</v>
      </c>
      <c r="BA29" s="74"/>
      <c r="BB29" s="74"/>
      <c r="BC29" s="74"/>
      <c r="BD29" s="74"/>
      <c r="BE29" s="74"/>
      <c r="BF29" s="74"/>
      <c r="BG29" s="74"/>
      <c r="BH29" s="74"/>
      <c r="BI29" s="74"/>
      <c r="BJ29" s="75"/>
      <c r="BK29" s="4"/>
      <c r="BM29" t="s">
        <v>449</v>
      </c>
      <c r="BN29">
        <v>7</v>
      </c>
      <c r="BP29" t="str">
        <f t="shared" si="1"/>
        <v>,`PARNT_ENVT_ID` varchar(7)  COMMENT '関連企画Ｎo.'</v>
      </c>
      <c r="BQ29" t="s">
        <v>223</v>
      </c>
      <c r="BR29" t="str">
        <f t="shared" ref="BR29:BR194" si="4">",`"&amp;R29&amp;"` "&amp;AC29&amp;" "&amp;IF(AJ29="Y","NOT NULL","")</f>
        <v xml:space="preserve">,`PARNT_ENVT_ID` varchar(7) </v>
      </c>
      <c r="BS29" t="s">
        <v>223</v>
      </c>
      <c r="BT29" t="str">
        <f t="shared" ref="BT29:BT172" si="5">",`"&amp;R29&amp;"`"</f>
        <v>,`PARNT_ENVT_ID`</v>
      </c>
      <c r="BU29" t="s">
        <v>223</v>
      </c>
      <c r="BV29" s="82" t="str">
        <f t="shared" si="2"/>
        <v>,A.`PARNT_ENVT_ID` = B.`PARNT_ENVT_ID`</v>
      </c>
      <c r="BW29" t="s">
        <v>223</v>
      </c>
      <c r="BX29" s="82" t="str">
        <f t="shared" ref="BX29:BX194" si="6">",`"&amp;R29&amp;"`"</f>
        <v>,`PARNT_ENVT_ID`</v>
      </c>
      <c r="BY29" t="s">
        <v>223</v>
      </c>
      <c r="BZ29" s="82" t="str">
        <f t="shared" si="3"/>
        <v>,`PARNT_ENVT_ID`</v>
      </c>
      <c r="CA29" t="s">
        <v>223</v>
      </c>
    </row>
    <row r="30" spans="1:79" ht="15" customHeight="1">
      <c r="A30" s="84" t="s">
        <v>245</v>
      </c>
      <c r="B30" s="23">
        <v>9</v>
      </c>
      <c r="C30" s="24"/>
      <c r="D30" s="22" t="s">
        <v>799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661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 cm="1">
        <f t="array" ref="AC30">_xlfn.SWITCH(BM30,"String","varchar("&amp;BN30&amp;")","Long","int","Integer","smallint","Double","decimal(9,2)","Currency","int")</f>
        <v>varchar(7)</v>
      </c>
      <c r="AD30" s="258"/>
      <c r="AE30" s="258"/>
      <c r="AF30" s="258"/>
      <c r="AG30" s="259"/>
      <c r="AH30" s="22">
        <v>3</v>
      </c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2" t="s">
        <v>1090</v>
      </c>
      <c r="AU30" s="25"/>
      <c r="AV30" s="25"/>
      <c r="AW30" s="25"/>
      <c r="AX30" s="25"/>
      <c r="AY30" s="25"/>
      <c r="AZ30" s="25" t="s">
        <v>1091</v>
      </c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M30" t="s">
        <v>449</v>
      </c>
      <c r="BN30">
        <v>7</v>
      </c>
      <c r="BP30" t="str">
        <f t="shared" si="1"/>
        <v>,`EVNT_NBR` varchar(7)  COMMENT '企画Ｎo.'</v>
      </c>
      <c r="BQ30" t="s">
        <v>223</v>
      </c>
      <c r="BR30" t="str">
        <f t="shared" si="4"/>
        <v xml:space="preserve">,`EVNT_NBR` varchar(7) </v>
      </c>
      <c r="BS30" t="s">
        <v>223</v>
      </c>
      <c r="BT30" t="str">
        <f t="shared" si="5"/>
        <v>,`EVNT_NBR`</v>
      </c>
      <c r="BU30" t="s">
        <v>223</v>
      </c>
      <c r="BV30" s="82" t="str">
        <f t="shared" si="2"/>
        <v>,A.`EVNT_NBR` = B.`EVNT_NBR`</v>
      </c>
      <c r="BW30" t="s">
        <v>223</v>
      </c>
      <c r="BX30" s="82" t="str">
        <f t="shared" si="6"/>
        <v>,`EVNT_NBR`</v>
      </c>
      <c r="BY30" t="s">
        <v>223</v>
      </c>
      <c r="BZ30" s="82" t="str">
        <f t="shared" si="3"/>
        <v>,`EVNT_NBR`</v>
      </c>
      <c r="CA30" t="s">
        <v>223</v>
      </c>
    </row>
    <row r="31" spans="1:79" ht="15" customHeight="1">
      <c r="A31" s="84" t="s">
        <v>246</v>
      </c>
      <c r="B31" s="23">
        <v>9</v>
      </c>
      <c r="C31" s="24"/>
      <c r="D31" s="22" t="s">
        <v>800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956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varchar(24)</v>
      </c>
      <c r="AD31" s="258"/>
      <c r="AE31" s="258"/>
      <c r="AF31" s="258"/>
      <c r="AG31" s="259"/>
      <c r="AH31" s="22">
        <v>5</v>
      </c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 t="s">
        <v>1092</v>
      </c>
      <c r="AU31" s="25"/>
      <c r="AV31" s="25"/>
      <c r="AW31" s="25"/>
      <c r="AX31" s="25"/>
      <c r="AY31" s="25"/>
      <c r="AZ31" s="25" t="s">
        <v>1093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M31" t="s">
        <v>449</v>
      </c>
      <c r="BN31">
        <v>24</v>
      </c>
      <c r="BP31" t="str">
        <f t="shared" ref="BP31:BP42" si="7">",`"&amp;R31&amp;"` "&amp;AC31&amp;" "&amp;IF(AJ31="Y","NOT NULL","")&amp;" COMMENT '"&amp;D31&amp;"'"</f>
        <v>,`DESCR` varchar(24)  COMMENT 'Ｍ＆Ｍ ＮＯ'</v>
      </c>
      <c r="BQ31" t="s">
        <v>223</v>
      </c>
      <c r="BR31" t="str">
        <f t="shared" ref="BR31:BR42" si="8">",`"&amp;R31&amp;"` "&amp;AC31&amp;" "&amp;IF(AJ31="Y","NOT NULL","")</f>
        <v xml:space="preserve">,`DESCR` varchar(24) </v>
      </c>
      <c r="BS31" t="s">
        <v>223</v>
      </c>
      <c r="BT31" t="str">
        <f t="shared" ref="BT31:BT42" si="9">",`"&amp;R31&amp;"`"</f>
        <v>,`DESCR`</v>
      </c>
      <c r="BU31" t="s">
        <v>223</v>
      </c>
      <c r="BV31" s="82" t="str">
        <f t="shared" ref="BV31:BV42" si="10">",A.`"&amp;R31&amp;"` = B.`"&amp;R31&amp;"`"</f>
        <v>,A.`DESCR` = B.`DESCR`</v>
      </c>
      <c r="BW31" t="s">
        <v>223</v>
      </c>
      <c r="BX31" s="82" t="str">
        <f t="shared" ref="BX31:BX42" si="11">",`"&amp;R31&amp;"`"</f>
        <v>,`DESCR`</v>
      </c>
      <c r="BY31" t="s">
        <v>223</v>
      </c>
      <c r="BZ31" s="82" t="str">
        <f t="shared" ref="BZ31:BZ42" si="12">",`"&amp;R31&amp;"`"</f>
        <v>,`DESCR`</v>
      </c>
      <c r="CA31" t="s">
        <v>223</v>
      </c>
    </row>
    <row r="32" spans="1:79" ht="15" customHeight="1">
      <c r="A32" s="84" t="s">
        <v>247</v>
      </c>
      <c r="B32" s="23">
        <v>9</v>
      </c>
      <c r="C32" s="24"/>
      <c r="D32" s="22" t="s">
        <v>801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662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smallint</v>
      </c>
      <c r="AD32" s="258"/>
      <c r="AE32" s="258"/>
      <c r="AF32" s="258"/>
      <c r="AG32" s="259"/>
      <c r="AH32" s="22">
        <v>4</v>
      </c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 t="s">
        <v>1094</v>
      </c>
      <c r="AU32" s="25"/>
      <c r="AV32" s="25"/>
      <c r="AW32" s="25"/>
      <c r="AX32" s="25"/>
      <c r="AY32" s="25"/>
      <c r="AZ32" s="25" t="s">
        <v>1095</v>
      </c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M32" t="s">
        <v>451</v>
      </c>
      <c r="BP32" t="str">
        <f t="shared" si="7"/>
        <v>,`MBR_FG` smallint  COMMENT '会員フラグ'</v>
      </c>
      <c r="BQ32" t="s">
        <v>223</v>
      </c>
      <c r="BR32" t="str">
        <f t="shared" si="8"/>
        <v xml:space="preserve">,`MBR_FG` smallint </v>
      </c>
      <c r="BS32" t="s">
        <v>223</v>
      </c>
      <c r="BT32" t="str">
        <f t="shared" si="9"/>
        <v>,`MBR_FG`</v>
      </c>
      <c r="BU32" t="s">
        <v>223</v>
      </c>
      <c r="BV32" s="82" t="str">
        <f t="shared" si="10"/>
        <v>,A.`MBR_FG` = B.`MBR_FG`</v>
      </c>
      <c r="BW32" t="s">
        <v>223</v>
      </c>
      <c r="BX32" s="82" t="str">
        <f t="shared" si="11"/>
        <v>,`MBR_FG`</v>
      </c>
      <c r="BY32" t="s">
        <v>223</v>
      </c>
      <c r="BZ32" s="82" t="str">
        <f t="shared" si="12"/>
        <v>,`MBR_FG`</v>
      </c>
      <c r="CA32" t="s">
        <v>223</v>
      </c>
    </row>
    <row r="33" spans="1:79" ht="15" customHeight="1">
      <c r="A33" s="84" t="s">
        <v>248</v>
      </c>
      <c r="B33" s="23">
        <v>9</v>
      </c>
      <c r="C33" s="24"/>
      <c r="D33" s="22" t="s">
        <v>348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663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 cm="1">
        <f t="array" ref="AC33">_xlfn.SWITCH(BM33,"String","varchar("&amp;BN33&amp;")","Long","int","Integer","smallint","Double","decimal(9,2)","Currency","int")</f>
        <v>varchar(24)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 t="s">
        <v>1096</v>
      </c>
      <c r="AU33" s="25"/>
      <c r="AV33" s="25"/>
      <c r="AW33" s="25"/>
      <c r="AX33" s="25"/>
      <c r="AY33" s="25"/>
      <c r="AZ33" s="25" t="s">
        <v>1097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M33" t="s">
        <v>449</v>
      </c>
      <c r="BN33">
        <v>24</v>
      </c>
      <c r="BP33" t="str">
        <f t="shared" si="7"/>
        <v>,`PLU_ID` varchar(24)  COMMENT '商品コード'</v>
      </c>
      <c r="BQ33" t="s">
        <v>223</v>
      </c>
      <c r="BR33" t="str">
        <f t="shared" si="8"/>
        <v xml:space="preserve">,`PLU_ID` varchar(24) </v>
      </c>
      <c r="BS33" t="s">
        <v>223</v>
      </c>
      <c r="BT33" t="str">
        <f t="shared" si="9"/>
        <v>,`PLU_ID`</v>
      </c>
      <c r="BU33" t="s">
        <v>223</v>
      </c>
      <c r="BV33" s="82" t="str">
        <f t="shared" si="10"/>
        <v>,A.`PLU_ID` = B.`PLU_ID`</v>
      </c>
      <c r="BW33" t="s">
        <v>223</v>
      </c>
      <c r="BX33" s="82" t="str">
        <f t="shared" si="11"/>
        <v>,`PLU_ID`</v>
      </c>
      <c r="BY33" t="s">
        <v>223</v>
      </c>
      <c r="BZ33" s="82" t="str">
        <f t="shared" si="12"/>
        <v>,`PLU_ID`</v>
      </c>
      <c r="CA33" t="s">
        <v>223</v>
      </c>
    </row>
    <row r="34" spans="1:79" ht="15" customHeight="1">
      <c r="A34" s="84" t="s">
        <v>525</v>
      </c>
      <c r="B34" s="23">
        <v>9</v>
      </c>
      <c r="C34" s="24"/>
      <c r="D34" s="22" t="s">
        <v>802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664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 cm="1">
        <f t="array" ref="AC34">_xlfn.SWITCH(BM34,"String","varchar("&amp;BN34&amp;")","Long","int","Integer","smallint","Double","decimal(9,2)","Currency","int")</f>
        <v>varchar(8)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 t="s">
        <v>721</v>
      </c>
      <c r="AU34" s="25"/>
      <c r="AV34" s="25"/>
      <c r="AW34" s="25"/>
      <c r="AX34" s="25"/>
      <c r="AY34" s="25"/>
      <c r="AZ34" s="25" t="s">
        <v>1098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M34" t="s">
        <v>449</v>
      </c>
      <c r="BN34">
        <v>8</v>
      </c>
      <c r="BP34" t="str">
        <f t="shared" si="7"/>
        <v>,`EVNT_BGN_TM` varchar(8)  COMMENT '組合せ開始日'</v>
      </c>
      <c r="BQ34" t="s">
        <v>223</v>
      </c>
      <c r="BR34" t="str">
        <f t="shared" si="8"/>
        <v xml:space="preserve">,`EVNT_BGN_TM` varchar(8) </v>
      </c>
      <c r="BS34" t="s">
        <v>223</v>
      </c>
      <c r="BT34" t="str">
        <f t="shared" si="9"/>
        <v>,`EVNT_BGN_TM`</v>
      </c>
      <c r="BU34" t="s">
        <v>223</v>
      </c>
      <c r="BV34" s="82" t="str">
        <f t="shared" si="10"/>
        <v>,A.`EVNT_BGN_TM` = B.`EVNT_BGN_TM`</v>
      </c>
      <c r="BW34" t="s">
        <v>223</v>
      </c>
      <c r="BX34" s="82" t="str">
        <f t="shared" si="11"/>
        <v>,`EVNT_BGN_TM`</v>
      </c>
      <c r="BY34" t="s">
        <v>223</v>
      </c>
      <c r="BZ34" s="82" t="str">
        <f t="shared" si="12"/>
        <v>,`EVNT_BGN_TM`</v>
      </c>
      <c r="CA34" t="s">
        <v>223</v>
      </c>
    </row>
    <row r="35" spans="1:79" ht="15" customHeight="1">
      <c r="A35" s="84" t="s">
        <v>526</v>
      </c>
      <c r="B35" s="23">
        <v>9</v>
      </c>
      <c r="C35" s="24"/>
      <c r="D35" s="22" t="s">
        <v>803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665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7" t="str" cm="1">
        <f t="array" ref="AC35">_xlfn.SWITCH(BM35,"String","varchar("&amp;BN35&amp;")","Long","int","Integer","smallint","Double","decimal(9,2)","Currency","int")</f>
        <v>varchar(8)</v>
      </c>
      <c r="AD35" s="258"/>
      <c r="AE35" s="258"/>
      <c r="AF35" s="258"/>
      <c r="AG35" s="259"/>
      <c r="AH35" s="22"/>
      <c r="AI35" s="26"/>
      <c r="AJ35" s="22"/>
      <c r="AK35" s="25"/>
      <c r="AL35" s="26"/>
      <c r="AM35" s="22"/>
      <c r="AN35" s="25"/>
      <c r="AO35" s="25"/>
      <c r="AP35" s="25"/>
      <c r="AQ35" s="25"/>
      <c r="AR35" s="25"/>
      <c r="AS35" s="26"/>
      <c r="AT35" s="22" t="s">
        <v>721</v>
      </c>
      <c r="AU35" s="25"/>
      <c r="AV35" s="25"/>
      <c r="AW35" s="25"/>
      <c r="AX35" s="25"/>
      <c r="AY35" s="25"/>
      <c r="AZ35" s="25" t="s">
        <v>1099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  <c r="BM35" t="s">
        <v>449</v>
      </c>
      <c r="BN35">
        <v>8</v>
      </c>
      <c r="BP35" t="str">
        <f t="shared" si="7"/>
        <v>,`EVNT_END_TM` varchar(8)  COMMENT '組合せ終了日'</v>
      </c>
      <c r="BQ35" t="s">
        <v>223</v>
      </c>
      <c r="BR35" t="str">
        <f t="shared" si="8"/>
        <v xml:space="preserve">,`EVNT_END_TM` varchar(8) </v>
      </c>
      <c r="BS35" t="s">
        <v>223</v>
      </c>
      <c r="BT35" t="str">
        <f t="shared" si="9"/>
        <v>,`EVNT_END_TM`</v>
      </c>
      <c r="BU35" t="s">
        <v>223</v>
      </c>
      <c r="BV35" s="82" t="str">
        <f t="shared" si="10"/>
        <v>,A.`EVNT_END_TM` = B.`EVNT_END_TM`</v>
      </c>
      <c r="BW35" t="s">
        <v>223</v>
      </c>
      <c r="BX35" s="82" t="str">
        <f t="shared" si="11"/>
        <v>,`EVNT_END_TM`</v>
      </c>
      <c r="BY35" t="s">
        <v>223</v>
      </c>
      <c r="BZ35" s="82" t="str">
        <f t="shared" si="12"/>
        <v>,`EVNT_END_TM`</v>
      </c>
      <c r="CA35" t="s">
        <v>223</v>
      </c>
    </row>
    <row r="36" spans="1:79" ht="15" customHeight="1">
      <c r="A36" s="84" t="s">
        <v>527</v>
      </c>
      <c r="B36" s="23">
        <v>9</v>
      </c>
      <c r="C36" s="24"/>
      <c r="D36" s="22" t="s">
        <v>804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1176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 cm="1">
        <f t="array" ref="AC36">_xlfn.SWITCH(BM36,"String","varchar("&amp;BN36&amp;")","Long","int","Integer","smallint","Double","decimal(9,2)","Currency","int")</f>
        <v>smallint</v>
      </c>
      <c r="AD36" s="258"/>
      <c r="AE36" s="258"/>
      <c r="AF36" s="258"/>
      <c r="AG36" s="259"/>
      <c r="AH36" s="22">
        <v>2</v>
      </c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 t="s">
        <v>1100</v>
      </c>
      <c r="AU36" s="25"/>
      <c r="AV36" s="25"/>
      <c r="AW36" s="25"/>
      <c r="AX36" s="25"/>
      <c r="AY36" s="25"/>
      <c r="AZ36" s="25" t="s">
        <v>1101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M36" t="s">
        <v>451</v>
      </c>
      <c r="BP36" t="str">
        <f t="shared" si="7"/>
        <v>,`EVNT_TYP` smallint  COMMENT '企画区分'</v>
      </c>
      <c r="BQ36" t="s">
        <v>223</v>
      </c>
      <c r="BR36" t="str">
        <f t="shared" si="8"/>
        <v xml:space="preserve">,`EVNT_TYP` smallint </v>
      </c>
      <c r="BS36" t="s">
        <v>223</v>
      </c>
      <c r="BT36" t="str">
        <f t="shared" si="9"/>
        <v>,`EVNT_TYP`</v>
      </c>
      <c r="BU36" t="s">
        <v>223</v>
      </c>
      <c r="BV36" s="82" t="str">
        <f t="shared" si="10"/>
        <v>,A.`EVNT_TYP` = B.`EVNT_TYP`</v>
      </c>
      <c r="BW36" t="s">
        <v>223</v>
      </c>
      <c r="BX36" s="82" t="str">
        <f t="shared" si="11"/>
        <v>,`EVNT_TYP`</v>
      </c>
      <c r="BY36" t="s">
        <v>223</v>
      </c>
      <c r="BZ36" s="82" t="str">
        <f t="shared" si="12"/>
        <v>,`EVNT_TYP`</v>
      </c>
      <c r="CA36" t="s">
        <v>223</v>
      </c>
    </row>
    <row r="37" spans="1:79" ht="15" customHeight="1">
      <c r="A37" s="84" t="s">
        <v>528</v>
      </c>
      <c r="B37" s="71">
        <v>9</v>
      </c>
      <c r="C37" s="72"/>
      <c r="D37" s="73" t="s">
        <v>805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73" t="s">
        <v>958</v>
      </c>
      <c r="S37" s="74"/>
      <c r="T37" s="74"/>
      <c r="U37" s="74"/>
      <c r="V37" s="74"/>
      <c r="W37" s="74"/>
      <c r="X37" s="74"/>
      <c r="Y37" s="74"/>
      <c r="Z37" s="74"/>
      <c r="AA37" s="74"/>
      <c r="AB37" s="75"/>
      <c r="AC37" s="251" t="str" cm="1">
        <f t="array" ref="AC37">_xlfn.SWITCH(BM37,"String","varchar("&amp;BN37&amp;")","Long","int","Integer","smallint","Double","decimal(9,2)","Currency","int")</f>
        <v>int</v>
      </c>
      <c r="AD37" s="252"/>
      <c r="AE37" s="252"/>
      <c r="AF37" s="252"/>
      <c r="AG37" s="253"/>
      <c r="AH37" s="73"/>
      <c r="AI37" s="75"/>
      <c r="AJ37" s="73"/>
      <c r="AK37" s="74"/>
      <c r="AL37" s="75"/>
      <c r="AM37" s="73"/>
      <c r="AN37" s="74"/>
      <c r="AO37" s="74"/>
      <c r="AP37" s="74"/>
      <c r="AQ37" s="74"/>
      <c r="AR37" s="74"/>
      <c r="AS37" s="75"/>
      <c r="AT37" s="73" t="s">
        <v>464</v>
      </c>
      <c r="AU37" s="74"/>
      <c r="AV37" s="74"/>
      <c r="AW37" s="74"/>
      <c r="AX37" s="74"/>
      <c r="AY37" s="74"/>
      <c r="AZ37" s="74" t="s">
        <v>1095</v>
      </c>
      <c r="BA37" s="74"/>
      <c r="BB37" s="74"/>
      <c r="BC37" s="74"/>
      <c r="BD37" s="74"/>
      <c r="BE37" s="74"/>
      <c r="BF37" s="74"/>
      <c r="BG37" s="74"/>
      <c r="BH37" s="74"/>
      <c r="BI37" s="74"/>
      <c r="BJ37" s="75"/>
      <c r="BK37" s="4"/>
      <c r="BM37" t="s">
        <v>453</v>
      </c>
      <c r="BP37" t="str">
        <f t="shared" si="7"/>
        <v>,`EVNT_BDGT` int  COMMENT '企画予算'</v>
      </c>
      <c r="BQ37" t="s">
        <v>223</v>
      </c>
      <c r="BR37" t="str">
        <f t="shared" si="8"/>
        <v xml:space="preserve">,`EVNT_BDGT` int </v>
      </c>
      <c r="BS37" t="s">
        <v>223</v>
      </c>
      <c r="BT37" t="str">
        <f t="shared" si="9"/>
        <v>,`EVNT_BDGT`</v>
      </c>
      <c r="BU37" t="s">
        <v>223</v>
      </c>
      <c r="BV37" s="82" t="str">
        <f t="shared" si="10"/>
        <v>,A.`EVNT_BDGT` = B.`EVNT_BDGT`</v>
      </c>
      <c r="BW37" t="s">
        <v>223</v>
      </c>
      <c r="BX37" s="82" t="str">
        <f t="shared" si="11"/>
        <v>,`EVNT_BDGT`</v>
      </c>
      <c r="BY37" t="s">
        <v>223</v>
      </c>
      <c r="BZ37" s="82" t="str">
        <f t="shared" si="12"/>
        <v>,`EVNT_BDGT`</v>
      </c>
      <c r="CA37" t="s">
        <v>223</v>
      </c>
    </row>
    <row r="38" spans="1:79" ht="15" customHeight="1">
      <c r="A38" s="84" t="s">
        <v>529</v>
      </c>
      <c r="B38" s="23">
        <v>9</v>
      </c>
      <c r="C38" s="24"/>
      <c r="D38" s="22" t="s">
        <v>806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959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 cm="1">
        <f t="array" ref="AC38">_xlfn.SWITCH(BM38,"String","varchar("&amp;BN38&amp;")","Long","int","Integer","smallint","Double","decimal(9,2)","Currency","int")</f>
        <v>varchar(8)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 t="s">
        <v>709</v>
      </c>
      <c r="AU38" s="25"/>
      <c r="AV38" s="25"/>
      <c r="AW38" s="25"/>
      <c r="AX38" s="25"/>
      <c r="AY38" s="25"/>
      <c r="AZ38" s="25" t="s">
        <v>1102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M38" t="s">
        <v>449</v>
      </c>
      <c r="BN38">
        <v>8</v>
      </c>
      <c r="BP38" t="str">
        <f t="shared" si="7"/>
        <v>,`EVNT_DEL_DY` varchar(8)  COMMENT '組合せ自動削除日数'</v>
      </c>
      <c r="BQ38" t="s">
        <v>223</v>
      </c>
      <c r="BR38" t="str">
        <f t="shared" si="8"/>
        <v xml:space="preserve">,`EVNT_DEL_DY` varchar(8) </v>
      </c>
      <c r="BS38" t="s">
        <v>223</v>
      </c>
      <c r="BT38" t="str">
        <f t="shared" si="9"/>
        <v>,`EVNT_DEL_DY`</v>
      </c>
      <c r="BU38" t="s">
        <v>223</v>
      </c>
      <c r="BV38" s="82" t="str">
        <f t="shared" si="10"/>
        <v>,A.`EVNT_DEL_DY` = B.`EVNT_DEL_DY`</v>
      </c>
      <c r="BW38" t="s">
        <v>223</v>
      </c>
      <c r="BX38" s="82" t="str">
        <f t="shared" si="11"/>
        <v>,`EVNT_DEL_DY`</v>
      </c>
      <c r="BY38" t="s">
        <v>223</v>
      </c>
      <c r="BZ38" s="82" t="str">
        <f t="shared" si="12"/>
        <v>,`EVNT_DEL_DY`</v>
      </c>
      <c r="CA38" t="s">
        <v>223</v>
      </c>
    </row>
    <row r="39" spans="1:79" ht="15" customHeight="1">
      <c r="A39" s="84" t="s">
        <v>530</v>
      </c>
      <c r="B39" s="23">
        <v>9</v>
      </c>
      <c r="C39" s="24"/>
      <c r="D39" s="22" t="s">
        <v>807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667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 cm="1">
        <f t="array" ref="AC39">_xlfn.SWITCH(BM39,"String","varchar("&amp;BN39&amp;")","Long","int","Integer","smallint","Double","decimal(9,2)","Currency","int")</f>
        <v>smallint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 t="s">
        <v>1103</v>
      </c>
      <c r="AU39" s="25"/>
      <c r="AV39" s="25"/>
      <c r="AW39" s="25"/>
      <c r="AX39" s="25"/>
      <c r="AY39" s="25"/>
      <c r="AZ39" s="25" t="s">
        <v>1104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M39" t="s">
        <v>451</v>
      </c>
      <c r="BP39" t="str">
        <f t="shared" si="7"/>
        <v>,`EVNT_SRC` smallint  COMMENT '組合せ優先区分'</v>
      </c>
      <c r="BQ39" t="s">
        <v>223</v>
      </c>
      <c r="BR39" t="str">
        <f t="shared" si="8"/>
        <v xml:space="preserve">,`EVNT_SRC` smallint </v>
      </c>
      <c r="BS39" t="s">
        <v>223</v>
      </c>
      <c r="BT39" t="str">
        <f t="shared" si="9"/>
        <v>,`EVNT_SRC`</v>
      </c>
      <c r="BU39" t="s">
        <v>223</v>
      </c>
      <c r="BV39" s="82" t="str">
        <f t="shared" si="10"/>
        <v>,A.`EVNT_SRC` = B.`EVNT_SRC`</v>
      </c>
      <c r="BW39" t="s">
        <v>223</v>
      </c>
      <c r="BX39" s="82" t="str">
        <f t="shared" si="11"/>
        <v>,`EVNT_SRC`</v>
      </c>
      <c r="BY39" t="s">
        <v>223</v>
      </c>
      <c r="BZ39" s="82" t="str">
        <f t="shared" si="12"/>
        <v>,`EVNT_SRC`</v>
      </c>
      <c r="CA39" t="s">
        <v>223</v>
      </c>
    </row>
    <row r="40" spans="1:79" ht="15" customHeight="1">
      <c r="A40" s="84" t="s">
        <v>531</v>
      </c>
      <c r="B40" s="23">
        <v>9</v>
      </c>
      <c r="C40" s="24"/>
      <c r="D40" s="22" t="s">
        <v>808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668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 cm="1">
        <f t="array" ref="AC40">_xlfn.SWITCH(BM40,"String","varchar("&amp;BN40&amp;")","Long","int","Integer","smallint","Double","decimal(9,2)","Currency","int")</f>
        <v>smallint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 t="s">
        <v>1105</v>
      </c>
      <c r="AU40" s="25"/>
      <c r="AV40" s="25"/>
      <c r="AW40" s="25"/>
      <c r="AX40" s="25"/>
      <c r="AY40" s="25"/>
      <c r="AZ40" s="25" t="s">
        <v>1095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M40" t="s">
        <v>451</v>
      </c>
      <c r="BP40" t="str">
        <f t="shared" si="7"/>
        <v>,`EVNT_EXCL_FG` smallint  COMMENT '組合せ保留フラグ'</v>
      </c>
      <c r="BQ40" t="s">
        <v>223</v>
      </c>
      <c r="BR40" t="str">
        <f t="shared" si="8"/>
        <v xml:space="preserve">,`EVNT_EXCL_FG` smallint </v>
      </c>
      <c r="BS40" t="s">
        <v>223</v>
      </c>
      <c r="BT40" t="str">
        <f t="shared" si="9"/>
        <v>,`EVNT_EXCL_FG`</v>
      </c>
      <c r="BU40" t="s">
        <v>223</v>
      </c>
      <c r="BV40" s="82" t="str">
        <f t="shared" si="10"/>
        <v>,A.`EVNT_EXCL_FG` = B.`EVNT_EXCL_FG`</v>
      </c>
      <c r="BW40" t="s">
        <v>223</v>
      </c>
      <c r="BX40" s="82" t="str">
        <f t="shared" si="11"/>
        <v>,`EVNT_EXCL_FG`</v>
      </c>
      <c r="BY40" t="s">
        <v>223</v>
      </c>
      <c r="BZ40" s="82" t="str">
        <f t="shared" si="12"/>
        <v>,`EVNT_EXCL_FG`</v>
      </c>
      <c r="CA40" t="s">
        <v>223</v>
      </c>
    </row>
    <row r="41" spans="1:79" ht="15" customHeight="1">
      <c r="A41" s="84" t="s">
        <v>532</v>
      </c>
      <c r="B41" s="23">
        <v>9</v>
      </c>
      <c r="C41" s="24"/>
      <c r="D41" s="22" t="s">
        <v>623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669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 cm="1">
        <f t="array" ref="AC41">_xlfn.SWITCH(BM41,"String","varchar("&amp;BN41&amp;")","Long","int","Integer","smallint","Double","decimal(9,2)","Currency","int")</f>
        <v>smallint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 t="s">
        <v>1106</v>
      </c>
      <c r="AU41" s="25"/>
      <c r="AV41" s="25"/>
      <c r="AW41" s="25"/>
      <c r="AX41" s="25"/>
      <c r="AY41" s="25"/>
      <c r="AZ41" s="25" t="s">
        <v>1095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M41" t="s">
        <v>451</v>
      </c>
      <c r="BP41" t="str">
        <f t="shared" si="7"/>
        <v>,`TIME_SERVICE_FG` smallint  COMMENT 'タイムサービスフラグ'</v>
      </c>
      <c r="BQ41" t="s">
        <v>223</v>
      </c>
      <c r="BR41" t="str">
        <f t="shared" si="8"/>
        <v xml:space="preserve">,`TIME_SERVICE_FG` smallint </v>
      </c>
      <c r="BS41" t="s">
        <v>223</v>
      </c>
      <c r="BT41" t="str">
        <f t="shared" si="9"/>
        <v>,`TIME_SERVICE_FG`</v>
      </c>
      <c r="BU41" t="s">
        <v>223</v>
      </c>
      <c r="BV41" s="82" t="str">
        <f t="shared" si="10"/>
        <v>,A.`TIME_SERVICE_FG` = B.`TIME_SERVICE_FG`</v>
      </c>
      <c r="BW41" t="s">
        <v>223</v>
      </c>
      <c r="BX41" s="82" t="str">
        <f t="shared" si="11"/>
        <v>,`TIME_SERVICE_FG`</v>
      </c>
      <c r="BY41" t="s">
        <v>223</v>
      </c>
      <c r="BZ41" s="82" t="str">
        <f t="shared" si="12"/>
        <v>,`TIME_SERVICE_FG`</v>
      </c>
      <c r="CA41" t="s">
        <v>223</v>
      </c>
    </row>
    <row r="42" spans="1:79" ht="15" customHeight="1">
      <c r="A42" s="84" t="s">
        <v>533</v>
      </c>
      <c r="B42" s="23">
        <v>9</v>
      </c>
      <c r="C42" s="24"/>
      <c r="D42" s="22" t="s">
        <v>809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670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 cm="1">
        <f t="array" ref="AC42">_xlfn.SWITCH(BM42,"String","varchar("&amp;BN42&amp;")","Long","int","Integer","smallint","Double","decimal(9,2)","Currency","int")</f>
        <v>smallint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 t="s">
        <v>712</v>
      </c>
      <c r="AU42" s="25"/>
      <c r="AV42" s="25"/>
      <c r="AW42" s="25"/>
      <c r="AX42" s="25"/>
      <c r="AY42" s="25"/>
      <c r="AZ42" s="25" t="s">
        <v>1095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M42" t="s">
        <v>451</v>
      </c>
      <c r="BP42" t="str">
        <f t="shared" si="7"/>
        <v>,`MON_EXCL_FG` smallint  COMMENT '月曜日除外フラグ'</v>
      </c>
      <c r="BQ42" t="s">
        <v>223</v>
      </c>
      <c r="BR42" t="str">
        <f t="shared" si="8"/>
        <v xml:space="preserve">,`MON_EXCL_FG` smallint </v>
      </c>
      <c r="BS42" t="s">
        <v>223</v>
      </c>
      <c r="BT42" t="str">
        <f t="shared" si="9"/>
        <v>,`MON_EXCL_FG`</v>
      </c>
      <c r="BU42" t="s">
        <v>223</v>
      </c>
      <c r="BV42" s="82" t="str">
        <f t="shared" si="10"/>
        <v>,A.`MON_EXCL_FG` = B.`MON_EXCL_FG`</v>
      </c>
      <c r="BW42" t="s">
        <v>223</v>
      </c>
      <c r="BX42" s="82" t="str">
        <f t="shared" si="11"/>
        <v>,`MON_EXCL_FG`</v>
      </c>
      <c r="BY42" t="s">
        <v>223</v>
      </c>
      <c r="BZ42" s="82" t="str">
        <f t="shared" si="12"/>
        <v>,`MON_EXCL_FG`</v>
      </c>
      <c r="CA42" t="s">
        <v>223</v>
      </c>
    </row>
    <row r="43" spans="1:79" ht="15" customHeight="1">
      <c r="A43" s="84" t="s">
        <v>246</v>
      </c>
      <c r="B43" s="23">
        <v>9</v>
      </c>
      <c r="C43" s="24"/>
      <c r="D43" s="22" t="s">
        <v>810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671</v>
      </c>
      <c r="S43" s="25"/>
      <c r="T43" s="25"/>
      <c r="U43" s="25"/>
      <c r="V43" s="25"/>
      <c r="W43" s="25"/>
      <c r="X43" s="25"/>
      <c r="Y43" s="25"/>
      <c r="Z43" s="25"/>
      <c r="AA43" s="25"/>
      <c r="AB43" s="26"/>
      <c r="AC43" s="257" t="str" cm="1">
        <f t="array" ref="AC43">_xlfn.SWITCH(BM43,"String","varchar("&amp;BN43&amp;")","Long","int","Integer","smallint","Double","decimal(9,2)","Currency","int")</f>
        <v>smallint</v>
      </c>
      <c r="AD43" s="258"/>
      <c r="AE43" s="258"/>
      <c r="AF43" s="258"/>
      <c r="AG43" s="259"/>
      <c r="AH43" s="22"/>
      <c r="AI43" s="26"/>
      <c r="AJ43" s="22"/>
      <c r="AK43" s="25"/>
      <c r="AL43" s="26"/>
      <c r="AM43" s="22"/>
      <c r="AN43" s="25"/>
      <c r="AO43" s="25"/>
      <c r="AP43" s="25"/>
      <c r="AQ43" s="25"/>
      <c r="AR43" s="25"/>
      <c r="AS43" s="26"/>
      <c r="AT43" s="22" t="s">
        <v>712</v>
      </c>
      <c r="AU43" s="25"/>
      <c r="AV43" s="25"/>
      <c r="AW43" s="25"/>
      <c r="AX43" s="25"/>
      <c r="AY43" s="25"/>
      <c r="AZ43" s="25" t="s">
        <v>1095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4"/>
      <c r="BM43" t="s">
        <v>451</v>
      </c>
      <c r="BP43" t="str">
        <f t="shared" si="1"/>
        <v>,`TUES_EXCL_FG` smallint  COMMENT '火曜日除外フラグ'</v>
      </c>
      <c r="BQ43" t="s">
        <v>223</v>
      </c>
      <c r="BR43" t="str">
        <f t="shared" si="4"/>
        <v xml:space="preserve">,`TUES_EXCL_FG` smallint </v>
      </c>
      <c r="BS43" t="s">
        <v>223</v>
      </c>
      <c r="BT43" t="str">
        <f t="shared" si="5"/>
        <v>,`TUES_EXCL_FG`</v>
      </c>
      <c r="BU43" t="s">
        <v>223</v>
      </c>
      <c r="BV43" s="82" t="str">
        <f t="shared" si="2"/>
        <v>,A.`TUES_EXCL_FG` = B.`TUES_EXCL_FG`</v>
      </c>
      <c r="BW43" t="s">
        <v>223</v>
      </c>
      <c r="BX43" s="82" t="str">
        <f t="shared" si="6"/>
        <v>,`TUES_EXCL_FG`</v>
      </c>
      <c r="BY43" t="s">
        <v>223</v>
      </c>
      <c r="BZ43" s="82" t="str">
        <f t="shared" si="3"/>
        <v>,`TUES_EXCL_FG`</v>
      </c>
      <c r="CA43" t="s">
        <v>223</v>
      </c>
    </row>
    <row r="44" spans="1:79" ht="15" customHeight="1">
      <c r="A44" s="84" t="s">
        <v>247</v>
      </c>
      <c r="B44" s="23">
        <v>9</v>
      </c>
      <c r="C44" s="24"/>
      <c r="D44" s="22" t="s">
        <v>811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672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 cm="1">
        <f t="array" ref="AC44">_xlfn.SWITCH(BM44,"String","varchar("&amp;BN44&amp;")","Long","int","Integer","smallint","Double","decimal(9,2)","Currency","int")</f>
        <v>smallint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 t="s">
        <v>712</v>
      </c>
      <c r="AU44" s="25"/>
      <c r="AV44" s="25"/>
      <c r="AW44" s="25"/>
      <c r="AX44" s="25"/>
      <c r="AY44" s="25"/>
      <c r="AZ44" s="25" t="s">
        <v>1095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M44" t="s">
        <v>451</v>
      </c>
      <c r="BP44" t="str">
        <f t="shared" si="1"/>
        <v>,`WED_EXCL_FG` smallint  COMMENT '水曜日除外フラグ'</v>
      </c>
      <c r="BQ44" t="s">
        <v>223</v>
      </c>
      <c r="BR44" t="str">
        <f t="shared" si="4"/>
        <v xml:space="preserve">,`WED_EXCL_FG` smallint </v>
      </c>
      <c r="BS44" t="s">
        <v>223</v>
      </c>
      <c r="BT44" t="str">
        <f t="shared" si="5"/>
        <v>,`WED_EXCL_FG`</v>
      </c>
      <c r="BU44" t="s">
        <v>223</v>
      </c>
      <c r="BV44" s="82" t="str">
        <f t="shared" si="2"/>
        <v>,A.`WED_EXCL_FG` = B.`WED_EXCL_FG`</v>
      </c>
      <c r="BW44" t="s">
        <v>223</v>
      </c>
      <c r="BX44" s="82" t="str">
        <f t="shared" si="6"/>
        <v>,`WED_EXCL_FG`</v>
      </c>
      <c r="BY44" t="s">
        <v>223</v>
      </c>
      <c r="BZ44" s="82" t="str">
        <f t="shared" si="3"/>
        <v>,`WED_EXCL_FG`</v>
      </c>
      <c r="CA44" t="s">
        <v>223</v>
      </c>
    </row>
    <row r="45" spans="1:79" ht="15" customHeight="1">
      <c r="A45" s="84" t="s">
        <v>248</v>
      </c>
      <c r="B45" s="23">
        <v>9</v>
      </c>
      <c r="C45" s="24"/>
      <c r="D45" s="22" t="s">
        <v>812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673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57" t="str" cm="1">
        <f t="array" ref="AC45">_xlfn.SWITCH(BM45,"String","varchar("&amp;BN45&amp;")","Long","int","Integer","smallint","Double","decimal(9,2)","Currency","int")</f>
        <v>smallint</v>
      </c>
      <c r="AD45" s="258"/>
      <c r="AE45" s="258"/>
      <c r="AF45" s="258"/>
      <c r="AG45" s="259"/>
      <c r="AH45" s="22"/>
      <c r="AI45" s="26"/>
      <c r="AJ45" s="22"/>
      <c r="AK45" s="25"/>
      <c r="AL45" s="26"/>
      <c r="AM45" s="22"/>
      <c r="AN45" s="25"/>
      <c r="AO45" s="25"/>
      <c r="AP45" s="25"/>
      <c r="AQ45" s="25"/>
      <c r="AR45" s="25"/>
      <c r="AS45" s="26"/>
      <c r="AT45" s="22" t="s">
        <v>712</v>
      </c>
      <c r="AU45" s="25"/>
      <c r="AV45" s="25"/>
      <c r="AW45" s="25"/>
      <c r="AX45" s="25"/>
      <c r="AY45" s="25"/>
      <c r="AZ45" s="25" t="s">
        <v>1095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4"/>
      <c r="BM45" t="s">
        <v>451</v>
      </c>
      <c r="BP45" t="str">
        <f t="shared" si="1"/>
        <v>,`THUS_EXCL_FG` smallint  COMMENT '木曜日除外フラグ'</v>
      </c>
      <c r="BQ45" t="s">
        <v>223</v>
      </c>
      <c r="BR45" t="str">
        <f t="shared" si="4"/>
        <v xml:space="preserve">,`THUS_EXCL_FG` smallint </v>
      </c>
      <c r="BS45" t="s">
        <v>223</v>
      </c>
      <c r="BT45" t="str">
        <f t="shared" si="5"/>
        <v>,`THUS_EXCL_FG`</v>
      </c>
      <c r="BU45" t="s">
        <v>223</v>
      </c>
      <c r="BV45" s="82" t="str">
        <f t="shared" si="2"/>
        <v>,A.`THUS_EXCL_FG` = B.`THUS_EXCL_FG`</v>
      </c>
      <c r="BW45" t="s">
        <v>223</v>
      </c>
      <c r="BX45" s="82" t="str">
        <f t="shared" si="6"/>
        <v>,`THUS_EXCL_FG`</v>
      </c>
      <c r="BY45" t="s">
        <v>223</v>
      </c>
      <c r="BZ45" s="82" t="str">
        <f t="shared" si="3"/>
        <v>,`THUS_EXCL_FG`</v>
      </c>
      <c r="CA45" t="s">
        <v>223</v>
      </c>
    </row>
    <row r="46" spans="1:79" ht="15" customHeight="1">
      <c r="A46" s="84" t="s">
        <v>525</v>
      </c>
      <c r="B46" s="23">
        <v>9</v>
      </c>
      <c r="C46" s="24"/>
      <c r="D46" s="22" t="s">
        <v>813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674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 cm="1">
        <f t="array" ref="AC46">_xlfn.SWITCH(BM46,"String","varchar("&amp;BN46&amp;")","Long","int","Integer","smallint","Double","decimal(9,2)","Currency","int")</f>
        <v>smallint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 t="s">
        <v>712</v>
      </c>
      <c r="AU46" s="25"/>
      <c r="AV46" s="25"/>
      <c r="AW46" s="25"/>
      <c r="AX46" s="25"/>
      <c r="AY46" s="25"/>
      <c r="AZ46" s="25" t="s">
        <v>1095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M46" t="s">
        <v>451</v>
      </c>
      <c r="BP46" t="str">
        <f t="shared" si="1"/>
        <v>,`FRI_EXCL_FG` smallint  COMMENT '金曜日除外フラグ'</v>
      </c>
      <c r="BQ46" t="s">
        <v>223</v>
      </c>
      <c r="BR46" t="str">
        <f t="shared" si="4"/>
        <v xml:space="preserve">,`FRI_EXCL_FG` smallint </v>
      </c>
      <c r="BS46" t="s">
        <v>223</v>
      </c>
      <c r="BT46" t="str">
        <f t="shared" si="5"/>
        <v>,`FRI_EXCL_FG`</v>
      </c>
      <c r="BU46" t="s">
        <v>223</v>
      </c>
      <c r="BV46" s="82" t="str">
        <f t="shared" si="2"/>
        <v>,A.`FRI_EXCL_FG` = B.`FRI_EXCL_FG`</v>
      </c>
      <c r="BW46" t="s">
        <v>223</v>
      </c>
      <c r="BX46" s="82" t="str">
        <f t="shared" si="6"/>
        <v>,`FRI_EXCL_FG`</v>
      </c>
      <c r="BY46" t="s">
        <v>223</v>
      </c>
      <c r="BZ46" s="82" t="str">
        <f t="shared" si="3"/>
        <v>,`FRI_EXCL_FG`</v>
      </c>
      <c r="CA46" t="s">
        <v>223</v>
      </c>
    </row>
    <row r="47" spans="1:79" ht="15" customHeight="1">
      <c r="A47" s="84" t="s">
        <v>526</v>
      </c>
      <c r="B47" s="23">
        <v>9</v>
      </c>
      <c r="C47" s="24"/>
      <c r="D47" s="22" t="s">
        <v>814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675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 cm="1">
        <f t="array" ref="AC47">_xlfn.SWITCH(BM47,"String","varchar("&amp;BN47&amp;")","Long","int","Integer","smallint","Double","decimal(9,2)","Currency","int")</f>
        <v>smallint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 t="s">
        <v>712</v>
      </c>
      <c r="AU47" s="25"/>
      <c r="AV47" s="25"/>
      <c r="AW47" s="25"/>
      <c r="AX47" s="25"/>
      <c r="AY47" s="25"/>
      <c r="AZ47" s="25" t="s">
        <v>1095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M47" t="s">
        <v>451</v>
      </c>
      <c r="BP47" t="str">
        <f t="shared" si="1"/>
        <v>,`SAT_EXCL_FG` smallint  COMMENT '土曜日除外フラグ'</v>
      </c>
      <c r="BQ47" t="s">
        <v>223</v>
      </c>
      <c r="BR47" t="str">
        <f t="shared" si="4"/>
        <v xml:space="preserve">,`SAT_EXCL_FG` smallint </v>
      </c>
      <c r="BS47" t="s">
        <v>223</v>
      </c>
      <c r="BT47" t="str">
        <f t="shared" si="5"/>
        <v>,`SAT_EXCL_FG`</v>
      </c>
      <c r="BU47" t="s">
        <v>223</v>
      </c>
      <c r="BV47" s="82" t="str">
        <f t="shared" si="2"/>
        <v>,A.`SAT_EXCL_FG` = B.`SAT_EXCL_FG`</v>
      </c>
      <c r="BW47" t="s">
        <v>223</v>
      </c>
      <c r="BX47" s="82" t="str">
        <f t="shared" si="6"/>
        <v>,`SAT_EXCL_FG`</v>
      </c>
      <c r="BY47" t="s">
        <v>223</v>
      </c>
      <c r="BZ47" s="82" t="str">
        <f t="shared" si="3"/>
        <v>,`SAT_EXCL_FG`</v>
      </c>
      <c r="CA47" t="s">
        <v>223</v>
      </c>
    </row>
    <row r="48" spans="1:79" ht="15" customHeight="1">
      <c r="A48" s="84" t="s">
        <v>527</v>
      </c>
      <c r="B48" s="23">
        <v>9</v>
      </c>
      <c r="C48" s="24"/>
      <c r="D48" s="22" t="s">
        <v>815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676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 cm="1">
        <f t="array" ref="AC48">_xlfn.SWITCH(BM48,"String","varchar("&amp;BN48&amp;")","Long","int","Integer","smallint","Double","decimal(9,2)","Currency","int")</f>
        <v>smallint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2" t="s">
        <v>712</v>
      </c>
      <c r="AU48" s="25"/>
      <c r="AV48" s="25"/>
      <c r="AW48" s="25"/>
      <c r="AX48" s="25"/>
      <c r="AY48" s="25"/>
      <c r="AZ48" s="25" t="s">
        <v>1095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4"/>
      <c r="BM48" t="s">
        <v>451</v>
      </c>
      <c r="BP48" t="str">
        <f t="shared" ref="BP48:BP66" si="13">",`"&amp;R48&amp;"` "&amp;AC48&amp;" "&amp;IF(AJ48="Y","NOT NULL","")&amp;" COMMENT '"&amp;D48&amp;"'"</f>
        <v>,`SUN_EXCL_FG` smallint  COMMENT '日曜日除外フラグ'</v>
      </c>
      <c r="BQ48" t="s">
        <v>223</v>
      </c>
      <c r="BR48" t="str">
        <f t="shared" ref="BR48:BR66" si="14">",`"&amp;R48&amp;"` "&amp;AC48&amp;" "&amp;IF(AJ48="Y","NOT NULL","")</f>
        <v xml:space="preserve">,`SUN_EXCL_FG` smallint </v>
      </c>
      <c r="BS48" t="s">
        <v>223</v>
      </c>
      <c r="BT48" t="str">
        <f t="shared" ref="BT48:BT66" si="15">",`"&amp;R48&amp;"`"</f>
        <v>,`SUN_EXCL_FG`</v>
      </c>
      <c r="BU48" t="s">
        <v>223</v>
      </c>
      <c r="BV48" s="82" t="str">
        <f t="shared" ref="BV48:BV66" si="16">",A.`"&amp;R48&amp;"` = B.`"&amp;R48&amp;"`"</f>
        <v>,A.`SUN_EXCL_FG` = B.`SUN_EXCL_FG`</v>
      </c>
      <c r="BW48" t="s">
        <v>223</v>
      </c>
      <c r="BX48" s="82" t="str">
        <f t="shared" ref="BX48:BX66" si="17">",`"&amp;R48&amp;"`"</f>
        <v>,`SUN_EXCL_FG`</v>
      </c>
      <c r="BY48" t="s">
        <v>223</v>
      </c>
      <c r="BZ48" s="82" t="str">
        <f t="shared" ref="BZ48:BZ66" si="18">",`"&amp;R48&amp;"`"</f>
        <v>,`SUN_EXCL_FG`</v>
      </c>
      <c r="CA48" t="s">
        <v>223</v>
      </c>
    </row>
    <row r="49" spans="1:79" ht="15" customHeight="1">
      <c r="A49" s="84" t="s">
        <v>528</v>
      </c>
      <c r="B49" s="89">
        <v>9</v>
      </c>
      <c r="C49" s="90"/>
      <c r="D49" s="91" t="s">
        <v>816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  <c r="R49" s="91" t="s">
        <v>1085</v>
      </c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285" t="s">
        <v>521</v>
      </c>
      <c r="AD49" s="286"/>
      <c r="AE49" s="286"/>
      <c r="AF49" s="286"/>
      <c r="AG49" s="287"/>
      <c r="AH49" s="91"/>
      <c r="AI49" s="93"/>
      <c r="AJ49" s="91"/>
      <c r="AK49" s="92"/>
      <c r="AL49" s="93"/>
      <c r="AM49" s="91"/>
      <c r="AN49" s="92"/>
      <c r="AO49" s="92"/>
      <c r="AP49" s="92"/>
      <c r="AQ49" s="92"/>
      <c r="AR49" s="92"/>
      <c r="AS49" s="93"/>
      <c r="AT49" s="91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3"/>
      <c r="BK49" s="4"/>
      <c r="BP49" t="str">
        <f t="shared" si="13"/>
        <v>,`YOBI1` smallint  COMMENT '？？？？？？？？'</v>
      </c>
      <c r="BQ49" t="s">
        <v>223</v>
      </c>
      <c r="BR49" t="str">
        <f t="shared" si="14"/>
        <v xml:space="preserve">,`YOBI1` smallint </v>
      </c>
      <c r="BS49" t="s">
        <v>223</v>
      </c>
      <c r="BT49" t="str">
        <f t="shared" si="15"/>
        <v>,`YOBI1`</v>
      </c>
      <c r="BU49" t="s">
        <v>223</v>
      </c>
      <c r="BV49" s="82" t="str">
        <f t="shared" si="16"/>
        <v>,A.`YOBI1` = B.`YOBI1`</v>
      </c>
      <c r="BW49" t="s">
        <v>223</v>
      </c>
      <c r="BX49" s="82" t="str">
        <f t="shared" si="17"/>
        <v>,`YOBI1`</v>
      </c>
      <c r="BY49" t="s">
        <v>223</v>
      </c>
      <c r="BZ49" s="82" t="str">
        <f t="shared" si="18"/>
        <v>,`YOBI1`</v>
      </c>
      <c r="CA49" t="s">
        <v>223</v>
      </c>
    </row>
    <row r="50" spans="1:79" ht="15" customHeight="1">
      <c r="A50" s="84" t="s">
        <v>529</v>
      </c>
      <c r="B50" s="23">
        <v>9</v>
      </c>
      <c r="C50" s="24"/>
      <c r="D50" s="22" t="s">
        <v>635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2" t="s">
        <v>681</v>
      </c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57" t="str" cm="1">
        <f t="array" ref="AC50">_xlfn.SWITCH(BM50,"String","varchar("&amp;BN50&amp;")","Long","int","Integer","smallint","Double","decimal(9,2)","Currency","int")</f>
        <v>varchar(4)</v>
      </c>
      <c r="AD50" s="258"/>
      <c r="AE50" s="258"/>
      <c r="AF50" s="258"/>
      <c r="AG50" s="259"/>
      <c r="AH50" s="22"/>
      <c r="AI50" s="26"/>
      <c r="AJ50" s="22"/>
      <c r="AK50" s="25"/>
      <c r="AL50" s="26"/>
      <c r="AM50" s="22"/>
      <c r="AN50" s="25"/>
      <c r="AO50" s="25"/>
      <c r="AP50" s="25"/>
      <c r="AQ50" s="25"/>
      <c r="AR50" s="25"/>
      <c r="AS50" s="26"/>
      <c r="AT50" s="22" t="s">
        <v>1107</v>
      </c>
      <c r="AU50" s="25"/>
      <c r="AV50" s="25"/>
      <c r="AW50" s="25"/>
      <c r="AX50" s="25"/>
      <c r="AY50" s="25"/>
      <c r="AZ50" s="25" t="s">
        <v>1108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4"/>
      <c r="BM50" t="s">
        <v>449</v>
      </c>
      <c r="BN50">
        <v>4</v>
      </c>
      <c r="BP50" t="str">
        <f t="shared" si="13"/>
        <v>,`PROMO_BGN_TM` varchar(4)  COMMENT '特売開始時間'</v>
      </c>
      <c r="BQ50" t="s">
        <v>223</v>
      </c>
      <c r="BR50" t="str">
        <f t="shared" si="14"/>
        <v xml:space="preserve">,`PROMO_BGN_TM` varchar(4) </v>
      </c>
      <c r="BS50" t="s">
        <v>223</v>
      </c>
      <c r="BT50" t="str">
        <f t="shared" si="15"/>
        <v>,`PROMO_BGN_TM`</v>
      </c>
      <c r="BU50" t="s">
        <v>223</v>
      </c>
      <c r="BV50" s="82" t="str">
        <f t="shared" si="16"/>
        <v>,A.`PROMO_BGN_TM` = B.`PROMO_BGN_TM`</v>
      </c>
      <c r="BW50" t="s">
        <v>223</v>
      </c>
      <c r="BX50" s="82" t="str">
        <f t="shared" si="17"/>
        <v>,`PROMO_BGN_TM`</v>
      </c>
      <c r="BY50" t="s">
        <v>223</v>
      </c>
      <c r="BZ50" s="82" t="str">
        <f t="shared" si="18"/>
        <v>,`PROMO_BGN_TM`</v>
      </c>
      <c r="CA50" t="s">
        <v>223</v>
      </c>
    </row>
    <row r="51" spans="1:79" ht="15" customHeight="1">
      <c r="A51" s="84" t="s">
        <v>530</v>
      </c>
      <c r="B51" s="23">
        <v>9</v>
      </c>
      <c r="C51" s="24"/>
      <c r="D51" s="22" t="s">
        <v>817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6"/>
      <c r="R51" s="22" t="s">
        <v>682</v>
      </c>
      <c r="S51" s="25"/>
      <c r="T51" s="25"/>
      <c r="U51" s="25"/>
      <c r="V51" s="25"/>
      <c r="W51" s="25"/>
      <c r="X51" s="25"/>
      <c r="Y51" s="25"/>
      <c r="Z51" s="25"/>
      <c r="AA51" s="25"/>
      <c r="AB51" s="26"/>
      <c r="AC51" s="257" t="str" cm="1">
        <f t="array" ref="AC51">_xlfn.SWITCH(BM51,"String","varchar("&amp;BN51&amp;")","Long","int","Integer","smallint","Double","decimal(9,2)","Currency","int")</f>
        <v>varchar(4)</v>
      </c>
      <c r="AD51" s="258"/>
      <c r="AE51" s="258"/>
      <c r="AF51" s="258"/>
      <c r="AG51" s="259"/>
      <c r="AH51" s="22"/>
      <c r="AI51" s="26"/>
      <c r="AJ51" s="22"/>
      <c r="AK51" s="25"/>
      <c r="AL51" s="26"/>
      <c r="AM51" s="22"/>
      <c r="AN51" s="25"/>
      <c r="AO51" s="25"/>
      <c r="AP51" s="25"/>
      <c r="AQ51" s="25"/>
      <c r="AR51" s="25"/>
      <c r="AS51" s="26"/>
      <c r="AT51" s="22" t="s">
        <v>1107</v>
      </c>
      <c r="AU51" s="25"/>
      <c r="AV51" s="25"/>
      <c r="AW51" s="25"/>
      <c r="AX51" s="25"/>
      <c r="AY51" s="25"/>
      <c r="AZ51" s="25" t="s">
        <v>1108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6"/>
      <c r="BK51" s="4"/>
      <c r="BM51" t="s">
        <v>449</v>
      </c>
      <c r="BN51">
        <v>4</v>
      </c>
      <c r="BP51" t="str">
        <f t="shared" si="13"/>
        <v>,`PROMO_END_TM` varchar(4)  COMMENT '特売終了時間'</v>
      </c>
      <c r="BQ51" t="s">
        <v>223</v>
      </c>
      <c r="BR51" t="str">
        <f t="shared" si="14"/>
        <v xml:space="preserve">,`PROMO_END_TM` varchar(4) </v>
      </c>
      <c r="BS51" t="s">
        <v>223</v>
      </c>
      <c r="BT51" t="str">
        <f t="shared" si="15"/>
        <v>,`PROMO_END_TM`</v>
      </c>
      <c r="BU51" t="s">
        <v>223</v>
      </c>
      <c r="BV51" s="82" t="str">
        <f t="shared" si="16"/>
        <v>,A.`PROMO_END_TM` = B.`PROMO_END_TM`</v>
      </c>
      <c r="BW51" t="s">
        <v>223</v>
      </c>
      <c r="BX51" s="82" t="str">
        <f t="shared" si="17"/>
        <v>,`PROMO_END_TM`</v>
      </c>
      <c r="BY51" t="s">
        <v>223</v>
      </c>
      <c r="BZ51" s="82" t="str">
        <f t="shared" si="18"/>
        <v>,`PROMO_END_TM`</v>
      </c>
      <c r="CA51" t="s">
        <v>223</v>
      </c>
    </row>
    <row r="52" spans="1:79" ht="15" customHeight="1">
      <c r="A52" s="84" t="s">
        <v>531</v>
      </c>
      <c r="B52" s="23">
        <v>9</v>
      </c>
      <c r="C52" s="24"/>
      <c r="D52" s="22" t="s">
        <v>818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2" t="s">
        <v>960</v>
      </c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57" t="str" cm="1">
        <f t="array" ref="AC52">_xlfn.SWITCH(BM52,"String","varchar("&amp;BN52&amp;")","Long","int","Integer","smallint","Double","decimal(9,2)","Currency","int")</f>
        <v>smallint</v>
      </c>
      <c r="AD52" s="258"/>
      <c r="AE52" s="258"/>
      <c r="AF52" s="258"/>
      <c r="AG52" s="259"/>
      <c r="AH52" s="22"/>
      <c r="AI52" s="26"/>
      <c r="AJ52" s="22"/>
      <c r="AK52" s="25"/>
      <c r="AL52" s="26"/>
      <c r="AM52" s="22"/>
      <c r="AN52" s="25"/>
      <c r="AO52" s="25"/>
      <c r="AP52" s="25"/>
      <c r="AQ52" s="25"/>
      <c r="AR52" s="25"/>
      <c r="AS52" s="26"/>
      <c r="AT52" s="22" t="s">
        <v>1109</v>
      </c>
      <c r="AU52" s="25"/>
      <c r="AV52" s="25"/>
      <c r="AW52" s="25"/>
      <c r="AX52" s="25"/>
      <c r="AY52" s="25"/>
      <c r="AZ52" s="25" t="s">
        <v>1110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4"/>
      <c r="BM52" t="s">
        <v>451</v>
      </c>
      <c r="BP52" t="str">
        <f t="shared" si="13"/>
        <v>,`DISC_MTHD1` smallint  COMMENT '割引タイプ１'</v>
      </c>
      <c r="BQ52" t="s">
        <v>223</v>
      </c>
      <c r="BR52" t="str">
        <f t="shared" si="14"/>
        <v xml:space="preserve">,`DISC_MTHD1` smallint </v>
      </c>
      <c r="BS52" t="s">
        <v>223</v>
      </c>
      <c r="BT52" t="str">
        <f t="shared" si="15"/>
        <v>,`DISC_MTHD1`</v>
      </c>
      <c r="BU52" t="s">
        <v>223</v>
      </c>
      <c r="BV52" s="82" t="str">
        <f t="shared" si="16"/>
        <v>,A.`DISC_MTHD1` = B.`DISC_MTHD1`</v>
      </c>
      <c r="BW52" t="s">
        <v>223</v>
      </c>
      <c r="BX52" s="82" t="str">
        <f t="shared" si="17"/>
        <v>,`DISC_MTHD1`</v>
      </c>
      <c r="BY52" t="s">
        <v>223</v>
      </c>
      <c r="BZ52" s="82" t="str">
        <f t="shared" si="18"/>
        <v>,`DISC_MTHD1`</v>
      </c>
      <c r="CA52" t="s">
        <v>223</v>
      </c>
    </row>
    <row r="53" spans="1:79" ht="15" customHeight="1">
      <c r="A53" s="84" t="s">
        <v>532</v>
      </c>
      <c r="B53" s="23">
        <v>9</v>
      </c>
      <c r="C53" s="24"/>
      <c r="D53" s="22" t="s">
        <v>819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2" t="s">
        <v>961</v>
      </c>
      <c r="S53" s="25"/>
      <c r="T53" s="25"/>
      <c r="U53" s="25"/>
      <c r="V53" s="25"/>
      <c r="W53" s="25"/>
      <c r="X53" s="25"/>
      <c r="Y53" s="25"/>
      <c r="Z53" s="25"/>
      <c r="AA53" s="25"/>
      <c r="AB53" s="26"/>
      <c r="AC53" s="257" t="str" cm="1">
        <f t="array" ref="AC53">_xlfn.SWITCH(BM53,"String","varchar("&amp;BN53&amp;")","Long","int","Integer","smallint","Double","decimal(9,2)","Currency","int")</f>
        <v>decimal(9,2)</v>
      </c>
      <c r="AD53" s="258"/>
      <c r="AE53" s="258"/>
      <c r="AF53" s="258"/>
      <c r="AG53" s="259"/>
      <c r="AH53" s="22"/>
      <c r="AI53" s="26"/>
      <c r="AJ53" s="22"/>
      <c r="AK53" s="25"/>
      <c r="AL53" s="26"/>
      <c r="AM53" s="22"/>
      <c r="AN53" s="25"/>
      <c r="AO53" s="25"/>
      <c r="AP53" s="25"/>
      <c r="AQ53" s="25"/>
      <c r="AR53" s="25"/>
      <c r="AS53" s="26"/>
      <c r="AT53" s="22" t="s">
        <v>464</v>
      </c>
      <c r="AU53" s="25"/>
      <c r="AV53" s="25"/>
      <c r="AW53" s="25"/>
      <c r="AX53" s="25"/>
      <c r="AY53" s="25"/>
      <c r="AZ53" s="25" t="s">
        <v>1095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4"/>
      <c r="BM53" t="s">
        <v>452</v>
      </c>
      <c r="BP53" t="str">
        <f t="shared" si="13"/>
        <v>,`DISC_VALUE1` decimal(9,2)  COMMENT '特売価格１'</v>
      </c>
      <c r="BQ53" t="s">
        <v>223</v>
      </c>
      <c r="BR53" t="str">
        <f t="shared" si="14"/>
        <v xml:space="preserve">,`DISC_VALUE1` decimal(9,2) </v>
      </c>
      <c r="BS53" t="s">
        <v>223</v>
      </c>
      <c r="BT53" t="str">
        <f t="shared" si="15"/>
        <v>,`DISC_VALUE1`</v>
      </c>
      <c r="BU53" t="s">
        <v>223</v>
      </c>
      <c r="BV53" s="82" t="str">
        <f t="shared" si="16"/>
        <v>,A.`DISC_VALUE1` = B.`DISC_VALUE1`</v>
      </c>
      <c r="BW53" t="s">
        <v>223</v>
      </c>
      <c r="BX53" s="82" t="str">
        <f t="shared" si="17"/>
        <v>,`DISC_VALUE1`</v>
      </c>
      <c r="BY53" t="s">
        <v>223</v>
      </c>
      <c r="BZ53" s="82" t="str">
        <f t="shared" si="18"/>
        <v>,`DISC_VALUE1`</v>
      </c>
      <c r="CA53" t="s">
        <v>223</v>
      </c>
    </row>
    <row r="54" spans="1:79" ht="15" customHeight="1">
      <c r="A54" s="84" t="s">
        <v>533</v>
      </c>
      <c r="B54" s="23">
        <v>9</v>
      </c>
      <c r="C54" s="24"/>
      <c r="D54" s="22" t="s">
        <v>820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962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57" t="str" cm="1">
        <f t="array" ref="AC54">_xlfn.SWITCH(BM54,"String","varchar("&amp;BN54&amp;")","Long","int","Integer","smallint","Double","decimal(9,2)","Currency","int")</f>
        <v>decimal(9,2)</v>
      </c>
      <c r="AD54" s="258"/>
      <c r="AE54" s="258"/>
      <c r="AF54" s="258"/>
      <c r="AG54" s="259"/>
      <c r="AH54" s="22"/>
      <c r="AI54" s="26"/>
      <c r="AJ54" s="22"/>
      <c r="AK54" s="25"/>
      <c r="AL54" s="26"/>
      <c r="AM54" s="22"/>
      <c r="AN54" s="25"/>
      <c r="AO54" s="25"/>
      <c r="AP54" s="25"/>
      <c r="AQ54" s="25"/>
      <c r="AR54" s="25"/>
      <c r="AS54" s="26"/>
      <c r="AT54" s="22" t="s">
        <v>1111</v>
      </c>
      <c r="AU54" s="25"/>
      <c r="AV54" s="25"/>
      <c r="AW54" s="25"/>
      <c r="AX54" s="25"/>
      <c r="AY54" s="25"/>
      <c r="AZ54" s="25" t="s">
        <v>1112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4"/>
      <c r="BM54" t="s">
        <v>452</v>
      </c>
      <c r="BP54" t="str">
        <f t="shared" si="13"/>
        <v>,`MIN_QTY1` decimal(9,2)  COMMENT 'Ｍ＆Ｍ数'</v>
      </c>
      <c r="BQ54" t="s">
        <v>223</v>
      </c>
      <c r="BR54" t="str">
        <f t="shared" si="14"/>
        <v xml:space="preserve">,`MIN_QTY1` decimal(9,2) </v>
      </c>
      <c r="BS54" t="s">
        <v>223</v>
      </c>
      <c r="BT54" t="str">
        <f t="shared" si="15"/>
        <v>,`MIN_QTY1`</v>
      </c>
      <c r="BU54" t="s">
        <v>223</v>
      </c>
      <c r="BV54" s="82" t="str">
        <f t="shared" si="16"/>
        <v>,A.`MIN_QTY1` = B.`MIN_QTY1`</v>
      </c>
      <c r="BW54" t="s">
        <v>223</v>
      </c>
      <c r="BX54" s="82" t="str">
        <f t="shared" si="17"/>
        <v>,`MIN_QTY1`</v>
      </c>
      <c r="BY54" t="s">
        <v>223</v>
      </c>
      <c r="BZ54" s="82" t="str">
        <f t="shared" si="18"/>
        <v>,`MIN_QTY1`</v>
      </c>
      <c r="CA54" t="s">
        <v>223</v>
      </c>
    </row>
    <row r="55" spans="1:79" ht="15" customHeight="1">
      <c r="A55" s="84" t="s">
        <v>534</v>
      </c>
      <c r="B55" s="23">
        <v>9</v>
      </c>
      <c r="C55" s="24"/>
      <c r="D55" s="22" t="s">
        <v>821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2" t="s">
        <v>963</v>
      </c>
      <c r="S55" s="25"/>
      <c r="T55" s="25"/>
      <c r="U55" s="25"/>
      <c r="V55" s="25"/>
      <c r="W55" s="25"/>
      <c r="X55" s="25"/>
      <c r="Y55" s="25"/>
      <c r="Z55" s="25"/>
      <c r="AA55" s="25"/>
      <c r="AB55" s="26"/>
      <c r="AC55" s="257" t="str" cm="1">
        <f t="array" ref="AC55">_xlfn.SWITCH(BM55,"String","varchar("&amp;BN55&amp;")","Long","int","Integer","smallint","Double","decimal(9,2)","Currency","int")</f>
        <v>int</v>
      </c>
      <c r="AD55" s="258"/>
      <c r="AE55" s="258"/>
      <c r="AF55" s="258"/>
      <c r="AG55" s="259"/>
      <c r="AH55" s="22"/>
      <c r="AI55" s="26"/>
      <c r="AJ55" s="22"/>
      <c r="AK55" s="25"/>
      <c r="AL55" s="26"/>
      <c r="AM55" s="22"/>
      <c r="AN55" s="25"/>
      <c r="AO55" s="25"/>
      <c r="AP55" s="25"/>
      <c r="AQ55" s="25"/>
      <c r="AR55" s="25"/>
      <c r="AS55" s="26"/>
      <c r="AT55" s="22" t="s">
        <v>1113</v>
      </c>
      <c r="AU55" s="25"/>
      <c r="AV55" s="25"/>
      <c r="AW55" s="25"/>
      <c r="AX55" s="25"/>
      <c r="AY55" s="25"/>
      <c r="AZ55" s="25" t="s">
        <v>1114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4"/>
      <c r="BM55" t="s">
        <v>453</v>
      </c>
      <c r="BP55" t="str">
        <f t="shared" si="13"/>
        <v>,`MIN_AMT1` int  COMMENT 'Ｍ＆Ｍ売価'</v>
      </c>
      <c r="BQ55" t="s">
        <v>223</v>
      </c>
      <c r="BR55" t="str">
        <f t="shared" si="14"/>
        <v xml:space="preserve">,`MIN_AMT1` int </v>
      </c>
      <c r="BS55" t="s">
        <v>223</v>
      </c>
      <c r="BT55" t="str">
        <f t="shared" si="15"/>
        <v>,`MIN_AMT1`</v>
      </c>
      <c r="BU55" t="s">
        <v>223</v>
      </c>
      <c r="BV55" s="82" t="str">
        <f t="shared" si="16"/>
        <v>,A.`MIN_AMT1` = B.`MIN_AMT1`</v>
      </c>
      <c r="BW55" t="s">
        <v>223</v>
      </c>
      <c r="BX55" s="82" t="str">
        <f t="shared" si="17"/>
        <v>,`MIN_AMT1`</v>
      </c>
      <c r="BY55" t="s">
        <v>223</v>
      </c>
      <c r="BZ55" s="82" t="str">
        <f t="shared" si="18"/>
        <v>,`MIN_AMT1`</v>
      </c>
      <c r="CA55" t="s">
        <v>223</v>
      </c>
    </row>
    <row r="56" spans="1:79" ht="15" customHeight="1">
      <c r="A56" s="84" t="s">
        <v>535</v>
      </c>
      <c r="B56" s="23">
        <v>9</v>
      </c>
      <c r="C56" s="24"/>
      <c r="D56" s="22" t="s">
        <v>822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2" t="s">
        <v>964</v>
      </c>
      <c r="S56" s="25"/>
      <c r="T56" s="25"/>
      <c r="U56" s="25"/>
      <c r="V56" s="25"/>
      <c r="W56" s="25"/>
      <c r="X56" s="25"/>
      <c r="Y56" s="25"/>
      <c r="Z56" s="25"/>
      <c r="AA56" s="25"/>
      <c r="AB56" s="26"/>
      <c r="AC56" s="257" t="str" cm="1">
        <f t="array" ref="AC56">_xlfn.SWITCH(BM56,"String","varchar("&amp;BN56&amp;")","Long","int","Integer","smallint","Double","decimal(9,2)","Currency","int")</f>
        <v>smallint</v>
      </c>
      <c r="AD56" s="258"/>
      <c r="AE56" s="258"/>
      <c r="AF56" s="258"/>
      <c r="AG56" s="259"/>
      <c r="AH56" s="22"/>
      <c r="AI56" s="26"/>
      <c r="AJ56" s="22"/>
      <c r="AK56" s="25"/>
      <c r="AL56" s="26"/>
      <c r="AM56" s="22"/>
      <c r="AN56" s="25"/>
      <c r="AO56" s="25"/>
      <c r="AP56" s="25"/>
      <c r="AQ56" s="25"/>
      <c r="AR56" s="25"/>
      <c r="AS56" s="26"/>
      <c r="AT56" s="22" t="s">
        <v>1115</v>
      </c>
      <c r="AU56" s="25"/>
      <c r="AV56" s="25"/>
      <c r="AW56" s="25"/>
      <c r="AX56" s="25"/>
      <c r="AY56" s="25"/>
      <c r="AZ56" s="25" t="s">
        <v>1116</v>
      </c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4"/>
      <c r="BM56" t="s">
        <v>451</v>
      </c>
      <c r="BP56" t="str">
        <f t="shared" si="13"/>
        <v>,`DISC_MTHD2` smallint  COMMENT '割引タイプ２'</v>
      </c>
      <c r="BQ56" t="s">
        <v>223</v>
      </c>
      <c r="BR56" t="str">
        <f t="shared" si="14"/>
        <v xml:space="preserve">,`DISC_MTHD2` smallint </v>
      </c>
      <c r="BS56" t="s">
        <v>223</v>
      </c>
      <c r="BT56" t="str">
        <f t="shared" si="15"/>
        <v>,`DISC_MTHD2`</v>
      </c>
      <c r="BU56" t="s">
        <v>223</v>
      </c>
      <c r="BV56" s="82" t="str">
        <f t="shared" si="16"/>
        <v>,A.`DISC_MTHD2` = B.`DISC_MTHD2`</v>
      </c>
      <c r="BW56" t="s">
        <v>223</v>
      </c>
      <c r="BX56" s="82" t="str">
        <f t="shared" si="17"/>
        <v>,`DISC_MTHD2`</v>
      </c>
      <c r="BY56" t="s">
        <v>223</v>
      </c>
      <c r="BZ56" s="82" t="str">
        <f t="shared" si="18"/>
        <v>,`DISC_MTHD2`</v>
      </c>
      <c r="CA56" t="s">
        <v>223</v>
      </c>
    </row>
    <row r="57" spans="1:79" ht="15" customHeight="1">
      <c r="A57" s="84" t="s">
        <v>536</v>
      </c>
      <c r="B57" s="23">
        <v>9</v>
      </c>
      <c r="C57" s="24"/>
      <c r="D57" s="22" t="s">
        <v>823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2" t="s">
        <v>965</v>
      </c>
      <c r="S57" s="25"/>
      <c r="T57" s="25"/>
      <c r="U57" s="25"/>
      <c r="V57" s="25"/>
      <c r="W57" s="25"/>
      <c r="X57" s="25"/>
      <c r="Y57" s="25"/>
      <c r="Z57" s="25"/>
      <c r="AA57" s="25"/>
      <c r="AB57" s="26"/>
      <c r="AC57" s="257" t="str" cm="1">
        <f t="array" ref="AC57">_xlfn.SWITCH(BM57,"String","varchar("&amp;BN57&amp;")","Long","int","Integer","smallint","Double","decimal(9,2)","Currency","int")</f>
        <v>decimal(9,2)</v>
      </c>
      <c r="AD57" s="258"/>
      <c r="AE57" s="258"/>
      <c r="AF57" s="258"/>
      <c r="AG57" s="259"/>
      <c r="AH57" s="22"/>
      <c r="AI57" s="26"/>
      <c r="AJ57" s="22"/>
      <c r="AK57" s="25"/>
      <c r="AL57" s="26"/>
      <c r="AM57" s="22"/>
      <c r="AN57" s="25"/>
      <c r="AO57" s="25"/>
      <c r="AP57" s="25"/>
      <c r="AQ57" s="25"/>
      <c r="AR57" s="25"/>
      <c r="AS57" s="26"/>
      <c r="AT57" s="22" t="s">
        <v>1117</v>
      </c>
      <c r="AU57" s="25"/>
      <c r="AV57" s="25"/>
      <c r="AW57" s="25"/>
      <c r="AX57" s="25"/>
      <c r="AY57" s="25"/>
      <c r="AZ57" s="25" t="s">
        <v>1095</v>
      </c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4"/>
      <c r="BM57" t="s">
        <v>452</v>
      </c>
      <c r="BP57" t="str">
        <f t="shared" si="13"/>
        <v>,`DISC_VALUE2` decimal(9,2)  COMMENT '特売価格２'</v>
      </c>
      <c r="BQ57" t="s">
        <v>223</v>
      </c>
      <c r="BR57" t="str">
        <f t="shared" si="14"/>
        <v xml:space="preserve">,`DISC_VALUE2` decimal(9,2) </v>
      </c>
      <c r="BS57" t="s">
        <v>223</v>
      </c>
      <c r="BT57" t="str">
        <f t="shared" si="15"/>
        <v>,`DISC_VALUE2`</v>
      </c>
      <c r="BU57" t="s">
        <v>223</v>
      </c>
      <c r="BV57" s="82" t="str">
        <f t="shared" si="16"/>
        <v>,A.`DISC_VALUE2` = B.`DISC_VALUE2`</v>
      </c>
      <c r="BW57" t="s">
        <v>223</v>
      </c>
      <c r="BX57" s="82" t="str">
        <f t="shared" si="17"/>
        <v>,`DISC_VALUE2`</v>
      </c>
      <c r="BY57" t="s">
        <v>223</v>
      </c>
      <c r="BZ57" s="82" t="str">
        <f t="shared" si="18"/>
        <v>,`DISC_VALUE2`</v>
      </c>
      <c r="CA57" t="s">
        <v>223</v>
      </c>
    </row>
    <row r="58" spans="1:79" ht="15" customHeight="1">
      <c r="A58" s="84" t="s">
        <v>537</v>
      </c>
      <c r="B58" s="23">
        <v>9</v>
      </c>
      <c r="C58" s="24"/>
      <c r="D58" s="22" t="s">
        <v>824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2" t="s">
        <v>966</v>
      </c>
      <c r="S58" s="25"/>
      <c r="T58" s="25"/>
      <c r="U58" s="25"/>
      <c r="V58" s="25"/>
      <c r="W58" s="25"/>
      <c r="X58" s="25"/>
      <c r="Y58" s="25"/>
      <c r="Z58" s="25"/>
      <c r="AA58" s="25"/>
      <c r="AB58" s="26"/>
      <c r="AC58" s="257" t="str" cm="1">
        <f t="array" ref="AC58">_xlfn.SWITCH(BM58,"String","varchar("&amp;BN58&amp;")","Long","int","Integer","smallint","Double","decimal(9,2)","Currency","int")</f>
        <v>decimal(9,2)</v>
      </c>
      <c r="AD58" s="258"/>
      <c r="AE58" s="258"/>
      <c r="AF58" s="258"/>
      <c r="AG58" s="259"/>
      <c r="AH58" s="22"/>
      <c r="AI58" s="26"/>
      <c r="AJ58" s="22"/>
      <c r="AK58" s="25"/>
      <c r="AL58" s="26"/>
      <c r="AM58" s="22"/>
      <c r="AN58" s="25"/>
      <c r="AO58" s="25"/>
      <c r="AP58" s="25"/>
      <c r="AQ58" s="25"/>
      <c r="AR58" s="25"/>
      <c r="AS58" s="26"/>
      <c r="AT58" s="22" t="s">
        <v>1118</v>
      </c>
      <c r="AU58" s="25"/>
      <c r="AV58" s="25"/>
      <c r="AW58" s="25"/>
      <c r="AX58" s="25"/>
      <c r="AY58" s="25"/>
      <c r="AZ58" s="25" t="s">
        <v>1119</v>
      </c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4"/>
      <c r="BM58" t="s">
        <v>452</v>
      </c>
      <c r="BP58" t="str">
        <f t="shared" si="13"/>
        <v>,`MIN_QTY2` decimal(9,2)  COMMENT 'Ｍ＆Ｍ数２'</v>
      </c>
      <c r="BQ58" t="s">
        <v>223</v>
      </c>
      <c r="BR58" t="str">
        <f t="shared" si="14"/>
        <v xml:space="preserve">,`MIN_QTY2` decimal(9,2) </v>
      </c>
      <c r="BS58" t="s">
        <v>223</v>
      </c>
      <c r="BT58" t="str">
        <f t="shared" si="15"/>
        <v>,`MIN_QTY2`</v>
      </c>
      <c r="BU58" t="s">
        <v>223</v>
      </c>
      <c r="BV58" s="82" t="str">
        <f t="shared" si="16"/>
        <v>,A.`MIN_QTY2` = B.`MIN_QTY2`</v>
      </c>
      <c r="BW58" t="s">
        <v>223</v>
      </c>
      <c r="BX58" s="82" t="str">
        <f t="shared" si="17"/>
        <v>,`MIN_QTY2`</v>
      </c>
      <c r="BY58" t="s">
        <v>223</v>
      </c>
      <c r="BZ58" s="82" t="str">
        <f t="shared" si="18"/>
        <v>,`MIN_QTY2`</v>
      </c>
      <c r="CA58" t="s">
        <v>223</v>
      </c>
    </row>
    <row r="59" spans="1:79" ht="15" customHeight="1">
      <c r="A59" s="84" t="s">
        <v>538</v>
      </c>
      <c r="B59" s="23">
        <v>9</v>
      </c>
      <c r="C59" s="24"/>
      <c r="D59" s="22" t="s">
        <v>825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6"/>
      <c r="R59" s="22" t="s">
        <v>967</v>
      </c>
      <c r="S59" s="25"/>
      <c r="T59" s="25"/>
      <c r="U59" s="25"/>
      <c r="V59" s="25"/>
      <c r="W59" s="25"/>
      <c r="X59" s="25"/>
      <c r="Y59" s="25"/>
      <c r="Z59" s="25"/>
      <c r="AA59" s="25"/>
      <c r="AB59" s="26"/>
      <c r="AC59" s="257" t="str" cm="1">
        <f t="array" ref="AC59">_xlfn.SWITCH(BM59,"String","varchar("&amp;BN59&amp;")","Long","int","Integer","smallint","Double","decimal(9,2)","Currency","int")</f>
        <v>int</v>
      </c>
      <c r="AD59" s="258"/>
      <c r="AE59" s="258"/>
      <c r="AF59" s="258"/>
      <c r="AG59" s="259"/>
      <c r="AH59" s="22"/>
      <c r="AI59" s="26"/>
      <c r="AJ59" s="22"/>
      <c r="AK59" s="25"/>
      <c r="AL59" s="26"/>
      <c r="AM59" s="22"/>
      <c r="AN59" s="25"/>
      <c r="AO59" s="25"/>
      <c r="AP59" s="25"/>
      <c r="AQ59" s="25"/>
      <c r="AR59" s="25"/>
      <c r="AS59" s="26"/>
      <c r="AT59" s="22" t="s">
        <v>1120</v>
      </c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6"/>
      <c r="BK59" s="4"/>
      <c r="BM59" t="s">
        <v>453</v>
      </c>
      <c r="BP59" t="str">
        <f t="shared" si="13"/>
        <v>,`MIN_AMT2` int  COMMENT 'Ｍ＆Ｍ売価２'</v>
      </c>
      <c r="BQ59" t="s">
        <v>223</v>
      </c>
      <c r="BR59" t="str">
        <f t="shared" si="14"/>
        <v xml:space="preserve">,`MIN_AMT2` int </v>
      </c>
      <c r="BS59" t="s">
        <v>223</v>
      </c>
      <c r="BT59" t="str">
        <f t="shared" si="15"/>
        <v>,`MIN_AMT2`</v>
      </c>
      <c r="BU59" t="s">
        <v>223</v>
      </c>
      <c r="BV59" s="82" t="str">
        <f t="shared" si="16"/>
        <v>,A.`MIN_AMT2` = B.`MIN_AMT2`</v>
      </c>
      <c r="BW59" t="s">
        <v>223</v>
      </c>
      <c r="BX59" s="82" t="str">
        <f t="shared" si="17"/>
        <v>,`MIN_AMT2`</v>
      </c>
      <c r="BY59" t="s">
        <v>223</v>
      </c>
      <c r="BZ59" s="82" t="str">
        <f t="shared" si="18"/>
        <v>,`MIN_AMT2`</v>
      </c>
      <c r="CA59" t="s">
        <v>223</v>
      </c>
    </row>
    <row r="60" spans="1:79" ht="15" customHeight="1">
      <c r="A60" s="84" t="s">
        <v>539</v>
      </c>
      <c r="B60" s="23">
        <v>9</v>
      </c>
      <c r="C60" s="24"/>
      <c r="D60" s="22" t="s">
        <v>826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2" t="s">
        <v>968</v>
      </c>
      <c r="S60" s="25"/>
      <c r="T60" s="25"/>
      <c r="U60" s="25"/>
      <c r="V60" s="25"/>
      <c r="W60" s="25"/>
      <c r="X60" s="25"/>
      <c r="Y60" s="25"/>
      <c r="Z60" s="25"/>
      <c r="AA60" s="25"/>
      <c r="AB60" s="26"/>
      <c r="AC60" s="257" t="str" cm="1">
        <f t="array" ref="AC60">_xlfn.SWITCH(BM60,"String","varchar("&amp;BN60&amp;")","Long","int","Integer","smallint","Double","decimal(9,2)","Currency","int")</f>
        <v>smallint</v>
      </c>
      <c r="AD60" s="258"/>
      <c r="AE60" s="258"/>
      <c r="AF60" s="258"/>
      <c r="AG60" s="259"/>
      <c r="AH60" s="22"/>
      <c r="AI60" s="26"/>
      <c r="AJ60" s="22"/>
      <c r="AK60" s="25"/>
      <c r="AL60" s="26"/>
      <c r="AM60" s="22"/>
      <c r="AN60" s="25"/>
      <c r="AO60" s="25"/>
      <c r="AP60" s="25"/>
      <c r="AQ60" s="25"/>
      <c r="AR60" s="25"/>
      <c r="AS60" s="26"/>
      <c r="AT60" s="22" t="s">
        <v>1121</v>
      </c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4"/>
      <c r="BM60" t="s">
        <v>451</v>
      </c>
      <c r="BP60" t="str">
        <f t="shared" si="13"/>
        <v>,`DISC_MTHD3` smallint  COMMENT '割引タイプ３'</v>
      </c>
      <c r="BQ60" t="s">
        <v>223</v>
      </c>
      <c r="BR60" t="str">
        <f t="shared" si="14"/>
        <v xml:space="preserve">,`DISC_MTHD3` smallint </v>
      </c>
      <c r="BS60" t="s">
        <v>223</v>
      </c>
      <c r="BT60" t="str">
        <f t="shared" si="15"/>
        <v>,`DISC_MTHD3`</v>
      </c>
      <c r="BU60" t="s">
        <v>223</v>
      </c>
      <c r="BV60" s="82" t="str">
        <f t="shared" si="16"/>
        <v>,A.`DISC_MTHD3` = B.`DISC_MTHD3`</v>
      </c>
      <c r="BW60" t="s">
        <v>223</v>
      </c>
      <c r="BX60" s="82" t="str">
        <f t="shared" si="17"/>
        <v>,`DISC_MTHD3`</v>
      </c>
      <c r="BY60" t="s">
        <v>223</v>
      </c>
      <c r="BZ60" s="82" t="str">
        <f t="shared" si="18"/>
        <v>,`DISC_MTHD3`</v>
      </c>
      <c r="CA60" t="s">
        <v>223</v>
      </c>
    </row>
    <row r="61" spans="1:79" ht="15" customHeight="1">
      <c r="A61" s="84" t="s">
        <v>540</v>
      </c>
      <c r="B61" s="23">
        <v>9</v>
      </c>
      <c r="C61" s="24"/>
      <c r="D61" s="22" t="s">
        <v>827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969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57" t="str" cm="1">
        <f t="array" ref="AC61">_xlfn.SWITCH(BM61,"String","varchar("&amp;BN61&amp;")","Long","int","Integer","smallint","Double","decimal(9,2)","Currency","int")</f>
        <v>decimal(9,2)</v>
      </c>
      <c r="AD61" s="258"/>
      <c r="AE61" s="258"/>
      <c r="AF61" s="258"/>
      <c r="AG61" s="259"/>
      <c r="AH61" s="22"/>
      <c r="AI61" s="26"/>
      <c r="AJ61" s="22"/>
      <c r="AK61" s="25"/>
      <c r="AL61" s="26"/>
      <c r="AM61" s="22"/>
      <c r="AN61" s="25"/>
      <c r="AO61" s="25"/>
      <c r="AP61" s="25"/>
      <c r="AQ61" s="25"/>
      <c r="AR61" s="25"/>
      <c r="AS61" s="26"/>
      <c r="AT61" s="22" t="s">
        <v>464</v>
      </c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4"/>
      <c r="BM61" t="s">
        <v>452</v>
      </c>
      <c r="BP61" t="str">
        <f t="shared" si="13"/>
        <v>,`DISC_VALUE3` decimal(9,2)  COMMENT '特売価格３'</v>
      </c>
      <c r="BQ61" t="s">
        <v>223</v>
      </c>
      <c r="BR61" t="str">
        <f t="shared" si="14"/>
        <v xml:space="preserve">,`DISC_VALUE3` decimal(9,2) </v>
      </c>
      <c r="BS61" t="s">
        <v>223</v>
      </c>
      <c r="BT61" t="str">
        <f t="shared" si="15"/>
        <v>,`DISC_VALUE3`</v>
      </c>
      <c r="BU61" t="s">
        <v>223</v>
      </c>
      <c r="BV61" s="82" t="str">
        <f t="shared" si="16"/>
        <v>,A.`DISC_VALUE3` = B.`DISC_VALUE3`</v>
      </c>
      <c r="BW61" t="s">
        <v>223</v>
      </c>
      <c r="BX61" s="82" t="str">
        <f t="shared" si="17"/>
        <v>,`DISC_VALUE3`</v>
      </c>
      <c r="BY61" t="s">
        <v>223</v>
      </c>
      <c r="BZ61" s="82" t="str">
        <f t="shared" si="18"/>
        <v>,`DISC_VALUE3`</v>
      </c>
      <c r="CA61" t="s">
        <v>223</v>
      </c>
    </row>
    <row r="62" spans="1:79" ht="15" customHeight="1">
      <c r="A62" s="84" t="s">
        <v>541</v>
      </c>
      <c r="B62" s="23">
        <v>9</v>
      </c>
      <c r="C62" s="24"/>
      <c r="D62" s="22" t="s">
        <v>828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970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57" t="str" cm="1">
        <f t="array" ref="AC62">_xlfn.SWITCH(BM62,"String","varchar("&amp;BN62&amp;")","Long","int","Integer","smallint","Double","decimal(9,2)","Currency","int")</f>
        <v>decimal(9,2)</v>
      </c>
      <c r="AD62" s="258"/>
      <c r="AE62" s="258"/>
      <c r="AF62" s="258"/>
      <c r="AG62" s="259"/>
      <c r="AH62" s="22"/>
      <c r="AI62" s="26"/>
      <c r="AJ62" s="22"/>
      <c r="AK62" s="25"/>
      <c r="AL62" s="26"/>
      <c r="AM62" s="22"/>
      <c r="AN62" s="25"/>
      <c r="AO62" s="25"/>
      <c r="AP62" s="25"/>
      <c r="AQ62" s="25"/>
      <c r="AR62" s="25"/>
      <c r="AS62" s="26"/>
      <c r="AT62" s="22" t="s">
        <v>1122</v>
      </c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4"/>
      <c r="BM62" t="s">
        <v>452</v>
      </c>
      <c r="BP62" t="str">
        <f t="shared" si="13"/>
        <v>,`MIN_QTY3` decimal(9,2)  COMMENT 'Ｍ＆Ｍ数３'</v>
      </c>
      <c r="BQ62" t="s">
        <v>223</v>
      </c>
      <c r="BR62" t="str">
        <f t="shared" si="14"/>
        <v xml:space="preserve">,`MIN_QTY3` decimal(9,2) </v>
      </c>
      <c r="BS62" t="s">
        <v>223</v>
      </c>
      <c r="BT62" t="str">
        <f t="shared" si="15"/>
        <v>,`MIN_QTY3`</v>
      </c>
      <c r="BU62" t="s">
        <v>223</v>
      </c>
      <c r="BV62" s="82" t="str">
        <f t="shared" si="16"/>
        <v>,A.`MIN_QTY3` = B.`MIN_QTY3`</v>
      </c>
      <c r="BW62" t="s">
        <v>223</v>
      </c>
      <c r="BX62" s="82" t="str">
        <f t="shared" si="17"/>
        <v>,`MIN_QTY3`</v>
      </c>
      <c r="BY62" t="s">
        <v>223</v>
      </c>
      <c r="BZ62" s="82" t="str">
        <f t="shared" si="18"/>
        <v>,`MIN_QTY3`</v>
      </c>
      <c r="CA62" t="s">
        <v>223</v>
      </c>
    </row>
    <row r="63" spans="1:79" ht="15" customHeight="1">
      <c r="A63" s="84" t="s">
        <v>542</v>
      </c>
      <c r="B63" s="23">
        <v>9</v>
      </c>
      <c r="C63" s="24"/>
      <c r="D63" s="22" t="s">
        <v>829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971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7" t="str" cm="1">
        <f t="array" ref="AC63">_xlfn.SWITCH(BM63,"String","varchar("&amp;BN63&amp;")","Long","int","Integer","smallint","Double","decimal(9,2)","Currency","int")</f>
        <v>int</v>
      </c>
      <c r="AD63" s="258"/>
      <c r="AE63" s="258"/>
      <c r="AF63" s="258"/>
      <c r="AG63" s="259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2" t="s">
        <v>1122</v>
      </c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  <c r="BM63" t="s">
        <v>453</v>
      </c>
      <c r="BP63" t="str">
        <f t="shared" si="13"/>
        <v>,`MIN_AMT3` int  COMMENT 'Ｍ＆Ｍ売価３'</v>
      </c>
      <c r="BQ63" t="s">
        <v>223</v>
      </c>
      <c r="BR63" t="str">
        <f t="shared" si="14"/>
        <v xml:space="preserve">,`MIN_AMT3` int </v>
      </c>
      <c r="BS63" t="s">
        <v>223</v>
      </c>
      <c r="BT63" t="str">
        <f t="shared" si="15"/>
        <v>,`MIN_AMT3`</v>
      </c>
      <c r="BU63" t="s">
        <v>223</v>
      </c>
      <c r="BV63" s="82" t="str">
        <f t="shared" si="16"/>
        <v>,A.`MIN_AMT3` = B.`MIN_AMT3`</v>
      </c>
      <c r="BW63" t="s">
        <v>223</v>
      </c>
      <c r="BX63" s="82" t="str">
        <f t="shared" si="17"/>
        <v>,`MIN_AMT3`</v>
      </c>
      <c r="BY63" t="s">
        <v>223</v>
      </c>
      <c r="BZ63" s="82" t="str">
        <f t="shared" si="18"/>
        <v>,`MIN_AMT3`</v>
      </c>
      <c r="CA63" t="s">
        <v>223</v>
      </c>
    </row>
    <row r="64" spans="1:79" ht="15" customHeight="1">
      <c r="A64" s="84" t="s">
        <v>543</v>
      </c>
      <c r="B64" s="71">
        <v>9</v>
      </c>
      <c r="C64" s="72"/>
      <c r="D64" s="73" t="s">
        <v>830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3" t="s">
        <v>972</v>
      </c>
      <c r="S64" s="74"/>
      <c r="T64" s="74"/>
      <c r="U64" s="74"/>
      <c r="V64" s="74"/>
      <c r="W64" s="74"/>
      <c r="X64" s="74"/>
      <c r="Y64" s="74"/>
      <c r="Z64" s="74"/>
      <c r="AA64" s="74"/>
      <c r="AB64" s="75"/>
      <c r="AC64" s="251" t="str" cm="1">
        <f t="array" ref="AC64">_xlfn.SWITCH(BM64,"String","varchar("&amp;BN64&amp;")","Long","int","Integer","smallint","Double","decimal(9,2)","Currency","int")</f>
        <v>smallint</v>
      </c>
      <c r="AD64" s="252"/>
      <c r="AE64" s="252"/>
      <c r="AF64" s="252"/>
      <c r="AG64" s="253"/>
      <c r="AH64" s="73"/>
      <c r="AI64" s="75"/>
      <c r="AJ64" s="73"/>
      <c r="AK64" s="74"/>
      <c r="AL64" s="75"/>
      <c r="AM64" s="73"/>
      <c r="AN64" s="74"/>
      <c r="AO64" s="74"/>
      <c r="AP64" s="74"/>
      <c r="AQ64" s="74"/>
      <c r="AR64" s="74"/>
      <c r="AS64" s="75"/>
      <c r="AT64" s="73" t="s">
        <v>464</v>
      </c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5"/>
      <c r="BK64" s="4"/>
      <c r="BM64" t="s">
        <v>451</v>
      </c>
      <c r="BP64" t="str">
        <f t="shared" si="13"/>
        <v>,`DISC_MTHD4` smallint  COMMENT '割引タイプ４'</v>
      </c>
      <c r="BQ64" t="s">
        <v>223</v>
      </c>
      <c r="BR64" t="str">
        <f t="shared" si="14"/>
        <v xml:space="preserve">,`DISC_MTHD4` smallint </v>
      </c>
      <c r="BS64" t="s">
        <v>223</v>
      </c>
      <c r="BT64" t="str">
        <f t="shared" si="15"/>
        <v>,`DISC_MTHD4`</v>
      </c>
      <c r="BU64" t="s">
        <v>223</v>
      </c>
      <c r="BV64" s="82" t="str">
        <f t="shared" si="16"/>
        <v>,A.`DISC_MTHD4` = B.`DISC_MTHD4`</v>
      </c>
      <c r="BW64" t="s">
        <v>223</v>
      </c>
      <c r="BX64" s="82" t="str">
        <f t="shared" si="17"/>
        <v>,`DISC_MTHD4`</v>
      </c>
      <c r="BY64" t="s">
        <v>223</v>
      </c>
      <c r="BZ64" s="82" t="str">
        <f t="shared" si="18"/>
        <v>,`DISC_MTHD4`</v>
      </c>
      <c r="CA64" t="s">
        <v>223</v>
      </c>
    </row>
    <row r="65" spans="1:79" ht="15" customHeight="1">
      <c r="A65" s="84" t="s">
        <v>544</v>
      </c>
      <c r="B65" s="71">
        <v>9</v>
      </c>
      <c r="C65" s="72"/>
      <c r="D65" s="73" t="s">
        <v>831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3" t="s">
        <v>973</v>
      </c>
      <c r="S65" s="74"/>
      <c r="T65" s="74"/>
      <c r="U65" s="74"/>
      <c r="V65" s="74"/>
      <c r="W65" s="74"/>
      <c r="X65" s="74"/>
      <c r="Y65" s="74"/>
      <c r="Z65" s="74"/>
      <c r="AA65" s="74"/>
      <c r="AB65" s="75"/>
      <c r="AC65" s="251" t="str" cm="1">
        <f t="array" ref="AC65">_xlfn.SWITCH(BM65,"String","varchar("&amp;BN65&amp;")","Long","int","Integer","smallint","Double","decimal(9,2)","Currency","int")</f>
        <v>decimal(9,2)</v>
      </c>
      <c r="AD65" s="252"/>
      <c r="AE65" s="252"/>
      <c r="AF65" s="252"/>
      <c r="AG65" s="253"/>
      <c r="AH65" s="73"/>
      <c r="AI65" s="75"/>
      <c r="AJ65" s="73"/>
      <c r="AK65" s="74"/>
      <c r="AL65" s="75"/>
      <c r="AM65" s="73"/>
      <c r="AN65" s="74"/>
      <c r="AO65" s="74"/>
      <c r="AP65" s="74"/>
      <c r="AQ65" s="74"/>
      <c r="AR65" s="74"/>
      <c r="AS65" s="75"/>
      <c r="AT65" s="73" t="s">
        <v>464</v>
      </c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5"/>
      <c r="BK65" s="4"/>
      <c r="BM65" t="s">
        <v>452</v>
      </c>
      <c r="BP65" t="str">
        <f t="shared" si="13"/>
        <v>,`DISC_VALUE4` decimal(9,2)  COMMENT '特売価格４'</v>
      </c>
      <c r="BQ65" t="s">
        <v>223</v>
      </c>
      <c r="BR65" t="str">
        <f t="shared" si="14"/>
        <v xml:space="preserve">,`DISC_VALUE4` decimal(9,2) </v>
      </c>
      <c r="BS65" t="s">
        <v>223</v>
      </c>
      <c r="BT65" t="str">
        <f t="shared" si="15"/>
        <v>,`DISC_VALUE4`</v>
      </c>
      <c r="BU65" t="s">
        <v>223</v>
      </c>
      <c r="BV65" s="82" t="str">
        <f t="shared" si="16"/>
        <v>,A.`DISC_VALUE4` = B.`DISC_VALUE4`</v>
      </c>
      <c r="BW65" t="s">
        <v>223</v>
      </c>
      <c r="BX65" s="82" t="str">
        <f t="shared" si="17"/>
        <v>,`DISC_VALUE4`</v>
      </c>
      <c r="BY65" t="s">
        <v>223</v>
      </c>
      <c r="BZ65" s="82" t="str">
        <f t="shared" si="18"/>
        <v>,`DISC_VALUE4`</v>
      </c>
      <c r="CA65" t="s">
        <v>223</v>
      </c>
    </row>
    <row r="66" spans="1:79" ht="15" customHeight="1">
      <c r="A66" s="84" t="s">
        <v>545</v>
      </c>
      <c r="B66" s="71">
        <v>9</v>
      </c>
      <c r="C66" s="72"/>
      <c r="D66" s="73" t="s">
        <v>832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/>
      <c r="R66" s="73" t="s">
        <v>974</v>
      </c>
      <c r="S66" s="74"/>
      <c r="T66" s="74"/>
      <c r="U66" s="74"/>
      <c r="V66" s="74"/>
      <c r="W66" s="74"/>
      <c r="X66" s="74"/>
      <c r="Y66" s="74"/>
      <c r="Z66" s="74"/>
      <c r="AA66" s="74"/>
      <c r="AB66" s="75"/>
      <c r="AC66" s="251" t="str" cm="1">
        <f t="array" ref="AC66">_xlfn.SWITCH(BM66,"String","varchar("&amp;BN66&amp;")","Long","int","Integer","smallint","Double","decimal(9,2)","Currency","int")</f>
        <v>decimal(9,2)</v>
      </c>
      <c r="AD66" s="252"/>
      <c r="AE66" s="252"/>
      <c r="AF66" s="252"/>
      <c r="AG66" s="253"/>
      <c r="AH66" s="73"/>
      <c r="AI66" s="75"/>
      <c r="AJ66" s="73"/>
      <c r="AK66" s="74"/>
      <c r="AL66" s="75"/>
      <c r="AM66" s="73"/>
      <c r="AN66" s="74"/>
      <c r="AO66" s="74"/>
      <c r="AP66" s="74"/>
      <c r="AQ66" s="74"/>
      <c r="AR66" s="74"/>
      <c r="AS66" s="75"/>
      <c r="AT66" s="73" t="s">
        <v>464</v>
      </c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5"/>
      <c r="BK66" s="4"/>
      <c r="BM66" t="s">
        <v>452</v>
      </c>
      <c r="BP66" t="str">
        <f t="shared" si="13"/>
        <v>,`MIN_QTY4` decimal(9,2)  COMMENT '成立数量４'</v>
      </c>
      <c r="BQ66" t="s">
        <v>223</v>
      </c>
      <c r="BR66" t="str">
        <f t="shared" si="14"/>
        <v xml:space="preserve">,`MIN_QTY4` decimal(9,2) </v>
      </c>
      <c r="BS66" t="s">
        <v>223</v>
      </c>
      <c r="BT66" t="str">
        <f t="shared" si="15"/>
        <v>,`MIN_QTY4`</v>
      </c>
      <c r="BU66" t="s">
        <v>223</v>
      </c>
      <c r="BV66" s="82" t="str">
        <f t="shared" si="16"/>
        <v>,A.`MIN_QTY4` = B.`MIN_QTY4`</v>
      </c>
      <c r="BW66" t="s">
        <v>223</v>
      </c>
      <c r="BX66" s="82" t="str">
        <f t="shared" si="17"/>
        <v>,`MIN_QTY4`</v>
      </c>
      <c r="BY66" t="s">
        <v>223</v>
      </c>
      <c r="BZ66" s="82" t="str">
        <f t="shared" si="18"/>
        <v>,`MIN_QTY4`</v>
      </c>
      <c r="CA66" t="s">
        <v>223</v>
      </c>
    </row>
    <row r="67" spans="1:79" ht="15" customHeight="1">
      <c r="A67" s="84" t="s">
        <v>527</v>
      </c>
      <c r="B67" s="71">
        <v>9</v>
      </c>
      <c r="C67" s="72"/>
      <c r="D67" s="73" t="s">
        <v>833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3" t="s">
        <v>975</v>
      </c>
      <c r="S67" s="74"/>
      <c r="T67" s="74"/>
      <c r="U67" s="74"/>
      <c r="V67" s="74"/>
      <c r="W67" s="74"/>
      <c r="X67" s="74"/>
      <c r="Y67" s="74"/>
      <c r="Z67" s="74"/>
      <c r="AA67" s="74"/>
      <c r="AB67" s="75"/>
      <c r="AC67" s="251" t="str" cm="1">
        <f t="array" ref="AC67">_xlfn.SWITCH(BM67,"String","varchar("&amp;BN67&amp;")","Long","int","Integer","smallint","Double","decimal(9,2)","Currency","int")</f>
        <v>int</v>
      </c>
      <c r="AD67" s="252"/>
      <c r="AE67" s="252"/>
      <c r="AF67" s="252"/>
      <c r="AG67" s="253"/>
      <c r="AH67" s="73"/>
      <c r="AI67" s="75"/>
      <c r="AJ67" s="73"/>
      <c r="AK67" s="74"/>
      <c r="AL67" s="75"/>
      <c r="AM67" s="73"/>
      <c r="AN67" s="74"/>
      <c r="AO67" s="74"/>
      <c r="AP67" s="74"/>
      <c r="AQ67" s="74"/>
      <c r="AR67" s="74"/>
      <c r="AS67" s="75"/>
      <c r="AT67" s="73" t="s">
        <v>464</v>
      </c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5"/>
      <c r="BK67" s="4"/>
      <c r="BM67" t="s">
        <v>453</v>
      </c>
      <c r="BP67" t="str">
        <f t="shared" si="1"/>
        <v>,`MIN_AMT4` int  COMMENT '成立価格４'</v>
      </c>
      <c r="BQ67" t="s">
        <v>223</v>
      </c>
      <c r="BR67" t="str">
        <f t="shared" si="4"/>
        <v xml:space="preserve">,`MIN_AMT4` int </v>
      </c>
      <c r="BS67" t="s">
        <v>223</v>
      </c>
      <c r="BT67" t="str">
        <f t="shared" si="5"/>
        <v>,`MIN_AMT4`</v>
      </c>
      <c r="BU67" t="s">
        <v>223</v>
      </c>
      <c r="BV67" s="82" t="str">
        <f t="shared" si="2"/>
        <v>,A.`MIN_AMT4` = B.`MIN_AMT4`</v>
      </c>
      <c r="BW67" t="s">
        <v>223</v>
      </c>
      <c r="BX67" s="82" t="str">
        <f t="shared" si="6"/>
        <v>,`MIN_AMT4`</v>
      </c>
      <c r="BY67" t="s">
        <v>223</v>
      </c>
      <c r="BZ67" s="82" t="str">
        <f t="shared" si="3"/>
        <v>,`MIN_AMT4`</v>
      </c>
      <c r="CA67" t="s">
        <v>223</v>
      </c>
    </row>
    <row r="68" spans="1:79" ht="15" customHeight="1">
      <c r="A68" s="84" t="s">
        <v>528</v>
      </c>
      <c r="B68" s="71">
        <v>9</v>
      </c>
      <c r="C68" s="72"/>
      <c r="D68" s="73" t="s">
        <v>834</v>
      </c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73" t="s">
        <v>976</v>
      </c>
      <c r="S68" s="74"/>
      <c r="T68" s="74"/>
      <c r="U68" s="74"/>
      <c r="V68" s="74"/>
      <c r="W68" s="74"/>
      <c r="X68" s="74"/>
      <c r="Y68" s="74"/>
      <c r="Z68" s="74"/>
      <c r="AA68" s="74"/>
      <c r="AB68" s="75"/>
      <c r="AC68" s="251" t="str" cm="1">
        <f t="array" ref="AC68">_xlfn.SWITCH(BM68,"String","varchar("&amp;BN68&amp;")","Long","int","Integer","smallint","Double","decimal(9,2)","Currency","int")</f>
        <v>smallint</v>
      </c>
      <c r="AD68" s="252"/>
      <c r="AE68" s="252"/>
      <c r="AF68" s="252"/>
      <c r="AG68" s="253"/>
      <c r="AH68" s="73"/>
      <c r="AI68" s="75"/>
      <c r="AJ68" s="73"/>
      <c r="AK68" s="74"/>
      <c r="AL68" s="75"/>
      <c r="AM68" s="73"/>
      <c r="AN68" s="74"/>
      <c r="AO68" s="74"/>
      <c r="AP68" s="74"/>
      <c r="AQ68" s="74"/>
      <c r="AR68" s="74"/>
      <c r="AS68" s="75"/>
      <c r="AT68" s="73" t="s">
        <v>464</v>
      </c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5"/>
      <c r="BK68" s="4"/>
      <c r="BM68" t="s">
        <v>451</v>
      </c>
      <c r="BP68" t="str">
        <f t="shared" si="1"/>
        <v>,`DISC_MTHD5` smallint  COMMENT '割引タイプ５'</v>
      </c>
      <c r="BQ68" t="s">
        <v>223</v>
      </c>
      <c r="BR68" t="str">
        <f t="shared" si="4"/>
        <v xml:space="preserve">,`DISC_MTHD5` smallint </v>
      </c>
      <c r="BS68" t="s">
        <v>223</v>
      </c>
      <c r="BT68" t="str">
        <f t="shared" si="5"/>
        <v>,`DISC_MTHD5`</v>
      </c>
      <c r="BU68" t="s">
        <v>223</v>
      </c>
      <c r="BV68" s="82" t="str">
        <f t="shared" si="2"/>
        <v>,A.`DISC_MTHD5` = B.`DISC_MTHD5`</v>
      </c>
      <c r="BW68" t="s">
        <v>223</v>
      </c>
      <c r="BX68" s="82" t="str">
        <f t="shared" si="6"/>
        <v>,`DISC_MTHD5`</v>
      </c>
      <c r="BY68" t="s">
        <v>223</v>
      </c>
      <c r="BZ68" s="82" t="str">
        <f t="shared" si="3"/>
        <v>,`DISC_MTHD5`</v>
      </c>
      <c r="CA68" t="s">
        <v>223</v>
      </c>
    </row>
    <row r="69" spans="1:79" ht="15" customHeight="1">
      <c r="A69" s="84" t="s">
        <v>529</v>
      </c>
      <c r="B69" s="71">
        <v>9</v>
      </c>
      <c r="C69" s="72"/>
      <c r="D69" s="73" t="s">
        <v>835</v>
      </c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5"/>
      <c r="R69" s="73" t="s">
        <v>977</v>
      </c>
      <c r="S69" s="74"/>
      <c r="T69" s="74"/>
      <c r="U69" s="74"/>
      <c r="V69" s="74"/>
      <c r="W69" s="74"/>
      <c r="X69" s="74"/>
      <c r="Y69" s="74"/>
      <c r="Z69" s="74"/>
      <c r="AA69" s="74"/>
      <c r="AB69" s="75"/>
      <c r="AC69" s="251" t="str" cm="1">
        <f t="array" ref="AC69">_xlfn.SWITCH(BM69,"String","varchar("&amp;BN69&amp;")","Long","int","Integer","smallint","Double","decimal(9,2)","Currency","int")</f>
        <v>decimal(9,2)</v>
      </c>
      <c r="AD69" s="252"/>
      <c r="AE69" s="252"/>
      <c r="AF69" s="252"/>
      <c r="AG69" s="253"/>
      <c r="AH69" s="73"/>
      <c r="AI69" s="75"/>
      <c r="AJ69" s="73"/>
      <c r="AK69" s="74"/>
      <c r="AL69" s="75"/>
      <c r="AM69" s="73"/>
      <c r="AN69" s="74"/>
      <c r="AO69" s="74"/>
      <c r="AP69" s="74"/>
      <c r="AQ69" s="74"/>
      <c r="AR69" s="74"/>
      <c r="AS69" s="75"/>
      <c r="AT69" s="73" t="s">
        <v>464</v>
      </c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5"/>
      <c r="BK69" s="4"/>
      <c r="BM69" t="s">
        <v>452</v>
      </c>
      <c r="BP69" t="str">
        <f t="shared" si="1"/>
        <v>,`DISC_VALUE5` decimal(9,2)  COMMENT '特売価格５'</v>
      </c>
      <c r="BQ69" t="s">
        <v>223</v>
      </c>
      <c r="BR69" t="str">
        <f t="shared" si="4"/>
        <v xml:space="preserve">,`DISC_VALUE5` decimal(9,2) </v>
      </c>
      <c r="BS69" t="s">
        <v>223</v>
      </c>
      <c r="BT69" t="str">
        <f t="shared" si="5"/>
        <v>,`DISC_VALUE5`</v>
      </c>
      <c r="BU69" t="s">
        <v>223</v>
      </c>
      <c r="BV69" s="82" t="str">
        <f t="shared" si="2"/>
        <v>,A.`DISC_VALUE5` = B.`DISC_VALUE5`</v>
      </c>
      <c r="BW69" t="s">
        <v>223</v>
      </c>
      <c r="BX69" s="82" t="str">
        <f t="shared" si="6"/>
        <v>,`DISC_VALUE5`</v>
      </c>
      <c r="BY69" t="s">
        <v>223</v>
      </c>
      <c r="BZ69" s="82" t="str">
        <f t="shared" si="3"/>
        <v>,`DISC_VALUE5`</v>
      </c>
      <c r="CA69" t="s">
        <v>223</v>
      </c>
    </row>
    <row r="70" spans="1:79" ht="15" customHeight="1">
      <c r="A70" s="84" t="s">
        <v>530</v>
      </c>
      <c r="B70" s="71">
        <v>9</v>
      </c>
      <c r="C70" s="72"/>
      <c r="D70" s="73" t="s">
        <v>836</v>
      </c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5"/>
      <c r="R70" s="73" t="s">
        <v>978</v>
      </c>
      <c r="S70" s="74"/>
      <c r="T70" s="74"/>
      <c r="U70" s="74"/>
      <c r="V70" s="74"/>
      <c r="W70" s="74"/>
      <c r="X70" s="74"/>
      <c r="Y70" s="74"/>
      <c r="Z70" s="74"/>
      <c r="AA70" s="74"/>
      <c r="AB70" s="75"/>
      <c r="AC70" s="251" t="str" cm="1">
        <f t="array" ref="AC70">_xlfn.SWITCH(BM70,"String","varchar("&amp;BN70&amp;")","Long","int","Integer","smallint","Double","decimal(9,2)","Currency","int")</f>
        <v>decimal(9,2)</v>
      </c>
      <c r="AD70" s="252"/>
      <c r="AE70" s="252"/>
      <c r="AF70" s="252"/>
      <c r="AG70" s="253"/>
      <c r="AH70" s="73"/>
      <c r="AI70" s="75"/>
      <c r="AJ70" s="73"/>
      <c r="AK70" s="74"/>
      <c r="AL70" s="75"/>
      <c r="AM70" s="73"/>
      <c r="AN70" s="74"/>
      <c r="AO70" s="74"/>
      <c r="AP70" s="74"/>
      <c r="AQ70" s="74"/>
      <c r="AR70" s="74"/>
      <c r="AS70" s="75"/>
      <c r="AT70" s="73" t="s">
        <v>464</v>
      </c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5"/>
      <c r="BK70" s="4"/>
      <c r="BM70" t="s">
        <v>452</v>
      </c>
      <c r="BP70" t="str">
        <f t="shared" si="1"/>
        <v>,`MIN_QTY5` decimal(9,2)  COMMENT '成立数量５'</v>
      </c>
      <c r="BQ70" t="s">
        <v>223</v>
      </c>
      <c r="BR70" t="str">
        <f t="shared" si="4"/>
        <v xml:space="preserve">,`MIN_QTY5` decimal(9,2) </v>
      </c>
      <c r="BS70" t="s">
        <v>223</v>
      </c>
      <c r="BT70" t="str">
        <f t="shared" si="5"/>
        <v>,`MIN_QTY5`</v>
      </c>
      <c r="BU70" t="s">
        <v>223</v>
      </c>
      <c r="BV70" s="82" t="str">
        <f t="shared" si="2"/>
        <v>,A.`MIN_QTY5` = B.`MIN_QTY5`</v>
      </c>
      <c r="BW70" t="s">
        <v>223</v>
      </c>
      <c r="BX70" s="82" t="str">
        <f t="shared" si="6"/>
        <v>,`MIN_QTY5`</v>
      </c>
      <c r="BY70" t="s">
        <v>223</v>
      </c>
      <c r="BZ70" s="82" t="str">
        <f t="shared" si="3"/>
        <v>,`MIN_QTY5`</v>
      </c>
      <c r="CA70" t="s">
        <v>223</v>
      </c>
    </row>
    <row r="71" spans="1:79" ht="15" customHeight="1">
      <c r="A71" s="84" t="s">
        <v>531</v>
      </c>
      <c r="B71" s="71">
        <v>9</v>
      </c>
      <c r="C71" s="72"/>
      <c r="D71" s="73" t="s">
        <v>837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5"/>
      <c r="R71" s="73" t="s">
        <v>979</v>
      </c>
      <c r="S71" s="74"/>
      <c r="T71" s="74"/>
      <c r="U71" s="74"/>
      <c r="V71" s="74"/>
      <c r="W71" s="74"/>
      <c r="X71" s="74"/>
      <c r="Y71" s="74"/>
      <c r="Z71" s="74"/>
      <c r="AA71" s="74"/>
      <c r="AB71" s="75"/>
      <c r="AC71" s="251" t="str" cm="1">
        <f t="array" ref="AC71">_xlfn.SWITCH(BM71,"String","varchar("&amp;BN71&amp;")","Long","int","Integer","smallint","Double","decimal(9,2)","Currency","int")</f>
        <v>int</v>
      </c>
      <c r="AD71" s="252"/>
      <c r="AE71" s="252"/>
      <c r="AF71" s="252"/>
      <c r="AG71" s="253"/>
      <c r="AH71" s="73"/>
      <c r="AI71" s="75"/>
      <c r="AJ71" s="73"/>
      <c r="AK71" s="74"/>
      <c r="AL71" s="75"/>
      <c r="AM71" s="73"/>
      <c r="AN71" s="74"/>
      <c r="AO71" s="74"/>
      <c r="AP71" s="74"/>
      <c r="AQ71" s="74"/>
      <c r="AR71" s="74"/>
      <c r="AS71" s="75"/>
      <c r="AT71" s="73" t="s">
        <v>464</v>
      </c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5"/>
      <c r="BK71" s="4"/>
      <c r="BM71" t="s">
        <v>453</v>
      </c>
      <c r="BP71" t="str">
        <f t="shared" si="1"/>
        <v>,`MIN_AMT5` int  COMMENT '成立価格５'</v>
      </c>
      <c r="BQ71" t="s">
        <v>223</v>
      </c>
      <c r="BR71" t="str">
        <f t="shared" si="4"/>
        <v xml:space="preserve">,`MIN_AMT5` int </v>
      </c>
      <c r="BS71" t="s">
        <v>223</v>
      </c>
      <c r="BT71" t="str">
        <f t="shared" si="5"/>
        <v>,`MIN_AMT5`</v>
      </c>
      <c r="BU71" t="s">
        <v>223</v>
      </c>
      <c r="BV71" s="82" t="str">
        <f t="shared" si="2"/>
        <v>,A.`MIN_AMT5` = B.`MIN_AMT5`</v>
      </c>
      <c r="BW71" t="s">
        <v>223</v>
      </c>
      <c r="BX71" s="82" t="str">
        <f t="shared" si="6"/>
        <v>,`MIN_AMT5`</v>
      </c>
      <c r="BY71" t="s">
        <v>223</v>
      </c>
      <c r="BZ71" s="82" t="str">
        <f t="shared" si="3"/>
        <v>,`MIN_AMT5`</v>
      </c>
      <c r="CA71" t="s">
        <v>223</v>
      </c>
    </row>
    <row r="72" spans="1:79" ht="15" customHeight="1">
      <c r="A72" s="84" t="s">
        <v>532</v>
      </c>
      <c r="B72" s="71">
        <v>9</v>
      </c>
      <c r="C72" s="72"/>
      <c r="D72" s="73" t="s">
        <v>838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5"/>
      <c r="R72" s="73" t="s">
        <v>980</v>
      </c>
      <c r="S72" s="74"/>
      <c r="T72" s="74"/>
      <c r="U72" s="74"/>
      <c r="V72" s="74"/>
      <c r="W72" s="74"/>
      <c r="X72" s="74"/>
      <c r="Y72" s="74"/>
      <c r="Z72" s="74"/>
      <c r="AA72" s="74"/>
      <c r="AB72" s="75"/>
      <c r="AC72" s="251" t="str" cm="1">
        <f t="array" ref="AC72">_xlfn.SWITCH(BM72,"String","varchar("&amp;BN72&amp;")","Long","int","Integer","smallint","Double","decimal(9,2)","Currency","int")</f>
        <v>smallint</v>
      </c>
      <c r="AD72" s="252"/>
      <c r="AE72" s="252"/>
      <c r="AF72" s="252"/>
      <c r="AG72" s="253"/>
      <c r="AH72" s="73"/>
      <c r="AI72" s="75"/>
      <c r="AJ72" s="73"/>
      <c r="AK72" s="74"/>
      <c r="AL72" s="75"/>
      <c r="AM72" s="73"/>
      <c r="AN72" s="74"/>
      <c r="AO72" s="74"/>
      <c r="AP72" s="74"/>
      <c r="AQ72" s="74"/>
      <c r="AR72" s="74"/>
      <c r="AS72" s="75"/>
      <c r="AT72" s="73" t="s">
        <v>464</v>
      </c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5"/>
      <c r="BK72" s="4"/>
      <c r="BM72" t="s">
        <v>451</v>
      </c>
      <c r="BP72" t="str">
        <f t="shared" si="1"/>
        <v>,`DISC_MTHD6` smallint  COMMENT '割引タイプ６'</v>
      </c>
      <c r="BQ72" t="s">
        <v>223</v>
      </c>
      <c r="BR72" t="str">
        <f t="shared" si="4"/>
        <v xml:space="preserve">,`DISC_MTHD6` smallint </v>
      </c>
      <c r="BS72" t="s">
        <v>223</v>
      </c>
      <c r="BT72" t="str">
        <f t="shared" si="5"/>
        <v>,`DISC_MTHD6`</v>
      </c>
      <c r="BU72" t="s">
        <v>223</v>
      </c>
      <c r="BV72" s="82" t="str">
        <f t="shared" si="2"/>
        <v>,A.`DISC_MTHD6` = B.`DISC_MTHD6`</v>
      </c>
      <c r="BW72" t="s">
        <v>223</v>
      </c>
      <c r="BX72" s="82" t="str">
        <f t="shared" si="6"/>
        <v>,`DISC_MTHD6`</v>
      </c>
      <c r="BY72" t="s">
        <v>223</v>
      </c>
      <c r="BZ72" s="82" t="str">
        <f t="shared" si="3"/>
        <v>,`DISC_MTHD6`</v>
      </c>
      <c r="CA72" t="s">
        <v>223</v>
      </c>
    </row>
    <row r="73" spans="1:79" ht="15" customHeight="1">
      <c r="A73" s="84" t="s">
        <v>533</v>
      </c>
      <c r="B73" s="71">
        <v>9</v>
      </c>
      <c r="C73" s="72"/>
      <c r="D73" s="73" t="s">
        <v>839</v>
      </c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5"/>
      <c r="R73" s="73" t="s">
        <v>981</v>
      </c>
      <c r="S73" s="74"/>
      <c r="T73" s="74"/>
      <c r="U73" s="74"/>
      <c r="V73" s="74"/>
      <c r="W73" s="74"/>
      <c r="X73" s="74"/>
      <c r="Y73" s="74"/>
      <c r="Z73" s="74"/>
      <c r="AA73" s="74"/>
      <c r="AB73" s="75"/>
      <c r="AC73" s="251" t="str" cm="1">
        <f t="array" ref="AC73">_xlfn.SWITCH(BM73,"String","varchar("&amp;BN73&amp;")","Long","int","Integer","smallint","Double","decimal(9,2)","Currency","int")</f>
        <v>decimal(9,2)</v>
      </c>
      <c r="AD73" s="252"/>
      <c r="AE73" s="252"/>
      <c r="AF73" s="252"/>
      <c r="AG73" s="253"/>
      <c r="AH73" s="73"/>
      <c r="AI73" s="75"/>
      <c r="AJ73" s="73"/>
      <c r="AK73" s="74"/>
      <c r="AL73" s="75"/>
      <c r="AM73" s="73"/>
      <c r="AN73" s="74"/>
      <c r="AO73" s="74"/>
      <c r="AP73" s="74"/>
      <c r="AQ73" s="74"/>
      <c r="AR73" s="74"/>
      <c r="AS73" s="75"/>
      <c r="AT73" s="73" t="s">
        <v>464</v>
      </c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5"/>
      <c r="BK73" s="4"/>
      <c r="BM73" t="s">
        <v>452</v>
      </c>
      <c r="BP73" t="str">
        <f t="shared" si="1"/>
        <v>,`DISC_VALUE6` decimal(9,2)  COMMENT '特売価格６'</v>
      </c>
      <c r="BQ73" t="s">
        <v>223</v>
      </c>
      <c r="BR73" t="str">
        <f t="shared" si="4"/>
        <v xml:space="preserve">,`DISC_VALUE6` decimal(9,2) </v>
      </c>
      <c r="BS73" t="s">
        <v>223</v>
      </c>
      <c r="BT73" t="str">
        <f t="shared" si="5"/>
        <v>,`DISC_VALUE6`</v>
      </c>
      <c r="BU73" t="s">
        <v>223</v>
      </c>
      <c r="BV73" s="82" t="str">
        <f t="shared" si="2"/>
        <v>,A.`DISC_VALUE6` = B.`DISC_VALUE6`</v>
      </c>
      <c r="BW73" t="s">
        <v>223</v>
      </c>
      <c r="BX73" s="82" t="str">
        <f t="shared" si="6"/>
        <v>,`DISC_VALUE6`</v>
      </c>
      <c r="BY73" t="s">
        <v>223</v>
      </c>
      <c r="BZ73" s="82" t="str">
        <f t="shared" si="3"/>
        <v>,`DISC_VALUE6`</v>
      </c>
      <c r="CA73" t="s">
        <v>223</v>
      </c>
    </row>
    <row r="74" spans="1:79" ht="15" customHeight="1">
      <c r="A74" s="84" t="s">
        <v>534</v>
      </c>
      <c r="B74" s="71">
        <v>9</v>
      </c>
      <c r="C74" s="72"/>
      <c r="D74" s="73" t="s">
        <v>840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73" t="s">
        <v>982</v>
      </c>
      <c r="S74" s="74"/>
      <c r="T74" s="74"/>
      <c r="U74" s="74"/>
      <c r="V74" s="74"/>
      <c r="W74" s="74"/>
      <c r="X74" s="74"/>
      <c r="Y74" s="74"/>
      <c r="Z74" s="74"/>
      <c r="AA74" s="74"/>
      <c r="AB74" s="75"/>
      <c r="AC74" s="251" t="str" cm="1">
        <f t="array" ref="AC74">_xlfn.SWITCH(BM74,"String","varchar("&amp;BN74&amp;")","Long","int","Integer","smallint","Double","decimal(9,2)","Currency","int")</f>
        <v>decimal(9,2)</v>
      </c>
      <c r="AD74" s="252"/>
      <c r="AE74" s="252"/>
      <c r="AF74" s="252"/>
      <c r="AG74" s="253"/>
      <c r="AH74" s="73"/>
      <c r="AI74" s="75"/>
      <c r="AJ74" s="73"/>
      <c r="AK74" s="74"/>
      <c r="AL74" s="75"/>
      <c r="AM74" s="73"/>
      <c r="AN74" s="74"/>
      <c r="AO74" s="74"/>
      <c r="AP74" s="74"/>
      <c r="AQ74" s="74"/>
      <c r="AR74" s="74"/>
      <c r="AS74" s="75"/>
      <c r="AT74" s="73" t="s">
        <v>464</v>
      </c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5"/>
      <c r="BK74" s="4"/>
      <c r="BM74" t="s">
        <v>452</v>
      </c>
      <c r="BP74" t="str">
        <f t="shared" si="1"/>
        <v>,`MIN_QTY6` decimal(9,2)  COMMENT '成立数量６'</v>
      </c>
      <c r="BQ74" t="s">
        <v>223</v>
      </c>
      <c r="BR74" t="str">
        <f t="shared" si="4"/>
        <v xml:space="preserve">,`MIN_QTY6` decimal(9,2) </v>
      </c>
      <c r="BS74" t="s">
        <v>223</v>
      </c>
      <c r="BT74" t="str">
        <f t="shared" si="5"/>
        <v>,`MIN_QTY6`</v>
      </c>
      <c r="BU74" t="s">
        <v>223</v>
      </c>
      <c r="BV74" s="82" t="str">
        <f t="shared" si="2"/>
        <v>,A.`MIN_QTY6` = B.`MIN_QTY6`</v>
      </c>
      <c r="BW74" t="s">
        <v>223</v>
      </c>
      <c r="BX74" s="82" t="str">
        <f t="shared" si="6"/>
        <v>,`MIN_QTY6`</v>
      </c>
      <c r="BY74" t="s">
        <v>223</v>
      </c>
      <c r="BZ74" s="82" t="str">
        <f t="shared" si="3"/>
        <v>,`MIN_QTY6`</v>
      </c>
      <c r="CA74" t="s">
        <v>223</v>
      </c>
    </row>
    <row r="75" spans="1:79" ht="15" customHeight="1">
      <c r="A75" s="84" t="s">
        <v>535</v>
      </c>
      <c r="B75" s="71">
        <v>9</v>
      </c>
      <c r="C75" s="72"/>
      <c r="D75" s="73" t="s">
        <v>841</v>
      </c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5"/>
      <c r="R75" s="73" t="s">
        <v>983</v>
      </c>
      <c r="S75" s="74"/>
      <c r="T75" s="74"/>
      <c r="U75" s="74"/>
      <c r="V75" s="74"/>
      <c r="W75" s="74"/>
      <c r="X75" s="74"/>
      <c r="Y75" s="74"/>
      <c r="Z75" s="74"/>
      <c r="AA75" s="74"/>
      <c r="AB75" s="75"/>
      <c r="AC75" s="251" t="str" cm="1">
        <f t="array" ref="AC75">_xlfn.SWITCH(BM75,"String","varchar("&amp;BN75&amp;")","Long","int","Integer","smallint","Double","decimal(9,2)","Currency","int")</f>
        <v>int</v>
      </c>
      <c r="AD75" s="252"/>
      <c r="AE75" s="252"/>
      <c r="AF75" s="252"/>
      <c r="AG75" s="253"/>
      <c r="AH75" s="73"/>
      <c r="AI75" s="75"/>
      <c r="AJ75" s="73"/>
      <c r="AK75" s="74"/>
      <c r="AL75" s="75"/>
      <c r="AM75" s="73"/>
      <c r="AN75" s="74"/>
      <c r="AO75" s="74"/>
      <c r="AP75" s="74"/>
      <c r="AQ75" s="74"/>
      <c r="AR75" s="74"/>
      <c r="AS75" s="75"/>
      <c r="AT75" s="73" t="s">
        <v>464</v>
      </c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5"/>
      <c r="BK75" s="4"/>
      <c r="BM75" t="s">
        <v>453</v>
      </c>
      <c r="BP75" t="str">
        <f t="shared" si="1"/>
        <v>,`MIN_AMT6` int  COMMENT '成立価格６'</v>
      </c>
      <c r="BQ75" t="s">
        <v>223</v>
      </c>
      <c r="BR75" t="str">
        <f t="shared" si="4"/>
        <v xml:space="preserve">,`MIN_AMT6` int </v>
      </c>
      <c r="BS75" t="s">
        <v>223</v>
      </c>
      <c r="BT75" t="str">
        <f t="shared" si="5"/>
        <v>,`MIN_AMT6`</v>
      </c>
      <c r="BU75" t="s">
        <v>223</v>
      </c>
      <c r="BV75" s="82" t="str">
        <f t="shared" si="2"/>
        <v>,A.`MIN_AMT6` = B.`MIN_AMT6`</v>
      </c>
      <c r="BW75" t="s">
        <v>223</v>
      </c>
      <c r="BX75" s="82" t="str">
        <f t="shared" si="6"/>
        <v>,`MIN_AMT6`</v>
      </c>
      <c r="BY75" t="s">
        <v>223</v>
      </c>
      <c r="BZ75" s="82" t="str">
        <f t="shared" si="3"/>
        <v>,`MIN_AMT6`</v>
      </c>
      <c r="CA75" t="s">
        <v>223</v>
      </c>
    </row>
    <row r="76" spans="1:79" ht="15" customHeight="1">
      <c r="A76" s="84" t="s">
        <v>536</v>
      </c>
      <c r="B76" s="71">
        <v>9</v>
      </c>
      <c r="C76" s="72"/>
      <c r="D76" s="73" t="s">
        <v>842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73" t="s">
        <v>984</v>
      </c>
      <c r="S76" s="74"/>
      <c r="T76" s="74"/>
      <c r="U76" s="74"/>
      <c r="V76" s="74"/>
      <c r="W76" s="74"/>
      <c r="X76" s="74"/>
      <c r="Y76" s="74"/>
      <c r="Z76" s="74"/>
      <c r="AA76" s="74"/>
      <c r="AB76" s="75"/>
      <c r="AC76" s="251" t="str" cm="1">
        <f t="array" ref="AC76">_xlfn.SWITCH(BM76,"String","varchar("&amp;BN76&amp;")","Long","int","Integer","smallint","Double","decimal(9,2)","Currency","int")</f>
        <v>smallint</v>
      </c>
      <c r="AD76" s="252"/>
      <c r="AE76" s="252"/>
      <c r="AF76" s="252"/>
      <c r="AG76" s="253"/>
      <c r="AH76" s="73"/>
      <c r="AI76" s="75"/>
      <c r="AJ76" s="73"/>
      <c r="AK76" s="74"/>
      <c r="AL76" s="75"/>
      <c r="AM76" s="73"/>
      <c r="AN76" s="74"/>
      <c r="AO76" s="74"/>
      <c r="AP76" s="74"/>
      <c r="AQ76" s="74"/>
      <c r="AR76" s="74"/>
      <c r="AS76" s="75"/>
      <c r="AT76" s="73" t="s">
        <v>464</v>
      </c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5"/>
      <c r="BK76" s="4"/>
      <c r="BM76" t="s">
        <v>451</v>
      </c>
      <c r="BP76" t="str">
        <f t="shared" si="1"/>
        <v>,`DISC_MTHD7` smallint  COMMENT '割引タイプ７'</v>
      </c>
      <c r="BQ76" t="s">
        <v>223</v>
      </c>
      <c r="BR76" t="str">
        <f t="shared" si="4"/>
        <v xml:space="preserve">,`DISC_MTHD7` smallint </v>
      </c>
      <c r="BS76" t="s">
        <v>223</v>
      </c>
      <c r="BT76" t="str">
        <f t="shared" si="5"/>
        <v>,`DISC_MTHD7`</v>
      </c>
      <c r="BU76" t="s">
        <v>223</v>
      </c>
      <c r="BV76" s="82" t="str">
        <f t="shared" si="2"/>
        <v>,A.`DISC_MTHD7` = B.`DISC_MTHD7`</v>
      </c>
      <c r="BW76" t="s">
        <v>223</v>
      </c>
      <c r="BX76" s="82" t="str">
        <f t="shared" si="6"/>
        <v>,`DISC_MTHD7`</v>
      </c>
      <c r="BY76" t="s">
        <v>223</v>
      </c>
      <c r="BZ76" s="82" t="str">
        <f t="shared" si="3"/>
        <v>,`DISC_MTHD7`</v>
      </c>
      <c r="CA76" t="s">
        <v>223</v>
      </c>
    </row>
    <row r="77" spans="1:79" ht="15" customHeight="1">
      <c r="A77" s="84" t="s">
        <v>537</v>
      </c>
      <c r="B77" s="71">
        <v>9</v>
      </c>
      <c r="C77" s="72"/>
      <c r="D77" s="73" t="s">
        <v>843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/>
      <c r="R77" s="73" t="s">
        <v>985</v>
      </c>
      <c r="S77" s="74"/>
      <c r="T77" s="74"/>
      <c r="U77" s="74"/>
      <c r="V77" s="74"/>
      <c r="W77" s="74"/>
      <c r="X77" s="74"/>
      <c r="Y77" s="74"/>
      <c r="Z77" s="74"/>
      <c r="AA77" s="74"/>
      <c r="AB77" s="75"/>
      <c r="AC77" s="251" t="str" cm="1">
        <f t="array" ref="AC77">_xlfn.SWITCH(BM77,"String","varchar("&amp;BN77&amp;")","Long","int","Integer","smallint","Double","decimal(9,2)","Currency","int")</f>
        <v>decimal(9,2)</v>
      </c>
      <c r="AD77" s="252"/>
      <c r="AE77" s="252"/>
      <c r="AF77" s="252"/>
      <c r="AG77" s="253"/>
      <c r="AH77" s="73"/>
      <c r="AI77" s="75"/>
      <c r="AJ77" s="73"/>
      <c r="AK77" s="74"/>
      <c r="AL77" s="75"/>
      <c r="AM77" s="73"/>
      <c r="AN77" s="74"/>
      <c r="AO77" s="74"/>
      <c r="AP77" s="74"/>
      <c r="AQ77" s="74"/>
      <c r="AR77" s="74"/>
      <c r="AS77" s="75"/>
      <c r="AT77" s="73" t="s">
        <v>464</v>
      </c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5"/>
      <c r="BK77" s="4"/>
      <c r="BM77" t="s">
        <v>452</v>
      </c>
      <c r="BP77" t="str">
        <f t="shared" si="1"/>
        <v>,`DISC_VALUE7` decimal(9,2)  COMMENT '特売価格７'</v>
      </c>
      <c r="BQ77" t="s">
        <v>223</v>
      </c>
      <c r="BR77" t="str">
        <f t="shared" si="4"/>
        <v xml:space="preserve">,`DISC_VALUE7` decimal(9,2) </v>
      </c>
      <c r="BS77" t="s">
        <v>223</v>
      </c>
      <c r="BT77" t="str">
        <f t="shared" si="5"/>
        <v>,`DISC_VALUE7`</v>
      </c>
      <c r="BU77" t="s">
        <v>223</v>
      </c>
      <c r="BV77" s="82" t="str">
        <f t="shared" si="2"/>
        <v>,A.`DISC_VALUE7` = B.`DISC_VALUE7`</v>
      </c>
      <c r="BW77" t="s">
        <v>223</v>
      </c>
      <c r="BX77" s="82" t="str">
        <f t="shared" si="6"/>
        <v>,`DISC_VALUE7`</v>
      </c>
      <c r="BY77" t="s">
        <v>223</v>
      </c>
      <c r="BZ77" s="82" t="str">
        <f t="shared" si="3"/>
        <v>,`DISC_VALUE7`</v>
      </c>
      <c r="CA77" t="s">
        <v>223</v>
      </c>
    </row>
    <row r="78" spans="1:79" ht="15" customHeight="1">
      <c r="A78" s="84" t="s">
        <v>538</v>
      </c>
      <c r="B78" s="71">
        <v>9</v>
      </c>
      <c r="C78" s="72"/>
      <c r="D78" s="73" t="s">
        <v>844</v>
      </c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5"/>
      <c r="R78" s="73" t="s">
        <v>986</v>
      </c>
      <c r="S78" s="74"/>
      <c r="T78" s="74"/>
      <c r="U78" s="74"/>
      <c r="V78" s="74"/>
      <c r="W78" s="74"/>
      <c r="X78" s="74"/>
      <c r="Y78" s="74"/>
      <c r="Z78" s="74"/>
      <c r="AA78" s="74"/>
      <c r="AB78" s="75"/>
      <c r="AC78" s="251" t="str" cm="1">
        <f t="array" ref="AC78">_xlfn.SWITCH(BM78,"String","varchar("&amp;BN78&amp;")","Long","int","Integer","smallint","Double","decimal(9,2)","Currency","int")</f>
        <v>decimal(9,2)</v>
      </c>
      <c r="AD78" s="252"/>
      <c r="AE78" s="252"/>
      <c r="AF78" s="252"/>
      <c r="AG78" s="253"/>
      <c r="AH78" s="73"/>
      <c r="AI78" s="75"/>
      <c r="AJ78" s="73"/>
      <c r="AK78" s="74"/>
      <c r="AL78" s="75"/>
      <c r="AM78" s="73"/>
      <c r="AN78" s="74"/>
      <c r="AO78" s="74"/>
      <c r="AP78" s="74"/>
      <c r="AQ78" s="74"/>
      <c r="AR78" s="74"/>
      <c r="AS78" s="75"/>
      <c r="AT78" s="73" t="s">
        <v>464</v>
      </c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5"/>
      <c r="BK78" s="4"/>
      <c r="BM78" t="s">
        <v>452</v>
      </c>
      <c r="BP78" t="str">
        <f t="shared" si="1"/>
        <v>,`MIN_QTY7` decimal(9,2)  COMMENT '成立数量７'</v>
      </c>
      <c r="BQ78" t="s">
        <v>223</v>
      </c>
      <c r="BR78" t="str">
        <f t="shared" si="4"/>
        <v xml:space="preserve">,`MIN_QTY7` decimal(9,2) </v>
      </c>
      <c r="BS78" t="s">
        <v>223</v>
      </c>
      <c r="BT78" t="str">
        <f t="shared" si="5"/>
        <v>,`MIN_QTY7`</v>
      </c>
      <c r="BU78" t="s">
        <v>223</v>
      </c>
      <c r="BV78" s="82" t="str">
        <f t="shared" si="2"/>
        <v>,A.`MIN_QTY7` = B.`MIN_QTY7`</v>
      </c>
      <c r="BW78" t="s">
        <v>223</v>
      </c>
      <c r="BX78" s="82" t="str">
        <f t="shared" si="6"/>
        <v>,`MIN_QTY7`</v>
      </c>
      <c r="BY78" t="s">
        <v>223</v>
      </c>
      <c r="BZ78" s="82" t="str">
        <f t="shared" si="3"/>
        <v>,`MIN_QTY7`</v>
      </c>
      <c r="CA78" t="s">
        <v>223</v>
      </c>
    </row>
    <row r="79" spans="1:79" ht="15" customHeight="1">
      <c r="A79" s="84" t="s">
        <v>539</v>
      </c>
      <c r="B79" s="71">
        <v>9</v>
      </c>
      <c r="C79" s="72"/>
      <c r="D79" s="73" t="s">
        <v>845</v>
      </c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5"/>
      <c r="R79" s="73" t="s">
        <v>987</v>
      </c>
      <c r="S79" s="74"/>
      <c r="T79" s="74"/>
      <c r="U79" s="74"/>
      <c r="V79" s="74"/>
      <c r="W79" s="74"/>
      <c r="X79" s="74"/>
      <c r="Y79" s="74"/>
      <c r="Z79" s="74"/>
      <c r="AA79" s="74"/>
      <c r="AB79" s="75"/>
      <c r="AC79" s="251" t="str" cm="1">
        <f t="array" ref="AC79">_xlfn.SWITCH(BM79,"String","varchar("&amp;BN79&amp;")","Long","int","Integer","smallint","Double","decimal(9,2)","Currency","int")</f>
        <v>int</v>
      </c>
      <c r="AD79" s="252"/>
      <c r="AE79" s="252"/>
      <c r="AF79" s="252"/>
      <c r="AG79" s="253"/>
      <c r="AH79" s="73"/>
      <c r="AI79" s="75"/>
      <c r="AJ79" s="73"/>
      <c r="AK79" s="74"/>
      <c r="AL79" s="75"/>
      <c r="AM79" s="73"/>
      <c r="AN79" s="74"/>
      <c r="AO79" s="74"/>
      <c r="AP79" s="74"/>
      <c r="AQ79" s="74"/>
      <c r="AR79" s="74"/>
      <c r="AS79" s="75"/>
      <c r="AT79" s="73" t="s">
        <v>464</v>
      </c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5"/>
      <c r="BK79" s="4"/>
      <c r="BM79" t="s">
        <v>453</v>
      </c>
      <c r="BP79" t="str">
        <f t="shared" si="1"/>
        <v>,`MIN_AMT7` int  COMMENT '成立価格７'</v>
      </c>
      <c r="BQ79" t="s">
        <v>223</v>
      </c>
      <c r="BR79" t="str">
        <f t="shared" si="4"/>
        <v xml:space="preserve">,`MIN_AMT7` int </v>
      </c>
      <c r="BS79" t="s">
        <v>223</v>
      </c>
      <c r="BT79" t="str">
        <f t="shared" si="5"/>
        <v>,`MIN_AMT7`</v>
      </c>
      <c r="BU79" t="s">
        <v>223</v>
      </c>
      <c r="BV79" s="82" t="str">
        <f t="shared" si="2"/>
        <v>,A.`MIN_AMT7` = B.`MIN_AMT7`</v>
      </c>
      <c r="BW79" t="s">
        <v>223</v>
      </c>
      <c r="BX79" s="82" t="str">
        <f t="shared" si="6"/>
        <v>,`MIN_AMT7`</v>
      </c>
      <c r="BY79" t="s">
        <v>223</v>
      </c>
      <c r="BZ79" s="82" t="str">
        <f t="shared" si="3"/>
        <v>,`MIN_AMT7`</v>
      </c>
      <c r="CA79" t="s">
        <v>223</v>
      </c>
    </row>
    <row r="80" spans="1:79" ht="15" customHeight="1">
      <c r="A80" s="84" t="s">
        <v>540</v>
      </c>
      <c r="B80" s="71">
        <v>9</v>
      </c>
      <c r="C80" s="72"/>
      <c r="D80" s="73" t="s">
        <v>846</v>
      </c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5"/>
      <c r="R80" s="73" t="s">
        <v>988</v>
      </c>
      <c r="S80" s="74"/>
      <c r="T80" s="74"/>
      <c r="U80" s="74"/>
      <c r="V80" s="74"/>
      <c r="W80" s="74"/>
      <c r="X80" s="74"/>
      <c r="Y80" s="74"/>
      <c r="Z80" s="74"/>
      <c r="AA80" s="74"/>
      <c r="AB80" s="75"/>
      <c r="AC80" s="251" t="str" cm="1">
        <f t="array" ref="AC80">_xlfn.SWITCH(BM80,"String","varchar("&amp;BN80&amp;")","Long","int","Integer","smallint","Double","decimal(9,2)","Currency","int")</f>
        <v>smallint</v>
      </c>
      <c r="AD80" s="252"/>
      <c r="AE80" s="252"/>
      <c r="AF80" s="252"/>
      <c r="AG80" s="253"/>
      <c r="AH80" s="73"/>
      <c r="AI80" s="75"/>
      <c r="AJ80" s="73"/>
      <c r="AK80" s="74"/>
      <c r="AL80" s="75"/>
      <c r="AM80" s="73"/>
      <c r="AN80" s="74"/>
      <c r="AO80" s="74"/>
      <c r="AP80" s="74"/>
      <c r="AQ80" s="74"/>
      <c r="AR80" s="74"/>
      <c r="AS80" s="75"/>
      <c r="AT80" s="73" t="s">
        <v>464</v>
      </c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5"/>
      <c r="BK80" s="4"/>
      <c r="BM80" t="s">
        <v>451</v>
      </c>
      <c r="BP80" t="str">
        <f t="shared" si="1"/>
        <v>,`DISC_MTHD8` smallint  COMMENT '割引タイプ８'</v>
      </c>
      <c r="BQ80" t="s">
        <v>223</v>
      </c>
      <c r="BR80" t="str">
        <f t="shared" si="4"/>
        <v xml:space="preserve">,`DISC_MTHD8` smallint </v>
      </c>
      <c r="BS80" t="s">
        <v>223</v>
      </c>
      <c r="BT80" t="str">
        <f t="shared" si="5"/>
        <v>,`DISC_MTHD8`</v>
      </c>
      <c r="BU80" t="s">
        <v>223</v>
      </c>
      <c r="BV80" s="82" t="str">
        <f t="shared" si="2"/>
        <v>,A.`DISC_MTHD8` = B.`DISC_MTHD8`</v>
      </c>
      <c r="BW80" t="s">
        <v>223</v>
      </c>
      <c r="BX80" s="82" t="str">
        <f t="shared" si="6"/>
        <v>,`DISC_MTHD8`</v>
      </c>
      <c r="BY80" t="s">
        <v>223</v>
      </c>
      <c r="BZ80" s="82" t="str">
        <f t="shared" si="3"/>
        <v>,`DISC_MTHD8`</v>
      </c>
      <c r="CA80" t="s">
        <v>223</v>
      </c>
    </row>
    <row r="81" spans="1:79" ht="15" customHeight="1">
      <c r="A81" s="84" t="s">
        <v>541</v>
      </c>
      <c r="B81" s="71">
        <v>9</v>
      </c>
      <c r="C81" s="72"/>
      <c r="D81" s="73" t="s">
        <v>847</v>
      </c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5"/>
      <c r="R81" s="73" t="s">
        <v>989</v>
      </c>
      <c r="S81" s="74"/>
      <c r="T81" s="74"/>
      <c r="U81" s="74"/>
      <c r="V81" s="74"/>
      <c r="W81" s="74"/>
      <c r="X81" s="74"/>
      <c r="Y81" s="74"/>
      <c r="Z81" s="74"/>
      <c r="AA81" s="74"/>
      <c r="AB81" s="75"/>
      <c r="AC81" s="251" t="str" cm="1">
        <f t="array" ref="AC81">_xlfn.SWITCH(BM81,"String","varchar("&amp;BN81&amp;")","Long","int","Integer","smallint","Double","decimal(9,2)","Currency","int")</f>
        <v>decimal(9,2)</v>
      </c>
      <c r="AD81" s="252"/>
      <c r="AE81" s="252"/>
      <c r="AF81" s="252"/>
      <c r="AG81" s="253"/>
      <c r="AH81" s="73"/>
      <c r="AI81" s="75"/>
      <c r="AJ81" s="73"/>
      <c r="AK81" s="74"/>
      <c r="AL81" s="75"/>
      <c r="AM81" s="73"/>
      <c r="AN81" s="74"/>
      <c r="AO81" s="74"/>
      <c r="AP81" s="74"/>
      <c r="AQ81" s="74"/>
      <c r="AR81" s="74"/>
      <c r="AS81" s="75"/>
      <c r="AT81" s="73" t="s">
        <v>464</v>
      </c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5"/>
      <c r="BK81" s="4"/>
      <c r="BM81" t="s">
        <v>452</v>
      </c>
      <c r="BP81" t="str">
        <f t="shared" si="1"/>
        <v>,`DISC_VALUE8` decimal(9,2)  COMMENT '特売価格８'</v>
      </c>
      <c r="BQ81" t="s">
        <v>223</v>
      </c>
      <c r="BR81" t="str">
        <f t="shared" si="4"/>
        <v xml:space="preserve">,`DISC_VALUE8` decimal(9,2) </v>
      </c>
      <c r="BS81" t="s">
        <v>223</v>
      </c>
      <c r="BT81" t="str">
        <f t="shared" si="5"/>
        <v>,`DISC_VALUE8`</v>
      </c>
      <c r="BU81" t="s">
        <v>223</v>
      </c>
      <c r="BV81" s="82" t="str">
        <f t="shared" si="2"/>
        <v>,A.`DISC_VALUE8` = B.`DISC_VALUE8`</v>
      </c>
      <c r="BW81" t="s">
        <v>223</v>
      </c>
      <c r="BX81" s="82" t="str">
        <f t="shared" si="6"/>
        <v>,`DISC_VALUE8`</v>
      </c>
      <c r="BY81" t="s">
        <v>223</v>
      </c>
      <c r="BZ81" s="82" t="str">
        <f t="shared" si="3"/>
        <v>,`DISC_VALUE8`</v>
      </c>
      <c r="CA81" t="s">
        <v>223</v>
      </c>
    </row>
    <row r="82" spans="1:79" ht="15" customHeight="1">
      <c r="A82" s="84" t="s">
        <v>542</v>
      </c>
      <c r="B82" s="71">
        <v>9</v>
      </c>
      <c r="C82" s="72"/>
      <c r="D82" s="73" t="s">
        <v>848</v>
      </c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5"/>
      <c r="R82" s="73" t="s">
        <v>990</v>
      </c>
      <c r="S82" s="74"/>
      <c r="T82" s="74"/>
      <c r="U82" s="74"/>
      <c r="V82" s="74"/>
      <c r="W82" s="74"/>
      <c r="X82" s="74"/>
      <c r="Y82" s="74"/>
      <c r="Z82" s="74"/>
      <c r="AA82" s="74"/>
      <c r="AB82" s="75"/>
      <c r="AC82" s="251" t="str" cm="1">
        <f t="array" ref="AC82">_xlfn.SWITCH(BM82,"String","varchar("&amp;BN82&amp;")","Long","int","Integer","smallint","Double","decimal(9,2)","Currency","int")</f>
        <v>decimal(9,2)</v>
      </c>
      <c r="AD82" s="252"/>
      <c r="AE82" s="252"/>
      <c r="AF82" s="252"/>
      <c r="AG82" s="253"/>
      <c r="AH82" s="73"/>
      <c r="AI82" s="75"/>
      <c r="AJ82" s="73"/>
      <c r="AK82" s="74"/>
      <c r="AL82" s="75"/>
      <c r="AM82" s="73"/>
      <c r="AN82" s="74"/>
      <c r="AO82" s="74"/>
      <c r="AP82" s="74"/>
      <c r="AQ82" s="74"/>
      <c r="AR82" s="74"/>
      <c r="AS82" s="75"/>
      <c r="AT82" s="73" t="s">
        <v>464</v>
      </c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5"/>
      <c r="BK82" s="4"/>
      <c r="BM82" t="s">
        <v>452</v>
      </c>
      <c r="BP82" t="str">
        <f t="shared" si="1"/>
        <v>,`MIN_QTY8` decimal(9,2)  COMMENT '成立数量８'</v>
      </c>
      <c r="BQ82" t="s">
        <v>223</v>
      </c>
      <c r="BR82" t="str">
        <f t="shared" si="4"/>
        <v xml:space="preserve">,`MIN_QTY8` decimal(9,2) </v>
      </c>
      <c r="BS82" t="s">
        <v>223</v>
      </c>
      <c r="BT82" t="str">
        <f t="shared" si="5"/>
        <v>,`MIN_QTY8`</v>
      </c>
      <c r="BU82" t="s">
        <v>223</v>
      </c>
      <c r="BV82" s="82" t="str">
        <f t="shared" si="2"/>
        <v>,A.`MIN_QTY8` = B.`MIN_QTY8`</v>
      </c>
      <c r="BW82" t="s">
        <v>223</v>
      </c>
      <c r="BX82" s="82" t="str">
        <f t="shared" si="6"/>
        <v>,`MIN_QTY8`</v>
      </c>
      <c r="BY82" t="s">
        <v>223</v>
      </c>
      <c r="BZ82" s="82" t="str">
        <f t="shared" si="3"/>
        <v>,`MIN_QTY8`</v>
      </c>
      <c r="CA82" t="s">
        <v>223</v>
      </c>
    </row>
    <row r="83" spans="1:79" ht="15" customHeight="1">
      <c r="A83" s="84" t="s">
        <v>543</v>
      </c>
      <c r="B83" s="71">
        <v>9</v>
      </c>
      <c r="C83" s="72"/>
      <c r="D83" s="73" t="s">
        <v>849</v>
      </c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5"/>
      <c r="R83" s="73" t="s">
        <v>991</v>
      </c>
      <c r="S83" s="74"/>
      <c r="T83" s="74"/>
      <c r="U83" s="74"/>
      <c r="V83" s="74"/>
      <c r="W83" s="74"/>
      <c r="X83" s="74"/>
      <c r="Y83" s="74"/>
      <c r="Z83" s="74"/>
      <c r="AA83" s="74"/>
      <c r="AB83" s="75"/>
      <c r="AC83" s="251" t="str" cm="1">
        <f t="array" ref="AC83">_xlfn.SWITCH(BM83,"String","varchar("&amp;BN83&amp;")","Long","int","Integer","smallint","Double","decimal(9,2)","Currency","int")</f>
        <v>int</v>
      </c>
      <c r="AD83" s="252"/>
      <c r="AE83" s="252"/>
      <c r="AF83" s="252"/>
      <c r="AG83" s="253"/>
      <c r="AH83" s="73"/>
      <c r="AI83" s="75"/>
      <c r="AJ83" s="73"/>
      <c r="AK83" s="74"/>
      <c r="AL83" s="75"/>
      <c r="AM83" s="73"/>
      <c r="AN83" s="74"/>
      <c r="AO83" s="74"/>
      <c r="AP83" s="74"/>
      <c r="AQ83" s="74"/>
      <c r="AR83" s="74"/>
      <c r="AS83" s="75"/>
      <c r="AT83" s="73" t="s">
        <v>464</v>
      </c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5"/>
      <c r="BK83" s="4"/>
      <c r="BM83" t="s">
        <v>453</v>
      </c>
      <c r="BP83" t="str">
        <f t="shared" si="1"/>
        <v>,`MIN_AMT8` int  COMMENT '成立価格８'</v>
      </c>
      <c r="BQ83" t="s">
        <v>223</v>
      </c>
      <c r="BR83" t="str">
        <f t="shared" si="4"/>
        <v xml:space="preserve">,`MIN_AMT8` int </v>
      </c>
      <c r="BS83" t="s">
        <v>223</v>
      </c>
      <c r="BT83" t="str">
        <f t="shared" si="5"/>
        <v>,`MIN_AMT8`</v>
      </c>
      <c r="BU83" t="s">
        <v>223</v>
      </c>
      <c r="BV83" s="82" t="str">
        <f t="shared" si="2"/>
        <v>,A.`MIN_AMT8` = B.`MIN_AMT8`</v>
      </c>
      <c r="BW83" t="s">
        <v>223</v>
      </c>
      <c r="BX83" s="82" t="str">
        <f t="shared" si="6"/>
        <v>,`MIN_AMT8`</v>
      </c>
      <c r="BY83" t="s">
        <v>223</v>
      </c>
      <c r="BZ83" s="82" t="str">
        <f t="shared" si="3"/>
        <v>,`MIN_AMT8`</v>
      </c>
      <c r="CA83" t="s">
        <v>223</v>
      </c>
    </row>
    <row r="84" spans="1:79" ht="15" customHeight="1">
      <c r="A84" s="84" t="s">
        <v>544</v>
      </c>
      <c r="B84" s="71">
        <v>9</v>
      </c>
      <c r="C84" s="72"/>
      <c r="D84" s="73" t="s">
        <v>850</v>
      </c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73" t="s">
        <v>992</v>
      </c>
      <c r="S84" s="74"/>
      <c r="T84" s="74"/>
      <c r="U84" s="74"/>
      <c r="V84" s="74"/>
      <c r="W84" s="74"/>
      <c r="X84" s="74"/>
      <c r="Y84" s="74"/>
      <c r="Z84" s="74"/>
      <c r="AA84" s="74"/>
      <c r="AB84" s="75"/>
      <c r="AC84" s="251" t="str" cm="1">
        <f t="array" ref="AC84">_xlfn.SWITCH(BM84,"String","varchar("&amp;BN84&amp;")","Long","int","Integer","smallint","Double","decimal(9,2)","Currency","int")</f>
        <v>smallint</v>
      </c>
      <c r="AD84" s="252"/>
      <c r="AE84" s="252"/>
      <c r="AF84" s="252"/>
      <c r="AG84" s="253"/>
      <c r="AH84" s="73"/>
      <c r="AI84" s="75"/>
      <c r="AJ84" s="73"/>
      <c r="AK84" s="74"/>
      <c r="AL84" s="75"/>
      <c r="AM84" s="73"/>
      <c r="AN84" s="74"/>
      <c r="AO84" s="74"/>
      <c r="AP84" s="74"/>
      <c r="AQ84" s="74"/>
      <c r="AR84" s="74"/>
      <c r="AS84" s="75"/>
      <c r="AT84" s="73" t="s">
        <v>464</v>
      </c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5"/>
      <c r="BK84" s="4"/>
      <c r="BM84" t="s">
        <v>451</v>
      </c>
      <c r="BP84" t="str">
        <f t="shared" si="1"/>
        <v>,`DISC_MTHD9` smallint  COMMENT '割引タイプ９'</v>
      </c>
      <c r="BQ84" t="s">
        <v>223</v>
      </c>
      <c r="BR84" t="str">
        <f t="shared" si="4"/>
        <v xml:space="preserve">,`DISC_MTHD9` smallint </v>
      </c>
      <c r="BS84" t="s">
        <v>223</v>
      </c>
      <c r="BT84" t="str">
        <f t="shared" si="5"/>
        <v>,`DISC_MTHD9`</v>
      </c>
      <c r="BU84" t="s">
        <v>223</v>
      </c>
      <c r="BV84" s="82" t="str">
        <f t="shared" si="2"/>
        <v>,A.`DISC_MTHD9` = B.`DISC_MTHD9`</v>
      </c>
      <c r="BW84" t="s">
        <v>223</v>
      </c>
      <c r="BX84" s="82" t="str">
        <f t="shared" si="6"/>
        <v>,`DISC_MTHD9`</v>
      </c>
      <c r="BY84" t="s">
        <v>223</v>
      </c>
      <c r="BZ84" s="82" t="str">
        <f t="shared" si="3"/>
        <v>,`DISC_MTHD9`</v>
      </c>
      <c r="CA84" t="s">
        <v>223</v>
      </c>
    </row>
    <row r="85" spans="1:79" ht="15" customHeight="1">
      <c r="A85" s="84" t="s">
        <v>545</v>
      </c>
      <c r="B85" s="71">
        <v>9</v>
      </c>
      <c r="C85" s="72"/>
      <c r="D85" s="73" t="s">
        <v>851</v>
      </c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5"/>
      <c r="R85" s="73" t="s">
        <v>993</v>
      </c>
      <c r="S85" s="74"/>
      <c r="T85" s="74"/>
      <c r="U85" s="74"/>
      <c r="V85" s="74"/>
      <c r="W85" s="74"/>
      <c r="X85" s="74"/>
      <c r="Y85" s="74"/>
      <c r="Z85" s="74"/>
      <c r="AA85" s="74"/>
      <c r="AB85" s="75"/>
      <c r="AC85" s="251" t="str" cm="1">
        <f t="array" ref="AC85">_xlfn.SWITCH(BM85,"String","varchar("&amp;BN85&amp;")","Long","int","Integer","smallint","Double","decimal(9,2)","Currency","int")</f>
        <v>decimal(9,2)</v>
      </c>
      <c r="AD85" s="252"/>
      <c r="AE85" s="252"/>
      <c r="AF85" s="252"/>
      <c r="AG85" s="253"/>
      <c r="AH85" s="73"/>
      <c r="AI85" s="75"/>
      <c r="AJ85" s="73"/>
      <c r="AK85" s="74"/>
      <c r="AL85" s="75"/>
      <c r="AM85" s="73"/>
      <c r="AN85" s="74"/>
      <c r="AO85" s="74"/>
      <c r="AP85" s="74"/>
      <c r="AQ85" s="74"/>
      <c r="AR85" s="74"/>
      <c r="AS85" s="75"/>
      <c r="AT85" s="73" t="s">
        <v>464</v>
      </c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5"/>
      <c r="BK85" s="4"/>
      <c r="BM85" t="s">
        <v>452</v>
      </c>
      <c r="BP85" t="str">
        <f t="shared" si="1"/>
        <v>,`DISC_VALUE9` decimal(9,2)  COMMENT '特売価格９'</v>
      </c>
      <c r="BQ85" t="s">
        <v>223</v>
      </c>
      <c r="BR85" t="str">
        <f t="shared" si="4"/>
        <v xml:space="preserve">,`DISC_VALUE9` decimal(9,2) </v>
      </c>
      <c r="BS85" t="s">
        <v>223</v>
      </c>
      <c r="BT85" t="str">
        <f t="shared" si="5"/>
        <v>,`DISC_VALUE9`</v>
      </c>
      <c r="BU85" t="s">
        <v>223</v>
      </c>
      <c r="BV85" s="82" t="str">
        <f t="shared" si="2"/>
        <v>,A.`DISC_VALUE9` = B.`DISC_VALUE9`</v>
      </c>
      <c r="BW85" t="s">
        <v>223</v>
      </c>
      <c r="BX85" s="82" t="str">
        <f t="shared" si="6"/>
        <v>,`DISC_VALUE9`</v>
      </c>
      <c r="BY85" t="s">
        <v>223</v>
      </c>
      <c r="BZ85" s="82" t="str">
        <f t="shared" si="3"/>
        <v>,`DISC_VALUE9`</v>
      </c>
      <c r="CA85" t="s">
        <v>223</v>
      </c>
    </row>
    <row r="86" spans="1:79" ht="15" customHeight="1">
      <c r="A86" s="84" t="s">
        <v>546</v>
      </c>
      <c r="B86" s="71">
        <v>9</v>
      </c>
      <c r="C86" s="72"/>
      <c r="D86" s="73" t="s">
        <v>852</v>
      </c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5"/>
      <c r="R86" s="73" t="s">
        <v>994</v>
      </c>
      <c r="S86" s="74"/>
      <c r="T86" s="74"/>
      <c r="U86" s="74"/>
      <c r="V86" s="74"/>
      <c r="W86" s="74"/>
      <c r="X86" s="74"/>
      <c r="Y86" s="74"/>
      <c r="Z86" s="74"/>
      <c r="AA86" s="74"/>
      <c r="AB86" s="75"/>
      <c r="AC86" s="251" t="str" cm="1">
        <f t="array" ref="AC86">_xlfn.SWITCH(BM86,"String","varchar("&amp;BN86&amp;")","Long","int","Integer","smallint","Double","decimal(9,2)","Currency","int")</f>
        <v>decimal(9,2)</v>
      </c>
      <c r="AD86" s="252"/>
      <c r="AE86" s="252"/>
      <c r="AF86" s="252"/>
      <c r="AG86" s="253"/>
      <c r="AH86" s="73"/>
      <c r="AI86" s="75"/>
      <c r="AJ86" s="73"/>
      <c r="AK86" s="74"/>
      <c r="AL86" s="75"/>
      <c r="AM86" s="73"/>
      <c r="AN86" s="74"/>
      <c r="AO86" s="74"/>
      <c r="AP86" s="74"/>
      <c r="AQ86" s="74"/>
      <c r="AR86" s="74"/>
      <c r="AS86" s="75"/>
      <c r="AT86" s="73" t="s">
        <v>464</v>
      </c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5"/>
      <c r="BK86" s="4"/>
      <c r="BM86" t="s">
        <v>452</v>
      </c>
      <c r="BP86" t="str">
        <f t="shared" si="1"/>
        <v>,`MIN_QTY9` decimal(9,2)  COMMENT '成立数量９'</v>
      </c>
      <c r="BQ86" t="s">
        <v>223</v>
      </c>
      <c r="BR86" t="str">
        <f t="shared" si="4"/>
        <v xml:space="preserve">,`MIN_QTY9` decimal(9,2) </v>
      </c>
      <c r="BS86" t="s">
        <v>223</v>
      </c>
      <c r="BT86" t="str">
        <f t="shared" si="5"/>
        <v>,`MIN_QTY9`</v>
      </c>
      <c r="BU86" t="s">
        <v>223</v>
      </c>
      <c r="BV86" s="82" t="str">
        <f t="shared" si="2"/>
        <v>,A.`MIN_QTY9` = B.`MIN_QTY9`</v>
      </c>
      <c r="BW86" t="s">
        <v>223</v>
      </c>
      <c r="BX86" s="82" t="str">
        <f t="shared" si="6"/>
        <v>,`MIN_QTY9`</v>
      </c>
      <c r="BY86" t="s">
        <v>223</v>
      </c>
      <c r="BZ86" s="82" t="str">
        <f t="shared" si="3"/>
        <v>,`MIN_QTY9`</v>
      </c>
      <c r="CA86" t="s">
        <v>223</v>
      </c>
    </row>
    <row r="87" spans="1:79" ht="15" customHeight="1">
      <c r="A87" s="84" t="s">
        <v>547</v>
      </c>
      <c r="B87" s="71">
        <v>9</v>
      </c>
      <c r="C87" s="72"/>
      <c r="D87" s="73" t="s">
        <v>853</v>
      </c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5"/>
      <c r="R87" s="73" t="s">
        <v>995</v>
      </c>
      <c r="S87" s="74"/>
      <c r="T87" s="74"/>
      <c r="U87" s="74"/>
      <c r="V87" s="74"/>
      <c r="W87" s="74"/>
      <c r="X87" s="74"/>
      <c r="Y87" s="74"/>
      <c r="Z87" s="74"/>
      <c r="AA87" s="74"/>
      <c r="AB87" s="75"/>
      <c r="AC87" s="251" t="str" cm="1">
        <f t="array" ref="AC87">_xlfn.SWITCH(BM87,"String","varchar("&amp;BN87&amp;")","Long","int","Integer","smallint","Double","decimal(9,2)","Currency","int")</f>
        <v>int</v>
      </c>
      <c r="AD87" s="252"/>
      <c r="AE87" s="252"/>
      <c r="AF87" s="252"/>
      <c r="AG87" s="253"/>
      <c r="AH87" s="73"/>
      <c r="AI87" s="75"/>
      <c r="AJ87" s="73"/>
      <c r="AK87" s="74"/>
      <c r="AL87" s="75"/>
      <c r="AM87" s="73"/>
      <c r="AN87" s="74"/>
      <c r="AO87" s="74"/>
      <c r="AP87" s="74"/>
      <c r="AQ87" s="74"/>
      <c r="AR87" s="74"/>
      <c r="AS87" s="75"/>
      <c r="AT87" s="73" t="s">
        <v>464</v>
      </c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5"/>
      <c r="BK87" s="4"/>
      <c r="BM87" t="s">
        <v>453</v>
      </c>
      <c r="BP87" t="str">
        <f t="shared" si="1"/>
        <v>,`MIN_AMT9` int  COMMENT '成立価格９'</v>
      </c>
      <c r="BQ87" t="s">
        <v>223</v>
      </c>
      <c r="BR87" t="str">
        <f t="shared" si="4"/>
        <v xml:space="preserve">,`MIN_AMT9` int </v>
      </c>
      <c r="BS87" t="s">
        <v>223</v>
      </c>
      <c r="BT87" t="str">
        <f t="shared" si="5"/>
        <v>,`MIN_AMT9`</v>
      </c>
      <c r="BU87" t="s">
        <v>223</v>
      </c>
      <c r="BV87" s="82" t="str">
        <f t="shared" si="2"/>
        <v>,A.`MIN_AMT9` = B.`MIN_AMT9`</v>
      </c>
      <c r="BW87" t="s">
        <v>223</v>
      </c>
      <c r="BX87" s="82" t="str">
        <f t="shared" si="6"/>
        <v>,`MIN_AMT9`</v>
      </c>
      <c r="BY87" t="s">
        <v>223</v>
      </c>
      <c r="BZ87" s="82" t="str">
        <f t="shared" si="3"/>
        <v>,`MIN_AMT9`</v>
      </c>
      <c r="CA87" t="s">
        <v>223</v>
      </c>
    </row>
    <row r="88" spans="1:79" ht="15" customHeight="1">
      <c r="A88" s="84" t="s">
        <v>548</v>
      </c>
      <c r="B88" s="71">
        <v>9</v>
      </c>
      <c r="C88" s="72"/>
      <c r="D88" s="73" t="s">
        <v>854</v>
      </c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5"/>
      <c r="R88" s="73" t="s">
        <v>996</v>
      </c>
      <c r="S88" s="74"/>
      <c r="T88" s="74"/>
      <c r="U88" s="74"/>
      <c r="V88" s="74"/>
      <c r="W88" s="74"/>
      <c r="X88" s="74"/>
      <c r="Y88" s="74"/>
      <c r="Z88" s="74"/>
      <c r="AA88" s="74"/>
      <c r="AB88" s="75"/>
      <c r="AC88" s="251" t="str" cm="1">
        <f t="array" ref="AC88">_xlfn.SWITCH(BM88,"String","varchar("&amp;BN88&amp;")","Long","int","Integer","smallint","Double","decimal(9,2)","Currency","int")</f>
        <v>smallint</v>
      </c>
      <c r="AD88" s="252"/>
      <c r="AE88" s="252"/>
      <c r="AF88" s="252"/>
      <c r="AG88" s="253"/>
      <c r="AH88" s="73"/>
      <c r="AI88" s="75"/>
      <c r="AJ88" s="73"/>
      <c r="AK88" s="74"/>
      <c r="AL88" s="75"/>
      <c r="AM88" s="73"/>
      <c r="AN88" s="74"/>
      <c r="AO88" s="74"/>
      <c r="AP88" s="74"/>
      <c r="AQ88" s="74"/>
      <c r="AR88" s="74"/>
      <c r="AS88" s="75"/>
      <c r="AT88" s="73" t="s">
        <v>464</v>
      </c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5"/>
      <c r="BK88" s="4"/>
      <c r="BM88" t="s">
        <v>451</v>
      </c>
      <c r="BP88" t="str">
        <f t="shared" si="1"/>
        <v>,`DISC_MTHD10` smallint  COMMENT '割引タイプ１０'</v>
      </c>
      <c r="BQ88" t="s">
        <v>223</v>
      </c>
      <c r="BR88" t="str">
        <f t="shared" si="4"/>
        <v xml:space="preserve">,`DISC_MTHD10` smallint </v>
      </c>
      <c r="BS88" t="s">
        <v>223</v>
      </c>
      <c r="BT88" t="str">
        <f t="shared" si="5"/>
        <v>,`DISC_MTHD10`</v>
      </c>
      <c r="BU88" t="s">
        <v>223</v>
      </c>
      <c r="BV88" s="82" t="str">
        <f t="shared" si="2"/>
        <v>,A.`DISC_MTHD10` = B.`DISC_MTHD10`</v>
      </c>
      <c r="BW88" t="s">
        <v>223</v>
      </c>
      <c r="BX88" s="82" t="str">
        <f t="shared" si="6"/>
        <v>,`DISC_MTHD10`</v>
      </c>
      <c r="BY88" t="s">
        <v>223</v>
      </c>
      <c r="BZ88" s="82" t="str">
        <f t="shared" si="3"/>
        <v>,`DISC_MTHD10`</v>
      </c>
      <c r="CA88" t="s">
        <v>223</v>
      </c>
    </row>
    <row r="89" spans="1:79" ht="15" customHeight="1">
      <c r="A89" s="84" t="s">
        <v>549</v>
      </c>
      <c r="B89" s="71">
        <v>9</v>
      </c>
      <c r="C89" s="72"/>
      <c r="D89" s="73" t="s">
        <v>855</v>
      </c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5"/>
      <c r="R89" s="73" t="s">
        <v>997</v>
      </c>
      <c r="S89" s="74"/>
      <c r="T89" s="74"/>
      <c r="U89" s="74"/>
      <c r="V89" s="74"/>
      <c r="W89" s="74"/>
      <c r="X89" s="74"/>
      <c r="Y89" s="74"/>
      <c r="Z89" s="74"/>
      <c r="AA89" s="74"/>
      <c r="AB89" s="75"/>
      <c r="AC89" s="251" t="str" cm="1">
        <f t="array" ref="AC89">_xlfn.SWITCH(BM89,"String","varchar("&amp;BN89&amp;")","Long","int","Integer","smallint","Double","decimal(9,2)","Currency","int")</f>
        <v>decimal(9,2)</v>
      </c>
      <c r="AD89" s="252"/>
      <c r="AE89" s="252"/>
      <c r="AF89" s="252"/>
      <c r="AG89" s="253"/>
      <c r="AH89" s="73"/>
      <c r="AI89" s="75"/>
      <c r="AJ89" s="73"/>
      <c r="AK89" s="74"/>
      <c r="AL89" s="75"/>
      <c r="AM89" s="73"/>
      <c r="AN89" s="74"/>
      <c r="AO89" s="74"/>
      <c r="AP89" s="74"/>
      <c r="AQ89" s="74"/>
      <c r="AR89" s="74"/>
      <c r="AS89" s="75"/>
      <c r="AT89" s="73" t="s">
        <v>464</v>
      </c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5"/>
      <c r="BK89" s="4"/>
      <c r="BM89" t="s">
        <v>452</v>
      </c>
      <c r="BP89" t="str">
        <f t="shared" si="1"/>
        <v>,`DISC_VALUE10` decimal(9,2)  COMMENT '特売価格１０'</v>
      </c>
      <c r="BQ89" t="s">
        <v>223</v>
      </c>
      <c r="BR89" t="str">
        <f t="shared" si="4"/>
        <v xml:space="preserve">,`DISC_VALUE10` decimal(9,2) </v>
      </c>
      <c r="BS89" t="s">
        <v>223</v>
      </c>
      <c r="BT89" t="str">
        <f t="shared" si="5"/>
        <v>,`DISC_VALUE10`</v>
      </c>
      <c r="BU89" t="s">
        <v>223</v>
      </c>
      <c r="BV89" s="82" t="str">
        <f t="shared" si="2"/>
        <v>,A.`DISC_VALUE10` = B.`DISC_VALUE10`</v>
      </c>
      <c r="BW89" t="s">
        <v>223</v>
      </c>
      <c r="BX89" s="82" t="str">
        <f t="shared" si="6"/>
        <v>,`DISC_VALUE10`</v>
      </c>
      <c r="BY89" t="s">
        <v>223</v>
      </c>
      <c r="BZ89" s="82" t="str">
        <f t="shared" si="3"/>
        <v>,`DISC_VALUE10`</v>
      </c>
      <c r="CA89" t="s">
        <v>223</v>
      </c>
    </row>
    <row r="90" spans="1:79" ht="15" customHeight="1">
      <c r="A90" s="84" t="s">
        <v>550</v>
      </c>
      <c r="B90" s="71">
        <v>9</v>
      </c>
      <c r="C90" s="72"/>
      <c r="D90" s="73" t="s">
        <v>856</v>
      </c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5"/>
      <c r="R90" s="73" t="s">
        <v>998</v>
      </c>
      <c r="S90" s="74"/>
      <c r="T90" s="74"/>
      <c r="U90" s="74"/>
      <c r="V90" s="74"/>
      <c r="W90" s="74"/>
      <c r="X90" s="74"/>
      <c r="Y90" s="74"/>
      <c r="Z90" s="74"/>
      <c r="AA90" s="74"/>
      <c r="AB90" s="75"/>
      <c r="AC90" s="251" t="str" cm="1">
        <f t="array" ref="AC90">_xlfn.SWITCH(BM90,"String","varchar("&amp;BN90&amp;")","Long","int","Integer","smallint","Double","decimal(9,2)","Currency","int")</f>
        <v>decimal(9,2)</v>
      </c>
      <c r="AD90" s="252"/>
      <c r="AE90" s="252"/>
      <c r="AF90" s="252"/>
      <c r="AG90" s="253"/>
      <c r="AH90" s="73"/>
      <c r="AI90" s="75"/>
      <c r="AJ90" s="73"/>
      <c r="AK90" s="74"/>
      <c r="AL90" s="75"/>
      <c r="AM90" s="73"/>
      <c r="AN90" s="74"/>
      <c r="AO90" s="74"/>
      <c r="AP90" s="74"/>
      <c r="AQ90" s="74"/>
      <c r="AR90" s="74"/>
      <c r="AS90" s="75"/>
      <c r="AT90" s="73" t="s">
        <v>464</v>
      </c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5"/>
      <c r="BK90" s="4"/>
      <c r="BM90" t="s">
        <v>452</v>
      </c>
      <c r="BP90" t="str">
        <f t="shared" si="1"/>
        <v>,`MIN_QTY10` decimal(9,2)  COMMENT '成立数量１０'</v>
      </c>
      <c r="BQ90" t="s">
        <v>223</v>
      </c>
      <c r="BR90" t="str">
        <f t="shared" si="4"/>
        <v xml:space="preserve">,`MIN_QTY10` decimal(9,2) </v>
      </c>
      <c r="BS90" t="s">
        <v>223</v>
      </c>
      <c r="BT90" t="str">
        <f t="shared" si="5"/>
        <v>,`MIN_QTY10`</v>
      </c>
      <c r="BU90" t="s">
        <v>223</v>
      </c>
      <c r="BV90" s="82" t="str">
        <f t="shared" si="2"/>
        <v>,A.`MIN_QTY10` = B.`MIN_QTY10`</v>
      </c>
      <c r="BW90" t="s">
        <v>223</v>
      </c>
      <c r="BX90" s="82" t="str">
        <f t="shared" si="6"/>
        <v>,`MIN_QTY10`</v>
      </c>
      <c r="BY90" t="s">
        <v>223</v>
      </c>
      <c r="BZ90" s="82" t="str">
        <f t="shared" si="3"/>
        <v>,`MIN_QTY10`</v>
      </c>
      <c r="CA90" t="s">
        <v>223</v>
      </c>
    </row>
    <row r="91" spans="1:79" ht="15" customHeight="1">
      <c r="A91" s="84" t="s">
        <v>551</v>
      </c>
      <c r="B91" s="71">
        <v>9</v>
      </c>
      <c r="C91" s="72"/>
      <c r="D91" s="73" t="s">
        <v>857</v>
      </c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5"/>
      <c r="R91" s="73" t="s">
        <v>999</v>
      </c>
      <c r="S91" s="74"/>
      <c r="T91" s="74"/>
      <c r="U91" s="74"/>
      <c r="V91" s="74"/>
      <c r="W91" s="74"/>
      <c r="X91" s="74"/>
      <c r="Y91" s="74"/>
      <c r="Z91" s="74"/>
      <c r="AA91" s="74"/>
      <c r="AB91" s="75"/>
      <c r="AC91" s="251" t="str" cm="1">
        <f t="array" ref="AC91">_xlfn.SWITCH(BM91,"String","varchar("&amp;BN91&amp;")","Long","int","Integer","smallint","Double","decimal(9,2)","Currency","int")</f>
        <v>int</v>
      </c>
      <c r="AD91" s="252"/>
      <c r="AE91" s="252"/>
      <c r="AF91" s="252"/>
      <c r="AG91" s="253"/>
      <c r="AH91" s="73"/>
      <c r="AI91" s="75"/>
      <c r="AJ91" s="73"/>
      <c r="AK91" s="74"/>
      <c r="AL91" s="75"/>
      <c r="AM91" s="73"/>
      <c r="AN91" s="74"/>
      <c r="AO91" s="74"/>
      <c r="AP91" s="74"/>
      <c r="AQ91" s="74"/>
      <c r="AR91" s="74"/>
      <c r="AS91" s="75"/>
      <c r="AT91" s="73" t="s">
        <v>1123</v>
      </c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5"/>
      <c r="BK91" s="4"/>
      <c r="BM91" t="s">
        <v>453</v>
      </c>
      <c r="BP91" t="str">
        <f t="shared" si="1"/>
        <v>,`MIN_AMT10` int  COMMENT '成立価格１０'</v>
      </c>
      <c r="BQ91" t="s">
        <v>223</v>
      </c>
      <c r="BR91" t="str">
        <f t="shared" si="4"/>
        <v xml:space="preserve">,`MIN_AMT10` int </v>
      </c>
      <c r="BS91" t="s">
        <v>223</v>
      </c>
      <c r="BT91" t="str">
        <f t="shared" si="5"/>
        <v>,`MIN_AMT10`</v>
      </c>
      <c r="BU91" t="s">
        <v>223</v>
      </c>
      <c r="BV91" s="82" t="str">
        <f t="shared" si="2"/>
        <v>,A.`MIN_AMT10` = B.`MIN_AMT10`</v>
      </c>
      <c r="BW91" t="s">
        <v>223</v>
      </c>
      <c r="BX91" s="82" t="str">
        <f t="shared" si="6"/>
        <v>,`MIN_AMT10`</v>
      </c>
      <c r="BY91" t="s">
        <v>223</v>
      </c>
      <c r="BZ91" s="82" t="str">
        <f t="shared" si="3"/>
        <v>,`MIN_AMT10`</v>
      </c>
      <c r="CA91" t="s">
        <v>223</v>
      </c>
    </row>
    <row r="92" spans="1:79" ht="15" customHeight="1">
      <c r="A92" s="84" t="s">
        <v>552</v>
      </c>
      <c r="B92" s="71">
        <v>9</v>
      </c>
      <c r="C92" s="72"/>
      <c r="D92" s="73" t="s">
        <v>858</v>
      </c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5"/>
      <c r="R92" s="73" t="s">
        <v>1000</v>
      </c>
      <c r="S92" s="74"/>
      <c r="T92" s="74"/>
      <c r="U92" s="74"/>
      <c r="V92" s="74"/>
      <c r="W92" s="74"/>
      <c r="X92" s="74"/>
      <c r="Y92" s="74"/>
      <c r="Z92" s="74"/>
      <c r="AA92" s="74"/>
      <c r="AB92" s="75"/>
      <c r="AC92" s="251" t="str" cm="1">
        <f t="array" ref="AC92">_xlfn.SWITCH(BM92,"String","varchar("&amp;BN92&amp;")","Long","int","Integer","smallint","Double","decimal(9,2)","Currency","int")</f>
        <v>varchar(8)</v>
      </c>
      <c r="AD92" s="252"/>
      <c r="AE92" s="252"/>
      <c r="AF92" s="252"/>
      <c r="AG92" s="253"/>
      <c r="AH92" s="73"/>
      <c r="AI92" s="75"/>
      <c r="AJ92" s="73"/>
      <c r="AK92" s="74"/>
      <c r="AL92" s="75"/>
      <c r="AM92" s="73"/>
      <c r="AN92" s="74"/>
      <c r="AO92" s="74"/>
      <c r="AP92" s="74"/>
      <c r="AQ92" s="74"/>
      <c r="AR92" s="74"/>
      <c r="AS92" s="75"/>
      <c r="AT92" s="73" t="s">
        <v>1123</v>
      </c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5"/>
      <c r="BK92" s="4"/>
      <c r="BM92" t="s">
        <v>449</v>
      </c>
      <c r="BN92">
        <v>8</v>
      </c>
      <c r="BP92" t="str">
        <f t="shared" si="1"/>
        <v>,`BFR_PRACTICE_BGN_TM` varchar(8)  COMMENT '事前組合せ開始日'</v>
      </c>
      <c r="BQ92" t="s">
        <v>223</v>
      </c>
      <c r="BR92" t="str">
        <f t="shared" si="4"/>
        <v xml:space="preserve">,`BFR_PRACTICE_BGN_TM` varchar(8) </v>
      </c>
      <c r="BS92" t="s">
        <v>223</v>
      </c>
      <c r="BT92" t="str">
        <f t="shared" si="5"/>
        <v>,`BFR_PRACTICE_BGN_TM`</v>
      </c>
      <c r="BU92" t="s">
        <v>223</v>
      </c>
      <c r="BV92" s="82" t="str">
        <f t="shared" si="2"/>
        <v>,A.`BFR_PRACTICE_BGN_TM` = B.`BFR_PRACTICE_BGN_TM`</v>
      </c>
      <c r="BW92" t="s">
        <v>223</v>
      </c>
      <c r="BX92" s="82" t="str">
        <f t="shared" si="6"/>
        <v>,`BFR_PRACTICE_BGN_TM`</v>
      </c>
      <c r="BY92" t="s">
        <v>223</v>
      </c>
      <c r="BZ92" s="82" t="str">
        <f t="shared" si="3"/>
        <v>,`BFR_PRACTICE_BGN_TM`</v>
      </c>
      <c r="CA92" t="s">
        <v>223</v>
      </c>
    </row>
    <row r="93" spans="1:79" ht="15" customHeight="1">
      <c r="A93" s="84" t="s">
        <v>553</v>
      </c>
      <c r="B93" s="71">
        <v>9</v>
      </c>
      <c r="C93" s="72"/>
      <c r="D93" s="73" t="s">
        <v>859</v>
      </c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5"/>
      <c r="R93" s="73" t="s">
        <v>1001</v>
      </c>
      <c r="S93" s="74"/>
      <c r="T93" s="74"/>
      <c r="U93" s="74"/>
      <c r="V93" s="74"/>
      <c r="W93" s="74"/>
      <c r="X93" s="74"/>
      <c r="Y93" s="74"/>
      <c r="Z93" s="74"/>
      <c r="AA93" s="74"/>
      <c r="AB93" s="75"/>
      <c r="AC93" s="251" t="str" cm="1">
        <f t="array" ref="AC93">_xlfn.SWITCH(BM93,"String","varchar("&amp;BN93&amp;")","Long","int","Integer","smallint","Double","decimal(9,2)","Currency","int")</f>
        <v>smallint</v>
      </c>
      <c r="AD93" s="252"/>
      <c r="AE93" s="252"/>
      <c r="AF93" s="252"/>
      <c r="AG93" s="253"/>
      <c r="AH93" s="73"/>
      <c r="AI93" s="75"/>
      <c r="AJ93" s="73"/>
      <c r="AK93" s="74"/>
      <c r="AL93" s="75"/>
      <c r="AM93" s="73"/>
      <c r="AN93" s="74"/>
      <c r="AO93" s="74"/>
      <c r="AP93" s="74"/>
      <c r="AQ93" s="74"/>
      <c r="AR93" s="74"/>
      <c r="AS93" s="75"/>
      <c r="AT93" s="73" t="s">
        <v>1123</v>
      </c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5"/>
      <c r="BK93" s="4"/>
      <c r="BM93" t="s">
        <v>451</v>
      </c>
      <c r="BP93" t="str">
        <f t="shared" si="1"/>
        <v>,`EVNT_DISC_MTHD1` smallint  COMMENT '事前割引タイプ１'</v>
      </c>
      <c r="BQ93" t="s">
        <v>223</v>
      </c>
      <c r="BR93" t="str">
        <f t="shared" si="4"/>
        <v xml:space="preserve">,`EVNT_DISC_MTHD1` smallint </v>
      </c>
      <c r="BS93" t="s">
        <v>223</v>
      </c>
      <c r="BT93" t="str">
        <f t="shared" si="5"/>
        <v>,`EVNT_DISC_MTHD1`</v>
      </c>
      <c r="BU93" t="s">
        <v>223</v>
      </c>
      <c r="BV93" s="82" t="str">
        <f t="shared" si="2"/>
        <v>,A.`EVNT_DISC_MTHD1` = B.`EVNT_DISC_MTHD1`</v>
      </c>
      <c r="BW93" t="s">
        <v>223</v>
      </c>
      <c r="BX93" s="82" t="str">
        <f t="shared" si="6"/>
        <v>,`EVNT_DISC_MTHD1`</v>
      </c>
      <c r="BY93" t="s">
        <v>223</v>
      </c>
      <c r="BZ93" s="82" t="str">
        <f t="shared" si="3"/>
        <v>,`EVNT_DISC_MTHD1`</v>
      </c>
      <c r="CA93" t="s">
        <v>223</v>
      </c>
    </row>
    <row r="94" spans="1:79" ht="15" customHeight="1">
      <c r="A94" s="84" t="s">
        <v>554</v>
      </c>
      <c r="B94" s="71">
        <v>9</v>
      </c>
      <c r="C94" s="72"/>
      <c r="D94" s="73" t="s">
        <v>860</v>
      </c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5"/>
      <c r="R94" s="73" t="s">
        <v>1002</v>
      </c>
      <c r="S94" s="74"/>
      <c r="T94" s="74"/>
      <c r="U94" s="74"/>
      <c r="V94" s="74"/>
      <c r="W94" s="74"/>
      <c r="X94" s="74"/>
      <c r="Y94" s="74"/>
      <c r="Z94" s="74"/>
      <c r="AA94" s="74"/>
      <c r="AB94" s="75"/>
      <c r="AC94" s="251" t="str" cm="1">
        <f t="array" ref="AC94">_xlfn.SWITCH(BM94,"String","varchar("&amp;BN94&amp;")","Long","int","Integer","smallint","Double","decimal(9,2)","Currency","int")</f>
        <v>decimal(9,2)</v>
      </c>
      <c r="AD94" s="252"/>
      <c r="AE94" s="252"/>
      <c r="AF94" s="252"/>
      <c r="AG94" s="253"/>
      <c r="AH94" s="73"/>
      <c r="AI94" s="75"/>
      <c r="AJ94" s="73"/>
      <c r="AK94" s="74"/>
      <c r="AL94" s="75"/>
      <c r="AM94" s="73"/>
      <c r="AN94" s="74"/>
      <c r="AO94" s="74"/>
      <c r="AP94" s="74"/>
      <c r="AQ94" s="74"/>
      <c r="AR94" s="74"/>
      <c r="AS94" s="75"/>
      <c r="AT94" s="73" t="s">
        <v>1123</v>
      </c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5"/>
      <c r="BK94" s="4"/>
      <c r="BM94" t="s">
        <v>452</v>
      </c>
      <c r="BP94" t="str">
        <f t="shared" si="1"/>
        <v>,`EVNT_DISC_VALUE1` decimal(9,2)  COMMENT '事前特売価格１'</v>
      </c>
      <c r="BQ94" t="s">
        <v>223</v>
      </c>
      <c r="BR94" t="str">
        <f t="shared" si="4"/>
        <v xml:space="preserve">,`EVNT_DISC_VALUE1` decimal(9,2) </v>
      </c>
      <c r="BS94" t="s">
        <v>223</v>
      </c>
      <c r="BT94" t="str">
        <f t="shared" si="5"/>
        <v>,`EVNT_DISC_VALUE1`</v>
      </c>
      <c r="BU94" t="s">
        <v>223</v>
      </c>
      <c r="BV94" s="82" t="str">
        <f t="shared" si="2"/>
        <v>,A.`EVNT_DISC_VALUE1` = B.`EVNT_DISC_VALUE1`</v>
      </c>
      <c r="BW94" t="s">
        <v>223</v>
      </c>
      <c r="BX94" s="82" t="str">
        <f t="shared" si="6"/>
        <v>,`EVNT_DISC_VALUE1`</v>
      </c>
      <c r="BY94" t="s">
        <v>223</v>
      </c>
      <c r="BZ94" s="82" t="str">
        <f t="shared" si="3"/>
        <v>,`EVNT_DISC_VALUE1`</v>
      </c>
      <c r="CA94" t="s">
        <v>223</v>
      </c>
    </row>
    <row r="95" spans="1:79" ht="15" customHeight="1">
      <c r="A95" s="84" t="s">
        <v>555</v>
      </c>
      <c r="B95" s="71">
        <v>9</v>
      </c>
      <c r="C95" s="72"/>
      <c r="D95" s="73" t="s">
        <v>861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5"/>
      <c r="R95" s="73" t="s">
        <v>1003</v>
      </c>
      <c r="S95" s="74"/>
      <c r="T95" s="74"/>
      <c r="U95" s="74"/>
      <c r="V95" s="74"/>
      <c r="W95" s="74"/>
      <c r="X95" s="74"/>
      <c r="Y95" s="74"/>
      <c r="Z95" s="74"/>
      <c r="AA95" s="74"/>
      <c r="AB95" s="75"/>
      <c r="AC95" s="251" t="str" cm="1">
        <f t="array" ref="AC95">_xlfn.SWITCH(BM95,"String","varchar("&amp;BN95&amp;")","Long","int","Integer","smallint","Double","decimal(9,2)","Currency","int")</f>
        <v>decimal(9,2)</v>
      </c>
      <c r="AD95" s="252"/>
      <c r="AE95" s="252"/>
      <c r="AF95" s="252"/>
      <c r="AG95" s="253"/>
      <c r="AH95" s="73"/>
      <c r="AI95" s="75"/>
      <c r="AJ95" s="73"/>
      <c r="AK95" s="74"/>
      <c r="AL95" s="75"/>
      <c r="AM95" s="73"/>
      <c r="AN95" s="74"/>
      <c r="AO95" s="74"/>
      <c r="AP95" s="74"/>
      <c r="AQ95" s="74"/>
      <c r="AR95" s="74"/>
      <c r="AS95" s="75"/>
      <c r="AT95" s="73" t="s">
        <v>1123</v>
      </c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5"/>
      <c r="BK95" s="4"/>
      <c r="BM95" t="s">
        <v>452</v>
      </c>
      <c r="BP95" t="str">
        <f t="shared" si="1"/>
        <v>,`EVNT_MIN_QTY1` decimal(9,2)  COMMENT '事前成立数量１'</v>
      </c>
      <c r="BQ95" t="s">
        <v>223</v>
      </c>
      <c r="BR95" t="str">
        <f t="shared" si="4"/>
        <v xml:space="preserve">,`EVNT_MIN_QTY1` decimal(9,2) </v>
      </c>
      <c r="BS95" t="s">
        <v>223</v>
      </c>
      <c r="BT95" t="str">
        <f t="shared" si="5"/>
        <v>,`EVNT_MIN_QTY1`</v>
      </c>
      <c r="BU95" t="s">
        <v>223</v>
      </c>
      <c r="BV95" s="82" t="str">
        <f t="shared" si="2"/>
        <v>,A.`EVNT_MIN_QTY1` = B.`EVNT_MIN_QTY1`</v>
      </c>
      <c r="BW95" t="s">
        <v>223</v>
      </c>
      <c r="BX95" s="82" t="str">
        <f t="shared" si="6"/>
        <v>,`EVNT_MIN_QTY1`</v>
      </c>
      <c r="BY95" t="s">
        <v>223</v>
      </c>
      <c r="BZ95" s="82" t="str">
        <f t="shared" si="3"/>
        <v>,`EVNT_MIN_QTY1`</v>
      </c>
      <c r="CA95" t="s">
        <v>223</v>
      </c>
    </row>
    <row r="96" spans="1:79" ht="15" customHeight="1">
      <c r="A96" s="84" t="s">
        <v>556</v>
      </c>
      <c r="B96" s="71">
        <v>9</v>
      </c>
      <c r="C96" s="72"/>
      <c r="D96" s="73" t="s">
        <v>862</v>
      </c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73" t="s">
        <v>1004</v>
      </c>
      <c r="S96" s="74"/>
      <c r="T96" s="74"/>
      <c r="U96" s="74"/>
      <c r="V96" s="74"/>
      <c r="W96" s="74"/>
      <c r="X96" s="74"/>
      <c r="Y96" s="74"/>
      <c r="Z96" s="74"/>
      <c r="AA96" s="74"/>
      <c r="AB96" s="75"/>
      <c r="AC96" s="251" t="str" cm="1">
        <f t="array" ref="AC96">_xlfn.SWITCH(BM96,"String","varchar("&amp;BN96&amp;")","Long","int","Integer","smallint","Double","decimal(9,2)","Currency","int")</f>
        <v>int</v>
      </c>
      <c r="AD96" s="252"/>
      <c r="AE96" s="252"/>
      <c r="AF96" s="252"/>
      <c r="AG96" s="253"/>
      <c r="AH96" s="73"/>
      <c r="AI96" s="75"/>
      <c r="AJ96" s="73"/>
      <c r="AK96" s="74"/>
      <c r="AL96" s="75"/>
      <c r="AM96" s="73"/>
      <c r="AN96" s="74"/>
      <c r="AO96" s="74"/>
      <c r="AP96" s="74"/>
      <c r="AQ96" s="74"/>
      <c r="AR96" s="74"/>
      <c r="AS96" s="75"/>
      <c r="AT96" s="73" t="s">
        <v>1123</v>
      </c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5"/>
      <c r="BK96" s="4"/>
      <c r="BM96" t="s">
        <v>453</v>
      </c>
      <c r="BP96" t="str">
        <f t="shared" si="1"/>
        <v>,`EVNT_MIN_AMT1` int  COMMENT '事前成立価格１'</v>
      </c>
      <c r="BQ96" t="s">
        <v>223</v>
      </c>
      <c r="BR96" t="str">
        <f t="shared" si="4"/>
        <v xml:space="preserve">,`EVNT_MIN_AMT1` int </v>
      </c>
      <c r="BS96" t="s">
        <v>223</v>
      </c>
      <c r="BT96" t="str">
        <f t="shared" si="5"/>
        <v>,`EVNT_MIN_AMT1`</v>
      </c>
      <c r="BU96" t="s">
        <v>223</v>
      </c>
      <c r="BV96" s="82" t="str">
        <f t="shared" si="2"/>
        <v>,A.`EVNT_MIN_AMT1` = B.`EVNT_MIN_AMT1`</v>
      </c>
      <c r="BW96" t="s">
        <v>223</v>
      </c>
      <c r="BX96" s="82" t="str">
        <f t="shared" si="6"/>
        <v>,`EVNT_MIN_AMT1`</v>
      </c>
      <c r="BY96" t="s">
        <v>223</v>
      </c>
      <c r="BZ96" s="82" t="str">
        <f t="shared" si="3"/>
        <v>,`EVNT_MIN_AMT1`</v>
      </c>
      <c r="CA96" t="s">
        <v>223</v>
      </c>
    </row>
    <row r="97" spans="1:79" ht="15" customHeight="1">
      <c r="A97" s="84" t="s">
        <v>557</v>
      </c>
      <c r="B97" s="71">
        <v>9</v>
      </c>
      <c r="C97" s="72"/>
      <c r="D97" s="73" t="s">
        <v>863</v>
      </c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73" t="s">
        <v>1005</v>
      </c>
      <c r="S97" s="74"/>
      <c r="T97" s="74"/>
      <c r="U97" s="74"/>
      <c r="V97" s="74"/>
      <c r="W97" s="74"/>
      <c r="X97" s="74"/>
      <c r="Y97" s="74"/>
      <c r="Z97" s="74"/>
      <c r="AA97" s="74"/>
      <c r="AB97" s="75"/>
      <c r="AC97" s="251" t="str" cm="1">
        <f t="array" ref="AC97">_xlfn.SWITCH(BM97,"String","varchar("&amp;BN97&amp;")","Long","int","Integer","smallint","Double","decimal(9,2)","Currency","int")</f>
        <v>smallint</v>
      </c>
      <c r="AD97" s="252"/>
      <c r="AE97" s="252"/>
      <c r="AF97" s="252"/>
      <c r="AG97" s="253"/>
      <c r="AH97" s="73"/>
      <c r="AI97" s="75"/>
      <c r="AJ97" s="73"/>
      <c r="AK97" s="74"/>
      <c r="AL97" s="75"/>
      <c r="AM97" s="73"/>
      <c r="AN97" s="74"/>
      <c r="AO97" s="74"/>
      <c r="AP97" s="74"/>
      <c r="AQ97" s="74"/>
      <c r="AR97" s="74"/>
      <c r="AS97" s="75"/>
      <c r="AT97" s="73" t="s">
        <v>1123</v>
      </c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5"/>
      <c r="BK97" s="4"/>
      <c r="BM97" t="s">
        <v>451</v>
      </c>
      <c r="BP97" t="str">
        <f t="shared" si="1"/>
        <v>,`EVNT_DISC_MTHD2` smallint  COMMENT '事前割引タイプ２'</v>
      </c>
      <c r="BQ97" t="s">
        <v>223</v>
      </c>
      <c r="BR97" t="str">
        <f t="shared" si="4"/>
        <v xml:space="preserve">,`EVNT_DISC_MTHD2` smallint </v>
      </c>
      <c r="BS97" t="s">
        <v>223</v>
      </c>
      <c r="BT97" t="str">
        <f t="shared" si="5"/>
        <v>,`EVNT_DISC_MTHD2`</v>
      </c>
      <c r="BU97" t="s">
        <v>223</v>
      </c>
      <c r="BV97" s="82" t="str">
        <f t="shared" si="2"/>
        <v>,A.`EVNT_DISC_MTHD2` = B.`EVNT_DISC_MTHD2`</v>
      </c>
      <c r="BW97" t="s">
        <v>223</v>
      </c>
      <c r="BX97" s="82" t="str">
        <f t="shared" si="6"/>
        <v>,`EVNT_DISC_MTHD2`</v>
      </c>
      <c r="BY97" t="s">
        <v>223</v>
      </c>
      <c r="BZ97" s="82" t="str">
        <f t="shared" si="3"/>
        <v>,`EVNT_DISC_MTHD2`</v>
      </c>
      <c r="CA97" t="s">
        <v>223</v>
      </c>
    </row>
    <row r="98" spans="1:79" ht="15" customHeight="1">
      <c r="A98" s="84" t="s">
        <v>558</v>
      </c>
      <c r="B98" s="71">
        <v>9</v>
      </c>
      <c r="C98" s="72"/>
      <c r="D98" s="73" t="s">
        <v>864</v>
      </c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5"/>
      <c r="R98" s="73" t="s">
        <v>1006</v>
      </c>
      <c r="S98" s="74"/>
      <c r="T98" s="74"/>
      <c r="U98" s="74"/>
      <c r="V98" s="74"/>
      <c r="W98" s="74"/>
      <c r="X98" s="74"/>
      <c r="Y98" s="74"/>
      <c r="Z98" s="74"/>
      <c r="AA98" s="74"/>
      <c r="AB98" s="75"/>
      <c r="AC98" s="251" t="str" cm="1">
        <f t="array" ref="AC98">_xlfn.SWITCH(BM98,"String","varchar("&amp;BN98&amp;")","Long","int","Integer","smallint","Double","decimal(9,2)","Currency","int")</f>
        <v>decimal(9,2)</v>
      </c>
      <c r="AD98" s="252"/>
      <c r="AE98" s="252"/>
      <c r="AF98" s="252"/>
      <c r="AG98" s="253"/>
      <c r="AH98" s="73"/>
      <c r="AI98" s="75"/>
      <c r="AJ98" s="73"/>
      <c r="AK98" s="74"/>
      <c r="AL98" s="75"/>
      <c r="AM98" s="73"/>
      <c r="AN98" s="74"/>
      <c r="AO98" s="74"/>
      <c r="AP98" s="74"/>
      <c r="AQ98" s="74"/>
      <c r="AR98" s="74"/>
      <c r="AS98" s="75"/>
      <c r="AT98" s="73" t="s">
        <v>1123</v>
      </c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5"/>
      <c r="BK98" s="4"/>
      <c r="BM98" t="s">
        <v>452</v>
      </c>
      <c r="BP98" t="str">
        <f t="shared" si="1"/>
        <v>,`EVNT_DISC_VALUE2` decimal(9,2)  COMMENT '事前特売価格２'</v>
      </c>
      <c r="BQ98" t="s">
        <v>223</v>
      </c>
      <c r="BR98" t="str">
        <f t="shared" si="4"/>
        <v xml:space="preserve">,`EVNT_DISC_VALUE2` decimal(9,2) </v>
      </c>
      <c r="BS98" t="s">
        <v>223</v>
      </c>
      <c r="BT98" t="str">
        <f t="shared" si="5"/>
        <v>,`EVNT_DISC_VALUE2`</v>
      </c>
      <c r="BU98" t="s">
        <v>223</v>
      </c>
      <c r="BV98" s="82" t="str">
        <f t="shared" si="2"/>
        <v>,A.`EVNT_DISC_VALUE2` = B.`EVNT_DISC_VALUE2`</v>
      </c>
      <c r="BW98" t="s">
        <v>223</v>
      </c>
      <c r="BX98" s="82" t="str">
        <f t="shared" si="6"/>
        <v>,`EVNT_DISC_VALUE2`</v>
      </c>
      <c r="BY98" t="s">
        <v>223</v>
      </c>
      <c r="BZ98" s="82" t="str">
        <f t="shared" si="3"/>
        <v>,`EVNT_DISC_VALUE2`</v>
      </c>
      <c r="CA98" t="s">
        <v>223</v>
      </c>
    </row>
    <row r="99" spans="1:79" ht="15" customHeight="1">
      <c r="A99" s="84" t="s">
        <v>559</v>
      </c>
      <c r="B99" s="71">
        <v>9</v>
      </c>
      <c r="C99" s="72"/>
      <c r="D99" s="73" t="s">
        <v>865</v>
      </c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5"/>
      <c r="R99" s="73" t="s">
        <v>1007</v>
      </c>
      <c r="S99" s="74"/>
      <c r="T99" s="74"/>
      <c r="U99" s="74"/>
      <c r="V99" s="74"/>
      <c r="W99" s="74"/>
      <c r="X99" s="74"/>
      <c r="Y99" s="74"/>
      <c r="Z99" s="74"/>
      <c r="AA99" s="74"/>
      <c r="AB99" s="75"/>
      <c r="AC99" s="251" t="str" cm="1">
        <f t="array" ref="AC99">_xlfn.SWITCH(BM99,"String","varchar("&amp;BN99&amp;")","Long","int","Integer","smallint","Double","decimal(9,2)","Currency","int")</f>
        <v>decimal(9,2)</v>
      </c>
      <c r="AD99" s="252"/>
      <c r="AE99" s="252"/>
      <c r="AF99" s="252"/>
      <c r="AG99" s="253"/>
      <c r="AH99" s="73"/>
      <c r="AI99" s="75"/>
      <c r="AJ99" s="73"/>
      <c r="AK99" s="74"/>
      <c r="AL99" s="75"/>
      <c r="AM99" s="73"/>
      <c r="AN99" s="74"/>
      <c r="AO99" s="74"/>
      <c r="AP99" s="74"/>
      <c r="AQ99" s="74"/>
      <c r="AR99" s="74"/>
      <c r="AS99" s="75"/>
      <c r="AT99" s="73" t="s">
        <v>1123</v>
      </c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5"/>
      <c r="BK99" s="4"/>
      <c r="BM99" t="s">
        <v>452</v>
      </c>
      <c r="BP99" t="str">
        <f t="shared" si="1"/>
        <v>,`EVNT_MIN_QTY2` decimal(9,2)  COMMENT '事前成立数量２'</v>
      </c>
      <c r="BQ99" t="s">
        <v>223</v>
      </c>
      <c r="BR99" t="str">
        <f t="shared" si="4"/>
        <v xml:space="preserve">,`EVNT_MIN_QTY2` decimal(9,2) </v>
      </c>
      <c r="BS99" t="s">
        <v>223</v>
      </c>
      <c r="BT99" t="str">
        <f t="shared" si="5"/>
        <v>,`EVNT_MIN_QTY2`</v>
      </c>
      <c r="BU99" t="s">
        <v>223</v>
      </c>
      <c r="BV99" s="82" t="str">
        <f t="shared" si="2"/>
        <v>,A.`EVNT_MIN_QTY2` = B.`EVNT_MIN_QTY2`</v>
      </c>
      <c r="BW99" t="s">
        <v>223</v>
      </c>
      <c r="BX99" s="82" t="str">
        <f t="shared" si="6"/>
        <v>,`EVNT_MIN_QTY2`</v>
      </c>
      <c r="BY99" t="s">
        <v>223</v>
      </c>
      <c r="BZ99" s="82" t="str">
        <f t="shared" si="3"/>
        <v>,`EVNT_MIN_QTY2`</v>
      </c>
      <c r="CA99" t="s">
        <v>223</v>
      </c>
    </row>
    <row r="100" spans="1:79" ht="15" customHeight="1">
      <c r="A100" s="84" t="s">
        <v>560</v>
      </c>
      <c r="B100" s="71">
        <v>9</v>
      </c>
      <c r="C100" s="72"/>
      <c r="D100" s="73" t="s">
        <v>866</v>
      </c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73" t="s">
        <v>1008</v>
      </c>
      <c r="S100" s="74"/>
      <c r="T100" s="74"/>
      <c r="U100" s="74"/>
      <c r="V100" s="74"/>
      <c r="W100" s="74"/>
      <c r="X100" s="74"/>
      <c r="Y100" s="74"/>
      <c r="Z100" s="74"/>
      <c r="AA100" s="74"/>
      <c r="AB100" s="75"/>
      <c r="AC100" s="251" t="str" cm="1">
        <f t="array" ref="AC100">_xlfn.SWITCH(BM100,"String","varchar("&amp;BN100&amp;")","Long","int","Integer","smallint","Double","decimal(9,2)","Currency","int")</f>
        <v>int</v>
      </c>
      <c r="AD100" s="252"/>
      <c r="AE100" s="252"/>
      <c r="AF100" s="252"/>
      <c r="AG100" s="253"/>
      <c r="AH100" s="73"/>
      <c r="AI100" s="75"/>
      <c r="AJ100" s="73"/>
      <c r="AK100" s="74"/>
      <c r="AL100" s="75"/>
      <c r="AM100" s="73"/>
      <c r="AN100" s="74"/>
      <c r="AO100" s="74"/>
      <c r="AP100" s="74"/>
      <c r="AQ100" s="74"/>
      <c r="AR100" s="74"/>
      <c r="AS100" s="75"/>
      <c r="AT100" s="73" t="s">
        <v>1123</v>
      </c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5"/>
      <c r="BK100" s="4"/>
      <c r="BM100" t="s">
        <v>453</v>
      </c>
      <c r="BP100" t="str">
        <f t="shared" si="1"/>
        <v>,`EVNT_MIN_AMT2` int  COMMENT '事前成立価格２'</v>
      </c>
      <c r="BQ100" t="s">
        <v>223</v>
      </c>
      <c r="BR100" t="str">
        <f t="shared" si="4"/>
        <v xml:space="preserve">,`EVNT_MIN_AMT2` int </v>
      </c>
      <c r="BS100" t="s">
        <v>223</v>
      </c>
      <c r="BT100" t="str">
        <f t="shared" si="5"/>
        <v>,`EVNT_MIN_AMT2`</v>
      </c>
      <c r="BU100" t="s">
        <v>223</v>
      </c>
      <c r="BV100" s="82" t="str">
        <f t="shared" si="2"/>
        <v>,A.`EVNT_MIN_AMT2` = B.`EVNT_MIN_AMT2`</v>
      </c>
      <c r="BW100" t="s">
        <v>223</v>
      </c>
      <c r="BX100" s="82" t="str">
        <f t="shared" si="6"/>
        <v>,`EVNT_MIN_AMT2`</v>
      </c>
      <c r="BY100" t="s">
        <v>223</v>
      </c>
      <c r="BZ100" s="82" t="str">
        <f t="shared" si="3"/>
        <v>,`EVNT_MIN_AMT2`</v>
      </c>
      <c r="CA100" t="s">
        <v>223</v>
      </c>
    </row>
    <row r="101" spans="1:79" ht="15" customHeight="1">
      <c r="A101" s="84" t="s">
        <v>561</v>
      </c>
      <c r="B101" s="71">
        <v>9</v>
      </c>
      <c r="C101" s="72"/>
      <c r="D101" s="73" t="s">
        <v>867</v>
      </c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5"/>
      <c r="R101" s="73" t="s">
        <v>1009</v>
      </c>
      <c r="S101" s="74"/>
      <c r="T101" s="74"/>
      <c r="U101" s="74"/>
      <c r="V101" s="74"/>
      <c r="W101" s="74"/>
      <c r="X101" s="74"/>
      <c r="Y101" s="74"/>
      <c r="Z101" s="74"/>
      <c r="AA101" s="74"/>
      <c r="AB101" s="75"/>
      <c r="AC101" s="251" t="str" cm="1">
        <f t="array" ref="AC101">_xlfn.SWITCH(BM101,"String","varchar("&amp;BN101&amp;")","Long","int","Integer","smallint","Double","decimal(9,2)","Currency","int")</f>
        <v>smallint</v>
      </c>
      <c r="AD101" s="252"/>
      <c r="AE101" s="252"/>
      <c r="AF101" s="252"/>
      <c r="AG101" s="253"/>
      <c r="AH101" s="73"/>
      <c r="AI101" s="75"/>
      <c r="AJ101" s="73"/>
      <c r="AK101" s="74"/>
      <c r="AL101" s="75"/>
      <c r="AM101" s="73"/>
      <c r="AN101" s="74"/>
      <c r="AO101" s="74"/>
      <c r="AP101" s="74"/>
      <c r="AQ101" s="74"/>
      <c r="AR101" s="74"/>
      <c r="AS101" s="75"/>
      <c r="AT101" s="73" t="s">
        <v>1123</v>
      </c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5"/>
      <c r="BK101" s="4"/>
      <c r="BM101" t="s">
        <v>451</v>
      </c>
      <c r="BP101" t="str">
        <f t="shared" si="1"/>
        <v>,`EVNT_DISC_MTHD3` smallint  COMMENT '事前割引タイプ3'</v>
      </c>
      <c r="BQ101" t="s">
        <v>223</v>
      </c>
      <c r="BR101" t="str">
        <f t="shared" si="4"/>
        <v xml:space="preserve">,`EVNT_DISC_MTHD3` smallint </v>
      </c>
      <c r="BS101" t="s">
        <v>223</v>
      </c>
      <c r="BT101" t="str">
        <f t="shared" si="5"/>
        <v>,`EVNT_DISC_MTHD3`</v>
      </c>
      <c r="BU101" t="s">
        <v>223</v>
      </c>
      <c r="BV101" s="82" t="str">
        <f t="shared" si="2"/>
        <v>,A.`EVNT_DISC_MTHD3` = B.`EVNT_DISC_MTHD3`</v>
      </c>
      <c r="BW101" t="s">
        <v>223</v>
      </c>
      <c r="BX101" s="82" t="str">
        <f t="shared" si="6"/>
        <v>,`EVNT_DISC_MTHD3`</v>
      </c>
      <c r="BY101" t="s">
        <v>223</v>
      </c>
      <c r="BZ101" s="82" t="str">
        <f t="shared" si="3"/>
        <v>,`EVNT_DISC_MTHD3`</v>
      </c>
      <c r="CA101" t="s">
        <v>223</v>
      </c>
    </row>
    <row r="102" spans="1:79" ht="15" customHeight="1">
      <c r="A102" s="84" t="s">
        <v>562</v>
      </c>
      <c r="B102" s="71">
        <v>9</v>
      </c>
      <c r="C102" s="72"/>
      <c r="D102" s="73" t="s">
        <v>868</v>
      </c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5"/>
      <c r="R102" s="73" t="s">
        <v>1010</v>
      </c>
      <c r="S102" s="74"/>
      <c r="T102" s="74"/>
      <c r="U102" s="74"/>
      <c r="V102" s="74"/>
      <c r="W102" s="74"/>
      <c r="X102" s="74"/>
      <c r="Y102" s="74"/>
      <c r="Z102" s="74"/>
      <c r="AA102" s="74"/>
      <c r="AB102" s="75"/>
      <c r="AC102" s="251" t="str" cm="1">
        <f t="array" ref="AC102">_xlfn.SWITCH(BM102,"String","varchar("&amp;BN102&amp;")","Long","int","Integer","smallint","Double","decimal(9,2)","Currency","int")</f>
        <v>decimal(9,2)</v>
      </c>
      <c r="AD102" s="252"/>
      <c r="AE102" s="252"/>
      <c r="AF102" s="252"/>
      <c r="AG102" s="253"/>
      <c r="AH102" s="73"/>
      <c r="AI102" s="75"/>
      <c r="AJ102" s="73"/>
      <c r="AK102" s="74"/>
      <c r="AL102" s="75"/>
      <c r="AM102" s="73"/>
      <c r="AN102" s="74"/>
      <c r="AO102" s="74"/>
      <c r="AP102" s="74"/>
      <c r="AQ102" s="74"/>
      <c r="AR102" s="74"/>
      <c r="AS102" s="75"/>
      <c r="AT102" s="73" t="s">
        <v>1123</v>
      </c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5"/>
      <c r="BK102" s="4"/>
      <c r="BM102" t="s">
        <v>452</v>
      </c>
      <c r="BP102" t="str">
        <f t="shared" ref="BP102:BP150" si="19">",`"&amp;R102&amp;"` "&amp;AC102&amp;" "&amp;IF(AJ102="Y","NOT NULL","")&amp;" COMMENT '"&amp;D102&amp;"'"</f>
        <v>,`EVNT_DISC_VALUE3` decimal(9,2)  COMMENT '事前特売価格３'</v>
      </c>
      <c r="BQ102" t="s">
        <v>223</v>
      </c>
      <c r="BR102" t="str">
        <f t="shared" ref="BR102:BR150" si="20">",`"&amp;R102&amp;"` "&amp;AC102&amp;" "&amp;IF(AJ102="Y","NOT NULL","")</f>
        <v xml:space="preserve">,`EVNT_DISC_VALUE3` decimal(9,2) </v>
      </c>
      <c r="BS102" t="s">
        <v>223</v>
      </c>
      <c r="BT102" t="str">
        <f t="shared" ref="BT102:BT150" si="21">",`"&amp;R102&amp;"`"</f>
        <v>,`EVNT_DISC_VALUE3`</v>
      </c>
      <c r="BU102" t="s">
        <v>223</v>
      </c>
      <c r="BV102" s="82" t="str">
        <f t="shared" ref="BV102:BV150" si="22">",A.`"&amp;R102&amp;"` = B.`"&amp;R102&amp;"`"</f>
        <v>,A.`EVNT_DISC_VALUE3` = B.`EVNT_DISC_VALUE3`</v>
      </c>
      <c r="BW102" t="s">
        <v>223</v>
      </c>
      <c r="BX102" s="82" t="str">
        <f t="shared" ref="BX102:BX150" si="23">",`"&amp;R102&amp;"`"</f>
        <v>,`EVNT_DISC_VALUE3`</v>
      </c>
      <c r="BY102" t="s">
        <v>223</v>
      </c>
      <c r="BZ102" s="82" t="str">
        <f t="shared" ref="BZ102:BZ150" si="24">",`"&amp;R102&amp;"`"</f>
        <v>,`EVNT_DISC_VALUE3`</v>
      </c>
      <c r="CA102" t="s">
        <v>223</v>
      </c>
    </row>
    <row r="103" spans="1:79" ht="15" customHeight="1">
      <c r="A103" s="84" t="s">
        <v>563</v>
      </c>
      <c r="B103" s="71">
        <v>9</v>
      </c>
      <c r="C103" s="72"/>
      <c r="D103" s="73" t="s">
        <v>869</v>
      </c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5"/>
      <c r="R103" s="73" t="s">
        <v>1011</v>
      </c>
      <c r="S103" s="74"/>
      <c r="T103" s="74"/>
      <c r="U103" s="74"/>
      <c r="V103" s="74"/>
      <c r="W103" s="74"/>
      <c r="X103" s="74"/>
      <c r="Y103" s="74"/>
      <c r="Z103" s="74"/>
      <c r="AA103" s="74"/>
      <c r="AB103" s="75"/>
      <c r="AC103" s="251" t="str" cm="1">
        <f t="array" ref="AC103">_xlfn.SWITCH(BM103,"String","varchar("&amp;BN103&amp;")","Long","int","Integer","smallint","Double","decimal(9,2)","Currency","int")</f>
        <v>decimal(9,2)</v>
      </c>
      <c r="AD103" s="252"/>
      <c r="AE103" s="252"/>
      <c r="AF103" s="252"/>
      <c r="AG103" s="253"/>
      <c r="AH103" s="73"/>
      <c r="AI103" s="75"/>
      <c r="AJ103" s="73"/>
      <c r="AK103" s="74"/>
      <c r="AL103" s="75"/>
      <c r="AM103" s="73"/>
      <c r="AN103" s="74"/>
      <c r="AO103" s="74"/>
      <c r="AP103" s="74"/>
      <c r="AQ103" s="74"/>
      <c r="AR103" s="74"/>
      <c r="AS103" s="75"/>
      <c r="AT103" s="73" t="s">
        <v>1123</v>
      </c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5"/>
      <c r="BK103" s="4"/>
      <c r="BM103" t="s">
        <v>452</v>
      </c>
      <c r="BP103" t="str">
        <f t="shared" si="19"/>
        <v>,`EVNT_MIN_QTY3` decimal(9,2)  COMMENT '事前成立数量３'</v>
      </c>
      <c r="BQ103" t="s">
        <v>223</v>
      </c>
      <c r="BR103" t="str">
        <f t="shared" si="20"/>
        <v xml:space="preserve">,`EVNT_MIN_QTY3` decimal(9,2) </v>
      </c>
      <c r="BS103" t="s">
        <v>223</v>
      </c>
      <c r="BT103" t="str">
        <f t="shared" si="21"/>
        <v>,`EVNT_MIN_QTY3`</v>
      </c>
      <c r="BU103" t="s">
        <v>223</v>
      </c>
      <c r="BV103" s="82" t="str">
        <f t="shared" si="22"/>
        <v>,A.`EVNT_MIN_QTY3` = B.`EVNT_MIN_QTY3`</v>
      </c>
      <c r="BW103" t="s">
        <v>223</v>
      </c>
      <c r="BX103" s="82" t="str">
        <f t="shared" si="23"/>
        <v>,`EVNT_MIN_QTY3`</v>
      </c>
      <c r="BY103" t="s">
        <v>223</v>
      </c>
      <c r="BZ103" s="82" t="str">
        <f t="shared" si="24"/>
        <v>,`EVNT_MIN_QTY3`</v>
      </c>
      <c r="CA103" t="s">
        <v>223</v>
      </c>
    </row>
    <row r="104" spans="1:79" ht="15" customHeight="1">
      <c r="A104" s="84" t="s">
        <v>564</v>
      </c>
      <c r="B104" s="71">
        <v>9</v>
      </c>
      <c r="C104" s="72"/>
      <c r="D104" s="73" t="s">
        <v>870</v>
      </c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5"/>
      <c r="R104" s="73" t="s">
        <v>1012</v>
      </c>
      <c r="S104" s="74"/>
      <c r="T104" s="74"/>
      <c r="U104" s="74"/>
      <c r="V104" s="74"/>
      <c r="W104" s="74"/>
      <c r="X104" s="74"/>
      <c r="Y104" s="74"/>
      <c r="Z104" s="74"/>
      <c r="AA104" s="74"/>
      <c r="AB104" s="75"/>
      <c r="AC104" s="251" t="str" cm="1">
        <f t="array" ref="AC104">_xlfn.SWITCH(BM104,"String","varchar("&amp;BN104&amp;")","Long","int","Integer","smallint","Double","decimal(9,2)","Currency","int")</f>
        <v>int</v>
      </c>
      <c r="AD104" s="252"/>
      <c r="AE104" s="252"/>
      <c r="AF104" s="252"/>
      <c r="AG104" s="253"/>
      <c r="AH104" s="73"/>
      <c r="AI104" s="75"/>
      <c r="AJ104" s="73"/>
      <c r="AK104" s="74"/>
      <c r="AL104" s="75"/>
      <c r="AM104" s="73"/>
      <c r="AN104" s="74"/>
      <c r="AO104" s="74"/>
      <c r="AP104" s="74"/>
      <c r="AQ104" s="74"/>
      <c r="AR104" s="74"/>
      <c r="AS104" s="75"/>
      <c r="AT104" s="73" t="s">
        <v>1123</v>
      </c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5"/>
      <c r="BK104" s="4"/>
      <c r="BM104" t="s">
        <v>453</v>
      </c>
      <c r="BP104" t="str">
        <f t="shared" si="19"/>
        <v>,`EVNT_MIN_AMT3` int  COMMENT '事前成立価格３'</v>
      </c>
      <c r="BQ104" t="s">
        <v>223</v>
      </c>
      <c r="BR104" t="str">
        <f t="shared" si="20"/>
        <v xml:space="preserve">,`EVNT_MIN_AMT3` int </v>
      </c>
      <c r="BS104" t="s">
        <v>223</v>
      </c>
      <c r="BT104" t="str">
        <f t="shared" si="21"/>
        <v>,`EVNT_MIN_AMT3`</v>
      </c>
      <c r="BU104" t="s">
        <v>223</v>
      </c>
      <c r="BV104" s="82" t="str">
        <f t="shared" si="22"/>
        <v>,A.`EVNT_MIN_AMT3` = B.`EVNT_MIN_AMT3`</v>
      </c>
      <c r="BW104" t="s">
        <v>223</v>
      </c>
      <c r="BX104" s="82" t="str">
        <f t="shared" si="23"/>
        <v>,`EVNT_MIN_AMT3`</v>
      </c>
      <c r="BY104" t="s">
        <v>223</v>
      </c>
      <c r="BZ104" s="82" t="str">
        <f t="shared" si="24"/>
        <v>,`EVNT_MIN_AMT3`</v>
      </c>
      <c r="CA104" t="s">
        <v>223</v>
      </c>
    </row>
    <row r="105" spans="1:79" ht="15" customHeight="1">
      <c r="A105" s="84" t="s">
        <v>565</v>
      </c>
      <c r="B105" s="71">
        <v>9</v>
      </c>
      <c r="C105" s="72"/>
      <c r="D105" s="73" t="s">
        <v>871</v>
      </c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5"/>
      <c r="R105" s="73" t="s">
        <v>1013</v>
      </c>
      <c r="S105" s="74"/>
      <c r="T105" s="74"/>
      <c r="U105" s="74"/>
      <c r="V105" s="74"/>
      <c r="W105" s="74"/>
      <c r="X105" s="74"/>
      <c r="Y105" s="74"/>
      <c r="Z105" s="74"/>
      <c r="AA105" s="74"/>
      <c r="AB105" s="75"/>
      <c r="AC105" s="251" t="str" cm="1">
        <f t="array" ref="AC105">_xlfn.SWITCH(BM105,"String","varchar("&amp;BN105&amp;")","Long","int","Integer","smallint","Double","decimal(9,2)","Currency","int")</f>
        <v>smallint</v>
      </c>
      <c r="AD105" s="252"/>
      <c r="AE105" s="252"/>
      <c r="AF105" s="252"/>
      <c r="AG105" s="253"/>
      <c r="AH105" s="73"/>
      <c r="AI105" s="75"/>
      <c r="AJ105" s="73"/>
      <c r="AK105" s="74"/>
      <c r="AL105" s="75"/>
      <c r="AM105" s="73"/>
      <c r="AN105" s="74"/>
      <c r="AO105" s="74"/>
      <c r="AP105" s="74"/>
      <c r="AQ105" s="74"/>
      <c r="AR105" s="74"/>
      <c r="AS105" s="75"/>
      <c r="AT105" s="73" t="s">
        <v>1123</v>
      </c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5"/>
      <c r="BK105" s="4"/>
      <c r="BM105" t="s">
        <v>451</v>
      </c>
      <c r="BP105" t="str">
        <f t="shared" si="19"/>
        <v>,`EVNT_DISC_MTHD4` smallint  COMMENT '事前割引タイプ４'</v>
      </c>
      <c r="BQ105" t="s">
        <v>223</v>
      </c>
      <c r="BR105" t="str">
        <f t="shared" si="20"/>
        <v xml:space="preserve">,`EVNT_DISC_MTHD4` smallint </v>
      </c>
      <c r="BS105" t="s">
        <v>223</v>
      </c>
      <c r="BT105" t="str">
        <f t="shared" si="21"/>
        <v>,`EVNT_DISC_MTHD4`</v>
      </c>
      <c r="BU105" t="s">
        <v>223</v>
      </c>
      <c r="BV105" s="82" t="str">
        <f t="shared" si="22"/>
        <v>,A.`EVNT_DISC_MTHD4` = B.`EVNT_DISC_MTHD4`</v>
      </c>
      <c r="BW105" t="s">
        <v>223</v>
      </c>
      <c r="BX105" s="82" t="str">
        <f t="shared" si="23"/>
        <v>,`EVNT_DISC_MTHD4`</v>
      </c>
      <c r="BY105" t="s">
        <v>223</v>
      </c>
      <c r="BZ105" s="82" t="str">
        <f t="shared" si="24"/>
        <v>,`EVNT_DISC_MTHD4`</v>
      </c>
      <c r="CA105" t="s">
        <v>223</v>
      </c>
    </row>
    <row r="106" spans="1:79" ht="15" customHeight="1">
      <c r="A106" s="84" t="s">
        <v>566</v>
      </c>
      <c r="B106" s="71">
        <v>9</v>
      </c>
      <c r="C106" s="72"/>
      <c r="D106" s="73" t="s">
        <v>872</v>
      </c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5"/>
      <c r="R106" s="73" t="s">
        <v>1014</v>
      </c>
      <c r="S106" s="74"/>
      <c r="T106" s="74"/>
      <c r="U106" s="74"/>
      <c r="V106" s="74"/>
      <c r="W106" s="74"/>
      <c r="X106" s="74"/>
      <c r="Y106" s="74"/>
      <c r="Z106" s="74"/>
      <c r="AA106" s="74"/>
      <c r="AB106" s="75"/>
      <c r="AC106" s="251" t="str" cm="1">
        <f t="array" ref="AC106">_xlfn.SWITCH(BM106,"String","varchar("&amp;BN106&amp;")","Long","int","Integer","smallint","Double","decimal(9,2)","Currency","int")</f>
        <v>decimal(9,2)</v>
      </c>
      <c r="AD106" s="252"/>
      <c r="AE106" s="252"/>
      <c r="AF106" s="252"/>
      <c r="AG106" s="253"/>
      <c r="AH106" s="73"/>
      <c r="AI106" s="75"/>
      <c r="AJ106" s="73"/>
      <c r="AK106" s="74"/>
      <c r="AL106" s="75"/>
      <c r="AM106" s="73"/>
      <c r="AN106" s="74"/>
      <c r="AO106" s="74"/>
      <c r="AP106" s="74"/>
      <c r="AQ106" s="74"/>
      <c r="AR106" s="74"/>
      <c r="AS106" s="75"/>
      <c r="AT106" s="73" t="s">
        <v>1123</v>
      </c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5"/>
      <c r="BK106" s="4"/>
      <c r="BM106" t="s">
        <v>452</v>
      </c>
      <c r="BP106" t="str">
        <f t="shared" si="19"/>
        <v>,`EVNT_DISC_VALUE4` decimal(9,2)  COMMENT '事前特売価格４'</v>
      </c>
      <c r="BQ106" t="s">
        <v>223</v>
      </c>
      <c r="BR106" t="str">
        <f t="shared" si="20"/>
        <v xml:space="preserve">,`EVNT_DISC_VALUE4` decimal(9,2) </v>
      </c>
      <c r="BS106" t="s">
        <v>223</v>
      </c>
      <c r="BT106" t="str">
        <f t="shared" si="21"/>
        <v>,`EVNT_DISC_VALUE4`</v>
      </c>
      <c r="BU106" t="s">
        <v>223</v>
      </c>
      <c r="BV106" s="82" t="str">
        <f t="shared" si="22"/>
        <v>,A.`EVNT_DISC_VALUE4` = B.`EVNT_DISC_VALUE4`</v>
      </c>
      <c r="BW106" t="s">
        <v>223</v>
      </c>
      <c r="BX106" s="82" t="str">
        <f t="shared" si="23"/>
        <v>,`EVNT_DISC_VALUE4`</v>
      </c>
      <c r="BY106" t="s">
        <v>223</v>
      </c>
      <c r="BZ106" s="82" t="str">
        <f t="shared" si="24"/>
        <v>,`EVNT_DISC_VALUE4`</v>
      </c>
      <c r="CA106" t="s">
        <v>223</v>
      </c>
    </row>
    <row r="107" spans="1:79" ht="15" customHeight="1">
      <c r="A107" s="84" t="s">
        <v>567</v>
      </c>
      <c r="B107" s="71">
        <v>9</v>
      </c>
      <c r="C107" s="72"/>
      <c r="D107" s="73" t="s">
        <v>873</v>
      </c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5"/>
      <c r="R107" s="73" t="s">
        <v>1015</v>
      </c>
      <c r="S107" s="74"/>
      <c r="T107" s="74"/>
      <c r="U107" s="74"/>
      <c r="V107" s="74"/>
      <c r="W107" s="74"/>
      <c r="X107" s="74"/>
      <c r="Y107" s="74"/>
      <c r="Z107" s="74"/>
      <c r="AA107" s="74"/>
      <c r="AB107" s="75"/>
      <c r="AC107" s="251" t="str" cm="1">
        <f t="array" ref="AC107">_xlfn.SWITCH(BM107,"String","varchar("&amp;BN107&amp;")","Long","int","Integer","smallint","Double","decimal(9,2)","Currency","int")</f>
        <v>decimal(9,2)</v>
      </c>
      <c r="AD107" s="252"/>
      <c r="AE107" s="252"/>
      <c r="AF107" s="252"/>
      <c r="AG107" s="253"/>
      <c r="AH107" s="73"/>
      <c r="AI107" s="75"/>
      <c r="AJ107" s="73"/>
      <c r="AK107" s="74"/>
      <c r="AL107" s="75"/>
      <c r="AM107" s="73"/>
      <c r="AN107" s="74"/>
      <c r="AO107" s="74"/>
      <c r="AP107" s="74"/>
      <c r="AQ107" s="74"/>
      <c r="AR107" s="74"/>
      <c r="AS107" s="75"/>
      <c r="AT107" s="73" t="s">
        <v>1123</v>
      </c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5"/>
      <c r="BK107" s="4"/>
      <c r="BM107" t="s">
        <v>452</v>
      </c>
      <c r="BP107" t="str">
        <f t="shared" si="19"/>
        <v>,`EVNT_MIN_QTY4` decimal(9,2)  COMMENT '事前成立数量４'</v>
      </c>
      <c r="BQ107" t="s">
        <v>223</v>
      </c>
      <c r="BR107" t="str">
        <f t="shared" si="20"/>
        <v xml:space="preserve">,`EVNT_MIN_QTY4` decimal(9,2) </v>
      </c>
      <c r="BS107" t="s">
        <v>223</v>
      </c>
      <c r="BT107" t="str">
        <f t="shared" si="21"/>
        <v>,`EVNT_MIN_QTY4`</v>
      </c>
      <c r="BU107" t="s">
        <v>223</v>
      </c>
      <c r="BV107" s="82" t="str">
        <f t="shared" si="22"/>
        <v>,A.`EVNT_MIN_QTY4` = B.`EVNT_MIN_QTY4`</v>
      </c>
      <c r="BW107" t="s">
        <v>223</v>
      </c>
      <c r="BX107" s="82" t="str">
        <f t="shared" si="23"/>
        <v>,`EVNT_MIN_QTY4`</v>
      </c>
      <c r="BY107" t="s">
        <v>223</v>
      </c>
      <c r="BZ107" s="82" t="str">
        <f t="shared" si="24"/>
        <v>,`EVNT_MIN_QTY4`</v>
      </c>
      <c r="CA107" t="s">
        <v>223</v>
      </c>
    </row>
    <row r="108" spans="1:79" ht="15" customHeight="1">
      <c r="A108" s="84" t="s">
        <v>568</v>
      </c>
      <c r="B108" s="71">
        <v>9</v>
      </c>
      <c r="C108" s="72"/>
      <c r="D108" s="73" t="s">
        <v>874</v>
      </c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5"/>
      <c r="R108" s="73" t="s">
        <v>1016</v>
      </c>
      <c r="S108" s="74"/>
      <c r="T108" s="74"/>
      <c r="U108" s="74"/>
      <c r="V108" s="74"/>
      <c r="W108" s="74"/>
      <c r="X108" s="74"/>
      <c r="Y108" s="74"/>
      <c r="Z108" s="74"/>
      <c r="AA108" s="74"/>
      <c r="AB108" s="75"/>
      <c r="AC108" s="251" t="str" cm="1">
        <f t="array" ref="AC108">_xlfn.SWITCH(BM108,"String","varchar("&amp;BN108&amp;")","Long","int","Integer","smallint","Double","decimal(9,2)","Currency","int")</f>
        <v>int</v>
      </c>
      <c r="AD108" s="252"/>
      <c r="AE108" s="252"/>
      <c r="AF108" s="252"/>
      <c r="AG108" s="253"/>
      <c r="AH108" s="73"/>
      <c r="AI108" s="75"/>
      <c r="AJ108" s="73"/>
      <c r="AK108" s="74"/>
      <c r="AL108" s="75"/>
      <c r="AM108" s="73"/>
      <c r="AN108" s="74"/>
      <c r="AO108" s="74"/>
      <c r="AP108" s="74"/>
      <c r="AQ108" s="74"/>
      <c r="AR108" s="74"/>
      <c r="AS108" s="75"/>
      <c r="AT108" s="73" t="s">
        <v>1123</v>
      </c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5"/>
      <c r="BK108" s="4"/>
      <c r="BM108" t="s">
        <v>453</v>
      </c>
      <c r="BP108" t="str">
        <f t="shared" si="19"/>
        <v>,`EVNT_MIN_AMT4` int  COMMENT '事前成立価格４'</v>
      </c>
      <c r="BQ108" t="s">
        <v>223</v>
      </c>
      <c r="BR108" t="str">
        <f t="shared" si="20"/>
        <v xml:space="preserve">,`EVNT_MIN_AMT4` int </v>
      </c>
      <c r="BS108" t="s">
        <v>223</v>
      </c>
      <c r="BT108" t="str">
        <f t="shared" si="21"/>
        <v>,`EVNT_MIN_AMT4`</v>
      </c>
      <c r="BU108" t="s">
        <v>223</v>
      </c>
      <c r="BV108" s="82" t="str">
        <f t="shared" si="22"/>
        <v>,A.`EVNT_MIN_AMT4` = B.`EVNT_MIN_AMT4`</v>
      </c>
      <c r="BW108" t="s">
        <v>223</v>
      </c>
      <c r="BX108" s="82" t="str">
        <f t="shared" si="23"/>
        <v>,`EVNT_MIN_AMT4`</v>
      </c>
      <c r="BY108" t="s">
        <v>223</v>
      </c>
      <c r="BZ108" s="82" t="str">
        <f t="shared" si="24"/>
        <v>,`EVNT_MIN_AMT4`</v>
      </c>
      <c r="CA108" t="s">
        <v>223</v>
      </c>
    </row>
    <row r="109" spans="1:79" ht="15" customHeight="1">
      <c r="A109" s="84" t="s">
        <v>569</v>
      </c>
      <c r="B109" s="71">
        <v>9</v>
      </c>
      <c r="C109" s="72"/>
      <c r="D109" s="73" t="s">
        <v>875</v>
      </c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5"/>
      <c r="R109" s="73" t="s">
        <v>1017</v>
      </c>
      <c r="S109" s="74"/>
      <c r="T109" s="74"/>
      <c r="U109" s="74"/>
      <c r="V109" s="74"/>
      <c r="W109" s="74"/>
      <c r="X109" s="74"/>
      <c r="Y109" s="74"/>
      <c r="Z109" s="74"/>
      <c r="AA109" s="74"/>
      <c r="AB109" s="75"/>
      <c r="AC109" s="251" t="str" cm="1">
        <f t="array" ref="AC109">_xlfn.SWITCH(BM109,"String","varchar("&amp;BN109&amp;")","Long","int","Integer","smallint","Double","decimal(9,2)","Currency","int")</f>
        <v>smallint</v>
      </c>
      <c r="AD109" s="252"/>
      <c r="AE109" s="252"/>
      <c r="AF109" s="252"/>
      <c r="AG109" s="253"/>
      <c r="AH109" s="73"/>
      <c r="AI109" s="75"/>
      <c r="AJ109" s="73"/>
      <c r="AK109" s="74"/>
      <c r="AL109" s="75"/>
      <c r="AM109" s="73"/>
      <c r="AN109" s="74"/>
      <c r="AO109" s="74"/>
      <c r="AP109" s="74"/>
      <c r="AQ109" s="74"/>
      <c r="AR109" s="74"/>
      <c r="AS109" s="75"/>
      <c r="AT109" s="73" t="s">
        <v>1123</v>
      </c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5"/>
      <c r="BK109" s="4"/>
      <c r="BM109" t="s">
        <v>451</v>
      </c>
      <c r="BP109" t="str">
        <f t="shared" si="19"/>
        <v>,`EVNT_DISC_MTHD5` smallint  COMMENT '事前割引タイプ5'</v>
      </c>
      <c r="BQ109" t="s">
        <v>223</v>
      </c>
      <c r="BR109" t="str">
        <f t="shared" si="20"/>
        <v xml:space="preserve">,`EVNT_DISC_MTHD5` smallint </v>
      </c>
      <c r="BS109" t="s">
        <v>223</v>
      </c>
      <c r="BT109" t="str">
        <f t="shared" si="21"/>
        <v>,`EVNT_DISC_MTHD5`</v>
      </c>
      <c r="BU109" t="s">
        <v>223</v>
      </c>
      <c r="BV109" s="82" t="str">
        <f t="shared" si="22"/>
        <v>,A.`EVNT_DISC_MTHD5` = B.`EVNT_DISC_MTHD5`</v>
      </c>
      <c r="BW109" t="s">
        <v>223</v>
      </c>
      <c r="BX109" s="82" t="str">
        <f t="shared" si="23"/>
        <v>,`EVNT_DISC_MTHD5`</v>
      </c>
      <c r="BY109" t="s">
        <v>223</v>
      </c>
      <c r="BZ109" s="82" t="str">
        <f t="shared" si="24"/>
        <v>,`EVNT_DISC_MTHD5`</v>
      </c>
      <c r="CA109" t="s">
        <v>223</v>
      </c>
    </row>
    <row r="110" spans="1:79" ht="15" customHeight="1">
      <c r="A110" s="84" t="s">
        <v>570</v>
      </c>
      <c r="B110" s="71">
        <v>9</v>
      </c>
      <c r="C110" s="72"/>
      <c r="D110" s="73" t="s">
        <v>876</v>
      </c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5"/>
      <c r="R110" s="73" t="s">
        <v>1018</v>
      </c>
      <c r="S110" s="74"/>
      <c r="T110" s="74"/>
      <c r="U110" s="74"/>
      <c r="V110" s="74"/>
      <c r="W110" s="74"/>
      <c r="X110" s="74"/>
      <c r="Y110" s="74"/>
      <c r="Z110" s="74"/>
      <c r="AA110" s="74"/>
      <c r="AB110" s="75"/>
      <c r="AC110" s="251" t="str" cm="1">
        <f t="array" ref="AC110">_xlfn.SWITCH(BM110,"String","varchar("&amp;BN110&amp;")","Long","int","Integer","smallint","Double","decimal(9,2)","Currency","int")</f>
        <v>decimal(9,2)</v>
      </c>
      <c r="AD110" s="252"/>
      <c r="AE110" s="252"/>
      <c r="AF110" s="252"/>
      <c r="AG110" s="253"/>
      <c r="AH110" s="73"/>
      <c r="AI110" s="75"/>
      <c r="AJ110" s="73"/>
      <c r="AK110" s="74"/>
      <c r="AL110" s="75"/>
      <c r="AM110" s="73"/>
      <c r="AN110" s="74"/>
      <c r="AO110" s="74"/>
      <c r="AP110" s="74"/>
      <c r="AQ110" s="74"/>
      <c r="AR110" s="74"/>
      <c r="AS110" s="75"/>
      <c r="AT110" s="73" t="s">
        <v>1123</v>
      </c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5"/>
      <c r="BK110" s="4"/>
      <c r="BM110" t="s">
        <v>452</v>
      </c>
      <c r="BP110" t="str">
        <f t="shared" si="19"/>
        <v>,`EVNT_DISC_VALUE5` decimal(9,2)  COMMENT '事前特売価格５'</v>
      </c>
      <c r="BQ110" t="s">
        <v>223</v>
      </c>
      <c r="BR110" t="str">
        <f t="shared" si="20"/>
        <v xml:space="preserve">,`EVNT_DISC_VALUE5` decimal(9,2) </v>
      </c>
      <c r="BS110" t="s">
        <v>223</v>
      </c>
      <c r="BT110" t="str">
        <f t="shared" si="21"/>
        <v>,`EVNT_DISC_VALUE5`</v>
      </c>
      <c r="BU110" t="s">
        <v>223</v>
      </c>
      <c r="BV110" s="82" t="str">
        <f t="shared" si="22"/>
        <v>,A.`EVNT_DISC_VALUE5` = B.`EVNT_DISC_VALUE5`</v>
      </c>
      <c r="BW110" t="s">
        <v>223</v>
      </c>
      <c r="BX110" s="82" t="str">
        <f t="shared" si="23"/>
        <v>,`EVNT_DISC_VALUE5`</v>
      </c>
      <c r="BY110" t="s">
        <v>223</v>
      </c>
      <c r="BZ110" s="82" t="str">
        <f t="shared" si="24"/>
        <v>,`EVNT_DISC_VALUE5`</v>
      </c>
      <c r="CA110" t="s">
        <v>223</v>
      </c>
    </row>
    <row r="111" spans="1:79" ht="15" customHeight="1">
      <c r="A111" s="84" t="s">
        <v>571</v>
      </c>
      <c r="B111" s="71">
        <v>9</v>
      </c>
      <c r="C111" s="72"/>
      <c r="D111" s="73" t="s">
        <v>877</v>
      </c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/>
      <c r="R111" s="73" t="s">
        <v>1019</v>
      </c>
      <c r="S111" s="74"/>
      <c r="T111" s="74"/>
      <c r="U111" s="74"/>
      <c r="V111" s="74"/>
      <c r="W111" s="74"/>
      <c r="X111" s="74"/>
      <c r="Y111" s="74"/>
      <c r="Z111" s="74"/>
      <c r="AA111" s="74"/>
      <c r="AB111" s="75"/>
      <c r="AC111" s="251" t="str" cm="1">
        <f t="array" ref="AC111">_xlfn.SWITCH(BM111,"String","varchar("&amp;BN111&amp;")","Long","int","Integer","smallint","Double","decimal(9,2)","Currency","int")</f>
        <v>decimal(9,2)</v>
      </c>
      <c r="AD111" s="252"/>
      <c r="AE111" s="252"/>
      <c r="AF111" s="252"/>
      <c r="AG111" s="253"/>
      <c r="AH111" s="73"/>
      <c r="AI111" s="75"/>
      <c r="AJ111" s="73"/>
      <c r="AK111" s="74"/>
      <c r="AL111" s="75"/>
      <c r="AM111" s="73"/>
      <c r="AN111" s="74"/>
      <c r="AO111" s="74"/>
      <c r="AP111" s="74"/>
      <c r="AQ111" s="74"/>
      <c r="AR111" s="74"/>
      <c r="AS111" s="75"/>
      <c r="AT111" s="73" t="s">
        <v>1123</v>
      </c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5"/>
      <c r="BK111" s="4"/>
      <c r="BM111" t="s">
        <v>452</v>
      </c>
      <c r="BP111" t="str">
        <f t="shared" si="19"/>
        <v>,`EVNT_MIN_QTY5` decimal(9,2)  COMMENT '事前成立数量５'</v>
      </c>
      <c r="BQ111" t="s">
        <v>223</v>
      </c>
      <c r="BR111" t="str">
        <f t="shared" si="20"/>
        <v xml:space="preserve">,`EVNT_MIN_QTY5` decimal(9,2) </v>
      </c>
      <c r="BS111" t="s">
        <v>223</v>
      </c>
      <c r="BT111" t="str">
        <f t="shared" si="21"/>
        <v>,`EVNT_MIN_QTY5`</v>
      </c>
      <c r="BU111" t="s">
        <v>223</v>
      </c>
      <c r="BV111" s="82" t="str">
        <f t="shared" si="22"/>
        <v>,A.`EVNT_MIN_QTY5` = B.`EVNT_MIN_QTY5`</v>
      </c>
      <c r="BW111" t="s">
        <v>223</v>
      </c>
      <c r="BX111" s="82" t="str">
        <f t="shared" si="23"/>
        <v>,`EVNT_MIN_QTY5`</v>
      </c>
      <c r="BY111" t="s">
        <v>223</v>
      </c>
      <c r="BZ111" s="82" t="str">
        <f t="shared" si="24"/>
        <v>,`EVNT_MIN_QTY5`</v>
      </c>
      <c r="CA111" t="s">
        <v>223</v>
      </c>
    </row>
    <row r="112" spans="1:79" ht="15" customHeight="1">
      <c r="A112" s="84" t="s">
        <v>572</v>
      </c>
      <c r="B112" s="71">
        <v>9</v>
      </c>
      <c r="C112" s="72"/>
      <c r="D112" s="73" t="s">
        <v>878</v>
      </c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5"/>
      <c r="R112" s="73" t="s">
        <v>1020</v>
      </c>
      <c r="S112" s="74"/>
      <c r="T112" s="74"/>
      <c r="U112" s="74"/>
      <c r="V112" s="74"/>
      <c r="W112" s="74"/>
      <c r="X112" s="74"/>
      <c r="Y112" s="74"/>
      <c r="Z112" s="74"/>
      <c r="AA112" s="74"/>
      <c r="AB112" s="75"/>
      <c r="AC112" s="251" t="str" cm="1">
        <f t="array" ref="AC112">_xlfn.SWITCH(BM112,"String","varchar("&amp;BN112&amp;")","Long","int","Integer","smallint","Double","decimal(9,2)","Currency","int")</f>
        <v>int</v>
      </c>
      <c r="AD112" s="252"/>
      <c r="AE112" s="252"/>
      <c r="AF112" s="252"/>
      <c r="AG112" s="253"/>
      <c r="AH112" s="73"/>
      <c r="AI112" s="75"/>
      <c r="AJ112" s="73"/>
      <c r="AK112" s="74"/>
      <c r="AL112" s="75"/>
      <c r="AM112" s="73"/>
      <c r="AN112" s="74"/>
      <c r="AO112" s="74"/>
      <c r="AP112" s="74"/>
      <c r="AQ112" s="74"/>
      <c r="AR112" s="74"/>
      <c r="AS112" s="75"/>
      <c r="AT112" s="73" t="s">
        <v>1123</v>
      </c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5"/>
      <c r="BK112" s="4"/>
      <c r="BM112" t="s">
        <v>453</v>
      </c>
      <c r="BP112" t="str">
        <f t="shared" si="19"/>
        <v>,`EVNT_MIN_AMT5` int  COMMENT '事前成立価格５'</v>
      </c>
      <c r="BQ112" t="s">
        <v>223</v>
      </c>
      <c r="BR112" t="str">
        <f t="shared" si="20"/>
        <v xml:space="preserve">,`EVNT_MIN_AMT5` int </v>
      </c>
      <c r="BS112" t="s">
        <v>223</v>
      </c>
      <c r="BT112" t="str">
        <f t="shared" si="21"/>
        <v>,`EVNT_MIN_AMT5`</v>
      </c>
      <c r="BU112" t="s">
        <v>223</v>
      </c>
      <c r="BV112" s="82" t="str">
        <f t="shared" si="22"/>
        <v>,A.`EVNT_MIN_AMT5` = B.`EVNT_MIN_AMT5`</v>
      </c>
      <c r="BW112" t="s">
        <v>223</v>
      </c>
      <c r="BX112" s="82" t="str">
        <f t="shared" si="23"/>
        <v>,`EVNT_MIN_AMT5`</v>
      </c>
      <c r="BY112" t="s">
        <v>223</v>
      </c>
      <c r="BZ112" s="82" t="str">
        <f t="shared" si="24"/>
        <v>,`EVNT_MIN_AMT5`</v>
      </c>
      <c r="CA112" t="s">
        <v>223</v>
      </c>
    </row>
    <row r="113" spans="1:79" ht="15" customHeight="1">
      <c r="A113" s="84" t="s">
        <v>573</v>
      </c>
      <c r="B113" s="71">
        <v>9</v>
      </c>
      <c r="C113" s="72"/>
      <c r="D113" s="73" t="s">
        <v>879</v>
      </c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5"/>
      <c r="R113" s="73" t="s">
        <v>1021</v>
      </c>
      <c r="S113" s="74"/>
      <c r="T113" s="74"/>
      <c r="U113" s="74"/>
      <c r="V113" s="74"/>
      <c r="W113" s="74"/>
      <c r="X113" s="74"/>
      <c r="Y113" s="74"/>
      <c r="Z113" s="74"/>
      <c r="AA113" s="74"/>
      <c r="AB113" s="75"/>
      <c r="AC113" s="251" t="str" cm="1">
        <f t="array" ref="AC113">_xlfn.SWITCH(BM113,"String","varchar("&amp;BN113&amp;")","Long","int","Integer","smallint","Double","decimal(9,2)","Currency","int")</f>
        <v>smallint</v>
      </c>
      <c r="AD113" s="252"/>
      <c r="AE113" s="252"/>
      <c r="AF113" s="252"/>
      <c r="AG113" s="253"/>
      <c r="AH113" s="73"/>
      <c r="AI113" s="75"/>
      <c r="AJ113" s="73"/>
      <c r="AK113" s="74"/>
      <c r="AL113" s="75"/>
      <c r="AM113" s="73"/>
      <c r="AN113" s="74"/>
      <c r="AO113" s="74"/>
      <c r="AP113" s="74"/>
      <c r="AQ113" s="74"/>
      <c r="AR113" s="74"/>
      <c r="AS113" s="75"/>
      <c r="AT113" s="73" t="s">
        <v>1123</v>
      </c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5"/>
      <c r="BK113" s="4"/>
      <c r="BM113" t="s">
        <v>451</v>
      </c>
      <c r="BP113" t="str">
        <f t="shared" si="19"/>
        <v>,`EVNT_DISC_MTHD6` smallint  COMMENT '事前割引タイプ6'</v>
      </c>
      <c r="BQ113" t="s">
        <v>223</v>
      </c>
      <c r="BR113" t="str">
        <f t="shared" si="20"/>
        <v xml:space="preserve">,`EVNT_DISC_MTHD6` smallint </v>
      </c>
      <c r="BS113" t="s">
        <v>223</v>
      </c>
      <c r="BT113" t="str">
        <f t="shared" si="21"/>
        <v>,`EVNT_DISC_MTHD6`</v>
      </c>
      <c r="BU113" t="s">
        <v>223</v>
      </c>
      <c r="BV113" s="82" t="str">
        <f t="shared" si="22"/>
        <v>,A.`EVNT_DISC_MTHD6` = B.`EVNT_DISC_MTHD6`</v>
      </c>
      <c r="BW113" t="s">
        <v>223</v>
      </c>
      <c r="BX113" s="82" t="str">
        <f t="shared" si="23"/>
        <v>,`EVNT_DISC_MTHD6`</v>
      </c>
      <c r="BY113" t="s">
        <v>223</v>
      </c>
      <c r="BZ113" s="82" t="str">
        <f t="shared" si="24"/>
        <v>,`EVNT_DISC_MTHD6`</v>
      </c>
      <c r="CA113" t="s">
        <v>223</v>
      </c>
    </row>
    <row r="114" spans="1:79" ht="15" customHeight="1">
      <c r="A114" s="84" t="s">
        <v>574</v>
      </c>
      <c r="B114" s="71">
        <v>9</v>
      </c>
      <c r="C114" s="72"/>
      <c r="D114" s="73" t="s">
        <v>880</v>
      </c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5"/>
      <c r="R114" s="73" t="s">
        <v>1022</v>
      </c>
      <c r="S114" s="74"/>
      <c r="T114" s="74"/>
      <c r="U114" s="74"/>
      <c r="V114" s="74"/>
      <c r="W114" s="74"/>
      <c r="X114" s="74"/>
      <c r="Y114" s="74"/>
      <c r="Z114" s="74"/>
      <c r="AA114" s="74"/>
      <c r="AB114" s="75"/>
      <c r="AC114" s="251" t="str" cm="1">
        <f t="array" ref="AC114">_xlfn.SWITCH(BM114,"String","varchar("&amp;BN114&amp;")","Long","int","Integer","smallint","Double","decimal(9,2)","Currency","int")</f>
        <v>decimal(9,2)</v>
      </c>
      <c r="AD114" s="252"/>
      <c r="AE114" s="252"/>
      <c r="AF114" s="252"/>
      <c r="AG114" s="253"/>
      <c r="AH114" s="73"/>
      <c r="AI114" s="75"/>
      <c r="AJ114" s="73"/>
      <c r="AK114" s="74"/>
      <c r="AL114" s="75"/>
      <c r="AM114" s="73"/>
      <c r="AN114" s="74"/>
      <c r="AO114" s="74"/>
      <c r="AP114" s="74"/>
      <c r="AQ114" s="74"/>
      <c r="AR114" s="74"/>
      <c r="AS114" s="75"/>
      <c r="AT114" s="73" t="s">
        <v>1123</v>
      </c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5"/>
      <c r="BK114" s="4"/>
      <c r="BM114" t="s">
        <v>452</v>
      </c>
      <c r="BP114" t="str">
        <f t="shared" si="19"/>
        <v>,`EVNT_DISC_VALUE6` decimal(9,2)  COMMENT '事前特売価格６'</v>
      </c>
      <c r="BQ114" t="s">
        <v>223</v>
      </c>
      <c r="BR114" t="str">
        <f t="shared" si="20"/>
        <v xml:space="preserve">,`EVNT_DISC_VALUE6` decimal(9,2) </v>
      </c>
      <c r="BS114" t="s">
        <v>223</v>
      </c>
      <c r="BT114" t="str">
        <f t="shared" si="21"/>
        <v>,`EVNT_DISC_VALUE6`</v>
      </c>
      <c r="BU114" t="s">
        <v>223</v>
      </c>
      <c r="BV114" s="82" t="str">
        <f t="shared" si="22"/>
        <v>,A.`EVNT_DISC_VALUE6` = B.`EVNT_DISC_VALUE6`</v>
      </c>
      <c r="BW114" t="s">
        <v>223</v>
      </c>
      <c r="BX114" s="82" t="str">
        <f t="shared" si="23"/>
        <v>,`EVNT_DISC_VALUE6`</v>
      </c>
      <c r="BY114" t="s">
        <v>223</v>
      </c>
      <c r="BZ114" s="82" t="str">
        <f t="shared" si="24"/>
        <v>,`EVNT_DISC_VALUE6`</v>
      </c>
      <c r="CA114" t="s">
        <v>223</v>
      </c>
    </row>
    <row r="115" spans="1:79" ht="15" customHeight="1">
      <c r="A115" s="84" t="s">
        <v>575</v>
      </c>
      <c r="B115" s="71">
        <v>9</v>
      </c>
      <c r="C115" s="72"/>
      <c r="D115" s="73" t="s">
        <v>881</v>
      </c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5"/>
      <c r="R115" s="73" t="s">
        <v>1023</v>
      </c>
      <c r="S115" s="74"/>
      <c r="T115" s="74"/>
      <c r="U115" s="74"/>
      <c r="V115" s="74"/>
      <c r="W115" s="74"/>
      <c r="X115" s="74"/>
      <c r="Y115" s="74"/>
      <c r="Z115" s="74"/>
      <c r="AA115" s="74"/>
      <c r="AB115" s="75"/>
      <c r="AC115" s="251" t="str" cm="1">
        <f t="array" ref="AC115">_xlfn.SWITCH(BM115,"String","varchar("&amp;BN115&amp;")","Long","int","Integer","smallint","Double","decimal(9,2)","Currency","int")</f>
        <v>decimal(9,2)</v>
      </c>
      <c r="AD115" s="252"/>
      <c r="AE115" s="252"/>
      <c r="AF115" s="252"/>
      <c r="AG115" s="253"/>
      <c r="AH115" s="73"/>
      <c r="AI115" s="75"/>
      <c r="AJ115" s="73"/>
      <c r="AK115" s="74"/>
      <c r="AL115" s="75"/>
      <c r="AM115" s="73"/>
      <c r="AN115" s="74"/>
      <c r="AO115" s="74"/>
      <c r="AP115" s="74"/>
      <c r="AQ115" s="74"/>
      <c r="AR115" s="74"/>
      <c r="AS115" s="75"/>
      <c r="AT115" s="73" t="s">
        <v>1123</v>
      </c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5"/>
      <c r="BK115" s="4"/>
      <c r="BM115" t="s">
        <v>452</v>
      </c>
      <c r="BP115" t="str">
        <f t="shared" si="19"/>
        <v>,`EVNT_MIN_QTY6` decimal(9,2)  COMMENT '事前成立数量６'</v>
      </c>
      <c r="BQ115" t="s">
        <v>223</v>
      </c>
      <c r="BR115" t="str">
        <f t="shared" si="20"/>
        <v xml:space="preserve">,`EVNT_MIN_QTY6` decimal(9,2) </v>
      </c>
      <c r="BS115" t="s">
        <v>223</v>
      </c>
      <c r="BT115" t="str">
        <f t="shared" si="21"/>
        <v>,`EVNT_MIN_QTY6`</v>
      </c>
      <c r="BU115" t="s">
        <v>223</v>
      </c>
      <c r="BV115" s="82" t="str">
        <f t="shared" si="22"/>
        <v>,A.`EVNT_MIN_QTY6` = B.`EVNT_MIN_QTY6`</v>
      </c>
      <c r="BW115" t="s">
        <v>223</v>
      </c>
      <c r="BX115" s="82" t="str">
        <f t="shared" si="23"/>
        <v>,`EVNT_MIN_QTY6`</v>
      </c>
      <c r="BY115" t="s">
        <v>223</v>
      </c>
      <c r="BZ115" s="82" t="str">
        <f t="shared" si="24"/>
        <v>,`EVNT_MIN_QTY6`</v>
      </c>
      <c r="CA115" t="s">
        <v>223</v>
      </c>
    </row>
    <row r="116" spans="1:79" ht="15" customHeight="1">
      <c r="A116" s="84" t="s">
        <v>576</v>
      </c>
      <c r="B116" s="71">
        <v>9</v>
      </c>
      <c r="C116" s="72"/>
      <c r="D116" s="73" t="s">
        <v>882</v>
      </c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5"/>
      <c r="R116" s="73" t="s">
        <v>1024</v>
      </c>
      <c r="S116" s="74"/>
      <c r="T116" s="74"/>
      <c r="U116" s="74"/>
      <c r="V116" s="74"/>
      <c r="W116" s="74"/>
      <c r="X116" s="74"/>
      <c r="Y116" s="74"/>
      <c r="Z116" s="74"/>
      <c r="AA116" s="74"/>
      <c r="AB116" s="75"/>
      <c r="AC116" s="251" t="str" cm="1">
        <f t="array" ref="AC116">_xlfn.SWITCH(BM116,"String","varchar("&amp;BN116&amp;")","Long","int","Integer","smallint","Double","decimal(9,2)","Currency","int")</f>
        <v>int</v>
      </c>
      <c r="AD116" s="252"/>
      <c r="AE116" s="252"/>
      <c r="AF116" s="252"/>
      <c r="AG116" s="253"/>
      <c r="AH116" s="73"/>
      <c r="AI116" s="75"/>
      <c r="AJ116" s="73"/>
      <c r="AK116" s="74"/>
      <c r="AL116" s="75"/>
      <c r="AM116" s="73"/>
      <c r="AN116" s="74"/>
      <c r="AO116" s="74"/>
      <c r="AP116" s="74"/>
      <c r="AQ116" s="74"/>
      <c r="AR116" s="74"/>
      <c r="AS116" s="75"/>
      <c r="AT116" s="73" t="s">
        <v>1123</v>
      </c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5"/>
      <c r="BK116" s="4"/>
      <c r="BM116" t="s">
        <v>453</v>
      </c>
      <c r="BP116" t="str">
        <f t="shared" si="19"/>
        <v>,`EVNT_MIN_AMT6` int  COMMENT '事前成立価格６'</v>
      </c>
      <c r="BQ116" t="s">
        <v>223</v>
      </c>
      <c r="BR116" t="str">
        <f t="shared" si="20"/>
        <v xml:space="preserve">,`EVNT_MIN_AMT6` int </v>
      </c>
      <c r="BS116" t="s">
        <v>223</v>
      </c>
      <c r="BT116" t="str">
        <f t="shared" si="21"/>
        <v>,`EVNT_MIN_AMT6`</v>
      </c>
      <c r="BU116" t="s">
        <v>223</v>
      </c>
      <c r="BV116" s="82" t="str">
        <f t="shared" si="22"/>
        <v>,A.`EVNT_MIN_AMT6` = B.`EVNT_MIN_AMT6`</v>
      </c>
      <c r="BW116" t="s">
        <v>223</v>
      </c>
      <c r="BX116" s="82" t="str">
        <f t="shared" si="23"/>
        <v>,`EVNT_MIN_AMT6`</v>
      </c>
      <c r="BY116" t="s">
        <v>223</v>
      </c>
      <c r="BZ116" s="82" t="str">
        <f t="shared" si="24"/>
        <v>,`EVNT_MIN_AMT6`</v>
      </c>
      <c r="CA116" t="s">
        <v>223</v>
      </c>
    </row>
    <row r="117" spans="1:79" ht="15" customHeight="1">
      <c r="A117" s="84" t="s">
        <v>577</v>
      </c>
      <c r="B117" s="71">
        <v>9</v>
      </c>
      <c r="C117" s="72"/>
      <c r="D117" s="73" t="s">
        <v>883</v>
      </c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5"/>
      <c r="R117" s="73" t="s">
        <v>1025</v>
      </c>
      <c r="S117" s="74"/>
      <c r="T117" s="74"/>
      <c r="U117" s="74"/>
      <c r="V117" s="74"/>
      <c r="W117" s="74"/>
      <c r="X117" s="74"/>
      <c r="Y117" s="74"/>
      <c r="Z117" s="74"/>
      <c r="AA117" s="74"/>
      <c r="AB117" s="75"/>
      <c r="AC117" s="251" t="str" cm="1">
        <f t="array" ref="AC117">_xlfn.SWITCH(BM117,"String","varchar("&amp;BN117&amp;")","Long","int","Integer","smallint","Double","decimal(9,2)","Currency","int")</f>
        <v>smallint</v>
      </c>
      <c r="AD117" s="252"/>
      <c r="AE117" s="252"/>
      <c r="AF117" s="252"/>
      <c r="AG117" s="253"/>
      <c r="AH117" s="73"/>
      <c r="AI117" s="75"/>
      <c r="AJ117" s="73"/>
      <c r="AK117" s="74"/>
      <c r="AL117" s="75"/>
      <c r="AM117" s="73"/>
      <c r="AN117" s="74"/>
      <c r="AO117" s="74"/>
      <c r="AP117" s="74"/>
      <c r="AQ117" s="74"/>
      <c r="AR117" s="74"/>
      <c r="AS117" s="75"/>
      <c r="AT117" s="73" t="s">
        <v>1123</v>
      </c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5"/>
      <c r="BK117" s="4"/>
      <c r="BM117" t="s">
        <v>451</v>
      </c>
      <c r="BP117" t="str">
        <f t="shared" si="19"/>
        <v>,`EVNT_DISC_MTHD7` smallint  COMMENT '事前割引タイプ７'</v>
      </c>
      <c r="BQ117" t="s">
        <v>223</v>
      </c>
      <c r="BR117" t="str">
        <f t="shared" si="20"/>
        <v xml:space="preserve">,`EVNT_DISC_MTHD7` smallint </v>
      </c>
      <c r="BS117" t="s">
        <v>223</v>
      </c>
      <c r="BT117" t="str">
        <f t="shared" si="21"/>
        <v>,`EVNT_DISC_MTHD7`</v>
      </c>
      <c r="BU117" t="s">
        <v>223</v>
      </c>
      <c r="BV117" s="82" t="str">
        <f t="shared" si="22"/>
        <v>,A.`EVNT_DISC_MTHD7` = B.`EVNT_DISC_MTHD7`</v>
      </c>
      <c r="BW117" t="s">
        <v>223</v>
      </c>
      <c r="BX117" s="82" t="str">
        <f t="shared" si="23"/>
        <v>,`EVNT_DISC_MTHD7`</v>
      </c>
      <c r="BY117" t="s">
        <v>223</v>
      </c>
      <c r="BZ117" s="82" t="str">
        <f t="shared" si="24"/>
        <v>,`EVNT_DISC_MTHD7`</v>
      </c>
      <c r="CA117" t="s">
        <v>223</v>
      </c>
    </row>
    <row r="118" spans="1:79" ht="15" customHeight="1">
      <c r="A118" s="84" t="s">
        <v>578</v>
      </c>
      <c r="B118" s="71">
        <v>9</v>
      </c>
      <c r="C118" s="72"/>
      <c r="D118" s="73" t="s">
        <v>884</v>
      </c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5"/>
      <c r="R118" s="73" t="s">
        <v>1026</v>
      </c>
      <c r="S118" s="74"/>
      <c r="T118" s="74"/>
      <c r="U118" s="74"/>
      <c r="V118" s="74"/>
      <c r="W118" s="74"/>
      <c r="X118" s="74"/>
      <c r="Y118" s="74"/>
      <c r="Z118" s="74"/>
      <c r="AA118" s="74"/>
      <c r="AB118" s="75"/>
      <c r="AC118" s="251" t="str" cm="1">
        <f t="array" ref="AC118">_xlfn.SWITCH(BM118,"String","varchar("&amp;BN118&amp;")","Long","int","Integer","smallint","Double","decimal(9,2)","Currency","int")</f>
        <v>decimal(9,2)</v>
      </c>
      <c r="AD118" s="252"/>
      <c r="AE118" s="252"/>
      <c r="AF118" s="252"/>
      <c r="AG118" s="253"/>
      <c r="AH118" s="73"/>
      <c r="AI118" s="75"/>
      <c r="AJ118" s="73"/>
      <c r="AK118" s="74"/>
      <c r="AL118" s="75"/>
      <c r="AM118" s="73"/>
      <c r="AN118" s="74"/>
      <c r="AO118" s="74"/>
      <c r="AP118" s="74"/>
      <c r="AQ118" s="74"/>
      <c r="AR118" s="74"/>
      <c r="AS118" s="75"/>
      <c r="AT118" s="73" t="s">
        <v>1123</v>
      </c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5"/>
      <c r="BK118" s="4"/>
      <c r="BM118" t="s">
        <v>452</v>
      </c>
      <c r="BP118" t="str">
        <f t="shared" si="19"/>
        <v>,`EVNT_DISC_VALUE7` decimal(9,2)  COMMENT '事前特売価格７'</v>
      </c>
      <c r="BQ118" t="s">
        <v>223</v>
      </c>
      <c r="BR118" t="str">
        <f t="shared" si="20"/>
        <v xml:space="preserve">,`EVNT_DISC_VALUE7` decimal(9,2) </v>
      </c>
      <c r="BS118" t="s">
        <v>223</v>
      </c>
      <c r="BT118" t="str">
        <f t="shared" si="21"/>
        <v>,`EVNT_DISC_VALUE7`</v>
      </c>
      <c r="BU118" t="s">
        <v>223</v>
      </c>
      <c r="BV118" s="82" t="str">
        <f t="shared" si="22"/>
        <v>,A.`EVNT_DISC_VALUE7` = B.`EVNT_DISC_VALUE7`</v>
      </c>
      <c r="BW118" t="s">
        <v>223</v>
      </c>
      <c r="BX118" s="82" t="str">
        <f t="shared" si="23"/>
        <v>,`EVNT_DISC_VALUE7`</v>
      </c>
      <c r="BY118" t="s">
        <v>223</v>
      </c>
      <c r="BZ118" s="82" t="str">
        <f t="shared" si="24"/>
        <v>,`EVNT_DISC_VALUE7`</v>
      </c>
      <c r="CA118" t="s">
        <v>223</v>
      </c>
    </row>
    <row r="119" spans="1:79" ht="15" customHeight="1">
      <c r="A119" s="84" t="s">
        <v>579</v>
      </c>
      <c r="B119" s="71">
        <v>9</v>
      </c>
      <c r="C119" s="72"/>
      <c r="D119" s="73" t="s">
        <v>885</v>
      </c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5"/>
      <c r="R119" s="73" t="s">
        <v>1027</v>
      </c>
      <c r="S119" s="74"/>
      <c r="T119" s="74"/>
      <c r="U119" s="74"/>
      <c r="V119" s="74"/>
      <c r="W119" s="74"/>
      <c r="X119" s="74"/>
      <c r="Y119" s="74"/>
      <c r="Z119" s="74"/>
      <c r="AA119" s="74"/>
      <c r="AB119" s="75"/>
      <c r="AC119" s="251" t="str" cm="1">
        <f t="array" ref="AC119">_xlfn.SWITCH(BM119,"String","varchar("&amp;BN119&amp;")","Long","int","Integer","smallint","Double","decimal(9,2)","Currency","int")</f>
        <v>decimal(9,2)</v>
      </c>
      <c r="AD119" s="252"/>
      <c r="AE119" s="252"/>
      <c r="AF119" s="252"/>
      <c r="AG119" s="253"/>
      <c r="AH119" s="73"/>
      <c r="AI119" s="75"/>
      <c r="AJ119" s="73"/>
      <c r="AK119" s="74"/>
      <c r="AL119" s="75"/>
      <c r="AM119" s="73"/>
      <c r="AN119" s="74"/>
      <c r="AO119" s="74"/>
      <c r="AP119" s="74"/>
      <c r="AQ119" s="74"/>
      <c r="AR119" s="74"/>
      <c r="AS119" s="75"/>
      <c r="AT119" s="73" t="s">
        <v>1123</v>
      </c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5"/>
      <c r="BK119" s="4"/>
      <c r="BM119" t="s">
        <v>452</v>
      </c>
      <c r="BP119" t="str">
        <f t="shared" si="19"/>
        <v>,`EVNT_MIN_QTY7` decimal(9,2)  COMMENT '事前成立数量７'</v>
      </c>
      <c r="BQ119" t="s">
        <v>223</v>
      </c>
      <c r="BR119" t="str">
        <f t="shared" si="20"/>
        <v xml:space="preserve">,`EVNT_MIN_QTY7` decimal(9,2) </v>
      </c>
      <c r="BS119" t="s">
        <v>223</v>
      </c>
      <c r="BT119" t="str">
        <f t="shared" si="21"/>
        <v>,`EVNT_MIN_QTY7`</v>
      </c>
      <c r="BU119" t="s">
        <v>223</v>
      </c>
      <c r="BV119" s="82" t="str">
        <f t="shared" si="22"/>
        <v>,A.`EVNT_MIN_QTY7` = B.`EVNT_MIN_QTY7`</v>
      </c>
      <c r="BW119" t="s">
        <v>223</v>
      </c>
      <c r="BX119" s="82" t="str">
        <f t="shared" si="23"/>
        <v>,`EVNT_MIN_QTY7`</v>
      </c>
      <c r="BY119" t="s">
        <v>223</v>
      </c>
      <c r="BZ119" s="82" t="str">
        <f t="shared" si="24"/>
        <v>,`EVNT_MIN_QTY7`</v>
      </c>
      <c r="CA119" t="s">
        <v>223</v>
      </c>
    </row>
    <row r="120" spans="1:79" ht="15" customHeight="1">
      <c r="A120" s="84" t="s">
        <v>580</v>
      </c>
      <c r="B120" s="71">
        <v>9</v>
      </c>
      <c r="C120" s="72"/>
      <c r="D120" s="73" t="s">
        <v>886</v>
      </c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5"/>
      <c r="R120" s="73" t="s">
        <v>1028</v>
      </c>
      <c r="S120" s="74"/>
      <c r="T120" s="74"/>
      <c r="U120" s="74"/>
      <c r="V120" s="74"/>
      <c r="W120" s="74"/>
      <c r="X120" s="74"/>
      <c r="Y120" s="74"/>
      <c r="Z120" s="74"/>
      <c r="AA120" s="74"/>
      <c r="AB120" s="75"/>
      <c r="AC120" s="251" t="str" cm="1">
        <f t="array" ref="AC120">_xlfn.SWITCH(BM120,"String","varchar("&amp;BN120&amp;")","Long","int","Integer","smallint","Double","decimal(9,2)","Currency","int")</f>
        <v>int</v>
      </c>
      <c r="AD120" s="252"/>
      <c r="AE120" s="252"/>
      <c r="AF120" s="252"/>
      <c r="AG120" s="253"/>
      <c r="AH120" s="73"/>
      <c r="AI120" s="75"/>
      <c r="AJ120" s="73"/>
      <c r="AK120" s="74"/>
      <c r="AL120" s="75"/>
      <c r="AM120" s="73"/>
      <c r="AN120" s="74"/>
      <c r="AO120" s="74"/>
      <c r="AP120" s="74"/>
      <c r="AQ120" s="74"/>
      <c r="AR120" s="74"/>
      <c r="AS120" s="75"/>
      <c r="AT120" s="73" t="s">
        <v>1123</v>
      </c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5"/>
      <c r="BK120" s="4"/>
      <c r="BM120" t="s">
        <v>453</v>
      </c>
      <c r="BP120" t="str">
        <f t="shared" si="19"/>
        <v>,`EVNT_MIN_AMT7` int  COMMENT '事前成立価格７'</v>
      </c>
      <c r="BQ120" t="s">
        <v>223</v>
      </c>
      <c r="BR120" t="str">
        <f t="shared" si="20"/>
        <v xml:space="preserve">,`EVNT_MIN_AMT7` int </v>
      </c>
      <c r="BS120" t="s">
        <v>223</v>
      </c>
      <c r="BT120" t="str">
        <f t="shared" si="21"/>
        <v>,`EVNT_MIN_AMT7`</v>
      </c>
      <c r="BU120" t="s">
        <v>223</v>
      </c>
      <c r="BV120" s="82" t="str">
        <f t="shared" si="22"/>
        <v>,A.`EVNT_MIN_AMT7` = B.`EVNT_MIN_AMT7`</v>
      </c>
      <c r="BW120" t="s">
        <v>223</v>
      </c>
      <c r="BX120" s="82" t="str">
        <f t="shared" si="23"/>
        <v>,`EVNT_MIN_AMT7`</v>
      </c>
      <c r="BY120" t="s">
        <v>223</v>
      </c>
      <c r="BZ120" s="82" t="str">
        <f t="shared" si="24"/>
        <v>,`EVNT_MIN_AMT7`</v>
      </c>
      <c r="CA120" t="s">
        <v>223</v>
      </c>
    </row>
    <row r="121" spans="1:79" ht="15" customHeight="1">
      <c r="A121" s="84" t="s">
        <v>581</v>
      </c>
      <c r="B121" s="71">
        <v>9</v>
      </c>
      <c r="C121" s="72"/>
      <c r="D121" s="73" t="s">
        <v>887</v>
      </c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5"/>
      <c r="R121" s="73" t="s">
        <v>1029</v>
      </c>
      <c r="S121" s="74"/>
      <c r="T121" s="74"/>
      <c r="U121" s="74"/>
      <c r="V121" s="74"/>
      <c r="W121" s="74"/>
      <c r="X121" s="74"/>
      <c r="Y121" s="74"/>
      <c r="Z121" s="74"/>
      <c r="AA121" s="74"/>
      <c r="AB121" s="75"/>
      <c r="AC121" s="251" t="str" cm="1">
        <f t="array" ref="AC121">_xlfn.SWITCH(BM121,"String","varchar("&amp;BN121&amp;")","Long","int","Integer","smallint","Double","decimal(9,2)","Currency","int")</f>
        <v>smallint</v>
      </c>
      <c r="AD121" s="252"/>
      <c r="AE121" s="252"/>
      <c r="AF121" s="252"/>
      <c r="AG121" s="253"/>
      <c r="AH121" s="73"/>
      <c r="AI121" s="75"/>
      <c r="AJ121" s="73"/>
      <c r="AK121" s="74"/>
      <c r="AL121" s="75"/>
      <c r="AM121" s="73"/>
      <c r="AN121" s="74"/>
      <c r="AO121" s="74"/>
      <c r="AP121" s="74"/>
      <c r="AQ121" s="74"/>
      <c r="AR121" s="74"/>
      <c r="AS121" s="75"/>
      <c r="AT121" s="73" t="s">
        <v>1123</v>
      </c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5"/>
      <c r="BK121" s="4"/>
      <c r="BM121" t="s">
        <v>451</v>
      </c>
      <c r="BP121" t="str">
        <f t="shared" si="19"/>
        <v>,`EVNT_DISC_MTHD8` smallint  COMMENT '事前割引タイプ８'</v>
      </c>
      <c r="BQ121" t="s">
        <v>223</v>
      </c>
      <c r="BR121" t="str">
        <f t="shared" si="20"/>
        <v xml:space="preserve">,`EVNT_DISC_MTHD8` smallint </v>
      </c>
      <c r="BS121" t="s">
        <v>223</v>
      </c>
      <c r="BT121" t="str">
        <f t="shared" si="21"/>
        <v>,`EVNT_DISC_MTHD8`</v>
      </c>
      <c r="BU121" t="s">
        <v>223</v>
      </c>
      <c r="BV121" s="82" t="str">
        <f t="shared" si="22"/>
        <v>,A.`EVNT_DISC_MTHD8` = B.`EVNT_DISC_MTHD8`</v>
      </c>
      <c r="BW121" t="s">
        <v>223</v>
      </c>
      <c r="BX121" s="82" t="str">
        <f t="shared" si="23"/>
        <v>,`EVNT_DISC_MTHD8`</v>
      </c>
      <c r="BY121" t="s">
        <v>223</v>
      </c>
      <c r="BZ121" s="82" t="str">
        <f t="shared" si="24"/>
        <v>,`EVNT_DISC_MTHD8`</v>
      </c>
      <c r="CA121" t="s">
        <v>223</v>
      </c>
    </row>
    <row r="122" spans="1:79" ht="15" customHeight="1">
      <c r="A122" s="84" t="s">
        <v>582</v>
      </c>
      <c r="B122" s="71">
        <v>9</v>
      </c>
      <c r="C122" s="72"/>
      <c r="D122" s="73" t="s">
        <v>888</v>
      </c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5"/>
      <c r="R122" s="73" t="s">
        <v>1030</v>
      </c>
      <c r="S122" s="74"/>
      <c r="T122" s="74"/>
      <c r="U122" s="74"/>
      <c r="V122" s="74"/>
      <c r="W122" s="74"/>
      <c r="X122" s="74"/>
      <c r="Y122" s="74"/>
      <c r="Z122" s="74"/>
      <c r="AA122" s="74"/>
      <c r="AB122" s="75"/>
      <c r="AC122" s="251" t="str" cm="1">
        <f t="array" ref="AC122">_xlfn.SWITCH(BM122,"String","varchar("&amp;BN122&amp;")","Long","int","Integer","smallint","Double","decimal(9,2)","Currency","int")</f>
        <v>decimal(9,2)</v>
      </c>
      <c r="AD122" s="252"/>
      <c r="AE122" s="252"/>
      <c r="AF122" s="252"/>
      <c r="AG122" s="253"/>
      <c r="AH122" s="73"/>
      <c r="AI122" s="75"/>
      <c r="AJ122" s="73"/>
      <c r="AK122" s="74"/>
      <c r="AL122" s="75"/>
      <c r="AM122" s="73"/>
      <c r="AN122" s="74"/>
      <c r="AO122" s="74"/>
      <c r="AP122" s="74"/>
      <c r="AQ122" s="74"/>
      <c r="AR122" s="74"/>
      <c r="AS122" s="75"/>
      <c r="AT122" s="73" t="s">
        <v>1123</v>
      </c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5"/>
      <c r="BK122" s="4"/>
      <c r="BM122" t="s">
        <v>452</v>
      </c>
      <c r="BP122" t="str">
        <f t="shared" si="19"/>
        <v>,`EVNT_DISC_VALUE8` decimal(9,2)  COMMENT '事前特売価格８'</v>
      </c>
      <c r="BQ122" t="s">
        <v>223</v>
      </c>
      <c r="BR122" t="str">
        <f t="shared" si="20"/>
        <v xml:space="preserve">,`EVNT_DISC_VALUE8` decimal(9,2) </v>
      </c>
      <c r="BS122" t="s">
        <v>223</v>
      </c>
      <c r="BT122" t="str">
        <f t="shared" si="21"/>
        <v>,`EVNT_DISC_VALUE8`</v>
      </c>
      <c r="BU122" t="s">
        <v>223</v>
      </c>
      <c r="BV122" s="82" t="str">
        <f t="shared" si="22"/>
        <v>,A.`EVNT_DISC_VALUE8` = B.`EVNT_DISC_VALUE8`</v>
      </c>
      <c r="BW122" t="s">
        <v>223</v>
      </c>
      <c r="BX122" s="82" t="str">
        <f t="shared" si="23"/>
        <v>,`EVNT_DISC_VALUE8`</v>
      </c>
      <c r="BY122" t="s">
        <v>223</v>
      </c>
      <c r="BZ122" s="82" t="str">
        <f t="shared" si="24"/>
        <v>,`EVNT_DISC_VALUE8`</v>
      </c>
      <c r="CA122" t="s">
        <v>223</v>
      </c>
    </row>
    <row r="123" spans="1:79" ht="15" customHeight="1">
      <c r="A123" s="84" t="s">
        <v>583</v>
      </c>
      <c r="B123" s="71">
        <v>9</v>
      </c>
      <c r="C123" s="72"/>
      <c r="D123" s="73" t="s">
        <v>889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5"/>
      <c r="R123" s="73" t="s">
        <v>1031</v>
      </c>
      <c r="S123" s="74"/>
      <c r="T123" s="74"/>
      <c r="U123" s="74"/>
      <c r="V123" s="74"/>
      <c r="W123" s="74"/>
      <c r="X123" s="74"/>
      <c r="Y123" s="74"/>
      <c r="Z123" s="74"/>
      <c r="AA123" s="74"/>
      <c r="AB123" s="75"/>
      <c r="AC123" s="251" t="str" cm="1">
        <f t="array" ref="AC123">_xlfn.SWITCH(BM123,"String","varchar("&amp;BN123&amp;")","Long","int","Integer","smallint","Double","decimal(9,2)","Currency","int")</f>
        <v>decimal(9,2)</v>
      </c>
      <c r="AD123" s="252"/>
      <c r="AE123" s="252"/>
      <c r="AF123" s="252"/>
      <c r="AG123" s="253"/>
      <c r="AH123" s="73"/>
      <c r="AI123" s="75"/>
      <c r="AJ123" s="73"/>
      <c r="AK123" s="74"/>
      <c r="AL123" s="75"/>
      <c r="AM123" s="73"/>
      <c r="AN123" s="74"/>
      <c r="AO123" s="74"/>
      <c r="AP123" s="74"/>
      <c r="AQ123" s="74"/>
      <c r="AR123" s="74"/>
      <c r="AS123" s="75"/>
      <c r="AT123" s="73" t="s">
        <v>464</v>
      </c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5"/>
      <c r="BK123" s="4"/>
      <c r="BM123" t="s">
        <v>452</v>
      </c>
      <c r="BP123" t="str">
        <f t="shared" si="19"/>
        <v>,`BFR_MIN_QTY8` decimal(9,2)  COMMENT '事前成立数量８'</v>
      </c>
      <c r="BQ123" t="s">
        <v>223</v>
      </c>
      <c r="BR123" t="str">
        <f t="shared" si="20"/>
        <v xml:space="preserve">,`BFR_MIN_QTY8` decimal(9,2) </v>
      </c>
      <c r="BS123" t="s">
        <v>223</v>
      </c>
      <c r="BT123" t="str">
        <f t="shared" si="21"/>
        <v>,`BFR_MIN_QTY8`</v>
      </c>
      <c r="BU123" t="s">
        <v>223</v>
      </c>
      <c r="BV123" s="82" t="str">
        <f t="shared" si="22"/>
        <v>,A.`BFR_MIN_QTY8` = B.`BFR_MIN_QTY8`</v>
      </c>
      <c r="BW123" t="s">
        <v>223</v>
      </c>
      <c r="BX123" s="82" t="str">
        <f t="shared" si="23"/>
        <v>,`BFR_MIN_QTY8`</v>
      </c>
      <c r="BY123" t="s">
        <v>223</v>
      </c>
      <c r="BZ123" s="82" t="str">
        <f t="shared" si="24"/>
        <v>,`BFR_MIN_QTY8`</v>
      </c>
      <c r="CA123" t="s">
        <v>223</v>
      </c>
    </row>
    <row r="124" spans="1:79" ht="15" customHeight="1">
      <c r="A124" s="84" t="s">
        <v>584</v>
      </c>
      <c r="B124" s="71">
        <v>9</v>
      </c>
      <c r="C124" s="72"/>
      <c r="D124" s="73" t="s">
        <v>890</v>
      </c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5"/>
      <c r="R124" s="73" t="s">
        <v>1032</v>
      </c>
      <c r="S124" s="74"/>
      <c r="T124" s="74"/>
      <c r="U124" s="74"/>
      <c r="V124" s="74"/>
      <c r="W124" s="74"/>
      <c r="X124" s="74"/>
      <c r="Y124" s="74"/>
      <c r="Z124" s="74"/>
      <c r="AA124" s="74"/>
      <c r="AB124" s="75"/>
      <c r="AC124" s="251" t="str" cm="1">
        <f t="array" ref="AC124">_xlfn.SWITCH(BM124,"String","varchar("&amp;BN124&amp;")","Long","int","Integer","smallint","Double","decimal(9,2)","Currency","int")</f>
        <v>int</v>
      </c>
      <c r="AD124" s="252"/>
      <c r="AE124" s="252"/>
      <c r="AF124" s="252"/>
      <c r="AG124" s="253"/>
      <c r="AH124" s="73"/>
      <c r="AI124" s="75"/>
      <c r="AJ124" s="73"/>
      <c r="AK124" s="74"/>
      <c r="AL124" s="75"/>
      <c r="AM124" s="73"/>
      <c r="AN124" s="74"/>
      <c r="AO124" s="74"/>
      <c r="AP124" s="74"/>
      <c r="AQ124" s="74"/>
      <c r="AR124" s="74"/>
      <c r="AS124" s="75"/>
      <c r="AT124" s="73" t="s">
        <v>464</v>
      </c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5"/>
      <c r="BK124" s="4"/>
      <c r="BM124" t="s">
        <v>453</v>
      </c>
      <c r="BP124" t="str">
        <f t="shared" si="19"/>
        <v>,`BFR_MIN_AMT8` int  COMMENT '事前成立価格８'</v>
      </c>
      <c r="BQ124" t="s">
        <v>223</v>
      </c>
      <c r="BR124" t="str">
        <f t="shared" si="20"/>
        <v xml:space="preserve">,`BFR_MIN_AMT8` int </v>
      </c>
      <c r="BS124" t="s">
        <v>223</v>
      </c>
      <c r="BT124" t="str">
        <f t="shared" si="21"/>
        <v>,`BFR_MIN_AMT8`</v>
      </c>
      <c r="BU124" t="s">
        <v>223</v>
      </c>
      <c r="BV124" s="82" t="str">
        <f t="shared" si="22"/>
        <v>,A.`BFR_MIN_AMT8` = B.`BFR_MIN_AMT8`</v>
      </c>
      <c r="BW124" t="s">
        <v>223</v>
      </c>
      <c r="BX124" s="82" t="str">
        <f t="shared" si="23"/>
        <v>,`BFR_MIN_AMT8`</v>
      </c>
      <c r="BY124" t="s">
        <v>223</v>
      </c>
      <c r="BZ124" s="82" t="str">
        <f t="shared" si="24"/>
        <v>,`BFR_MIN_AMT8`</v>
      </c>
      <c r="CA124" t="s">
        <v>223</v>
      </c>
    </row>
    <row r="125" spans="1:79" ht="15" customHeight="1">
      <c r="A125" s="84" t="s">
        <v>585</v>
      </c>
      <c r="B125" s="71">
        <v>9</v>
      </c>
      <c r="C125" s="72"/>
      <c r="D125" s="73" t="s">
        <v>891</v>
      </c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5"/>
      <c r="R125" s="73" t="s">
        <v>1033</v>
      </c>
      <c r="S125" s="74"/>
      <c r="T125" s="74"/>
      <c r="U125" s="74"/>
      <c r="V125" s="74"/>
      <c r="W125" s="74"/>
      <c r="X125" s="74"/>
      <c r="Y125" s="74"/>
      <c r="Z125" s="74"/>
      <c r="AA125" s="74"/>
      <c r="AB125" s="75"/>
      <c r="AC125" s="251" t="str" cm="1">
        <f t="array" ref="AC125">_xlfn.SWITCH(BM125,"String","varchar("&amp;BN125&amp;")","Long","int","Integer","smallint","Double","decimal(9,2)","Currency","int")</f>
        <v>smallint</v>
      </c>
      <c r="AD125" s="252"/>
      <c r="AE125" s="252"/>
      <c r="AF125" s="252"/>
      <c r="AG125" s="253"/>
      <c r="AH125" s="73"/>
      <c r="AI125" s="75"/>
      <c r="AJ125" s="73"/>
      <c r="AK125" s="74"/>
      <c r="AL125" s="75"/>
      <c r="AM125" s="73"/>
      <c r="AN125" s="74"/>
      <c r="AO125" s="74"/>
      <c r="AP125" s="74"/>
      <c r="AQ125" s="74"/>
      <c r="AR125" s="74"/>
      <c r="AS125" s="75"/>
      <c r="AT125" s="73" t="s">
        <v>464</v>
      </c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5"/>
      <c r="BK125" s="4"/>
      <c r="BM125" t="s">
        <v>451</v>
      </c>
      <c r="BP125" t="str">
        <f t="shared" si="19"/>
        <v>,`BFR_DISC_MTHD9` smallint  COMMENT '事前割引タイプ９'</v>
      </c>
      <c r="BQ125" t="s">
        <v>223</v>
      </c>
      <c r="BR125" t="str">
        <f t="shared" si="20"/>
        <v xml:space="preserve">,`BFR_DISC_MTHD9` smallint </v>
      </c>
      <c r="BS125" t="s">
        <v>223</v>
      </c>
      <c r="BT125" t="str">
        <f t="shared" si="21"/>
        <v>,`BFR_DISC_MTHD9`</v>
      </c>
      <c r="BU125" t="s">
        <v>223</v>
      </c>
      <c r="BV125" s="82" t="str">
        <f t="shared" si="22"/>
        <v>,A.`BFR_DISC_MTHD9` = B.`BFR_DISC_MTHD9`</v>
      </c>
      <c r="BW125" t="s">
        <v>223</v>
      </c>
      <c r="BX125" s="82" t="str">
        <f t="shared" si="23"/>
        <v>,`BFR_DISC_MTHD9`</v>
      </c>
      <c r="BY125" t="s">
        <v>223</v>
      </c>
      <c r="BZ125" s="82" t="str">
        <f t="shared" si="24"/>
        <v>,`BFR_DISC_MTHD9`</v>
      </c>
      <c r="CA125" t="s">
        <v>223</v>
      </c>
    </row>
    <row r="126" spans="1:79" ht="15" customHeight="1">
      <c r="A126" s="84" t="s">
        <v>586</v>
      </c>
      <c r="B126" s="71">
        <v>9</v>
      </c>
      <c r="C126" s="72"/>
      <c r="D126" s="73" t="s">
        <v>892</v>
      </c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5"/>
      <c r="R126" s="73" t="s">
        <v>1130</v>
      </c>
      <c r="S126" s="74"/>
      <c r="T126" s="74"/>
      <c r="U126" s="74"/>
      <c r="V126" s="74"/>
      <c r="W126" s="74"/>
      <c r="X126" s="74"/>
      <c r="Y126" s="74"/>
      <c r="Z126" s="74"/>
      <c r="AA126" s="74"/>
      <c r="AB126" s="75"/>
      <c r="AC126" s="251" t="str" cm="1">
        <f t="array" ref="AC126">_xlfn.SWITCH(BM126,"String","varchar("&amp;BN126&amp;")","Long","int","Integer","smallint","Double","decimal(9,2)","Currency","int")</f>
        <v>decimal(9,2)</v>
      </c>
      <c r="AD126" s="252"/>
      <c r="AE126" s="252"/>
      <c r="AF126" s="252"/>
      <c r="AG126" s="253"/>
      <c r="AH126" s="73"/>
      <c r="AI126" s="75"/>
      <c r="AJ126" s="73"/>
      <c r="AK126" s="74"/>
      <c r="AL126" s="75"/>
      <c r="AM126" s="73"/>
      <c r="AN126" s="74"/>
      <c r="AO126" s="74"/>
      <c r="AP126" s="74"/>
      <c r="AQ126" s="74"/>
      <c r="AR126" s="74"/>
      <c r="AS126" s="75"/>
      <c r="AT126" s="73" t="s">
        <v>470</v>
      </c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5"/>
      <c r="BK126" s="4"/>
      <c r="BM126" t="s">
        <v>452</v>
      </c>
      <c r="BP126" t="str">
        <f t="shared" si="19"/>
        <v>,`BFR_DISC_VALUE9` decimal(9,2)  COMMENT '事前特売価格９'</v>
      </c>
      <c r="BQ126" t="s">
        <v>223</v>
      </c>
      <c r="BR126" t="str">
        <f t="shared" si="20"/>
        <v xml:space="preserve">,`BFR_DISC_VALUE9` decimal(9,2) </v>
      </c>
      <c r="BS126" t="s">
        <v>223</v>
      </c>
      <c r="BT126" t="str">
        <f t="shared" si="21"/>
        <v>,`BFR_DISC_VALUE9`</v>
      </c>
      <c r="BU126" t="s">
        <v>223</v>
      </c>
      <c r="BV126" s="82" t="str">
        <f t="shared" si="22"/>
        <v>,A.`BFR_DISC_VALUE9` = B.`BFR_DISC_VALUE9`</v>
      </c>
      <c r="BW126" t="s">
        <v>223</v>
      </c>
      <c r="BX126" s="82" t="str">
        <f t="shared" si="23"/>
        <v>,`BFR_DISC_VALUE9`</v>
      </c>
      <c r="BY126" t="s">
        <v>223</v>
      </c>
      <c r="BZ126" s="82" t="str">
        <f t="shared" si="24"/>
        <v>,`BFR_DISC_VALUE9`</v>
      </c>
      <c r="CA126" t="s">
        <v>223</v>
      </c>
    </row>
    <row r="127" spans="1:79" ht="15" customHeight="1">
      <c r="A127" s="84" t="s">
        <v>587</v>
      </c>
      <c r="B127" s="71">
        <v>9</v>
      </c>
      <c r="C127" s="72"/>
      <c r="D127" s="73" t="s">
        <v>893</v>
      </c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5"/>
      <c r="R127" s="73" t="s">
        <v>1035</v>
      </c>
      <c r="S127" s="74"/>
      <c r="T127" s="74"/>
      <c r="U127" s="74"/>
      <c r="V127" s="74"/>
      <c r="W127" s="74"/>
      <c r="X127" s="74"/>
      <c r="Y127" s="74"/>
      <c r="Z127" s="74"/>
      <c r="AA127" s="74"/>
      <c r="AB127" s="75"/>
      <c r="AC127" s="251" t="str" cm="1">
        <f t="array" ref="AC127">_xlfn.SWITCH(BM127,"String","varchar("&amp;BN127&amp;")","Long","int","Integer","smallint","Double","decimal(9,2)","Currency","int")</f>
        <v>decimal(9,2)</v>
      </c>
      <c r="AD127" s="252"/>
      <c r="AE127" s="252"/>
      <c r="AF127" s="252"/>
      <c r="AG127" s="253"/>
      <c r="AH127" s="73"/>
      <c r="AI127" s="75"/>
      <c r="AJ127" s="73"/>
      <c r="AK127" s="74"/>
      <c r="AL127" s="75"/>
      <c r="AM127" s="73"/>
      <c r="AN127" s="74"/>
      <c r="AO127" s="74"/>
      <c r="AP127" s="74"/>
      <c r="AQ127" s="74"/>
      <c r="AR127" s="74"/>
      <c r="AS127" s="75"/>
      <c r="AT127" s="73" t="s">
        <v>470</v>
      </c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5"/>
      <c r="BK127" s="4"/>
      <c r="BM127" t="s">
        <v>452</v>
      </c>
      <c r="BP127" t="str">
        <f t="shared" si="19"/>
        <v>,`BFR_MIN_QTY9` decimal(9,2)  COMMENT '事前成立数量９'</v>
      </c>
      <c r="BQ127" t="s">
        <v>223</v>
      </c>
      <c r="BR127" t="str">
        <f t="shared" si="20"/>
        <v xml:space="preserve">,`BFR_MIN_QTY9` decimal(9,2) </v>
      </c>
      <c r="BS127" t="s">
        <v>223</v>
      </c>
      <c r="BT127" t="str">
        <f t="shared" si="21"/>
        <v>,`BFR_MIN_QTY9`</v>
      </c>
      <c r="BU127" t="s">
        <v>223</v>
      </c>
      <c r="BV127" s="82" t="str">
        <f t="shared" si="22"/>
        <v>,A.`BFR_MIN_QTY9` = B.`BFR_MIN_QTY9`</v>
      </c>
      <c r="BW127" t="s">
        <v>223</v>
      </c>
      <c r="BX127" s="82" t="str">
        <f t="shared" si="23"/>
        <v>,`BFR_MIN_QTY9`</v>
      </c>
      <c r="BY127" t="s">
        <v>223</v>
      </c>
      <c r="BZ127" s="82" t="str">
        <f t="shared" si="24"/>
        <v>,`BFR_MIN_QTY9`</v>
      </c>
      <c r="CA127" t="s">
        <v>223</v>
      </c>
    </row>
    <row r="128" spans="1:79" ht="15" customHeight="1">
      <c r="A128" s="84" t="s">
        <v>588</v>
      </c>
      <c r="B128" s="71">
        <v>9</v>
      </c>
      <c r="C128" s="72"/>
      <c r="D128" s="73" t="s">
        <v>894</v>
      </c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5"/>
      <c r="R128" s="73" t="s">
        <v>1036</v>
      </c>
      <c r="S128" s="74"/>
      <c r="T128" s="74"/>
      <c r="U128" s="74"/>
      <c r="V128" s="74"/>
      <c r="W128" s="74"/>
      <c r="X128" s="74"/>
      <c r="Y128" s="74"/>
      <c r="Z128" s="74"/>
      <c r="AA128" s="74"/>
      <c r="AB128" s="75"/>
      <c r="AC128" s="251" t="str" cm="1">
        <f t="array" ref="AC128">_xlfn.SWITCH(BM128,"String","varchar("&amp;BN128&amp;")","Long","int","Integer","smallint","Double","decimal(9,2)","Currency","int")</f>
        <v>int</v>
      </c>
      <c r="AD128" s="252"/>
      <c r="AE128" s="252"/>
      <c r="AF128" s="252"/>
      <c r="AG128" s="253"/>
      <c r="AH128" s="73"/>
      <c r="AI128" s="75"/>
      <c r="AJ128" s="73"/>
      <c r="AK128" s="74"/>
      <c r="AL128" s="75"/>
      <c r="AM128" s="73"/>
      <c r="AN128" s="74"/>
      <c r="AO128" s="74"/>
      <c r="AP128" s="74"/>
      <c r="AQ128" s="74"/>
      <c r="AR128" s="74"/>
      <c r="AS128" s="75"/>
      <c r="AT128" s="73" t="s">
        <v>464</v>
      </c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5"/>
      <c r="BK128" s="4"/>
      <c r="BM128" t="s">
        <v>453</v>
      </c>
      <c r="BP128" t="str">
        <f t="shared" si="19"/>
        <v>,`BFR_MIN_AMT9` int  COMMENT '事前成立価格９'</v>
      </c>
      <c r="BQ128" t="s">
        <v>223</v>
      </c>
      <c r="BR128" t="str">
        <f t="shared" si="20"/>
        <v xml:space="preserve">,`BFR_MIN_AMT9` int </v>
      </c>
      <c r="BS128" t="s">
        <v>223</v>
      </c>
      <c r="BT128" t="str">
        <f t="shared" si="21"/>
        <v>,`BFR_MIN_AMT9`</v>
      </c>
      <c r="BU128" t="s">
        <v>223</v>
      </c>
      <c r="BV128" s="82" t="str">
        <f t="shared" si="22"/>
        <v>,A.`BFR_MIN_AMT9` = B.`BFR_MIN_AMT9`</v>
      </c>
      <c r="BW128" t="s">
        <v>223</v>
      </c>
      <c r="BX128" s="82" t="str">
        <f t="shared" si="23"/>
        <v>,`BFR_MIN_AMT9`</v>
      </c>
      <c r="BY128" t="s">
        <v>223</v>
      </c>
      <c r="BZ128" s="82" t="str">
        <f t="shared" si="24"/>
        <v>,`BFR_MIN_AMT9`</v>
      </c>
      <c r="CA128" t="s">
        <v>223</v>
      </c>
    </row>
    <row r="129" spans="1:79" ht="15" customHeight="1">
      <c r="A129" s="84" t="s">
        <v>589</v>
      </c>
      <c r="B129" s="71">
        <v>9</v>
      </c>
      <c r="C129" s="72"/>
      <c r="D129" s="73" t="s">
        <v>895</v>
      </c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5"/>
      <c r="R129" s="73" t="s">
        <v>1037</v>
      </c>
      <c r="S129" s="74"/>
      <c r="T129" s="74"/>
      <c r="U129" s="74"/>
      <c r="V129" s="74"/>
      <c r="W129" s="74"/>
      <c r="X129" s="74"/>
      <c r="Y129" s="74"/>
      <c r="Z129" s="74"/>
      <c r="AA129" s="74"/>
      <c r="AB129" s="75"/>
      <c r="AC129" s="251" t="str" cm="1">
        <f t="array" ref="AC129">_xlfn.SWITCH(BM129,"String","varchar("&amp;BN129&amp;")","Long","int","Integer","smallint","Double","decimal(9,2)","Currency","int")</f>
        <v>smallint</v>
      </c>
      <c r="AD129" s="252"/>
      <c r="AE129" s="252"/>
      <c r="AF129" s="252"/>
      <c r="AG129" s="253"/>
      <c r="AH129" s="73"/>
      <c r="AI129" s="75"/>
      <c r="AJ129" s="73"/>
      <c r="AK129" s="74"/>
      <c r="AL129" s="75"/>
      <c r="AM129" s="73"/>
      <c r="AN129" s="74"/>
      <c r="AO129" s="74"/>
      <c r="AP129" s="74"/>
      <c r="AQ129" s="74"/>
      <c r="AR129" s="74"/>
      <c r="AS129" s="75"/>
      <c r="AT129" s="73" t="s">
        <v>464</v>
      </c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5"/>
      <c r="BK129" s="4"/>
      <c r="BM129" t="s">
        <v>451</v>
      </c>
      <c r="BP129" t="str">
        <f t="shared" si="19"/>
        <v>,`BFR_DISC_MTHD10` smallint  COMMENT '事前割引タイプ１０'</v>
      </c>
      <c r="BQ129" t="s">
        <v>223</v>
      </c>
      <c r="BR129" t="str">
        <f t="shared" si="20"/>
        <v xml:space="preserve">,`BFR_DISC_MTHD10` smallint </v>
      </c>
      <c r="BS129" t="s">
        <v>223</v>
      </c>
      <c r="BT129" t="str">
        <f t="shared" si="21"/>
        <v>,`BFR_DISC_MTHD10`</v>
      </c>
      <c r="BU129" t="s">
        <v>223</v>
      </c>
      <c r="BV129" s="82" t="str">
        <f t="shared" si="22"/>
        <v>,A.`BFR_DISC_MTHD10` = B.`BFR_DISC_MTHD10`</v>
      </c>
      <c r="BW129" t="s">
        <v>223</v>
      </c>
      <c r="BX129" s="82" t="str">
        <f t="shared" si="23"/>
        <v>,`BFR_DISC_MTHD10`</v>
      </c>
      <c r="BY129" t="s">
        <v>223</v>
      </c>
      <c r="BZ129" s="82" t="str">
        <f t="shared" si="24"/>
        <v>,`BFR_DISC_MTHD10`</v>
      </c>
      <c r="CA129" t="s">
        <v>223</v>
      </c>
    </row>
    <row r="130" spans="1:79" ht="15" customHeight="1">
      <c r="A130" s="84" t="s">
        <v>590</v>
      </c>
      <c r="B130" s="71">
        <v>9</v>
      </c>
      <c r="C130" s="72"/>
      <c r="D130" s="73" t="s">
        <v>896</v>
      </c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5"/>
      <c r="R130" s="73" t="s">
        <v>1132</v>
      </c>
      <c r="S130" s="74"/>
      <c r="T130" s="74"/>
      <c r="U130" s="74"/>
      <c r="V130" s="74"/>
      <c r="W130" s="74"/>
      <c r="X130" s="74"/>
      <c r="Y130" s="74"/>
      <c r="Z130" s="74"/>
      <c r="AA130" s="74"/>
      <c r="AB130" s="75"/>
      <c r="AC130" s="251" t="str" cm="1">
        <f t="array" ref="AC130">_xlfn.SWITCH(BM130,"String","varchar("&amp;BN130&amp;")","Long","int","Integer","smallint","Double","decimal(9,2)","Currency","int")</f>
        <v>decimal(9,2)</v>
      </c>
      <c r="AD130" s="252"/>
      <c r="AE130" s="252"/>
      <c r="AF130" s="252"/>
      <c r="AG130" s="253"/>
      <c r="AH130" s="73"/>
      <c r="AI130" s="75"/>
      <c r="AJ130" s="73"/>
      <c r="AK130" s="74"/>
      <c r="AL130" s="75"/>
      <c r="AM130" s="73"/>
      <c r="AN130" s="74"/>
      <c r="AO130" s="74"/>
      <c r="AP130" s="74"/>
      <c r="AQ130" s="74"/>
      <c r="AR130" s="74"/>
      <c r="AS130" s="75"/>
      <c r="AT130" s="73" t="s">
        <v>470</v>
      </c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5"/>
      <c r="BK130" s="4"/>
      <c r="BM130" t="s">
        <v>452</v>
      </c>
      <c r="BP130" t="str">
        <f t="shared" si="19"/>
        <v>,`BFR_DISC_VALUE10` decimal(9,2)  COMMENT '事前特売価格１０'</v>
      </c>
      <c r="BQ130" t="s">
        <v>223</v>
      </c>
      <c r="BR130" t="str">
        <f t="shared" si="20"/>
        <v xml:space="preserve">,`BFR_DISC_VALUE10` decimal(9,2) </v>
      </c>
      <c r="BS130" t="s">
        <v>223</v>
      </c>
      <c r="BT130" t="str">
        <f t="shared" si="21"/>
        <v>,`BFR_DISC_VALUE10`</v>
      </c>
      <c r="BU130" t="s">
        <v>223</v>
      </c>
      <c r="BV130" s="82" t="str">
        <f t="shared" si="22"/>
        <v>,A.`BFR_DISC_VALUE10` = B.`BFR_DISC_VALUE10`</v>
      </c>
      <c r="BW130" t="s">
        <v>223</v>
      </c>
      <c r="BX130" s="82" t="str">
        <f t="shared" si="23"/>
        <v>,`BFR_DISC_VALUE10`</v>
      </c>
      <c r="BY130" t="s">
        <v>223</v>
      </c>
      <c r="BZ130" s="82" t="str">
        <f t="shared" si="24"/>
        <v>,`BFR_DISC_VALUE10`</v>
      </c>
      <c r="CA130" t="s">
        <v>223</v>
      </c>
    </row>
    <row r="131" spans="1:79" ht="15" customHeight="1">
      <c r="A131" s="84" t="s">
        <v>591</v>
      </c>
      <c r="B131" s="71">
        <v>9</v>
      </c>
      <c r="C131" s="72"/>
      <c r="D131" s="73" t="s">
        <v>897</v>
      </c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5"/>
      <c r="R131" s="73" t="s">
        <v>1038</v>
      </c>
      <c r="S131" s="74"/>
      <c r="T131" s="74"/>
      <c r="U131" s="74"/>
      <c r="V131" s="74"/>
      <c r="W131" s="74"/>
      <c r="X131" s="74"/>
      <c r="Y131" s="74"/>
      <c r="Z131" s="74"/>
      <c r="AA131" s="74"/>
      <c r="AB131" s="75"/>
      <c r="AC131" s="251" t="str" cm="1">
        <f t="array" ref="AC131">_xlfn.SWITCH(BM131,"String","varchar("&amp;BN131&amp;")","Long","int","Integer","smallint","Double","decimal(9,2)","Currency","int")</f>
        <v>decimal(9,2)</v>
      </c>
      <c r="AD131" s="252"/>
      <c r="AE131" s="252"/>
      <c r="AF131" s="252"/>
      <c r="AG131" s="253"/>
      <c r="AH131" s="73"/>
      <c r="AI131" s="75"/>
      <c r="AJ131" s="73"/>
      <c r="AK131" s="74"/>
      <c r="AL131" s="75"/>
      <c r="AM131" s="73"/>
      <c r="AN131" s="74"/>
      <c r="AO131" s="74"/>
      <c r="AP131" s="74"/>
      <c r="AQ131" s="74"/>
      <c r="AR131" s="74"/>
      <c r="AS131" s="75"/>
      <c r="AT131" s="73" t="s">
        <v>464</v>
      </c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5"/>
      <c r="BK131" s="4"/>
      <c r="BM131" t="s">
        <v>452</v>
      </c>
      <c r="BP131" t="str">
        <f t="shared" si="19"/>
        <v>,`BFR_MIN_QTY10` decimal(9,2)  COMMENT '事前成立数量１０'</v>
      </c>
      <c r="BQ131" t="s">
        <v>223</v>
      </c>
      <c r="BR131" t="str">
        <f t="shared" si="20"/>
        <v xml:space="preserve">,`BFR_MIN_QTY10` decimal(9,2) </v>
      </c>
      <c r="BS131" t="s">
        <v>223</v>
      </c>
      <c r="BT131" t="str">
        <f t="shared" si="21"/>
        <v>,`BFR_MIN_QTY10`</v>
      </c>
      <c r="BU131" t="s">
        <v>223</v>
      </c>
      <c r="BV131" s="82" t="str">
        <f t="shared" si="22"/>
        <v>,A.`BFR_MIN_QTY10` = B.`BFR_MIN_QTY10`</v>
      </c>
      <c r="BW131" t="s">
        <v>223</v>
      </c>
      <c r="BX131" s="82" t="str">
        <f t="shared" si="23"/>
        <v>,`BFR_MIN_QTY10`</v>
      </c>
      <c r="BY131" t="s">
        <v>223</v>
      </c>
      <c r="BZ131" s="82" t="str">
        <f t="shared" si="24"/>
        <v>,`BFR_MIN_QTY10`</v>
      </c>
      <c r="CA131" t="s">
        <v>223</v>
      </c>
    </row>
    <row r="132" spans="1:79" ht="15" customHeight="1">
      <c r="A132" s="84" t="s">
        <v>592</v>
      </c>
      <c r="B132" s="71">
        <v>9</v>
      </c>
      <c r="C132" s="72"/>
      <c r="D132" s="73" t="s">
        <v>898</v>
      </c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73" t="s">
        <v>1039</v>
      </c>
      <c r="S132" s="74"/>
      <c r="T132" s="74"/>
      <c r="U132" s="74"/>
      <c r="V132" s="74"/>
      <c r="W132" s="74"/>
      <c r="X132" s="74"/>
      <c r="Y132" s="74"/>
      <c r="Z132" s="74"/>
      <c r="AA132" s="74"/>
      <c r="AB132" s="75"/>
      <c r="AC132" s="251" t="str" cm="1">
        <f t="array" ref="AC132">_xlfn.SWITCH(BM132,"String","varchar("&amp;BN132&amp;")","Long","int","Integer","smallint","Double","decimal(9,2)","Currency","int")</f>
        <v>int</v>
      </c>
      <c r="AD132" s="252"/>
      <c r="AE132" s="252"/>
      <c r="AF132" s="252"/>
      <c r="AG132" s="253"/>
      <c r="AH132" s="73"/>
      <c r="AI132" s="75"/>
      <c r="AJ132" s="73"/>
      <c r="AK132" s="74"/>
      <c r="AL132" s="75"/>
      <c r="AM132" s="73"/>
      <c r="AN132" s="74"/>
      <c r="AO132" s="74"/>
      <c r="AP132" s="74"/>
      <c r="AQ132" s="74"/>
      <c r="AR132" s="74"/>
      <c r="AS132" s="75"/>
      <c r="AT132" s="73" t="s">
        <v>464</v>
      </c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5"/>
      <c r="BK132" s="4"/>
      <c r="BM132" t="s">
        <v>453</v>
      </c>
      <c r="BP132" t="str">
        <f t="shared" si="19"/>
        <v>,`BFR_MIN_AMT10` int  COMMENT '事前成立価格１０'</v>
      </c>
      <c r="BQ132" t="s">
        <v>223</v>
      </c>
      <c r="BR132" t="str">
        <f t="shared" si="20"/>
        <v xml:space="preserve">,`BFR_MIN_AMT10` int </v>
      </c>
      <c r="BS132" t="s">
        <v>223</v>
      </c>
      <c r="BT132" t="str">
        <f t="shared" si="21"/>
        <v>,`BFR_MIN_AMT10`</v>
      </c>
      <c r="BU132" t="s">
        <v>223</v>
      </c>
      <c r="BV132" s="82" t="str">
        <f t="shared" si="22"/>
        <v>,A.`BFR_MIN_AMT10` = B.`BFR_MIN_AMT10`</v>
      </c>
      <c r="BW132" t="s">
        <v>223</v>
      </c>
      <c r="BX132" s="82" t="str">
        <f t="shared" si="23"/>
        <v>,`BFR_MIN_AMT10`</v>
      </c>
      <c r="BY132" t="s">
        <v>223</v>
      </c>
      <c r="BZ132" s="82" t="str">
        <f t="shared" si="24"/>
        <v>,`BFR_MIN_AMT10`</v>
      </c>
      <c r="CA132" t="s">
        <v>223</v>
      </c>
    </row>
    <row r="133" spans="1:79" ht="15" customHeight="1">
      <c r="A133" s="84" t="s">
        <v>593</v>
      </c>
      <c r="B133" s="71">
        <v>9</v>
      </c>
      <c r="C133" s="72"/>
      <c r="D133" s="73" t="s">
        <v>899</v>
      </c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5"/>
      <c r="R133" s="73" t="s">
        <v>1040</v>
      </c>
      <c r="S133" s="74"/>
      <c r="T133" s="74"/>
      <c r="U133" s="74"/>
      <c r="V133" s="74"/>
      <c r="W133" s="74"/>
      <c r="X133" s="74"/>
      <c r="Y133" s="74"/>
      <c r="Z133" s="74"/>
      <c r="AA133" s="74"/>
      <c r="AB133" s="75"/>
      <c r="AC133" s="251" t="str" cm="1">
        <f t="array" ref="AC133">_xlfn.SWITCH(BM133,"String","varchar("&amp;BN133&amp;")","Long","int","Integer","smallint","Double","decimal(9,2)","Currency","int")</f>
        <v>varchar(8)</v>
      </c>
      <c r="AD133" s="252"/>
      <c r="AE133" s="252"/>
      <c r="AF133" s="252"/>
      <c r="AG133" s="253"/>
      <c r="AH133" s="73"/>
      <c r="AI133" s="75"/>
      <c r="AJ133" s="73"/>
      <c r="AK133" s="74"/>
      <c r="AL133" s="75"/>
      <c r="AM133" s="73"/>
      <c r="AN133" s="74"/>
      <c r="AO133" s="74"/>
      <c r="AP133" s="74"/>
      <c r="AQ133" s="74"/>
      <c r="AR133" s="74"/>
      <c r="AS133" s="75"/>
      <c r="AT133" s="73" t="s">
        <v>719</v>
      </c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5"/>
      <c r="BK133" s="4"/>
      <c r="BM133" t="s">
        <v>449</v>
      </c>
      <c r="BN133">
        <v>8</v>
      </c>
      <c r="BP133" t="str">
        <f t="shared" si="19"/>
        <v>,`AFT_PRCTICE_END_TM` varchar(8)  COMMENT '継続組合せ終了日'</v>
      </c>
      <c r="BQ133" t="s">
        <v>223</v>
      </c>
      <c r="BR133" t="str">
        <f t="shared" si="20"/>
        <v xml:space="preserve">,`AFT_PRCTICE_END_TM` varchar(8) </v>
      </c>
      <c r="BS133" t="s">
        <v>223</v>
      </c>
      <c r="BT133" t="str">
        <f t="shared" si="21"/>
        <v>,`AFT_PRCTICE_END_TM`</v>
      </c>
      <c r="BU133" t="s">
        <v>223</v>
      </c>
      <c r="BV133" s="82" t="str">
        <f t="shared" si="22"/>
        <v>,A.`AFT_PRCTICE_END_TM` = B.`AFT_PRCTICE_END_TM`</v>
      </c>
      <c r="BW133" t="s">
        <v>223</v>
      </c>
      <c r="BX133" s="82" t="str">
        <f t="shared" si="23"/>
        <v>,`AFT_PRCTICE_END_TM`</v>
      </c>
      <c r="BY133" t="s">
        <v>223</v>
      </c>
      <c r="BZ133" s="82" t="str">
        <f t="shared" si="24"/>
        <v>,`AFT_PRCTICE_END_TM`</v>
      </c>
      <c r="CA133" t="s">
        <v>223</v>
      </c>
    </row>
    <row r="134" spans="1:79" ht="15" customHeight="1">
      <c r="A134" s="84" t="s">
        <v>594</v>
      </c>
      <c r="B134" s="71">
        <v>9</v>
      </c>
      <c r="C134" s="72"/>
      <c r="D134" s="73" t="s">
        <v>900</v>
      </c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5"/>
      <c r="R134" s="73" t="s">
        <v>1041</v>
      </c>
      <c r="S134" s="74"/>
      <c r="T134" s="74"/>
      <c r="U134" s="74"/>
      <c r="V134" s="74"/>
      <c r="W134" s="74"/>
      <c r="X134" s="74"/>
      <c r="Y134" s="74"/>
      <c r="Z134" s="74"/>
      <c r="AA134" s="74"/>
      <c r="AB134" s="75"/>
      <c r="AC134" s="251" t="str" cm="1">
        <f t="array" ref="AC134">_xlfn.SWITCH(BM134,"String","varchar("&amp;BN134&amp;")","Long","int","Integer","smallint","Double","decimal(9,2)","Currency","int")</f>
        <v>smallint</v>
      </c>
      <c r="AD134" s="252"/>
      <c r="AE134" s="252"/>
      <c r="AF134" s="252"/>
      <c r="AG134" s="253"/>
      <c r="AH134" s="73"/>
      <c r="AI134" s="75"/>
      <c r="AJ134" s="73"/>
      <c r="AK134" s="74"/>
      <c r="AL134" s="75"/>
      <c r="AM134" s="73"/>
      <c r="AN134" s="74"/>
      <c r="AO134" s="74"/>
      <c r="AP134" s="74"/>
      <c r="AQ134" s="74"/>
      <c r="AR134" s="74"/>
      <c r="AS134" s="75"/>
      <c r="AT134" s="73" t="s">
        <v>464</v>
      </c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5"/>
      <c r="BK134" s="4"/>
      <c r="BM134" t="s">
        <v>451</v>
      </c>
      <c r="BP134" t="str">
        <f t="shared" si="19"/>
        <v>,`AFT_DISC_MTHD1` smallint  COMMENT '継続割引タイプ１'</v>
      </c>
      <c r="BQ134" t="s">
        <v>223</v>
      </c>
      <c r="BR134" t="str">
        <f t="shared" si="20"/>
        <v xml:space="preserve">,`AFT_DISC_MTHD1` smallint </v>
      </c>
      <c r="BS134" t="s">
        <v>223</v>
      </c>
      <c r="BT134" t="str">
        <f t="shared" si="21"/>
        <v>,`AFT_DISC_MTHD1`</v>
      </c>
      <c r="BU134" t="s">
        <v>223</v>
      </c>
      <c r="BV134" s="82" t="str">
        <f t="shared" si="22"/>
        <v>,A.`AFT_DISC_MTHD1` = B.`AFT_DISC_MTHD1`</v>
      </c>
      <c r="BW134" t="s">
        <v>223</v>
      </c>
      <c r="BX134" s="82" t="str">
        <f t="shared" si="23"/>
        <v>,`AFT_DISC_MTHD1`</v>
      </c>
      <c r="BY134" t="s">
        <v>223</v>
      </c>
      <c r="BZ134" s="82" t="str">
        <f t="shared" si="24"/>
        <v>,`AFT_DISC_MTHD1`</v>
      </c>
      <c r="CA134" t="s">
        <v>223</v>
      </c>
    </row>
    <row r="135" spans="1:79" ht="15" customHeight="1">
      <c r="A135" s="84" t="s">
        <v>595</v>
      </c>
      <c r="B135" s="71">
        <v>9</v>
      </c>
      <c r="C135" s="72"/>
      <c r="D135" s="73" t="s">
        <v>901</v>
      </c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5"/>
      <c r="R135" s="73" t="s">
        <v>1042</v>
      </c>
      <c r="S135" s="74"/>
      <c r="T135" s="74"/>
      <c r="U135" s="74"/>
      <c r="V135" s="74"/>
      <c r="W135" s="74"/>
      <c r="X135" s="74"/>
      <c r="Y135" s="74"/>
      <c r="Z135" s="74"/>
      <c r="AA135" s="74"/>
      <c r="AB135" s="75"/>
      <c r="AC135" s="251" t="str" cm="1">
        <f t="array" ref="AC135">_xlfn.SWITCH(BM135,"String","varchar("&amp;BN135&amp;")","Long","int","Integer","smallint","Double","decimal(9,2)","Currency","int")</f>
        <v>decimal(9,2)</v>
      </c>
      <c r="AD135" s="252"/>
      <c r="AE135" s="252"/>
      <c r="AF135" s="252"/>
      <c r="AG135" s="253"/>
      <c r="AH135" s="73"/>
      <c r="AI135" s="75"/>
      <c r="AJ135" s="73"/>
      <c r="AK135" s="74"/>
      <c r="AL135" s="75"/>
      <c r="AM135" s="73"/>
      <c r="AN135" s="74"/>
      <c r="AO135" s="74"/>
      <c r="AP135" s="74"/>
      <c r="AQ135" s="74"/>
      <c r="AR135" s="74"/>
      <c r="AS135" s="75"/>
      <c r="AT135" s="73" t="s">
        <v>464</v>
      </c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5"/>
      <c r="BK135" s="4"/>
      <c r="BM135" t="s">
        <v>452</v>
      </c>
      <c r="BP135" t="str">
        <f t="shared" si="19"/>
        <v>,`AFT_DISC_VALUE1` decimal(9,2)  COMMENT '継続特売価格１'</v>
      </c>
      <c r="BQ135" t="s">
        <v>223</v>
      </c>
      <c r="BR135" t="str">
        <f t="shared" si="20"/>
        <v xml:space="preserve">,`AFT_DISC_VALUE1` decimal(9,2) </v>
      </c>
      <c r="BS135" t="s">
        <v>223</v>
      </c>
      <c r="BT135" t="str">
        <f t="shared" si="21"/>
        <v>,`AFT_DISC_VALUE1`</v>
      </c>
      <c r="BU135" t="s">
        <v>223</v>
      </c>
      <c r="BV135" s="82" t="str">
        <f t="shared" si="22"/>
        <v>,A.`AFT_DISC_VALUE1` = B.`AFT_DISC_VALUE1`</v>
      </c>
      <c r="BW135" t="s">
        <v>223</v>
      </c>
      <c r="BX135" s="82" t="str">
        <f t="shared" si="23"/>
        <v>,`AFT_DISC_VALUE1`</v>
      </c>
      <c r="BY135" t="s">
        <v>223</v>
      </c>
      <c r="BZ135" s="82" t="str">
        <f t="shared" si="24"/>
        <v>,`AFT_DISC_VALUE1`</v>
      </c>
      <c r="CA135" t="s">
        <v>223</v>
      </c>
    </row>
    <row r="136" spans="1:79" ht="15" customHeight="1">
      <c r="A136" s="84" t="s">
        <v>596</v>
      </c>
      <c r="B136" s="71">
        <v>9</v>
      </c>
      <c r="C136" s="72"/>
      <c r="D136" s="73" t="s">
        <v>902</v>
      </c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5"/>
      <c r="R136" s="73" t="s">
        <v>1043</v>
      </c>
      <c r="S136" s="74"/>
      <c r="T136" s="74"/>
      <c r="U136" s="74"/>
      <c r="V136" s="74"/>
      <c r="W136" s="74"/>
      <c r="X136" s="74"/>
      <c r="Y136" s="74"/>
      <c r="Z136" s="74"/>
      <c r="AA136" s="74"/>
      <c r="AB136" s="75"/>
      <c r="AC136" s="251" t="str" cm="1">
        <f t="array" ref="AC136">_xlfn.SWITCH(BM136,"String","varchar("&amp;BN136&amp;")","Long","int","Integer","smallint","Double","decimal(9,2)","Currency","int")</f>
        <v>decimal(9,2)</v>
      </c>
      <c r="AD136" s="252"/>
      <c r="AE136" s="252"/>
      <c r="AF136" s="252"/>
      <c r="AG136" s="253"/>
      <c r="AH136" s="73"/>
      <c r="AI136" s="75"/>
      <c r="AJ136" s="73"/>
      <c r="AK136" s="74"/>
      <c r="AL136" s="75"/>
      <c r="AM136" s="73"/>
      <c r="AN136" s="74"/>
      <c r="AO136" s="74"/>
      <c r="AP136" s="74"/>
      <c r="AQ136" s="74"/>
      <c r="AR136" s="74"/>
      <c r="AS136" s="75"/>
      <c r="AT136" s="73" t="s">
        <v>464</v>
      </c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5"/>
      <c r="BK136" s="4"/>
      <c r="BM136" t="s">
        <v>452</v>
      </c>
      <c r="BP136" t="str">
        <f t="shared" si="19"/>
        <v>,`AFT_MIN_QTY1` decimal(9,2)  COMMENT '継続成立数量１'</v>
      </c>
      <c r="BQ136" t="s">
        <v>223</v>
      </c>
      <c r="BR136" t="str">
        <f t="shared" si="20"/>
        <v xml:space="preserve">,`AFT_MIN_QTY1` decimal(9,2) </v>
      </c>
      <c r="BS136" t="s">
        <v>223</v>
      </c>
      <c r="BT136" t="str">
        <f t="shared" si="21"/>
        <v>,`AFT_MIN_QTY1`</v>
      </c>
      <c r="BU136" t="s">
        <v>223</v>
      </c>
      <c r="BV136" s="82" t="str">
        <f t="shared" si="22"/>
        <v>,A.`AFT_MIN_QTY1` = B.`AFT_MIN_QTY1`</v>
      </c>
      <c r="BW136" t="s">
        <v>223</v>
      </c>
      <c r="BX136" s="82" t="str">
        <f t="shared" si="23"/>
        <v>,`AFT_MIN_QTY1`</v>
      </c>
      <c r="BY136" t="s">
        <v>223</v>
      </c>
      <c r="BZ136" s="82" t="str">
        <f t="shared" si="24"/>
        <v>,`AFT_MIN_QTY1`</v>
      </c>
      <c r="CA136" t="s">
        <v>223</v>
      </c>
    </row>
    <row r="137" spans="1:79" ht="15" customHeight="1">
      <c r="A137" s="84" t="s">
        <v>597</v>
      </c>
      <c r="B137" s="71">
        <v>9</v>
      </c>
      <c r="C137" s="72"/>
      <c r="D137" s="73" t="s">
        <v>903</v>
      </c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5"/>
      <c r="R137" s="73" t="s">
        <v>1044</v>
      </c>
      <c r="S137" s="74"/>
      <c r="T137" s="74"/>
      <c r="U137" s="74"/>
      <c r="V137" s="74"/>
      <c r="W137" s="74"/>
      <c r="X137" s="74"/>
      <c r="Y137" s="74"/>
      <c r="Z137" s="74"/>
      <c r="AA137" s="74"/>
      <c r="AB137" s="75"/>
      <c r="AC137" s="251" t="str" cm="1">
        <f t="array" ref="AC137">_xlfn.SWITCH(BM137,"String","varchar("&amp;BN137&amp;")","Long","int","Integer","smallint","Double","decimal(9,2)","Currency","int")</f>
        <v>int</v>
      </c>
      <c r="AD137" s="252"/>
      <c r="AE137" s="252"/>
      <c r="AF137" s="252"/>
      <c r="AG137" s="253"/>
      <c r="AH137" s="73"/>
      <c r="AI137" s="75"/>
      <c r="AJ137" s="73"/>
      <c r="AK137" s="74"/>
      <c r="AL137" s="75"/>
      <c r="AM137" s="73"/>
      <c r="AN137" s="74"/>
      <c r="AO137" s="74"/>
      <c r="AP137" s="74"/>
      <c r="AQ137" s="74"/>
      <c r="AR137" s="74"/>
      <c r="AS137" s="75"/>
      <c r="AT137" s="73" t="s">
        <v>464</v>
      </c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5"/>
      <c r="BK137" s="4"/>
      <c r="BM137" t="s">
        <v>453</v>
      </c>
      <c r="BP137" t="str">
        <f t="shared" si="19"/>
        <v>,`AFT_MIN_AMT1` int  COMMENT '継続成立価格１'</v>
      </c>
      <c r="BQ137" t="s">
        <v>223</v>
      </c>
      <c r="BR137" t="str">
        <f t="shared" si="20"/>
        <v xml:space="preserve">,`AFT_MIN_AMT1` int </v>
      </c>
      <c r="BS137" t="s">
        <v>223</v>
      </c>
      <c r="BT137" t="str">
        <f t="shared" si="21"/>
        <v>,`AFT_MIN_AMT1`</v>
      </c>
      <c r="BU137" t="s">
        <v>223</v>
      </c>
      <c r="BV137" s="82" t="str">
        <f t="shared" si="22"/>
        <v>,A.`AFT_MIN_AMT1` = B.`AFT_MIN_AMT1`</v>
      </c>
      <c r="BW137" t="s">
        <v>223</v>
      </c>
      <c r="BX137" s="82" t="str">
        <f t="shared" si="23"/>
        <v>,`AFT_MIN_AMT1`</v>
      </c>
      <c r="BY137" t="s">
        <v>223</v>
      </c>
      <c r="BZ137" s="82" t="str">
        <f t="shared" si="24"/>
        <v>,`AFT_MIN_AMT1`</v>
      </c>
      <c r="CA137" t="s">
        <v>223</v>
      </c>
    </row>
    <row r="138" spans="1:79" ht="15" customHeight="1">
      <c r="A138" s="84" t="s">
        <v>598</v>
      </c>
      <c r="B138" s="71">
        <v>9</v>
      </c>
      <c r="C138" s="72"/>
      <c r="D138" s="73" t="s">
        <v>904</v>
      </c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5"/>
      <c r="R138" s="73" t="s">
        <v>1045</v>
      </c>
      <c r="S138" s="74"/>
      <c r="T138" s="74"/>
      <c r="U138" s="74"/>
      <c r="V138" s="74"/>
      <c r="W138" s="74"/>
      <c r="X138" s="74"/>
      <c r="Y138" s="74"/>
      <c r="Z138" s="74"/>
      <c r="AA138" s="74"/>
      <c r="AB138" s="75"/>
      <c r="AC138" s="251" t="str" cm="1">
        <f t="array" ref="AC138">_xlfn.SWITCH(BM138,"String","varchar("&amp;BN138&amp;")","Long","int","Integer","smallint","Double","decimal(9,2)","Currency","int")</f>
        <v>smallint</v>
      </c>
      <c r="AD138" s="252"/>
      <c r="AE138" s="252"/>
      <c r="AF138" s="252"/>
      <c r="AG138" s="253"/>
      <c r="AH138" s="73"/>
      <c r="AI138" s="75"/>
      <c r="AJ138" s="73"/>
      <c r="AK138" s="74"/>
      <c r="AL138" s="75"/>
      <c r="AM138" s="73"/>
      <c r="AN138" s="74"/>
      <c r="AO138" s="74"/>
      <c r="AP138" s="74"/>
      <c r="AQ138" s="74"/>
      <c r="AR138" s="74"/>
      <c r="AS138" s="75"/>
      <c r="AT138" s="73" t="s">
        <v>464</v>
      </c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5"/>
      <c r="BK138" s="4"/>
      <c r="BM138" t="s">
        <v>451</v>
      </c>
      <c r="BP138" t="str">
        <f t="shared" si="19"/>
        <v>,`AFT_DISC_MTHD2` smallint  COMMENT '継続割引タイプ２'</v>
      </c>
      <c r="BQ138" t="s">
        <v>223</v>
      </c>
      <c r="BR138" t="str">
        <f t="shared" si="20"/>
        <v xml:space="preserve">,`AFT_DISC_MTHD2` smallint </v>
      </c>
      <c r="BS138" t="s">
        <v>223</v>
      </c>
      <c r="BT138" t="str">
        <f t="shared" si="21"/>
        <v>,`AFT_DISC_MTHD2`</v>
      </c>
      <c r="BU138" t="s">
        <v>223</v>
      </c>
      <c r="BV138" s="82" t="str">
        <f t="shared" si="22"/>
        <v>,A.`AFT_DISC_MTHD2` = B.`AFT_DISC_MTHD2`</v>
      </c>
      <c r="BW138" t="s">
        <v>223</v>
      </c>
      <c r="BX138" s="82" t="str">
        <f t="shared" si="23"/>
        <v>,`AFT_DISC_MTHD2`</v>
      </c>
      <c r="BY138" t="s">
        <v>223</v>
      </c>
      <c r="BZ138" s="82" t="str">
        <f t="shared" si="24"/>
        <v>,`AFT_DISC_MTHD2`</v>
      </c>
      <c r="CA138" t="s">
        <v>223</v>
      </c>
    </row>
    <row r="139" spans="1:79" ht="15" customHeight="1">
      <c r="A139" s="84" t="s">
        <v>599</v>
      </c>
      <c r="B139" s="71">
        <v>9</v>
      </c>
      <c r="C139" s="72"/>
      <c r="D139" s="73" t="s">
        <v>905</v>
      </c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5"/>
      <c r="R139" s="73" t="s">
        <v>1046</v>
      </c>
      <c r="S139" s="74"/>
      <c r="T139" s="74"/>
      <c r="U139" s="74"/>
      <c r="V139" s="74"/>
      <c r="W139" s="74"/>
      <c r="X139" s="74"/>
      <c r="Y139" s="74"/>
      <c r="Z139" s="74"/>
      <c r="AA139" s="74"/>
      <c r="AB139" s="75"/>
      <c r="AC139" s="251" t="str" cm="1">
        <f t="array" ref="AC139">_xlfn.SWITCH(BM139,"String","varchar("&amp;BN139&amp;")","Long","int","Integer","smallint","Double","decimal(9,2)","Currency","int")</f>
        <v>decimal(9,2)</v>
      </c>
      <c r="AD139" s="252"/>
      <c r="AE139" s="252"/>
      <c r="AF139" s="252"/>
      <c r="AG139" s="253"/>
      <c r="AH139" s="73"/>
      <c r="AI139" s="75"/>
      <c r="AJ139" s="73"/>
      <c r="AK139" s="74"/>
      <c r="AL139" s="75"/>
      <c r="AM139" s="73"/>
      <c r="AN139" s="74"/>
      <c r="AO139" s="74"/>
      <c r="AP139" s="74"/>
      <c r="AQ139" s="74"/>
      <c r="AR139" s="74"/>
      <c r="AS139" s="75"/>
      <c r="AT139" s="73" t="s">
        <v>470</v>
      </c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5"/>
      <c r="BK139" s="4"/>
      <c r="BM139" t="s">
        <v>452</v>
      </c>
      <c r="BP139" t="str">
        <f t="shared" si="19"/>
        <v>,`AFT_DISC_VALUE2` decimal(9,2)  COMMENT '継続特売価格２'</v>
      </c>
      <c r="BQ139" t="s">
        <v>223</v>
      </c>
      <c r="BR139" t="str">
        <f t="shared" si="20"/>
        <v xml:space="preserve">,`AFT_DISC_VALUE2` decimal(9,2) </v>
      </c>
      <c r="BS139" t="s">
        <v>223</v>
      </c>
      <c r="BT139" t="str">
        <f t="shared" si="21"/>
        <v>,`AFT_DISC_VALUE2`</v>
      </c>
      <c r="BU139" t="s">
        <v>223</v>
      </c>
      <c r="BV139" s="82" t="str">
        <f t="shared" si="22"/>
        <v>,A.`AFT_DISC_VALUE2` = B.`AFT_DISC_VALUE2`</v>
      </c>
      <c r="BW139" t="s">
        <v>223</v>
      </c>
      <c r="BX139" s="82" t="str">
        <f t="shared" si="23"/>
        <v>,`AFT_DISC_VALUE2`</v>
      </c>
      <c r="BY139" t="s">
        <v>223</v>
      </c>
      <c r="BZ139" s="82" t="str">
        <f t="shared" si="24"/>
        <v>,`AFT_DISC_VALUE2`</v>
      </c>
      <c r="CA139" t="s">
        <v>223</v>
      </c>
    </row>
    <row r="140" spans="1:79" ht="15" customHeight="1">
      <c r="A140" s="84" t="s">
        <v>600</v>
      </c>
      <c r="B140" s="71">
        <v>9</v>
      </c>
      <c r="C140" s="72"/>
      <c r="D140" s="73" t="s">
        <v>906</v>
      </c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5"/>
      <c r="R140" s="73" t="s">
        <v>1047</v>
      </c>
      <c r="S140" s="74"/>
      <c r="T140" s="74"/>
      <c r="U140" s="74"/>
      <c r="V140" s="74"/>
      <c r="W140" s="74"/>
      <c r="X140" s="74"/>
      <c r="Y140" s="74"/>
      <c r="Z140" s="74"/>
      <c r="AA140" s="74"/>
      <c r="AB140" s="75"/>
      <c r="AC140" s="251" t="str" cm="1">
        <f t="array" ref="AC140">_xlfn.SWITCH(BM140,"String","varchar("&amp;BN140&amp;")","Long","int","Integer","smallint","Double","decimal(9,2)","Currency","int")</f>
        <v>decimal(9,2)</v>
      </c>
      <c r="AD140" s="252"/>
      <c r="AE140" s="252"/>
      <c r="AF140" s="252"/>
      <c r="AG140" s="253"/>
      <c r="AH140" s="73"/>
      <c r="AI140" s="75"/>
      <c r="AJ140" s="73"/>
      <c r="AK140" s="74"/>
      <c r="AL140" s="75"/>
      <c r="AM140" s="73"/>
      <c r="AN140" s="74"/>
      <c r="AO140" s="74"/>
      <c r="AP140" s="74"/>
      <c r="AQ140" s="74"/>
      <c r="AR140" s="74"/>
      <c r="AS140" s="75"/>
      <c r="AT140" s="73" t="s">
        <v>470</v>
      </c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5"/>
      <c r="BK140" s="4"/>
      <c r="BM140" t="s">
        <v>452</v>
      </c>
      <c r="BP140" t="str">
        <f t="shared" si="19"/>
        <v>,`AFT_MIN_QTY2` decimal(9,2)  COMMENT '継続成立数量２'</v>
      </c>
      <c r="BQ140" t="s">
        <v>223</v>
      </c>
      <c r="BR140" t="str">
        <f t="shared" si="20"/>
        <v xml:space="preserve">,`AFT_MIN_QTY2` decimal(9,2) </v>
      </c>
      <c r="BS140" t="s">
        <v>223</v>
      </c>
      <c r="BT140" t="str">
        <f t="shared" si="21"/>
        <v>,`AFT_MIN_QTY2`</v>
      </c>
      <c r="BU140" t="s">
        <v>223</v>
      </c>
      <c r="BV140" s="82" t="str">
        <f t="shared" si="22"/>
        <v>,A.`AFT_MIN_QTY2` = B.`AFT_MIN_QTY2`</v>
      </c>
      <c r="BW140" t="s">
        <v>223</v>
      </c>
      <c r="BX140" s="82" t="str">
        <f t="shared" si="23"/>
        <v>,`AFT_MIN_QTY2`</v>
      </c>
      <c r="BY140" t="s">
        <v>223</v>
      </c>
      <c r="BZ140" s="82" t="str">
        <f t="shared" si="24"/>
        <v>,`AFT_MIN_QTY2`</v>
      </c>
      <c r="CA140" t="s">
        <v>223</v>
      </c>
    </row>
    <row r="141" spans="1:79" ht="15" customHeight="1">
      <c r="A141" s="84" t="s">
        <v>601</v>
      </c>
      <c r="B141" s="71">
        <v>9</v>
      </c>
      <c r="C141" s="72"/>
      <c r="D141" s="73" t="s">
        <v>907</v>
      </c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5"/>
      <c r="R141" s="73" t="s">
        <v>1048</v>
      </c>
      <c r="S141" s="74"/>
      <c r="T141" s="74"/>
      <c r="U141" s="74"/>
      <c r="V141" s="74"/>
      <c r="W141" s="74"/>
      <c r="X141" s="74"/>
      <c r="Y141" s="74"/>
      <c r="Z141" s="74"/>
      <c r="AA141" s="74"/>
      <c r="AB141" s="75"/>
      <c r="AC141" s="251" t="str" cm="1">
        <f t="array" ref="AC141">_xlfn.SWITCH(BM141,"String","varchar("&amp;BN141&amp;")","Long","int","Integer","smallint","Double","decimal(9,2)","Currency","int")</f>
        <v>int</v>
      </c>
      <c r="AD141" s="252"/>
      <c r="AE141" s="252"/>
      <c r="AF141" s="252"/>
      <c r="AG141" s="253"/>
      <c r="AH141" s="73"/>
      <c r="AI141" s="75"/>
      <c r="AJ141" s="73"/>
      <c r="AK141" s="74"/>
      <c r="AL141" s="75"/>
      <c r="AM141" s="73"/>
      <c r="AN141" s="74"/>
      <c r="AO141" s="74"/>
      <c r="AP141" s="74"/>
      <c r="AQ141" s="74"/>
      <c r="AR141" s="74"/>
      <c r="AS141" s="75"/>
      <c r="AT141" s="73" t="s">
        <v>470</v>
      </c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5"/>
      <c r="BK141" s="4"/>
      <c r="BM141" t="s">
        <v>453</v>
      </c>
      <c r="BP141" t="str">
        <f t="shared" si="19"/>
        <v>,`AFT_MIN_AMT2` int  COMMENT '継続成立価格2'</v>
      </c>
      <c r="BQ141" t="s">
        <v>223</v>
      </c>
      <c r="BR141" t="str">
        <f t="shared" si="20"/>
        <v xml:space="preserve">,`AFT_MIN_AMT2` int </v>
      </c>
      <c r="BS141" t="s">
        <v>223</v>
      </c>
      <c r="BT141" t="str">
        <f t="shared" si="21"/>
        <v>,`AFT_MIN_AMT2`</v>
      </c>
      <c r="BU141" t="s">
        <v>223</v>
      </c>
      <c r="BV141" s="82" t="str">
        <f t="shared" si="22"/>
        <v>,A.`AFT_MIN_AMT2` = B.`AFT_MIN_AMT2`</v>
      </c>
      <c r="BW141" t="s">
        <v>223</v>
      </c>
      <c r="BX141" s="82" t="str">
        <f t="shared" si="23"/>
        <v>,`AFT_MIN_AMT2`</v>
      </c>
      <c r="BY141" t="s">
        <v>223</v>
      </c>
      <c r="BZ141" s="82" t="str">
        <f t="shared" si="24"/>
        <v>,`AFT_MIN_AMT2`</v>
      </c>
      <c r="CA141" t="s">
        <v>223</v>
      </c>
    </row>
    <row r="142" spans="1:79" ht="15" customHeight="1">
      <c r="A142" s="84" t="s">
        <v>602</v>
      </c>
      <c r="B142" s="71">
        <v>9</v>
      </c>
      <c r="C142" s="72"/>
      <c r="D142" s="73" t="s">
        <v>908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5"/>
      <c r="R142" s="73" t="s">
        <v>1049</v>
      </c>
      <c r="S142" s="74"/>
      <c r="T142" s="74"/>
      <c r="U142" s="74"/>
      <c r="V142" s="74"/>
      <c r="W142" s="74"/>
      <c r="X142" s="74"/>
      <c r="Y142" s="74"/>
      <c r="Z142" s="74"/>
      <c r="AA142" s="74"/>
      <c r="AB142" s="75"/>
      <c r="AC142" s="251" t="str" cm="1">
        <f t="array" ref="AC142">_xlfn.SWITCH(BM142,"String","varchar("&amp;BN142&amp;")","Long","int","Integer","smallint","Double","decimal(9,2)","Currency","int")</f>
        <v>smallint</v>
      </c>
      <c r="AD142" s="252"/>
      <c r="AE142" s="252"/>
      <c r="AF142" s="252"/>
      <c r="AG142" s="253"/>
      <c r="AH142" s="73"/>
      <c r="AI142" s="75"/>
      <c r="AJ142" s="73"/>
      <c r="AK142" s="74"/>
      <c r="AL142" s="75"/>
      <c r="AM142" s="73"/>
      <c r="AN142" s="74"/>
      <c r="AO142" s="74"/>
      <c r="AP142" s="74"/>
      <c r="AQ142" s="74"/>
      <c r="AR142" s="74"/>
      <c r="AS142" s="75"/>
      <c r="AT142" s="73" t="s">
        <v>470</v>
      </c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5"/>
      <c r="BK142" s="4"/>
      <c r="BM142" t="s">
        <v>451</v>
      </c>
      <c r="BP142" t="str">
        <f t="shared" si="19"/>
        <v>,`AFT_DISC_MTHD3` smallint  COMMENT '継続割引タイプ３'</v>
      </c>
      <c r="BQ142" t="s">
        <v>223</v>
      </c>
      <c r="BR142" t="str">
        <f t="shared" si="20"/>
        <v xml:space="preserve">,`AFT_DISC_MTHD3` smallint </v>
      </c>
      <c r="BS142" t="s">
        <v>223</v>
      </c>
      <c r="BT142" t="str">
        <f t="shared" si="21"/>
        <v>,`AFT_DISC_MTHD3`</v>
      </c>
      <c r="BU142" t="s">
        <v>223</v>
      </c>
      <c r="BV142" s="82" t="str">
        <f t="shared" si="22"/>
        <v>,A.`AFT_DISC_MTHD3` = B.`AFT_DISC_MTHD3`</v>
      </c>
      <c r="BW142" t="s">
        <v>223</v>
      </c>
      <c r="BX142" s="82" t="str">
        <f t="shared" si="23"/>
        <v>,`AFT_DISC_MTHD3`</v>
      </c>
      <c r="BY142" t="s">
        <v>223</v>
      </c>
      <c r="BZ142" s="82" t="str">
        <f t="shared" si="24"/>
        <v>,`AFT_DISC_MTHD3`</v>
      </c>
      <c r="CA142" t="s">
        <v>223</v>
      </c>
    </row>
    <row r="143" spans="1:79" ht="15" customHeight="1">
      <c r="A143" s="84" t="s">
        <v>603</v>
      </c>
      <c r="B143" s="71">
        <v>9</v>
      </c>
      <c r="C143" s="72"/>
      <c r="D143" s="73" t="s">
        <v>909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5"/>
      <c r="R143" s="73" t="s">
        <v>1050</v>
      </c>
      <c r="S143" s="74"/>
      <c r="T143" s="74"/>
      <c r="U143" s="74"/>
      <c r="V143" s="74"/>
      <c r="W143" s="74"/>
      <c r="X143" s="74"/>
      <c r="Y143" s="74"/>
      <c r="Z143" s="74"/>
      <c r="AA143" s="74"/>
      <c r="AB143" s="75"/>
      <c r="AC143" s="251" t="str" cm="1">
        <f t="array" ref="AC143">_xlfn.SWITCH(BM143,"String","varchar("&amp;BN143&amp;")","Long","int","Integer","smallint","Double","decimal(9,2)","Currency","int")</f>
        <v>decimal(9,2)</v>
      </c>
      <c r="AD143" s="252"/>
      <c r="AE143" s="252"/>
      <c r="AF143" s="252"/>
      <c r="AG143" s="253"/>
      <c r="AH143" s="73"/>
      <c r="AI143" s="75"/>
      <c r="AJ143" s="73"/>
      <c r="AK143" s="74"/>
      <c r="AL143" s="75"/>
      <c r="AM143" s="73"/>
      <c r="AN143" s="74"/>
      <c r="AO143" s="74"/>
      <c r="AP143" s="74"/>
      <c r="AQ143" s="74"/>
      <c r="AR143" s="74"/>
      <c r="AS143" s="75"/>
      <c r="AT143" s="73" t="s">
        <v>464</v>
      </c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5"/>
      <c r="BK143" s="4"/>
      <c r="BM143" t="s">
        <v>452</v>
      </c>
      <c r="BP143" t="str">
        <f t="shared" si="19"/>
        <v>,`AFT_DISC_VALUE3` decimal(9,2)  COMMENT '継続特売価格３'</v>
      </c>
      <c r="BQ143" t="s">
        <v>223</v>
      </c>
      <c r="BR143" t="str">
        <f t="shared" si="20"/>
        <v xml:space="preserve">,`AFT_DISC_VALUE3` decimal(9,2) </v>
      </c>
      <c r="BS143" t="s">
        <v>223</v>
      </c>
      <c r="BT143" t="str">
        <f t="shared" si="21"/>
        <v>,`AFT_DISC_VALUE3`</v>
      </c>
      <c r="BU143" t="s">
        <v>223</v>
      </c>
      <c r="BV143" s="82" t="str">
        <f t="shared" si="22"/>
        <v>,A.`AFT_DISC_VALUE3` = B.`AFT_DISC_VALUE3`</v>
      </c>
      <c r="BW143" t="s">
        <v>223</v>
      </c>
      <c r="BX143" s="82" t="str">
        <f t="shared" si="23"/>
        <v>,`AFT_DISC_VALUE3`</v>
      </c>
      <c r="BY143" t="s">
        <v>223</v>
      </c>
      <c r="BZ143" s="82" t="str">
        <f t="shared" si="24"/>
        <v>,`AFT_DISC_VALUE3`</v>
      </c>
      <c r="CA143" t="s">
        <v>223</v>
      </c>
    </row>
    <row r="144" spans="1:79" ht="15" customHeight="1">
      <c r="A144" s="84" t="s">
        <v>604</v>
      </c>
      <c r="B144" s="71">
        <v>9</v>
      </c>
      <c r="C144" s="72"/>
      <c r="D144" s="73" t="s">
        <v>910</v>
      </c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5"/>
      <c r="R144" s="73" t="s">
        <v>1051</v>
      </c>
      <c r="S144" s="74"/>
      <c r="T144" s="74"/>
      <c r="U144" s="74"/>
      <c r="V144" s="74"/>
      <c r="W144" s="74"/>
      <c r="X144" s="74"/>
      <c r="Y144" s="74"/>
      <c r="Z144" s="74"/>
      <c r="AA144" s="74"/>
      <c r="AB144" s="75"/>
      <c r="AC144" s="251" t="str" cm="1">
        <f t="array" ref="AC144">_xlfn.SWITCH(BM144,"String","varchar("&amp;BN144&amp;")","Long","int","Integer","smallint","Double","decimal(9,2)","Currency","int")</f>
        <v>decimal(9,2)</v>
      </c>
      <c r="AD144" s="252"/>
      <c r="AE144" s="252"/>
      <c r="AF144" s="252"/>
      <c r="AG144" s="253"/>
      <c r="AH144" s="73"/>
      <c r="AI144" s="75"/>
      <c r="AJ144" s="73"/>
      <c r="AK144" s="74"/>
      <c r="AL144" s="75"/>
      <c r="AM144" s="73"/>
      <c r="AN144" s="74"/>
      <c r="AO144" s="74"/>
      <c r="AP144" s="74"/>
      <c r="AQ144" s="74"/>
      <c r="AR144" s="74"/>
      <c r="AS144" s="75"/>
      <c r="AT144" s="73" t="s">
        <v>464</v>
      </c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5"/>
      <c r="BK144" s="4"/>
      <c r="BM144" t="s">
        <v>452</v>
      </c>
      <c r="BP144" t="str">
        <f t="shared" si="19"/>
        <v>,`AFT_MIN_QTY3` decimal(9,2)  COMMENT '継続成立数量3'</v>
      </c>
      <c r="BQ144" t="s">
        <v>223</v>
      </c>
      <c r="BR144" t="str">
        <f t="shared" si="20"/>
        <v xml:space="preserve">,`AFT_MIN_QTY3` decimal(9,2) </v>
      </c>
      <c r="BS144" t="s">
        <v>223</v>
      </c>
      <c r="BT144" t="str">
        <f t="shared" si="21"/>
        <v>,`AFT_MIN_QTY3`</v>
      </c>
      <c r="BU144" t="s">
        <v>223</v>
      </c>
      <c r="BV144" s="82" t="str">
        <f t="shared" si="22"/>
        <v>,A.`AFT_MIN_QTY3` = B.`AFT_MIN_QTY3`</v>
      </c>
      <c r="BW144" t="s">
        <v>223</v>
      </c>
      <c r="BX144" s="82" t="str">
        <f t="shared" si="23"/>
        <v>,`AFT_MIN_QTY3`</v>
      </c>
      <c r="BY144" t="s">
        <v>223</v>
      </c>
      <c r="BZ144" s="82" t="str">
        <f t="shared" si="24"/>
        <v>,`AFT_MIN_QTY3`</v>
      </c>
      <c r="CA144" t="s">
        <v>223</v>
      </c>
    </row>
    <row r="145" spans="1:79" ht="15" customHeight="1">
      <c r="A145" s="84" t="s">
        <v>605</v>
      </c>
      <c r="B145" s="71">
        <v>9</v>
      </c>
      <c r="C145" s="72"/>
      <c r="D145" s="73" t="s">
        <v>911</v>
      </c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5"/>
      <c r="R145" s="73" t="s">
        <v>1052</v>
      </c>
      <c r="S145" s="74"/>
      <c r="T145" s="74"/>
      <c r="U145" s="74"/>
      <c r="V145" s="74"/>
      <c r="W145" s="74"/>
      <c r="X145" s="74"/>
      <c r="Y145" s="74"/>
      <c r="Z145" s="74"/>
      <c r="AA145" s="74"/>
      <c r="AB145" s="75"/>
      <c r="AC145" s="251" t="str" cm="1">
        <f t="array" ref="AC145">_xlfn.SWITCH(BM145,"String","varchar("&amp;BN145&amp;")","Long","int","Integer","smallint","Double","decimal(9,2)","Currency","int")</f>
        <v>int</v>
      </c>
      <c r="AD145" s="252"/>
      <c r="AE145" s="252"/>
      <c r="AF145" s="252"/>
      <c r="AG145" s="253"/>
      <c r="AH145" s="73"/>
      <c r="AI145" s="75"/>
      <c r="AJ145" s="73"/>
      <c r="AK145" s="74"/>
      <c r="AL145" s="75"/>
      <c r="AM145" s="73"/>
      <c r="AN145" s="74"/>
      <c r="AO145" s="74"/>
      <c r="AP145" s="74"/>
      <c r="AQ145" s="74"/>
      <c r="AR145" s="74"/>
      <c r="AS145" s="75"/>
      <c r="AT145" s="73" t="s">
        <v>470</v>
      </c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5"/>
      <c r="BK145" s="4"/>
      <c r="BM145" t="s">
        <v>453</v>
      </c>
      <c r="BP145" t="str">
        <f t="shared" si="19"/>
        <v>,`AFT_MIN_AMT3` int  COMMENT '継続成立価格3'</v>
      </c>
      <c r="BQ145" t="s">
        <v>223</v>
      </c>
      <c r="BR145" t="str">
        <f t="shared" si="20"/>
        <v xml:space="preserve">,`AFT_MIN_AMT3` int </v>
      </c>
      <c r="BS145" t="s">
        <v>223</v>
      </c>
      <c r="BT145" t="str">
        <f t="shared" si="21"/>
        <v>,`AFT_MIN_AMT3`</v>
      </c>
      <c r="BU145" t="s">
        <v>223</v>
      </c>
      <c r="BV145" s="82" t="str">
        <f t="shared" si="22"/>
        <v>,A.`AFT_MIN_AMT3` = B.`AFT_MIN_AMT3`</v>
      </c>
      <c r="BW145" t="s">
        <v>223</v>
      </c>
      <c r="BX145" s="82" t="str">
        <f t="shared" si="23"/>
        <v>,`AFT_MIN_AMT3`</v>
      </c>
      <c r="BY145" t="s">
        <v>223</v>
      </c>
      <c r="BZ145" s="82" t="str">
        <f t="shared" si="24"/>
        <v>,`AFT_MIN_AMT3`</v>
      </c>
      <c r="CA145" t="s">
        <v>223</v>
      </c>
    </row>
    <row r="146" spans="1:79" ht="15" customHeight="1">
      <c r="A146" s="84" t="s">
        <v>606</v>
      </c>
      <c r="B146" s="71">
        <v>9</v>
      </c>
      <c r="C146" s="72"/>
      <c r="D146" s="73" t="s">
        <v>912</v>
      </c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5"/>
      <c r="R146" s="73" t="s">
        <v>1053</v>
      </c>
      <c r="S146" s="74"/>
      <c r="T146" s="74"/>
      <c r="U146" s="74"/>
      <c r="V146" s="74"/>
      <c r="W146" s="74"/>
      <c r="X146" s="74"/>
      <c r="Y146" s="74"/>
      <c r="Z146" s="74"/>
      <c r="AA146" s="74"/>
      <c r="AB146" s="75"/>
      <c r="AC146" s="251" t="str" cm="1">
        <f t="array" ref="AC146">_xlfn.SWITCH(BM146,"String","varchar("&amp;BN146&amp;")","Long","int","Integer","smallint","Double","decimal(9,2)","Currency","int")</f>
        <v>smallint</v>
      </c>
      <c r="AD146" s="252"/>
      <c r="AE146" s="252"/>
      <c r="AF146" s="252"/>
      <c r="AG146" s="253"/>
      <c r="AH146" s="73"/>
      <c r="AI146" s="75"/>
      <c r="AJ146" s="73"/>
      <c r="AK146" s="74"/>
      <c r="AL146" s="75"/>
      <c r="AM146" s="73"/>
      <c r="AN146" s="74"/>
      <c r="AO146" s="74"/>
      <c r="AP146" s="74"/>
      <c r="AQ146" s="74"/>
      <c r="AR146" s="74"/>
      <c r="AS146" s="75"/>
      <c r="AT146" s="73" t="s">
        <v>464</v>
      </c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5"/>
      <c r="BK146" s="4"/>
      <c r="BM146" t="s">
        <v>451</v>
      </c>
      <c r="BP146" t="str">
        <f t="shared" si="19"/>
        <v>,`AFT_DISC_MTHD4` smallint  COMMENT '継続割引タイプ４'</v>
      </c>
      <c r="BQ146" t="s">
        <v>223</v>
      </c>
      <c r="BR146" t="str">
        <f t="shared" si="20"/>
        <v xml:space="preserve">,`AFT_DISC_MTHD4` smallint </v>
      </c>
      <c r="BS146" t="s">
        <v>223</v>
      </c>
      <c r="BT146" t="str">
        <f t="shared" si="21"/>
        <v>,`AFT_DISC_MTHD4`</v>
      </c>
      <c r="BU146" t="s">
        <v>223</v>
      </c>
      <c r="BV146" s="82" t="str">
        <f t="shared" si="22"/>
        <v>,A.`AFT_DISC_MTHD4` = B.`AFT_DISC_MTHD4`</v>
      </c>
      <c r="BW146" t="s">
        <v>223</v>
      </c>
      <c r="BX146" s="82" t="str">
        <f t="shared" si="23"/>
        <v>,`AFT_DISC_MTHD4`</v>
      </c>
      <c r="BY146" t="s">
        <v>223</v>
      </c>
      <c r="BZ146" s="82" t="str">
        <f t="shared" si="24"/>
        <v>,`AFT_DISC_MTHD4`</v>
      </c>
      <c r="CA146" t="s">
        <v>223</v>
      </c>
    </row>
    <row r="147" spans="1:79" ht="15" customHeight="1">
      <c r="A147" s="84" t="s">
        <v>607</v>
      </c>
      <c r="B147" s="71">
        <v>9</v>
      </c>
      <c r="C147" s="72"/>
      <c r="D147" s="73" t="s">
        <v>913</v>
      </c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5"/>
      <c r="R147" s="73" t="s">
        <v>1054</v>
      </c>
      <c r="S147" s="74"/>
      <c r="T147" s="74"/>
      <c r="U147" s="74"/>
      <c r="V147" s="74"/>
      <c r="W147" s="74"/>
      <c r="X147" s="74"/>
      <c r="Y147" s="74"/>
      <c r="Z147" s="74"/>
      <c r="AA147" s="74"/>
      <c r="AB147" s="75"/>
      <c r="AC147" s="251" t="str" cm="1">
        <f t="array" ref="AC147">_xlfn.SWITCH(BM147,"String","varchar("&amp;BN147&amp;")","Long","int","Integer","smallint","Double","decimal(9,2)","Currency","int")</f>
        <v>decimal(9,2)</v>
      </c>
      <c r="AD147" s="252"/>
      <c r="AE147" s="252"/>
      <c r="AF147" s="252"/>
      <c r="AG147" s="253"/>
      <c r="AH147" s="73"/>
      <c r="AI147" s="75"/>
      <c r="AJ147" s="73"/>
      <c r="AK147" s="74"/>
      <c r="AL147" s="75"/>
      <c r="AM147" s="73"/>
      <c r="AN147" s="74"/>
      <c r="AO147" s="74"/>
      <c r="AP147" s="74"/>
      <c r="AQ147" s="74"/>
      <c r="AR147" s="74"/>
      <c r="AS147" s="75"/>
      <c r="AT147" s="73" t="s">
        <v>464</v>
      </c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5"/>
      <c r="BK147" s="4"/>
      <c r="BM147" t="s">
        <v>452</v>
      </c>
      <c r="BP147" t="str">
        <f t="shared" si="19"/>
        <v>,`AFT_DISC_VALUE4` decimal(9,2)  COMMENT '継続特売価格4'</v>
      </c>
      <c r="BQ147" t="s">
        <v>223</v>
      </c>
      <c r="BR147" t="str">
        <f t="shared" si="20"/>
        <v xml:space="preserve">,`AFT_DISC_VALUE4` decimal(9,2) </v>
      </c>
      <c r="BS147" t="s">
        <v>223</v>
      </c>
      <c r="BT147" t="str">
        <f t="shared" si="21"/>
        <v>,`AFT_DISC_VALUE4`</v>
      </c>
      <c r="BU147" t="s">
        <v>223</v>
      </c>
      <c r="BV147" s="82" t="str">
        <f t="shared" si="22"/>
        <v>,A.`AFT_DISC_VALUE4` = B.`AFT_DISC_VALUE4`</v>
      </c>
      <c r="BW147" t="s">
        <v>223</v>
      </c>
      <c r="BX147" s="82" t="str">
        <f t="shared" si="23"/>
        <v>,`AFT_DISC_VALUE4`</v>
      </c>
      <c r="BY147" t="s">
        <v>223</v>
      </c>
      <c r="BZ147" s="82" t="str">
        <f t="shared" si="24"/>
        <v>,`AFT_DISC_VALUE4`</v>
      </c>
      <c r="CA147" t="s">
        <v>223</v>
      </c>
    </row>
    <row r="148" spans="1:79" ht="15" customHeight="1">
      <c r="A148" s="84" t="s">
        <v>608</v>
      </c>
      <c r="B148" s="71">
        <v>9</v>
      </c>
      <c r="C148" s="72"/>
      <c r="D148" s="73" t="s">
        <v>914</v>
      </c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5"/>
      <c r="R148" s="73" t="s">
        <v>1055</v>
      </c>
      <c r="S148" s="74"/>
      <c r="T148" s="74"/>
      <c r="U148" s="74"/>
      <c r="V148" s="74"/>
      <c r="W148" s="74"/>
      <c r="X148" s="74"/>
      <c r="Y148" s="74"/>
      <c r="Z148" s="74"/>
      <c r="AA148" s="74"/>
      <c r="AB148" s="75"/>
      <c r="AC148" s="251" t="str" cm="1">
        <f t="array" ref="AC148">_xlfn.SWITCH(BM148,"String","varchar("&amp;BN148&amp;")","Long","int","Integer","smallint","Double","decimal(9,2)","Currency","int")</f>
        <v>decimal(9,2)</v>
      </c>
      <c r="AD148" s="252"/>
      <c r="AE148" s="252"/>
      <c r="AF148" s="252"/>
      <c r="AG148" s="253"/>
      <c r="AH148" s="73"/>
      <c r="AI148" s="75"/>
      <c r="AJ148" s="73"/>
      <c r="AK148" s="74"/>
      <c r="AL148" s="75"/>
      <c r="AM148" s="73"/>
      <c r="AN148" s="74"/>
      <c r="AO148" s="74"/>
      <c r="AP148" s="74"/>
      <c r="AQ148" s="74"/>
      <c r="AR148" s="74"/>
      <c r="AS148" s="75"/>
      <c r="AT148" s="73" t="s">
        <v>464</v>
      </c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5"/>
      <c r="BK148" s="4"/>
      <c r="BM148" t="s">
        <v>452</v>
      </c>
      <c r="BP148" t="str">
        <f t="shared" si="19"/>
        <v>,`AFT_MIN_QTY4` decimal(9,2)  COMMENT '継続成立数量4'</v>
      </c>
      <c r="BQ148" t="s">
        <v>223</v>
      </c>
      <c r="BR148" t="str">
        <f t="shared" si="20"/>
        <v xml:space="preserve">,`AFT_MIN_QTY4` decimal(9,2) </v>
      </c>
      <c r="BS148" t="s">
        <v>223</v>
      </c>
      <c r="BT148" t="str">
        <f t="shared" si="21"/>
        <v>,`AFT_MIN_QTY4`</v>
      </c>
      <c r="BU148" t="s">
        <v>223</v>
      </c>
      <c r="BV148" s="82" t="str">
        <f t="shared" si="22"/>
        <v>,A.`AFT_MIN_QTY4` = B.`AFT_MIN_QTY4`</v>
      </c>
      <c r="BW148" t="s">
        <v>223</v>
      </c>
      <c r="BX148" s="82" t="str">
        <f t="shared" si="23"/>
        <v>,`AFT_MIN_QTY4`</v>
      </c>
      <c r="BY148" t="s">
        <v>223</v>
      </c>
      <c r="BZ148" s="82" t="str">
        <f t="shared" si="24"/>
        <v>,`AFT_MIN_QTY4`</v>
      </c>
      <c r="CA148" t="s">
        <v>223</v>
      </c>
    </row>
    <row r="149" spans="1:79" ht="15" customHeight="1">
      <c r="A149" s="84" t="s">
        <v>609</v>
      </c>
      <c r="B149" s="71">
        <v>9</v>
      </c>
      <c r="C149" s="72"/>
      <c r="D149" s="73" t="s">
        <v>915</v>
      </c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5"/>
      <c r="R149" s="73" t="s">
        <v>1056</v>
      </c>
      <c r="S149" s="74"/>
      <c r="T149" s="74"/>
      <c r="U149" s="74"/>
      <c r="V149" s="74"/>
      <c r="W149" s="74"/>
      <c r="X149" s="74"/>
      <c r="Y149" s="74"/>
      <c r="Z149" s="74"/>
      <c r="AA149" s="74"/>
      <c r="AB149" s="75"/>
      <c r="AC149" s="251" t="str" cm="1">
        <f t="array" ref="AC149">_xlfn.SWITCH(BM149,"String","varchar("&amp;BN149&amp;")","Long","int","Integer","smallint","Double","decimal(9,2)","Currency","int")</f>
        <v>int</v>
      </c>
      <c r="AD149" s="252"/>
      <c r="AE149" s="252"/>
      <c r="AF149" s="252"/>
      <c r="AG149" s="253"/>
      <c r="AH149" s="73"/>
      <c r="AI149" s="75"/>
      <c r="AJ149" s="73"/>
      <c r="AK149" s="74"/>
      <c r="AL149" s="75"/>
      <c r="AM149" s="73"/>
      <c r="AN149" s="74"/>
      <c r="AO149" s="74"/>
      <c r="AP149" s="74"/>
      <c r="AQ149" s="74"/>
      <c r="AR149" s="74"/>
      <c r="AS149" s="75"/>
      <c r="AT149" s="73" t="s">
        <v>464</v>
      </c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5"/>
      <c r="BK149" s="4"/>
      <c r="BM149" t="s">
        <v>453</v>
      </c>
      <c r="BP149" t="str">
        <f t="shared" si="19"/>
        <v>,`AFT_MIN_AMT4` int  COMMENT '継続成立価格4'</v>
      </c>
      <c r="BQ149" t="s">
        <v>223</v>
      </c>
      <c r="BR149" t="str">
        <f t="shared" si="20"/>
        <v xml:space="preserve">,`AFT_MIN_AMT4` int </v>
      </c>
      <c r="BS149" t="s">
        <v>223</v>
      </c>
      <c r="BT149" t="str">
        <f t="shared" si="21"/>
        <v>,`AFT_MIN_AMT4`</v>
      </c>
      <c r="BU149" t="s">
        <v>223</v>
      </c>
      <c r="BV149" s="82" t="str">
        <f t="shared" si="22"/>
        <v>,A.`AFT_MIN_AMT4` = B.`AFT_MIN_AMT4`</v>
      </c>
      <c r="BW149" t="s">
        <v>223</v>
      </c>
      <c r="BX149" s="82" t="str">
        <f t="shared" si="23"/>
        <v>,`AFT_MIN_AMT4`</v>
      </c>
      <c r="BY149" t="s">
        <v>223</v>
      </c>
      <c r="BZ149" s="82" t="str">
        <f t="shared" si="24"/>
        <v>,`AFT_MIN_AMT4`</v>
      </c>
      <c r="CA149" t="s">
        <v>223</v>
      </c>
    </row>
    <row r="150" spans="1:79" ht="15" customHeight="1">
      <c r="A150" s="84" t="s">
        <v>610</v>
      </c>
      <c r="B150" s="71">
        <v>9</v>
      </c>
      <c r="C150" s="72"/>
      <c r="D150" s="73" t="s">
        <v>916</v>
      </c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5"/>
      <c r="R150" s="73" t="s">
        <v>1057</v>
      </c>
      <c r="S150" s="74"/>
      <c r="T150" s="74"/>
      <c r="U150" s="74"/>
      <c r="V150" s="74"/>
      <c r="W150" s="74"/>
      <c r="X150" s="74"/>
      <c r="Y150" s="74"/>
      <c r="Z150" s="74"/>
      <c r="AA150" s="74"/>
      <c r="AB150" s="75"/>
      <c r="AC150" s="251" t="str" cm="1">
        <f t="array" ref="AC150">_xlfn.SWITCH(BM150,"String","varchar("&amp;BN150&amp;")","Long","int","Integer","smallint","Double","decimal(9,2)","Currency","int")</f>
        <v>smallint</v>
      </c>
      <c r="AD150" s="252"/>
      <c r="AE150" s="252"/>
      <c r="AF150" s="252"/>
      <c r="AG150" s="253"/>
      <c r="AH150" s="73"/>
      <c r="AI150" s="75"/>
      <c r="AJ150" s="73"/>
      <c r="AK150" s="74"/>
      <c r="AL150" s="75"/>
      <c r="AM150" s="73"/>
      <c r="AN150" s="74"/>
      <c r="AO150" s="74"/>
      <c r="AP150" s="74"/>
      <c r="AQ150" s="74"/>
      <c r="AR150" s="74"/>
      <c r="AS150" s="75"/>
      <c r="AT150" s="73" t="s">
        <v>464</v>
      </c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5"/>
      <c r="BK150" s="4"/>
      <c r="BM150" t="s">
        <v>451</v>
      </c>
      <c r="BP150" t="str">
        <f t="shared" si="19"/>
        <v>,`AFT_DISC_MTHD5` smallint  COMMENT '継続割引タイプ5'</v>
      </c>
      <c r="BQ150" t="s">
        <v>223</v>
      </c>
      <c r="BR150" t="str">
        <f t="shared" si="20"/>
        <v xml:space="preserve">,`AFT_DISC_MTHD5` smallint </v>
      </c>
      <c r="BS150" t="s">
        <v>223</v>
      </c>
      <c r="BT150" t="str">
        <f t="shared" si="21"/>
        <v>,`AFT_DISC_MTHD5`</v>
      </c>
      <c r="BU150" t="s">
        <v>223</v>
      </c>
      <c r="BV150" s="82" t="str">
        <f t="shared" si="22"/>
        <v>,A.`AFT_DISC_MTHD5` = B.`AFT_DISC_MTHD5`</v>
      </c>
      <c r="BW150" t="s">
        <v>223</v>
      </c>
      <c r="BX150" s="82" t="str">
        <f t="shared" si="23"/>
        <v>,`AFT_DISC_MTHD5`</v>
      </c>
      <c r="BY150" t="s">
        <v>223</v>
      </c>
      <c r="BZ150" s="82" t="str">
        <f t="shared" si="24"/>
        <v>,`AFT_DISC_MTHD5`</v>
      </c>
      <c r="CA150" t="s">
        <v>223</v>
      </c>
    </row>
    <row r="151" spans="1:79" ht="15" customHeight="1">
      <c r="A151" s="84" t="s">
        <v>562</v>
      </c>
      <c r="B151" s="71">
        <v>9</v>
      </c>
      <c r="C151" s="72"/>
      <c r="D151" s="73" t="s">
        <v>917</v>
      </c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5"/>
      <c r="R151" s="73" t="s">
        <v>1058</v>
      </c>
      <c r="S151" s="74"/>
      <c r="T151" s="74"/>
      <c r="U151" s="74"/>
      <c r="V151" s="74"/>
      <c r="W151" s="74"/>
      <c r="X151" s="74"/>
      <c r="Y151" s="74"/>
      <c r="Z151" s="74"/>
      <c r="AA151" s="74"/>
      <c r="AB151" s="75"/>
      <c r="AC151" s="251" t="str" cm="1">
        <f t="array" ref="AC151">_xlfn.SWITCH(BM151,"String","varchar("&amp;BN151&amp;")","Long","int","Integer","smallint","Double","decimal(9,2)","Currency","int")</f>
        <v>decimal(9,2)</v>
      </c>
      <c r="AD151" s="252"/>
      <c r="AE151" s="252"/>
      <c r="AF151" s="252"/>
      <c r="AG151" s="253"/>
      <c r="AH151" s="73"/>
      <c r="AI151" s="75"/>
      <c r="AJ151" s="73"/>
      <c r="AK151" s="74"/>
      <c r="AL151" s="75"/>
      <c r="AM151" s="73"/>
      <c r="AN151" s="74"/>
      <c r="AO151" s="74"/>
      <c r="AP151" s="74"/>
      <c r="AQ151" s="74"/>
      <c r="AR151" s="74"/>
      <c r="AS151" s="75"/>
      <c r="AT151" s="73" t="s">
        <v>464</v>
      </c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5"/>
      <c r="BK151" s="4"/>
      <c r="BM151" t="s">
        <v>452</v>
      </c>
      <c r="BP151" t="str">
        <f t="shared" si="1"/>
        <v>,`AFT_DISC_VALUE5` decimal(9,2)  COMMENT '継続特売価格5'</v>
      </c>
      <c r="BQ151" t="s">
        <v>223</v>
      </c>
      <c r="BR151" t="str">
        <f t="shared" si="4"/>
        <v xml:space="preserve">,`AFT_DISC_VALUE5` decimal(9,2) </v>
      </c>
      <c r="BS151" t="s">
        <v>223</v>
      </c>
      <c r="BT151" t="str">
        <f t="shared" si="5"/>
        <v>,`AFT_DISC_VALUE5`</v>
      </c>
      <c r="BU151" t="s">
        <v>223</v>
      </c>
      <c r="BV151" s="82" t="str">
        <f t="shared" si="2"/>
        <v>,A.`AFT_DISC_VALUE5` = B.`AFT_DISC_VALUE5`</v>
      </c>
      <c r="BW151" t="s">
        <v>223</v>
      </c>
      <c r="BX151" s="82" t="str">
        <f t="shared" si="6"/>
        <v>,`AFT_DISC_VALUE5`</v>
      </c>
      <c r="BY151" t="s">
        <v>223</v>
      </c>
      <c r="BZ151" s="82" t="str">
        <f t="shared" si="3"/>
        <v>,`AFT_DISC_VALUE5`</v>
      </c>
      <c r="CA151" t="s">
        <v>223</v>
      </c>
    </row>
    <row r="152" spans="1:79" ht="15" customHeight="1">
      <c r="A152" s="84" t="s">
        <v>563</v>
      </c>
      <c r="B152" s="71">
        <v>9</v>
      </c>
      <c r="C152" s="72"/>
      <c r="D152" s="73" t="s">
        <v>918</v>
      </c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5"/>
      <c r="R152" s="73" t="s">
        <v>1059</v>
      </c>
      <c r="S152" s="74"/>
      <c r="T152" s="74"/>
      <c r="U152" s="74"/>
      <c r="V152" s="74"/>
      <c r="W152" s="74"/>
      <c r="X152" s="74"/>
      <c r="Y152" s="74"/>
      <c r="Z152" s="74"/>
      <c r="AA152" s="74"/>
      <c r="AB152" s="75"/>
      <c r="AC152" s="251" t="str" cm="1">
        <f t="array" ref="AC152">_xlfn.SWITCH(BM152,"String","varchar("&amp;BN152&amp;")","Long","int","Integer","smallint","Double","decimal(9,2)","Currency","int")</f>
        <v>decimal(9,2)</v>
      </c>
      <c r="AD152" s="252"/>
      <c r="AE152" s="252"/>
      <c r="AF152" s="252"/>
      <c r="AG152" s="253"/>
      <c r="AH152" s="73"/>
      <c r="AI152" s="75"/>
      <c r="AJ152" s="73"/>
      <c r="AK152" s="74"/>
      <c r="AL152" s="75"/>
      <c r="AM152" s="73"/>
      <c r="AN152" s="74"/>
      <c r="AO152" s="74"/>
      <c r="AP152" s="74"/>
      <c r="AQ152" s="74"/>
      <c r="AR152" s="74"/>
      <c r="AS152" s="75"/>
      <c r="AT152" s="73" t="s">
        <v>464</v>
      </c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5"/>
      <c r="BK152" s="4"/>
      <c r="BM152" t="s">
        <v>452</v>
      </c>
      <c r="BP152" t="str">
        <f t="shared" si="1"/>
        <v>,`AFT_MIN_QTY5` decimal(9,2)  COMMENT '継続成立数量5'</v>
      </c>
      <c r="BQ152" t="s">
        <v>223</v>
      </c>
      <c r="BR152" t="str">
        <f t="shared" si="4"/>
        <v xml:space="preserve">,`AFT_MIN_QTY5` decimal(9,2) </v>
      </c>
      <c r="BS152" t="s">
        <v>223</v>
      </c>
      <c r="BT152" t="str">
        <f t="shared" si="5"/>
        <v>,`AFT_MIN_QTY5`</v>
      </c>
      <c r="BU152" t="s">
        <v>223</v>
      </c>
      <c r="BV152" s="82" t="str">
        <f t="shared" si="2"/>
        <v>,A.`AFT_MIN_QTY5` = B.`AFT_MIN_QTY5`</v>
      </c>
      <c r="BW152" t="s">
        <v>223</v>
      </c>
      <c r="BX152" s="82" t="str">
        <f t="shared" si="6"/>
        <v>,`AFT_MIN_QTY5`</v>
      </c>
      <c r="BY152" t="s">
        <v>223</v>
      </c>
      <c r="BZ152" s="82" t="str">
        <f t="shared" si="3"/>
        <v>,`AFT_MIN_QTY5`</v>
      </c>
      <c r="CA152" t="s">
        <v>223</v>
      </c>
    </row>
    <row r="153" spans="1:79" ht="15" customHeight="1">
      <c r="A153" s="84" t="s">
        <v>564</v>
      </c>
      <c r="B153" s="71">
        <v>9</v>
      </c>
      <c r="C153" s="72"/>
      <c r="D153" s="73" t="s">
        <v>919</v>
      </c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5"/>
      <c r="R153" s="73" t="s">
        <v>1060</v>
      </c>
      <c r="S153" s="74"/>
      <c r="T153" s="74"/>
      <c r="U153" s="74"/>
      <c r="V153" s="74"/>
      <c r="W153" s="74"/>
      <c r="X153" s="74"/>
      <c r="Y153" s="74"/>
      <c r="Z153" s="74"/>
      <c r="AA153" s="74"/>
      <c r="AB153" s="75"/>
      <c r="AC153" s="251" t="str" cm="1">
        <f t="array" ref="AC153">_xlfn.SWITCH(BM153,"String","varchar("&amp;BN153&amp;")","Long","int","Integer","smallint","Double","decimal(9,2)","Currency","int")</f>
        <v>int</v>
      </c>
      <c r="AD153" s="252"/>
      <c r="AE153" s="252"/>
      <c r="AF153" s="252"/>
      <c r="AG153" s="253"/>
      <c r="AH153" s="73"/>
      <c r="AI153" s="75"/>
      <c r="AJ153" s="73"/>
      <c r="AK153" s="74"/>
      <c r="AL153" s="75"/>
      <c r="AM153" s="73"/>
      <c r="AN153" s="74"/>
      <c r="AO153" s="74"/>
      <c r="AP153" s="74"/>
      <c r="AQ153" s="74"/>
      <c r="AR153" s="74"/>
      <c r="AS153" s="75"/>
      <c r="AT153" s="73" t="s">
        <v>464</v>
      </c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5"/>
      <c r="BK153" s="4"/>
      <c r="BM153" t="s">
        <v>453</v>
      </c>
      <c r="BP153" t="str">
        <f t="shared" si="1"/>
        <v>,`AFT_MIN_AMT5` int  COMMENT '継続成立価格5'</v>
      </c>
      <c r="BQ153" t="s">
        <v>223</v>
      </c>
      <c r="BR153" t="str">
        <f t="shared" si="4"/>
        <v xml:space="preserve">,`AFT_MIN_AMT5` int </v>
      </c>
      <c r="BS153" t="s">
        <v>223</v>
      </c>
      <c r="BT153" t="str">
        <f t="shared" si="5"/>
        <v>,`AFT_MIN_AMT5`</v>
      </c>
      <c r="BU153" t="s">
        <v>223</v>
      </c>
      <c r="BV153" s="82" t="str">
        <f t="shared" si="2"/>
        <v>,A.`AFT_MIN_AMT5` = B.`AFT_MIN_AMT5`</v>
      </c>
      <c r="BW153" t="s">
        <v>223</v>
      </c>
      <c r="BX153" s="82" t="str">
        <f t="shared" si="6"/>
        <v>,`AFT_MIN_AMT5`</v>
      </c>
      <c r="BY153" t="s">
        <v>223</v>
      </c>
      <c r="BZ153" s="82" t="str">
        <f t="shared" si="3"/>
        <v>,`AFT_MIN_AMT5`</v>
      </c>
      <c r="CA153" t="s">
        <v>223</v>
      </c>
    </row>
    <row r="154" spans="1:79" ht="15" customHeight="1">
      <c r="A154" s="84" t="s">
        <v>565</v>
      </c>
      <c r="B154" s="71">
        <v>9</v>
      </c>
      <c r="C154" s="72"/>
      <c r="D154" s="73" t="s">
        <v>920</v>
      </c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5"/>
      <c r="R154" s="73" t="s">
        <v>1061</v>
      </c>
      <c r="S154" s="74"/>
      <c r="T154" s="74"/>
      <c r="U154" s="74"/>
      <c r="V154" s="74"/>
      <c r="W154" s="74"/>
      <c r="X154" s="74"/>
      <c r="Y154" s="74"/>
      <c r="Z154" s="74"/>
      <c r="AA154" s="74"/>
      <c r="AB154" s="75"/>
      <c r="AC154" s="251" t="str" cm="1">
        <f t="array" ref="AC154">_xlfn.SWITCH(BM154,"String","varchar("&amp;BN154&amp;")","Long","int","Integer","smallint","Double","decimal(9,2)","Currency","int")</f>
        <v>smallint</v>
      </c>
      <c r="AD154" s="252"/>
      <c r="AE154" s="252"/>
      <c r="AF154" s="252"/>
      <c r="AG154" s="253"/>
      <c r="AH154" s="73"/>
      <c r="AI154" s="75"/>
      <c r="AJ154" s="73"/>
      <c r="AK154" s="74"/>
      <c r="AL154" s="75"/>
      <c r="AM154" s="73"/>
      <c r="AN154" s="74"/>
      <c r="AO154" s="74"/>
      <c r="AP154" s="74"/>
      <c r="AQ154" s="74"/>
      <c r="AR154" s="74"/>
      <c r="AS154" s="75"/>
      <c r="AT154" s="73" t="s">
        <v>464</v>
      </c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5"/>
      <c r="BK154" s="4"/>
      <c r="BM154" t="s">
        <v>451</v>
      </c>
      <c r="BP154" t="str">
        <f t="shared" si="1"/>
        <v>,`AFT_DISC_MTHD6` smallint  COMMENT '継続割引タイプ6'</v>
      </c>
      <c r="BQ154" t="s">
        <v>223</v>
      </c>
      <c r="BR154" t="str">
        <f t="shared" si="4"/>
        <v xml:space="preserve">,`AFT_DISC_MTHD6` smallint </v>
      </c>
      <c r="BS154" t="s">
        <v>223</v>
      </c>
      <c r="BT154" t="str">
        <f t="shared" si="5"/>
        <v>,`AFT_DISC_MTHD6`</v>
      </c>
      <c r="BU154" t="s">
        <v>223</v>
      </c>
      <c r="BV154" s="82" t="str">
        <f t="shared" si="2"/>
        <v>,A.`AFT_DISC_MTHD6` = B.`AFT_DISC_MTHD6`</v>
      </c>
      <c r="BW154" t="s">
        <v>223</v>
      </c>
      <c r="BX154" s="82" t="str">
        <f t="shared" si="6"/>
        <v>,`AFT_DISC_MTHD6`</v>
      </c>
      <c r="BY154" t="s">
        <v>223</v>
      </c>
      <c r="BZ154" s="82" t="str">
        <f t="shared" si="3"/>
        <v>,`AFT_DISC_MTHD6`</v>
      </c>
      <c r="CA154" t="s">
        <v>223</v>
      </c>
    </row>
    <row r="155" spans="1:79" ht="15" customHeight="1">
      <c r="A155" s="84" t="s">
        <v>566</v>
      </c>
      <c r="B155" s="71">
        <v>9</v>
      </c>
      <c r="C155" s="72"/>
      <c r="D155" s="73" t="s">
        <v>921</v>
      </c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5"/>
      <c r="R155" s="73" t="s">
        <v>1062</v>
      </c>
      <c r="S155" s="74"/>
      <c r="T155" s="74"/>
      <c r="U155" s="74"/>
      <c r="V155" s="74"/>
      <c r="W155" s="74"/>
      <c r="X155" s="74"/>
      <c r="Y155" s="74"/>
      <c r="Z155" s="74"/>
      <c r="AA155" s="74"/>
      <c r="AB155" s="75"/>
      <c r="AC155" s="251" t="str" cm="1">
        <f t="array" ref="AC155">_xlfn.SWITCH(BM155,"String","varchar("&amp;BN155&amp;")","Long","int","Integer","smallint","Double","decimal(9,2)","Currency","int")</f>
        <v>decimal(9,2)</v>
      </c>
      <c r="AD155" s="252"/>
      <c r="AE155" s="252"/>
      <c r="AF155" s="252"/>
      <c r="AG155" s="253"/>
      <c r="AH155" s="73"/>
      <c r="AI155" s="75"/>
      <c r="AJ155" s="73"/>
      <c r="AK155" s="74"/>
      <c r="AL155" s="75"/>
      <c r="AM155" s="73"/>
      <c r="AN155" s="74"/>
      <c r="AO155" s="74"/>
      <c r="AP155" s="74"/>
      <c r="AQ155" s="74"/>
      <c r="AR155" s="74"/>
      <c r="AS155" s="75"/>
      <c r="AT155" s="73" t="s">
        <v>470</v>
      </c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5"/>
      <c r="BK155" s="4"/>
      <c r="BM155" t="s">
        <v>452</v>
      </c>
      <c r="BP155" t="str">
        <f t="shared" si="1"/>
        <v>,`AFT_DISC_VALUE6` decimal(9,2)  COMMENT '継続特売価格6'</v>
      </c>
      <c r="BQ155" t="s">
        <v>223</v>
      </c>
      <c r="BR155" t="str">
        <f t="shared" si="4"/>
        <v xml:space="preserve">,`AFT_DISC_VALUE6` decimal(9,2) </v>
      </c>
      <c r="BS155" t="s">
        <v>223</v>
      </c>
      <c r="BT155" t="str">
        <f t="shared" si="5"/>
        <v>,`AFT_DISC_VALUE6`</v>
      </c>
      <c r="BU155" t="s">
        <v>223</v>
      </c>
      <c r="BV155" s="82" t="str">
        <f t="shared" si="2"/>
        <v>,A.`AFT_DISC_VALUE6` = B.`AFT_DISC_VALUE6`</v>
      </c>
      <c r="BW155" t="s">
        <v>223</v>
      </c>
      <c r="BX155" s="82" t="str">
        <f t="shared" si="6"/>
        <v>,`AFT_DISC_VALUE6`</v>
      </c>
      <c r="BY155" t="s">
        <v>223</v>
      </c>
      <c r="BZ155" s="82" t="str">
        <f t="shared" si="3"/>
        <v>,`AFT_DISC_VALUE6`</v>
      </c>
      <c r="CA155" t="s">
        <v>223</v>
      </c>
    </row>
    <row r="156" spans="1:79" ht="15" customHeight="1">
      <c r="A156" s="84" t="s">
        <v>567</v>
      </c>
      <c r="B156" s="71">
        <v>9</v>
      </c>
      <c r="C156" s="72"/>
      <c r="D156" s="73" t="s">
        <v>922</v>
      </c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5"/>
      <c r="R156" s="73" t="s">
        <v>1063</v>
      </c>
      <c r="S156" s="74"/>
      <c r="T156" s="74"/>
      <c r="U156" s="74"/>
      <c r="V156" s="74"/>
      <c r="W156" s="74"/>
      <c r="X156" s="74"/>
      <c r="Y156" s="74"/>
      <c r="Z156" s="74"/>
      <c r="AA156" s="74"/>
      <c r="AB156" s="75"/>
      <c r="AC156" s="251" t="str" cm="1">
        <f t="array" ref="AC156">_xlfn.SWITCH(BM156,"String","varchar("&amp;BN156&amp;")","Long","int","Integer","smallint","Double","decimal(9,2)","Currency","int")</f>
        <v>decimal(9,2)</v>
      </c>
      <c r="AD156" s="252"/>
      <c r="AE156" s="252"/>
      <c r="AF156" s="252"/>
      <c r="AG156" s="253"/>
      <c r="AH156" s="73"/>
      <c r="AI156" s="75"/>
      <c r="AJ156" s="73"/>
      <c r="AK156" s="74"/>
      <c r="AL156" s="75"/>
      <c r="AM156" s="73"/>
      <c r="AN156" s="74"/>
      <c r="AO156" s="74"/>
      <c r="AP156" s="74"/>
      <c r="AQ156" s="74"/>
      <c r="AR156" s="74"/>
      <c r="AS156" s="75"/>
      <c r="AT156" s="73" t="s">
        <v>470</v>
      </c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5"/>
      <c r="BK156" s="4"/>
      <c r="BM156" t="s">
        <v>452</v>
      </c>
      <c r="BP156" t="str">
        <f t="shared" si="1"/>
        <v>,`AFT_MIN_QTY6` decimal(9,2)  COMMENT '継続成立数量6'</v>
      </c>
      <c r="BQ156" t="s">
        <v>223</v>
      </c>
      <c r="BR156" t="str">
        <f t="shared" si="4"/>
        <v xml:space="preserve">,`AFT_MIN_QTY6` decimal(9,2) </v>
      </c>
      <c r="BS156" t="s">
        <v>223</v>
      </c>
      <c r="BT156" t="str">
        <f t="shared" si="5"/>
        <v>,`AFT_MIN_QTY6`</v>
      </c>
      <c r="BU156" t="s">
        <v>223</v>
      </c>
      <c r="BV156" s="82" t="str">
        <f t="shared" si="2"/>
        <v>,A.`AFT_MIN_QTY6` = B.`AFT_MIN_QTY6`</v>
      </c>
      <c r="BW156" t="s">
        <v>223</v>
      </c>
      <c r="BX156" s="82" t="str">
        <f t="shared" si="6"/>
        <v>,`AFT_MIN_QTY6`</v>
      </c>
      <c r="BY156" t="s">
        <v>223</v>
      </c>
      <c r="BZ156" s="82" t="str">
        <f t="shared" si="3"/>
        <v>,`AFT_MIN_QTY6`</v>
      </c>
      <c r="CA156" t="s">
        <v>223</v>
      </c>
    </row>
    <row r="157" spans="1:79" ht="15" customHeight="1">
      <c r="A157" s="84" t="s">
        <v>568</v>
      </c>
      <c r="B157" s="71">
        <v>9</v>
      </c>
      <c r="C157" s="72"/>
      <c r="D157" s="73" t="s">
        <v>923</v>
      </c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5"/>
      <c r="R157" s="73" t="s">
        <v>1064</v>
      </c>
      <c r="S157" s="74"/>
      <c r="T157" s="74"/>
      <c r="U157" s="74"/>
      <c r="V157" s="74"/>
      <c r="W157" s="74"/>
      <c r="X157" s="74"/>
      <c r="Y157" s="74"/>
      <c r="Z157" s="74"/>
      <c r="AA157" s="74"/>
      <c r="AB157" s="75"/>
      <c r="AC157" s="251" t="str" cm="1">
        <f t="array" ref="AC157">_xlfn.SWITCH(BM157,"String","varchar("&amp;BN157&amp;")","Long","int","Integer","smallint","Double","decimal(9,2)","Currency","int")</f>
        <v>int</v>
      </c>
      <c r="AD157" s="252"/>
      <c r="AE157" s="252"/>
      <c r="AF157" s="252"/>
      <c r="AG157" s="253"/>
      <c r="AH157" s="73"/>
      <c r="AI157" s="75"/>
      <c r="AJ157" s="73"/>
      <c r="AK157" s="74"/>
      <c r="AL157" s="75"/>
      <c r="AM157" s="73"/>
      <c r="AN157" s="74"/>
      <c r="AO157" s="74"/>
      <c r="AP157" s="74"/>
      <c r="AQ157" s="74"/>
      <c r="AR157" s="74"/>
      <c r="AS157" s="75"/>
      <c r="AT157" s="73" t="s">
        <v>470</v>
      </c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5"/>
      <c r="BK157" s="4"/>
      <c r="BM157" t="s">
        <v>453</v>
      </c>
      <c r="BP157" t="str">
        <f t="shared" si="1"/>
        <v>,`AFT_MIN_AMT6` int  COMMENT '継続成立価格6'</v>
      </c>
      <c r="BQ157" t="s">
        <v>223</v>
      </c>
      <c r="BR157" t="str">
        <f t="shared" si="4"/>
        <v xml:space="preserve">,`AFT_MIN_AMT6` int </v>
      </c>
      <c r="BS157" t="s">
        <v>223</v>
      </c>
      <c r="BT157" t="str">
        <f t="shared" si="5"/>
        <v>,`AFT_MIN_AMT6`</v>
      </c>
      <c r="BU157" t="s">
        <v>223</v>
      </c>
      <c r="BV157" s="82" t="str">
        <f t="shared" si="2"/>
        <v>,A.`AFT_MIN_AMT6` = B.`AFT_MIN_AMT6`</v>
      </c>
      <c r="BW157" t="s">
        <v>223</v>
      </c>
      <c r="BX157" s="82" t="str">
        <f t="shared" si="6"/>
        <v>,`AFT_MIN_AMT6`</v>
      </c>
      <c r="BY157" t="s">
        <v>223</v>
      </c>
      <c r="BZ157" s="82" t="str">
        <f t="shared" si="3"/>
        <v>,`AFT_MIN_AMT6`</v>
      </c>
      <c r="CA157" t="s">
        <v>223</v>
      </c>
    </row>
    <row r="158" spans="1:79" ht="15" customHeight="1">
      <c r="A158" s="84" t="s">
        <v>569</v>
      </c>
      <c r="B158" s="71">
        <v>9</v>
      </c>
      <c r="C158" s="72"/>
      <c r="D158" s="73" t="s">
        <v>924</v>
      </c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5"/>
      <c r="R158" s="73" t="s">
        <v>1065</v>
      </c>
      <c r="S158" s="74"/>
      <c r="T158" s="74"/>
      <c r="U158" s="74"/>
      <c r="V158" s="74"/>
      <c r="W158" s="74"/>
      <c r="X158" s="74"/>
      <c r="Y158" s="74"/>
      <c r="Z158" s="74"/>
      <c r="AA158" s="74"/>
      <c r="AB158" s="75"/>
      <c r="AC158" s="251" t="str" cm="1">
        <f t="array" ref="AC158">_xlfn.SWITCH(BM158,"String","varchar("&amp;BN158&amp;")","Long","int","Integer","smallint","Double","decimal(9,2)","Currency","int")</f>
        <v>smallint</v>
      </c>
      <c r="AD158" s="252"/>
      <c r="AE158" s="252"/>
      <c r="AF158" s="252"/>
      <c r="AG158" s="253"/>
      <c r="AH158" s="73"/>
      <c r="AI158" s="75"/>
      <c r="AJ158" s="73"/>
      <c r="AK158" s="74"/>
      <c r="AL158" s="75"/>
      <c r="AM158" s="73"/>
      <c r="AN158" s="74"/>
      <c r="AO158" s="74"/>
      <c r="AP158" s="74"/>
      <c r="AQ158" s="74"/>
      <c r="AR158" s="74"/>
      <c r="AS158" s="75"/>
      <c r="AT158" s="73" t="s">
        <v>470</v>
      </c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5"/>
      <c r="BK158" s="4"/>
      <c r="BM158" t="s">
        <v>451</v>
      </c>
      <c r="BP158" t="str">
        <f t="shared" si="1"/>
        <v>,`AFT_DISC_MTHD7` smallint  COMMENT '継続割引タイプ7'</v>
      </c>
      <c r="BQ158" t="s">
        <v>223</v>
      </c>
      <c r="BR158" t="str">
        <f t="shared" si="4"/>
        <v xml:space="preserve">,`AFT_DISC_MTHD7` smallint </v>
      </c>
      <c r="BS158" t="s">
        <v>223</v>
      </c>
      <c r="BT158" t="str">
        <f t="shared" si="5"/>
        <v>,`AFT_DISC_MTHD7`</v>
      </c>
      <c r="BU158" t="s">
        <v>223</v>
      </c>
      <c r="BV158" s="82" t="str">
        <f t="shared" si="2"/>
        <v>,A.`AFT_DISC_MTHD7` = B.`AFT_DISC_MTHD7`</v>
      </c>
      <c r="BW158" t="s">
        <v>223</v>
      </c>
      <c r="BX158" s="82" t="str">
        <f t="shared" si="6"/>
        <v>,`AFT_DISC_MTHD7`</v>
      </c>
      <c r="BY158" t="s">
        <v>223</v>
      </c>
      <c r="BZ158" s="82" t="str">
        <f t="shared" si="3"/>
        <v>,`AFT_DISC_MTHD7`</v>
      </c>
      <c r="CA158" t="s">
        <v>223</v>
      </c>
    </row>
    <row r="159" spans="1:79" ht="15" customHeight="1">
      <c r="A159" s="84" t="s">
        <v>570</v>
      </c>
      <c r="B159" s="71">
        <v>9</v>
      </c>
      <c r="C159" s="72"/>
      <c r="D159" s="73" t="s">
        <v>925</v>
      </c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5"/>
      <c r="R159" s="73" t="s">
        <v>1066</v>
      </c>
      <c r="S159" s="74"/>
      <c r="T159" s="74"/>
      <c r="U159" s="74"/>
      <c r="V159" s="74"/>
      <c r="W159" s="74"/>
      <c r="X159" s="74"/>
      <c r="Y159" s="74"/>
      <c r="Z159" s="74"/>
      <c r="AA159" s="74"/>
      <c r="AB159" s="75"/>
      <c r="AC159" s="251" t="str" cm="1">
        <f t="array" ref="AC159">_xlfn.SWITCH(BM159,"String","varchar("&amp;BN159&amp;")","Long","int","Integer","smallint","Double","decimal(9,2)","Currency","int")</f>
        <v>decimal(9,2)</v>
      </c>
      <c r="AD159" s="252"/>
      <c r="AE159" s="252"/>
      <c r="AF159" s="252"/>
      <c r="AG159" s="253"/>
      <c r="AH159" s="73"/>
      <c r="AI159" s="75"/>
      <c r="AJ159" s="73"/>
      <c r="AK159" s="74"/>
      <c r="AL159" s="75"/>
      <c r="AM159" s="73"/>
      <c r="AN159" s="74"/>
      <c r="AO159" s="74"/>
      <c r="AP159" s="74"/>
      <c r="AQ159" s="74"/>
      <c r="AR159" s="74"/>
      <c r="AS159" s="75"/>
      <c r="AT159" s="73" t="s">
        <v>470</v>
      </c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5"/>
      <c r="BK159" s="4"/>
      <c r="BM159" t="s">
        <v>452</v>
      </c>
      <c r="BP159" t="str">
        <f t="shared" si="1"/>
        <v>,`AFT_DISC_VALUE7` decimal(9,2)  COMMENT '継続特売価格7'</v>
      </c>
      <c r="BQ159" t="s">
        <v>223</v>
      </c>
      <c r="BR159" t="str">
        <f t="shared" si="4"/>
        <v xml:space="preserve">,`AFT_DISC_VALUE7` decimal(9,2) </v>
      </c>
      <c r="BS159" t="s">
        <v>223</v>
      </c>
      <c r="BT159" t="str">
        <f t="shared" si="5"/>
        <v>,`AFT_DISC_VALUE7`</v>
      </c>
      <c r="BU159" t="s">
        <v>223</v>
      </c>
      <c r="BV159" s="82" t="str">
        <f t="shared" si="2"/>
        <v>,A.`AFT_DISC_VALUE7` = B.`AFT_DISC_VALUE7`</v>
      </c>
      <c r="BW159" t="s">
        <v>223</v>
      </c>
      <c r="BX159" s="82" t="str">
        <f t="shared" si="6"/>
        <v>,`AFT_DISC_VALUE7`</v>
      </c>
      <c r="BY159" t="s">
        <v>223</v>
      </c>
      <c r="BZ159" s="82" t="str">
        <f t="shared" si="3"/>
        <v>,`AFT_DISC_VALUE7`</v>
      </c>
      <c r="CA159" t="s">
        <v>223</v>
      </c>
    </row>
    <row r="160" spans="1:79" ht="15" customHeight="1">
      <c r="A160" s="84" t="s">
        <v>571</v>
      </c>
      <c r="B160" s="71">
        <v>9</v>
      </c>
      <c r="C160" s="72"/>
      <c r="D160" s="73" t="s">
        <v>926</v>
      </c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5"/>
      <c r="R160" s="73" t="s">
        <v>1067</v>
      </c>
      <c r="S160" s="74"/>
      <c r="T160" s="74"/>
      <c r="U160" s="74"/>
      <c r="V160" s="74"/>
      <c r="W160" s="74"/>
      <c r="X160" s="74"/>
      <c r="Y160" s="74"/>
      <c r="Z160" s="74"/>
      <c r="AA160" s="74"/>
      <c r="AB160" s="75"/>
      <c r="AC160" s="251" t="str" cm="1">
        <f t="array" ref="AC160">_xlfn.SWITCH(BM160,"String","varchar("&amp;BN160&amp;")","Long","int","Integer","smallint","Double","decimal(9,2)","Currency","int")</f>
        <v>decimal(9,2)</v>
      </c>
      <c r="AD160" s="252"/>
      <c r="AE160" s="252"/>
      <c r="AF160" s="252"/>
      <c r="AG160" s="253"/>
      <c r="AH160" s="73"/>
      <c r="AI160" s="75"/>
      <c r="AJ160" s="73"/>
      <c r="AK160" s="74"/>
      <c r="AL160" s="75"/>
      <c r="AM160" s="73"/>
      <c r="AN160" s="74"/>
      <c r="AO160" s="74"/>
      <c r="AP160" s="74"/>
      <c r="AQ160" s="74"/>
      <c r="AR160" s="74"/>
      <c r="AS160" s="75"/>
      <c r="AT160" s="73" t="s">
        <v>470</v>
      </c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5"/>
      <c r="BK160" s="4"/>
      <c r="BM160" t="s">
        <v>452</v>
      </c>
      <c r="BP160" t="str">
        <f t="shared" si="1"/>
        <v>,`AFT_MIN_QTY7` decimal(9,2)  COMMENT '継続成立数量7'</v>
      </c>
      <c r="BQ160" t="s">
        <v>223</v>
      </c>
      <c r="BR160" t="str">
        <f t="shared" si="4"/>
        <v xml:space="preserve">,`AFT_MIN_QTY7` decimal(9,2) </v>
      </c>
      <c r="BS160" t="s">
        <v>223</v>
      </c>
      <c r="BT160" t="str">
        <f t="shared" si="5"/>
        <v>,`AFT_MIN_QTY7`</v>
      </c>
      <c r="BU160" t="s">
        <v>223</v>
      </c>
      <c r="BV160" s="82" t="str">
        <f t="shared" si="2"/>
        <v>,A.`AFT_MIN_QTY7` = B.`AFT_MIN_QTY7`</v>
      </c>
      <c r="BW160" t="s">
        <v>223</v>
      </c>
      <c r="BX160" s="82" t="str">
        <f t="shared" si="6"/>
        <v>,`AFT_MIN_QTY7`</v>
      </c>
      <c r="BY160" t="s">
        <v>223</v>
      </c>
      <c r="BZ160" s="82" t="str">
        <f t="shared" si="3"/>
        <v>,`AFT_MIN_QTY7`</v>
      </c>
      <c r="CA160" t="s">
        <v>223</v>
      </c>
    </row>
    <row r="161" spans="1:79" ht="15" customHeight="1">
      <c r="A161" s="84" t="s">
        <v>572</v>
      </c>
      <c r="B161" s="71">
        <v>9</v>
      </c>
      <c r="C161" s="72"/>
      <c r="D161" s="73" t="s">
        <v>927</v>
      </c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5"/>
      <c r="R161" s="73" t="s">
        <v>1068</v>
      </c>
      <c r="S161" s="74"/>
      <c r="T161" s="74"/>
      <c r="U161" s="74"/>
      <c r="V161" s="74"/>
      <c r="W161" s="74"/>
      <c r="X161" s="74"/>
      <c r="Y161" s="74"/>
      <c r="Z161" s="74"/>
      <c r="AA161" s="74"/>
      <c r="AB161" s="75"/>
      <c r="AC161" s="251" t="str" cm="1">
        <f t="array" ref="AC161">_xlfn.SWITCH(BM161,"String","varchar("&amp;BN161&amp;")","Long","int","Integer","smallint","Double","decimal(9,2)","Currency","int")</f>
        <v>int</v>
      </c>
      <c r="AD161" s="252"/>
      <c r="AE161" s="252"/>
      <c r="AF161" s="252"/>
      <c r="AG161" s="253"/>
      <c r="AH161" s="73"/>
      <c r="AI161" s="75"/>
      <c r="AJ161" s="73"/>
      <c r="AK161" s="74"/>
      <c r="AL161" s="75"/>
      <c r="AM161" s="73"/>
      <c r="AN161" s="74"/>
      <c r="AO161" s="74"/>
      <c r="AP161" s="74"/>
      <c r="AQ161" s="74"/>
      <c r="AR161" s="74"/>
      <c r="AS161" s="75"/>
      <c r="AT161" s="73" t="s">
        <v>470</v>
      </c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5"/>
      <c r="BK161" s="4"/>
      <c r="BM161" t="s">
        <v>453</v>
      </c>
      <c r="BP161" t="str">
        <f t="shared" si="1"/>
        <v>,`AFT_MIN_AMT7` int  COMMENT '継続成立価格7'</v>
      </c>
      <c r="BQ161" t="s">
        <v>223</v>
      </c>
      <c r="BR161" t="str">
        <f t="shared" si="4"/>
        <v xml:space="preserve">,`AFT_MIN_AMT7` int </v>
      </c>
      <c r="BS161" t="s">
        <v>223</v>
      </c>
      <c r="BT161" t="str">
        <f t="shared" si="5"/>
        <v>,`AFT_MIN_AMT7`</v>
      </c>
      <c r="BU161" t="s">
        <v>223</v>
      </c>
      <c r="BV161" s="82" t="str">
        <f t="shared" si="2"/>
        <v>,A.`AFT_MIN_AMT7` = B.`AFT_MIN_AMT7`</v>
      </c>
      <c r="BW161" t="s">
        <v>223</v>
      </c>
      <c r="BX161" s="82" t="str">
        <f t="shared" si="6"/>
        <v>,`AFT_MIN_AMT7`</v>
      </c>
      <c r="BY161" t="s">
        <v>223</v>
      </c>
      <c r="BZ161" s="82" t="str">
        <f t="shared" si="3"/>
        <v>,`AFT_MIN_AMT7`</v>
      </c>
      <c r="CA161" t="s">
        <v>223</v>
      </c>
    </row>
    <row r="162" spans="1:79" ht="15" customHeight="1">
      <c r="A162" s="84" t="s">
        <v>573</v>
      </c>
      <c r="B162" s="71">
        <v>9</v>
      </c>
      <c r="C162" s="72"/>
      <c r="D162" s="73" t="s">
        <v>928</v>
      </c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5"/>
      <c r="R162" s="73" t="s">
        <v>1069</v>
      </c>
      <c r="S162" s="74"/>
      <c r="T162" s="74"/>
      <c r="U162" s="74"/>
      <c r="V162" s="74"/>
      <c r="W162" s="74"/>
      <c r="X162" s="74"/>
      <c r="Y162" s="74"/>
      <c r="Z162" s="74"/>
      <c r="AA162" s="74"/>
      <c r="AB162" s="75"/>
      <c r="AC162" s="251" t="str" cm="1">
        <f t="array" ref="AC162">_xlfn.SWITCH(BM162,"String","varchar("&amp;BN162&amp;")","Long","int","Integer","smallint","Double","decimal(9,2)","Currency","int")</f>
        <v>smallint</v>
      </c>
      <c r="AD162" s="252"/>
      <c r="AE162" s="252"/>
      <c r="AF162" s="252"/>
      <c r="AG162" s="253"/>
      <c r="AH162" s="73"/>
      <c r="AI162" s="75"/>
      <c r="AJ162" s="73"/>
      <c r="AK162" s="74"/>
      <c r="AL162" s="75"/>
      <c r="AM162" s="73"/>
      <c r="AN162" s="74"/>
      <c r="AO162" s="74"/>
      <c r="AP162" s="74"/>
      <c r="AQ162" s="74"/>
      <c r="AR162" s="74"/>
      <c r="AS162" s="75"/>
      <c r="AT162" s="73" t="s">
        <v>470</v>
      </c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5"/>
      <c r="BK162" s="4"/>
      <c r="BM162" t="s">
        <v>451</v>
      </c>
      <c r="BP162" t="str">
        <f t="shared" si="1"/>
        <v>,`AFT_DISC_MTHD8` smallint  COMMENT '継続割引タイプ8'</v>
      </c>
      <c r="BQ162" t="s">
        <v>223</v>
      </c>
      <c r="BR162" t="str">
        <f t="shared" si="4"/>
        <v xml:space="preserve">,`AFT_DISC_MTHD8` smallint </v>
      </c>
      <c r="BS162" t="s">
        <v>223</v>
      </c>
      <c r="BT162" t="str">
        <f t="shared" si="5"/>
        <v>,`AFT_DISC_MTHD8`</v>
      </c>
      <c r="BU162" t="s">
        <v>223</v>
      </c>
      <c r="BV162" s="82" t="str">
        <f t="shared" si="2"/>
        <v>,A.`AFT_DISC_MTHD8` = B.`AFT_DISC_MTHD8`</v>
      </c>
      <c r="BW162" t="s">
        <v>223</v>
      </c>
      <c r="BX162" s="82" t="str">
        <f t="shared" si="6"/>
        <v>,`AFT_DISC_MTHD8`</v>
      </c>
      <c r="BY162" t="s">
        <v>223</v>
      </c>
      <c r="BZ162" s="82" t="str">
        <f t="shared" si="3"/>
        <v>,`AFT_DISC_MTHD8`</v>
      </c>
      <c r="CA162" t="s">
        <v>223</v>
      </c>
    </row>
    <row r="163" spans="1:79" ht="15" customHeight="1">
      <c r="A163" s="84" t="s">
        <v>574</v>
      </c>
      <c r="B163" s="71">
        <v>9</v>
      </c>
      <c r="C163" s="72"/>
      <c r="D163" s="73" t="s">
        <v>929</v>
      </c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5"/>
      <c r="R163" s="73" t="s">
        <v>1070</v>
      </c>
      <c r="S163" s="74"/>
      <c r="T163" s="74"/>
      <c r="U163" s="74"/>
      <c r="V163" s="74"/>
      <c r="W163" s="74"/>
      <c r="X163" s="74"/>
      <c r="Y163" s="74"/>
      <c r="Z163" s="74"/>
      <c r="AA163" s="74"/>
      <c r="AB163" s="75"/>
      <c r="AC163" s="251" t="str" cm="1">
        <f t="array" ref="AC163">_xlfn.SWITCH(BM163,"String","varchar("&amp;BN163&amp;")","Long","int","Integer","smallint","Double","decimal(9,2)","Currency","int")</f>
        <v>decimal(9,2)</v>
      </c>
      <c r="AD163" s="252"/>
      <c r="AE163" s="252"/>
      <c r="AF163" s="252"/>
      <c r="AG163" s="253"/>
      <c r="AH163" s="73"/>
      <c r="AI163" s="75"/>
      <c r="AJ163" s="73"/>
      <c r="AK163" s="74"/>
      <c r="AL163" s="75"/>
      <c r="AM163" s="73"/>
      <c r="AN163" s="74"/>
      <c r="AO163" s="74"/>
      <c r="AP163" s="74"/>
      <c r="AQ163" s="74"/>
      <c r="AR163" s="74"/>
      <c r="AS163" s="75"/>
      <c r="AT163" s="73" t="s">
        <v>470</v>
      </c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5"/>
      <c r="BK163" s="4"/>
      <c r="BM163" t="s">
        <v>452</v>
      </c>
      <c r="BP163" t="str">
        <f t="shared" si="1"/>
        <v>,`AFT_DISC_VALUE8` decimal(9,2)  COMMENT '継続特売価格8'</v>
      </c>
      <c r="BQ163" t="s">
        <v>223</v>
      </c>
      <c r="BR163" t="str">
        <f t="shared" si="4"/>
        <v xml:space="preserve">,`AFT_DISC_VALUE8` decimal(9,2) </v>
      </c>
      <c r="BS163" t="s">
        <v>223</v>
      </c>
      <c r="BT163" t="str">
        <f t="shared" si="5"/>
        <v>,`AFT_DISC_VALUE8`</v>
      </c>
      <c r="BU163" t="s">
        <v>223</v>
      </c>
      <c r="BV163" s="82" t="str">
        <f t="shared" si="2"/>
        <v>,A.`AFT_DISC_VALUE8` = B.`AFT_DISC_VALUE8`</v>
      </c>
      <c r="BW163" t="s">
        <v>223</v>
      </c>
      <c r="BX163" s="82" t="str">
        <f t="shared" si="6"/>
        <v>,`AFT_DISC_VALUE8`</v>
      </c>
      <c r="BY163" t="s">
        <v>223</v>
      </c>
      <c r="BZ163" s="82" t="str">
        <f t="shared" si="3"/>
        <v>,`AFT_DISC_VALUE8`</v>
      </c>
      <c r="CA163" t="s">
        <v>223</v>
      </c>
    </row>
    <row r="164" spans="1:79" ht="15" customHeight="1">
      <c r="A164" s="84" t="s">
        <v>575</v>
      </c>
      <c r="B164" s="71">
        <v>9</v>
      </c>
      <c r="C164" s="72"/>
      <c r="D164" s="73" t="s">
        <v>930</v>
      </c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73" t="s">
        <v>1071</v>
      </c>
      <c r="S164" s="74"/>
      <c r="T164" s="74"/>
      <c r="U164" s="74"/>
      <c r="V164" s="74"/>
      <c r="W164" s="74"/>
      <c r="X164" s="74"/>
      <c r="Y164" s="74"/>
      <c r="Z164" s="74"/>
      <c r="AA164" s="74"/>
      <c r="AB164" s="75"/>
      <c r="AC164" s="251" t="str" cm="1">
        <f t="array" ref="AC164">_xlfn.SWITCH(BM164,"String","varchar("&amp;BN164&amp;")","Long","int","Integer","smallint","Double","decimal(9,2)","Currency","int")</f>
        <v>decimal(9,2)</v>
      </c>
      <c r="AD164" s="252"/>
      <c r="AE164" s="252"/>
      <c r="AF164" s="252"/>
      <c r="AG164" s="253"/>
      <c r="AH164" s="73"/>
      <c r="AI164" s="75"/>
      <c r="AJ164" s="73"/>
      <c r="AK164" s="74"/>
      <c r="AL164" s="75"/>
      <c r="AM164" s="73"/>
      <c r="AN164" s="74"/>
      <c r="AO164" s="74"/>
      <c r="AP164" s="74"/>
      <c r="AQ164" s="74"/>
      <c r="AR164" s="74"/>
      <c r="AS164" s="75"/>
      <c r="AT164" s="73" t="s">
        <v>470</v>
      </c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5"/>
      <c r="BK164" s="4"/>
      <c r="BM164" t="s">
        <v>452</v>
      </c>
      <c r="BP164" t="str">
        <f t="shared" si="1"/>
        <v>,`AFT_MIN_QTY8` decimal(9,2)  COMMENT '継続成立数量8'</v>
      </c>
      <c r="BQ164" t="s">
        <v>223</v>
      </c>
      <c r="BR164" t="str">
        <f t="shared" si="4"/>
        <v xml:space="preserve">,`AFT_MIN_QTY8` decimal(9,2) </v>
      </c>
      <c r="BS164" t="s">
        <v>223</v>
      </c>
      <c r="BT164" t="str">
        <f t="shared" si="5"/>
        <v>,`AFT_MIN_QTY8`</v>
      </c>
      <c r="BU164" t="s">
        <v>223</v>
      </c>
      <c r="BV164" s="82" t="str">
        <f t="shared" si="2"/>
        <v>,A.`AFT_MIN_QTY8` = B.`AFT_MIN_QTY8`</v>
      </c>
      <c r="BW164" t="s">
        <v>223</v>
      </c>
      <c r="BX164" s="82" t="str">
        <f t="shared" si="6"/>
        <v>,`AFT_MIN_QTY8`</v>
      </c>
      <c r="BY164" t="s">
        <v>223</v>
      </c>
      <c r="BZ164" s="82" t="str">
        <f t="shared" si="3"/>
        <v>,`AFT_MIN_QTY8`</v>
      </c>
      <c r="CA164" t="s">
        <v>223</v>
      </c>
    </row>
    <row r="165" spans="1:79" ht="15" customHeight="1">
      <c r="A165" s="84" t="s">
        <v>576</v>
      </c>
      <c r="B165" s="71">
        <v>9</v>
      </c>
      <c r="C165" s="72"/>
      <c r="D165" s="73" t="s">
        <v>931</v>
      </c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5"/>
      <c r="R165" s="73" t="s">
        <v>1072</v>
      </c>
      <c r="S165" s="74"/>
      <c r="T165" s="74"/>
      <c r="U165" s="74"/>
      <c r="V165" s="74"/>
      <c r="W165" s="74"/>
      <c r="X165" s="74"/>
      <c r="Y165" s="74"/>
      <c r="Z165" s="74"/>
      <c r="AA165" s="74"/>
      <c r="AB165" s="75"/>
      <c r="AC165" s="251" t="str" cm="1">
        <f t="array" ref="AC165">_xlfn.SWITCH(BM165,"String","varchar("&amp;BN165&amp;")","Long","int","Integer","smallint","Double","decimal(9,2)","Currency","int")</f>
        <v>int</v>
      </c>
      <c r="AD165" s="252"/>
      <c r="AE165" s="252"/>
      <c r="AF165" s="252"/>
      <c r="AG165" s="253"/>
      <c r="AH165" s="73"/>
      <c r="AI165" s="75"/>
      <c r="AJ165" s="73"/>
      <c r="AK165" s="74"/>
      <c r="AL165" s="75"/>
      <c r="AM165" s="73"/>
      <c r="AN165" s="74"/>
      <c r="AO165" s="74"/>
      <c r="AP165" s="74"/>
      <c r="AQ165" s="74"/>
      <c r="AR165" s="74"/>
      <c r="AS165" s="75"/>
      <c r="AT165" s="73" t="s">
        <v>470</v>
      </c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5"/>
      <c r="BK165" s="4"/>
      <c r="BM165" t="s">
        <v>453</v>
      </c>
      <c r="BP165" t="str">
        <f t="shared" si="1"/>
        <v>,`AFT_MIN_AMT8` int  COMMENT '継続成立価格8'</v>
      </c>
      <c r="BQ165" t="s">
        <v>223</v>
      </c>
      <c r="BR165" t="str">
        <f t="shared" si="4"/>
        <v xml:space="preserve">,`AFT_MIN_AMT8` int </v>
      </c>
      <c r="BS165" t="s">
        <v>223</v>
      </c>
      <c r="BT165" t="str">
        <f t="shared" si="5"/>
        <v>,`AFT_MIN_AMT8`</v>
      </c>
      <c r="BU165" t="s">
        <v>223</v>
      </c>
      <c r="BV165" s="82" t="str">
        <f t="shared" si="2"/>
        <v>,A.`AFT_MIN_AMT8` = B.`AFT_MIN_AMT8`</v>
      </c>
      <c r="BW165" t="s">
        <v>223</v>
      </c>
      <c r="BX165" s="82" t="str">
        <f t="shared" si="6"/>
        <v>,`AFT_MIN_AMT8`</v>
      </c>
      <c r="BY165" t="s">
        <v>223</v>
      </c>
      <c r="BZ165" s="82" t="str">
        <f t="shared" si="3"/>
        <v>,`AFT_MIN_AMT8`</v>
      </c>
      <c r="CA165" t="s">
        <v>223</v>
      </c>
    </row>
    <row r="166" spans="1:79" ht="15" customHeight="1">
      <c r="A166" s="84" t="s">
        <v>577</v>
      </c>
      <c r="B166" s="71">
        <v>9</v>
      </c>
      <c r="C166" s="72"/>
      <c r="D166" s="73" t="s">
        <v>932</v>
      </c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5"/>
      <c r="R166" s="73" t="s">
        <v>1073</v>
      </c>
      <c r="S166" s="74"/>
      <c r="T166" s="74"/>
      <c r="U166" s="74"/>
      <c r="V166" s="74"/>
      <c r="W166" s="74"/>
      <c r="X166" s="74"/>
      <c r="Y166" s="74"/>
      <c r="Z166" s="74"/>
      <c r="AA166" s="74"/>
      <c r="AB166" s="75"/>
      <c r="AC166" s="251" t="str" cm="1">
        <f t="array" ref="AC166">_xlfn.SWITCH(BM166,"String","varchar("&amp;BN166&amp;")","Long","int","Integer","smallint","Double","decimal(9,2)","Currency","int")</f>
        <v>smallint</v>
      </c>
      <c r="AD166" s="252"/>
      <c r="AE166" s="252"/>
      <c r="AF166" s="252"/>
      <c r="AG166" s="253"/>
      <c r="AH166" s="73"/>
      <c r="AI166" s="75"/>
      <c r="AJ166" s="73"/>
      <c r="AK166" s="74"/>
      <c r="AL166" s="75"/>
      <c r="AM166" s="73"/>
      <c r="AN166" s="74"/>
      <c r="AO166" s="74"/>
      <c r="AP166" s="74"/>
      <c r="AQ166" s="74"/>
      <c r="AR166" s="74"/>
      <c r="AS166" s="75"/>
      <c r="AT166" s="73" t="s">
        <v>470</v>
      </c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5"/>
      <c r="BK166" s="4"/>
      <c r="BM166" t="s">
        <v>451</v>
      </c>
      <c r="BP166" t="str">
        <f t="shared" si="1"/>
        <v>,`AFT_DISC_MTHD9` smallint  COMMENT '継続割引タイプ9'</v>
      </c>
      <c r="BQ166" t="s">
        <v>223</v>
      </c>
      <c r="BR166" t="str">
        <f t="shared" si="4"/>
        <v xml:space="preserve">,`AFT_DISC_MTHD9` smallint </v>
      </c>
      <c r="BS166" t="s">
        <v>223</v>
      </c>
      <c r="BT166" t="str">
        <f t="shared" si="5"/>
        <v>,`AFT_DISC_MTHD9`</v>
      </c>
      <c r="BU166" t="s">
        <v>223</v>
      </c>
      <c r="BV166" s="82" t="str">
        <f t="shared" si="2"/>
        <v>,A.`AFT_DISC_MTHD9` = B.`AFT_DISC_MTHD9`</v>
      </c>
      <c r="BW166" t="s">
        <v>223</v>
      </c>
      <c r="BX166" s="82" t="str">
        <f t="shared" si="6"/>
        <v>,`AFT_DISC_MTHD9`</v>
      </c>
      <c r="BY166" t="s">
        <v>223</v>
      </c>
      <c r="BZ166" s="82" t="str">
        <f t="shared" si="3"/>
        <v>,`AFT_DISC_MTHD9`</v>
      </c>
      <c r="CA166" t="s">
        <v>223</v>
      </c>
    </row>
    <row r="167" spans="1:79" ht="15" customHeight="1">
      <c r="A167" s="84" t="s">
        <v>578</v>
      </c>
      <c r="B167" s="71">
        <v>9</v>
      </c>
      <c r="C167" s="72"/>
      <c r="D167" s="73" t="s">
        <v>933</v>
      </c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5"/>
      <c r="R167" s="73" t="s">
        <v>1074</v>
      </c>
      <c r="S167" s="74"/>
      <c r="T167" s="74"/>
      <c r="U167" s="74"/>
      <c r="V167" s="74"/>
      <c r="W167" s="74"/>
      <c r="X167" s="74"/>
      <c r="Y167" s="74"/>
      <c r="Z167" s="74"/>
      <c r="AA167" s="74"/>
      <c r="AB167" s="75"/>
      <c r="AC167" s="251" t="str" cm="1">
        <f t="array" ref="AC167">_xlfn.SWITCH(BM167,"String","varchar("&amp;BN167&amp;")","Long","int","Integer","smallint","Double","decimal(9,2)","Currency","int")</f>
        <v>decimal(9,2)</v>
      </c>
      <c r="AD167" s="252"/>
      <c r="AE167" s="252"/>
      <c r="AF167" s="252"/>
      <c r="AG167" s="253"/>
      <c r="AH167" s="73"/>
      <c r="AI167" s="75"/>
      <c r="AJ167" s="73"/>
      <c r="AK167" s="74"/>
      <c r="AL167" s="75"/>
      <c r="AM167" s="73"/>
      <c r="AN167" s="74"/>
      <c r="AO167" s="74"/>
      <c r="AP167" s="74"/>
      <c r="AQ167" s="74"/>
      <c r="AR167" s="74"/>
      <c r="AS167" s="75"/>
      <c r="AT167" s="73" t="s">
        <v>470</v>
      </c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5"/>
      <c r="BK167" s="4"/>
      <c r="BM167" t="s">
        <v>452</v>
      </c>
      <c r="BP167" t="str">
        <f t="shared" si="1"/>
        <v>,`AFT_DISC_VALUE9` decimal(9,2)  COMMENT '継続特売価格9'</v>
      </c>
      <c r="BQ167" t="s">
        <v>223</v>
      </c>
      <c r="BR167" t="str">
        <f t="shared" si="4"/>
        <v xml:space="preserve">,`AFT_DISC_VALUE9` decimal(9,2) </v>
      </c>
      <c r="BS167" t="s">
        <v>223</v>
      </c>
      <c r="BT167" t="str">
        <f t="shared" si="5"/>
        <v>,`AFT_DISC_VALUE9`</v>
      </c>
      <c r="BU167" t="s">
        <v>223</v>
      </c>
      <c r="BV167" s="82" t="str">
        <f t="shared" si="2"/>
        <v>,A.`AFT_DISC_VALUE9` = B.`AFT_DISC_VALUE9`</v>
      </c>
      <c r="BW167" t="s">
        <v>223</v>
      </c>
      <c r="BX167" s="82" t="str">
        <f t="shared" si="6"/>
        <v>,`AFT_DISC_VALUE9`</v>
      </c>
      <c r="BY167" t="s">
        <v>223</v>
      </c>
      <c r="BZ167" s="82" t="str">
        <f t="shared" si="3"/>
        <v>,`AFT_DISC_VALUE9`</v>
      </c>
      <c r="CA167" t="s">
        <v>223</v>
      </c>
    </row>
    <row r="168" spans="1:79" ht="15" customHeight="1">
      <c r="A168" s="84" t="s">
        <v>579</v>
      </c>
      <c r="B168" s="71">
        <v>9</v>
      </c>
      <c r="C168" s="72"/>
      <c r="D168" s="73" t="s">
        <v>934</v>
      </c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5"/>
      <c r="R168" s="73" t="s">
        <v>1075</v>
      </c>
      <c r="S168" s="74"/>
      <c r="T168" s="74"/>
      <c r="U168" s="74"/>
      <c r="V168" s="74"/>
      <c r="W168" s="74"/>
      <c r="X168" s="74"/>
      <c r="Y168" s="74"/>
      <c r="Z168" s="74"/>
      <c r="AA168" s="74"/>
      <c r="AB168" s="75"/>
      <c r="AC168" s="251" t="str" cm="1">
        <f t="array" ref="AC168">_xlfn.SWITCH(BM168,"String","varchar("&amp;BN168&amp;")","Long","int","Integer","smallint","Double","decimal(9,2)","Currency","int")</f>
        <v>decimal(9,2)</v>
      </c>
      <c r="AD168" s="252"/>
      <c r="AE168" s="252"/>
      <c r="AF168" s="252"/>
      <c r="AG168" s="253"/>
      <c r="AH168" s="73"/>
      <c r="AI168" s="75"/>
      <c r="AJ168" s="73"/>
      <c r="AK168" s="74"/>
      <c r="AL168" s="75"/>
      <c r="AM168" s="73"/>
      <c r="AN168" s="74"/>
      <c r="AO168" s="74"/>
      <c r="AP168" s="74"/>
      <c r="AQ168" s="74"/>
      <c r="AR168" s="74"/>
      <c r="AS168" s="75"/>
      <c r="AT168" s="73" t="s">
        <v>470</v>
      </c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5"/>
      <c r="BK168" s="4"/>
      <c r="BM168" t="s">
        <v>452</v>
      </c>
      <c r="BP168" t="str">
        <f t="shared" si="1"/>
        <v>,`AFT_MIN_QTY9` decimal(9,2)  COMMENT '継続成立数量9'</v>
      </c>
      <c r="BQ168" t="s">
        <v>223</v>
      </c>
      <c r="BR168" t="str">
        <f t="shared" si="4"/>
        <v xml:space="preserve">,`AFT_MIN_QTY9` decimal(9,2) </v>
      </c>
      <c r="BS168" t="s">
        <v>223</v>
      </c>
      <c r="BT168" t="str">
        <f t="shared" si="5"/>
        <v>,`AFT_MIN_QTY9`</v>
      </c>
      <c r="BU168" t="s">
        <v>223</v>
      </c>
      <c r="BV168" s="82" t="str">
        <f t="shared" si="2"/>
        <v>,A.`AFT_MIN_QTY9` = B.`AFT_MIN_QTY9`</v>
      </c>
      <c r="BW168" t="s">
        <v>223</v>
      </c>
      <c r="BX168" s="82" t="str">
        <f t="shared" si="6"/>
        <v>,`AFT_MIN_QTY9`</v>
      </c>
      <c r="BY168" t="s">
        <v>223</v>
      </c>
      <c r="BZ168" s="82" t="str">
        <f t="shared" si="3"/>
        <v>,`AFT_MIN_QTY9`</v>
      </c>
      <c r="CA168" t="s">
        <v>223</v>
      </c>
    </row>
    <row r="169" spans="1:79" ht="15" customHeight="1">
      <c r="A169" s="84" t="s">
        <v>580</v>
      </c>
      <c r="B169" s="71">
        <v>9</v>
      </c>
      <c r="C169" s="72"/>
      <c r="D169" s="73" t="s">
        <v>935</v>
      </c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5"/>
      <c r="R169" s="73" t="s">
        <v>1076</v>
      </c>
      <c r="S169" s="74"/>
      <c r="T169" s="74"/>
      <c r="U169" s="74"/>
      <c r="V169" s="74"/>
      <c r="W169" s="74"/>
      <c r="X169" s="74"/>
      <c r="Y169" s="74"/>
      <c r="Z169" s="74"/>
      <c r="AA169" s="74"/>
      <c r="AB169" s="75"/>
      <c r="AC169" s="251" t="str" cm="1">
        <f t="array" ref="AC169">_xlfn.SWITCH(BM169,"String","varchar("&amp;BN169&amp;")","Long","int","Integer","smallint","Double","decimal(9,2)","Currency","int")</f>
        <v>int</v>
      </c>
      <c r="AD169" s="252"/>
      <c r="AE169" s="252"/>
      <c r="AF169" s="252"/>
      <c r="AG169" s="253"/>
      <c r="AH169" s="73"/>
      <c r="AI169" s="75"/>
      <c r="AJ169" s="73"/>
      <c r="AK169" s="74"/>
      <c r="AL169" s="75"/>
      <c r="AM169" s="73"/>
      <c r="AN169" s="74"/>
      <c r="AO169" s="74"/>
      <c r="AP169" s="74"/>
      <c r="AQ169" s="74"/>
      <c r="AR169" s="74"/>
      <c r="AS169" s="75"/>
      <c r="AT169" s="73" t="s">
        <v>470</v>
      </c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5"/>
      <c r="BK169" s="4"/>
      <c r="BM169" t="s">
        <v>453</v>
      </c>
      <c r="BP169" t="str">
        <f t="shared" si="1"/>
        <v>,`AFT_MIN_AMT9` int  COMMENT '継続成立価格9'</v>
      </c>
      <c r="BQ169" t="s">
        <v>223</v>
      </c>
      <c r="BR169" t="str">
        <f t="shared" si="4"/>
        <v xml:space="preserve">,`AFT_MIN_AMT9` int </v>
      </c>
      <c r="BS169" t="s">
        <v>223</v>
      </c>
      <c r="BT169" t="str">
        <f t="shared" si="5"/>
        <v>,`AFT_MIN_AMT9`</v>
      </c>
      <c r="BU169" t="s">
        <v>223</v>
      </c>
      <c r="BV169" s="82" t="str">
        <f t="shared" si="2"/>
        <v>,A.`AFT_MIN_AMT9` = B.`AFT_MIN_AMT9`</v>
      </c>
      <c r="BW169" t="s">
        <v>223</v>
      </c>
      <c r="BX169" s="82" t="str">
        <f t="shared" si="6"/>
        <v>,`AFT_MIN_AMT9`</v>
      </c>
      <c r="BY169" t="s">
        <v>223</v>
      </c>
      <c r="BZ169" s="82" t="str">
        <f t="shared" si="3"/>
        <v>,`AFT_MIN_AMT9`</v>
      </c>
      <c r="CA169" t="s">
        <v>223</v>
      </c>
    </row>
    <row r="170" spans="1:79" ht="15" customHeight="1">
      <c r="A170" s="84" t="s">
        <v>581</v>
      </c>
      <c r="B170" s="71">
        <v>9</v>
      </c>
      <c r="C170" s="72"/>
      <c r="D170" s="73" t="s">
        <v>936</v>
      </c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5"/>
      <c r="R170" s="73" t="s">
        <v>1077</v>
      </c>
      <c r="S170" s="74"/>
      <c r="T170" s="74"/>
      <c r="U170" s="74"/>
      <c r="V170" s="74"/>
      <c r="W170" s="74"/>
      <c r="X170" s="74"/>
      <c r="Y170" s="74"/>
      <c r="Z170" s="74"/>
      <c r="AA170" s="74"/>
      <c r="AB170" s="75"/>
      <c r="AC170" s="251" t="str" cm="1">
        <f t="array" ref="AC170">_xlfn.SWITCH(BM170,"String","varchar("&amp;BN170&amp;")","Long","int","Integer","smallint","Double","decimal(9,2)","Currency","int")</f>
        <v>smallint</v>
      </c>
      <c r="AD170" s="252"/>
      <c r="AE170" s="252"/>
      <c r="AF170" s="252"/>
      <c r="AG170" s="253"/>
      <c r="AH170" s="73"/>
      <c r="AI170" s="75"/>
      <c r="AJ170" s="73"/>
      <c r="AK170" s="74"/>
      <c r="AL170" s="75"/>
      <c r="AM170" s="73"/>
      <c r="AN170" s="74"/>
      <c r="AO170" s="74"/>
      <c r="AP170" s="74"/>
      <c r="AQ170" s="74"/>
      <c r="AR170" s="74"/>
      <c r="AS170" s="75"/>
      <c r="AT170" s="73" t="s">
        <v>470</v>
      </c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5"/>
      <c r="BK170" s="4"/>
      <c r="BM170" t="s">
        <v>451</v>
      </c>
      <c r="BP170" t="str">
        <f t="shared" si="1"/>
        <v>,`AFT_DISC_MTHD10` smallint  COMMENT '継続割引タイプ１０'</v>
      </c>
      <c r="BQ170" t="s">
        <v>223</v>
      </c>
      <c r="BR170" t="str">
        <f t="shared" si="4"/>
        <v xml:space="preserve">,`AFT_DISC_MTHD10` smallint </v>
      </c>
      <c r="BS170" t="s">
        <v>223</v>
      </c>
      <c r="BT170" t="str">
        <f t="shared" si="5"/>
        <v>,`AFT_DISC_MTHD10`</v>
      </c>
      <c r="BU170" t="s">
        <v>223</v>
      </c>
      <c r="BV170" s="82" t="str">
        <f t="shared" si="2"/>
        <v>,A.`AFT_DISC_MTHD10` = B.`AFT_DISC_MTHD10`</v>
      </c>
      <c r="BW170" t="s">
        <v>223</v>
      </c>
      <c r="BX170" s="82" t="str">
        <f t="shared" si="6"/>
        <v>,`AFT_DISC_MTHD10`</v>
      </c>
      <c r="BY170" t="s">
        <v>223</v>
      </c>
      <c r="BZ170" s="82" t="str">
        <f t="shared" si="3"/>
        <v>,`AFT_DISC_MTHD10`</v>
      </c>
      <c r="CA170" t="s">
        <v>223</v>
      </c>
    </row>
    <row r="171" spans="1:79" ht="15" customHeight="1">
      <c r="A171" s="84" t="s">
        <v>582</v>
      </c>
      <c r="B171" s="71">
        <v>9</v>
      </c>
      <c r="C171" s="72"/>
      <c r="D171" s="73" t="s">
        <v>937</v>
      </c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5"/>
      <c r="R171" s="73" t="s">
        <v>1078</v>
      </c>
      <c r="S171" s="74"/>
      <c r="T171" s="74"/>
      <c r="U171" s="74"/>
      <c r="V171" s="74"/>
      <c r="W171" s="74"/>
      <c r="X171" s="74"/>
      <c r="Y171" s="74"/>
      <c r="Z171" s="74"/>
      <c r="AA171" s="74"/>
      <c r="AB171" s="75"/>
      <c r="AC171" s="251" t="str" cm="1">
        <f t="array" ref="AC171">_xlfn.SWITCH(BM171,"String","varchar("&amp;BN171&amp;")","Long","int","Integer","smallint","Double","decimal(9,2)","Currency","int")</f>
        <v>decimal(9,2)</v>
      </c>
      <c r="AD171" s="252"/>
      <c r="AE171" s="252"/>
      <c r="AF171" s="252"/>
      <c r="AG171" s="253"/>
      <c r="AH171" s="73"/>
      <c r="AI171" s="75"/>
      <c r="AJ171" s="73"/>
      <c r="AK171" s="74"/>
      <c r="AL171" s="75"/>
      <c r="AM171" s="73"/>
      <c r="AN171" s="74"/>
      <c r="AO171" s="74"/>
      <c r="AP171" s="74"/>
      <c r="AQ171" s="74"/>
      <c r="AR171" s="74"/>
      <c r="AS171" s="75"/>
      <c r="AT171" s="73" t="s">
        <v>470</v>
      </c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5"/>
      <c r="BK171" s="4"/>
      <c r="BM171" t="s">
        <v>452</v>
      </c>
      <c r="BP171" t="str">
        <f t="shared" si="1"/>
        <v>,`AFT_DISC_VALUE10` decimal(9,2)  COMMENT '継続特売価格１０'</v>
      </c>
      <c r="BQ171" t="s">
        <v>223</v>
      </c>
      <c r="BR171" t="str">
        <f t="shared" si="4"/>
        <v xml:space="preserve">,`AFT_DISC_VALUE10` decimal(9,2) </v>
      </c>
      <c r="BS171" t="s">
        <v>223</v>
      </c>
      <c r="BT171" t="str">
        <f t="shared" si="5"/>
        <v>,`AFT_DISC_VALUE10`</v>
      </c>
      <c r="BU171" t="s">
        <v>223</v>
      </c>
      <c r="BV171" s="82" t="str">
        <f t="shared" si="2"/>
        <v>,A.`AFT_DISC_VALUE10` = B.`AFT_DISC_VALUE10`</v>
      </c>
      <c r="BW171" t="s">
        <v>223</v>
      </c>
      <c r="BX171" s="82" t="str">
        <f t="shared" si="6"/>
        <v>,`AFT_DISC_VALUE10`</v>
      </c>
      <c r="BY171" t="s">
        <v>223</v>
      </c>
      <c r="BZ171" s="82" t="str">
        <f t="shared" si="3"/>
        <v>,`AFT_DISC_VALUE10`</v>
      </c>
      <c r="CA171" t="s">
        <v>223</v>
      </c>
    </row>
    <row r="172" spans="1:79" ht="15" customHeight="1">
      <c r="A172" s="84" t="s">
        <v>583</v>
      </c>
      <c r="B172" s="71">
        <v>9</v>
      </c>
      <c r="C172" s="72"/>
      <c r="D172" s="73" t="s">
        <v>938</v>
      </c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5"/>
      <c r="R172" s="73" t="s">
        <v>1079</v>
      </c>
      <c r="S172" s="74"/>
      <c r="T172" s="74"/>
      <c r="U172" s="74"/>
      <c r="V172" s="74"/>
      <c r="W172" s="74"/>
      <c r="X172" s="74"/>
      <c r="Y172" s="74"/>
      <c r="Z172" s="74"/>
      <c r="AA172" s="74"/>
      <c r="AB172" s="75"/>
      <c r="AC172" s="251" t="str" cm="1">
        <f t="array" ref="AC172">_xlfn.SWITCH(BM172,"String","varchar("&amp;BN172&amp;")","Long","int","Integer","smallint","Double","decimal(9,2)","Currency","int")</f>
        <v>decimal(9,2)</v>
      </c>
      <c r="AD172" s="252"/>
      <c r="AE172" s="252"/>
      <c r="AF172" s="252"/>
      <c r="AG172" s="253"/>
      <c r="AH172" s="73"/>
      <c r="AI172" s="75"/>
      <c r="AJ172" s="73"/>
      <c r="AK172" s="74"/>
      <c r="AL172" s="75"/>
      <c r="AM172" s="73"/>
      <c r="AN172" s="74"/>
      <c r="AO172" s="74"/>
      <c r="AP172" s="74"/>
      <c r="AQ172" s="74"/>
      <c r="AR172" s="74"/>
      <c r="AS172" s="75"/>
      <c r="AT172" s="73" t="s">
        <v>470</v>
      </c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5"/>
      <c r="BK172" s="4"/>
      <c r="BM172" t="s">
        <v>452</v>
      </c>
      <c r="BP172" t="str">
        <f t="shared" si="1"/>
        <v>,`AFT_MIN_QTY10` decimal(9,2)  COMMENT '継続成立数量１０'</v>
      </c>
      <c r="BQ172" t="s">
        <v>223</v>
      </c>
      <c r="BR172" t="str">
        <f t="shared" si="4"/>
        <v xml:space="preserve">,`AFT_MIN_QTY10` decimal(9,2) </v>
      </c>
      <c r="BS172" t="s">
        <v>223</v>
      </c>
      <c r="BT172" t="str">
        <f t="shared" si="5"/>
        <v>,`AFT_MIN_QTY10`</v>
      </c>
      <c r="BU172" t="s">
        <v>223</v>
      </c>
      <c r="BV172" s="82" t="str">
        <f t="shared" si="2"/>
        <v>,A.`AFT_MIN_QTY10` = B.`AFT_MIN_QTY10`</v>
      </c>
      <c r="BW172" t="s">
        <v>223</v>
      </c>
      <c r="BX172" s="82" t="str">
        <f t="shared" si="6"/>
        <v>,`AFT_MIN_QTY10`</v>
      </c>
      <c r="BY172" t="s">
        <v>223</v>
      </c>
      <c r="BZ172" s="82" t="str">
        <f t="shared" si="3"/>
        <v>,`AFT_MIN_QTY10`</v>
      </c>
      <c r="CA172" t="s">
        <v>223</v>
      </c>
    </row>
    <row r="173" spans="1:79" ht="15" customHeight="1">
      <c r="A173" s="84" t="s">
        <v>584</v>
      </c>
      <c r="B173" s="71">
        <v>9</v>
      </c>
      <c r="C173" s="72"/>
      <c r="D173" s="73" t="s">
        <v>939</v>
      </c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5"/>
      <c r="R173" s="73" t="s">
        <v>1080</v>
      </c>
      <c r="S173" s="74"/>
      <c r="T173" s="74"/>
      <c r="U173" s="74"/>
      <c r="V173" s="74"/>
      <c r="W173" s="74"/>
      <c r="X173" s="74"/>
      <c r="Y173" s="74"/>
      <c r="Z173" s="74"/>
      <c r="AA173" s="74"/>
      <c r="AB173" s="75"/>
      <c r="AC173" s="251" t="str" cm="1">
        <f t="array" ref="AC173">_xlfn.SWITCH(BM173,"String","varchar("&amp;BN173&amp;")","Long","int","Integer","smallint","Double","decimal(9,2)","Currency","int")</f>
        <v>int</v>
      </c>
      <c r="AD173" s="252"/>
      <c r="AE173" s="252"/>
      <c r="AF173" s="252"/>
      <c r="AG173" s="253"/>
      <c r="AH173" s="73"/>
      <c r="AI173" s="75"/>
      <c r="AJ173" s="73"/>
      <c r="AK173" s="74"/>
      <c r="AL173" s="75"/>
      <c r="AM173" s="73"/>
      <c r="AN173" s="74"/>
      <c r="AO173" s="74"/>
      <c r="AP173" s="74"/>
      <c r="AQ173" s="74"/>
      <c r="AR173" s="74"/>
      <c r="AS173" s="75"/>
      <c r="AT173" s="73" t="s">
        <v>470</v>
      </c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5"/>
      <c r="BK173" s="4"/>
      <c r="BM173" t="s">
        <v>453</v>
      </c>
      <c r="BP173" t="str">
        <f t="shared" si="1"/>
        <v>,`AFT_MIN_AMT10` int  COMMENT '継続成立価格１０'</v>
      </c>
      <c r="BQ173" t="s">
        <v>223</v>
      </c>
      <c r="BR173" t="str">
        <f t="shared" si="4"/>
        <v xml:space="preserve">,`AFT_MIN_AMT10` int </v>
      </c>
      <c r="BS173" t="s">
        <v>223</v>
      </c>
      <c r="BT173" t="str">
        <f t="shared" ref="BT173:BT194" si="25">",`"&amp;R173&amp;"`"</f>
        <v>,`AFT_MIN_AMT10`</v>
      </c>
      <c r="BU173" t="s">
        <v>223</v>
      </c>
      <c r="BV173" s="82" t="str">
        <f t="shared" si="2"/>
        <v>,A.`AFT_MIN_AMT10` = B.`AFT_MIN_AMT10`</v>
      </c>
      <c r="BW173" t="s">
        <v>223</v>
      </c>
      <c r="BX173" s="82" t="str">
        <f t="shared" si="6"/>
        <v>,`AFT_MIN_AMT10`</v>
      </c>
      <c r="BY173" t="s">
        <v>223</v>
      </c>
      <c r="BZ173" s="82" t="str">
        <f t="shared" si="3"/>
        <v>,`AFT_MIN_AMT10`</v>
      </c>
      <c r="CA173" t="s">
        <v>223</v>
      </c>
    </row>
    <row r="174" spans="1:79" ht="15" customHeight="1">
      <c r="A174" s="84" t="s">
        <v>585</v>
      </c>
      <c r="B174" s="71">
        <v>9</v>
      </c>
      <c r="C174" s="72"/>
      <c r="D174" s="73" t="s">
        <v>940</v>
      </c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5"/>
      <c r="R174" s="73" t="s">
        <v>361</v>
      </c>
      <c r="S174" s="74"/>
      <c r="T174" s="74"/>
      <c r="U174" s="74"/>
      <c r="V174" s="74"/>
      <c r="W174" s="74"/>
      <c r="X174" s="74"/>
      <c r="Y174" s="74"/>
      <c r="Z174" s="74"/>
      <c r="AA174" s="74"/>
      <c r="AB174" s="75"/>
      <c r="AC174" s="251" t="str" cm="1">
        <f t="array" ref="AC174">_xlfn.SWITCH(BM174,"String","varchar("&amp;BN174&amp;")","Long","int","Integer","smallint","Double","decimal(9,2)","Currency","int")</f>
        <v>int</v>
      </c>
      <c r="AD174" s="252"/>
      <c r="AE174" s="252"/>
      <c r="AF174" s="252"/>
      <c r="AG174" s="253"/>
      <c r="AH174" s="73"/>
      <c r="AI174" s="75"/>
      <c r="AJ174" s="73"/>
      <c r="AK174" s="74"/>
      <c r="AL174" s="75"/>
      <c r="AM174" s="73"/>
      <c r="AN174" s="74"/>
      <c r="AO174" s="74"/>
      <c r="AP174" s="74"/>
      <c r="AQ174" s="74"/>
      <c r="AR174" s="74"/>
      <c r="AS174" s="75"/>
      <c r="AT174" s="73" t="s">
        <v>470</v>
      </c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5"/>
      <c r="BK174" s="4"/>
      <c r="BM174" t="s">
        <v>450</v>
      </c>
      <c r="BP174" t="str">
        <f t="shared" si="1"/>
        <v>,`STR_HIER_ID` int  COMMENT '商品階層コード'</v>
      </c>
      <c r="BQ174" t="s">
        <v>223</v>
      </c>
      <c r="BR174" t="str">
        <f t="shared" si="4"/>
        <v xml:space="preserve">,`STR_HIER_ID` int </v>
      </c>
      <c r="BS174" t="s">
        <v>223</v>
      </c>
      <c r="BT174" t="str">
        <f t="shared" si="25"/>
        <v>,`STR_HIER_ID`</v>
      </c>
      <c r="BU174" t="s">
        <v>223</v>
      </c>
      <c r="BV174" s="82" t="str">
        <f t="shared" si="2"/>
        <v>,A.`STR_HIER_ID` = B.`STR_HIER_ID`</v>
      </c>
      <c r="BW174" t="s">
        <v>223</v>
      </c>
      <c r="BX174" s="82" t="str">
        <f t="shared" si="6"/>
        <v>,`STR_HIER_ID`</v>
      </c>
      <c r="BY174" t="s">
        <v>223</v>
      </c>
      <c r="BZ174" s="82" t="str">
        <f t="shared" si="3"/>
        <v>,`STR_HIER_ID`</v>
      </c>
      <c r="CA174" t="s">
        <v>223</v>
      </c>
    </row>
    <row r="175" spans="1:79" ht="15" customHeight="1">
      <c r="A175" s="84" t="s">
        <v>586</v>
      </c>
      <c r="B175" s="71">
        <v>9</v>
      </c>
      <c r="C175" s="72"/>
      <c r="D175" s="73" t="s">
        <v>941</v>
      </c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5"/>
      <c r="R175" s="73" t="s">
        <v>689</v>
      </c>
      <c r="S175" s="74"/>
      <c r="T175" s="74"/>
      <c r="U175" s="74"/>
      <c r="V175" s="74"/>
      <c r="W175" s="74"/>
      <c r="X175" s="74"/>
      <c r="Y175" s="74"/>
      <c r="Z175" s="74"/>
      <c r="AA175" s="74"/>
      <c r="AB175" s="75"/>
      <c r="AC175" s="251" t="str" cm="1">
        <f t="array" ref="AC175">_xlfn.SWITCH(BM175,"String","varchar("&amp;BN175&amp;")","Long","int","Integer","smallint","Double","decimal(9,2)","Currency","int")</f>
        <v>int</v>
      </c>
      <c r="AD175" s="252"/>
      <c r="AE175" s="252"/>
      <c r="AF175" s="252"/>
      <c r="AG175" s="253"/>
      <c r="AH175" s="73"/>
      <c r="AI175" s="75"/>
      <c r="AJ175" s="73"/>
      <c r="AK175" s="74"/>
      <c r="AL175" s="75"/>
      <c r="AM175" s="73"/>
      <c r="AN175" s="74"/>
      <c r="AO175" s="74"/>
      <c r="AP175" s="74"/>
      <c r="AQ175" s="74"/>
      <c r="AR175" s="74"/>
      <c r="AS175" s="75"/>
      <c r="AT175" s="73" t="s">
        <v>470</v>
      </c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5"/>
      <c r="BK175" s="4"/>
      <c r="BM175" t="s">
        <v>450</v>
      </c>
      <c r="BP175" t="str">
        <f t="shared" si="1"/>
        <v>,`PLU_QUAL_TYP` int  COMMENT 'ＰＬU属性'</v>
      </c>
      <c r="BQ175" t="s">
        <v>223</v>
      </c>
      <c r="BR175" t="str">
        <f t="shared" si="4"/>
        <v xml:space="preserve">,`PLU_QUAL_TYP` int </v>
      </c>
      <c r="BS175" t="s">
        <v>223</v>
      </c>
      <c r="BT175" t="str">
        <f t="shared" si="25"/>
        <v>,`PLU_QUAL_TYP`</v>
      </c>
      <c r="BU175" t="s">
        <v>223</v>
      </c>
      <c r="BV175" s="82" t="str">
        <f t="shared" si="2"/>
        <v>,A.`PLU_QUAL_TYP` = B.`PLU_QUAL_TYP`</v>
      </c>
      <c r="BW175" t="s">
        <v>223</v>
      </c>
      <c r="BX175" s="82" t="str">
        <f t="shared" si="6"/>
        <v>,`PLU_QUAL_TYP`</v>
      </c>
      <c r="BY175" t="s">
        <v>223</v>
      </c>
      <c r="BZ175" s="82" t="str">
        <f t="shared" si="3"/>
        <v>,`PLU_QUAL_TYP`</v>
      </c>
      <c r="CA175" t="s">
        <v>223</v>
      </c>
    </row>
    <row r="176" spans="1:79" ht="15" customHeight="1">
      <c r="A176" s="84" t="s">
        <v>587</v>
      </c>
      <c r="B176" s="71">
        <v>9</v>
      </c>
      <c r="C176" s="72"/>
      <c r="D176" s="73" t="s">
        <v>942</v>
      </c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5"/>
      <c r="R176" s="73" t="s">
        <v>1081</v>
      </c>
      <c r="S176" s="74"/>
      <c r="T176" s="74"/>
      <c r="U176" s="74"/>
      <c r="V176" s="74"/>
      <c r="W176" s="74"/>
      <c r="X176" s="74"/>
      <c r="Y176" s="74"/>
      <c r="Z176" s="74"/>
      <c r="AA176" s="74"/>
      <c r="AB176" s="75"/>
      <c r="AC176" s="251" t="str" cm="1">
        <f t="array" ref="AC176">_xlfn.SWITCH(BM176,"String","varchar("&amp;BN176&amp;")","Long","int","Integer","smallint","Double","decimal(9,2)","Currency","int")</f>
        <v>smallint</v>
      </c>
      <c r="AD176" s="252"/>
      <c r="AE176" s="252"/>
      <c r="AF176" s="252"/>
      <c r="AG176" s="253"/>
      <c r="AH176" s="73"/>
      <c r="AI176" s="75"/>
      <c r="AJ176" s="73"/>
      <c r="AK176" s="74"/>
      <c r="AL176" s="75"/>
      <c r="AM176" s="73"/>
      <c r="AN176" s="74"/>
      <c r="AO176" s="74"/>
      <c r="AP176" s="74"/>
      <c r="AQ176" s="74"/>
      <c r="AR176" s="74"/>
      <c r="AS176" s="75"/>
      <c r="AT176" s="73" t="s">
        <v>470</v>
      </c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5"/>
      <c r="BK176" s="4"/>
      <c r="BM176" t="s">
        <v>451</v>
      </c>
      <c r="BP176" t="str">
        <f t="shared" si="1"/>
        <v>,`ALT_CD` smallint  COMMENT 'ALTコード'</v>
      </c>
      <c r="BQ176" t="s">
        <v>223</v>
      </c>
      <c r="BR176" t="str">
        <f t="shared" si="4"/>
        <v xml:space="preserve">,`ALT_CD` smallint </v>
      </c>
      <c r="BS176" t="s">
        <v>223</v>
      </c>
      <c r="BT176" t="str">
        <f t="shared" si="25"/>
        <v>,`ALT_CD`</v>
      </c>
      <c r="BU176" t="s">
        <v>223</v>
      </c>
      <c r="BV176" s="82" t="str">
        <f t="shared" si="2"/>
        <v>,A.`ALT_CD` = B.`ALT_CD`</v>
      </c>
      <c r="BW176" t="s">
        <v>223</v>
      </c>
      <c r="BX176" s="82" t="str">
        <f t="shared" si="6"/>
        <v>,`ALT_CD`</v>
      </c>
      <c r="BY176" t="s">
        <v>223</v>
      </c>
      <c r="BZ176" s="82" t="str">
        <f t="shared" si="3"/>
        <v>,`ALT_CD`</v>
      </c>
      <c r="CA176" t="s">
        <v>223</v>
      </c>
    </row>
    <row r="177" spans="1:79" ht="15" customHeight="1">
      <c r="A177" s="84" t="s">
        <v>588</v>
      </c>
      <c r="B177" s="71">
        <v>9</v>
      </c>
      <c r="C177" s="72"/>
      <c r="D177" s="73" t="s">
        <v>943</v>
      </c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5"/>
      <c r="R177" s="73" t="s">
        <v>692</v>
      </c>
      <c r="S177" s="74"/>
      <c r="T177" s="74"/>
      <c r="U177" s="74"/>
      <c r="V177" s="74"/>
      <c r="W177" s="74"/>
      <c r="X177" s="74"/>
      <c r="Y177" s="74"/>
      <c r="Z177" s="74"/>
      <c r="AA177" s="74"/>
      <c r="AB177" s="75"/>
      <c r="AC177" s="251" t="str" cm="1">
        <f t="array" ref="AC177">_xlfn.SWITCH(BM177,"String","varchar("&amp;BN177&amp;")","Long","int","Integer","smallint","Double","decimal(9,2)","Currency","int")</f>
        <v>varchar(20)</v>
      </c>
      <c r="AD177" s="252"/>
      <c r="AE177" s="252"/>
      <c r="AF177" s="252"/>
      <c r="AG177" s="253"/>
      <c r="AH177" s="73"/>
      <c r="AI177" s="75"/>
      <c r="AJ177" s="73"/>
      <c r="AK177" s="74"/>
      <c r="AL177" s="75"/>
      <c r="AM177" s="73"/>
      <c r="AN177" s="74"/>
      <c r="AO177" s="74"/>
      <c r="AP177" s="74"/>
      <c r="AQ177" s="74"/>
      <c r="AR177" s="74"/>
      <c r="AS177" s="75"/>
      <c r="AT177" s="73" t="s">
        <v>482</v>
      </c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5"/>
      <c r="BK177" s="4"/>
      <c r="BM177" t="s">
        <v>449</v>
      </c>
      <c r="BN177">
        <v>20</v>
      </c>
      <c r="BP177" t="str">
        <f t="shared" si="1"/>
        <v>,`DG_ID` varchar(20)  COMMENT '割引グループID'</v>
      </c>
      <c r="BQ177" t="s">
        <v>223</v>
      </c>
      <c r="BR177" t="str">
        <f t="shared" si="4"/>
        <v xml:space="preserve">,`DG_ID` varchar(20) </v>
      </c>
      <c r="BS177" t="s">
        <v>223</v>
      </c>
      <c r="BT177" t="str">
        <f t="shared" si="25"/>
        <v>,`DG_ID`</v>
      </c>
      <c r="BU177" t="s">
        <v>223</v>
      </c>
      <c r="BV177" s="82" t="str">
        <f t="shared" si="2"/>
        <v>,A.`DG_ID` = B.`DG_ID`</v>
      </c>
      <c r="BW177" t="s">
        <v>223</v>
      </c>
      <c r="BX177" s="82" t="str">
        <f t="shared" si="6"/>
        <v>,`DG_ID`</v>
      </c>
      <c r="BY177" t="s">
        <v>223</v>
      </c>
      <c r="BZ177" s="82" t="str">
        <f t="shared" si="3"/>
        <v>,`DG_ID`</v>
      </c>
      <c r="CA177" t="s">
        <v>223</v>
      </c>
    </row>
    <row r="178" spans="1:79" ht="15" customHeight="1">
      <c r="A178" s="84" t="s">
        <v>589</v>
      </c>
      <c r="B178" s="23">
        <v>9</v>
      </c>
      <c r="C178" s="24"/>
      <c r="D178" s="22" t="s">
        <v>944</v>
      </c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6"/>
      <c r="R178" s="22" t="s">
        <v>693</v>
      </c>
      <c r="S178" s="25"/>
      <c r="T178" s="25"/>
      <c r="U178" s="25"/>
      <c r="V178" s="25"/>
      <c r="W178" s="25"/>
      <c r="X178" s="25"/>
      <c r="Y178" s="25"/>
      <c r="Z178" s="25"/>
      <c r="AA178" s="25"/>
      <c r="AB178" s="26"/>
      <c r="AC178" s="257" t="str" cm="1">
        <f t="array" ref="AC178">_xlfn.SWITCH(BM178,"String","varchar("&amp;BN178&amp;")","Long","int","Integer","smallint","Double","decimal(9,2)","Currency","int")</f>
        <v>smallint</v>
      </c>
      <c r="AD178" s="258"/>
      <c r="AE178" s="258"/>
      <c r="AF178" s="258"/>
      <c r="AG178" s="259"/>
      <c r="AH178" s="22"/>
      <c r="AI178" s="26"/>
      <c r="AJ178" s="22"/>
      <c r="AK178" s="25"/>
      <c r="AL178" s="26"/>
      <c r="AM178" s="22"/>
      <c r="AN178" s="25"/>
      <c r="AO178" s="25"/>
      <c r="AP178" s="25"/>
      <c r="AQ178" s="25"/>
      <c r="AR178" s="25"/>
      <c r="AS178" s="26"/>
      <c r="AT178" s="22" t="s">
        <v>1124</v>
      </c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6"/>
      <c r="BK178" s="4"/>
      <c r="BM178" t="s">
        <v>451</v>
      </c>
      <c r="BP178" t="str">
        <f t="shared" si="1"/>
        <v>,`AUX_CD` smallint  COMMENT 'AUXコード'</v>
      </c>
      <c r="BQ178" t="s">
        <v>223</v>
      </c>
      <c r="BR178" t="str">
        <f t="shared" si="4"/>
        <v xml:space="preserve">,`AUX_CD` smallint </v>
      </c>
      <c r="BS178" t="s">
        <v>223</v>
      </c>
      <c r="BT178" t="str">
        <f t="shared" si="25"/>
        <v>,`AUX_CD`</v>
      </c>
      <c r="BU178" t="s">
        <v>223</v>
      </c>
      <c r="BV178" s="82" t="str">
        <f t="shared" si="2"/>
        <v>,A.`AUX_CD` = B.`AUX_CD`</v>
      </c>
      <c r="BW178" t="s">
        <v>223</v>
      </c>
      <c r="BX178" s="82" t="str">
        <f t="shared" si="6"/>
        <v>,`AUX_CD`</v>
      </c>
      <c r="BY178" t="s">
        <v>223</v>
      </c>
      <c r="BZ178" s="82" t="str">
        <f t="shared" si="3"/>
        <v>,`AUX_CD`</v>
      </c>
      <c r="CA178" t="s">
        <v>223</v>
      </c>
    </row>
    <row r="179" spans="1:79" ht="15" customHeight="1">
      <c r="A179" s="84" t="s">
        <v>590</v>
      </c>
      <c r="B179" s="23">
        <v>9</v>
      </c>
      <c r="C179" s="24"/>
      <c r="D179" s="22" t="s">
        <v>945</v>
      </c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6"/>
      <c r="R179" s="22" t="s">
        <v>678</v>
      </c>
      <c r="S179" s="25"/>
      <c r="T179" s="25"/>
      <c r="U179" s="25"/>
      <c r="V179" s="25"/>
      <c r="W179" s="25"/>
      <c r="X179" s="25"/>
      <c r="Y179" s="25"/>
      <c r="Z179" s="25"/>
      <c r="AA179" s="25"/>
      <c r="AB179" s="26"/>
      <c r="AC179" s="257" t="str" cm="1">
        <f t="array" ref="AC179">_xlfn.SWITCH(BM179,"String","varchar("&amp;BN179&amp;")","Long","int","Integer","smallint","Double","decimal(9,2)","Currency","int")</f>
        <v>smallint</v>
      </c>
      <c r="AD179" s="258"/>
      <c r="AE179" s="258"/>
      <c r="AF179" s="258"/>
      <c r="AG179" s="259"/>
      <c r="AH179" s="22"/>
      <c r="AI179" s="26"/>
      <c r="AJ179" s="22"/>
      <c r="AK179" s="25"/>
      <c r="AL179" s="26"/>
      <c r="AM179" s="22"/>
      <c r="AN179" s="25"/>
      <c r="AO179" s="25"/>
      <c r="AP179" s="25"/>
      <c r="AQ179" s="25"/>
      <c r="AR179" s="25"/>
      <c r="AS179" s="26"/>
      <c r="AT179" s="22" t="s">
        <v>1125</v>
      </c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6"/>
      <c r="BK179" s="4"/>
      <c r="BM179" t="s">
        <v>451</v>
      </c>
      <c r="BP179" t="str">
        <f t="shared" si="1"/>
        <v>,`DISC_MTHD` smallint  COMMENT '割引タイプ'</v>
      </c>
      <c r="BQ179" t="s">
        <v>223</v>
      </c>
      <c r="BR179" t="str">
        <f t="shared" si="4"/>
        <v xml:space="preserve">,`DISC_MTHD` smallint </v>
      </c>
      <c r="BS179" t="s">
        <v>223</v>
      </c>
      <c r="BT179" t="str">
        <f t="shared" si="25"/>
        <v>,`DISC_MTHD`</v>
      </c>
      <c r="BU179" t="s">
        <v>223</v>
      </c>
      <c r="BV179" s="82" t="str">
        <f t="shared" si="2"/>
        <v>,A.`DISC_MTHD` = B.`DISC_MTHD`</v>
      </c>
      <c r="BW179" t="s">
        <v>223</v>
      </c>
      <c r="BX179" s="82" t="str">
        <f t="shared" si="6"/>
        <v>,`DISC_MTHD`</v>
      </c>
      <c r="BY179" t="s">
        <v>223</v>
      </c>
      <c r="BZ179" s="82" t="str">
        <f t="shared" si="3"/>
        <v>,`DISC_MTHD`</v>
      </c>
      <c r="CA179" t="s">
        <v>223</v>
      </c>
    </row>
    <row r="180" spans="1:79" ht="15" customHeight="1">
      <c r="A180" s="84" t="s">
        <v>591</v>
      </c>
      <c r="B180" s="71">
        <v>9</v>
      </c>
      <c r="C180" s="72"/>
      <c r="D180" s="73" t="s">
        <v>648</v>
      </c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5"/>
      <c r="R180" s="73" t="s">
        <v>694</v>
      </c>
      <c r="S180" s="74"/>
      <c r="T180" s="74"/>
      <c r="U180" s="74"/>
      <c r="V180" s="74"/>
      <c r="W180" s="74"/>
      <c r="X180" s="74"/>
      <c r="Y180" s="74"/>
      <c r="Z180" s="74"/>
      <c r="AA180" s="74"/>
      <c r="AB180" s="75"/>
      <c r="AC180" s="251" t="str" cm="1">
        <f t="array" ref="AC180">_xlfn.SWITCH(BM180,"String","varchar("&amp;BN180&amp;")","Long","int","Integer","smallint","Double","decimal(9,2)","Currency","int")</f>
        <v>varchar(20)</v>
      </c>
      <c r="AD180" s="252"/>
      <c r="AE180" s="252"/>
      <c r="AF180" s="252"/>
      <c r="AG180" s="253"/>
      <c r="AH180" s="73"/>
      <c r="AI180" s="75"/>
      <c r="AJ180" s="73"/>
      <c r="AK180" s="74"/>
      <c r="AL180" s="75"/>
      <c r="AM180" s="73"/>
      <c r="AN180" s="74"/>
      <c r="AO180" s="74"/>
      <c r="AP180" s="74"/>
      <c r="AQ180" s="74"/>
      <c r="AR180" s="74"/>
      <c r="AS180" s="75"/>
      <c r="AT180" s="73" t="s">
        <v>470</v>
      </c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5"/>
      <c r="BK180" s="4"/>
      <c r="BM180" t="s">
        <v>449</v>
      </c>
      <c r="BN180">
        <v>20</v>
      </c>
      <c r="BP180" t="str">
        <f t="shared" si="1"/>
        <v>,`DISC_ACCT` varchar(20)  COMMENT '割引アカウント'</v>
      </c>
      <c r="BQ180" t="s">
        <v>223</v>
      </c>
      <c r="BR180" t="str">
        <f t="shared" si="4"/>
        <v xml:space="preserve">,`DISC_ACCT` varchar(20) </v>
      </c>
      <c r="BS180" t="s">
        <v>223</v>
      </c>
      <c r="BT180" t="str">
        <f t="shared" si="25"/>
        <v>,`DISC_ACCT`</v>
      </c>
      <c r="BU180" t="s">
        <v>223</v>
      </c>
      <c r="BV180" s="82" t="str">
        <f t="shared" si="2"/>
        <v>,A.`DISC_ACCT` = B.`DISC_ACCT`</v>
      </c>
      <c r="BW180" t="s">
        <v>223</v>
      </c>
      <c r="BX180" s="82" t="str">
        <f t="shared" si="6"/>
        <v>,`DISC_ACCT`</v>
      </c>
      <c r="BY180" t="s">
        <v>223</v>
      </c>
      <c r="BZ180" s="82" t="str">
        <f t="shared" si="3"/>
        <v>,`DISC_ACCT`</v>
      </c>
      <c r="CA180" t="s">
        <v>223</v>
      </c>
    </row>
    <row r="181" spans="1:79" ht="15" customHeight="1">
      <c r="A181" s="84" t="s">
        <v>592</v>
      </c>
      <c r="B181" s="23">
        <v>9</v>
      </c>
      <c r="C181" s="24"/>
      <c r="D181" s="22" t="s">
        <v>946</v>
      </c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6"/>
      <c r="R181" s="22" t="s">
        <v>1082</v>
      </c>
      <c r="S181" s="25"/>
      <c r="T181" s="25"/>
      <c r="U181" s="25"/>
      <c r="V181" s="25"/>
      <c r="W181" s="25"/>
      <c r="X181" s="25"/>
      <c r="Y181" s="25"/>
      <c r="Z181" s="25"/>
      <c r="AA181" s="25"/>
      <c r="AB181" s="26"/>
      <c r="AC181" s="257" t="str" cm="1">
        <f t="array" ref="AC181">_xlfn.SWITCH(BM181,"String","varchar("&amp;BN181&amp;")","Long","int","Integer","smallint","Double","decimal(9,2)","Currency","int")</f>
        <v>int</v>
      </c>
      <c r="AD181" s="258"/>
      <c r="AE181" s="258"/>
      <c r="AF181" s="258"/>
      <c r="AG181" s="259"/>
      <c r="AH181" s="22"/>
      <c r="AI181" s="26"/>
      <c r="AJ181" s="22"/>
      <c r="AK181" s="25"/>
      <c r="AL181" s="26"/>
      <c r="AM181" s="22"/>
      <c r="AN181" s="25"/>
      <c r="AO181" s="25"/>
      <c r="AP181" s="25"/>
      <c r="AQ181" s="25"/>
      <c r="AR181" s="25"/>
      <c r="AS181" s="26"/>
      <c r="AT181" s="22" t="s">
        <v>1126</v>
      </c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6"/>
      <c r="BK181" s="4"/>
      <c r="BM181" t="s">
        <v>450</v>
      </c>
      <c r="BP181" t="str">
        <f t="shared" si="1"/>
        <v>,`DISC_CLSS_ID` int  COMMENT '割引クラスID'</v>
      </c>
      <c r="BQ181" t="s">
        <v>223</v>
      </c>
      <c r="BR181" t="str">
        <f t="shared" si="4"/>
        <v xml:space="preserve">,`DISC_CLSS_ID` int </v>
      </c>
      <c r="BS181" t="s">
        <v>223</v>
      </c>
      <c r="BT181" t="str">
        <f t="shared" si="25"/>
        <v>,`DISC_CLSS_ID`</v>
      </c>
      <c r="BU181" t="s">
        <v>223</v>
      </c>
      <c r="BV181" s="82" t="str">
        <f t="shared" si="2"/>
        <v>,A.`DISC_CLSS_ID` = B.`DISC_CLSS_ID`</v>
      </c>
      <c r="BW181" t="s">
        <v>223</v>
      </c>
      <c r="BX181" s="82" t="str">
        <f t="shared" si="6"/>
        <v>,`DISC_CLSS_ID`</v>
      </c>
      <c r="BY181" t="s">
        <v>223</v>
      </c>
      <c r="BZ181" s="82" t="str">
        <f t="shared" si="3"/>
        <v>,`DISC_CLSS_ID`</v>
      </c>
      <c r="CA181" t="s">
        <v>223</v>
      </c>
    </row>
    <row r="182" spans="1:79" ht="15" customHeight="1">
      <c r="A182" s="84" t="s">
        <v>593</v>
      </c>
      <c r="B182" s="71">
        <v>9</v>
      </c>
      <c r="C182" s="72"/>
      <c r="D182" s="73" t="s">
        <v>947</v>
      </c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5"/>
      <c r="R182" s="73" t="s">
        <v>680</v>
      </c>
      <c r="S182" s="74"/>
      <c r="T182" s="74"/>
      <c r="U182" s="74"/>
      <c r="V182" s="74"/>
      <c r="W182" s="74"/>
      <c r="X182" s="74"/>
      <c r="Y182" s="74"/>
      <c r="Z182" s="74"/>
      <c r="AA182" s="74"/>
      <c r="AB182" s="75"/>
      <c r="AC182" s="251" t="str" cm="1">
        <f t="array" ref="AC182">_xlfn.SWITCH(BM182,"String","varchar("&amp;BN182&amp;")","Long","int","Integer","smallint","Double","decimal(9,2)","Currency","int")</f>
        <v>decimal(9,2)</v>
      </c>
      <c r="AD182" s="252"/>
      <c r="AE182" s="252"/>
      <c r="AF182" s="252"/>
      <c r="AG182" s="253"/>
      <c r="AH182" s="73"/>
      <c r="AI182" s="75"/>
      <c r="AJ182" s="73"/>
      <c r="AK182" s="74"/>
      <c r="AL182" s="75"/>
      <c r="AM182" s="73"/>
      <c r="AN182" s="74"/>
      <c r="AO182" s="74"/>
      <c r="AP182" s="74"/>
      <c r="AQ182" s="74"/>
      <c r="AR182" s="74"/>
      <c r="AS182" s="75"/>
      <c r="AT182" s="73" t="s">
        <v>470</v>
      </c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5"/>
      <c r="BK182" s="4"/>
      <c r="BM182" t="s">
        <v>452</v>
      </c>
      <c r="BP182" t="str">
        <f t="shared" si="1"/>
        <v>,`DISC_ITM_LMT` decimal(9,2)  COMMENT '個数制限'</v>
      </c>
      <c r="BQ182" t="s">
        <v>223</v>
      </c>
      <c r="BR182" t="str">
        <f t="shared" si="4"/>
        <v xml:space="preserve">,`DISC_ITM_LMT` decimal(9,2) </v>
      </c>
      <c r="BS182" t="s">
        <v>223</v>
      </c>
      <c r="BT182" t="str">
        <f t="shared" si="25"/>
        <v>,`DISC_ITM_LMT`</v>
      </c>
      <c r="BU182" t="s">
        <v>223</v>
      </c>
      <c r="BV182" s="82" t="str">
        <f t="shared" si="2"/>
        <v>,A.`DISC_ITM_LMT` = B.`DISC_ITM_LMT`</v>
      </c>
      <c r="BW182" t="s">
        <v>223</v>
      </c>
      <c r="BX182" s="82" t="str">
        <f t="shared" si="6"/>
        <v>,`DISC_ITM_LMT`</v>
      </c>
      <c r="BY182" t="s">
        <v>223</v>
      </c>
      <c r="BZ182" s="82" t="str">
        <f t="shared" si="3"/>
        <v>,`DISC_ITM_LMT`</v>
      </c>
      <c r="CA182" t="s">
        <v>223</v>
      </c>
    </row>
    <row r="183" spans="1:79" ht="15" customHeight="1">
      <c r="A183" s="84" t="s">
        <v>594</v>
      </c>
      <c r="B183" s="71">
        <v>9</v>
      </c>
      <c r="C183" s="72"/>
      <c r="D183" s="73" t="s">
        <v>948</v>
      </c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5"/>
      <c r="R183" s="73" t="s">
        <v>696</v>
      </c>
      <c r="S183" s="74"/>
      <c r="T183" s="74"/>
      <c r="U183" s="74"/>
      <c r="V183" s="74"/>
      <c r="W183" s="74"/>
      <c r="X183" s="74"/>
      <c r="Y183" s="74"/>
      <c r="Z183" s="74"/>
      <c r="AA183" s="74"/>
      <c r="AB183" s="75"/>
      <c r="AC183" s="251" t="str" cm="1">
        <f t="array" ref="AC183">_xlfn.SWITCH(BM183,"String","varchar("&amp;BN183&amp;")","Long","int","Integer","smallint","Double","decimal(9,2)","Currency","int")</f>
        <v>smallint</v>
      </c>
      <c r="AD183" s="252"/>
      <c r="AE183" s="252"/>
      <c r="AF183" s="252"/>
      <c r="AG183" s="253"/>
      <c r="AH183" s="73"/>
      <c r="AI183" s="75"/>
      <c r="AJ183" s="73"/>
      <c r="AK183" s="74"/>
      <c r="AL183" s="75"/>
      <c r="AM183" s="73"/>
      <c r="AN183" s="74"/>
      <c r="AO183" s="74"/>
      <c r="AP183" s="74"/>
      <c r="AQ183" s="74"/>
      <c r="AR183" s="74"/>
      <c r="AS183" s="75"/>
      <c r="AT183" s="73" t="s">
        <v>470</v>
      </c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5"/>
      <c r="BK183" s="4"/>
      <c r="BM183" t="s">
        <v>451</v>
      </c>
      <c r="BP183" t="str">
        <f t="shared" si="1"/>
        <v>,`MAX_DISC_AMT` smallint  COMMENT '特売最大値引き額'</v>
      </c>
      <c r="BQ183" t="s">
        <v>223</v>
      </c>
      <c r="BR183" t="str">
        <f t="shared" si="4"/>
        <v xml:space="preserve">,`MAX_DISC_AMT` smallint </v>
      </c>
      <c r="BS183" t="s">
        <v>223</v>
      </c>
      <c r="BT183" t="str">
        <f t="shared" si="25"/>
        <v>,`MAX_DISC_AMT`</v>
      </c>
      <c r="BU183" t="s">
        <v>223</v>
      </c>
      <c r="BV183" s="82" t="str">
        <f t="shared" si="2"/>
        <v>,A.`MAX_DISC_AMT` = B.`MAX_DISC_AMT`</v>
      </c>
      <c r="BW183" t="s">
        <v>223</v>
      </c>
      <c r="BX183" s="82" t="str">
        <f t="shared" si="6"/>
        <v>,`MAX_DISC_AMT`</v>
      </c>
      <c r="BY183" t="s">
        <v>223</v>
      </c>
      <c r="BZ183" s="82" t="str">
        <f t="shared" si="3"/>
        <v>,`MAX_DISC_AMT`</v>
      </c>
      <c r="CA183" t="s">
        <v>223</v>
      </c>
    </row>
    <row r="184" spans="1:79" ht="15" customHeight="1">
      <c r="A184" s="84" t="s">
        <v>595</v>
      </c>
      <c r="B184" s="71">
        <v>9</v>
      </c>
      <c r="C184" s="72"/>
      <c r="D184" s="73" t="s">
        <v>651</v>
      </c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5"/>
      <c r="R184" s="73" t="s">
        <v>697</v>
      </c>
      <c r="S184" s="74"/>
      <c r="T184" s="74"/>
      <c r="U184" s="74"/>
      <c r="V184" s="74"/>
      <c r="W184" s="74"/>
      <c r="X184" s="74"/>
      <c r="Y184" s="74"/>
      <c r="Z184" s="74"/>
      <c r="AA184" s="74"/>
      <c r="AB184" s="75"/>
      <c r="AC184" s="251" t="str" cm="1">
        <f t="array" ref="AC184">_xlfn.SWITCH(BM184,"String","varchar("&amp;BN184&amp;")","Long","int","Integer","smallint","Double","decimal(9,2)","Currency","int")</f>
        <v>smallint</v>
      </c>
      <c r="AD184" s="252"/>
      <c r="AE184" s="252"/>
      <c r="AF184" s="252"/>
      <c r="AG184" s="253"/>
      <c r="AH184" s="73"/>
      <c r="AI184" s="75"/>
      <c r="AJ184" s="73"/>
      <c r="AK184" s="74"/>
      <c r="AL184" s="75"/>
      <c r="AM184" s="73"/>
      <c r="AN184" s="74"/>
      <c r="AO184" s="74"/>
      <c r="AP184" s="74"/>
      <c r="AQ184" s="74"/>
      <c r="AR184" s="74"/>
      <c r="AS184" s="75"/>
      <c r="AT184" s="73" t="s">
        <v>470</v>
      </c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5"/>
      <c r="BK184" s="4"/>
      <c r="BM184" t="s">
        <v>451</v>
      </c>
      <c r="BP184" t="str">
        <f t="shared" si="1"/>
        <v>,`DISC_TRAN_CNT` smallint  COMMENT '割引トラン数'</v>
      </c>
      <c r="BQ184" t="s">
        <v>223</v>
      </c>
      <c r="BR184" t="str">
        <f t="shared" si="4"/>
        <v xml:space="preserve">,`DISC_TRAN_CNT` smallint </v>
      </c>
      <c r="BS184" t="s">
        <v>223</v>
      </c>
      <c r="BT184" t="str">
        <f t="shared" si="25"/>
        <v>,`DISC_TRAN_CNT`</v>
      </c>
      <c r="BU184" t="s">
        <v>223</v>
      </c>
      <c r="BV184" s="82" t="str">
        <f t="shared" si="2"/>
        <v>,A.`DISC_TRAN_CNT` = B.`DISC_TRAN_CNT`</v>
      </c>
      <c r="BW184" t="s">
        <v>223</v>
      </c>
      <c r="BX184" s="82" t="str">
        <f t="shared" si="6"/>
        <v>,`DISC_TRAN_CNT`</v>
      </c>
      <c r="BY184" t="s">
        <v>223</v>
      </c>
      <c r="BZ184" s="82" t="str">
        <f t="shared" si="3"/>
        <v>,`DISC_TRAN_CNT`</v>
      </c>
      <c r="CA184" t="s">
        <v>223</v>
      </c>
    </row>
    <row r="185" spans="1:79" ht="15" customHeight="1">
      <c r="A185" s="84" t="s">
        <v>596</v>
      </c>
      <c r="B185" s="71">
        <v>9</v>
      </c>
      <c r="C185" s="72"/>
      <c r="D185" s="73" t="s">
        <v>949</v>
      </c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5"/>
      <c r="R185" s="73" t="s">
        <v>698</v>
      </c>
      <c r="S185" s="74"/>
      <c r="T185" s="74"/>
      <c r="U185" s="74"/>
      <c r="V185" s="74"/>
      <c r="W185" s="74"/>
      <c r="X185" s="74"/>
      <c r="Y185" s="74"/>
      <c r="Z185" s="74"/>
      <c r="AA185" s="74"/>
      <c r="AB185" s="75"/>
      <c r="AC185" s="251" t="str" cm="1">
        <f t="array" ref="AC185">_xlfn.SWITCH(BM185,"String","varchar("&amp;BN185&amp;")","Long","int","Integer","smallint","Double","decimal(9,2)","Currency","int")</f>
        <v>int</v>
      </c>
      <c r="AD185" s="252"/>
      <c r="AE185" s="252"/>
      <c r="AF185" s="252"/>
      <c r="AG185" s="253"/>
      <c r="AH185" s="73"/>
      <c r="AI185" s="75"/>
      <c r="AJ185" s="73"/>
      <c r="AK185" s="74"/>
      <c r="AL185" s="75"/>
      <c r="AM185" s="73"/>
      <c r="AN185" s="74"/>
      <c r="AO185" s="74"/>
      <c r="AP185" s="74"/>
      <c r="AQ185" s="74"/>
      <c r="AR185" s="74"/>
      <c r="AS185" s="75"/>
      <c r="AT185" s="73" t="s">
        <v>470</v>
      </c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5"/>
      <c r="BK185" s="4"/>
      <c r="BM185" t="s">
        <v>450</v>
      </c>
      <c r="BP185" t="str">
        <f t="shared" si="1"/>
        <v>,`BATCH_NBR` int  COMMENT 'バッチＮo.'</v>
      </c>
      <c r="BQ185" t="s">
        <v>223</v>
      </c>
      <c r="BR185" t="str">
        <f t="shared" si="4"/>
        <v xml:space="preserve">,`BATCH_NBR` int </v>
      </c>
      <c r="BS185" t="s">
        <v>223</v>
      </c>
      <c r="BT185" t="str">
        <f t="shared" si="25"/>
        <v>,`BATCH_NBR`</v>
      </c>
      <c r="BU185" t="s">
        <v>223</v>
      </c>
      <c r="BV185" s="82" t="str">
        <f t="shared" si="2"/>
        <v>,A.`BATCH_NBR` = B.`BATCH_NBR`</v>
      </c>
      <c r="BW185" t="s">
        <v>223</v>
      </c>
      <c r="BX185" s="82" t="str">
        <f t="shared" si="6"/>
        <v>,`BATCH_NBR`</v>
      </c>
      <c r="BY185" t="s">
        <v>223</v>
      </c>
      <c r="BZ185" s="82" t="str">
        <f t="shared" si="3"/>
        <v>,`BATCH_NBR`</v>
      </c>
      <c r="CA185" t="s">
        <v>223</v>
      </c>
    </row>
    <row r="186" spans="1:79" ht="15" customHeight="1">
      <c r="A186" s="84" t="s">
        <v>597</v>
      </c>
      <c r="B186" s="71">
        <v>9</v>
      </c>
      <c r="C186" s="72"/>
      <c r="D186" s="73" t="s">
        <v>653</v>
      </c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5"/>
      <c r="R186" s="73" t="s">
        <v>699</v>
      </c>
      <c r="S186" s="74"/>
      <c r="T186" s="74"/>
      <c r="U186" s="74"/>
      <c r="V186" s="74"/>
      <c r="W186" s="74"/>
      <c r="X186" s="74"/>
      <c r="Y186" s="74"/>
      <c r="Z186" s="74"/>
      <c r="AA186" s="74"/>
      <c r="AB186" s="75"/>
      <c r="AC186" s="251" t="str" cm="1">
        <f t="array" ref="AC186">_xlfn.SWITCH(BM186,"String","varchar("&amp;BN186&amp;")","Long","int","Integer","smallint","Double","decimal(9,2)","Currency","int")</f>
        <v>smallint</v>
      </c>
      <c r="AD186" s="252"/>
      <c r="AE186" s="252"/>
      <c r="AF186" s="252"/>
      <c r="AG186" s="253"/>
      <c r="AH186" s="73"/>
      <c r="AI186" s="75"/>
      <c r="AJ186" s="73"/>
      <c r="AK186" s="74"/>
      <c r="AL186" s="75"/>
      <c r="AM186" s="73"/>
      <c r="AN186" s="74"/>
      <c r="AO186" s="74"/>
      <c r="AP186" s="74"/>
      <c r="AQ186" s="74"/>
      <c r="AR186" s="74"/>
      <c r="AS186" s="75"/>
      <c r="AT186" s="73" t="s">
        <v>464</v>
      </c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5"/>
      <c r="BK186" s="4"/>
      <c r="BM186" t="s">
        <v>451</v>
      </c>
      <c r="BP186" t="str">
        <f t="shared" si="1"/>
        <v>,`SEQ_ID` smallint  COMMENT 'シーケンス番号'</v>
      </c>
      <c r="BQ186" t="s">
        <v>223</v>
      </c>
      <c r="BR186" t="str">
        <f t="shared" si="4"/>
        <v xml:space="preserve">,`SEQ_ID` smallint </v>
      </c>
      <c r="BS186" t="s">
        <v>223</v>
      </c>
      <c r="BT186" t="str">
        <f t="shared" si="25"/>
        <v>,`SEQ_ID`</v>
      </c>
      <c r="BU186" t="s">
        <v>223</v>
      </c>
      <c r="BV186" s="82" t="str">
        <f t="shared" si="2"/>
        <v>,A.`SEQ_ID` = B.`SEQ_ID`</v>
      </c>
      <c r="BW186" t="s">
        <v>223</v>
      </c>
      <c r="BX186" s="82" t="str">
        <f t="shared" si="6"/>
        <v>,`SEQ_ID`</v>
      </c>
      <c r="BY186" t="s">
        <v>223</v>
      </c>
      <c r="BZ186" s="82" t="str">
        <f t="shared" si="3"/>
        <v>,`SEQ_ID`</v>
      </c>
      <c r="CA186" t="s">
        <v>223</v>
      </c>
    </row>
    <row r="187" spans="1:79" ht="15" customHeight="1">
      <c r="A187" s="84" t="s">
        <v>598</v>
      </c>
      <c r="B187" s="23">
        <v>9</v>
      </c>
      <c r="C187" s="24"/>
      <c r="D187" s="22" t="s">
        <v>950</v>
      </c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6"/>
      <c r="R187" s="22" t="s">
        <v>1083</v>
      </c>
      <c r="S187" s="25"/>
      <c r="T187" s="25"/>
      <c r="U187" s="25"/>
      <c r="V187" s="25"/>
      <c r="W187" s="25"/>
      <c r="X187" s="25"/>
      <c r="Y187" s="25"/>
      <c r="Z187" s="25"/>
      <c r="AA187" s="25"/>
      <c r="AB187" s="26"/>
      <c r="AC187" s="257" t="str" cm="1">
        <f t="array" ref="AC187">_xlfn.SWITCH(BM187,"String","varchar("&amp;BN187&amp;")","Long","int","Integer","smallint","Double","decimal(9,2)","Currency","int")</f>
        <v>decimal(9,2)</v>
      </c>
      <c r="AD187" s="258"/>
      <c r="AE187" s="258"/>
      <c r="AF187" s="258"/>
      <c r="AG187" s="259"/>
      <c r="AH187" s="22"/>
      <c r="AI187" s="26"/>
      <c r="AJ187" s="22"/>
      <c r="AK187" s="25"/>
      <c r="AL187" s="26"/>
      <c r="AM187" s="22"/>
      <c r="AN187" s="25"/>
      <c r="AO187" s="25"/>
      <c r="AP187" s="25"/>
      <c r="AQ187" s="25"/>
      <c r="AR187" s="25"/>
      <c r="AS187" s="26"/>
      <c r="AT187" s="22" t="s">
        <v>1127</v>
      </c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6"/>
      <c r="BK187" s="4"/>
      <c r="BM187" t="s">
        <v>452</v>
      </c>
      <c r="BP187" t="str">
        <f t="shared" si="1"/>
        <v>,`QTY` decimal(9,2)  COMMENT '数量'</v>
      </c>
      <c r="BQ187" t="s">
        <v>223</v>
      </c>
      <c r="BR187" t="str">
        <f t="shared" si="4"/>
        <v xml:space="preserve">,`QTY` decimal(9,2) </v>
      </c>
      <c r="BS187" t="s">
        <v>223</v>
      </c>
      <c r="BT187" t="str">
        <f t="shared" si="25"/>
        <v>,`QTY`</v>
      </c>
      <c r="BU187" t="s">
        <v>223</v>
      </c>
      <c r="BV187" s="82" t="str">
        <f t="shared" si="2"/>
        <v>,A.`QTY` = B.`QTY`</v>
      </c>
      <c r="BW187" t="s">
        <v>223</v>
      </c>
      <c r="BX187" s="82" t="str">
        <f t="shared" si="6"/>
        <v>,`QTY`</v>
      </c>
      <c r="BY187" t="s">
        <v>223</v>
      </c>
      <c r="BZ187" s="82" t="str">
        <f t="shared" si="3"/>
        <v>,`QTY`</v>
      </c>
      <c r="CA187" t="s">
        <v>223</v>
      </c>
    </row>
    <row r="188" spans="1:79" ht="15" customHeight="1">
      <c r="A188" s="84" t="s">
        <v>599</v>
      </c>
      <c r="B188" s="71">
        <v>9</v>
      </c>
      <c r="C188" s="72"/>
      <c r="D188" s="73" t="s">
        <v>951</v>
      </c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5"/>
      <c r="R188" s="73" t="s">
        <v>702</v>
      </c>
      <c r="S188" s="74"/>
      <c r="T188" s="74"/>
      <c r="U188" s="74"/>
      <c r="V188" s="74"/>
      <c r="W188" s="74"/>
      <c r="X188" s="74"/>
      <c r="Y188" s="74"/>
      <c r="Z188" s="74"/>
      <c r="AA188" s="74"/>
      <c r="AB188" s="75"/>
      <c r="AC188" s="251" t="str" cm="1">
        <f t="array" ref="AC188">_xlfn.SWITCH(BM188,"String","varchar("&amp;BN188&amp;")","Long","int","Integer","smallint","Double","decimal(9,2)","Currency","int")</f>
        <v>smallint</v>
      </c>
      <c r="AD188" s="252"/>
      <c r="AE188" s="252"/>
      <c r="AF188" s="252"/>
      <c r="AG188" s="253"/>
      <c r="AH188" s="73"/>
      <c r="AI188" s="75"/>
      <c r="AJ188" s="73"/>
      <c r="AK188" s="74"/>
      <c r="AL188" s="75"/>
      <c r="AM188" s="73"/>
      <c r="AN188" s="74"/>
      <c r="AO188" s="74"/>
      <c r="AP188" s="74"/>
      <c r="AQ188" s="74"/>
      <c r="AR188" s="74"/>
      <c r="AS188" s="75"/>
      <c r="AT188" s="73" t="s">
        <v>716</v>
      </c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5"/>
      <c r="BK188" s="4"/>
      <c r="BM188" t="s">
        <v>451</v>
      </c>
      <c r="BP188" t="str">
        <f t="shared" si="1"/>
        <v>,`AUX_CD2` smallint  COMMENT 'AUXコード2'</v>
      </c>
      <c r="BQ188" t="s">
        <v>223</v>
      </c>
      <c r="BR188" t="str">
        <f t="shared" si="4"/>
        <v xml:space="preserve">,`AUX_CD2` smallint </v>
      </c>
      <c r="BS188" t="s">
        <v>223</v>
      </c>
      <c r="BT188" t="str">
        <f t="shared" si="25"/>
        <v>,`AUX_CD2`</v>
      </c>
      <c r="BU188" t="s">
        <v>223</v>
      </c>
      <c r="BV188" s="82" t="str">
        <f t="shared" si="2"/>
        <v>,A.`AUX_CD2` = B.`AUX_CD2`</v>
      </c>
      <c r="BW188" t="s">
        <v>223</v>
      </c>
      <c r="BX188" s="82" t="str">
        <f t="shared" si="6"/>
        <v>,`AUX_CD2`</v>
      </c>
      <c r="BY188" t="s">
        <v>223</v>
      </c>
      <c r="BZ188" s="82" t="str">
        <f t="shared" si="3"/>
        <v>,`AUX_CD2`</v>
      </c>
      <c r="CA188" t="s">
        <v>223</v>
      </c>
    </row>
    <row r="189" spans="1:79" ht="15" customHeight="1">
      <c r="A189" s="84" t="s">
        <v>600</v>
      </c>
      <c r="B189" s="71">
        <v>9</v>
      </c>
      <c r="C189" s="72"/>
      <c r="D189" s="73" t="s">
        <v>349</v>
      </c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5"/>
      <c r="R189" s="73" t="s">
        <v>443</v>
      </c>
      <c r="S189" s="74"/>
      <c r="T189" s="74"/>
      <c r="U189" s="74"/>
      <c r="V189" s="74"/>
      <c r="W189" s="74"/>
      <c r="X189" s="74"/>
      <c r="Y189" s="74"/>
      <c r="Z189" s="74"/>
      <c r="AA189" s="74"/>
      <c r="AB189" s="75"/>
      <c r="AC189" s="251" t="str" cm="1">
        <f t="array" ref="AC189">_xlfn.SWITCH(BM189,"String","varchar("&amp;BN189&amp;")","Long","int","Integer","smallint","Double","decimal(9,2)","Currency","int")</f>
        <v>int</v>
      </c>
      <c r="AD189" s="252"/>
      <c r="AE189" s="252"/>
      <c r="AF189" s="252"/>
      <c r="AG189" s="253"/>
      <c r="AH189" s="73"/>
      <c r="AI189" s="75"/>
      <c r="AJ189" s="73"/>
      <c r="AK189" s="74"/>
      <c r="AL189" s="75"/>
      <c r="AM189" s="73"/>
      <c r="AN189" s="74"/>
      <c r="AO189" s="74"/>
      <c r="AP189" s="74"/>
      <c r="AQ189" s="74"/>
      <c r="AR189" s="74"/>
      <c r="AS189" s="75"/>
      <c r="AT189" s="73" t="s">
        <v>716</v>
      </c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5"/>
      <c r="BK189" s="4"/>
      <c r="BM189" t="s">
        <v>450</v>
      </c>
      <c r="BP189" t="str">
        <f t="shared" si="1"/>
        <v>,`TNT_ID` int  COMMENT 'テナントコード'</v>
      </c>
      <c r="BQ189" t="s">
        <v>223</v>
      </c>
      <c r="BR189" t="str">
        <f t="shared" si="4"/>
        <v xml:space="preserve">,`TNT_ID` int </v>
      </c>
      <c r="BS189" t="s">
        <v>223</v>
      </c>
      <c r="BT189" t="str">
        <f t="shared" si="25"/>
        <v>,`TNT_ID`</v>
      </c>
      <c r="BU189" t="s">
        <v>223</v>
      </c>
      <c r="BV189" s="82" t="str">
        <f t="shared" si="2"/>
        <v>,A.`TNT_ID` = B.`TNT_ID`</v>
      </c>
      <c r="BW189" t="s">
        <v>223</v>
      </c>
      <c r="BX189" s="82" t="str">
        <f t="shared" si="6"/>
        <v>,`TNT_ID`</v>
      </c>
      <c r="BY189" t="s">
        <v>223</v>
      </c>
      <c r="BZ189" s="82" t="str">
        <f t="shared" si="3"/>
        <v>,`TNT_ID`</v>
      </c>
      <c r="CA189" t="s">
        <v>223</v>
      </c>
    </row>
    <row r="190" spans="1:79" ht="15" customHeight="1">
      <c r="A190" s="84" t="s">
        <v>601</v>
      </c>
      <c r="B190" s="71">
        <v>9</v>
      </c>
      <c r="C190" s="72"/>
      <c r="D190" s="73" t="s">
        <v>952</v>
      </c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5"/>
      <c r="R190" s="73" t="s">
        <v>444</v>
      </c>
      <c r="S190" s="74"/>
      <c r="T190" s="74"/>
      <c r="U190" s="74"/>
      <c r="V190" s="74"/>
      <c r="W190" s="74"/>
      <c r="X190" s="74"/>
      <c r="Y190" s="74"/>
      <c r="Z190" s="74"/>
      <c r="AA190" s="74"/>
      <c r="AB190" s="75"/>
      <c r="AC190" s="251" t="str" cm="1">
        <f t="array" ref="AC190">_xlfn.SWITCH(BM190,"String","varchar("&amp;BN190&amp;")","Long","int","Integer","smallint","Double","decimal(9,2)","Currency","int")</f>
        <v>int</v>
      </c>
      <c r="AD190" s="252"/>
      <c r="AE190" s="252"/>
      <c r="AF190" s="252"/>
      <c r="AG190" s="253"/>
      <c r="AH190" s="73"/>
      <c r="AI190" s="75"/>
      <c r="AJ190" s="73"/>
      <c r="AK190" s="74"/>
      <c r="AL190" s="75"/>
      <c r="AM190" s="73"/>
      <c r="AN190" s="74"/>
      <c r="AO190" s="74"/>
      <c r="AP190" s="74"/>
      <c r="AQ190" s="74"/>
      <c r="AR190" s="74"/>
      <c r="AS190" s="75"/>
      <c r="AT190" s="73" t="s">
        <v>716</v>
      </c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5"/>
      <c r="BK190" s="4"/>
      <c r="BM190" t="s">
        <v>450</v>
      </c>
      <c r="BP190" t="str">
        <f t="shared" si="1"/>
        <v>,`PLU_QUAL_TYP2` int  COMMENT 'PLU属性２'</v>
      </c>
      <c r="BQ190" t="s">
        <v>223</v>
      </c>
      <c r="BR190" t="str">
        <f t="shared" si="4"/>
        <v xml:space="preserve">,`PLU_QUAL_TYP2` int </v>
      </c>
      <c r="BS190" t="s">
        <v>223</v>
      </c>
      <c r="BT190" t="str">
        <f t="shared" si="25"/>
        <v>,`PLU_QUAL_TYP2`</v>
      </c>
      <c r="BU190" t="s">
        <v>223</v>
      </c>
      <c r="BV190" s="82" t="str">
        <f t="shared" si="2"/>
        <v>,A.`PLU_QUAL_TYP2` = B.`PLU_QUAL_TYP2`</v>
      </c>
      <c r="BW190" t="s">
        <v>223</v>
      </c>
      <c r="BX190" s="82" t="str">
        <f t="shared" si="6"/>
        <v>,`PLU_QUAL_TYP2`</v>
      </c>
      <c r="BY190" t="s">
        <v>223</v>
      </c>
      <c r="BZ190" s="82" t="str">
        <f t="shared" si="3"/>
        <v>,`PLU_QUAL_TYP2`</v>
      </c>
      <c r="CA190" t="s">
        <v>223</v>
      </c>
    </row>
    <row r="191" spans="1:79" ht="15" customHeight="1">
      <c r="A191" s="84" t="s">
        <v>602</v>
      </c>
      <c r="B191" s="23">
        <v>9</v>
      </c>
      <c r="C191" s="24"/>
      <c r="D191" s="22" t="s">
        <v>351</v>
      </c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6"/>
      <c r="R191" s="22" t="s">
        <v>445</v>
      </c>
      <c r="S191" s="25"/>
      <c r="T191" s="25"/>
      <c r="U191" s="25"/>
      <c r="V191" s="25"/>
      <c r="W191" s="25"/>
      <c r="X191" s="25"/>
      <c r="Y191" s="25"/>
      <c r="Z191" s="25"/>
      <c r="AA191" s="25"/>
      <c r="AB191" s="26"/>
      <c r="AC191" s="257" t="str" cm="1">
        <f t="array" ref="AC191">_xlfn.SWITCH(BM191,"String","varchar("&amp;BN191&amp;")","Long","int","Integer","smallint","Double","decimal(9,2)","Currency","int")</f>
        <v>varchar(8)</v>
      </c>
      <c r="AD191" s="258"/>
      <c r="AE191" s="258"/>
      <c r="AF191" s="258"/>
      <c r="AG191" s="259"/>
      <c r="AH191" s="22"/>
      <c r="AI191" s="26"/>
      <c r="AJ191" s="22"/>
      <c r="AK191" s="25"/>
      <c r="AL191" s="26"/>
      <c r="AM191" s="22"/>
      <c r="AN191" s="25"/>
      <c r="AO191" s="25"/>
      <c r="AP191" s="25"/>
      <c r="AQ191" s="25"/>
      <c r="AR191" s="25"/>
      <c r="AS191" s="26"/>
      <c r="AT191" s="22" t="s">
        <v>1128</v>
      </c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6"/>
      <c r="BK191" s="4"/>
      <c r="BM191" t="s">
        <v>449</v>
      </c>
      <c r="BN191">
        <v>8</v>
      </c>
      <c r="BP191" t="str">
        <f t="shared" si="1"/>
        <v>,`CRT_DT` varchar(8)  COMMENT '作成日'</v>
      </c>
      <c r="BQ191" t="s">
        <v>223</v>
      </c>
      <c r="BR191" t="str">
        <f t="shared" si="4"/>
        <v xml:space="preserve">,`CRT_DT` varchar(8) </v>
      </c>
      <c r="BS191" t="s">
        <v>223</v>
      </c>
      <c r="BT191" t="str">
        <f t="shared" si="25"/>
        <v>,`CRT_DT`</v>
      </c>
      <c r="BU191" t="s">
        <v>223</v>
      </c>
      <c r="BV191" s="82" t="str">
        <f t="shared" si="2"/>
        <v>,A.`CRT_DT` = B.`CRT_DT`</v>
      </c>
      <c r="BW191" t="s">
        <v>223</v>
      </c>
      <c r="BX191" s="82" t="str">
        <f t="shared" si="6"/>
        <v>,`CRT_DT`</v>
      </c>
      <c r="BY191" t="s">
        <v>223</v>
      </c>
      <c r="BZ191" s="82" t="str">
        <f t="shared" si="3"/>
        <v>,`CRT_DT`</v>
      </c>
      <c r="CA191" t="s">
        <v>223</v>
      </c>
    </row>
    <row r="192" spans="1:79" ht="15" customHeight="1">
      <c r="A192" s="84" t="s">
        <v>603</v>
      </c>
      <c r="B192" s="23">
        <v>9</v>
      </c>
      <c r="C192" s="24"/>
      <c r="D192" s="22" t="s">
        <v>352</v>
      </c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6"/>
      <c r="R192" s="22" t="s">
        <v>446</v>
      </c>
      <c r="S192" s="25"/>
      <c r="T192" s="25"/>
      <c r="U192" s="25"/>
      <c r="V192" s="25"/>
      <c r="W192" s="25"/>
      <c r="X192" s="25"/>
      <c r="Y192" s="25"/>
      <c r="Z192" s="25"/>
      <c r="AA192" s="25"/>
      <c r="AB192" s="26"/>
      <c r="AC192" s="257" t="str" cm="1">
        <f t="array" ref="AC192">_xlfn.SWITCH(BM192,"String","varchar("&amp;BN192&amp;")","Long","int","Integer","smallint","Double","decimal(9,2)","Currency","int")</f>
        <v>varchar(8)</v>
      </c>
      <c r="AD192" s="258"/>
      <c r="AE192" s="258"/>
      <c r="AF192" s="258"/>
      <c r="AG192" s="259"/>
      <c r="AH192" s="22"/>
      <c r="AI192" s="26"/>
      <c r="AJ192" s="22"/>
      <c r="AK192" s="25"/>
      <c r="AL192" s="26"/>
      <c r="AM192" s="22"/>
      <c r="AN192" s="25"/>
      <c r="AO192" s="25"/>
      <c r="AP192" s="25"/>
      <c r="AQ192" s="25"/>
      <c r="AR192" s="25"/>
      <c r="AS192" s="26"/>
      <c r="AT192" s="22" t="s">
        <v>1128</v>
      </c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6"/>
      <c r="BK192" s="4"/>
      <c r="BM192" t="s">
        <v>449</v>
      </c>
      <c r="BN192">
        <v>8</v>
      </c>
      <c r="BP192" t="str">
        <f t="shared" si="1"/>
        <v>,`PRCS_DT` varchar(8)  COMMENT '処理日'</v>
      </c>
      <c r="BQ192" t="s">
        <v>223</v>
      </c>
      <c r="BR192" t="str">
        <f t="shared" si="4"/>
        <v xml:space="preserve">,`PRCS_DT` varchar(8) </v>
      </c>
      <c r="BS192" t="s">
        <v>223</v>
      </c>
      <c r="BT192" t="str">
        <f t="shared" si="25"/>
        <v>,`PRCS_DT`</v>
      </c>
      <c r="BU192" t="s">
        <v>223</v>
      </c>
      <c r="BV192" s="82" t="str">
        <f t="shared" si="2"/>
        <v>,A.`PRCS_DT` = B.`PRCS_DT`</v>
      </c>
      <c r="BW192" t="s">
        <v>223</v>
      </c>
      <c r="BX192" s="82" t="str">
        <f t="shared" si="6"/>
        <v>,`PRCS_DT`</v>
      </c>
      <c r="BY192" t="s">
        <v>223</v>
      </c>
      <c r="BZ192" s="82" t="str">
        <f t="shared" si="3"/>
        <v>,`PRCS_DT`</v>
      </c>
      <c r="CA192" t="s">
        <v>223</v>
      </c>
    </row>
    <row r="193" spans="1:79" ht="15" customHeight="1">
      <c r="A193" s="84" t="s">
        <v>604</v>
      </c>
      <c r="B193" s="23">
        <v>9</v>
      </c>
      <c r="C193" s="24"/>
      <c r="D193" s="22" t="s">
        <v>953</v>
      </c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6"/>
      <c r="R193" s="22" t="s">
        <v>447</v>
      </c>
      <c r="S193" s="25"/>
      <c r="T193" s="25"/>
      <c r="U193" s="25"/>
      <c r="V193" s="25"/>
      <c r="W193" s="25"/>
      <c r="X193" s="25"/>
      <c r="Y193" s="25"/>
      <c r="Z193" s="25"/>
      <c r="AA193" s="25"/>
      <c r="AB193" s="26"/>
      <c r="AC193" s="257" t="str" cm="1">
        <f t="array" ref="AC193">_xlfn.SWITCH(BM193,"String","varchar("&amp;BN193&amp;")","Long","int","Integer","smallint","Double","decimal(9,2)","Currency","int")</f>
        <v>varchar(8)</v>
      </c>
      <c r="AD193" s="258"/>
      <c r="AE193" s="258"/>
      <c r="AF193" s="258"/>
      <c r="AG193" s="259"/>
      <c r="AH193" s="22"/>
      <c r="AI193" s="26"/>
      <c r="AJ193" s="22"/>
      <c r="AK193" s="25"/>
      <c r="AL193" s="26"/>
      <c r="AM193" s="22"/>
      <c r="AN193" s="25"/>
      <c r="AO193" s="25"/>
      <c r="AP193" s="25"/>
      <c r="AQ193" s="25"/>
      <c r="AR193" s="25"/>
      <c r="AS193" s="26"/>
      <c r="AT193" s="22" t="s">
        <v>1129</v>
      </c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6"/>
      <c r="BK193" s="4"/>
      <c r="BM193" t="s">
        <v>449</v>
      </c>
      <c r="BN193">
        <v>8</v>
      </c>
      <c r="BP193" t="str">
        <f t="shared" si="1"/>
        <v>,`RCV_DT` varchar(8)  COMMENT '受信日'</v>
      </c>
      <c r="BQ193" t="s">
        <v>223</v>
      </c>
      <c r="BR193" t="str">
        <f t="shared" si="4"/>
        <v xml:space="preserve">,`RCV_DT` varchar(8) </v>
      </c>
      <c r="BS193" t="s">
        <v>223</v>
      </c>
      <c r="BT193" t="str">
        <f t="shared" si="25"/>
        <v>,`RCV_DT`</v>
      </c>
      <c r="BU193" t="s">
        <v>223</v>
      </c>
      <c r="BV193" s="82" t="str">
        <f t="shared" si="2"/>
        <v>,A.`RCV_DT` = B.`RCV_DT`</v>
      </c>
      <c r="BW193" t="s">
        <v>223</v>
      </c>
      <c r="BX193" s="82" t="str">
        <f t="shared" si="6"/>
        <v>,`RCV_DT`</v>
      </c>
      <c r="BY193" t="s">
        <v>223</v>
      </c>
      <c r="BZ193" s="82" t="str">
        <f t="shared" si="3"/>
        <v>,`RCV_DT`</v>
      </c>
      <c r="CA193" t="s">
        <v>223</v>
      </c>
    </row>
    <row r="194" spans="1:79" ht="15" customHeight="1">
      <c r="A194" s="84" t="s">
        <v>605</v>
      </c>
      <c r="B194" s="23">
        <v>9</v>
      </c>
      <c r="C194" s="24"/>
      <c r="D194" s="22" t="s">
        <v>954</v>
      </c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6"/>
      <c r="R194" s="22" t="s">
        <v>448</v>
      </c>
      <c r="S194" s="25"/>
      <c r="T194" s="25"/>
      <c r="U194" s="25"/>
      <c r="V194" s="25"/>
      <c r="W194" s="25"/>
      <c r="X194" s="25"/>
      <c r="Y194" s="25"/>
      <c r="Z194" s="25"/>
      <c r="AA194" s="25"/>
      <c r="AB194" s="26"/>
      <c r="AC194" s="257" t="str" cm="1">
        <f t="array" ref="AC194">_xlfn.SWITCH(BM194,"String","varchar("&amp;BN194&amp;")","Long","int","Integer","smallint","Double","decimal(9,2)","Currency","int")</f>
        <v>varchar(1)</v>
      </c>
      <c r="AD194" s="258"/>
      <c r="AE194" s="258"/>
      <c r="AF194" s="258"/>
      <c r="AG194" s="259"/>
      <c r="AH194" s="22"/>
      <c r="AI194" s="26"/>
      <c r="AJ194" s="22"/>
      <c r="AK194" s="25"/>
      <c r="AL194" s="26"/>
      <c r="AM194" s="22"/>
      <c r="AN194" s="25"/>
      <c r="AO194" s="25"/>
      <c r="AP194" s="25"/>
      <c r="AQ194" s="25"/>
      <c r="AR194" s="25"/>
      <c r="AS194" s="26"/>
      <c r="AT194" s="22" t="s">
        <v>723</v>
      </c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6"/>
      <c r="BK194" s="4"/>
      <c r="BM194" t="s">
        <v>449</v>
      </c>
      <c r="BN194">
        <v>1</v>
      </c>
      <c r="BP194" t="str">
        <f t="shared" si="1"/>
        <v>,`PRCS_FG` varchar(1)  COMMENT '処理フラグ'</v>
      </c>
      <c r="BQ194" t="s">
        <v>223</v>
      </c>
      <c r="BR194" t="str">
        <f t="shared" si="4"/>
        <v xml:space="preserve">,`PRCS_FG` varchar(1) </v>
      </c>
      <c r="BS194" t="s">
        <v>223</v>
      </c>
      <c r="BT194" t="str">
        <f t="shared" si="25"/>
        <v>,`PRCS_FG`</v>
      </c>
      <c r="BU194" t="s">
        <v>223</v>
      </c>
      <c r="BV194" s="82" t="str">
        <f t="shared" si="2"/>
        <v>,A.`PRCS_FG` = B.`PRCS_FG`</v>
      </c>
      <c r="BW194" t="s">
        <v>223</v>
      </c>
      <c r="BX194" s="82" t="str">
        <f t="shared" si="6"/>
        <v>,`PRCS_FG`</v>
      </c>
      <c r="BY194" t="s">
        <v>223</v>
      </c>
      <c r="BZ194" s="82" t="str">
        <f t="shared" si="3"/>
        <v>,`PRCS_FG`</v>
      </c>
      <c r="CA194" t="s">
        <v>223</v>
      </c>
    </row>
    <row r="195" spans="1:79" ht="15" customHeight="1">
      <c r="A195" s="84"/>
      <c r="BK195" s="4"/>
      <c r="BP19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(`STR_ID`,`EVNT_TYP`,`EVNT_NBR`,`MBR_FG`,`DESCR`),</v>
      </c>
      <c r="BQ195" t="s">
        <v>223</v>
      </c>
      <c r="BR19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(`STR_ID`,`EVNT_TYP`,`EVNT_NBR`,`MBR_FG`,`DESCR`)</v>
      </c>
      <c r="BS195" t="s">
        <v>223</v>
      </c>
      <c r="BT195" s="82" t="s">
        <v>226</v>
      </c>
      <c r="BU195" t="s">
        <v>223</v>
      </c>
      <c r="BV195" s="82" t="s">
        <v>231</v>
      </c>
      <c r="BW195" t="s">
        <v>223</v>
      </c>
      <c r="BY195" t="s">
        <v>223</v>
      </c>
      <c r="BZ195" s="82" t="str">
        <f>"FROM `TMP`.`"&amp;$G$10&amp;"` A"</f>
        <v>FROM `TMP`.`GHBUNDLEM` A</v>
      </c>
      <c r="CA195" t="s">
        <v>223</v>
      </c>
    </row>
    <row r="196" spans="1:79" ht="15" customHeight="1">
      <c r="A196" s="84"/>
      <c r="BK196" s="4"/>
      <c r="BP196" s="82" t="s">
        <v>222</v>
      </c>
      <c r="BQ196" t="s">
        <v>223</v>
      </c>
      <c r="BR196" s="82" t="str">
        <f>") ENGINE=InnoDB DEFAULT CHARSET=utf8mb4 COLLATE=utf8mb4_0900_ai_ci COMMENT = '"&amp;$G$9&amp;"_TMP';"</f>
        <v>) ENGINE=InnoDB DEFAULT CHARSET=utf8mb4 COLLATE=utf8mb4_0900_ai_ci COMMENT = 'MMマスタ_TMP';</v>
      </c>
      <c r="BS196" t="s">
        <v>223</v>
      </c>
      <c r="BU196" t="s">
        <v>223</v>
      </c>
      <c r="BV196" s="82" t="str">
        <f>IF(_xlfn.XLOOKUP(1,$AH:$AH,$R:$R,"",0)="","","A.`"&amp;_xlfn.XLOOKUP(1,$AH:$AH,$R:$R,"",0)&amp;"` = B.`"&amp;_xlfn.XLOOKUP(1,$AH:$AH,$R:$R,"",0)&amp;"`")</f>
        <v>A.`STR_ID` = B.`STR_ID`</v>
      </c>
      <c r="BW196" t="s">
        <v>223</v>
      </c>
      <c r="BY196" t="s">
        <v>223</v>
      </c>
      <c r="BZ196" s="82" t="s">
        <v>232</v>
      </c>
      <c r="CA196" t="s">
        <v>223</v>
      </c>
    </row>
    <row r="197" spans="1:79" ht="15" customHeight="1">
      <c r="A197" s="84"/>
      <c r="B197" s="36" t="s">
        <v>47</v>
      </c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4"/>
      <c r="BP197" s="82" t="str">
        <f>") ENGINE=InnoDB DEFAULT CHARSET=utf8mb4 COLLATE=utf8mb4_0900_ai_ci COMMENT = '"&amp;$G$9&amp;"';"</f>
        <v>) ENGINE=InnoDB DEFAULT CHARSET=utf8mb4 COLLATE=utf8mb4_0900_ai_ci COMMENT = 'MMマスタ';</v>
      </c>
      <c r="BQ197" t="s">
        <v>223</v>
      </c>
      <c r="BS197" t="s">
        <v>223</v>
      </c>
      <c r="BU197" t="s">
        <v>223</v>
      </c>
      <c r="BV197" s="82" t="str">
        <f>IF(_xlfn.XLOOKUP(2,$AH:$AH,$R:$R,"",0)="","","AND A.`"&amp;_xlfn.XLOOKUP(2,$AH:$AH,$R:$R,"",0)&amp;"` = B.`"&amp;_xlfn.XLOOKUP(2,$AH:$AH,$R:$R,"",0)&amp;"`")</f>
        <v>AND A.`EVNT_TYP` = B.`EVNT_TYP`</v>
      </c>
      <c r="BW197" t="s">
        <v>223</v>
      </c>
      <c r="BY197" t="s">
        <v>223</v>
      </c>
      <c r="BZ197" s="82" t="str">
        <f>"FROM `REPLICA_KASUMI`.`"&amp;$G$10&amp;"` B"</f>
        <v>FROM `REPLICA_KASUMI`.`GHBUNDLEM` B</v>
      </c>
      <c r="CA197" t="s">
        <v>223</v>
      </c>
    </row>
    <row r="198" spans="1:79" ht="15" customHeight="1">
      <c r="A198" s="84"/>
      <c r="B198" s="33" t="s">
        <v>48</v>
      </c>
      <c r="C198" s="34"/>
      <c r="D198" s="33" t="s">
        <v>49</v>
      </c>
      <c r="E198" s="43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4"/>
      <c r="R198" s="33" t="s">
        <v>50</v>
      </c>
      <c r="S198" s="43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4"/>
      <c r="AL198" s="33" t="s">
        <v>51</v>
      </c>
      <c r="AM198" s="35"/>
      <c r="AN198" s="35"/>
      <c r="AO198" s="44"/>
      <c r="AP198" s="33" t="s">
        <v>52</v>
      </c>
      <c r="AQ198" s="35"/>
      <c r="AR198" s="35"/>
      <c r="AS198" s="34"/>
      <c r="AT198" s="33" t="s">
        <v>46</v>
      </c>
      <c r="AU198" s="43"/>
      <c r="AV198" s="43"/>
      <c r="AW198" s="35"/>
      <c r="AX198" s="35"/>
      <c r="AY198" s="43"/>
      <c r="AZ198" s="35"/>
      <c r="BA198" s="35"/>
      <c r="BB198" s="35"/>
      <c r="BC198" s="35"/>
      <c r="BD198" s="35"/>
      <c r="BE198" s="35"/>
      <c r="BF198" s="35"/>
      <c r="BG198" s="35"/>
      <c r="BH198" s="35"/>
      <c r="BI198" s="43"/>
      <c r="BJ198" s="34"/>
      <c r="BK198" s="4"/>
      <c r="BP198" s="82"/>
      <c r="BQ198" t="s">
        <v>223</v>
      </c>
      <c r="BS198" t="s">
        <v>223</v>
      </c>
      <c r="BU198" t="s">
        <v>223</v>
      </c>
      <c r="BV198" s="82" t="str">
        <f>IF(_xlfn.XLOOKUP(3,$AH:$AH,$R:$R,"",0)="","","AND A.`"&amp;_xlfn.XLOOKUP(3,$AH:$AH,$R:$R,"",0)&amp;"` = B.`"&amp;_xlfn.XLOOKUP(3,$AH:$AH,$R:$R,"",0)&amp;"`")</f>
        <v>AND A.`EVNT_NBR` = B.`EVNT_NBR`</v>
      </c>
      <c r="BW198" t="s">
        <v>223</v>
      </c>
      <c r="BY198" t="s">
        <v>223</v>
      </c>
      <c r="BZ198" s="82" t="s">
        <v>229</v>
      </c>
      <c r="CA198" t="s">
        <v>223</v>
      </c>
    </row>
    <row r="199" spans="1:79" ht="15" customHeight="1">
      <c r="A199" s="84"/>
      <c r="B199" s="37">
        <v>1</v>
      </c>
      <c r="C199" s="38"/>
      <c r="D199" s="37" t="s">
        <v>53</v>
      </c>
      <c r="E199" s="45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8"/>
      <c r="R199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`STR_ID`,`EVNT_TYP`,`EVNT_NBR`,`MBR_FG`,`DESCR`</v>
      </c>
      <c r="S199" s="45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8"/>
      <c r="AL199" s="37" t="s">
        <v>224</v>
      </c>
      <c r="AM199" s="39"/>
      <c r="AN199" s="39"/>
      <c r="AO199" s="46"/>
      <c r="AP199" s="37" t="s">
        <v>224</v>
      </c>
      <c r="AQ199" s="39"/>
      <c r="AR199" s="39"/>
      <c r="AS199" s="38"/>
      <c r="AT199" s="37"/>
      <c r="AU199" s="45"/>
      <c r="AV199" s="45"/>
      <c r="AW199" s="39"/>
      <c r="AX199" s="39"/>
      <c r="AY199" s="45"/>
      <c r="AZ199" s="39"/>
      <c r="BA199" s="39"/>
      <c r="BB199" s="39"/>
      <c r="BC199" s="39"/>
      <c r="BD199" s="39"/>
      <c r="BE199" s="39"/>
      <c r="BF199" s="39"/>
      <c r="BG199" s="39"/>
      <c r="BH199" s="39"/>
      <c r="BI199" s="45"/>
      <c r="BJ199" s="38"/>
      <c r="BK199" s="4"/>
      <c r="BP199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`GHBUNDLEM_CR_Date_Time` BEFORE INSERT ON `GHBUNDLEM` FOR EACH ROW SET NEW.record_create_date = CURRENT_DATE, NEW.record_create_time = CURRENT_TIME, NEW.record_update_date = CURRENT_DATE, NEW.record_update_time = CURRENT_TIME;</v>
      </c>
      <c r="BQ199" t="s">
        <v>223</v>
      </c>
      <c r="BS199" t="s">
        <v>223</v>
      </c>
      <c r="BU199" t="s">
        <v>223</v>
      </c>
      <c r="BV199" s="82" t="str">
        <f>IF(_xlfn.XLOOKUP(4,$AH:$AH,$R:$R,"",0)="","","AND A.`"&amp;_xlfn.XLOOKUP(4,$AH:$AH,$R:$R,"",0)&amp;"` = B.`"&amp;_xlfn.XLOOKUP(4,$AH:$AH,$R:$R,"",0)&amp;"`")</f>
        <v>AND A.`MBR_FG` = B.`MBR_FG`</v>
      </c>
      <c r="BW199" t="s">
        <v>223</v>
      </c>
      <c r="BY199" t="s">
        <v>223</v>
      </c>
      <c r="BZ199" s="82" t="str">
        <f>IF(_xlfn.XLOOKUP(1,$AH:$AH,$R:$R,"",0)="","","A.`"&amp;_xlfn.XLOOKUP(1,$AH:$AH,$R:$R,"",0)&amp;"` = B.`"&amp;_xlfn.XLOOKUP(1,$AH:$AH,$R:$R,"",0)&amp;"`")</f>
        <v>A.`STR_ID` = B.`STR_ID`</v>
      </c>
      <c r="CA199" t="s">
        <v>223</v>
      </c>
    </row>
    <row r="200" spans="1:79" ht="15" customHeight="1">
      <c r="A200" s="84"/>
      <c r="BK200" s="4"/>
      <c r="BP200" s="82" t="str">
        <f>"CREATE TRIGGER `"&amp;$G$10&amp;"_UP_Date_Time` BEFORE UPDATE ON `"&amp;$G$10&amp;"` FOR EACH ROW SET NEW.record_update_date = CURRENT_DATE, NEW.record_update_time = CURRENT_TIME;"</f>
        <v>CREATE TRIGGER `GHBUNDLEM_UP_Date_Time` BEFORE UPDATE ON `GHBUNDLEM` FOR EACH ROW SET NEW.record_update_date = CURRENT_DATE, NEW.record_update_time = CURRENT_TIME;</v>
      </c>
      <c r="BQ200" t="s">
        <v>223</v>
      </c>
      <c r="BS200" t="s">
        <v>223</v>
      </c>
      <c r="BU200" t="s">
        <v>223</v>
      </c>
      <c r="BV200" s="82" t="str">
        <f>IF(_xlfn.XLOOKUP(5,$AH:$AH,$R:$R,"",0)="","","AND A.`"&amp;_xlfn.XLOOKUP(5,$AH:$AH,$R:$R,"",0)&amp;"` = B.`"&amp;_xlfn.XLOOKUP(5,$AH:$AH,$R:$R,"",0)&amp;"`")</f>
        <v>AND A.`DESCR` = B.`DESCR`</v>
      </c>
      <c r="BW200" t="s">
        <v>223</v>
      </c>
      <c r="BY200" t="s">
        <v>223</v>
      </c>
      <c r="BZ200" s="82" t="str">
        <f>IF(_xlfn.XLOOKUP(2,$AH:$AH,$R:$R,"",0)="","","AND A.`"&amp;_xlfn.XLOOKUP(2,$AH:$AH,$R:$R,"",0)&amp;"` = B.`"&amp;_xlfn.XLOOKUP(2,$AH:$AH,$R:$R,"",0)&amp;"`")</f>
        <v>AND A.`EVNT_TYP` = B.`EVNT_TYP`</v>
      </c>
      <c r="CA200" t="s">
        <v>223</v>
      </c>
    </row>
    <row r="201" spans="1:79" ht="15" customHeight="1">
      <c r="A201" s="84"/>
      <c r="BK201" s="4"/>
      <c r="BQ201" t="s">
        <v>223</v>
      </c>
      <c r="BS201" t="s">
        <v>223</v>
      </c>
      <c r="BU201" t="s">
        <v>223</v>
      </c>
      <c r="BV201" s="82" t="str">
        <f>IF(_xlfn.XLOOKUP(6,$AH:$AH,$R:$R,"",0)="","","AND A.`"&amp;_xlfn.XLOOKUP(6,$AH:$AH,$R:$R,"",0)&amp;"` = B.`"&amp;_xlfn.XLOOKUP(6,$AH:$AH,$R:$R,"",0)&amp;"`")</f>
        <v/>
      </c>
      <c r="BW201" t="s">
        <v>223</v>
      </c>
      <c r="BY201" t="s">
        <v>223</v>
      </c>
      <c r="BZ201" s="82" t="str">
        <f>IF(_xlfn.XLOOKUP(3,$AH:$AH,$R:$R,"",0)="","","AND A.`"&amp;_xlfn.XLOOKUP(3,$AH:$AH,$R:$R,"",0)&amp;"` = B.`"&amp;_xlfn.XLOOKUP(3,$AH:$AH,$R:$R,"",0)&amp;"`")</f>
        <v>AND A.`EVNT_NBR` = B.`EVNT_NBR`</v>
      </c>
      <c r="CA201" t="s">
        <v>223</v>
      </c>
    </row>
    <row r="202" spans="1:79" ht="15" customHeight="1">
      <c r="A202" s="84"/>
      <c r="B202" s="36" t="s">
        <v>32</v>
      </c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4"/>
      <c r="BQ202" t="s">
        <v>223</v>
      </c>
      <c r="BS202" t="s">
        <v>223</v>
      </c>
      <c r="BU202" t="s">
        <v>223</v>
      </c>
      <c r="BV202" s="82" t="str">
        <f>IF(_xlfn.XLOOKUP(7,$AH:$AH,$R:$R,"",0)="","","AND A.`"&amp;_xlfn.XLOOKUP(7,$AH:$AH,$R:$R,"",0)&amp;"` = B.`"&amp;_xlfn.XLOOKUP(7,$AH:$AH,$R:$R,"",0)&amp;"`")</f>
        <v/>
      </c>
      <c r="BW202" t="s">
        <v>223</v>
      </c>
      <c r="BY202" t="s">
        <v>223</v>
      </c>
      <c r="BZ202" s="82" t="str">
        <f>IF(_xlfn.XLOOKUP(4,$AH:$AH,$R:$R,"",0)="","","AND A.`"&amp;_xlfn.XLOOKUP(4,$AH:$AH,$R:$R,"",0)&amp;"` = B.`"&amp;_xlfn.XLOOKUP(4,$AH:$AH,$R:$R,"",0)&amp;"`")</f>
        <v>AND A.`MBR_FG` = B.`MBR_FG`</v>
      </c>
      <c r="CA202" t="s">
        <v>223</v>
      </c>
    </row>
    <row r="203" spans="1:79" ht="15" customHeight="1">
      <c r="A203" s="84"/>
      <c r="B203" s="33" t="s">
        <v>33</v>
      </c>
      <c r="C203" s="44"/>
      <c r="D203" s="33" t="s">
        <v>34</v>
      </c>
      <c r="E203" s="43"/>
      <c r="F203" s="43"/>
      <c r="G203" s="43"/>
      <c r="H203" s="43"/>
      <c r="I203" s="43"/>
      <c r="J203" s="43"/>
      <c r="K203" s="43"/>
      <c r="L203" s="35"/>
      <c r="M203" s="35"/>
      <c r="N203" s="35"/>
      <c r="O203" s="35"/>
      <c r="P203" s="35"/>
      <c r="Q203" s="34"/>
      <c r="R203" s="33" t="s">
        <v>35</v>
      </c>
      <c r="S203" s="35"/>
      <c r="T203" s="44"/>
      <c r="U203" s="33" t="s">
        <v>36</v>
      </c>
      <c r="V203" s="35"/>
      <c r="W203" s="43"/>
      <c r="X203" s="44"/>
      <c r="Y203" s="33" t="s">
        <v>37</v>
      </c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4"/>
      <c r="BK203" s="4"/>
      <c r="BQ203" t="s">
        <v>223</v>
      </c>
      <c r="BS203" t="s">
        <v>223</v>
      </c>
      <c r="BU203" t="s">
        <v>223</v>
      </c>
      <c r="BV203" s="82" t="str">
        <f>IF(_xlfn.XLOOKUP(8,$AH:$AH,$R:$R,"",0)="","","AND A.`"&amp;_xlfn.XLOOKUP(8,$AH:$AH,$R:$R,"",0)&amp;"` = B.`"&amp;_xlfn.XLOOKUP(8,$AH:$AH,$R:$R,"",0)&amp;"`")</f>
        <v/>
      </c>
      <c r="BW203" t="s">
        <v>223</v>
      </c>
      <c r="BY203" t="s">
        <v>223</v>
      </c>
      <c r="BZ203" s="82" t="str">
        <f>IF(_xlfn.XLOOKUP(5,$AH:$AH,$R:$R,"",0)="","","AND A.`"&amp;_xlfn.XLOOKUP(5,$AH:$AH,$R:$R,"",0)&amp;"` = B.`"&amp;_xlfn.XLOOKUP(5,$AH:$AH,$R:$R,"",0)&amp;"`")</f>
        <v>AND A.`DESCR` = B.`DESCR`</v>
      </c>
      <c r="CA203" t="s">
        <v>223</v>
      </c>
    </row>
    <row r="204" spans="1:79" ht="15" customHeight="1">
      <c r="A204" s="84"/>
      <c r="B204" s="40">
        <v>1</v>
      </c>
      <c r="C204" s="46"/>
      <c r="D204" s="40" t="str">
        <f>G10&amp;"_"&amp;R204&amp;"_"&amp;"trg"</f>
        <v>GHBUNDLEM_update_trg</v>
      </c>
      <c r="E204" s="45"/>
      <c r="F204" s="45"/>
      <c r="G204" s="45"/>
      <c r="H204" s="45"/>
      <c r="I204" s="45"/>
      <c r="J204" s="45"/>
      <c r="K204" s="45"/>
      <c r="L204" s="41"/>
      <c r="M204" s="41"/>
      <c r="N204" s="41"/>
      <c r="O204" s="41"/>
      <c r="P204" s="41"/>
      <c r="Q204" s="42"/>
      <c r="R204" s="40" t="s">
        <v>38</v>
      </c>
      <c r="S204" s="41"/>
      <c r="T204" s="46"/>
      <c r="U204" s="40" t="s">
        <v>39</v>
      </c>
      <c r="V204" s="41"/>
      <c r="W204" s="45"/>
      <c r="X204" s="46"/>
      <c r="Y204" s="40" t="s">
        <v>40</v>
      </c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2"/>
      <c r="BK204" s="4"/>
      <c r="BQ204" t="s">
        <v>223</v>
      </c>
      <c r="BS204" t="s">
        <v>223</v>
      </c>
      <c r="BU204" t="s">
        <v>223</v>
      </c>
      <c r="BV204" s="82" t="s">
        <v>233</v>
      </c>
      <c r="BW204" t="s">
        <v>223</v>
      </c>
      <c r="BY204" t="s">
        <v>223</v>
      </c>
      <c r="BZ204" s="82" t="str">
        <f>IF(_xlfn.XLOOKUP(6,$AH:$AH,$R:$R,"",0)="","","AND A.`"&amp;_xlfn.XLOOKUP(6,$AH:$AH,$R:$R,"",0)&amp;"` = B.`"&amp;_xlfn.XLOOKUP(6,$AH:$AH,$R:$R,"",0)&amp;"`")</f>
        <v/>
      </c>
      <c r="CA204" t="s">
        <v>223</v>
      </c>
    </row>
    <row r="205" spans="1:79" ht="15" customHeight="1">
      <c r="A205" s="84"/>
      <c r="BK205" s="4"/>
      <c r="BQ205" t="s">
        <v>223</v>
      </c>
      <c r="BS205" t="s">
        <v>223</v>
      </c>
      <c r="BU205" t="s">
        <v>223</v>
      </c>
      <c r="BW205" t="s">
        <v>223</v>
      </c>
      <c r="BY205" t="s">
        <v>223</v>
      </c>
      <c r="BZ205" s="82" t="str">
        <f>IF(_xlfn.XLOOKUP(7,$AH:$AH,$R:$R,"",0)="","","AND A.`"&amp;_xlfn.XLOOKUP(7,$AH:$AH,$R:$R,"",0)&amp;"` = B.`"&amp;_xlfn.XLOOKUP(7,$AH:$AH,$R:$R,"",0)&amp;"`")</f>
        <v/>
      </c>
      <c r="CA205" t="s">
        <v>223</v>
      </c>
    </row>
    <row r="206" spans="1:79" ht="15" customHeight="1">
      <c r="A206" s="84"/>
      <c r="BK206" s="4"/>
      <c r="BQ206" t="s">
        <v>223</v>
      </c>
      <c r="BS206" t="s">
        <v>223</v>
      </c>
      <c r="BU206" t="s">
        <v>223</v>
      </c>
      <c r="BW206" t="s">
        <v>223</v>
      </c>
      <c r="BY206" t="s">
        <v>223</v>
      </c>
      <c r="BZ206" s="82" t="str">
        <f>IF(_xlfn.XLOOKUP(8,$AH:$AH,$R:$R,"",0)="","","AND A.`"&amp;_xlfn.XLOOKUP(8,$AH:$AH,$R:$R,"",0)&amp;"` = B.`"&amp;_xlfn.XLOOKUP(8,$AH:$AH,$R:$R,"",0)&amp;"`")</f>
        <v/>
      </c>
      <c r="CA206" t="s">
        <v>223</v>
      </c>
    </row>
    <row r="207" spans="1:79" ht="15" customHeight="1">
      <c r="A207" s="84"/>
      <c r="BK207" s="4"/>
      <c r="BQ207" t="s">
        <v>223</v>
      </c>
      <c r="BS207" t="s">
        <v>223</v>
      </c>
      <c r="BU207" t="s">
        <v>223</v>
      </c>
      <c r="BW207" t="s">
        <v>223</v>
      </c>
      <c r="BY207" t="s">
        <v>223</v>
      </c>
      <c r="BZ207" s="82" t="s">
        <v>226</v>
      </c>
      <c r="CA207" t="s">
        <v>223</v>
      </c>
    </row>
    <row r="208" spans="1:79" ht="15" customHeight="1">
      <c r="A208" s="84"/>
      <c r="BK208" s="4"/>
      <c r="BQ208" t="s">
        <v>223</v>
      </c>
      <c r="BS208" t="s">
        <v>223</v>
      </c>
      <c r="BU208" t="s">
        <v>223</v>
      </c>
      <c r="BW208" t="s">
        <v>223</v>
      </c>
      <c r="BY208" t="s">
        <v>223</v>
      </c>
      <c r="CA208" t="s">
        <v>223</v>
      </c>
    </row>
    <row r="209" spans="1:79" ht="15" customHeight="1">
      <c r="A209" s="84"/>
      <c r="BK209" s="4"/>
      <c r="BQ209" t="s">
        <v>223</v>
      </c>
      <c r="BS209" t="s">
        <v>223</v>
      </c>
      <c r="BU209" t="s">
        <v>223</v>
      </c>
      <c r="BW209" t="s">
        <v>223</v>
      </c>
      <c r="BY209" t="s">
        <v>223</v>
      </c>
      <c r="BZ209" s="83"/>
      <c r="CA209" t="s">
        <v>223</v>
      </c>
    </row>
    <row r="210" spans="1:79" ht="15" customHeight="1">
      <c r="A210" s="84"/>
      <c r="BK210" s="4"/>
      <c r="BQ210" t="s">
        <v>223</v>
      </c>
      <c r="BS210" t="s">
        <v>223</v>
      </c>
      <c r="BU210" t="s">
        <v>223</v>
      </c>
      <c r="BW210" t="s">
        <v>223</v>
      </c>
      <c r="BY210" t="s">
        <v>223</v>
      </c>
      <c r="BZ210" t="str">
        <f>"DROP TABLE IF EXISTS `TMP`.`"&amp;$G$10&amp;"`;"</f>
        <v>DROP TABLE IF EXISTS `TMP`.`GHBUNDLEM`;</v>
      </c>
      <c r="CA210" t="s">
        <v>223</v>
      </c>
    </row>
    <row r="211" spans="1:79" ht="15" customHeight="1">
      <c r="A211" s="84"/>
      <c r="BK211" s="4"/>
      <c r="BQ211" t="s">
        <v>223</v>
      </c>
      <c r="BS211" t="s">
        <v>223</v>
      </c>
      <c r="BU211" t="s">
        <v>223</v>
      </c>
      <c r="BW211" t="s">
        <v>223</v>
      </c>
      <c r="BY211" t="s">
        <v>223</v>
      </c>
      <c r="BZ211" t="s">
        <v>234</v>
      </c>
      <c r="CA211" t="s">
        <v>223</v>
      </c>
    </row>
    <row r="212" spans="1:79" ht="15" customHeight="1">
      <c r="A212" s="84"/>
      <c r="BK212" s="4"/>
      <c r="BQ212" t="s">
        <v>223</v>
      </c>
      <c r="BS212" t="s">
        <v>223</v>
      </c>
      <c r="BU212" t="s">
        <v>223</v>
      </c>
      <c r="BW212" t="s">
        <v>223</v>
      </c>
      <c r="BY212" t="s">
        <v>223</v>
      </c>
      <c r="CA212" t="s">
        <v>223</v>
      </c>
    </row>
    <row r="213" spans="1:79" ht="15" customHeight="1">
      <c r="A213" s="84"/>
      <c r="BK213" s="4"/>
      <c r="BQ213" t="s">
        <v>223</v>
      </c>
      <c r="BS213" t="s">
        <v>223</v>
      </c>
      <c r="BU213" t="s">
        <v>223</v>
      </c>
      <c r="BW213" t="s">
        <v>223</v>
      </c>
      <c r="BY213" t="s">
        <v>223</v>
      </c>
      <c r="CA213" t="s">
        <v>223</v>
      </c>
    </row>
    <row r="214" spans="1:79" ht="15" customHeight="1">
      <c r="A214" s="84"/>
      <c r="BK214" s="4"/>
      <c r="BQ214" t="s">
        <v>223</v>
      </c>
      <c r="BS214" t="s">
        <v>223</v>
      </c>
      <c r="BU214" t="s">
        <v>223</v>
      </c>
      <c r="BW214" t="s">
        <v>223</v>
      </c>
      <c r="BY214" t="s">
        <v>223</v>
      </c>
      <c r="CA214" t="s">
        <v>223</v>
      </c>
    </row>
    <row r="215" spans="1:79" ht="15" customHeight="1">
      <c r="A215" s="84"/>
      <c r="BK215" s="4"/>
      <c r="BQ215" t="s">
        <v>223</v>
      </c>
      <c r="BS215" t="s">
        <v>223</v>
      </c>
      <c r="BU215" t="s">
        <v>223</v>
      </c>
      <c r="BW215" t="s">
        <v>223</v>
      </c>
      <c r="BY215" t="s">
        <v>223</v>
      </c>
      <c r="CA215" t="s">
        <v>223</v>
      </c>
    </row>
    <row r="216" spans="1:79" ht="15" customHeight="1">
      <c r="A216" s="8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5"/>
      <c r="BQ216" t="s">
        <v>223</v>
      </c>
      <c r="BS216" t="s">
        <v>223</v>
      </c>
      <c r="BU216" t="s">
        <v>223</v>
      </c>
      <c r="BV216" s="82" t="str">
        <f t="shared" ref="BV216:BV223" si="26">",A.`"&amp;R216&amp;"` = B.`"&amp;R216&amp;"`"</f>
        <v>,A.`` = B.``</v>
      </c>
      <c r="BW216" t="s">
        <v>223</v>
      </c>
      <c r="BX216" s="82" t="str">
        <f t="shared" ref="BX216:BX223" si="27">",`"&amp;R216&amp;"`"</f>
        <v>,``</v>
      </c>
      <c r="BY216" t="s">
        <v>223</v>
      </c>
      <c r="BZ216" s="82" t="str">
        <f t="shared" si="3"/>
        <v>,``</v>
      </c>
      <c r="CA216" t="s">
        <v>223</v>
      </c>
    </row>
    <row r="217" spans="1:79">
      <c r="A217" s="84"/>
      <c r="BQ217" t="s">
        <v>223</v>
      </c>
      <c r="BS217" t="s">
        <v>223</v>
      </c>
      <c r="BU217" t="s">
        <v>223</v>
      </c>
      <c r="BV217" s="82" t="str">
        <f t="shared" si="26"/>
        <v>,A.`` = B.``</v>
      </c>
      <c r="BW217" t="s">
        <v>223</v>
      </c>
      <c r="BX217" s="82" t="str">
        <f t="shared" si="27"/>
        <v>,``</v>
      </c>
      <c r="BY217" t="s">
        <v>223</v>
      </c>
      <c r="BZ217" s="82" t="str">
        <f t="shared" si="3"/>
        <v>,``</v>
      </c>
      <c r="CA217" t="s">
        <v>223</v>
      </c>
    </row>
    <row r="218" spans="1:79">
      <c r="A218" s="84"/>
      <c r="BQ218" t="s">
        <v>223</v>
      </c>
      <c r="BS218" t="s">
        <v>223</v>
      </c>
      <c r="BU218" t="s">
        <v>223</v>
      </c>
      <c r="BV218" s="82" t="str">
        <f t="shared" si="26"/>
        <v>,A.`` = B.``</v>
      </c>
      <c r="BW218" t="s">
        <v>223</v>
      </c>
      <c r="BX218" s="82" t="str">
        <f t="shared" si="27"/>
        <v>,``</v>
      </c>
      <c r="BY218" t="s">
        <v>223</v>
      </c>
      <c r="BZ218" s="82" t="str">
        <f t="shared" si="3"/>
        <v>,``</v>
      </c>
      <c r="CA218" t="s">
        <v>223</v>
      </c>
    </row>
    <row r="219" spans="1:79">
      <c r="A219" s="84"/>
      <c r="BQ219" t="s">
        <v>223</v>
      </c>
      <c r="BS219" t="s">
        <v>223</v>
      </c>
      <c r="BU219" t="s">
        <v>223</v>
      </c>
      <c r="BV219" s="82" t="str">
        <f t="shared" si="26"/>
        <v>,A.`` = B.``</v>
      </c>
      <c r="BW219" t="s">
        <v>223</v>
      </c>
      <c r="BX219" s="82" t="str">
        <f t="shared" si="27"/>
        <v>,``</v>
      </c>
      <c r="BY219" t="s">
        <v>223</v>
      </c>
      <c r="BZ219" s="82" t="str">
        <f t="shared" si="3"/>
        <v>,``</v>
      </c>
      <c r="CA219" t="s">
        <v>223</v>
      </c>
    </row>
    <row r="220" spans="1:79">
      <c r="A220" s="84"/>
      <c r="BQ220" t="s">
        <v>223</v>
      </c>
      <c r="BS220" t="s">
        <v>223</v>
      </c>
      <c r="BU220" t="s">
        <v>223</v>
      </c>
      <c r="BV220" s="82" t="str">
        <f t="shared" si="26"/>
        <v>,A.`` = B.``</v>
      </c>
      <c r="BW220" t="s">
        <v>223</v>
      </c>
      <c r="BX220" s="82" t="str">
        <f t="shared" si="27"/>
        <v>,``</v>
      </c>
      <c r="BY220" t="s">
        <v>223</v>
      </c>
      <c r="BZ220" s="82" t="str">
        <f t="shared" si="3"/>
        <v>,``</v>
      </c>
      <c r="CA220" t="s">
        <v>223</v>
      </c>
    </row>
    <row r="221" spans="1:79">
      <c r="A221" s="84"/>
      <c r="BQ221" t="s">
        <v>223</v>
      </c>
      <c r="BS221" t="s">
        <v>223</v>
      </c>
      <c r="BU221" t="s">
        <v>223</v>
      </c>
      <c r="BV221" s="82" t="str">
        <f t="shared" si="26"/>
        <v>,A.`` = B.``</v>
      </c>
      <c r="BW221" t="s">
        <v>223</v>
      </c>
      <c r="BX221" s="82" t="str">
        <f t="shared" si="27"/>
        <v>,``</v>
      </c>
      <c r="BY221" t="s">
        <v>223</v>
      </c>
      <c r="BZ221" s="82" t="str">
        <f t="shared" si="3"/>
        <v>,``</v>
      </c>
      <c r="CA221" t="s">
        <v>223</v>
      </c>
    </row>
    <row r="222" spans="1:79">
      <c r="A222" s="84"/>
      <c r="BQ222" t="s">
        <v>223</v>
      </c>
      <c r="BS222" t="s">
        <v>223</v>
      </c>
      <c r="BU222" t="s">
        <v>223</v>
      </c>
      <c r="BV222" s="82" t="str">
        <f t="shared" si="26"/>
        <v>,A.`` = B.``</v>
      </c>
      <c r="BW222" t="s">
        <v>223</v>
      </c>
      <c r="BX222" s="82" t="str">
        <f t="shared" si="27"/>
        <v>,``</v>
      </c>
      <c r="BY222" t="s">
        <v>223</v>
      </c>
      <c r="BZ222" s="82" t="str">
        <f t="shared" si="3"/>
        <v>,``</v>
      </c>
      <c r="CA222" t="s">
        <v>223</v>
      </c>
    </row>
    <row r="223" spans="1:79">
      <c r="A223" s="83"/>
      <c r="BQ223" t="s">
        <v>223</v>
      </c>
      <c r="BS223" t="s">
        <v>223</v>
      </c>
      <c r="BU223" t="s">
        <v>223</v>
      </c>
      <c r="BV223" s="82" t="str">
        <f t="shared" si="26"/>
        <v>,A.`` = B.``</v>
      </c>
      <c r="BW223" t="s">
        <v>223</v>
      </c>
      <c r="BX223" s="82" t="str">
        <f t="shared" si="27"/>
        <v>,``</v>
      </c>
      <c r="BY223" t="s">
        <v>223</v>
      </c>
      <c r="BZ223" s="82" t="str">
        <f t="shared" si="3"/>
        <v>,``</v>
      </c>
      <c r="CA223" t="s">
        <v>223</v>
      </c>
    </row>
    <row r="224" spans="1:79">
      <c r="BQ224" t="s">
        <v>223</v>
      </c>
      <c r="BS224" t="s">
        <v>223</v>
      </c>
      <c r="BU224" t="s">
        <v>223</v>
      </c>
      <c r="BV224" s="82" t="s">
        <v>231</v>
      </c>
      <c r="BW224" t="s">
        <v>223</v>
      </c>
      <c r="BY224" t="s">
        <v>223</v>
      </c>
      <c r="BZ224" s="82" t="str">
        <f>"FROM `TMP`.`"&amp;$G$10&amp;"` A"</f>
        <v>FROM `TMP`.`GHBUNDLEM` A</v>
      </c>
      <c r="CA224" t="s">
        <v>223</v>
      </c>
    </row>
    <row r="225" spans="69:79">
      <c r="BQ225" t="s">
        <v>223</v>
      </c>
      <c r="BS225" t="s">
        <v>223</v>
      </c>
      <c r="BU225" t="s">
        <v>223</v>
      </c>
      <c r="BV225" s="82" t="str">
        <f>IF(_xlfn.XLOOKUP(1,$AH:$AH,$R:$R,"",0)="","","A.`"&amp;_xlfn.XLOOKUP(1,$AH:$AH,$R:$R,"",0)&amp;"` = B.`"&amp;_xlfn.XLOOKUP(1,$AH:$AH,$R:$R,"",0)&amp;"`")</f>
        <v>A.`STR_ID` = B.`STR_ID`</v>
      </c>
      <c r="BW225" t="s">
        <v>223</v>
      </c>
      <c r="BY225" t="s">
        <v>223</v>
      </c>
      <c r="BZ225" s="82" t="s">
        <v>232</v>
      </c>
      <c r="CA225" t="s">
        <v>223</v>
      </c>
    </row>
    <row r="226" spans="69:79">
      <c r="BQ226" t="s">
        <v>223</v>
      </c>
      <c r="BS226" t="s">
        <v>223</v>
      </c>
      <c r="BU226" t="s">
        <v>223</v>
      </c>
      <c r="BV226" s="82" t="str">
        <f>IF(_xlfn.XLOOKUP(2,$AH:$AH,$R:$R,"",0)="","","AND A.`"&amp;_xlfn.XLOOKUP(2,$AH:$AH,$R:$R,"",0)&amp;"` = B.`"&amp;_xlfn.XLOOKUP(2,$AH:$AH,$R:$R,"",0)&amp;"`")</f>
        <v>AND A.`EVNT_TYP` = B.`EVNT_TYP`</v>
      </c>
      <c r="BW226" t="s">
        <v>223</v>
      </c>
      <c r="BY226" t="s">
        <v>223</v>
      </c>
      <c r="BZ226" s="82" t="str">
        <f>"FROM `REPLICA_KASUMI`.`"&amp;$G$10&amp;"` B"</f>
        <v>FROM `REPLICA_KASUMI`.`GHBUNDLEM` B</v>
      </c>
      <c r="CA226" t="s">
        <v>223</v>
      </c>
    </row>
    <row r="227" spans="69:79">
      <c r="BQ227" t="s">
        <v>223</v>
      </c>
      <c r="BS227" t="s">
        <v>223</v>
      </c>
      <c r="BU227" t="s">
        <v>223</v>
      </c>
      <c r="BV227" s="82" t="str">
        <f>IF(_xlfn.XLOOKUP(3,$AH:$AH,$R:$R,"",0)="","","AND A.`"&amp;_xlfn.XLOOKUP(3,$AH:$AH,$R:$R,"",0)&amp;"` = B.`"&amp;_xlfn.XLOOKUP(3,$AH:$AH,$R:$R,"",0)&amp;"`")</f>
        <v>AND A.`EVNT_NBR` = B.`EVNT_NBR`</v>
      </c>
      <c r="BW227" t="s">
        <v>223</v>
      </c>
      <c r="BY227" t="s">
        <v>223</v>
      </c>
      <c r="BZ227" s="82" t="s">
        <v>229</v>
      </c>
      <c r="CA227" t="s">
        <v>223</v>
      </c>
    </row>
    <row r="228" spans="69:79">
      <c r="BQ228" t="s">
        <v>223</v>
      </c>
      <c r="BS228" t="s">
        <v>223</v>
      </c>
      <c r="BU228" t="s">
        <v>223</v>
      </c>
      <c r="BV228" s="82" t="str">
        <f>IF(_xlfn.XLOOKUP(4,$AH:$AH,$R:$R,"",0)="","","AND A.`"&amp;_xlfn.XLOOKUP(4,$AH:$AH,$R:$R,"",0)&amp;"` = B.`"&amp;_xlfn.XLOOKUP(4,$AH:$AH,$R:$R,"",0)&amp;"`")</f>
        <v>AND A.`MBR_FG` = B.`MBR_FG`</v>
      </c>
      <c r="BW228" t="s">
        <v>223</v>
      </c>
      <c r="BY228" t="s">
        <v>223</v>
      </c>
      <c r="BZ228" s="82" t="str">
        <f>IF(_xlfn.XLOOKUP(1,$AH:$AH,$R:$R,"",0)="","","A.`"&amp;_xlfn.XLOOKUP(1,$AH:$AH,$R:$R,"",0)&amp;"` = B.`"&amp;_xlfn.XLOOKUP(1,$AH:$AH,$R:$R,"",0)&amp;"`")</f>
        <v>A.`STR_ID` = B.`STR_ID`</v>
      </c>
      <c r="CA228" t="s">
        <v>223</v>
      </c>
    </row>
    <row r="229" spans="69:79">
      <c r="BQ229" t="s">
        <v>223</v>
      </c>
      <c r="BS229" t="s">
        <v>223</v>
      </c>
      <c r="BU229" t="s">
        <v>223</v>
      </c>
      <c r="BV229" s="82" t="str">
        <f>IF(_xlfn.XLOOKUP(5,$AH:$AH,$R:$R,"",0)="","","AND A.`"&amp;_xlfn.XLOOKUP(5,$AH:$AH,$R:$R,"",0)&amp;"` = B.`"&amp;_xlfn.XLOOKUP(5,$AH:$AH,$R:$R,"",0)&amp;"`")</f>
        <v>AND A.`DESCR` = B.`DESCR`</v>
      </c>
      <c r="BW229" t="s">
        <v>223</v>
      </c>
      <c r="BY229" t="s">
        <v>223</v>
      </c>
      <c r="BZ229" s="82" t="str">
        <f>IF(_xlfn.XLOOKUP(2,$AH:$AH,$R:$R,"",0)="","","AND A.`"&amp;_xlfn.XLOOKUP(2,$AH:$AH,$R:$R,"",0)&amp;"` = B.`"&amp;_xlfn.XLOOKUP(2,$AH:$AH,$R:$R,"",0)&amp;"`")</f>
        <v>AND A.`EVNT_TYP` = B.`EVNT_TYP`</v>
      </c>
      <c r="CA229" t="s">
        <v>223</v>
      </c>
    </row>
    <row r="230" spans="69:79">
      <c r="BQ230" t="s">
        <v>223</v>
      </c>
      <c r="BS230" t="s">
        <v>223</v>
      </c>
      <c r="BU230" t="s">
        <v>223</v>
      </c>
      <c r="BV230" s="82" t="str">
        <f>IF(_xlfn.XLOOKUP(6,$AH:$AH,$R:$R,"",0)="","","AND A.`"&amp;_xlfn.XLOOKUP(6,$AH:$AH,$R:$R,"",0)&amp;"` = B.`"&amp;_xlfn.XLOOKUP(6,$AH:$AH,$R:$R,"",0)&amp;"`")</f>
        <v/>
      </c>
      <c r="BW230" t="s">
        <v>223</v>
      </c>
      <c r="BY230" t="s">
        <v>223</v>
      </c>
      <c r="BZ230" s="82" t="str">
        <f>IF(_xlfn.XLOOKUP(3,$AH:$AH,$R:$R,"",0)="","","AND A.`"&amp;_xlfn.XLOOKUP(3,$AH:$AH,$R:$R,"",0)&amp;"` = B.`"&amp;_xlfn.XLOOKUP(3,$AH:$AH,$R:$R,"",0)&amp;"`")</f>
        <v>AND A.`EVNT_NBR` = B.`EVNT_NBR`</v>
      </c>
      <c r="CA230" t="s">
        <v>223</v>
      </c>
    </row>
    <row r="231" spans="69:79">
      <c r="BQ231" t="s">
        <v>223</v>
      </c>
      <c r="BS231" t="s">
        <v>223</v>
      </c>
      <c r="BU231" t="s">
        <v>223</v>
      </c>
      <c r="BV231" s="82" t="str">
        <f>IF(_xlfn.XLOOKUP(7,$AH:$AH,$R:$R,"",0)="","","AND A.`"&amp;_xlfn.XLOOKUP(7,$AH:$AH,$R:$R,"",0)&amp;"` = B.`"&amp;_xlfn.XLOOKUP(7,$AH:$AH,$R:$R,"",0)&amp;"`")</f>
        <v/>
      </c>
      <c r="BW231" t="s">
        <v>223</v>
      </c>
      <c r="BY231" t="s">
        <v>223</v>
      </c>
      <c r="BZ231" s="82" t="str">
        <f>IF(_xlfn.XLOOKUP(4,$AH:$AH,$R:$R,"",0)="","","AND A.`"&amp;_xlfn.XLOOKUP(4,$AH:$AH,$R:$R,"",0)&amp;"` = B.`"&amp;_xlfn.XLOOKUP(4,$AH:$AH,$R:$R,"",0)&amp;"`")</f>
        <v>AND A.`MBR_FG` = B.`MBR_FG`</v>
      </c>
      <c r="CA231" t="s">
        <v>223</v>
      </c>
    </row>
    <row r="232" spans="69:79">
      <c r="BQ232" t="s">
        <v>223</v>
      </c>
      <c r="BS232" t="s">
        <v>223</v>
      </c>
      <c r="BU232" t="s">
        <v>223</v>
      </c>
      <c r="BV232" s="82" t="str">
        <f>IF(_xlfn.XLOOKUP(8,$AH:$AH,$R:$R,"",0)="","","AND A.`"&amp;_xlfn.XLOOKUP(8,$AH:$AH,$R:$R,"",0)&amp;"` = B.`"&amp;_xlfn.XLOOKUP(8,$AH:$AH,$R:$R,"",0)&amp;"`")</f>
        <v/>
      </c>
      <c r="BW232" t="s">
        <v>223</v>
      </c>
      <c r="BY232" t="s">
        <v>223</v>
      </c>
      <c r="BZ232" s="82" t="str">
        <f>IF(_xlfn.XLOOKUP(5,$AH:$AH,$R:$R,"",0)="","","AND A.`"&amp;_xlfn.XLOOKUP(5,$AH:$AH,$R:$R,"",0)&amp;"` = B.`"&amp;_xlfn.XLOOKUP(5,$AH:$AH,$R:$R,"",0)&amp;"`")</f>
        <v>AND A.`DESCR` = B.`DESCR`</v>
      </c>
      <c r="CA232" t="s">
        <v>223</v>
      </c>
    </row>
    <row r="233" spans="69:79">
      <c r="BQ233" t="s">
        <v>223</v>
      </c>
      <c r="BS233" t="s">
        <v>223</v>
      </c>
      <c r="BU233" t="s">
        <v>223</v>
      </c>
      <c r="BV233" s="82" t="s">
        <v>233</v>
      </c>
      <c r="BW233" t="s">
        <v>223</v>
      </c>
      <c r="BY233" t="s">
        <v>223</v>
      </c>
      <c r="BZ233" s="82" t="str">
        <f>IF(_xlfn.XLOOKUP(6,$AH:$AH,$R:$R,"",0)="","","AND A.`"&amp;_xlfn.XLOOKUP(6,$AH:$AH,$R:$R,"",0)&amp;"` = B.`"&amp;_xlfn.XLOOKUP(6,$AH:$AH,$R:$R,"",0)&amp;"`")</f>
        <v/>
      </c>
      <c r="CA233" t="s">
        <v>223</v>
      </c>
    </row>
    <row r="234" spans="69:79">
      <c r="BQ234" t="s">
        <v>223</v>
      </c>
      <c r="BS234" t="s">
        <v>223</v>
      </c>
      <c r="BU234" t="s">
        <v>223</v>
      </c>
      <c r="BW234" t="s">
        <v>223</v>
      </c>
      <c r="BY234" t="s">
        <v>223</v>
      </c>
      <c r="BZ234" s="82" t="str">
        <f>IF(_xlfn.XLOOKUP(7,$AH:$AH,$R:$R,"",0)="","","AND A.`"&amp;_xlfn.XLOOKUP(7,$AH:$AH,$R:$R,"",0)&amp;"` = B.`"&amp;_xlfn.XLOOKUP(7,$AH:$AH,$R:$R,"",0)&amp;"`")</f>
        <v/>
      </c>
      <c r="CA234" t="s">
        <v>223</v>
      </c>
    </row>
    <row r="235" spans="69:79">
      <c r="BQ235" t="s">
        <v>223</v>
      </c>
      <c r="BS235" t="s">
        <v>223</v>
      </c>
      <c r="BU235" t="s">
        <v>223</v>
      </c>
      <c r="BW235" t="s">
        <v>223</v>
      </c>
      <c r="BY235" t="s">
        <v>223</v>
      </c>
      <c r="BZ235" s="82" t="str">
        <f>IF(_xlfn.XLOOKUP(8,$AH:$AH,$R:$R,"",0)="","","AND A.`"&amp;_xlfn.XLOOKUP(8,$AH:$AH,$R:$R,"",0)&amp;"` = B.`"&amp;_xlfn.XLOOKUP(8,$AH:$AH,$R:$R,"",0)&amp;"`")</f>
        <v/>
      </c>
      <c r="CA235" t="s">
        <v>223</v>
      </c>
    </row>
    <row r="236" spans="69:79">
      <c r="BQ236" t="s">
        <v>223</v>
      </c>
      <c r="BS236" t="s">
        <v>223</v>
      </c>
      <c r="BU236" t="s">
        <v>223</v>
      </c>
      <c r="BW236" t="s">
        <v>223</v>
      </c>
      <c r="BY236" t="s">
        <v>223</v>
      </c>
      <c r="BZ236" s="82" t="s">
        <v>226</v>
      </c>
      <c r="CA236" t="s">
        <v>223</v>
      </c>
    </row>
    <row r="237" spans="69:79">
      <c r="BQ237" t="s">
        <v>223</v>
      </c>
      <c r="BS237" t="s">
        <v>223</v>
      </c>
      <c r="BU237" t="s">
        <v>223</v>
      </c>
      <c r="BW237" t="s">
        <v>223</v>
      </c>
      <c r="BY237" t="s">
        <v>223</v>
      </c>
      <c r="CA237" t="s">
        <v>223</v>
      </c>
    </row>
    <row r="238" spans="69:79">
      <c r="BQ238" t="s">
        <v>223</v>
      </c>
      <c r="BS238" t="s">
        <v>223</v>
      </c>
      <c r="BU238" t="s">
        <v>223</v>
      </c>
      <c r="BW238" t="s">
        <v>223</v>
      </c>
      <c r="BY238" t="s">
        <v>223</v>
      </c>
      <c r="BZ238" s="83"/>
      <c r="CA238" t="s">
        <v>223</v>
      </c>
    </row>
    <row r="239" spans="69:79">
      <c r="BQ239" t="s">
        <v>223</v>
      </c>
      <c r="BS239" t="s">
        <v>223</v>
      </c>
      <c r="BU239" t="s">
        <v>223</v>
      </c>
      <c r="BW239" t="s">
        <v>223</v>
      </c>
      <c r="BY239" t="s">
        <v>223</v>
      </c>
      <c r="BZ239" t="str">
        <f>"DROP TABLE IF EXISTS `TMP`.`"&amp;$G$10&amp;"`;"</f>
        <v>DROP TABLE IF EXISTS `TMP`.`GHBUNDLEM`;</v>
      </c>
      <c r="CA239" t="s">
        <v>223</v>
      </c>
    </row>
    <row r="240" spans="69:79">
      <c r="BQ240" t="s">
        <v>223</v>
      </c>
      <c r="BS240" t="s">
        <v>223</v>
      </c>
      <c r="BU240" t="s">
        <v>223</v>
      </c>
      <c r="BW240" t="s">
        <v>223</v>
      </c>
      <c r="BY240" t="s">
        <v>223</v>
      </c>
      <c r="BZ240" t="s">
        <v>234</v>
      </c>
      <c r="CA240" t="s">
        <v>223</v>
      </c>
    </row>
    <row r="241" spans="69:79">
      <c r="BQ241" t="s">
        <v>223</v>
      </c>
      <c r="BS241" t="s">
        <v>223</v>
      </c>
      <c r="BU241" t="s">
        <v>223</v>
      </c>
      <c r="BW241" t="s">
        <v>223</v>
      </c>
      <c r="BY241" t="s">
        <v>223</v>
      </c>
      <c r="CA241" t="s">
        <v>223</v>
      </c>
    </row>
    <row r="242" spans="69:79">
      <c r="BQ242" t="s">
        <v>223</v>
      </c>
      <c r="BS242" t="s">
        <v>223</v>
      </c>
      <c r="BU242" t="s">
        <v>223</v>
      </c>
      <c r="BW242" t="s">
        <v>223</v>
      </c>
      <c r="BY242" t="s">
        <v>223</v>
      </c>
      <c r="CA242" t="s">
        <v>223</v>
      </c>
    </row>
    <row r="243" spans="69:79">
      <c r="BQ243" t="s">
        <v>223</v>
      </c>
      <c r="BS243" t="s">
        <v>223</v>
      </c>
      <c r="BU243" t="s">
        <v>223</v>
      </c>
      <c r="BW243" t="s">
        <v>223</v>
      </c>
      <c r="BY243" t="s">
        <v>223</v>
      </c>
      <c r="CA243" t="s">
        <v>223</v>
      </c>
    </row>
    <row r="244" spans="69:79">
      <c r="BQ244" t="s">
        <v>223</v>
      </c>
      <c r="BS244" t="s">
        <v>223</v>
      </c>
      <c r="BU244" t="s">
        <v>223</v>
      </c>
      <c r="BW244" t="s">
        <v>223</v>
      </c>
      <c r="BY244" t="s">
        <v>223</v>
      </c>
      <c r="CA244" t="s">
        <v>223</v>
      </c>
    </row>
    <row r="245" spans="69:79">
      <c r="BQ245" t="s">
        <v>223</v>
      </c>
      <c r="BS245" t="s">
        <v>223</v>
      </c>
      <c r="BU245" t="s">
        <v>223</v>
      </c>
      <c r="BW245" t="s">
        <v>223</v>
      </c>
      <c r="BY245" t="s">
        <v>223</v>
      </c>
      <c r="CA245" t="s">
        <v>223</v>
      </c>
    </row>
  </sheetData>
  <mergeCells count="206">
    <mergeCell ref="AC148:AG148"/>
    <mergeCell ref="AC149:AG149"/>
    <mergeCell ref="AC150:AG150"/>
    <mergeCell ref="AC48:AG48"/>
    <mergeCell ref="AC49:AG49"/>
    <mergeCell ref="AC50:AG50"/>
    <mergeCell ref="AC51:AG51"/>
    <mergeCell ref="AC52:AG52"/>
    <mergeCell ref="AC53:AG53"/>
    <mergeCell ref="AC54:AG54"/>
    <mergeCell ref="AC142:AG142"/>
    <mergeCell ref="AC143:AG143"/>
    <mergeCell ref="AC144:AG144"/>
    <mergeCell ref="AC145:AG145"/>
    <mergeCell ref="AC146:AG146"/>
    <mergeCell ref="AC147:AG147"/>
    <mergeCell ref="AC136:AG136"/>
    <mergeCell ref="AC137:AG137"/>
    <mergeCell ref="AC138:AG138"/>
    <mergeCell ref="AC139:AG139"/>
    <mergeCell ref="AC140:AG140"/>
    <mergeCell ref="AC141:AG141"/>
    <mergeCell ref="AC130:AG130"/>
    <mergeCell ref="AC131:AG131"/>
    <mergeCell ref="AC114:AG114"/>
    <mergeCell ref="AC115:AG115"/>
    <mergeCell ref="AC116:AG116"/>
    <mergeCell ref="AC117:AG117"/>
    <mergeCell ref="AC132:AG132"/>
    <mergeCell ref="AC133:AG133"/>
    <mergeCell ref="AC134:AG134"/>
    <mergeCell ref="AC135:AG135"/>
    <mergeCell ref="AC124:AG124"/>
    <mergeCell ref="AC125:AG125"/>
    <mergeCell ref="AC126:AG126"/>
    <mergeCell ref="AC127:AG127"/>
    <mergeCell ref="AC128:AG128"/>
    <mergeCell ref="AC129:AG129"/>
    <mergeCell ref="AC173:AG173"/>
    <mergeCell ref="AC174:AG174"/>
    <mergeCell ref="AC175:AG175"/>
    <mergeCell ref="AC176:AG176"/>
    <mergeCell ref="AC177:AG177"/>
    <mergeCell ref="AC178:AG178"/>
    <mergeCell ref="AC167:AG167"/>
    <mergeCell ref="AC168:AG168"/>
    <mergeCell ref="AC169:AG169"/>
    <mergeCell ref="AC170:AG170"/>
    <mergeCell ref="AC171:AG171"/>
    <mergeCell ref="AC172:AG172"/>
    <mergeCell ref="AC194:AG194"/>
    <mergeCell ref="AC185:AG185"/>
    <mergeCell ref="AC186:AG186"/>
    <mergeCell ref="AC187:AG187"/>
    <mergeCell ref="AC188:AG188"/>
    <mergeCell ref="AC189:AG189"/>
    <mergeCell ref="AC190:AG190"/>
    <mergeCell ref="AC179:AG179"/>
    <mergeCell ref="AC180:AG180"/>
    <mergeCell ref="AC181:AG181"/>
    <mergeCell ref="AC182:AG182"/>
    <mergeCell ref="AC183:AG183"/>
    <mergeCell ref="AC184:AG184"/>
    <mergeCell ref="AC191:AG191"/>
    <mergeCell ref="AC192:AG192"/>
    <mergeCell ref="AC193:AG193"/>
    <mergeCell ref="AC164:AG164"/>
    <mergeCell ref="AC165:AG165"/>
    <mergeCell ref="AC166:AG166"/>
    <mergeCell ref="AC155:AG155"/>
    <mergeCell ref="AC156:AG156"/>
    <mergeCell ref="AC157:AG157"/>
    <mergeCell ref="AC158:AG158"/>
    <mergeCell ref="AC159:AG159"/>
    <mergeCell ref="AC160:AG160"/>
    <mergeCell ref="AC161:AG161"/>
    <mergeCell ref="AC162:AG162"/>
    <mergeCell ref="AC163:AG163"/>
    <mergeCell ref="AC100:AG100"/>
    <mergeCell ref="AC101:AG101"/>
    <mergeCell ref="AC151:AG151"/>
    <mergeCell ref="AC152:AG152"/>
    <mergeCell ref="AC153:AG153"/>
    <mergeCell ref="AC154:AG154"/>
    <mergeCell ref="AC108:AG108"/>
    <mergeCell ref="AC109:AG109"/>
    <mergeCell ref="AC110:AG110"/>
    <mergeCell ref="AC111:AG111"/>
    <mergeCell ref="AC102:AG102"/>
    <mergeCell ref="AC103:AG103"/>
    <mergeCell ref="AC104:AG104"/>
    <mergeCell ref="AC105:AG105"/>
    <mergeCell ref="AC106:AG106"/>
    <mergeCell ref="AC107:AG107"/>
    <mergeCell ref="AC118:AG118"/>
    <mergeCell ref="AC119:AG119"/>
    <mergeCell ref="AC120:AG120"/>
    <mergeCell ref="AC121:AG121"/>
    <mergeCell ref="AC122:AG122"/>
    <mergeCell ref="AC123:AG123"/>
    <mergeCell ref="AC112:AG112"/>
    <mergeCell ref="AC113:AG113"/>
    <mergeCell ref="AC94:AG94"/>
    <mergeCell ref="AC95:AG95"/>
    <mergeCell ref="AC96:AG96"/>
    <mergeCell ref="AC97:AG97"/>
    <mergeCell ref="AC98:AG98"/>
    <mergeCell ref="AC99:AG99"/>
    <mergeCell ref="AC88:AG88"/>
    <mergeCell ref="AC89:AG89"/>
    <mergeCell ref="AC90:AG90"/>
    <mergeCell ref="AC91:AG91"/>
    <mergeCell ref="AC92:AG92"/>
    <mergeCell ref="AC93:AG93"/>
    <mergeCell ref="AC82:AG82"/>
    <mergeCell ref="AC83:AG83"/>
    <mergeCell ref="AC84:AG84"/>
    <mergeCell ref="AC85:AG85"/>
    <mergeCell ref="AC86:AG86"/>
    <mergeCell ref="AC87:AG87"/>
    <mergeCell ref="AC76:AG76"/>
    <mergeCell ref="AC77:AG77"/>
    <mergeCell ref="AC78:AG78"/>
    <mergeCell ref="AC79:AG79"/>
    <mergeCell ref="AC80:AG80"/>
    <mergeCell ref="AC81:AG81"/>
    <mergeCell ref="AC70:AG70"/>
    <mergeCell ref="AC71:AG71"/>
    <mergeCell ref="AC72:AG72"/>
    <mergeCell ref="AC73:AG73"/>
    <mergeCell ref="AC74:AG74"/>
    <mergeCell ref="AC75:AG75"/>
    <mergeCell ref="AC45:AG45"/>
    <mergeCell ref="AC46:AG46"/>
    <mergeCell ref="AC47:AG47"/>
    <mergeCell ref="AC67:AG67"/>
    <mergeCell ref="AC68:AG68"/>
    <mergeCell ref="AC69:AG69"/>
    <mergeCell ref="AC55:AG55"/>
    <mergeCell ref="AC56:AG56"/>
    <mergeCell ref="AC57:AG57"/>
    <mergeCell ref="AC58:AG58"/>
    <mergeCell ref="AC65:AG65"/>
    <mergeCell ref="AC66:AG66"/>
    <mergeCell ref="AC59:AG59"/>
    <mergeCell ref="AC60:AG60"/>
    <mergeCell ref="AC61:AG61"/>
    <mergeCell ref="AC62:AG62"/>
    <mergeCell ref="AC63:AG63"/>
    <mergeCell ref="AC64:AG64"/>
    <mergeCell ref="AC27:AG27"/>
    <mergeCell ref="AC28:AG28"/>
    <mergeCell ref="AC29:AG29"/>
    <mergeCell ref="AC30:AG30"/>
    <mergeCell ref="AC43:AG43"/>
    <mergeCell ref="AC44:AG44"/>
    <mergeCell ref="AC39:AG39"/>
    <mergeCell ref="AC40:AG40"/>
    <mergeCell ref="AC41:AG41"/>
    <mergeCell ref="AC42:AG42"/>
    <mergeCell ref="AC31:AG31"/>
    <mergeCell ref="AC32:AG32"/>
    <mergeCell ref="AC33:AG33"/>
    <mergeCell ref="AC34:AG34"/>
    <mergeCell ref="AC35:AG35"/>
    <mergeCell ref="AC36:AG36"/>
    <mergeCell ref="AC37:AG37"/>
    <mergeCell ref="AC38:AG38"/>
    <mergeCell ref="B11:AN11"/>
    <mergeCell ref="B12:AN12"/>
    <mergeCell ref="B13:AN13"/>
    <mergeCell ref="B14:AN14"/>
    <mergeCell ref="B15:AN15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A4:G4"/>
    <mergeCell ref="H4:T4"/>
    <mergeCell ref="U4:Y4"/>
    <mergeCell ref="Z4:AO4"/>
    <mergeCell ref="AP4:BK4"/>
    <mergeCell ref="B8:F8"/>
    <mergeCell ref="G8:X8"/>
    <mergeCell ref="Y8:AC8"/>
    <mergeCell ref="AD8:AN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E286-94F0-4511-B986-09EF1E224FB5}">
  <dimension ref="A1:CA100"/>
  <sheetViews>
    <sheetView view="pageBreakPreview" topLeftCell="A16" zoomScale="80" zoomScaleNormal="75" zoomScaleSheetLayoutView="80" workbookViewId="0">
      <selection activeCell="R54" sqref="R54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1134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1135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`Replica_Kasumi`.`GHEVENTM`;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`Replica_Kasumi`.`GHEVENTM`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`REPLICA_KASUMI`.`GHEVENTM` A,`TMP`.`GHEVENTM`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`TMP`.`GHEVENTM`;</v>
      </c>
      <c r="BS25" t="s">
        <v>223</v>
      </c>
      <c r="BT25" s="82" t="str">
        <f>"LOAD DATA INFILE 'C:/04_DATAFILE/"&amp;$G$10&amp;"/TMP/"&amp;$G$10&amp;".CSV' "</f>
        <v xml:space="preserve">LOAD DATA INFILE 'C:/04_DATAFILE/GHEVENTM/TMP/GHEVENTM.CSV'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`TMP`.`GHEVENTM` (</v>
      </c>
      <c r="BS26" t="s">
        <v>223</v>
      </c>
      <c r="BT26" s="82" t="str">
        <f>"REPLACE INTO TABLE TMP.`"&amp;$G$10&amp;"` FIELDS TERMINATED BY ',' ENCLOSED BY '\""' LINES TERMINATED BY '\r\n' ("</f>
        <v>REPLACE INTO TABLE TMP.`GHEVENTM`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`REPLICA_KASUMI`.`GHEVENTM`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1136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355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tr" cm="1">
        <f t="array" ref="AC27">_xlfn.SWITCH(BM27,"String","varchar("&amp;BN27&amp;")","Long","int","Integer","smallint","Double","decimal(9,2)","Currency","int")</f>
        <v>varchar(1)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1155</v>
      </c>
      <c r="AU27" s="63"/>
      <c r="AV27" s="63"/>
      <c r="AW27" s="63"/>
      <c r="AX27" s="63"/>
      <c r="AY27" s="63"/>
      <c r="AZ27" s="63" t="s">
        <v>1087</v>
      </c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 t="s">
        <v>449</v>
      </c>
      <c r="BN27">
        <v>1</v>
      </c>
      <c r="BP27" t="str">
        <f>",`"&amp;R27&amp;"` "&amp;AC27&amp;" "&amp;IF(AJ27="Y","NOT NULL","")&amp;" COMMENT '"&amp;D27&amp;"'"</f>
        <v>,`PRCS_TYP` varchar(1)  COMMENT '処理区分'</v>
      </c>
      <c r="BQ27" t="s">
        <v>223</v>
      </c>
      <c r="BR27" s="82" t="str">
        <f>"`"&amp;R27&amp;"` "&amp;AC27&amp;" "&amp;IF(AJ27="Y","NOT NULL","")</f>
        <v xml:space="preserve">`PRCS_TYP` varchar(1) </v>
      </c>
      <c r="BS27" t="s">
        <v>223</v>
      </c>
      <c r="BT27" s="82" t="str">
        <f>"`"&amp;R27&amp;"`"</f>
        <v>`PRCS_TYP`</v>
      </c>
      <c r="BU27" t="s">
        <v>223</v>
      </c>
      <c r="BV27" s="82" t="str">
        <f>"A.`"&amp;R27&amp;"` = B.`"&amp;R27&amp;"`"</f>
        <v>A.`PRCS_TYP` = B.`PRCS_TYP`</v>
      </c>
      <c r="BW27" t="s">
        <v>223</v>
      </c>
      <c r="BX27" s="82" t="str">
        <f>"`"&amp;R27&amp;"`"</f>
        <v>`PRCS_TYP`</v>
      </c>
      <c r="BY27" t="s">
        <v>223</v>
      </c>
      <c r="BZ27" s="82" t="str">
        <f>"`"&amp;R27&amp;"`"</f>
        <v>`PRCS_TYP`</v>
      </c>
      <c r="CA27" t="s">
        <v>223</v>
      </c>
    </row>
    <row r="28" spans="1:79" ht="15" customHeight="1">
      <c r="A28" s="84" t="s">
        <v>243</v>
      </c>
      <c r="B28" s="23">
        <v>8</v>
      </c>
      <c r="C28" s="24"/>
      <c r="D28" s="22" t="s">
        <v>615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1171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 cm="1">
        <f t="array" ref="AC28">_xlfn.SWITCH(BM28,"String","varchar("&amp;BN28&amp;")","Long","int","Integer","smallint","Double","decimal(9,2)","Currency","int")</f>
        <v>int</v>
      </c>
      <c r="AD28" s="258"/>
      <c r="AE28" s="258"/>
      <c r="AF28" s="258"/>
      <c r="AG28" s="259"/>
      <c r="AH28" s="22">
        <v>1</v>
      </c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 t="s">
        <v>704</v>
      </c>
      <c r="AU28" s="25"/>
      <c r="AV28" s="25"/>
      <c r="AW28" s="25"/>
      <c r="AX28" s="25"/>
      <c r="AY28" s="25"/>
      <c r="AZ28" s="25" t="s">
        <v>1088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M28" t="s">
        <v>450</v>
      </c>
      <c r="BP28" t="str">
        <f t="shared" ref="BP28:BP49" si="1">",`"&amp;R28&amp;"` "&amp;AC28&amp;" "&amp;IF(AJ28="Y","NOT NULL","")&amp;" COMMENT '"&amp;D28&amp;"'"</f>
        <v>,`STR_ID` int  COMMENT '店舗コード'</v>
      </c>
      <c r="BQ28" t="s">
        <v>223</v>
      </c>
      <c r="BR28" s="82" t="str">
        <f>",`"&amp;R28&amp;"` "&amp;AC28&amp;" "&amp;IF(AJ28="Y","NOT NULL","")</f>
        <v xml:space="preserve">,`STR_ID` int </v>
      </c>
      <c r="BS28" t="s">
        <v>223</v>
      </c>
      <c r="BT28" t="str">
        <f>",`"&amp;R28&amp;"`"</f>
        <v>,`STR_ID`</v>
      </c>
      <c r="BU28" t="s">
        <v>223</v>
      </c>
      <c r="BV28" s="82" t="str">
        <f t="shared" ref="BV28:BV49" si="2">",A.`"&amp;R28&amp;"` = B.`"&amp;R28&amp;"`"</f>
        <v>,A.`STR_ID` = B.`STR_ID`</v>
      </c>
      <c r="BW28" t="s">
        <v>223</v>
      </c>
      <c r="BX28" s="82" t="str">
        <f>",`"&amp;R28&amp;"`"</f>
        <v>,`STR_ID`</v>
      </c>
      <c r="BY28" t="s">
        <v>223</v>
      </c>
      <c r="BZ28" s="82" t="str">
        <f t="shared" ref="BZ28:BZ78" si="3">",`"&amp;R28&amp;"`"</f>
        <v>,`STR_ID`</v>
      </c>
      <c r="CA28" t="s">
        <v>223</v>
      </c>
    </row>
    <row r="29" spans="1:79" ht="15" customHeight="1">
      <c r="A29" s="84" t="s">
        <v>244</v>
      </c>
      <c r="B29" s="23">
        <v>9</v>
      </c>
      <c r="C29" s="24"/>
      <c r="D29" s="22" t="s">
        <v>1137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661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 cm="1">
        <f t="array" ref="AC29">_xlfn.SWITCH(BM29,"String","varchar("&amp;BN29&amp;")","Long","int","Integer","smallint","Double","decimal(9,2)","Currency","int")</f>
        <v>varchar(7)</v>
      </c>
      <c r="AD29" s="258"/>
      <c r="AE29" s="258"/>
      <c r="AF29" s="258"/>
      <c r="AG29" s="259"/>
      <c r="AH29" s="22">
        <v>2</v>
      </c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2" t="s">
        <v>1156</v>
      </c>
      <c r="AU29" s="25"/>
      <c r="AV29" s="25"/>
      <c r="AW29" s="25"/>
      <c r="AX29" s="25"/>
      <c r="AY29" s="25"/>
      <c r="AZ29" s="25" t="s">
        <v>1089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M29" t="s">
        <v>449</v>
      </c>
      <c r="BN29">
        <v>7</v>
      </c>
      <c r="BP29" t="str">
        <f t="shared" si="1"/>
        <v>,`EVNT_NBR` varchar(7)  COMMENT '企画Ｎｏ．'</v>
      </c>
      <c r="BQ29" t="s">
        <v>223</v>
      </c>
      <c r="BR29" t="str">
        <f t="shared" ref="BR29:BR49" si="4">",`"&amp;R29&amp;"` "&amp;AC29&amp;" "&amp;IF(AJ29="Y","NOT NULL","")</f>
        <v xml:space="preserve">,`EVNT_NBR` varchar(7) </v>
      </c>
      <c r="BS29" t="s">
        <v>223</v>
      </c>
      <c r="BT29" t="str">
        <f t="shared" ref="BT29:BT49" si="5">",`"&amp;R29&amp;"`"</f>
        <v>,`EVNT_NBR`</v>
      </c>
      <c r="BU29" t="s">
        <v>223</v>
      </c>
      <c r="BV29" s="82" t="str">
        <f t="shared" si="2"/>
        <v>,A.`EVNT_NBR` = B.`EVNT_NBR`</v>
      </c>
      <c r="BW29" t="s">
        <v>223</v>
      </c>
      <c r="BX29" s="82" t="str">
        <f t="shared" ref="BX29:BX49" si="6">",`"&amp;R29&amp;"`"</f>
        <v>,`EVNT_NBR`</v>
      </c>
      <c r="BY29" t="s">
        <v>223</v>
      </c>
      <c r="BZ29" s="82" t="str">
        <f t="shared" si="3"/>
        <v>,`EVNT_NBR`</v>
      </c>
      <c r="CA29" t="s">
        <v>223</v>
      </c>
    </row>
    <row r="30" spans="1:79" ht="15" customHeight="1">
      <c r="A30" s="84" t="s">
        <v>245</v>
      </c>
      <c r="B30" s="71">
        <v>9</v>
      </c>
      <c r="C30" s="72"/>
      <c r="D30" s="73" t="s">
        <v>1138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5"/>
      <c r="R30" s="73" t="s">
        <v>1153</v>
      </c>
      <c r="S30" s="74"/>
      <c r="T30" s="74"/>
      <c r="U30" s="74"/>
      <c r="V30" s="74"/>
      <c r="W30" s="74"/>
      <c r="X30" s="74"/>
      <c r="Y30" s="74"/>
      <c r="Z30" s="74"/>
      <c r="AA30" s="74"/>
      <c r="AB30" s="75"/>
      <c r="AC30" s="251" t="str" cm="1">
        <f t="array" ref="AC30">_xlfn.SWITCH(BM30,"String","varchar("&amp;BN30&amp;")","Long","int","Integer","smallint","Double","decimal(9,2)","Currency","int")</f>
        <v>varchar(20)</v>
      </c>
      <c r="AD30" s="252"/>
      <c r="AE30" s="252"/>
      <c r="AF30" s="252"/>
      <c r="AG30" s="253"/>
      <c r="AH30" s="73"/>
      <c r="AI30" s="75"/>
      <c r="AJ30" s="73"/>
      <c r="AK30" s="74"/>
      <c r="AL30" s="75"/>
      <c r="AM30" s="73"/>
      <c r="AN30" s="74"/>
      <c r="AO30" s="74"/>
      <c r="AP30" s="74"/>
      <c r="AQ30" s="74"/>
      <c r="AR30" s="74"/>
      <c r="AS30" s="75"/>
      <c r="AT30" s="73" t="s">
        <v>1157</v>
      </c>
      <c r="AU30" s="74"/>
      <c r="AV30" s="74"/>
      <c r="AW30" s="74"/>
      <c r="AX30" s="74"/>
      <c r="AY30" s="74"/>
      <c r="AZ30" s="74" t="s">
        <v>1091</v>
      </c>
      <c r="BA30" s="74"/>
      <c r="BB30" s="74"/>
      <c r="BC30" s="74"/>
      <c r="BD30" s="74"/>
      <c r="BE30" s="74"/>
      <c r="BF30" s="74"/>
      <c r="BG30" s="74"/>
      <c r="BH30" s="74"/>
      <c r="BI30" s="74"/>
      <c r="BJ30" s="75"/>
      <c r="BK30" s="4"/>
      <c r="BM30" t="s">
        <v>449</v>
      </c>
      <c r="BN30">
        <v>20</v>
      </c>
      <c r="BP30" t="str">
        <f t="shared" si="1"/>
        <v>,`PARNT_EVNT_NBR` varchar(20)  COMMENT '関連企画Ｎo．'</v>
      </c>
      <c r="BQ30" t="s">
        <v>223</v>
      </c>
      <c r="BR30" t="str">
        <f t="shared" si="4"/>
        <v xml:space="preserve">,`PARNT_EVNT_NBR` varchar(20) </v>
      </c>
      <c r="BS30" t="s">
        <v>223</v>
      </c>
      <c r="BT30" t="str">
        <f t="shared" si="5"/>
        <v>,`PARNT_EVNT_NBR`</v>
      </c>
      <c r="BU30" t="s">
        <v>223</v>
      </c>
      <c r="BV30" s="82" t="str">
        <f t="shared" si="2"/>
        <v>,A.`PARNT_EVNT_NBR` = B.`PARNT_EVNT_NBR`</v>
      </c>
      <c r="BW30" t="s">
        <v>223</v>
      </c>
      <c r="BX30" s="82" t="str">
        <f t="shared" si="6"/>
        <v>,`PARNT_EVNT_NBR`</v>
      </c>
      <c r="BY30" t="s">
        <v>223</v>
      </c>
      <c r="BZ30" s="82" t="str">
        <f t="shared" si="3"/>
        <v>,`PARNT_EVNT_NBR`</v>
      </c>
      <c r="CA30" t="s">
        <v>223</v>
      </c>
    </row>
    <row r="31" spans="1:79" ht="15" customHeight="1">
      <c r="A31" s="84" t="s">
        <v>246</v>
      </c>
      <c r="B31" s="23">
        <v>9</v>
      </c>
      <c r="C31" s="24"/>
      <c r="D31" s="22" t="s">
        <v>1139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956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 cm="1">
        <f t="array" ref="AC31">_xlfn.SWITCH(BM31,"String","varchar("&amp;BN31&amp;")","Long","int","Integer","smallint","Double","decimal(9,2)","Currency","int")</f>
        <v>varchar(24)</v>
      </c>
      <c r="AD31" s="258"/>
      <c r="AE31" s="258"/>
      <c r="AF31" s="258"/>
      <c r="AG31" s="259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 t="s">
        <v>1158</v>
      </c>
      <c r="AU31" s="25"/>
      <c r="AV31" s="25"/>
      <c r="AW31" s="25"/>
      <c r="AX31" s="25"/>
      <c r="AY31" s="25"/>
      <c r="AZ31" s="25" t="s">
        <v>1093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M31" t="s">
        <v>449</v>
      </c>
      <c r="BN31">
        <v>24</v>
      </c>
      <c r="BP31" t="str">
        <f t="shared" si="1"/>
        <v>,`DESCR` varchar(24)  COMMENT 'タイトル'</v>
      </c>
      <c r="BQ31" t="s">
        <v>223</v>
      </c>
      <c r="BR31" t="str">
        <f t="shared" si="4"/>
        <v xml:space="preserve">,`DESCR` varchar(24) </v>
      </c>
      <c r="BS31" t="s">
        <v>223</v>
      </c>
      <c r="BT31" t="str">
        <f t="shared" si="5"/>
        <v>,`DESCR`</v>
      </c>
      <c r="BU31" t="s">
        <v>223</v>
      </c>
      <c r="BV31" s="82" t="str">
        <f t="shared" si="2"/>
        <v>,A.`DESCR` = B.`DESCR`</v>
      </c>
      <c r="BW31" t="s">
        <v>223</v>
      </c>
      <c r="BX31" s="82" t="str">
        <f t="shared" si="6"/>
        <v>,`DESCR`</v>
      </c>
      <c r="BY31" t="s">
        <v>223</v>
      </c>
      <c r="BZ31" s="82" t="str">
        <f t="shared" si="3"/>
        <v>,`DESCR`</v>
      </c>
      <c r="CA31" t="s">
        <v>223</v>
      </c>
    </row>
    <row r="32" spans="1:79" ht="15" customHeight="1">
      <c r="A32" s="84" t="s">
        <v>247</v>
      </c>
      <c r="B32" s="23">
        <v>9</v>
      </c>
      <c r="C32" s="24"/>
      <c r="D32" s="22" t="s">
        <v>1140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664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 cm="1">
        <f t="array" ref="AC32">_xlfn.SWITCH(BM32,"String","varchar("&amp;BN32&amp;")","Long","int","Integer","smallint","Double","decimal(9,2)","Currency","int")</f>
        <v>varchar(8)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 t="s">
        <v>721</v>
      </c>
      <c r="AU32" s="25"/>
      <c r="AV32" s="25"/>
      <c r="AW32" s="25"/>
      <c r="AX32" s="25"/>
      <c r="AY32" s="25"/>
      <c r="AZ32" s="25" t="s">
        <v>1095</v>
      </c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M32" t="s">
        <v>449</v>
      </c>
      <c r="BN32">
        <v>8</v>
      </c>
      <c r="BP32" t="str">
        <f t="shared" si="1"/>
        <v>,`EVNT_BGN_TM` varchar(8)  COMMENT '企画開始日'</v>
      </c>
      <c r="BQ32" t="s">
        <v>223</v>
      </c>
      <c r="BR32" t="str">
        <f t="shared" si="4"/>
        <v xml:space="preserve">,`EVNT_BGN_TM` varchar(8) </v>
      </c>
      <c r="BS32" t="s">
        <v>223</v>
      </c>
      <c r="BT32" t="str">
        <f t="shared" si="5"/>
        <v>,`EVNT_BGN_TM`</v>
      </c>
      <c r="BU32" t="s">
        <v>223</v>
      </c>
      <c r="BV32" s="82" t="str">
        <f t="shared" si="2"/>
        <v>,A.`EVNT_BGN_TM` = B.`EVNT_BGN_TM`</v>
      </c>
      <c r="BW32" t="s">
        <v>223</v>
      </c>
      <c r="BX32" s="82" t="str">
        <f t="shared" si="6"/>
        <v>,`EVNT_BGN_TM`</v>
      </c>
      <c r="BY32" t="s">
        <v>223</v>
      </c>
      <c r="BZ32" s="82" t="str">
        <f t="shared" si="3"/>
        <v>,`EVNT_BGN_TM`</v>
      </c>
      <c r="CA32" t="s">
        <v>223</v>
      </c>
    </row>
    <row r="33" spans="1:79" ht="15" customHeight="1">
      <c r="A33" s="84" t="s">
        <v>248</v>
      </c>
      <c r="B33" s="23">
        <v>9</v>
      </c>
      <c r="C33" s="24"/>
      <c r="D33" s="22" t="s">
        <v>1141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665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 cm="1">
        <f t="array" ref="AC33">_xlfn.SWITCH(BM33,"String","varchar("&amp;BN33&amp;")","Long","int","Integer","smallint","Double","decimal(9,2)","Currency","int")</f>
        <v>varchar(8)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 t="s">
        <v>721</v>
      </c>
      <c r="AU33" s="25"/>
      <c r="AV33" s="25"/>
      <c r="AW33" s="25"/>
      <c r="AX33" s="25"/>
      <c r="AY33" s="25"/>
      <c r="AZ33" s="25" t="s">
        <v>1097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M33" t="s">
        <v>449</v>
      </c>
      <c r="BN33">
        <v>8</v>
      </c>
      <c r="BP33" t="str">
        <f t="shared" si="1"/>
        <v>,`EVNT_END_TM` varchar(8)  COMMENT '企画終了日'</v>
      </c>
      <c r="BQ33" t="s">
        <v>223</v>
      </c>
      <c r="BR33" t="str">
        <f t="shared" si="4"/>
        <v xml:space="preserve">,`EVNT_END_TM` varchar(8) </v>
      </c>
      <c r="BS33" t="s">
        <v>223</v>
      </c>
      <c r="BT33" t="str">
        <f t="shared" si="5"/>
        <v>,`EVNT_END_TM`</v>
      </c>
      <c r="BU33" t="s">
        <v>223</v>
      </c>
      <c r="BV33" s="82" t="str">
        <f t="shared" si="2"/>
        <v>,A.`EVNT_END_TM` = B.`EVNT_END_TM`</v>
      </c>
      <c r="BW33" t="s">
        <v>223</v>
      </c>
      <c r="BX33" s="82" t="str">
        <f t="shared" si="6"/>
        <v>,`EVNT_END_TM`</v>
      </c>
      <c r="BY33" t="s">
        <v>223</v>
      </c>
      <c r="BZ33" s="82" t="str">
        <f t="shared" si="3"/>
        <v>,`EVNT_END_TM`</v>
      </c>
      <c r="CA33" t="s">
        <v>223</v>
      </c>
    </row>
    <row r="34" spans="1:79" ht="15" customHeight="1">
      <c r="A34" s="84" t="s">
        <v>525</v>
      </c>
      <c r="B34" s="23">
        <v>9</v>
      </c>
      <c r="C34" s="24"/>
      <c r="D34" s="22" t="s">
        <v>805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958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 cm="1">
        <f t="array" ref="AC34">_xlfn.SWITCH(BM34,"String","varchar("&amp;BN34&amp;")","Long","int","Integer","smallint","Double","decimal(9,2)","Currency","int")</f>
        <v>int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 t="s">
        <v>1098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M34" t="s">
        <v>453</v>
      </c>
      <c r="BP34" t="str">
        <f t="shared" si="1"/>
        <v>,`EVNT_BDGT` int  COMMENT '企画予算'</v>
      </c>
      <c r="BQ34" t="s">
        <v>223</v>
      </c>
      <c r="BR34" t="str">
        <f t="shared" si="4"/>
        <v xml:space="preserve">,`EVNT_BDGT` int </v>
      </c>
      <c r="BS34" t="s">
        <v>223</v>
      </c>
      <c r="BT34" t="str">
        <f t="shared" si="5"/>
        <v>,`EVNT_BDGT`</v>
      </c>
      <c r="BU34" t="s">
        <v>223</v>
      </c>
      <c r="BV34" s="82" t="str">
        <f t="shared" si="2"/>
        <v>,A.`EVNT_BDGT` = B.`EVNT_BDGT`</v>
      </c>
      <c r="BW34" t="s">
        <v>223</v>
      </c>
      <c r="BX34" s="82" t="str">
        <f t="shared" si="6"/>
        <v>,`EVNT_BDGT`</v>
      </c>
      <c r="BY34" t="s">
        <v>223</v>
      </c>
      <c r="BZ34" s="82" t="str">
        <f t="shared" si="3"/>
        <v>,`EVNT_BDGT`</v>
      </c>
      <c r="CA34" t="s">
        <v>223</v>
      </c>
    </row>
    <row r="35" spans="1:79" ht="15" customHeight="1">
      <c r="A35" s="84" t="s">
        <v>526</v>
      </c>
      <c r="B35" s="23">
        <v>9</v>
      </c>
      <c r="C35" s="24"/>
      <c r="D35" s="22" t="s">
        <v>1142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6"/>
      <c r="R35" s="22" t="s">
        <v>666</v>
      </c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57" t="str" cm="1">
        <f t="array" ref="AC35">_xlfn.SWITCH(BM35,"String","varchar("&amp;BN35&amp;")","Long","int","Integer","smallint","Double","decimal(9,2)","Currency","int")</f>
        <v>varchar(3)</v>
      </c>
      <c r="AD35" s="258"/>
      <c r="AE35" s="258"/>
      <c r="AF35" s="258"/>
      <c r="AG35" s="259"/>
      <c r="AH35" s="22"/>
      <c r="AI35" s="26"/>
      <c r="AJ35" s="22"/>
      <c r="AK35" s="25"/>
      <c r="AL35" s="26"/>
      <c r="AM35" s="22"/>
      <c r="AN35" s="25"/>
      <c r="AO35" s="25"/>
      <c r="AP35" s="25"/>
      <c r="AQ35" s="25"/>
      <c r="AR35" s="25"/>
      <c r="AS35" s="26"/>
      <c r="AT35" s="22" t="s">
        <v>1159</v>
      </c>
      <c r="AU35" s="25"/>
      <c r="AV35" s="25"/>
      <c r="AW35" s="25"/>
      <c r="AX35" s="25"/>
      <c r="AY35" s="25"/>
      <c r="AZ35" s="25" t="s">
        <v>1099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6"/>
      <c r="BK35" s="4"/>
      <c r="BM35" t="s">
        <v>449</v>
      </c>
      <c r="BN35">
        <v>3</v>
      </c>
      <c r="BP35" t="str">
        <f t="shared" si="1"/>
        <v>,`EVNT_HLDL_DY` varchar(3)  COMMENT '企画削除日数'</v>
      </c>
      <c r="BQ35" t="s">
        <v>223</v>
      </c>
      <c r="BR35" t="str">
        <f t="shared" si="4"/>
        <v xml:space="preserve">,`EVNT_HLDL_DY` varchar(3) </v>
      </c>
      <c r="BS35" t="s">
        <v>223</v>
      </c>
      <c r="BT35" t="str">
        <f t="shared" si="5"/>
        <v>,`EVNT_HLDL_DY`</v>
      </c>
      <c r="BU35" t="s">
        <v>223</v>
      </c>
      <c r="BV35" s="82" t="str">
        <f t="shared" si="2"/>
        <v>,A.`EVNT_HLDL_DY` = B.`EVNT_HLDL_DY`</v>
      </c>
      <c r="BW35" t="s">
        <v>223</v>
      </c>
      <c r="BX35" s="82" t="str">
        <f t="shared" si="6"/>
        <v>,`EVNT_HLDL_DY`</v>
      </c>
      <c r="BY35" t="s">
        <v>223</v>
      </c>
      <c r="BZ35" s="82" t="str">
        <f t="shared" si="3"/>
        <v>,`EVNT_HLDL_DY`</v>
      </c>
      <c r="CA35" t="s">
        <v>223</v>
      </c>
    </row>
    <row r="36" spans="1:79" ht="15" customHeight="1">
      <c r="A36" s="84" t="s">
        <v>527</v>
      </c>
      <c r="B36" s="23">
        <v>9</v>
      </c>
      <c r="C36" s="24"/>
      <c r="D36" s="22" t="s">
        <v>1143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667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 cm="1">
        <f t="array" ref="AC36">_xlfn.SWITCH(BM36,"String","varchar("&amp;BN36&amp;")","Long","int","Integer","smallint","Double","decimal(9,2)","Currency","int")</f>
        <v>smallint</v>
      </c>
      <c r="AD36" s="258"/>
      <c r="AE36" s="258"/>
      <c r="AF36" s="258"/>
      <c r="AG36" s="259"/>
      <c r="AH36" s="22"/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 t="s">
        <v>1103</v>
      </c>
      <c r="AU36" s="25"/>
      <c r="AV36" s="25"/>
      <c r="AW36" s="25"/>
      <c r="AX36" s="25"/>
      <c r="AY36" s="25"/>
      <c r="AZ36" s="25" t="s">
        <v>1101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M36" t="s">
        <v>451</v>
      </c>
      <c r="BP36" t="str">
        <f t="shared" si="1"/>
        <v>,`EVNT_SRC` smallint  COMMENT '企画優先区分'</v>
      </c>
      <c r="BQ36" t="s">
        <v>223</v>
      </c>
      <c r="BR36" t="str">
        <f t="shared" si="4"/>
        <v xml:space="preserve">,`EVNT_SRC` smallint </v>
      </c>
      <c r="BS36" t="s">
        <v>223</v>
      </c>
      <c r="BT36" t="str">
        <f t="shared" si="5"/>
        <v>,`EVNT_SRC`</v>
      </c>
      <c r="BU36" t="s">
        <v>223</v>
      </c>
      <c r="BV36" s="82" t="str">
        <f t="shared" si="2"/>
        <v>,A.`EVNT_SRC` = B.`EVNT_SRC`</v>
      </c>
      <c r="BW36" t="s">
        <v>223</v>
      </c>
      <c r="BX36" s="82" t="str">
        <f t="shared" si="6"/>
        <v>,`EVNT_SRC`</v>
      </c>
      <c r="BY36" t="s">
        <v>223</v>
      </c>
      <c r="BZ36" s="82" t="str">
        <f t="shared" si="3"/>
        <v>,`EVNT_SRC`</v>
      </c>
      <c r="CA36" t="s">
        <v>223</v>
      </c>
    </row>
    <row r="37" spans="1:79" ht="15" customHeight="1">
      <c r="A37" s="84" t="s">
        <v>528</v>
      </c>
      <c r="B37" s="23">
        <v>9</v>
      </c>
      <c r="C37" s="24"/>
      <c r="D37" s="22" t="s">
        <v>623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669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7" t="str" cm="1">
        <f t="array" ref="AC37">_xlfn.SWITCH(BM37,"String","varchar("&amp;BN37&amp;")","Long","int","Integer","smallint","Double","decimal(9,2)","Currency","int")</f>
        <v>smallint</v>
      </c>
      <c r="AD37" s="258"/>
      <c r="AE37" s="258"/>
      <c r="AF37" s="258"/>
      <c r="AG37" s="259"/>
      <c r="AH37" s="22"/>
      <c r="AI37" s="26"/>
      <c r="AJ37" s="22"/>
      <c r="AK37" s="25"/>
      <c r="AL37" s="26"/>
      <c r="AM37" s="22"/>
      <c r="AN37" s="25"/>
      <c r="AO37" s="25"/>
      <c r="AP37" s="25"/>
      <c r="AQ37" s="25"/>
      <c r="AR37" s="25"/>
      <c r="AS37" s="26"/>
      <c r="AT37" s="22" t="s">
        <v>1160</v>
      </c>
      <c r="AU37" s="25"/>
      <c r="AV37" s="25"/>
      <c r="AW37" s="25"/>
      <c r="AX37" s="25"/>
      <c r="AY37" s="25"/>
      <c r="AZ37" s="25" t="s">
        <v>1095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  <c r="BM37" t="s">
        <v>451</v>
      </c>
      <c r="BP37" t="str">
        <f t="shared" si="1"/>
        <v>,`TIME_SERVICE_FG` smallint  COMMENT 'タイムサービスフラグ'</v>
      </c>
      <c r="BQ37" t="s">
        <v>223</v>
      </c>
      <c r="BR37" t="str">
        <f t="shared" si="4"/>
        <v xml:space="preserve">,`TIME_SERVICE_FG` smallint </v>
      </c>
      <c r="BS37" t="s">
        <v>223</v>
      </c>
      <c r="BT37" t="str">
        <f t="shared" si="5"/>
        <v>,`TIME_SERVICE_FG`</v>
      </c>
      <c r="BU37" t="s">
        <v>223</v>
      </c>
      <c r="BV37" s="82" t="str">
        <f t="shared" si="2"/>
        <v>,A.`TIME_SERVICE_FG` = B.`TIME_SERVICE_FG`</v>
      </c>
      <c r="BW37" t="s">
        <v>223</v>
      </c>
      <c r="BX37" s="82" t="str">
        <f t="shared" si="6"/>
        <v>,`TIME_SERVICE_FG`</v>
      </c>
      <c r="BY37" t="s">
        <v>223</v>
      </c>
      <c r="BZ37" s="82" t="str">
        <f t="shared" si="3"/>
        <v>,`TIME_SERVICE_FG`</v>
      </c>
      <c r="CA37" t="s">
        <v>223</v>
      </c>
    </row>
    <row r="38" spans="1:79" ht="15" customHeight="1">
      <c r="A38" s="84" t="s">
        <v>529</v>
      </c>
      <c r="B38" s="23">
        <v>9</v>
      </c>
      <c r="C38" s="24"/>
      <c r="D38" s="22" t="s">
        <v>624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670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 cm="1">
        <f t="array" ref="AC38">_xlfn.SWITCH(BM38,"String","varchar("&amp;BN38&amp;")","Long","int","Integer","smallint","Double","decimal(9,2)","Currency","int")</f>
        <v>smallint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 t="s">
        <v>712</v>
      </c>
      <c r="AU38" s="25"/>
      <c r="AV38" s="25"/>
      <c r="AW38" s="25"/>
      <c r="AX38" s="25"/>
      <c r="AY38" s="25"/>
      <c r="AZ38" s="25" t="s">
        <v>1102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M38" t="s">
        <v>451</v>
      </c>
      <c r="BP38" t="str">
        <f t="shared" si="1"/>
        <v>,`MON_EXCL_FG` smallint  COMMENT '月曜日除外フラグ'</v>
      </c>
      <c r="BQ38" t="s">
        <v>223</v>
      </c>
      <c r="BR38" t="str">
        <f t="shared" si="4"/>
        <v xml:space="preserve">,`MON_EXCL_FG` smallint </v>
      </c>
      <c r="BS38" t="s">
        <v>223</v>
      </c>
      <c r="BT38" t="str">
        <f t="shared" si="5"/>
        <v>,`MON_EXCL_FG`</v>
      </c>
      <c r="BU38" t="s">
        <v>223</v>
      </c>
      <c r="BV38" s="82" t="str">
        <f t="shared" si="2"/>
        <v>,A.`MON_EXCL_FG` = B.`MON_EXCL_FG`</v>
      </c>
      <c r="BW38" t="s">
        <v>223</v>
      </c>
      <c r="BX38" s="82" t="str">
        <f t="shared" si="6"/>
        <v>,`MON_EXCL_FG`</v>
      </c>
      <c r="BY38" t="s">
        <v>223</v>
      </c>
      <c r="BZ38" s="82" t="str">
        <f t="shared" si="3"/>
        <v>,`MON_EXCL_FG`</v>
      </c>
      <c r="CA38" t="s">
        <v>223</v>
      </c>
    </row>
    <row r="39" spans="1:79" ht="15" customHeight="1">
      <c r="A39" s="84" t="s">
        <v>530</v>
      </c>
      <c r="B39" s="23">
        <v>9</v>
      </c>
      <c r="C39" s="24"/>
      <c r="D39" s="22" t="s">
        <v>1144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671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 cm="1">
        <f t="array" ref="AC39">_xlfn.SWITCH(BM39,"String","varchar("&amp;BN39&amp;")","Long","int","Integer","smallint","Double","decimal(9,2)","Currency","int")</f>
        <v>smallint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 t="s">
        <v>712</v>
      </c>
      <c r="AU39" s="25"/>
      <c r="AV39" s="25"/>
      <c r="AW39" s="25"/>
      <c r="AX39" s="25"/>
      <c r="AY39" s="25"/>
      <c r="AZ39" s="25" t="s">
        <v>1104</v>
      </c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M39" t="s">
        <v>451</v>
      </c>
      <c r="BP39" t="str">
        <f t="shared" si="1"/>
        <v>,`TUES_EXCL_FG` smallint  COMMENT '火曜日除外フラグ'</v>
      </c>
      <c r="BQ39" t="s">
        <v>223</v>
      </c>
      <c r="BR39" t="str">
        <f t="shared" si="4"/>
        <v xml:space="preserve">,`TUES_EXCL_FG` smallint </v>
      </c>
      <c r="BS39" t="s">
        <v>223</v>
      </c>
      <c r="BT39" t="str">
        <f t="shared" si="5"/>
        <v>,`TUES_EXCL_FG`</v>
      </c>
      <c r="BU39" t="s">
        <v>223</v>
      </c>
      <c r="BV39" s="82" t="str">
        <f t="shared" si="2"/>
        <v>,A.`TUES_EXCL_FG` = B.`TUES_EXCL_FG`</v>
      </c>
      <c r="BW39" t="s">
        <v>223</v>
      </c>
      <c r="BX39" s="82" t="str">
        <f t="shared" si="6"/>
        <v>,`TUES_EXCL_FG`</v>
      </c>
      <c r="BY39" t="s">
        <v>223</v>
      </c>
      <c r="BZ39" s="82" t="str">
        <f t="shared" si="3"/>
        <v>,`TUES_EXCL_FG`</v>
      </c>
      <c r="CA39" t="s">
        <v>223</v>
      </c>
    </row>
    <row r="40" spans="1:79" ht="15" customHeight="1">
      <c r="A40" s="84" t="s">
        <v>531</v>
      </c>
      <c r="B40" s="23">
        <v>9</v>
      </c>
      <c r="C40" s="24"/>
      <c r="D40" s="22" t="s">
        <v>1145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672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 cm="1">
        <f t="array" ref="AC40">_xlfn.SWITCH(BM40,"String","varchar("&amp;BN40&amp;")","Long","int","Integer","smallint","Double","decimal(9,2)","Currency","int")</f>
        <v>smallint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 t="s">
        <v>712</v>
      </c>
      <c r="AU40" s="25"/>
      <c r="AV40" s="25"/>
      <c r="AW40" s="25"/>
      <c r="AX40" s="25"/>
      <c r="AY40" s="25"/>
      <c r="AZ40" s="25" t="s">
        <v>1095</v>
      </c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M40" t="s">
        <v>451</v>
      </c>
      <c r="BP40" t="str">
        <f t="shared" si="1"/>
        <v>,`WED_EXCL_FG` smallint  COMMENT '水曜日除外フラグ'</v>
      </c>
      <c r="BQ40" t="s">
        <v>223</v>
      </c>
      <c r="BR40" t="str">
        <f t="shared" si="4"/>
        <v xml:space="preserve">,`WED_EXCL_FG` smallint </v>
      </c>
      <c r="BS40" t="s">
        <v>223</v>
      </c>
      <c r="BT40" t="str">
        <f t="shared" si="5"/>
        <v>,`WED_EXCL_FG`</v>
      </c>
      <c r="BU40" t="s">
        <v>223</v>
      </c>
      <c r="BV40" s="82" t="str">
        <f t="shared" si="2"/>
        <v>,A.`WED_EXCL_FG` = B.`WED_EXCL_FG`</v>
      </c>
      <c r="BW40" t="s">
        <v>223</v>
      </c>
      <c r="BX40" s="82" t="str">
        <f t="shared" si="6"/>
        <v>,`WED_EXCL_FG`</v>
      </c>
      <c r="BY40" t="s">
        <v>223</v>
      </c>
      <c r="BZ40" s="82" t="str">
        <f t="shared" si="3"/>
        <v>,`WED_EXCL_FG`</v>
      </c>
      <c r="CA40" t="s">
        <v>223</v>
      </c>
    </row>
    <row r="41" spans="1:79" ht="15" customHeight="1">
      <c r="A41" s="84" t="s">
        <v>532</v>
      </c>
      <c r="B41" s="23">
        <v>9</v>
      </c>
      <c r="C41" s="24"/>
      <c r="D41" s="22" t="s">
        <v>1146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673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 cm="1">
        <f t="array" ref="AC41">_xlfn.SWITCH(BM41,"String","varchar("&amp;BN41&amp;")","Long","int","Integer","smallint","Double","decimal(9,2)","Currency","int")</f>
        <v>smallint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 t="s">
        <v>712</v>
      </c>
      <c r="AU41" s="25"/>
      <c r="AV41" s="25"/>
      <c r="AW41" s="25"/>
      <c r="AX41" s="25"/>
      <c r="AY41" s="25"/>
      <c r="AZ41" s="25" t="s">
        <v>1095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M41" t="s">
        <v>451</v>
      </c>
      <c r="BP41" t="str">
        <f t="shared" si="1"/>
        <v>,`THUS_EXCL_FG` smallint  COMMENT '木曜日除外フラグ'</v>
      </c>
      <c r="BQ41" t="s">
        <v>223</v>
      </c>
      <c r="BR41" t="str">
        <f t="shared" si="4"/>
        <v xml:space="preserve">,`THUS_EXCL_FG` smallint </v>
      </c>
      <c r="BS41" t="s">
        <v>223</v>
      </c>
      <c r="BT41" t="str">
        <f t="shared" si="5"/>
        <v>,`THUS_EXCL_FG`</v>
      </c>
      <c r="BU41" t="s">
        <v>223</v>
      </c>
      <c r="BV41" s="82" t="str">
        <f t="shared" si="2"/>
        <v>,A.`THUS_EXCL_FG` = B.`THUS_EXCL_FG`</v>
      </c>
      <c r="BW41" t="s">
        <v>223</v>
      </c>
      <c r="BX41" s="82" t="str">
        <f t="shared" si="6"/>
        <v>,`THUS_EXCL_FG`</v>
      </c>
      <c r="BY41" t="s">
        <v>223</v>
      </c>
      <c r="BZ41" s="82" t="str">
        <f t="shared" si="3"/>
        <v>,`THUS_EXCL_FG`</v>
      </c>
      <c r="CA41" t="s">
        <v>223</v>
      </c>
    </row>
    <row r="42" spans="1:79" ht="15" customHeight="1">
      <c r="A42" s="84" t="s">
        <v>533</v>
      </c>
      <c r="B42" s="23">
        <v>9</v>
      </c>
      <c r="C42" s="24"/>
      <c r="D42" s="22" t="s">
        <v>1147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674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 cm="1">
        <f t="array" ref="AC42">_xlfn.SWITCH(BM42,"String","varchar("&amp;BN42&amp;")","Long","int","Integer","smallint","Double","decimal(9,2)","Currency","int")</f>
        <v>smallint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 t="s">
        <v>712</v>
      </c>
      <c r="AU42" s="25"/>
      <c r="AV42" s="25"/>
      <c r="AW42" s="25"/>
      <c r="AX42" s="25"/>
      <c r="AY42" s="25"/>
      <c r="AZ42" s="25" t="s">
        <v>1095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M42" t="s">
        <v>451</v>
      </c>
      <c r="BP42" t="str">
        <f t="shared" si="1"/>
        <v>,`FRI_EXCL_FG` smallint  COMMENT '金曜日除外フラグ'</v>
      </c>
      <c r="BQ42" t="s">
        <v>223</v>
      </c>
      <c r="BR42" t="str">
        <f t="shared" si="4"/>
        <v xml:space="preserve">,`FRI_EXCL_FG` smallint </v>
      </c>
      <c r="BS42" t="s">
        <v>223</v>
      </c>
      <c r="BT42" t="str">
        <f t="shared" si="5"/>
        <v>,`FRI_EXCL_FG`</v>
      </c>
      <c r="BU42" t="s">
        <v>223</v>
      </c>
      <c r="BV42" s="82" t="str">
        <f t="shared" si="2"/>
        <v>,A.`FRI_EXCL_FG` = B.`FRI_EXCL_FG`</v>
      </c>
      <c r="BW42" t="s">
        <v>223</v>
      </c>
      <c r="BX42" s="82" t="str">
        <f t="shared" si="6"/>
        <v>,`FRI_EXCL_FG`</v>
      </c>
      <c r="BY42" t="s">
        <v>223</v>
      </c>
      <c r="BZ42" s="82" t="str">
        <f t="shared" si="3"/>
        <v>,`FRI_EXCL_FG`</v>
      </c>
      <c r="CA42" t="s">
        <v>223</v>
      </c>
    </row>
    <row r="43" spans="1:79" ht="15" customHeight="1">
      <c r="A43" s="84" t="s">
        <v>246</v>
      </c>
      <c r="B43" s="23">
        <v>9</v>
      </c>
      <c r="C43" s="24"/>
      <c r="D43" s="22" t="s">
        <v>1148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6"/>
      <c r="R43" s="22" t="s">
        <v>675</v>
      </c>
      <c r="S43" s="25"/>
      <c r="T43" s="25"/>
      <c r="U43" s="25"/>
      <c r="V43" s="25"/>
      <c r="W43" s="25"/>
      <c r="X43" s="25"/>
      <c r="Y43" s="25"/>
      <c r="Z43" s="25"/>
      <c r="AA43" s="25"/>
      <c r="AB43" s="26"/>
      <c r="AC43" s="257" t="str" cm="1">
        <f t="array" ref="AC43">_xlfn.SWITCH(BM43,"String","varchar("&amp;BN43&amp;")","Long","int","Integer","smallint","Double","decimal(9,2)","Currency","int")</f>
        <v>smallint</v>
      </c>
      <c r="AD43" s="258"/>
      <c r="AE43" s="258"/>
      <c r="AF43" s="258"/>
      <c r="AG43" s="259"/>
      <c r="AH43" s="22"/>
      <c r="AI43" s="26"/>
      <c r="AJ43" s="22"/>
      <c r="AK43" s="25"/>
      <c r="AL43" s="26"/>
      <c r="AM43" s="22"/>
      <c r="AN43" s="25"/>
      <c r="AO43" s="25"/>
      <c r="AP43" s="25"/>
      <c r="AQ43" s="25"/>
      <c r="AR43" s="25"/>
      <c r="AS43" s="26"/>
      <c r="AT43" s="22" t="s">
        <v>712</v>
      </c>
      <c r="AU43" s="25"/>
      <c r="AV43" s="25"/>
      <c r="AW43" s="25"/>
      <c r="AX43" s="25"/>
      <c r="AY43" s="25"/>
      <c r="AZ43" s="25" t="s">
        <v>1095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6"/>
      <c r="BK43" s="4"/>
      <c r="BM43" t="s">
        <v>451</v>
      </c>
      <c r="BP43" t="str">
        <f t="shared" si="1"/>
        <v>,`SAT_EXCL_FG` smallint  COMMENT '土曜日除外フラグ'</v>
      </c>
      <c r="BQ43" t="s">
        <v>223</v>
      </c>
      <c r="BR43" t="str">
        <f t="shared" si="4"/>
        <v xml:space="preserve">,`SAT_EXCL_FG` smallint </v>
      </c>
      <c r="BS43" t="s">
        <v>223</v>
      </c>
      <c r="BT43" t="str">
        <f t="shared" si="5"/>
        <v>,`SAT_EXCL_FG`</v>
      </c>
      <c r="BU43" t="s">
        <v>223</v>
      </c>
      <c r="BV43" s="82" t="str">
        <f t="shared" si="2"/>
        <v>,A.`SAT_EXCL_FG` = B.`SAT_EXCL_FG`</v>
      </c>
      <c r="BW43" t="s">
        <v>223</v>
      </c>
      <c r="BX43" s="82" t="str">
        <f t="shared" si="6"/>
        <v>,`SAT_EXCL_FG`</v>
      </c>
      <c r="BY43" t="s">
        <v>223</v>
      </c>
      <c r="BZ43" s="82" t="str">
        <f t="shared" si="3"/>
        <v>,`SAT_EXCL_FG`</v>
      </c>
      <c r="CA43" t="s">
        <v>223</v>
      </c>
    </row>
    <row r="44" spans="1:79" ht="15" customHeight="1">
      <c r="A44" s="84" t="s">
        <v>247</v>
      </c>
      <c r="B44" s="23">
        <v>9</v>
      </c>
      <c r="C44" s="24"/>
      <c r="D44" s="22" t="s">
        <v>1149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676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 cm="1">
        <f t="array" ref="AC44">_xlfn.SWITCH(BM44,"String","varchar("&amp;BN44&amp;")","Long","int","Integer","smallint","Double","decimal(9,2)","Currency","int")</f>
        <v>smallint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 t="s">
        <v>712</v>
      </c>
      <c r="AU44" s="25"/>
      <c r="AV44" s="25"/>
      <c r="AW44" s="25"/>
      <c r="AX44" s="25"/>
      <c r="AY44" s="25"/>
      <c r="AZ44" s="25" t="s">
        <v>1095</v>
      </c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M44" t="s">
        <v>451</v>
      </c>
      <c r="BP44" t="str">
        <f t="shared" si="1"/>
        <v>,`SUN_EXCL_FG` smallint  COMMENT '日曜日除外フラグ'</v>
      </c>
      <c r="BQ44" t="s">
        <v>223</v>
      </c>
      <c r="BR44" t="str">
        <f t="shared" si="4"/>
        <v xml:space="preserve">,`SUN_EXCL_FG` smallint </v>
      </c>
      <c r="BS44" t="s">
        <v>223</v>
      </c>
      <c r="BT44" t="str">
        <f t="shared" si="5"/>
        <v>,`SUN_EXCL_FG`</v>
      </c>
      <c r="BU44" t="s">
        <v>223</v>
      </c>
      <c r="BV44" s="82" t="str">
        <f t="shared" si="2"/>
        <v>,A.`SUN_EXCL_FG` = B.`SUN_EXCL_FG`</v>
      </c>
      <c r="BW44" t="s">
        <v>223</v>
      </c>
      <c r="BX44" s="82" t="str">
        <f t="shared" si="6"/>
        <v>,`SUN_EXCL_FG`</v>
      </c>
      <c r="BY44" t="s">
        <v>223</v>
      </c>
      <c r="BZ44" s="82" t="str">
        <f t="shared" si="3"/>
        <v>,`SUN_EXCL_FG`</v>
      </c>
      <c r="CA44" t="s">
        <v>223</v>
      </c>
    </row>
    <row r="45" spans="1:79" ht="15" customHeight="1">
      <c r="A45" s="84" t="s">
        <v>248</v>
      </c>
      <c r="B45" s="71">
        <v>9</v>
      </c>
      <c r="C45" s="72"/>
      <c r="D45" s="73" t="s">
        <v>349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5"/>
      <c r="R45" s="73" t="s">
        <v>1154</v>
      </c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251" t="str" cm="1">
        <f t="array" ref="AC45">_xlfn.SWITCH(BM45,"String","varchar("&amp;BN45&amp;")","Long","int","Integer","smallint","Double","decimal(9,2)","Currency","int")</f>
        <v>int</v>
      </c>
      <c r="AD45" s="252"/>
      <c r="AE45" s="252"/>
      <c r="AF45" s="252"/>
      <c r="AG45" s="253"/>
      <c r="AH45" s="73"/>
      <c r="AI45" s="75"/>
      <c r="AJ45" s="73"/>
      <c r="AK45" s="74"/>
      <c r="AL45" s="75"/>
      <c r="AM45" s="73"/>
      <c r="AN45" s="74"/>
      <c r="AO45" s="74"/>
      <c r="AP45" s="74"/>
      <c r="AQ45" s="74"/>
      <c r="AR45" s="74"/>
      <c r="AS45" s="75"/>
      <c r="AT45" s="73" t="s">
        <v>464</v>
      </c>
      <c r="AU45" s="74"/>
      <c r="AV45" s="74"/>
      <c r="AW45" s="74"/>
      <c r="AX45" s="74"/>
      <c r="AY45" s="74"/>
      <c r="AZ45" s="74" t="s">
        <v>1095</v>
      </c>
      <c r="BA45" s="74"/>
      <c r="BB45" s="74"/>
      <c r="BC45" s="74"/>
      <c r="BD45" s="74"/>
      <c r="BE45" s="74"/>
      <c r="BF45" s="74"/>
      <c r="BG45" s="74"/>
      <c r="BH45" s="74"/>
      <c r="BI45" s="74"/>
      <c r="BJ45" s="75"/>
      <c r="BK45" s="4"/>
      <c r="BM45" t="s">
        <v>450</v>
      </c>
      <c r="BP45" t="str">
        <f t="shared" si="1"/>
        <v>,`TNT_ ID` int  COMMENT 'テナントコード'</v>
      </c>
      <c r="BQ45" t="s">
        <v>223</v>
      </c>
      <c r="BR45" t="str">
        <f t="shared" si="4"/>
        <v xml:space="preserve">,`TNT_ ID` int </v>
      </c>
      <c r="BS45" t="s">
        <v>223</v>
      </c>
      <c r="BT45" t="str">
        <f t="shared" si="5"/>
        <v>,`TNT_ ID`</v>
      </c>
      <c r="BU45" t="s">
        <v>223</v>
      </c>
      <c r="BV45" s="82" t="str">
        <f t="shared" si="2"/>
        <v>,A.`TNT_ ID` = B.`TNT_ ID`</v>
      </c>
      <c r="BW45" t="s">
        <v>223</v>
      </c>
      <c r="BX45" s="82" t="str">
        <f t="shared" si="6"/>
        <v>,`TNT_ ID`</v>
      </c>
      <c r="BY45" t="s">
        <v>223</v>
      </c>
      <c r="BZ45" s="82" t="str">
        <f t="shared" si="3"/>
        <v>,`TNT_ ID`</v>
      </c>
      <c r="CA45" t="s">
        <v>223</v>
      </c>
    </row>
    <row r="46" spans="1:79" ht="15" customHeight="1">
      <c r="A46" s="84" t="s">
        <v>525</v>
      </c>
      <c r="B46" s="23">
        <v>9</v>
      </c>
      <c r="C46" s="24"/>
      <c r="D46" s="22" t="s">
        <v>1150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1172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 cm="1">
        <f t="array" ref="AC46">_xlfn.SWITCH(BM46,"String","varchar("&amp;BN46&amp;")","Long","int","Integer","smallint","Double","decimal(9,2)","Currency","int")</f>
        <v>varchar(8)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 t="s">
        <v>721</v>
      </c>
      <c r="AU46" s="25"/>
      <c r="AV46" s="25"/>
      <c r="AW46" s="25"/>
      <c r="AX46" s="25"/>
      <c r="AY46" s="25"/>
      <c r="AZ46" s="25" t="s">
        <v>1095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M46" t="s">
        <v>449</v>
      </c>
      <c r="BN46">
        <v>8</v>
      </c>
      <c r="BP46" t="str">
        <f t="shared" si="1"/>
        <v>,`CRT_DT` varchar(8)  COMMENT '作成日'</v>
      </c>
      <c r="BQ46" t="s">
        <v>223</v>
      </c>
      <c r="BR46" t="str">
        <f t="shared" si="4"/>
        <v xml:space="preserve">,`CRT_DT` varchar(8) </v>
      </c>
      <c r="BS46" t="s">
        <v>223</v>
      </c>
      <c r="BT46" t="str">
        <f t="shared" si="5"/>
        <v>,`CRT_DT`</v>
      </c>
      <c r="BU46" t="s">
        <v>223</v>
      </c>
      <c r="BV46" s="82" t="str">
        <f t="shared" si="2"/>
        <v>,A.`CRT_DT` = B.`CRT_DT`</v>
      </c>
      <c r="BW46" t="s">
        <v>223</v>
      </c>
      <c r="BX46" s="82" t="str">
        <f t="shared" si="6"/>
        <v>,`CRT_DT`</v>
      </c>
      <c r="BY46" t="s">
        <v>223</v>
      </c>
      <c r="BZ46" s="82" t="str">
        <f t="shared" si="3"/>
        <v>,`CRT_DT`</v>
      </c>
      <c r="CA46" t="s">
        <v>223</v>
      </c>
    </row>
    <row r="47" spans="1:79" ht="15" customHeight="1">
      <c r="A47" s="84" t="s">
        <v>526</v>
      </c>
      <c r="B47" s="23">
        <v>9</v>
      </c>
      <c r="C47" s="24"/>
      <c r="D47" s="22" t="s">
        <v>660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446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 cm="1">
        <f t="array" ref="AC47">_xlfn.SWITCH(BM47,"String","varchar("&amp;BN47&amp;")","Long","int","Integer","smallint","Double","decimal(9,2)","Currency","int")</f>
        <v>varchar(8)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 t="s">
        <v>721</v>
      </c>
      <c r="AU47" s="25"/>
      <c r="AV47" s="25"/>
      <c r="AW47" s="25"/>
      <c r="AX47" s="25"/>
      <c r="AY47" s="25"/>
      <c r="AZ47" s="25" t="s">
        <v>1095</v>
      </c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M47" t="s">
        <v>449</v>
      </c>
      <c r="BN47">
        <v>8</v>
      </c>
      <c r="BP47" t="str">
        <f t="shared" si="1"/>
        <v>,`PRCS_DT` varchar(8)  COMMENT '処理日'</v>
      </c>
      <c r="BQ47" t="s">
        <v>223</v>
      </c>
      <c r="BR47" t="str">
        <f t="shared" si="4"/>
        <v xml:space="preserve">,`PRCS_DT` varchar(8) </v>
      </c>
      <c r="BS47" t="s">
        <v>223</v>
      </c>
      <c r="BT47" t="str">
        <f t="shared" si="5"/>
        <v>,`PRCS_DT`</v>
      </c>
      <c r="BU47" t="s">
        <v>223</v>
      </c>
      <c r="BV47" s="82" t="str">
        <f t="shared" si="2"/>
        <v>,A.`PRCS_DT` = B.`PRCS_DT`</v>
      </c>
      <c r="BW47" t="s">
        <v>223</v>
      </c>
      <c r="BX47" s="82" t="str">
        <f t="shared" si="6"/>
        <v>,`PRCS_DT`</v>
      </c>
      <c r="BY47" t="s">
        <v>223</v>
      </c>
      <c r="BZ47" s="82" t="str">
        <f t="shared" si="3"/>
        <v>,`PRCS_DT`</v>
      </c>
      <c r="CA47" t="s">
        <v>223</v>
      </c>
    </row>
    <row r="48" spans="1:79" ht="15" customHeight="1">
      <c r="A48" s="84" t="s">
        <v>527</v>
      </c>
      <c r="B48" s="23">
        <v>9</v>
      </c>
      <c r="C48" s="24"/>
      <c r="D48" s="22" t="s">
        <v>1151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447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 cm="1">
        <f t="array" ref="AC48">_xlfn.SWITCH(BM48,"String","varchar("&amp;BN48&amp;")","Long","int","Integer","smallint","Double","decimal(9,2)","Currency","int")</f>
        <v>varchar(8)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2" t="s">
        <v>1161</v>
      </c>
      <c r="AU48" s="25"/>
      <c r="AV48" s="25"/>
      <c r="AW48" s="25"/>
      <c r="AX48" s="25"/>
      <c r="AY48" s="25"/>
      <c r="AZ48" s="25" t="s">
        <v>1095</v>
      </c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4"/>
      <c r="BM48" t="s">
        <v>449</v>
      </c>
      <c r="BN48">
        <v>8</v>
      </c>
      <c r="BP48" t="str">
        <f t="shared" si="1"/>
        <v>,`RCV_DT` varchar(8)  COMMENT '受信日'</v>
      </c>
      <c r="BQ48" t="s">
        <v>223</v>
      </c>
      <c r="BR48" t="str">
        <f t="shared" si="4"/>
        <v xml:space="preserve">,`RCV_DT` varchar(8) </v>
      </c>
      <c r="BS48" t="s">
        <v>223</v>
      </c>
      <c r="BT48" t="str">
        <f t="shared" si="5"/>
        <v>,`RCV_DT`</v>
      </c>
      <c r="BU48" t="s">
        <v>223</v>
      </c>
      <c r="BV48" s="82" t="str">
        <f t="shared" si="2"/>
        <v>,A.`RCV_DT` = B.`RCV_DT`</v>
      </c>
      <c r="BW48" t="s">
        <v>223</v>
      </c>
      <c r="BX48" s="82" t="str">
        <f t="shared" si="6"/>
        <v>,`RCV_DT`</v>
      </c>
      <c r="BY48" t="s">
        <v>223</v>
      </c>
      <c r="BZ48" s="82" t="str">
        <f t="shared" si="3"/>
        <v>,`RCV_DT`</v>
      </c>
      <c r="CA48" t="s">
        <v>223</v>
      </c>
    </row>
    <row r="49" spans="1:79" ht="15" customHeight="1">
      <c r="A49" s="84" t="s">
        <v>528</v>
      </c>
      <c r="B49" s="23">
        <v>9</v>
      </c>
      <c r="C49" s="24"/>
      <c r="D49" s="22" t="s">
        <v>1152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448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">
        <v>521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2" t="s">
        <v>723</v>
      </c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4"/>
      <c r="BM49" t="s">
        <v>449</v>
      </c>
      <c r="BN49">
        <v>1</v>
      </c>
      <c r="BP49" t="str">
        <f t="shared" si="1"/>
        <v>,`PRCS_FG` smallint  COMMENT '処理フラグ'</v>
      </c>
      <c r="BQ49" t="s">
        <v>223</v>
      </c>
      <c r="BR49" t="str">
        <f t="shared" si="4"/>
        <v xml:space="preserve">,`PRCS_FG` smallint </v>
      </c>
      <c r="BS49" t="s">
        <v>223</v>
      </c>
      <c r="BT49" t="str">
        <f t="shared" si="5"/>
        <v>,`PRCS_FG`</v>
      </c>
      <c r="BU49" t="s">
        <v>223</v>
      </c>
      <c r="BV49" s="82" t="str">
        <f t="shared" si="2"/>
        <v>,A.`PRCS_FG` = B.`PRCS_FG`</v>
      </c>
      <c r="BW49" t="s">
        <v>223</v>
      </c>
      <c r="BX49" s="82" t="str">
        <f t="shared" si="6"/>
        <v>,`PRCS_FG`</v>
      </c>
      <c r="BY49" t="s">
        <v>223</v>
      </c>
      <c r="BZ49" s="82" t="str">
        <f t="shared" si="3"/>
        <v>,`PRCS_FG`</v>
      </c>
      <c r="CA49" t="s">
        <v>223</v>
      </c>
    </row>
    <row r="50" spans="1:79" ht="15" customHeight="1">
      <c r="A50" s="84"/>
      <c r="BK50" s="4"/>
      <c r="BP5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(`STR_ID`,`EVNT_NBR`),</v>
      </c>
      <c r="BQ50" t="s">
        <v>223</v>
      </c>
      <c r="BR5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(`STR_ID`,`EVNT_NBR`)</v>
      </c>
      <c r="BS50" t="s">
        <v>223</v>
      </c>
      <c r="BT50" s="82" t="s">
        <v>226</v>
      </c>
      <c r="BU50" t="s">
        <v>223</v>
      </c>
      <c r="BV50" s="82" t="s">
        <v>231</v>
      </c>
      <c r="BW50" t="s">
        <v>223</v>
      </c>
      <c r="BY50" t="s">
        <v>223</v>
      </c>
      <c r="BZ50" s="82" t="str">
        <f>"FROM `TMP`.`"&amp;$G$10&amp;"` A"</f>
        <v>FROM `TMP`.`GHEVENTM` A</v>
      </c>
      <c r="CA50" t="s">
        <v>223</v>
      </c>
    </row>
    <row r="51" spans="1:79" ht="15" customHeight="1">
      <c r="A51" s="84"/>
      <c r="BK51" s="4"/>
      <c r="BP51" s="82" t="s">
        <v>222</v>
      </c>
      <c r="BQ51" t="s">
        <v>223</v>
      </c>
      <c r="BR51" s="82" t="str">
        <f>") ENGINE=InnoDB DEFAULT CHARSET=utf8mb4 COLLATE=utf8mb4_0900_ai_ci COMMENT = '"&amp;$G$9&amp;"_TMP';"</f>
        <v>) ENGINE=InnoDB DEFAULT CHARSET=utf8mb4 COLLATE=utf8mb4_0900_ai_ci COMMENT = '企画マスタ_TMP';</v>
      </c>
      <c r="BS51" t="s">
        <v>223</v>
      </c>
      <c r="BU51" t="s">
        <v>223</v>
      </c>
      <c r="BV51" s="82" t="str">
        <f>IF(_xlfn.XLOOKUP(1,$AH:$AH,$R:$R,"",0)="","","A.`"&amp;_xlfn.XLOOKUP(1,$AH:$AH,$R:$R,"",0)&amp;"` = B.`"&amp;_xlfn.XLOOKUP(1,$AH:$AH,$R:$R,"",0)&amp;"`")</f>
        <v>A.`STR_ID` = B.`STR_ID`</v>
      </c>
      <c r="BW51" t="s">
        <v>223</v>
      </c>
      <c r="BY51" t="s">
        <v>223</v>
      </c>
      <c r="BZ51" s="82" t="s">
        <v>232</v>
      </c>
      <c r="CA51" t="s">
        <v>223</v>
      </c>
    </row>
    <row r="52" spans="1:79" ht="15" customHeight="1">
      <c r="A52" s="84"/>
      <c r="B52" s="36" t="s">
        <v>47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4"/>
      <c r="BP52" s="82" t="str">
        <f>") ENGINE=InnoDB DEFAULT CHARSET=utf8mb4 COLLATE=utf8mb4_0900_ai_ci COMMENT = '"&amp;$G$9&amp;"';"</f>
        <v>) ENGINE=InnoDB DEFAULT CHARSET=utf8mb4 COLLATE=utf8mb4_0900_ai_ci COMMENT = '企画マスタ';</v>
      </c>
      <c r="BQ52" t="s">
        <v>223</v>
      </c>
      <c r="BS52" t="s">
        <v>223</v>
      </c>
      <c r="BU52" t="s">
        <v>223</v>
      </c>
      <c r="BV52" s="82" t="str">
        <f>IF(_xlfn.XLOOKUP(2,$AH:$AH,$R:$R,"",0)="","","AND A.`"&amp;_xlfn.XLOOKUP(2,$AH:$AH,$R:$R,"",0)&amp;"` = B.`"&amp;_xlfn.XLOOKUP(2,$AH:$AH,$R:$R,"",0)&amp;"`")</f>
        <v>AND A.`EVNT_NBR` = B.`EVNT_NBR`</v>
      </c>
      <c r="BW52" t="s">
        <v>223</v>
      </c>
      <c r="BY52" t="s">
        <v>223</v>
      </c>
      <c r="BZ52" s="82" t="str">
        <f>"FROM `REPLICA_KASUMI`.`"&amp;$G$10&amp;"` B"</f>
        <v>FROM `REPLICA_KASUMI`.`GHEVENTM` B</v>
      </c>
      <c r="CA52" t="s">
        <v>223</v>
      </c>
    </row>
    <row r="53" spans="1:79" ht="15" customHeight="1">
      <c r="A53" s="84"/>
      <c r="B53" s="33" t="s">
        <v>48</v>
      </c>
      <c r="C53" s="34"/>
      <c r="D53" s="33" t="s">
        <v>49</v>
      </c>
      <c r="E53" s="43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4"/>
      <c r="R53" s="33" t="s">
        <v>50</v>
      </c>
      <c r="S53" s="43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4"/>
      <c r="AL53" s="33" t="s">
        <v>51</v>
      </c>
      <c r="AM53" s="35"/>
      <c r="AN53" s="35"/>
      <c r="AO53" s="44"/>
      <c r="AP53" s="33" t="s">
        <v>52</v>
      </c>
      <c r="AQ53" s="35"/>
      <c r="AR53" s="35"/>
      <c r="AS53" s="34"/>
      <c r="AT53" s="33" t="s">
        <v>46</v>
      </c>
      <c r="AU53" s="43"/>
      <c r="AV53" s="43"/>
      <c r="AW53" s="35"/>
      <c r="AX53" s="35"/>
      <c r="AY53" s="43"/>
      <c r="AZ53" s="35"/>
      <c r="BA53" s="35"/>
      <c r="BB53" s="35"/>
      <c r="BC53" s="35"/>
      <c r="BD53" s="35"/>
      <c r="BE53" s="35"/>
      <c r="BF53" s="35"/>
      <c r="BG53" s="35"/>
      <c r="BH53" s="35"/>
      <c r="BI53" s="43"/>
      <c r="BJ53" s="34"/>
      <c r="BK53" s="4"/>
      <c r="BP53" s="82"/>
      <c r="BQ53" t="s">
        <v>223</v>
      </c>
      <c r="BS53" t="s">
        <v>223</v>
      </c>
      <c r="BU53" t="s">
        <v>223</v>
      </c>
      <c r="BV53" s="82" t="str">
        <f>IF(_xlfn.XLOOKUP(3,$AH:$AH,$R:$R,"",0)="","","AND A.`"&amp;_xlfn.XLOOKUP(3,$AH:$AH,$R:$R,"",0)&amp;"` = B.`"&amp;_xlfn.XLOOKUP(3,$AH:$AH,$R:$R,"",0)&amp;"`")</f>
        <v/>
      </c>
      <c r="BW53" t="s">
        <v>223</v>
      </c>
      <c r="BY53" t="s">
        <v>223</v>
      </c>
      <c r="BZ53" s="82" t="s">
        <v>229</v>
      </c>
      <c r="CA53" t="s">
        <v>223</v>
      </c>
    </row>
    <row r="54" spans="1:79" ht="15" customHeight="1">
      <c r="A54" s="84"/>
      <c r="B54" s="37">
        <v>1</v>
      </c>
      <c r="C54" s="38"/>
      <c r="D54" s="37" t="s">
        <v>53</v>
      </c>
      <c r="E54" s="45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8"/>
      <c r="R54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`STR_ID`,`EVNT_NBR`</v>
      </c>
      <c r="S54" s="45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8"/>
      <c r="AL54" s="37" t="s">
        <v>224</v>
      </c>
      <c r="AM54" s="39"/>
      <c r="AN54" s="39"/>
      <c r="AO54" s="46"/>
      <c r="AP54" s="37" t="s">
        <v>224</v>
      </c>
      <c r="AQ54" s="39"/>
      <c r="AR54" s="39"/>
      <c r="AS54" s="38"/>
      <c r="AT54" s="37"/>
      <c r="AU54" s="45"/>
      <c r="AV54" s="45"/>
      <c r="AW54" s="39"/>
      <c r="AX54" s="39"/>
      <c r="AY54" s="45"/>
      <c r="AZ54" s="39"/>
      <c r="BA54" s="39"/>
      <c r="BB54" s="39"/>
      <c r="BC54" s="39"/>
      <c r="BD54" s="39"/>
      <c r="BE54" s="39"/>
      <c r="BF54" s="39"/>
      <c r="BG54" s="39"/>
      <c r="BH54" s="39"/>
      <c r="BI54" s="45"/>
      <c r="BJ54" s="38"/>
      <c r="BK54" s="4"/>
      <c r="BP54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`GHEVENTM_CR_Date_Time` BEFORE INSERT ON `GHEVENTM` FOR EACH ROW SET NEW.record_create_date = CURRENT_DATE, NEW.record_create_time = CURRENT_TIME, NEW.record_update_date = CURRENT_DATE, NEW.record_update_time = CURRENT_TIME;</v>
      </c>
      <c r="BQ54" t="s">
        <v>223</v>
      </c>
      <c r="BS54" t="s">
        <v>223</v>
      </c>
      <c r="BU54" t="s">
        <v>223</v>
      </c>
      <c r="BV54" s="82" t="str">
        <f>IF(_xlfn.XLOOKUP(4,$AH:$AH,$R:$R,"",0)="","","AND A.`"&amp;_xlfn.XLOOKUP(4,$AH:$AH,$R:$R,"",0)&amp;"` = B.`"&amp;_xlfn.XLOOKUP(4,$AH:$AH,$R:$R,"",0)&amp;"`")</f>
        <v/>
      </c>
      <c r="BW54" t="s">
        <v>223</v>
      </c>
      <c r="BY54" t="s">
        <v>223</v>
      </c>
      <c r="BZ54" s="82" t="str">
        <f>IF(_xlfn.XLOOKUP(1,$AH:$AH,$R:$R,"",0)="","","A.`"&amp;_xlfn.XLOOKUP(1,$AH:$AH,$R:$R,"",0)&amp;"` = B.`"&amp;_xlfn.XLOOKUP(1,$AH:$AH,$R:$R,"",0)&amp;"`")</f>
        <v>A.`STR_ID` = B.`STR_ID`</v>
      </c>
      <c r="CA54" t="s">
        <v>223</v>
      </c>
    </row>
    <row r="55" spans="1:79" ht="15" customHeight="1">
      <c r="A55" s="84"/>
      <c r="BK55" s="4"/>
      <c r="BP55" s="82" t="str">
        <f>"CREATE TRIGGER `"&amp;$G$10&amp;"_UP_Date_Time` BEFORE UPDATE ON `"&amp;$G$10&amp;"` FOR EACH ROW SET NEW.record_update_date = CURRENT_DATE, NEW.record_update_time = CURRENT_TIME;"</f>
        <v>CREATE TRIGGER `GHEVENTM_UP_Date_Time` BEFORE UPDATE ON `GHEVENTM` FOR EACH ROW SET NEW.record_update_date = CURRENT_DATE, NEW.record_update_time = CURRENT_TIME;</v>
      </c>
      <c r="BQ55" t="s">
        <v>223</v>
      </c>
      <c r="BS55" t="s">
        <v>223</v>
      </c>
      <c r="BU55" t="s">
        <v>223</v>
      </c>
      <c r="BV55" s="82" t="str">
        <f>IF(_xlfn.XLOOKUP(5,$AH:$AH,$R:$R,"",0)="","","AND A.`"&amp;_xlfn.XLOOKUP(5,$AH:$AH,$R:$R,"",0)&amp;"` = B.`"&amp;_xlfn.XLOOKUP(5,$AH:$AH,$R:$R,"",0)&amp;"`")</f>
        <v/>
      </c>
      <c r="BW55" t="s">
        <v>223</v>
      </c>
      <c r="BY55" t="s">
        <v>223</v>
      </c>
      <c r="BZ55" s="82" t="str">
        <f>IF(_xlfn.XLOOKUP(2,$AH:$AH,$R:$R,"",0)="","","AND A.`"&amp;_xlfn.XLOOKUP(2,$AH:$AH,$R:$R,"",0)&amp;"` = B.`"&amp;_xlfn.XLOOKUP(2,$AH:$AH,$R:$R,"",0)&amp;"`")</f>
        <v>AND A.`EVNT_NBR` = B.`EVNT_NBR`</v>
      </c>
      <c r="CA55" t="s">
        <v>223</v>
      </c>
    </row>
    <row r="56" spans="1:79" ht="15" customHeight="1">
      <c r="A56" s="84"/>
      <c r="BK56" s="4"/>
      <c r="BQ56" t="s">
        <v>223</v>
      </c>
      <c r="BS56" t="s">
        <v>223</v>
      </c>
      <c r="BU56" t="s">
        <v>223</v>
      </c>
      <c r="BV56" s="82" t="str">
        <f>IF(_xlfn.XLOOKUP(6,$AH:$AH,$R:$R,"",0)="","","AND A.`"&amp;_xlfn.XLOOKUP(6,$AH:$AH,$R:$R,"",0)&amp;"` = B.`"&amp;_xlfn.XLOOKUP(6,$AH:$AH,$R:$R,"",0)&amp;"`")</f>
        <v/>
      </c>
      <c r="BW56" t="s">
        <v>223</v>
      </c>
      <c r="BY56" t="s">
        <v>223</v>
      </c>
      <c r="BZ56" s="82" t="str">
        <f>IF(_xlfn.XLOOKUP(3,$AH:$AH,$R:$R,"",0)="","","AND A.`"&amp;_xlfn.XLOOKUP(3,$AH:$AH,$R:$R,"",0)&amp;"` = B.`"&amp;_xlfn.XLOOKUP(3,$AH:$AH,$R:$R,"",0)&amp;"`")</f>
        <v/>
      </c>
      <c r="CA56" t="s">
        <v>223</v>
      </c>
    </row>
    <row r="57" spans="1:79" ht="15" customHeight="1">
      <c r="A57" s="84"/>
      <c r="B57" s="36" t="s">
        <v>32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4"/>
      <c r="BQ57" t="s">
        <v>223</v>
      </c>
      <c r="BS57" t="s">
        <v>223</v>
      </c>
      <c r="BU57" t="s">
        <v>223</v>
      </c>
      <c r="BV57" s="82" t="str">
        <f>IF(_xlfn.XLOOKUP(7,$AH:$AH,$R:$R,"",0)="","","AND A.`"&amp;_xlfn.XLOOKUP(7,$AH:$AH,$R:$R,"",0)&amp;"` = B.`"&amp;_xlfn.XLOOKUP(7,$AH:$AH,$R:$R,"",0)&amp;"`")</f>
        <v/>
      </c>
      <c r="BW57" t="s">
        <v>223</v>
      </c>
      <c r="BY57" t="s">
        <v>223</v>
      </c>
      <c r="BZ57" s="82" t="str">
        <f>IF(_xlfn.XLOOKUP(4,$AH:$AH,$R:$R,"",0)="","","AND A.`"&amp;_xlfn.XLOOKUP(4,$AH:$AH,$R:$R,"",0)&amp;"` = B.`"&amp;_xlfn.XLOOKUP(4,$AH:$AH,$R:$R,"",0)&amp;"`")</f>
        <v/>
      </c>
      <c r="CA57" t="s">
        <v>223</v>
      </c>
    </row>
    <row r="58" spans="1:79" ht="15" customHeight="1">
      <c r="A58" s="84"/>
      <c r="B58" s="33" t="s">
        <v>33</v>
      </c>
      <c r="C58" s="44"/>
      <c r="D58" s="33" t="s">
        <v>34</v>
      </c>
      <c r="E58" s="43"/>
      <c r="F58" s="43"/>
      <c r="G58" s="43"/>
      <c r="H58" s="43"/>
      <c r="I58" s="43"/>
      <c r="J58" s="43"/>
      <c r="K58" s="43"/>
      <c r="L58" s="35"/>
      <c r="M58" s="35"/>
      <c r="N58" s="35"/>
      <c r="O58" s="35"/>
      <c r="P58" s="35"/>
      <c r="Q58" s="34"/>
      <c r="R58" s="33" t="s">
        <v>35</v>
      </c>
      <c r="S58" s="35"/>
      <c r="T58" s="44"/>
      <c r="U58" s="33" t="s">
        <v>36</v>
      </c>
      <c r="V58" s="35"/>
      <c r="W58" s="43"/>
      <c r="X58" s="44"/>
      <c r="Y58" s="33" t="s">
        <v>37</v>
      </c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4"/>
      <c r="BK58" s="4"/>
      <c r="BQ58" t="s">
        <v>223</v>
      </c>
      <c r="BS58" t="s">
        <v>223</v>
      </c>
      <c r="BU58" t="s">
        <v>223</v>
      </c>
      <c r="BV58" s="82" t="str">
        <f>IF(_xlfn.XLOOKUP(8,$AH:$AH,$R:$R,"",0)="","","AND A.`"&amp;_xlfn.XLOOKUP(8,$AH:$AH,$R:$R,"",0)&amp;"` = B.`"&amp;_xlfn.XLOOKUP(8,$AH:$AH,$R:$R,"",0)&amp;"`")</f>
        <v/>
      </c>
      <c r="BW58" t="s">
        <v>223</v>
      </c>
      <c r="BY58" t="s">
        <v>223</v>
      </c>
      <c r="BZ58" s="82" t="str">
        <f>IF(_xlfn.XLOOKUP(5,$AH:$AH,$R:$R,"",0)="","","AND A.`"&amp;_xlfn.XLOOKUP(5,$AH:$AH,$R:$R,"",0)&amp;"` = B.`"&amp;_xlfn.XLOOKUP(5,$AH:$AH,$R:$R,"",0)&amp;"`")</f>
        <v/>
      </c>
      <c r="CA58" t="s">
        <v>223</v>
      </c>
    </row>
    <row r="59" spans="1:79" ht="15" customHeight="1">
      <c r="A59" s="84"/>
      <c r="B59" s="40">
        <v>1</v>
      </c>
      <c r="C59" s="46"/>
      <c r="D59" s="40" t="str">
        <f>G10&amp;"_"&amp;R59&amp;"_"&amp;"trg"</f>
        <v>GHEVENTM_update_trg</v>
      </c>
      <c r="E59" s="45"/>
      <c r="F59" s="45"/>
      <c r="G59" s="45"/>
      <c r="H59" s="45"/>
      <c r="I59" s="45"/>
      <c r="J59" s="45"/>
      <c r="K59" s="45"/>
      <c r="L59" s="41"/>
      <c r="M59" s="41"/>
      <c r="N59" s="41"/>
      <c r="O59" s="41"/>
      <c r="P59" s="41"/>
      <c r="Q59" s="42"/>
      <c r="R59" s="40" t="s">
        <v>38</v>
      </c>
      <c r="S59" s="41"/>
      <c r="T59" s="46"/>
      <c r="U59" s="40" t="s">
        <v>39</v>
      </c>
      <c r="V59" s="41"/>
      <c r="W59" s="45"/>
      <c r="X59" s="46"/>
      <c r="Y59" s="40" t="s">
        <v>40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2"/>
      <c r="BK59" s="4"/>
      <c r="BQ59" t="s">
        <v>223</v>
      </c>
      <c r="BS59" t="s">
        <v>223</v>
      </c>
      <c r="BU59" t="s">
        <v>223</v>
      </c>
      <c r="BV59" s="82" t="s">
        <v>233</v>
      </c>
      <c r="BW59" t="s">
        <v>223</v>
      </c>
      <c r="BY59" t="s">
        <v>223</v>
      </c>
      <c r="BZ59" s="82" t="str">
        <f>IF(_xlfn.XLOOKUP(6,$AH:$AH,$R:$R,"",0)="","","AND A.`"&amp;_xlfn.XLOOKUP(6,$AH:$AH,$R:$R,"",0)&amp;"` = B.`"&amp;_xlfn.XLOOKUP(6,$AH:$AH,$R:$R,"",0)&amp;"`")</f>
        <v/>
      </c>
      <c r="CA59" t="s">
        <v>223</v>
      </c>
    </row>
    <row r="60" spans="1:79" ht="15" customHeight="1">
      <c r="A60" s="84"/>
      <c r="BK60" s="4"/>
      <c r="BQ60" t="s">
        <v>223</v>
      </c>
      <c r="BS60" t="s">
        <v>223</v>
      </c>
      <c r="BU60" t="s">
        <v>223</v>
      </c>
      <c r="BW60" t="s">
        <v>223</v>
      </c>
      <c r="BY60" t="s">
        <v>223</v>
      </c>
      <c r="BZ60" s="82" t="str">
        <f>IF(_xlfn.XLOOKUP(7,$AH:$AH,$R:$R,"",0)="","","AND A.`"&amp;_xlfn.XLOOKUP(7,$AH:$AH,$R:$R,"",0)&amp;"` = B.`"&amp;_xlfn.XLOOKUP(7,$AH:$AH,$R:$R,"",0)&amp;"`")</f>
        <v/>
      </c>
      <c r="CA60" t="s">
        <v>223</v>
      </c>
    </row>
    <row r="61" spans="1:79" ht="15" customHeight="1">
      <c r="A61" s="84"/>
      <c r="BK61" s="4"/>
      <c r="BQ61" t="s">
        <v>223</v>
      </c>
      <c r="BS61" t="s">
        <v>223</v>
      </c>
      <c r="BU61" t="s">
        <v>223</v>
      </c>
      <c r="BW61" t="s">
        <v>223</v>
      </c>
      <c r="BY61" t="s">
        <v>223</v>
      </c>
      <c r="BZ61" s="82" t="str">
        <f>IF(_xlfn.XLOOKUP(8,$AH:$AH,$R:$R,"",0)="","","AND A.`"&amp;_xlfn.XLOOKUP(8,$AH:$AH,$R:$R,"",0)&amp;"` = B.`"&amp;_xlfn.XLOOKUP(8,$AH:$AH,$R:$R,"",0)&amp;"`")</f>
        <v/>
      </c>
      <c r="CA61" t="s">
        <v>223</v>
      </c>
    </row>
    <row r="62" spans="1:79" ht="15" customHeight="1">
      <c r="A62" s="84"/>
      <c r="BK62" s="4"/>
      <c r="BQ62" t="s">
        <v>223</v>
      </c>
      <c r="BS62" t="s">
        <v>223</v>
      </c>
      <c r="BU62" t="s">
        <v>223</v>
      </c>
      <c r="BW62" t="s">
        <v>223</v>
      </c>
      <c r="BY62" t="s">
        <v>223</v>
      </c>
      <c r="BZ62" s="82" t="s">
        <v>226</v>
      </c>
      <c r="CA62" t="s">
        <v>223</v>
      </c>
    </row>
    <row r="63" spans="1:79" ht="15" customHeight="1">
      <c r="A63" s="84"/>
      <c r="BK63" s="4"/>
      <c r="BQ63" t="s">
        <v>223</v>
      </c>
      <c r="BS63" t="s">
        <v>223</v>
      </c>
      <c r="BU63" t="s">
        <v>223</v>
      </c>
      <c r="BW63" t="s">
        <v>223</v>
      </c>
      <c r="BY63" t="s">
        <v>223</v>
      </c>
      <c r="CA63" t="s">
        <v>223</v>
      </c>
    </row>
    <row r="64" spans="1:79" ht="15" customHeight="1">
      <c r="A64" s="84"/>
      <c r="BK64" s="4"/>
      <c r="BQ64" t="s">
        <v>223</v>
      </c>
      <c r="BS64" t="s">
        <v>223</v>
      </c>
      <c r="BU64" t="s">
        <v>223</v>
      </c>
      <c r="BW64" t="s">
        <v>223</v>
      </c>
      <c r="BY64" t="s">
        <v>223</v>
      </c>
      <c r="BZ64" s="83"/>
      <c r="CA64" t="s">
        <v>223</v>
      </c>
    </row>
    <row r="65" spans="1:79" ht="15" customHeight="1">
      <c r="A65" s="84"/>
      <c r="BK65" s="4"/>
      <c r="BQ65" t="s">
        <v>223</v>
      </c>
      <c r="BS65" t="s">
        <v>223</v>
      </c>
      <c r="BU65" t="s">
        <v>223</v>
      </c>
      <c r="BW65" t="s">
        <v>223</v>
      </c>
      <c r="BY65" t="s">
        <v>223</v>
      </c>
      <c r="BZ65" t="str">
        <f>"DROP TABLE IF EXISTS `TMP`.`"&amp;$G$10&amp;"`;"</f>
        <v>DROP TABLE IF EXISTS `TMP`.`GHEVENTM`;</v>
      </c>
      <c r="CA65" t="s">
        <v>223</v>
      </c>
    </row>
    <row r="66" spans="1:79" ht="15" customHeight="1">
      <c r="A66" s="84"/>
      <c r="BK66" s="4"/>
      <c r="BQ66" t="s">
        <v>223</v>
      </c>
      <c r="BS66" t="s">
        <v>223</v>
      </c>
      <c r="BU66" t="s">
        <v>223</v>
      </c>
      <c r="BW66" t="s">
        <v>223</v>
      </c>
      <c r="BY66" t="s">
        <v>223</v>
      </c>
      <c r="BZ66" t="s">
        <v>234</v>
      </c>
      <c r="CA66" t="s">
        <v>223</v>
      </c>
    </row>
    <row r="67" spans="1:79" ht="15" customHeight="1">
      <c r="A67" s="84"/>
      <c r="BK67" s="4"/>
      <c r="BQ67" t="s">
        <v>223</v>
      </c>
      <c r="BS67" t="s">
        <v>223</v>
      </c>
      <c r="BU67" t="s">
        <v>223</v>
      </c>
      <c r="BW67" t="s">
        <v>223</v>
      </c>
      <c r="BY67" t="s">
        <v>223</v>
      </c>
      <c r="CA67" t="s">
        <v>223</v>
      </c>
    </row>
    <row r="68" spans="1:79" ht="15" customHeight="1">
      <c r="A68" s="84"/>
      <c r="BK68" s="4"/>
      <c r="BQ68" t="s">
        <v>223</v>
      </c>
      <c r="BS68" t="s">
        <v>223</v>
      </c>
      <c r="BU68" t="s">
        <v>223</v>
      </c>
      <c r="BW68" t="s">
        <v>223</v>
      </c>
      <c r="BY68" t="s">
        <v>223</v>
      </c>
      <c r="CA68" t="s">
        <v>223</v>
      </c>
    </row>
    <row r="69" spans="1:79" ht="15" customHeight="1">
      <c r="A69" s="84"/>
      <c r="BK69" s="4"/>
      <c r="BQ69" t="s">
        <v>223</v>
      </c>
      <c r="BS69" t="s">
        <v>223</v>
      </c>
      <c r="BU69" t="s">
        <v>223</v>
      </c>
      <c r="BW69" t="s">
        <v>223</v>
      </c>
      <c r="BY69" t="s">
        <v>223</v>
      </c>
      <c r="CA69" t="s">
        <v>223</v>
      </c>
    </row>
    <row r="70" spans="1:79" ht="15" customHeight="1">
      <c r="A70" s="84"/>
      <c r="BK70" s="4"/>
      <c r="BQ70" t="s">
        <v>223</v>
      </c>
      <c r="BS70" t="s">
        <v>223</v>
      </c>
      <c r="BU70" t="s">
        <v>223</v>
      </c>
      <c r="BW70" t="s">
        <v>223</v>
      </c>
      <c r="BY70" t="s">
        <v>223</v>
      </c>
      <c r="CA70" t="s">
        <v>223</v>
      </c>
    </row>
    <row r="71" spans="1:79" ht="15" customHeight="1">
      <c r="A71" s="8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5"/>
      <c r="BQ71" t="s">
        <v>223</v>
      </c>
      <c r="BS71" t="s">
        <v>223</v>
      </c>
      <c r="BU71" t="s">
        <v>223</v>
      </c>
      <c r="BV71" s="82" t="str">
        <f t="shared" ref="BV71:BV78" si="7">",A.`"&amp;R71&amp;"` = B.`"&amp;R71&amp;"`"</f>
        <v>,A.`` = B.``</v>
      </c>
      <c r="BW71" t="s">
        <v>223</v>
      </c>
      <c r="BX71" s="82" t="str">
        <f t="shared" ref="BX71:BX78" si="8">",`"&amp;R71&amp;"`"</f>
        <v>,``</v>
      </c>
      <c r="BY71" t="s">
        <v>223</v>
      </c>
      <c r="BZ71" s="82" t="str">
        <f t="shared" si="3"/>
        <v>,``</v>
      </c>
      <c r="CA71" t="s">
        <v>223</v>
      </c>
    </row>
    <row r="72" spans="1:79">
      <c r="A72" s="84"/>
      <c r="BQ72" t="s">
        <v>223</v>
      </c>
      <c r="BS72" t="s">
        <v>223</v>
      </c>
      <c r="BU72" t="s">
        <v>223</v>
      </c>
      <c r="BV72" s="82" t="str">
        <f t="shared" si="7"/>
        <v>,A.`` = B.``</v>
      </c>
      <c r="BW72" t="s">
        <v>223</v>
      </c>
      <c r="BX72" s="82" t="str">
        <f t="shared" si="8"/>
        <v>,``</v>
      </c>
      <c r="BY72" t="s">
        <v>223</v>
      </c>
      <c r="BZ72" s="82" t="str">
        <f t="shared" si="3"/>
        <v>,``</v>
      </c>
      <c r="CA72" t="s">
        <v>223</v>
      </c>
    </row>
    <row r="73" spans="1:79">
      <c r="A73" s="84"/>
      <c r="BQ73" t="s">
        <v>223</v>
      </c>
      <c r="BS73" t="s">
        <v>223</v>
      </c>
      <c r="BU73" t="s">
        <v>223</v>
      </c>
      <c r="BV73" s="82" t="str">
        <f t="shared" si="7"/>
        <v>,A.`` = B.``</v>
      </c>
      <c r="BW73" t="s">
        <v>223</v>
      </c>
      <c r="BX73" s="82" t="str">
        <f t="shared" si="8"/>
        <v>,``</v>
      </c>
      <c r="BY73" t="s">
        <v>223</v>
      </c>
      <c r="BZ73" s="82" t="str">
        <f t="shared" si="3"/>
        <v>,``</v>
      </c>
      <c r="CA73" t="s">
        <v>223</v>
      </c>
    </row>
    <row r="74" spans="1:79">
      <c r="A74" s="84"/>
      <c r="BQ74" t="s">
        <v>223</v>
      </c>
      <c r="BS74" t="s">
        <v>223</v>
      </c>
      <c r="BU74" t="s">
        <v>223</v>
      </c>
      <c r="BV74" s="82" t="str">
        <f t="shared" si="7"/>
        <v>,A.`` = B.``</v>
      </c>
      <c r="BW74" t="s">
        <v>223</v>
      </c>
      <c r="BX74" s="82" t="str">
        <f t="shared" si="8"/>
        <v>,``</v>
      </c>
      <c r="BY74" t="s">
        <v>223</v>
      </c>
      <c r="BZ74" s="82" t="str">
        <f t="shared" si="3"/>
        <v>,``</v>
      </c>
      <c r="CA74" t="s">
        <v>223</v>
      </c>
    </row>
    <row r="75" spans="1:79">
      <c r="A75" s="84"/>
      <c r="BQ75" t="s">
        <v>223</v>
      </c>
      <c r="BS75" t="s">
        <v>223</v>
      </c>
      <c r="BU75" t="s">
        <v>223</v>
      </c>
      <c r="BV75" s="82" t="str">
        <f t="shared" si="7"/>
        <v>,A.`` = B.``</v>
      </c>
      <c r="BW75" t="s">
        <v>223</v>
      </c>
      <c r="BX75" s="82" t="str">
        <f t="shared" si="8"/>
        <v>,``</v>
      </c>
      <c r="BY75" t="s">
        <v>223</v>
      </c>
      <c r="BZ75" s="82" t="str">
        <f t="shared" si="3"/>
        <v>,``</v>
      </c>
      <c r="CA75" t="s">
        <v>223</v>
      </c>
    </row>
    <row r="76" spans="1:79">
      <c r="A76" s="84"/>
      <c r="BQ76" t="s">
        <v>223</v>
      </c>
      <c r="BS76" t="s">
        <v>223</v>
      </c>
      <c r="BU76" t="s">
        <v>223</v>
      </c>
      <c r="BV76" s="82" t="str">
        <f t="shared" si="7"/>
        <v>,A.`` = B.``</v>
      </c>
      <c r="BW76" t="s">
        <v>223</v>
      </c>
      <c r="BX76" s="82" t="str">
        <f t="shared" si="8"/>
        <v>,``</v>
      </c>
      <c r="BY76" t="s">
        <v>223</v>
      </c>
      <c r="BZ76" s="82" t="str">
        <f t="shared" si="3"/>
        <v>,``</v>
      </c>
      <c r="CA76" t="s">
        <v>223</v>
      </c>
    </row>
    <row r="77" spans="1:79">
      <c r="A77" s="84"/>
      <c r="BQ77" t="s">
        <v>223</v>
      </c>
      <c r="BS77" t="s">
        <v>223</v>
      </c>
      <c r="BU77" t="s">
        <v>223</v>
      </c>
      <c r="BV77" s="82" t="str">
        <f t="shared" si="7"/>
        <v>,A.`` = B.``</v>
      </c>
      <c r="BW77" t="s">
        <v>223</v>
      </c>
      <c r="BX77" s="82" t="str">
        <f t="shared" si="8"/>
        <v>,``</v>
      </c>
      <c r="BY77" t="s">
        <v>223</v>
      </c>
      <c r="BZ77" s="82" t="str">
        <f t="shared" si="3"/>
        <v>,``</v>
      </c>
      <c r="CA77" t="s">
        <v>223</v>
      </c>
    </row>
    <row r="78" spans="1:79">
      <c r="A78" s="83"/>
      <c r="BQ78" t="s">
        <v>223</v>
      </c>
      <c r="BS78" t="s">
        <v>223</v>
      </c>
      <c r="BU78" t="s">
        <v>223</v>
      </c>
      <c r="BV78" s="82" t="str">
        <f t="shared" si="7"/>
        <v>,A.`` = B.``</v>
      </c>
      <c r="BW78" t="s">
        <v>223</v>
      </c>
      <c r="BX78" s="82" t="str">
        <f t="shared" si="8"/>
        <v>,``</v>
      </c>
      <c r="BY78" t="s">
        <v>223</v>
      </c>
      <c r="BZ78" s="82" t="str">
        <f t="shared" si="3"/>
        <v>,``</v>
      </c>
      <c r="CA78" t="s">
        <v>223</v>
      </c>
    </row>
    <row r="79" spans="1:79">
      <c r="BQ79" t="s">
        <v>223</v>
      </c>
      <c r="BS79" t="s">
        <v>223</v>
      </c>
      <c r="BU79" t="s">
        <v>223</v>
      </c>
      <c r="BV79" s="82" t="s">
        <v>231</v>
      </c>
      <c r="BW79" t="s">
        <v>223</v>
      </c>
      <c r="BY79" t="s">
        <v>223</v>
      </c>
      <c r="BZ79" s="82" t="str">
        <f>"FROM `TMP`.`"&amp;$G$10&amp;"` A"</f>
        <v>FROM `TMP`.`GHEVENTM` A</v>
      </c>
      <c r="CA79" t="s">
        <v>223</v>
      </c>
    </row>
    <row r="80" spans="1:79">
      <c r="BQ80" t="s">
        <v>223</v>
      </c>
      <c r="BS80" t="s">
        <v>223</v>
      </c>
      <c r="BU80" t="s">
        <v>223</v>
      </c>
      <c r="BV80" s="82" t="str">
        <f>IF(_xlfn.XLOOKUP(1,$AH:$AH,$R:$R,"",0)="","","A.`"&amp;_xlfn.XLOOKUP(1,$AH:$AH,$R:$R,"",0)&amp;"` = B.`"&amp;_xlfn.XLOOKUP(1,$AH:$AH,$R:$R,"",0)&amp;"`")</f>
        <v>A.`STR_ID` = B.`STR_ID`</v>
      </c>
      <c r="BW80" t="s">
        <v>223</v>
      </c>
      <c r="BY80" t="s">
        <v>223</v>
      </c>
      <c r="BZ80" s="82" t="s">
        <v>232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V81" s="82" t="str">
        <f>IF(_xlfn.XLOOKUP(2,$AH:$AH,$R:$R,"",0)="","","AND A.`"&amp;_xlfn.XLOOKUP(2,$AH:$AH,$R:$R,"",0)&amp;"` = B.`"&amp;_xlfn.XLOOKUP(2,$AH:$AH,$R:$R,"",0)&amp;"`")</f>
        <v>AND A.`EVNT_NBR` = B.`EVNT_NBR`</v>
      </c>
      <c r="BW81" t="s">
        <v>223</v>
      </c>
      <c r="BY81" t="s">
        <v>223</v>
      </c>
      <c r="BZ81" s="82" t="str">
        <f>"FROM `REPLICA_KASUMI`.`"&amp;$G$10&amp;"` B"</f>
        <v>FROM `REPLICA_KASUMI`.`GHEVENTM` B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V82" s="82" t="str">
        <f>IF(_xlfn.XLOOKUP(3,$AH:$AH,$R:$R,"",0)="","","AND A.`"&amp;_xlfn.XLOOKUP(3,$AH:$AH,$R:$R,"",0)&amp;"` = B.`"&amp;_xlfn.XLOOKUP(3,$AH:$AH,$R:$R,"",0)&amp;"`")</f>
        <v/>
      </c>
      <c r="BW82" t="s">
        <v>223</v>
      </c>
      <c r="BY82" t="s">
        <v>223</v>
      </c>
      <c r="BZ82" s="82" t="s">
        <v>229</v>
      </c>
      <c r="CA82" t="s">
        <v>223</v>
      </c>
    </row>
    <row r="83" spans="69:79">
      <c r="BQ83" t="s">
        <v>223</v>
      </c>
      <c r="BS83" t="s">
        <v>223</v>
      </c>
      <c r="BU83" t="s">
        <v>223</v>
      </c>
      <c r="BV83" s="82" t="str">
        <f>IF(_xlfn.XLOOKUP(4,$AH:$AH,$R:$R,"",0)="","","AND A.`"&amp;_xlfn.XLOOKUP(4,$AH:$AH,$R:$R,"",0)&amp;"` = B.`"&amp;_xlfn.XLOOKUP(4,$AH:$AH,$R:$R,"",0)&amp;"`")</f>
        <v/>
      </c>
      <c r="BW83" t="s">
        <v>223</v>
      </c>
      <c r="BY83" t="s">
        <v>223</v>
      </c>
      <c r="BZ83" s="82" t="str">
        <f>IF(_xlfn.XLOOKUP(1,$AH:$AH,$R:$R,"",0)="","","A.`"&amp;_xlfn.XLOOKUP(1,$AH:$AH,$R:$R,"",0)&amp;"` = B.`"&amp;_xlfn.XLOOKUP(1,$AH:$AH,$R:$R,"",0)&amp;"`")</f>
        <v>A.`STR_ID` = B.`STR_ID`</v>
      </c>
      <c r="CA83" t="s">
        <v>223</v>
      </c>
    </row>
    <row r="84" spans="69:79">
      <c r="BQ84" t="s">
        <v>223</v>
      </c>
      <c r="BS84" t="s">
        <v>223</v>
      </c>
      <c r="BU84" t="s">
        <v>223</v>
      </c>
      <c r="BV84" s="82" t="str">
        <f>IF(_xlfn.XLOOKUP(5,$AH:$AH,$R:$R,"",0)="","","AND A.`"&amp;_xlfn.XLOOKUP(5,$AH:$AH,$R:$R,"",0)&amp;"` = B.`"&amp;_xlfn.XLOOKUP(5,$AH:$AH,$R:$R,"",0)&amp;"`")</f>
        <v/>
      </c>
      <c r="BW84" t="s">
        <v>223</v>
      </c>
      <c r="BY84" t="s">
        <v>223</v>
      </c>
      <c r="BZ84" s="82" t="str">
        <f>IF(_xlfn.XLOOKUP(2,$AH:$AH,$R:$R,"",0)="","","AND A.`"&amp;_xlfn.XLOOKUP(2,$AH:$AH,$R:$R,"",0)&amp;"` = B.`"&amp;_xlfn.XLOOKUP(2,$AH:$AH,$R:$R,"",0)&amp;"`")</f>
        <v>AND A.`EVNT_NBR` = B.`EVNT_NBR`</v>
      </c>
      <c r="CA84" t="s">
        <v>223</v>
      </c>
    </row>
    <row r="85" spans="69:79">
      <c r="BQ85" t="s">
        <v>223</v>
      </c>
      <c r="BS85" t="s">
        <v>223</v>
      </c>
      <c r="BU85" t="s">
        <v>223</v>
      </c>
      <c r="BV85" s="82" t="str">
        <f>IF(_xlfn.XLOOKUP(6,$AH:$AH,$R:$R,"",0)="","","AND A.`"&amp;_xlfn.XLOOKUP(6,$AH:$AH,$R:$R,"",0)&amp;"` = B.`"&amp;_xlfn.XLOOKUP(6,$AH:$AH,$R:$R,"",0)&amp;"`")</f>
        <v/>
      </c>
      <c r="BW85" t="s">
        <v>223</v>
      </c>
      <c r="BY85" t="s">
        <v>223</v>
      </c>
      <c r="BZ85" s="82" t="str">
        <f>IF(_xlfn.XLOOKUP(3,$AH:$AH,$R:$R,"",0)="","","AND A.`"&amp;_xlfn.XLOOKUP(3,$AH:$AH,$R:$R,"",0)&amp;"` = B.`"&amp;_xlfn.XLOOKUP(3,$AH:$AH,$R:$R,"",0)&amp;"`")</f>
        <v/>
      </c>
      <c r="CA85" t="s">
        <v>223</v>
      </c>
    </row>
    <row r="86" spans="69:79">
      <c r="BQ86" t="s">
        <v>223</v>
      </c>
      <c r="BS86" t="s">
        <v>223</v>
      </c>
      <c r="BU86" t="s">
        <v>223</v>
      </c>
      <c r="BV86" s="82" t="str">
        <f>IF(_xlfn.XLOOKUP(7,$AH:$AH,$R:$R,"",0)="","","AND A.`"&amp;_xlfn.XLOOKUP(7,$AH:$AH,$R:$R,"",0)&amp;"` = B.`"&amp;_xlfn.XLOOKUP(7,$AH:$AH,$R:$R,"",0)&amp;"`")</f>
        <v/>
      </c>
      <c r="BW86" t="s">
        <v>223</v>
      </c>
      <c r="BY86" t="s">
        <v>223</v>
      </c>
      <c r="BZ86" s="82" t="str">
        <f>IF(_xlfn.XLOOKUP(4,$AH:$AH,$R:$R,"",0)="","","AND A.`"&amp;_xlfn.XLOOKUP(4,$AH:$AH,$R:$R,"",0)&amp;"` = B.`"&amp;_xlfn.XLOOKUP(4,$AH:$AH,$R:$R,"",0)&amp;"`")</f>
        <v/>
      </c>
      <c r="CA86" t="s">
        <v>223</v>
      </c>
    </row>
    <row r="87" spans="69:79">
      <c r="BQ87" t="s">
        <v>223</v>
      </c>
      <c r="BS87" t="s">
        <v>223</v>
      </c>
      <c r="BU87" t="s">
        <v>223</v>
      </c>
      <c r="BV87" s="82" t="str">
        <f>IF(_xlfn.XLOOKUP(8,$AH:$AH,$R:$R,"",0)="","","AND A.`"&amp;_xlfn.XLOOKUP(8,$AH:$AH,$R:$R,"",0)&amp;"` = B.`"&amp;_xlfn.XLOOKUP(8,$AH:$AH,$R:$R,"",0)&amp;"`")</f>
        <v/>
      </c>
      <c r="BW87" t="s">
        <v>223</v>
      </c>
      <c r="BY87" t="s">
        <v>223</v>
      </c>
      <c r="BZ87" s="82" t="str">
        <f>IF(_xlfn.XLOOKUP(5,$AH:$AH,$R:$R,"",0)="","","AND A.`"&amp;_xlfn.XLOOKUP(5,$AH:$AH,$R:$R,"",0)&amp;"` = B.`"&amp;_xlfn.XLOOKUP(5,$AH:$AH,$R:$R,"",0)&amp;"`")</f>
        <v/>
      </c>
      <c r="CA87" t="s">
        <v>223</v>
      </c>
    </row>
    <row r="88" spans="69:79">
      <c r="BQ88" t="s">
        <v>223</v>
      </c>
      <c r="BS88" t="s">
        <v>223</v>
      </c>
      <c r="BU88" t="s">
        <v>223</v>
      </c>
      <c r="BV88" s="82" t="s">
        <v>233</v>
      </c>
      <c r="BW88" t="s">
        <v>223</v>
      </c>
      <c r="BY88" t="s">
        <v>223</v>
      </c>
      <c r="BZ88" s="82" t="str">
        <f>IF(_xlfn.XLOOKUP(6,$AH:$AH,$R:$R,"",0)="","","AND A.`"&amp;_xlfn.XLOOKUP(6,$AH:$AH,$R:$R,"",0)&amp;"` = B.`"&amp;_xlfn.XLOOKUP(6,$AH:$AH,$R:$R,"",0)&amp;"`")</f>
        <v/>
      </c>
      <c r="CA88" t="s">
        <v>223</v>
      </c>
    </row>
    <row r="89" spans="69:79">
      <c r="BQ89" t="s">
        <v>223</v>
      </c>
      <c r="BS89" t="s">
        <v>223</v>
      </c>
      <c r="BU89" t="s">
        <v>223</v>
      </c>
      <c r="BW89" t="s">
        <v>223</v>
      </c>
      <c r="BY89" t="s">
        <v>223</v>
      </c>
      <c r="BZ89" s="82" t="str">
        <f>IF(_xlfn.XLOOKUP(7,$AH:$AH,$R:$R,"",0)="","","AND A.`"&amp;_xlfn.XLOOKUP(7,$AH:$AH,$R:$R,"",0)&amp;"` = B.`"&amp;_xlfn.XLOOKUP(7,$AH:$AH,$R:$R,"",0)&amp;"`")</f>
        <v/>
      </c>
      <c r="CA89" t="s">
        <v>223</v>
      </c>
    </row>
    <row r="90" spans="69:79">
      <c r="BQ90" t="s">
        <v>223</v>
      </c>
      <c r="BS90" t="s">
        <v>223</v>
      </c>
      <c r="BU90" t="s">
        <v>223</v>
      </c>
      <c r="BW90" t="s">
        <v>223</v>
      </c>
      <c r="BY90" t="s">
        <v>223</v>
      </c>
      <c r="BZ90" s="82" t="str">
        <f>IF(_xlfn.XLOOKUP(8,$AH:$AH,$R:$R,"",0)="","","AND A.`"&amp;_xlfn.XLOOKUP(8,$AH:$AH,$R:$R,"",0)&amp;"` = B.`"&amp;_xlfn.XLOOKUP(8,$AH:$AH,$R:$R,"",0)&amp;"`")</f>
        <v/>
      </c>
      <c r="CA90" t="s">
        <v>223</v>
      </c>
    </row>
    <row r="91" spans="69:79">
      <c r="BQ91" t="s">
        <v>223</v>
      </c>
      <c r="BS91" t="s">
        <v>223</v>
      </c>
      <c r="BU91" t="s">
        <v>223</v>
      </c>
      <c r="BW91" t="s">
        <v>223</v>
      </c>
      <c r="BY91" t="s">
        <v>223</v>
      </c>
      <c r="BZ91" s="82" t="s">
        <v>226</v>
      </c>
      <c r="CA91" t="s">
        <v>223</v>
      </c>
    </row>
    <row r="92" spans="69:79">
      <c r="BQ92" t="s">
        <v>223</v>
      </c>
      <c r="BS92" t="s">
        <v>223</v>
      </c>
      <c r="BU92" t="s">
        <v>223</v>
      </c>
      <c r="BW92" t="s">
        <v>223</v>
      </c>
      <c r="BY92" t="s">
        <v>223</v>
      </c>
      <c r="CA92" t="s">
        <v>223</v>
      </c>
    </row>
    <row r="93" spans="69:79">
      <c r="BQ93" t="s">
        <v>223</v>
      </c>
      <c r="BS93" t="s">
        <v>223</v>
      </c>
      <c r="BU93" t="s">
        <v>223</v>
      </c>
      <c r="BW93" t="s">
        <v>223</v>
      </c>
      <c r="BY93" t="s">
        <v>223</v>
      </c>
      <c r="BZ93" s="83"/>
      <c r="CA93" t="s">
        <v>223</v>
      </c>
    </row>
    <row r="94" spans="69:79">
      <c r="BQ94" t="s">
        <v>223</v>
      </c>
      <c r="BS94" t="s">
        <v>223</v>
      </c>
      <c r="BU94" t="s">
        <v>223</v>
      </c>
      <c r="BW94" t="s">
        <v>223</v>
      </c>
      <c r="BY94" t="s">
        <v>223</v>
      </c>
      <c r="BZ94" t="str">
        <f>"DROP TABLE IF EXISTS `TMP`.`"&amp;$G$10&amp;"`;"</f>
        <v>DROP TABLE IF EXISTS `TMP`.`GHEVENTM`;</v>
      </c>
      <c r="CA94" t="s">
        <v>223</v>
      </c>
    </row>
    <row r="95" spans="69:79">
      <c r="BQ95" t="s">
        <v>223</v>
      </c>
      <c r="BS95" t="s">
        <v>223</v>
      </c>
      <c r="BU95" t="s">
        <v>223</v>
      </c>
      <c r="BW95" t="s">
        <v>223</v>
      </c>
      <c r="BY95" t="s">
        <v>223</v>
      </c>
      <c r="BZ95" t="s">
        <v>234</v>
      </c>
      <c r="CA95" t="s">
        <v>223</v>
      </c>
    </row>
    <row r="96" spans="69:79">
      <c r="BQ96" t="s">
        <v>223</v>
      </c>
      <c r="BS96" t="s">
        <v>223</v>
      </c>
      <c r="BU96" t="s">
        <v>223</v>
      </c>
      <c r="BW96" t="s">
        <v>223</v>
      </c>
      <c r="BY96" t="s">
        <v>223</v>
      </c>
      <c r="CA96" t="s">
        <v>223</v>
      </c>
    </row>
    <row r="97" spans="69:79">
      <c r="BQ97" t="s">
        <v>223</v>
      </c>
      <c r="BS97" t="s">
        <v>223</v>
      </c>
      <c r="BU97" t="s">
        <v>223</v>
      </c>
      <c r="BW97" t="s">
        <v>223</v>
      </c>
      <c r="BY97" t="s">
        <v>223</v>
      </c>
      <c r="CA97" t="s">
        <v>223</v>
      </c>
    </row>
    <row r="98" spans="69:79">
      <c r="BQ98" t="s">
        <v>223</v>
      </c>
      <c r="BS98" t="s">
        <v>223</v>
      </c>
      <c r="BU98" t="s">
        <v>223</v>
      </c>
      <c r="BW98" t="s">
        <v>223</v>
      </c>
      <c r="BY98" t="s">
        <v>223</v>
      </c>
      <c r="CA98" t="s">
        <v>223</v>
      </c>
    </row>
    <row r="99" spans="69:79">
      <c r="BQ99" t="s">
        <v>223</v>
      </c>
      <c r="BS99" t="s">
        <v>223</v>
      </c>
      <c r="BU99" t="s">
        <v>223</v>
      </c>
      <c r="BW99" t="s">
        <v>223</v>
      </c>
      <c r="BY99" t="s">
        <v>223</v>
      </c>
      <c r="CA99" t="s">
        <v>223</v>
      </c>
    </row>
    <row r="100" spans="69:79">
      <c r="BQ100" t="s">
        <v>223</v>
      </c>
      <c r="BS100" t="s">
        <v>223</v>
      </c>
      <c r="BU100" t="s">
        <v>223</v>
      </c>
      <c r="BW100" t="s">
        <v>223</v>
      </c>
      <c r="BY100" t="s">
        <v>223</v>
      </c>
      <c r="CA100" t="s">
        <v>223</v>
      </c>
    </row>
  </sheetData>
  <mergeCells count="61">
    <mergeCell ref="AC45:AG45"/>
    <mergeCell ref="AC46:AG46"/>
    <mergeCell ref="AC47:AG47"/>
    <mergeCell ref="AC48:AG48"/>
    <mergeCell ref="AC49:AG49"/>
    <mergeCell ref="AC44:AG44"/>
    <mergeCell ref="AC33:AG33"/>
    <mergeCell ref="AC34:AG34"/>
    <mergeCell ref="AC35:AG35"/>
    <mergeCell ref="AC36:AG36"/>
    <mergeCell ref="AC37:AG37"/>
    <mergeCell ref="AC38:AG38"/>
    <mergeCell ref="AC39:AG39"/>
    <mergeCell ref="AC40:AG40"/>
    <mergeCell ref="AC41:AG41"/>
    <mergeCell ref="AC42:AG42"/>
    <mergeCell ref="AC43:AG43"/>
    <mergeCell ref="AC32:AG32"/>
    <mergeCell ref="B11:AN11"/>
    <mergeCell ref="B12:AN12"/>
    <mergeCell ref="B13:AN13"/>
    <mergeCell ref="B14:AN14"/>
    <mergeCell ref="B15:AN15"/>
    <mergeCell ref="B16:AN16"/>
    <mergeCell ref="AC27:AG27"/>
    <mergeCell ref="AC28:AG28"/>
    <mergeCell ref="AC29:AG29"/>
    <mergeCell ref="AC30:AG30"/>
    <mergeCell ref="AC31:AG31"/>
    <mergeCell ref="B9:F9"/>
    <mergeCell ref="G9:X9"/>
    <mergeCell ref="Y9:AC9"/>
    <mergeCell ref="AD9:AN9"/>
    <mergeCell ref="B10:F10"/>
    <mergeCell ref="G10:X10"/>
    <mergeCell ref="Y10:AC10"/>
    <mergeCell ref="AD10:AN10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B28A-A708-40DC-90C9-0D3D0C47C81B}">
  <dimension ref="A1:CA140"/>
  <sheetViews>
    <sheetView view="pageBreakPreview" topLeftCell="A10" zoomScale="80" zoomScaleNormal="75" zoomScaleSheetLayoutView="80" workbookViewId="0">
      <selection activeCell="BT11" sqref="BT11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1185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1245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T11" t="s">
        <v>1406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`Replica_Kasumi`.`P001_02`;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`Replica_Kasumi`.`P001_02`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`REPLICA_KASUMI`.`P001_02` A,`TMP`.`P001_02`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`TMP`.`P001_02`;</v>
      </c>
      <c r="BS25" t="s">
        <v>223</v>
      </c>
      <c r="BT25" s="82" t="str">
        <f>"LOAD DATA INFILE 'C:/04_DATAFILE/"&amp;$G$10&amp;"/TMP/"&amp;$G$10&amp;".CSV' "</f>
        <v xml:space="preserve">LOAD DATA INFILE 'C:/04_DATAFILE/P001_02/TMP/P001_02.CSV'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`TMP`.`P001_02` (</v>
      </c>
      <c r="BS26" t="s">
        <v>223</v>
      </c>
      <c r="BT26" s="82" t="str">
        <f>"REPLACE INTO TABLE TMP.`"&amp;$G$10&amp;"` FIELDS TERMINATED BY ',' ENCLOSED BY '\""' LINES TERMINATED BY '\r\n' ("</f>
        <v>REPLACE INTO TABLE TMP.`P001_02`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`REPLICA_KASUMI`.`P001_02`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61">
        <v>7</v>
      </c>
      <c r="C27" s="62"/>
      <c r="D27" s="21" t="s">
        <v>1162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1169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1182</v>
      </c>
      <c r="AD27" s="255"/>
      <c r="AE27" s="255"/>
      <c r="AF27" s="255"/>
      <c r="AG27" s="256"/>
      <c r="AH27" s="21"/>
      <c r="AI27" s="64"/>
      <c r="AJ27" s="21"/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M27">
        <f>BN27</f>
        <v>6</v>
      </c>
      <c r="BN27">
        <v>6</v>
      </c>
      <c r="BP27" t="str">
        <f>",`"&amp;R27&amp;"` "&amp;AC27&amp;" "&amp;IF(AJ27="Y","NOT NULL","")&amp;" COMMENT '"&amp;D27&amp;"'"</f>
        <v>,`Terminal_ID` char(6)  COMMENT '端末ID'</v>
      </c>
      <c r="BQ27" t="s">
        <v>223</v>
      </c>
      <c r="BR27" s="82" t="str">
        <f>"`"&amp;R27&amp;"` "&amp;AC27&amp;" "&amp;IF(AJ27="Y","NOT NULL","")</f>
        <v xml:space="preserve">`Terminal_ID` char(6) </v>
      </c>
      <c r="BS27" t="s">
        <v>223</v>
      </c>
      <c r="BT27" s="82" t="str">
        <f>"`"&amp;R27&amp;"`"</f>
        <v>`Terminal_ID`</v>
      </c>
      <c r="BU27" t="s">
        <v>223</v>
      </c>
      <c r="BV27" s="82" t="str">
        <f>"A.`"&amp;R27&amp;"` = B.`"&amp;R27&amp;"`"</f>
        <v>A.`Terminal_ID` = B.`Terminal_ID`</v>
      </c>
      <c r="BW27" t="s">
        <v>223</v>
      </c>
      <c r="BX27" s="82" t="str">
        <f>"`"&amp;R27&amp;"`"</f>
        <v>`Terminal_ID`</v>
      </c>
      <c r="BY27" t="s">
        <v>223</v>
      </c>
      <c r="BZ27" s="82" t="str">
        <f>"`"&amp;R27&amp;"`"</f>
        <v>`Terminal_ID`</v>
      </c>
      <c r="CA27" t="s">
        <v>223</v>
      </c>
    </row>
    <row r="28" spans="1:79" ht="15" customHeight="1">
      <c r="A28" s="84" t="s">
        <v>244</v>
      </c>
      <c r="B28" s="23">
        <v>9</v>
      </c>
      <c r="C28" s="24"/>
      <c r="D28" s="22" t="s">
        <v>1163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1170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tr">
        <f>"char("&amp;BN28&amp;")"</f>
        <v>char(1)</v>
      </c>
      <c r="AD28" s="258"/>
      <c r="AE28" s="258"/>
      <c r="AF28" s="258"/>
      <c r="AG28" s="259"/>
      <c r="AH28" s="22"/>
      <c r="AI28" s="26"/>
      <c r="AJ28" s="22"/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L28" t="str">
        <f>"SUBSTRING(`DATA`,"&amp;BM28&amp;","&amp;BN28&amp;") AS '"&amp;D28&amp;"',"</f>
        <v>SUBSTRING(`DATA`,1,1) AS 'レコード区分',</v>
      </c>
      <c r="BM28">
        <f>BN28</f>
        <v>1</v>
      </c>
      <c r="BN28">
        <v>1</v>
      </c>
      <c r="BP28" t="str">
        <f t="shared" ref="BP28:BP34" si="1">",`"&amp;R28&amp;"` "&amp;AC28&amp;" "&amp;IF(AJ28="Y","NOT NULL","")&amp;" COMMENT '"&amp;D28&amp;"'"</f>
        <v>,`PRCS_TYP` char(1)  COMMENT 'レコード区分'</v>
      </c>
      <c r="BQ28" t="s">
        <v>223</v>
      </c>
      <c r="BR28" t="str">
        <f t="shared" ref="BR28:BR34" si="2">",`"&amp;R28&amp;"` "&amp;AC28&amp;" "&amp;IF(AJ28="Y","NOT NULL","")</f>
        <v xml:space="preserve">,`PRCS_TYP` char(1) </v>
      </c>
      <c r="BS28" t="s">
        <v>223</v>
      </c>
      <c r="BT28" t="str">
        <f t="shared" ref="BT28:BT34" si="3">",`"&amp;R28&amp;"`"</f>
        <v>,`PRCS_TYP`</v>
      </c>
      <c r="BU28" t="s">
        <v>223</v>
      </c>
      <c r="BV28" s="82" t="str">
        <f t="shared" ref="BV28:BV34" si="4">",A.`"&amp;R28&amp;"` = B.`"&amp;R28&amp;"`"</f>
        <v>,A.`PRCS_TYP` = B.`PRCS_TYP`</v>
      </c>
      <c r="BW28" t="s">
        <v>223</v>
      </c>
      <c r="BX28" s="82" t="str">
        <f t="shared" ref="BX28:BX34" si="5">",`"&amp;R28&amp;"`"</f>
        <v>,`PRCS_TYP`</v>
      </c>
      <c r="BY28" t="s">
        <v>223</v>
      </c>
      <c r="BZ28" s="82" t="str">
        <f t="shared" ref="BZ28:BZ118" si="6">",`"&amp;R28&amp;"`"</f>
        <v>,`PRCS_TYP`</v>
      </c>
      <c r="CA28" t="s">
        <v>223</v>
      </c>
    </row>
    <row r="29" spans="1:79" ht="15" customHeight="1">
      <c r="A29" s="84" t="s">
        <v>245</v>
      </c>
      <c r="B29" s="23">
        <v>9</v>
      </c>
      <c r="C29" s="24"/>
      <c r="D29" s="22" t="s">
        <v>1246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1264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tr">
        <f t="shared" ref="AC29:AC89" si="7">"char("&amp;BN29&amp;")"</f>
        <v>char(6)</v>
      </c>
      <c r="AD29" s="258"/>
      <c r="AE29" s="258"/>
      <c r="AF29" s="258"/>
      <c r="AG29" s="259"/>
      <c r="AH29" s="22"/>
      <c r="AI29" s="26"/>
      <c r="AJ29" s="22"/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L29" t="str">
        <f t="shared" ref="BL29:BL89" si="8">"SUBSTRING(`DATA`,"&amp;BM29&amp;","&amp;BN29&amp;") AS '"&amp;D29&amp;"',"</f>
        <v>SUBSTRING(`DATA`,2,6) AS 'シーケンスNO',</v>
      </c>
      <c r="BM29">
        <f>BM28+BN28</f>
        <v>2</v>
      </c>
      <c r="BN29">
        <v>6</v>
      </c>
      <c r="BP29" t="str">
        <f t="shared" si="1"/>
        <v>,`SequenceNo` char(6)  COMMENT 'シーケンスNO'</v>
      </c>
      <c r="BQ29" t="s">
        <v>223</v>
      </c>
      <c r="BR29" t="str">
        <f t="shared" si="2"/>
        <v xml:space="preserve">,`SequenceNo` char(6) </v>
      </c>
      <c r="BS29" t="s">
        <v>223</v>
      </c>
      <c r="BT29" t="str">
        <f t="shared" si="3"/>
        <v>,`SequenceNo`</v>
      </c>
      <c r="BU29" t="s">
        <v>223</v>
      </c>
      <c r="BV29" s="82" t="str">
        <f t="shared" si="4"/>
        <v>,A.`SequenceNo` = B.`SequenceNo`</v>
      </c>
      <c r="BW29" t="s">
        <v>223</v>
      </c>
      <c r="BX29" s="82" t="str">
        <f t="shared" si="5"/>
        <v>,`SequenceNo`</v>
      </c>
      <c r="BY29" t="s">
        <v>223</v>
      </c>
      <c r="BZ29" s="82" t="str">
        <f t="shared" si="6"/>
        <v>,`SequenceNo`</v>
      </c>
      <c r="CA29" t="s">
        <v>223</v>
      </c>
    </row>
    <row r="30" spans="1:79" ht="15" customHeight="1">
      <c r="A30" s="84" t="s">
        <v>246</v>
      </c>
      <c r="B30" s="23">
        <v>9</v>
      </c>
      <c r="C30" s="24"/>
      <c r="D30" s="22" t="s">
        <v>1167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1265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tr">
        <f t="shared" si="7"/>
        <v>char(3)</v>
      </c>
      <c r="AD30" s="258"/>
      <c r="AE30" s="258"/>
      <c r="AF30" s="258"/>
      <c r="AG30" s="259"/>
      <c r="AH30" s="22"/>
      <c r="AI30" s="26"/>
      <c r="AJ30" s="22"/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L30" t="str">
        <f t="shared" si="8"/>
        <v>SUBSTRING(`DATA`,8,3) AS 'データ種別',</v>
      </c>
      <c r="BM30">
        <f t="shared" ref="BM30:BM89" si="9">BM29+BN29</f>
        <v>8</v>
      </c>
      <c r="BN30">
        <v>3</v>
      </c>
      <c r="BP30" t="str">
        <f t="shared" si="1"/>
        <v>,`DataType` char(3)  COMMENT 'データ種別'</v>
      </c>
      <c r="BQ30" t="s">
        <v>223</v>
      </c>
      <c r="BR30" t="str">
        <f t="shared" si="2"/>
        <v xml:space="preserve">,`DataType` char(3) </v>
      </c>
      <c r="BS30" t="s">
        <v>223</v>
      </c>
      <c r="BT30" t="str">
        <f t="shared" si="3"/>
        <v>,`DataType`</v>
      </c>
      <c r="BU30" t="s">
        <v>223</v>
      </c>
      <c r="BV30" s="82" t="str">
        <f t="shared" si="4"/>
        <v>,A.`DataType` = B.`DataType`</v>
      </c>
      <c r="BW30" t="s">
        <v>223</v>
      </c>
      <c r="BX30" s="82" t="str">
        <f t="shared" si="5"/>
        <v>,`DataType`</v>
      </c>
      <c r="BY30" t="s">
        <v>223</v>
      </c>
      <c r="BZ30" s="82" t="str">
        <f t="shared" si="6"/>
        <v>,`DataType`</v>
      </c>
      <c r="CA30" t="s">
        <v>223</v>
      </c>
    </row>
    <row r="31" spans="1:79" ht="15" customHeight="1">
      <c r="A31" s="84" t="s">
        <v>247</v>
      </c>
      <c r="B31" s="23">
        <v>9</v>
      </c>
      <c r="C31" s="24"/>
      <c r="D31" s="22" t="s">
        <v>1187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1267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tr">
        <f t="shared" si="7"/>
        <v>char(2)</v>
      </c>
      <c r="AD31" s="258"/>
      <c r="AE31" s="258"/>
      <c r="AF31" s="258"/>
      <c r="AG31" s="259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L31" t="str">
        <f t="shared" si="8"/>
        <v>SUBSTRING(`DATA`,11,2) AS 'データ区分',</v>
      </c>
      <c r="BM31">
        <f t="shared" si="9"/>
        <v>11</v>
      </c>
      <c r="BN31">
        <v>2</v>
      </c>
      <c r="BP31" t="str">
        <f t="shared" si="1"/>
        <v>,`DataClass` char(2)  COMMENT 'データ区分'</v>
      </c>
      <c r="BQ31" t="s">
        <v>223</v>
      </c>
      <c r="BR31" t="str">
        <f t="shared" si="2"/>
        <v xml:space="preserve">,`DataClass` char(2) </v>
      </c>
      <c r="BS31" t="s">
        <v>223</v>
      </c>
      <c r="BT31" t="str">
        <f t="shared" si="3"/>
        <v>,`DataClass`</v>
      </c>
      <c r="BU31" t="s">
        <v>223</v>
      </c>
      <c r="BV31" s="82" t="str">
        <f t="shared" si="4"/>
        <v>,A.`DataClass` = B.`DataClass`</v>
      </c>
      <c r="BW31" t="s">
        <v>223</v>
      </c>
      <c r="BX31" s="82" t="str">
        <f t="shared" si="5"/>
        <v>,`DataClass`</v>
      </c>
      <c r="BY31" t="s">
        <v>223</v>
      </c>
      <c r="BZ31" s="82" t="str">
        <f t="shared" si="6"/>
        <v>,`DataClass`</v>
      </c>
      <c r="CA31" t="s">
        <v>223</v>
      </c>
    </row>
    <row r="32" spans="1:79" ht="15" customHeight="1">
      <c r="A32" s="84" t="s">
        <v>248</v>
      </c>
      <c r="B32" s="23">
        <v>9</v>
      </c>
      <c r="C32" s="24"/>
      <c r="D32" s="22" t="s">
        <v>1188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1266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tr">
        <f t="shared" si="7"/>
        <v>char(2)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L32" t="str">
        <f t="shared" si="8"/>
        <v>SUBSTRING(`DATA`,13,2) AS '更新区分',</v>
      </c>
      <c r="BM32">
        <f t="shared" si="9"/>
        <v>13</v>
      </c>
      <c r="BN32">
        <v>2</v>
      </c>
      <c r="BP32" t="str">
        <f t="shared" si="1"/>
        <v>,`UpdateClass` char(2)  COMMENT '更新区分'</v>
      </c>
      <c r="BQ32" t="s">
        <v>223</v>
      </c>
      <c r="BR32" t="str">
        <f t="shared" si="2"/>
        <v xml:space="preserve">,`UpdateClass` char(2) </v>
      </c>
      <c r="BS32" t="s">
        <v>223</v>
      </c>
      <c r="BT32" t="str">
        <f t="shared" si="3"/>
        <v>,`UpdateClass`</v>
      </c>
      <c r="BU32" t="s">
        <v>223</v>
      </c>
      <c r="BV32" s="82" t="str">
        <f t="shared" si="4"/>
        <v>,A.`UpdateClass` = B.`UpdateClass`</v>
      </c>
      <c r="BW32" t="s">
        <v>223</v>
      </c>
      <c r="BX32" s="82" t="str">
        <f t="shared" si="5"/>
        <v>,`UpdateClass`</v>
      </c>
      <c r="BY32" t="s">
        <v>223</v>
      </c>
      <c r="BZ32" s="82" t="str">
        <f t="shared" si="6"/>
        <v>,`UpdateClass`</v>
      </c>
      <c r="CA32" t="s">
        <v>223</v>
      </c>
    </row>
    <row r="33" spans="1:79" ht="15" customHeight="1">
      <c r="A33" s="84" t="s">
        <v>525</v>
      </c>
      <c r="B33" s="23">
        <v>9</v>
      </c>
      <c r="C33" s="24"/>
      <c r="D33" s="22" t="s">
        <v>1189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1268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tr">
        <f t="shared" si="7"/>
        <v>char(2)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L33" t="str">
        <f t="shared" si="8"/>
        <v>SUBSTRING(`DATA`,15,2) AS '業態',</v>
      </c>
      <c r="BM33">
        <f t="shared" si="9"/>
        <v>15</v>
      </c>
      <c r="BN33">
        <v>2</v>
      </c>
      <c r="BP33" t="str">
        <f t="shared" si="1"/>
        <v>,`BusinessType` char(2)  COMMENT '業態'</v>
      </c>
      <c r="BQ33" t="s">
        <v>223</v>
      </c>
      <c r="BR33" t="str">
        <f t="shared" si="2"/>
        <v xml:space="preserve">,`BusinessType` char(2) </v>
      </c>
      <c r="BS33" t="s">
        <v>223</v>
      </c>
      <c r="BT33" t="str">
        <f t="shared" si="3"/>
        <v>,`BusinessType`</v>
      </c>
      <c r="BU33" t="s">
        <v>223</v>
      </c>
      <c r="BV33" s="82" t="str">
        <f t="shared" si="4"/>
        <v>,A.`BusinessType` = B.`BusinessType`</v>
      </c>
      <c r="BW33" t="s">
        <v>223</v>
      </c>
      <c r="BX33" s="82" t="str">
        <f t="shared" si="5"/>
        <v>,`BusinessType`</v>
      </c>
      <c r="BY33" t="s">
        <v>223</v>
      </c>
      <c r="BZ33" s="82" t="str">
        <f t="shared" si="6"/>
        <v>,`BusinessType`</v>
      </c>
      <c r="CA33" t="s">
        <v>223</v>
      </c>
    </row>
    <row r="34" spans="1:79" ht="15" customHeight="1">
      <c r="A34" s="84" t="s">
        <v>526</v>
      </c>
      <c r="B34" s="23">
        <v>9</v>
      </c>
      <c r="C34" s="24"/>
      <c r="D34" s="22" t="s">
        <v>1190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1263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tr">
        <f t="shared" si="7"/>
        <v>char(2)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L34" t="str">
        <f t="shared" si="8"/>
        <v>SUBSTRING(`DATA`,17,2) AS '部門',</v>
      </c>
      <c r="BM34">
        <f t="shared" si="9"/>
        <v>17</v>
      </c>
      <c r="BN34">
        <v>2</v>
      </c>
      <c r="BP34" t="str">
        <f t="shared" si="1"/>
        <v>,`Department` char(2)  COMMENT '部門'</v>
      </c>
      <c r="BQ34" t="s">
        <v>223</v>
      </c>
      <c r="BR34" t="str">
        <f t="shared" si="2"/>
        <v xml:space="preserve">,`Department` char(2) </v>
      </c>
      <c r="BS34" t="s">
        <v>223</v>
      </c>
      <c r="BT34" t="str">
        <f t="shared" si="3"/>
        <v>,`Department`</v>
      </c>
      <c r="BU34" t="s">
        <v>223</v>
      </c>
      <c r="BV34" s="82" t="str">
        <f t="shared" si="4"/>
        <v>,A.`Department` = B.`Department`</v>
      </c>
      <c r="BW34" t="s">
        <v>223</v>
      </c>
      <c r="BX34" s="82" t="str">
        <f t="shared" si="5"/>
        <v>,`Department`</v>
      </c>
      <c r="BY34" t="s">
        <v>223</v>
      </c>
      <c r="BZ34" s="82" t="str">
        <f t="shared" si="6"/>
        <v>,`Department`</v>
      </c>
      <c r="CA34" t="s">
        <v>223</v>
      </c>
    </row>
    <row r="35" spans="1:79" ht="15" customHeight="1">
      <c r="A35" s="84" t="s">
        <v>242</v>
      </c>
      <c r="B35" s="61">
        <v>7</v>
      </c>
      <c r="C35" s="62"/>
      <c r="D35" s="21" t="s">
        <v>1191</v>
      </c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  <c r="R35" s="21" t="s">
        <v>1269</v>
      </c>
      <c r="S35" s="63"/>
      <c r="T35" s="63"/>
      <c r="U35" s="63"/>
      <c r="V35" s="63"/>
      <c r="W35" s="63"/>
      <c r="X35" s="63"/>
      <c r="Y35" s="63"/>
      <c r="Z35" s="63"/>
      <c r="AA35" s="63"/>
      <c r="AB35" s="64"/>
      <c r="AC35" s="254" t="str">
        <f t="shared" si="7"/>
        <v>char(7)</v>
      </c>
      <c r="AD35" s="255"/>
      <c r="AE35" s="255"/>
      <c r="AF35" s="255"/>
      <c r="AG35" s="256"/>
      <c r="AH35" s="21"/>
      <c r="AI35" s="64"/>
      <c r="AJ35" s="21"/>
      <c r="AK35" s="63"/>
      <c r="AL35" s="64"/>
      <c r="AM35" s="21"/>
      <c r="AN35" s="63"/>
      <c r="AO35" s="63"/>
      <c r="AP35" s="63"/>
      <c r="AQ35" s="63"/>
      <c r="AR35" s="63"/>
      <c r="AS35" s="64"/>
      <c r="AT35" s="21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4"/>
      <c r="BK35" s="4"/>
      <c r="BL35" t="str">
        <f t="shared" si="8"/>
        <v>SUBSTRING(`DATA`,19,7) AS '商品コード',</v>
      </c>
      <c r="BM35">
        <f t="shared" si="9"/>
        <v>19</v>
      </c>
      <c r="BN35">
        <v>7</v>
      </c>
      <c r="BP35" t="str">
        <f>",`"&amp;R35&amp;"` "&amp;AC35&amp;" "&amp;IF(AJ35="Y","NOT NULL","")&amp;" COMMENT '"&amp;D35&amp;"'"</f>
        <v>,`ProductCode` char(7)  COMMENT '商品コード'</v>
      </c>
      <c r="BQ35" t="s">
        <v>223</v>
      </c>
      <c r="BR35" s="82" t="str">
        <f>"`"&amp;R35&amp;"` "&amp;AC35&amp;" "&amp;IF(AJ35="Y","NOT NULL","")</f>
        <v xml:space="preserve">`ProductCode` char(7) </v>
      </c>
      <c r="BS35" t="s">
        <v>223</v>
      </c>
      <c r="BT35" s="82" t="str">
        <f>"`"&amp;R35&amp;"`"</f>
        <v>`ProductCode`</v>
      </c>
      <c r="BU35" t="s">
        <v>223</v>
      </c>
      <c r="BV35" s="82" t="str">
        <f>"A.`"&amp;R35&amp;"` = B.`"&amp;R35&amp;"`"</f>
        <v>A.`ProductCode` = B.`ProductCode`</v>
      </c>
      <c r="BW35" t="s">
        <v>223</v>
      </c>
      <c r="BX35" s="82" t="str">
        <f>"`"&amp;R35&amp;"`"</f>
        <v>`ProductCode`</v>
      </c>
      <c r="BY35" t="s">
        <v>223</v>
      </c>
      <c r="BZ35" s="82" t="str">
        <f>"`"&amp;R35&amp;"`"</f>
        <v>`ProductCode`</v>
      </c>
      <c r="CA35" t="s">
        <v>223</v>
      </c>
    </row>
    <row r="36" spans="1:79" ht="15" customHeight="1">
      <c r="A36" s="84" t="s">
        <v>244</v>
      </c>
      <c r="B36" s="23">
        <v>9</v>
      </c>
      <c r="C36" s="24"/>
      <c r="D36" s="22" t="s">
        <v>1192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6"/>
      <c r="R36" s="22" t="s">
        <v>1270</v>
      </c>
      <c r="S36" s="25"/>
      <c r="T36" s="25"/>
      <c r="U36" s="25"/>
      <c r="V36" s="25"/>
      <c r="W36" s="25"/>
      <c r="X36" s="25"/>
      <c r="Y36" s="25"/>
      <c r="Z36" s="25"/>
      <c r="AA36" s="25"/>
      <c r="AB36" s="26"/>
      <c r="AC36" s="257" t="str">
        <f t="shared" si="7"/>
        <v>char(6)</v>
      </c>
      <c r="AD36" s="258"/>
      <c r="AE36" s="258"/>
      <c r="AF36" s="258"/>
      <c r="AG36" s="259"/>
      <c r="AH36" s="22"/>
      <c r="AI36" s="26"/>
      <c r="AJ36" s="22"/>
      <c r="AK36" s="25"/>
      <c r="AL36" s="26"/>
      <c r="AM36" s="22"/>
      <c r="AN36" s="25"/>
      <c r="AO36" s="25"/>
      <c r="AP36" s="25"/>
      <c r="AQ36" s="25"/>
      <c r="AR36" s="25"/>
      <c r="AS36" s="26"/>
      <c r="AT36" s="22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6"/>
      <c r="BK36" s="4"/>
      <c r="BL36" t="str">
        <f t="shared" si="8"/>
        <v>SUBSTRING(`DATA`,26,6) AS 'メンテ日',</v>
      </c>
      <c r="BM36">
        <f t="shared" si="9"/>
        <v>26</v>
      </c>
      <c r="BN36">
        <v>6</v>
      </c>
      <c r="BP36" t="str">
        <f t="shared" ref="BP36:BP42" si="10">",`"&amp;R36&amp;"` "&amp;AC36&amp;" "&amp;IF(AJ36="Y","NOT NULL","")&amp;" COMMENT '"&amp;D36&amp;"'"</f>
        <v>,`MaintenanceDay` char(6)  COMMENT 'メンテ日'</v>
      </c>
      <c r="BQ36" t="s">
        <v>223</v>
      </c>
      <c r="BR36" t="str">
        <f t="shared" ref="BR36:BR42" si="11">",`"&amp;R36&amp;"` "&amp;AC36&amp;" "&amp;IF(AJ36="Y","NOT NULL","")</f>
        <v xml:space="preserve">,`MaintenanceDay` char(6) </v>
      </c>
      <c r="BS36" t="s">
        <v>223</v>
      </c>
      <c r="BT36" t="str">
        <f t="shared" ref="BT36:BT42" si="12">",`"&amp;R36&amp;"`"</f>
        <v>,`MaintenanceDay`</v>
      </c>
      <c r="BU36" t="s">
        <v>223</v>
      </c>
      <c r="BV36" s="82" t="str">
        <f t="shared" ref="BV36:BV42" si="13">",A.`"&amp;R36&amp;"` = B.`"&amp;R36&amp;"`"</f>
        <v>,A.`MaintenanceDay` = B.`MaintenanceDay`</v>
      </c>
      <c r="BW36" t="s">
        <v>223</v>
      </c>
      <c r="BX36" s="82" t="str">
        <f t="shared" ref="BX36:BX42" si="14">",`"&amp;R36&amp;"`"</f>
        <v>,`MaintenanceDay`</v>
      </c>
      <c r="BY36" t="s">
        <v>223</v>
      </c>
      <c r="BZ36" s="82" t="str">
        <f t="shared" ref="BZ36:BZ42" si="15">",`"&amp;R36&amp;"`"</f>
        <v>,`MaintenanceDay`</v>
      </c>
      <c r="CA36" t="s">
        <v>223</v>
      </c>
    </row>
    <row r="37" spans="1:79" ht="15" customHeight="1">
      <c r="A37" s="84" t="s">
        <v>245</v>
      </c>
      <c r="B37" s="23">
        <v>9</v>
      </c>
      <c r="C37" s="24"/>
      <c r="D37" s="22" t="s">
        <v>1193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  <c r="R37" s="22" t="s">
        <v>1271</v>
      </c>
      <c r="S37" s="25"/>
      <c r="T37" s="25"/>
      <c r="U37" s="25"/>
      <c r="V37" s="25"/>
      <c r="W37" s="25"/>
      <c r="X37" s="25"/>
      <c r="Y37" s="25"/>
      <c r="Z37" s="25"/>
      <c r="AA37" s="25"/>
      <c r="AB37" s="26"/>
      <c r="AC37" s="257" t="str">
        <f t="shared" si="7"/>
        <v>char(4)</v>
      </c>
      <c r="AD37" s="258"/>
      <c r="AE37" s="258"/>
      <c r="AF37" s="258"/>
      <c r="AG37" s="259"/>
      <c r="AH37" s="22"/>
      <c r="AI37" s="26"/>
      <c r="AJ37" s="22"/>
      <c r="AK37" s="25"/>
      <c r="AL37" s="26"/>
      <c r="AM37" s="22"/>
      <c r="AN37" s="25"/>
      <c r="AO37" s="25"/>
      <c r="AP37" s="25"/>
      <c r="AQ37" s="25"/>
      <c r="AR37" s="25"/>
      <c r="AS37" s="26"/>
      <c r="AT37" s="22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6"/>
      <c r="BK37" s="4"/>
      <c r="BL37" t="str">
        <f t="shared" si="8"/>
        <v>SUBSTRING(`DATA`,32,4) AS '一環NO',</v>
      </c>
      <c r="BM37">
        <f t="shared" si="9"/>
        <v>32</v>
      </c>
      <c r="BN37">
        <v>4</v>
      </c>
      <c r="BP37" t="str">
        <f t="shared" si="10"/>
        <v>,`PartNo` char(4)  COMMENT '一環NO'</v>
      </c>
      <c r="BQ37" t="s">
        <v>223</v>
      </c>
      <c r="BR37" t="str">
        <f t="shared" si="11"/>
        <v xml:space="preserve">,`PartNo` char(4) </v>
      </c>
      <c r="BS37" t="s">
        <v>223</v>
      </c>
      <c r="BT37" t="str">
        <f t="shared" si="12"/>
        <v>,`PartNo`</v>
      </c>
      <c r="BU37" t="s">
        <v>223</v>
      </c>
      <c r="BV37" s="82" t="str">
        <f t="shared" si="13"/>
        <v>,A.`PartNo` = B.`PartNo`</v>
      </c>
      <c r="BW37" t="s">
        <v>223</v>
      </c>
      <c r="BX37" s="82" t="str">
        <f t="shared" si="14"/>
        <v>,`PartNo`</v>
      </c>
      <c r="BY37" t="s">
        <v>223</v>
      </c>
      <c r="BZ37" s="82" t="str">
        <f t="shared" si="15"/>
        <v>,`PartNo`</v>
      </c>
      <c r="CA37" t="s">
        <v>223</v>
      </c>
    </row>
    <row r="38" spans="1:79" ht="15" customHeight="1">
      <c r="A38" s="84" t="s">
        <v>246</v>
      </c>
      <c r="B38" s="23">
        <v>9</v>
      </c>
      <c r="C38" s="24"/>
      <c r="D38" s="22" t="s">
        <v>1194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6"/>
      <c r="R38" s="22" t="s">
        <v>1272</v>
      </c>
      <c r="S38" s="25"/>
      <c r="T38" s="25"/>
      <c r="U38" s="25"/>
      <c r="V38" s="25"/>
      <c r="W38" s="25"/>
      <c r="X38" s="25"/>
      <c r="Y38" s="25"/>
      <c r="Z38" s="25"/>
      <c r="AA38" s="25"/>
      <c r="AB38" s="26"/>
      <c r="AC38" s="257" t="str">
        <f t="shared" si="7"/>
        <v>char(1)</v>
      </c>
      <c r="AD38" s="258"/>
      <c r="AE38" s="258"/>
      <c r="AF38" s="258"/>
      <c r="AG38" s="259"/>
      <c r="AH38" s="22"/>
      <c r="AI38" s="26"/>
      <c r="AJ38" s="22"/>
      <c r="AK38" s="25"/>
      <c r="AL38" s="26"/>
      <c r="AM38" s="22"/>
      <c r="AN38" s="25"/>
      <c r="AO38" s="25"/>
      <c r="AP38" s="25"/>
      <c r="AQ38" s="25"/>
      <c r="AR38" s="25"/>
      <c r="AS38" s="26"/>
      <c r="AT38" s="22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6"/>
      <c r="BK38" s="4"/>
      <c r="BL38" t="str">
        <f t="shared" si="8"/>
        <v>SUBSTRING(`DATA`,36,1) AS '活動区分',</v>
      </c>
      <c r="BM38">
        <f t="shared" si="9"/>
        <v>36</v>
      </c>
      <c r="BN38">
        <v>1</v>
      </c>
      <c r="BP38" t="str">
        <f t="shared" si="10"/>
        <v>,`ActivityCategory` char(1)  COMMENT '活動区分'</v>
      </c>
      <c r="BQ38" t="s">
        <v>223</v>
      </c>
      <c r="BR38" t="str">
        <f t="shared" si="11"/>
        <v xml:space="preserve">,`ActivityCategory` char(1) </v>
      </c>
      <c r="BS38" t="s">
        <v>223</v>
      </c>
      <c r="BT38" t="str">
        <f t="shared" si="12"/>
        <v>,`ActivityCategory`</v>
      </c>
      <c r="BU38" t="s">
        <v>223</v>
      </c>
      <c r="BV38" s="82" t="str">
        <f t="shared" si="13"/>
        <v>,A.`ActivityCategory` = B.`ActivityCategory`</v>
      </c>
      <c r="BW38" t="s">
        <v>223</v>
      </c>
      <c r="BX38" s="82" t="str">
        <f t="shared" si="14"/>
        <v>,`ActivityCategory`</v>
      </c>
      <c r="BY38" t="s">
        <v>223</v>
      </c>
      <c r="BZ38" s="82" t="str">
        <f t="shared" si="15"/>
        <v>,`ActivityCategory`</v>
      </c>
      <c r="CA38" t="s">
        <v>223</v>
      </c>
    </row>
    <row r="39" spans="1:79" ht="15" customHeight="1">
      <c r="A39" s="84" t="s">
        <v>247</v>
      </c>
      <c r="B39" s="23">
        <v>9</v>
      </c>
      <c r="C39" s="24"/>
      <c r="D39" s="22" t="s">
        <v>1195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6"/>
      <c r="R39" s="22" t="s">
        <v>1273</v>
      </c>
      <c r="S39" s="25"/>
      <c r="T39" s="25"/>
      <c r="U39" s="25"/>
      <c r="V39" s="25"/>
      <c r="W39" s="25"/>
      <c r="X39" s="25"/>
      <c r="Y39" s="25"/>
      <c r="Z39" s="25"/>
      <c r="AA39" s="25"/>
      <c r="AB39" s="26"/>
      <c r="AC39" s="257" t="str">
        <f t="shared" si="7"/>
        <v>char(3)</v>
      </c>
      <c r="AD39" s="258"/>
      <c r="AE39" s="258"/>
      <c r="AF39" s="258"/>
      <c r="AG39" s="259"/>
      <c r="AH39" s="22"/>
      <c r="AI39" s="26"/>
      <c r="AJ39" s="22"/>
      <c r="AK39" s="25"/>
      <c r="AL39" s="26"/>
      <c r="AM39" s="22"/>
      <c r="AN39" s="25"/>
      <c r="AO39" s="25"/>
      <c r="AP39" s="25"/>
      <c r="AQ39" s="25"/>
      <c r="AR39" s="25"/>
      <c r="AS39" s="26"/>
      <c r="AT39" s="22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6"/>
      <c r="BK39" s="4"/>
      <c r="BL39" t="str">
        <f t="shared" si="8"/>
        <v>SUBSTRING(`DATA`,37,3) AS '品群コード',</v>
      </c>
      <c r="BM39">
        <f t="shared" si="9"/>
        <v>37</v>
      </c>
      <c r="BN39">
        <v>3</v>
      </c>
      <c r="BP39" t="str">
        <f t="shared" si="10"/>
        <v>,`ProductGroupCode` char(3)  COMMENT '品群コード'</v>
      </c>
      <c r="BQ39" t="s">
        <v>223</v>
      </c>
      <c r="BR39" t="str">
        <f t="shared" si="11"/>
        <v xml:space="preserve">,`ProductGroupCode` char(3) </v>
      </c>
      <c r="BS39" t="s">
        <v>223</v>
      </c>
      <c r="BT39" t="str">
        <f t="shared" si="12"/>
        <v>,`ProductGroupCode`</v>
      </c>
      <c r="BU39" t="s">
        <v>223</v>
      </c>
      <c r="BV39" s="82" t="str">
        <f t="shared" si="13"/>
        <v>,A.`ProductGroupCode` = B.`ProductGroupCode`</v>
      </c>
      <c r="BW39" t="s">
        <v>223</v>
      </c>
      <c r="BX39" s="82" t="str">
        <f t="shared" si="14"/>
        <v>,`ProductGroupCode`</v>
      </c>
      <c r="BY39" t="s">
        <v>223</v>
      </c>
      <c r="BZ39" s="82" t="str">
        <f t="shared" si="15"/>
        <v>,`ProductGroupCode`</v>
      </c>
      <c r="CA39" t="s">
        <v>223</v>
      </c>
    </row>
    <row r="40" spans="1:79" ht="15" customHeight="1">
      <c r="A40" s="84" t="s">
        <v>248</v>
      </c>
      <c r="B40" s="23">
        <v>9</v>
      </c>
      <c r="C40" s="24"/>
      <c r="D40" s="22" t="s">
        <v>1196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6"/>
      <c r="R40" s="22" t="s">
        <v>1274</v>
      </c>
      <c r="S40" s="25"/>
      <c r="T40" s="25"/>
      <c r="U40" s="25"/>
      <c r="V40" s="25"/>
      <c r="W40" s="25"/>
      <c r="X40" s="25"/>
      <c r="Y40" s="25"/>
      <c r="Z40" s="25"/>
      <c r="AA40" s="25"/>
      <c r="AB40" s="26"/>
      <c r="AC40" s="257" t="str">
        <f t="shared" si="7"/>
        <v>char(3)</v>
      </c>
      <c r="AD40" s="258"/>
      <c r="AE40" s="258"/>
      <c r="AF40" s="258"/>
      <c r="AG40" s="259"/>
      <c r="AH40" s="22"/>
      <c r="AI40" s="26"/>
      <c r="AJ40" s="22"/>
      <c r="AK40" s="25"/>
      <c r="AL40" s="26"/>
      <c r="AM40" s="22"/>
      <c r="AN40" s="25"/>
      <c r="AO40" s="25"/>
      <c r="AP40" s="25"/>
      <c r="AQ40" s="25"/>
      <c r="AR40" s="25"/>
      <c r="AS40" s="26"/>
      <c r="AT40" s="22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6"/>
      <c r="BK40" s="4"/>
      <c r="BL40" t="str">
        <f t="shared" si="8"/>
        <v>SUBSTRING(`DATA`,40,3) AS '品種コード',</v>
      </c>
      <c r="BM40">
        <f t="shared" si="9"/>
        <v>40</v>
      </c>
      <c r="BN40">
        <v>3</v>
      </c>
      <c r="BP40" t="str">
        <f t="shared" si="10"/>
        <v>,`VarietyCode` char(3)  COMMENT '品種コード'</v>
      </c>
      <c r="BQ40" t="s">
        <v>223</v>
      </c>
      <c r="BR40" t="str">
        <f t="shared" si="11"/>
        <v xml:space="preserve">,`VarietyCode` char(3) </v>
      </c>
      <c r="BS40" t="s">
        <v>223</v>
      </c>
      <c r="BT40" t="str">
        <f t="shared" si="12"/>
        <v>,`VarietyCode`</v>
      </c>
      <c r="BU40" t="s">
        <v>223</v>
      </c>
      <c r="BV40" s="82" t="str">
        <f t="shared" si="13"/>
        <v>,A.`VarietyCode` = B.`VarietyCode`</v>
      </c>
      <c r="BW40" t="s">
        <v>223</v>
      </c>
      <c r="BX40" s="82" t="str">
        <f t="shared" si="14"/>
        <v>,`VarietyCode`</v>
      </c>
      <c r="BY40" t="s">
        <v>223</v>
      </c>
      <c r="BZ40" s="82" t="str">
        <f t="shared" si="15"/>
        <v>,`VarietyCode`</v>
      </c>
      <c r="CA40" t="s">
        <v>223</v>
      </c>
    </row>
    <row r="41" spans="1:79" ht="15" customHeight="1">
      <c r="A41" s="84" t="s">
        <v>525</v>
      </c>
      <c r="B41" s="23">
        <v>9</v>
      </c>
      <c r="C41" s="24"/>
      <c r="D41" s="22" t="s">
        <v>1197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6"/>
      <c r="R41" s="22" t="s">
        <v>1275</v>
      </c>
      <c r="S41" s="25"/>
      <c r="T41" s="25"/>
      <c r="U41" s="25"/>
      <c r="V41" s="25"/>
      <c r="W41" s="25"/>
      <c r="X41" s="25"/>
      <c r="Y41" s="25"/>
      <c r="Z41" s="25"/>
      <c r="AA41" s="25"/>
      <c r="AB41" s="26"/>
      <c r="AC41" s="257" t="str">
        <f t="shared" si="7"/>
        <v>char(3)</v>
      </c>
      <c r="AD41" s="258"/>
      <c r="AE41" s="258"/>
      <c r="AF41" s="258"/>
      <c r="AG41" s="259"/>
      <c r="AH41" s="22"/>
      <c r="AI41" s="26"/>
      <c r="AJ41" s="22"/>
      <c r="AK41" s="25"/>
      <c r="AL41" s="26"/>
      <c r="AM41" s="22"/>
      <c r="AN41" s="25"/>
      <c r="AO41" s="25"/>
      <c r="AP41" s="25"/>
      <c r="AQ41" s="25"/>
      <c r="AR41" s="25"/>
      <c r="AS41" s="26"/>
      <c r="AT41" s="22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6"/>
      <c r="BK41" s="4"/>
      <c r="BL41" t="str">
        <f t="shared" si="8"/>
        <v>SUBSTRING(`DATA`,43,3) AS '分類コード',</v>
      </c>
      <c r="BM41">
        <f t="shared" si="9"/>
        <v>43</v>
      </c>
      <c r="BN41">
        <v>3</v>
      </c>
      <c r="BP41" t="str">
        <f t="shared" si="10"/>
        <v>,`ClassificationCode` char(3)  COMMENT '分類コード'</v>
      </c>
      <c r="BQ41" t="s">
        <v>223</v>
      </c>
      <c r="BR41" t="str">
        <f t="shared" si="11"/>
        <v xml:space="preserve">,`ClassificationCode` char(3) </v>
      </c>
      <c r="BS41" t="s">
        <v>223</v>
      </c>
      <c r="BT41" t="str">
        <f t="shared" si="12"/>
        <v>,`ClassificationCode`</v>
      </c>
      <c r="BU41" t="s">
        <v>223</v>
      </c>
      <c r="BV41" s="82" t="str">
        <f t="shared" si="13"/>
        <v>,A.`ClassificationCode` = B.`ClassificationCode`</v>
      </c>
      <c r="BW41" t="s">
        <v>223</v>
      </c>
      <c r="BX41" s="82" t="str">
        <f t="shared" si="14"/>
        <v>,`ClassificationCode`</v>
      </c>
      <c r="BY41" t="s">
        <v>223</v>
      </c>
      <c r="BZ41" s="82" t="str">
        <f t="shared" si="15"/>
        <v>,`ClassificationCode`</v>
      </c>
      <c r="CA41" t="s">
        <v>223</v>
      </c>
    </row>
    <row r="42" spans="1:79" ht="15" customHeight="1">
      <c r="A42" s="84" t="s">
        <v>526</v>
      </c>
      <c r="B42" s="23">
        <v>9</v>
      </c>
      <c r="C42" s="24"/>
      <c r="D42" s="22" t="s">
        <v>1198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6"/>
      <c r="R42" s="22" t="s">
        <v>1276</v>
      </c>
      <c r="S42" s="25"/>
      <c r="T42" s="25"/>
      <c r="U42" s="25"/>
      <c r="V42" s="25"/>
      <c r="W42" s="25"/>
      <c r="X42" s="25"/>
      <c r="Y42" s="25"/>
      <c r="Z42" s="25"/>
      <c r="AA42" s="25"/>
      <c r="AB42" s="26"/>
      <c r="AC42" s="257" t="str">
        <f t="shared" si="7"/>
        <v>char(50)</v>
      </c>
      <c r="AD42" s="258"/>
      <c r="AE42" s="258"/>
      <c r="AF42" s="258"/>
      <c r="AG42" s="259"/>
      <c r="AH42" s="22"/>
      <c r="AI42" s="26"/>
      <c r="AJ42" s="22"/>
      <c r="AK42" s="25"/>
      <c r="AL42" s="26"/>
      <c r="AM42" s="22"/>
      <c r="AN42" s="25"/>
      <c r="AO42" s="25"/>
      <c r="AP42" s="25"/>
      <c r="AQ42" s="25"/>
      <c r="AR42" s="25"/>
      <c r="AS42" s="26"/>
      <c r="AT42" s="22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6"/>
      <c r="BK42" s="4"/>
      <c r="BL42" t="str">
        <f t="shared" si="8"/>
        <v>SUBSTRING(`DATA`,46,50) AS '品名（漢字）',</v>
      </c>
      <c r="BM42">
        <f t="shared" si="9"/>
        <v>46</v>
      </c>
      <c r="BN42">
        <v>50</v>
      </c>
      <c r="BP42" t="str">
        <f t="shared" si="10"/>
        <v>,`ProductName_Kanji` char(50)  COMMENT '品名（漢字）'</v>
      </c>
      <c r="BQ42" t="s">
        <v>223</v>
      </c>
      <c r="BR42" t="str">
        <f t="shared" si="11"/>
        <v xml:space="preserve">,`ProductName_Kanji` char(50) </v>
      </c>
      <c r="BS42" t="s">
        <v>223</v>
      </c>
      <c r="BT42" t="str">
        <f t="shared" si="12"/>
        <v>,`ProductName_Kanji`</v>
      </c>
      <c r="BU42" t="s">
        <v>223</v>
      </c>
      <c r="BV42" s="82" t="str">
        <f t="shared" si="13"/>
        <v>,A.`ProductName_Kanji` = B.`ProductName_Kanji`</v>
      </c>
      <c r="BW42" t="s">
        <v>223</v>
      </c>
      <c r="BX42" s="82" t="str">
        <f t="shared" si="14"/>
        <v>,`ProductName_Kanji`</v>
      </c>
      <c r="BY42" t="s">
        <v>223</v>
      </c>
      <c r="BZ42" s="82" t="str">
        <f t="shared" si="15"/>
        <v>,`ProductName_Kanji`</v>
      </c>
      <c r="CA42" t="s">
        <v>223</v>
      </c>
    </row>
    <row r="43" spans="1:79" ht="15" customHeight="1">
      <c r="A43" s="84" t="s">
        <v>242</v>
      </c>
      <c r="B43" s="61">
        <v>7</v>
      </c>
      <c r="C43" s="62"/>
      <c r="D43" s="21" t="s">
        <v>1199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4"/>
      <c r="R43" s="21" t="s">
        <v>1277</v>
      </c>
      <c r="S43" s="63"/>
      <c r="T43" s="63"/>
      <c r="U43" s="63"/>
      <c r="V43" s="63"/>
      <c r="W43" s="63"/>
      <c r="X43" s="63"/>
      <c r="Y43" s="63"/>
      <c r="Z43" s="63"/>
      <c r="AA43" s="63"/>
      <c r="AB43" s="64"/>
      <c r="AC43" s="254" t="str">
        <f t="shared" si="7"/>
        <v>char(20)</v>
      </c>
      <c r="AD43" s="255"/>
      <c r="AE43" s="255"/>
      <c r="AF43" s="255"/>
      <c r="AG43" s="256"/>
      <c r="AH43" s="21"/>
      <c r="AI43" s="64"/>
      <c r="AJ43" s="21"/>
      <c r="AK43" s="63"/>
      <c r="AL43" s="64"/>
      <c r="AM43" s="21"/>
      <c r="AN43" s="63"/>
      <c r="AO43" s="63"/>
      <c r="AP43" s="63"/>
      <c r="AQ43" s="63"/>
      <c r="AR43" s="63"/>
      <c r="AS43" s="64"/>
      <c r="AT43" s="21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4"/>
      <c r="BK43" s="4"/>
      <c r="BL43" t="str">
        <f t="shared" si="8"/>
        <v>SUBSTRING(`DATA`,96,20) AS '品名（カナ）',</v>
      </c>
      <c r="BM43">
        <f t="shared" si="9"/>
        <v>96</v>
      </c>
      <c r="BN43">
        <v>20</v>
      </c>
      <c r="BP43" t="str">
        <f>",`"&amp;R43&amp;"` "&amp;AC43&amp;" "&amp;IF(AJ43="Y","NOT NULL","")&amp;" COMMENT '"&amp;D43&amp;"'"</f>
        <v>,`ProductName_Kana` char(20)  COMMENT '品名（カナ）'</v>
      </c>
      <c r="BQ43" t="s">
        <v>223</v>
      </c>
      <c r="BR43" s="82" t="str">
        <f>"`"&amp;R43&amp;"` "&amp;AC43&amp;" "&amp;IF(AJ43="Y","NOT NULL","")</f>
        <v xml:space="preserve">`ProductName_Kana` char(20) </v>
      </c>
      <c r="BS43" t="s">
        <v>223</v>
      </c>
      <c r="BT43" s="82" t="str">
        <f>"`"&amp;R43&amp;"`"</f>
        <v>`ProductName_Kana`</v>
      </c>
      <c r="BU43" t="s">
        <v>223</v>
      </c>
      <c r="BV43" s="82" t="str">
        <f>"A.`"&amp;R43&amp;"` = B.`"&amp;R43&amp;"`"</f>
        <v>A.`ProductName_Kana` = B.`ProductName_Kana`</v>
      </c>
      <c r="BW43" t="s">
        <v>223</v>
      </c>
      <c r="BX43" s="82" t="str">
        <f>"`"&amp;R43&amp;"`"</f>
        <v>`ProductName_Kana`</v>
      </c>
      <c r="BY43" t="s">
        <v>223</v>
      </c>
      <c r="BZ43" s="82" t="str">
        <f>"`"&amp;R43&amp;"`"</f>
        <v>`ProductName_Kana`</v>
      </c>
      <c r="CA43" t="s">
        <v>223</v>
      </c>
    </row>
    <row r="44" spans="1:79" ht="15" customHeight="1">
      <c r="A44" s="84" t="s">
        <v>244</v>
      </c>
      <c r="B44" s="23">
        <v>9</v>
      </c>
      <c r="C44" s="24"/>
      <c r="D44" s="22" t="s">
        <v>1200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6"/>
      <c r="R44" s="22" t="s">
        <v>1278</v>
      </c>
      <c r="S44" s="25"/>
      <c r="T44" s="25"/>
      <c r="U44" s="25"/>
      <c r="V44" s="25"/>
      <c r="W44" s="25"/>
      <c r="X44" s="25"/>
      <c r="Y44" s="25"/>
      <c r="Z44" s="25"/>
      <c r="AA44" s="25"/>
      <c r="AB44" s="26"/>
      <c r="AC44" s="257" t="str">
        <f t="shared" si="7"/>
        <v>char(12)</v>
      </c>
      <c r="AD44" s="258"/>
      <c r="AE44" s="258"/>
      <c r="AF44" s="258"/>
      <c r="AG44" s="259"/>
      <c r="AH44" s="22"/>
      <c r="AI44" s="26"/>
      <c r="AJ44" s="22"/>
      <c r="AK44" s="25"/>
      <c r="AL44" s="26"/>
      <c r="AM44" s="22"/>
      <c r="AN44" s="25"/>
      <c r="AO44" s="25"/>
      <c r="AP44" s="25"/>
      <c r="AQ44" s="25"/>
      <c r="AR44" s="25"/>
      <c r="AS44" s="26"/>
      <c r="AT44" s="22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6"/>
      <c r="BK44" s="4"/>
      <c r="BL44" t="str">
        <f t="shared" si="8"/>
        <v>SUBSTRING(`DATA`,116,12) AS 'レシート品名',</v>
      </c>
      <c r="BM44">
        <f t="shared" si="9"/>
        <v>116</v>
      </c>
      <c r="BN44">
        <v>12</v>
      </c>
      <c r="BP44" t="str">
        <f t="shared" ref="BP44:BP50" si="16">",`"&amp;R44&amp;"` "&amp;AC44&amp;" "&amp;IF(AJ44="Y","NOT NULL","")&amp;" COMMENT '"&amp;D44&amp;"'"</f>
        <v>,`ReceiptItemName` char(12)  COMMENT 'レシート品名'</v>
      </c>
      <c r="BQ44" t="s">
        <v>223</v>
      </c>
      <c r="BR44" t="str">
        <f t="shared" ref="BR44:BR50" si="17">",`"&amp;R44&amp;"` "&amp;AC44&amp;" "&amp;IF(AJ44="Y","NOT NULL","")</f>
        <v xml:space="preserve">,`ReceiptItemName` char(12) </v>
      </c>
      <c r="BS44" t="s">
        <v>223</v>
      </c>
      <c r="BT44" t="str">
        <f t="shared" ref="BT44:BT50" si="18">",`"&amp;R44&amp;"`"</f>
        <v>,`ReceiptItemName`</v>
      </c>
      <c r="BU44" t="s">
        <v>223</v>
      </c>
      <c r="BV44" s="82" t="str">
        <f t="shared" ref="BV44:BV50" si="19">",A.`"&amp;R44&amp;"` = B.`"&amp;R44&amp;"`"</f>
        <v>,A.`ReceiptItemName` = B.`ReceiptItemName`</v>
      </c>
      <c r="BW44" t="s">
        <v>223</v>
      </c>
      <c r="BX44" s="82" t="str">
        <f t="shared" ref="BX44:BX50" si="20">",`"&amp;R44&amp;"`"</f>
        <v>,`ReceiptItemName`</v>
      </c>
      <c r="BY44" t="s">
        <v>223</v>
      </c>
      <c r="BZ44" s="82" t="str">
        <f t="shared" ref="BZ44:BZ50" si="21">",`"&amp;R44&amp;"`"</f>
        <v>,`ReceiptItemName`</v>
      </c>
      <c r="CA44" t="s">
        <v>223</v>
      </c>
    </row>
    <row r="45" spans="1:79" ht="15" customHeight="1">
      <c r="A45" s="84" t="s">
        <v>245</v>
      </c>
      <c r="B45" s="23">
        <v>9</v>
      </c>
      <c r="C45" s="24"/>
      <c r="D45" s="22" t="s">
        <v>1201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6"/>
      <c r="R45" s="22" t="s">
        <v>1279</v>
      </c>
      <c r="S45" s="25"/>
      <c r="T45" s="25"/>
      <c r="U45" s="25"/>
      <c r="V45" s="25"/>
      <c r="W45" s="25"/>
      <c r="X45" s="25"/>
      <c r="Y45" s="25"/>
      <c r="Z45" s="25"/>
      <c r="AA45" s="25"/>
      <c r="AB45" s="26"/>
      <c r="AC45" s="257" t="str">
        <f t="shared" si="7"/>
        <v>char(1)</v>
      </c>
      <c r="AD45" s="258"/>
      <c r="AE45" s="258"/>
      <c r="AF45" s="258"/>
      <c r="AG45" s="259"/>
      <c r="AH45" s="22"/>
      <c r="AI45" s="26"/>
      <c r="AJ45" s="22"/>
      <c r="AK45" s="25"/>
      <c r="AL45" s="26"/>
      <c r="AM45" s="22"/>
      <c r="AN45" s="25"/>
      <c r="AO45" s="25"/>
      <c r="AP45" s="25"/>
      <c r="AQ45" s="25"/>
      <c r="AR45" s="25"/>
      <c r="AS45" s="26"/>
      <c r="AT45" s="22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6"/>
      <c r="BK45" s="4"/>
      <c r="BL45" t="str">
        <f t="shared" si="8"/>
        <v>SUBSTRING(`DATA`,128,1) AS '識別1（PLU情報）',</v>
      </c>
      <c r="BM45">
        <f t="shared" si="9"/>
        <v>128</v>
      </c>
      <c r="BN45">
        <v>1</v>
      </c>
      <c r="BP45" t="str">
        <f t="shared" si="16"/>
        <v>,`Identification1` char(1)  COMMENT '識別1（PLU情報）'</v>
      </c>
      <c r="BQ45" t="s">
        <v>223</v>
      </c>
      <c r="BR45" t="str">
        <f t="shared" si="17"/>
        <v xml:space="preserve">,`Identification1` char(1) </v>
      </c>
      <c r="BS45" t="s">
        <v>223</v>
      </c>
      <c r="BT45" t="str">
        <f t="shared" si="18"/>
        <v>,`Identification1`</v>
      </c>
      <c r="BU45" t="s">
        <v>223</v>
      </c>
      <c r="BV45" s="82" t="str">
        <f t="shared" si="19"/>
        <v>,A.`Identification1` = B.`Identification1`</v>
      </c>
      <c r="BW45" t="s">
        <v>223</v>
      </c>
      <c r="BX45" s="82" t="str">
        <f t="shared" si="20"/>
        <v>,`Identification1`</v>
      </c>
      <c r="BY45" t="s">
        <v>223</v>
      </c>
      <c r="BZ45" s="82" t="str">
        <f t="shared" si="21"/>
        <v>,`Identification1`</v>
      </c>
      <c r="CA45" t="s">
        <v>223</v>
      </c>
    </row>
    <row r="46" spans="1:79" ht="15" customHeight="1">
      <c r="A46" s="84" t="s">
        <v>246</v>
      </c>
      <c r="B46" s="23">
        <v>9</v>
      </c>
      <c r="C46" s="24"/>
      <c r="D46" s="22" t="s">
        <v>1202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6"/>
      <c r="R46" s="22" t="s">
        <v>1280</v>
      </c>
      <c r="S46" s="25"/>
      <c r="T46" s="25"/>
      <c r="U46" s="25"/>
      <c r="V46" s="25"/>
      <c r="W46" s="25"/>
      <c r="X46" s="25"/>
      <c r="Y46" s="25"/>
      <c r="Z46" s="25"/>
      <c r="AA46" s="25"/>
      <c r="AB46" s="26"/>
      <c r="AC46" s="257" t="str">
        <f t="shared" si="7"/>
        <v>char(13)</v>
      </c>
      <c r="AD46" s="258"/>
      <c r="AE46" s="258"/>
      <c r="AF46" s="258"/>
      <c r="AG46" s="259"/>
      <c r="AH46" s="22"/>
      <c r="AI46" s="26"/>
      <c r="AJ46" s="22"/>
      <c r="AK46" s="25"/>
      <c r="AL46" s="26"/>
      <c r="AM46" s="22"/>
      <c r="AN46" s="25"/>
      <c r="AO46" s="25"/>
      <c r="AP46" s="25"/>
      <c r="AQ46" s="25"/>
      <c r="AR46" s="25"/>
      <c r="AS46" s="26"/>
      <c r="AT46" s="22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6"/>
      <c r="BK46" s="4"/>
      <c r="BL46" t="str">
        <f t="shared" si="8"/>
        <v>SUBSTRING(`DATA`,129,13) AS 'PLUコード1',</v>
      </c>
      <c r="BM46">
        <f t="shared" si="9"/>
        <v>129</v>
      </c>
      <c r="BN46">
        <v>13</v>
      </c>
      <c r="BP46" t="str">
        <f t="shared" si="16"/>
        <v>,`PLUCode1` char(13)  COMMENT 'PLUコード1'</v>
      </c>
      <c r="BQ46" t="s">
        <v>223</v>
      </c>
      <c r="BR46" t="str">
        <f t="shared" si="17"/>
        <v xml:space="preserve">,`PLUCode1` char(13) </v>
      </c>
      <c r="BS46" t="s">
        <v>223</v>
      </c>
      <c r="BT46" t="str">
        <f t="shared" si="18"/>
        <v>,`PLUCode1`</v>
      </c>
      <c r="BU46" t="s">
        <v>223</v>
      </c>
      <c r="BV46" s="82" t="str">
        <f t="shared" si="19"/>
        <v>,A.`PLUCode1` = B.`PLUCode1`</v>
      </c>
      <c r="BW46" t="s">
        <v>223</v>
      </c>
      <c r="BX46" s="82" t="str">
        <f t="shared" si="20"/>
        <v>,`PLUCode1`</v>
      </c>
      <c r="BY46" t="s">
        <v>223</v>
      </c>
      <c r="BZ46" s="82" t="str">
        <f t="shared" si="21"/>
        <v>,`PLUCode1`</v>
      </c>
      <c r="CA46" t="s">
        <v>223</v>
      </c>
    </row>
    <row r="47" spans="1:79" ht="15" customHeight="1">
      <c r="A47" s="84" t="s">
        <v>247</v>
      </c>
      <c r="B47" s="23">
        <v>9</v>
      </c>
      <c r="C47" s="24"/>
      <c r="D47" s="22" t="s">
        <v>1203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6"/>
      <c r="R47" s="22" t="s">
        <v>1281</v>
      </c>
      <c r="S47" s="25"/>
      <c r="T47" s="25"/>
      <c r="U47" s="25"/>
      <c r="V47" s="25"/>
      <c r="W47" s="25"/>
      <c r="X47" s="25"/>
      <c r="Y47" s="25"/>
      <c r="Z47" s="25"/>
      <c r="AA47" s="25"/>
      <c r="AB47" s="26"/>
      <c r="AC47" s="257" t="str">
        <f t="shared" si="7"/>
        <v>char(1)</v>
      </c>
      <c r="AD47" s="258"/>
      <c r="AE47" s="258"/>
      <c r="AF47" s="258"/>
      <c r="AG47" s="259"/>
      <c r="AH47" s="22"/>
      <c r="AI47" s="26"/>
      <c r="AJ47" s="22"/>
      <c r="AK47" s="25"/>
      <c r="AL47" s="26"/>
      <c r="AM47" s="22"/>
      <c r="AN47" s="25"/>
      <c r="AO47" s="25"/>
      <c r="AP47" s="25"/>
      <c r="AQ47" s="25"/>
      <c r="AR47" s="25"/>
      <c r="AS47" s="26"/>
      <c r="AT47" s="22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6"/>
      <c r="BK47" s="4"/>
      <c r="BL47" t="str">
        <f t="shared" si="8"/>
        <v>SUBSTRING(`DATA`,142,1) AS '識別2（PLU情報）',</v>
      </c>
      <c r="BM47">
        <f t="shared" si="9"/>
        <v>142</v>
      </c>
      <c r="BN47">
        <v>1</v>
      </c>
      <c r="BP47" t="str">
        <f t="shared" si="16"/>
        <v>,`Identification2` char(1)  COMMENT '識別2（PLU情報）'</v>
      </c>
      <c r="BQ47" t="s">
        <v>223</v>
      </c>
      <c r="BR47" t="str">
        <f t="shared" si="17"/>
        <v xml:space="preserve">,`Identification2` char(1) </v>
      </c>
      <c r="BS47" t="s">
        <v>223</v>
      </c>
      <c r="BT47" t="str">
        <f t="shared" si="18"/>
        <v>,`Identification2`</v>
      </c>
      <c r="BU47" t="s">
        <v>223</v>
      </c>
      <c r="BV47" s="82" t="str">
        <f t="shared" si="19"/>
        <v>,A.`Identification2` = B.`Identification2`</v>
      </c>
      <c r="BW47" t="s">
        <v>223</v>
      </c>
      <c r="BX47" s="82" t="str">
        <f t="shared" si="20"/>
        <v>,`Identification2`</v>
      </c>
      <c r="BY47" t="s">
        <v>223</v>
      </c>
      <c r="BZ47" s="82" t="str">
        <f t="shared" si="21"/>
        <v>,`Identification2`</v>
      </c>
      <c r="CA47" t="s">
        <v>223</v>
      </c>
    </row>
    <row r="48" spans="1:79" ht="15" customHeight="1">
      <c r="A48" s="84" t="s">
        <v>248</v>
      </c>
      <c r="B48" s="23">
        <v>9</v>
      </c>
      <c r="C48" s="24"/>
      <c r="D48" s="22" t="s">
        <v>1204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6"/>
      <c r="R48" s="22" t="s">
        <v>1282</v>
      </c>
      <c r="S48" s="25"/>
      <c r="T48" s="25"/>
      <c r="U48" s="25"/>
      <c r="V48" s="25"/>
      <c r="W48" s="25"/>
      <c r="X48" s="25"/>
      <c r="Y48" s="25"/>
      <c r="Z48" s="25"/>
      <c r="AA48" s="25"/>
      <c r="AB48" s="26"/>
      <c r="AC48" s="257" t="str">
        <f t="shared" si="7"/>
        <v>char(13)</v>
      </c>
      <c r="AD48" s="258"/>
      <c r="AE48" s="258"/>
      <c r="AF48" s="258"/>
      <c r="AG48" s="259"/>
      <c r="AH48" s="22"/>
      <c r="AI48" s="26"/>
      <c r="AJ48" s="22"/>
      <c r="AK48" s="25"/>
      <c r="AL48" s="26"/>
      <c r="AM48" s="22"/>
      <c r="AN48" s="25"/>
      <c r="AO48" s="25"/>
      <c r="AP48" s="25"/>
      <c r="AQ48" s="25"/>
      <c r="AR48" s="25"/>
      <c r="AS48" s="26"/>
      <c r="AT48" s="22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6"/>
      <c r="BK48" s="4"/>
      <c r="BL48" t="str">
        <f t="shared" si="8"/>
        <v>SUBSTRING(`DATA`,143,13) AS 'PLUコード2',</v>
      </c>
      <c r="BM48">
        <f t="shared" si="9"/>
        <v>143</v>
      </c>
      <c r="BN48">
        <v>13</v>
      </c>
      <c r="BP48" t="str">
        <f t="shared" si="16"/>
        <v>,`PLUCode2` char(13)  COMMENT 'PLUコード2'</v>
      </c>
      <c r="BQ48" t="s">
        <v>223</v>
      </c>
      <c r="BR48" t="str">
        <f t="shared" si="17"/>
        <v xml:space="preserve">,`PLUCode2` char(13) </v>
      </c>
      <c r="BS48" t="s">
        <v>223</v>
      </c>
      <c r="BT48" t="str">
        <f t="shared" si="18"/>
        <v>,`PLUCode2`</v>
      </c>
      <c r="BU48" t="s">
        <v>223</v>
      </c>
      <c r="BV48" s="82" t="str">
        <f t="shared" si="19"/>
        <v>,A.`PLUCode2` = B.`PLUCode2`</v>
      </c>
      <c r="BW48" t="s">
        <v>223</v>
      </c>
      <c r="BX48" s="82" t="str">
        <f t="shared" si="20"/>
        <v>,`PLUCode2`</v>
      </c>
      <c r="BY48" t="s">
        <v>223</v>
      </c>
      <c r="BZ48" s="82" t="str">
        <f t="shared" si="21"/>
        <v>,`PLUCode2`</v>
      </c>
      <c r="CA48" t="s">
        <v>223</v>
      </c>
    </row>
    <row r="49" spans="1:79" ht="15" customHeight="1">
      <c r="A49" s="84" t="s">
        <v>525</v>
      </c>
      <c r="B49" s="23">
        <v>9</v>
      </c>
      <c r="C49" s="24"/>
      <c r="D49" s="22" t="s">
        <v>1205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6"/>
      <c r="R49" s="22" t="s">
        <v>1283</v>
      </c>
      <c r="S49" s="25"/>
      <c r="T49" s="25"/>
      <c r="U49" s="25"/>
      <c r="V49" s="25"/>
      <c r="W49" s="25"/>
      <c r="X49" s="25"/>
      <c r="Y49" s="25"/>
      <c r="Z49" s="25"/>
      <c r="AA49" s="25"/>
      <c r="AB49" s="26"/>
      <c r="AC49" s="257" t="str">
        <f t="shared" si="7"/>
        <v>char(1)</v>
      </c>
      <c r="AD49" s="258"/>
      <c r="AE49" s="258"/>
      <c r="AF49" s="258"/>
      <c r="AG49" s="259"/>
      <c r="AH49" s="22"/>
      <c r="AI49" s="26"/>
      <c r="AJ49" s="22"/>
      <c r="AK49" s="25"/>
      <c r="AL49" s="26"/>
      <c r="AM49" s="22"/>
      <c r="AN49" s="25"/>
      <c r="AO49" s="25"/>
      <c r="AP49" s="25"/>
      <c r="AQ49" s="25"/>
      <c r="AR49" s="25"/>
      <c r="AS49" s="26"/>
      <c r="AT49" s="22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6"/>
      <c r="BK49" s="4"/>
      <c r="BL49" t="str">
        <f t="shared" si="8"/>
        <v>SUBSTRING(`DATA`,156,1) AS '識別3（PLU情報）',</v>
      </c>
      <c r="BM49">
        <f t="shared" si="9"/>
        <v>156</v>
      </c>
      <c r="BN49">
        <v>1</v>
      </c>
      <c r="BP49" t="str">
        <f t="shared" si="16"/>
        <v>,`Identification3` char(1)  COMMENT '識別3（PLU情報）'</v>
      </c>
      <c r="BQ49" t="s">
        <v>223</v>
      </c>
      <c r="BR49" t="str">
        <f t="shared" si="17"/>
        <v xml:space="preserve">,`Identification3` char(1) </v>
      </c>
      <c r="BS49" t="s">
        <v>223</v>
      </c>
      <c r="BT49" t="str">
        <f t="shared" si="18"/>
        <v>,`Identification3`</v>
      </c>
      <c r="BU49" t="s">
        <v>223</v>
      </c>
      <c r="BV49" s="82" t="str">
        <f t="shared" si="19"/>
        <v>,A.`Identification3` = B.`Identification3`</v>
      </c>
      <c r="BW49" t="s">
        <v>223</v>
      </c>
      <c r="BX49" s="82" t="str">
        <f t="shared" si="20"/>
        <v>,`Identification3`</v>
      </c>
      <c r="BY49" t="s">
        <v>223</v>
      </c>
      <c r="BZ49" s="82" t="str">
        <f t="shared" si="21"/>
        <v>,`Identification3`</v>
      </c>
      <c r="CA49" t="s">
        <v>223</v>
      </c>
    </row>
    <row r="50" spans="1:79" ht="15" customHeight="1">
      <c r="A50" s="84" t="s">
        <v>526</v>
      </c>
      <c r="B50" s="23">
        <v>9</v>
      </c>
      <c r="C50" s="24"/>
      <c r="D50" s="22" t="s">
        <v>1206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6"/>
      <c r="R50" s="22" t="s">
        <v>1284</v>
      </c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57" t="str">
        <f t="shared" si="7"/>
        <v>char(13)</v>
      </c>
      <c r="AD50" s="258"/>
      <c r="AE50" s="258"/>
      <c r="AF50" s="258"/>
      <c r="AG50" s="259"/>
      <c r="AH50" s="22"/>
      <c r="AI50" s="26"/>
      <c r="AJ50" s="22"/>
      <c r="AK50" s="25"/>
      <c r="AL50" s="26"/>
      <c r="AM50" s="22"/>
      <c r="AN50" s="25"/>
      <c r="AO50" s="25"/>
      <c r="AP50" s="25"/>
      <c r="AQ50" s="25"/>
      <c r="AR50" s="25"/>
      <c r="AS50" s="26"/>
      <c r="AT50" s="22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6"/>
      <c r="BK50" s="4"/>
      <c r="BL50" t="str">
        <f t="shared" si="8"/>
        <v>SUBSTRING(`DATA`,157,13) AS 'PLUコード3',</v>
      </c>
      <c r="BM50">
        <f t="shared" si="9"/>
        <v>157</v>
      </c>
      <c r="BN50">
        <v>13</v>
      </c>
      <c r="BP50" t="str">
        <f t="shared" si="16"/>
        <v>,`PLUCode3` char(13)  COMMENT 'PLUコード3'</v>
      </c>
      <c r="BQ50" t="s">
        <v>223</v>
      </c>
      <c r="BR50" t="str">
        <f t="shared" si="17"/>
        <v xml:space="preserve">,`PLUCode3` char(13) </v>
      </c>
      <c r="BS50" t="s">
        <v>223</v>
      </c>
      <c r="BT50" t="str">
        <f t="shared" si="18"/>
        <v>,`PLUCode3`</v>
      </c>
      <c r="BU50" t="s">
        <v>223</v>
      </c>
      <c r="BV50" s="82" t="str">
        <f t="shared" si="19"/>
        <v>,A.`PLUCode3` = B.`PLUCode3`</v>
      </c>
      <c r="BW50" t="s">
        <v>223</v>
      </c>
      <c r="BX50" s="82" t="str">
        <f t="shared" si="20"/>
        <v>,`PLUCode3`</v>
      </c>
      <c r="BY50" t="s">
        <v>223</v>
      </c>
      <c r="BZ50" s="82" t="str">
        <f t="shared" si="21"/>
        <v>,`PLUCode3`</v>
      </c>
      <c r="CA50" t="s">
        <v>223</v>
      </c>
    </row>
    <row r="51" spans="1:79" ht="15" customHeight="1">
      <c r="A51" s="84" t="s">
        <v>242</v>
      </c>
      <c r="B51" s="61">
        <v>7</v>
      </c>
      <c r="C51" s="62"/>
      <c r="D51" s="21" t="s">
        <v>1207</v>
      </c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4"/>
      <c r="R51" s="21" t="s">
        <v>1285</v>
      </c>
      <c r="S51" s="63"/>
      <c r="T51" s="63"/>
      <c r="U51" s="63"/>
      <c r="V51" s="63"/>
      <c r="W51" s="63"/>
      <c r="X51" s="63"/>
      <c r="Y51" s="63"/>
      <c r="Z51" s="63"/>
      <c r="AA51" s="63"/>
      <c r="AB51" s="64"/>
      <c r="AC51" s="257" t="str">
        <f t="shared" si="7"/>
        <v>char(6)</v>
      </c>
      <c r="AD51" s="258"/>
      <c r="AE51" s="258"/>
      <c r="AF51" s="258"/>
      <c r="AG51" s="259"/>
      <c r="AH51" s="21"/>
      <c r="AI51" s="64"/>
      <c r="AJ51" s="21"/>
      <c r="AK51" s="63"/>
      <c r="AL51" s="64"/>
      <c r="AM51" s="21"/>
      <c r="AN51" s="63"/>
      <c r="AO51" s="63"/>
      <c r="AP51" s="63"/>
      <c r="AQ51" s="63"/>
      <c r="AR51" s="63"/>
      <c r="AS51" s="64"/>
      <c r="AT51" s="21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4"/>
      <c r="BK51" s="4"/>
      <c r="BL51" t="str">
        <f t="shared" si="8"/>
        <v>SUBSTRING(`DATA`,170,6) AS '仕入先コード',</v>
      </c>
      <c r="BM51">
        <f t="shared" si="9"/>
        <v>170</v>
      </c>
      <c r="BN51">
        <v>6</v>
      </c>
      <c r="BP51" t="str">
        <f>",`"&amp;R51&amp;"` "&amp;AC51&amp;" "&amp;IF(AJ51="Y","NOT NULL","")&amp;" COMMENT '"&amp;D51&amp;"'"</f>
        <v>,`SupplierCode` char(6)  COMMENT '仕入先コード'</v>
      </c>
      <c r="BQ51" t="s">
        <v>223</v>
      </c>
      <c r="BR51" s="82" t="str">
        <f>"`"&amp;R51&amp;"` "&amp;AC51&amp;" "&amp;IF(AJ51="Y","NOT NULL","")</f>
        <v xml:space="preserve">`SupplierCode` char(6) </v>
      </c>
      <c r="BS51" t="s">
        <v>223</v>
      </c>
      <c r="BT51" s="82" t="str">
        <f>"`"&amp;R51&amp;"`"</f>
        <v>`SupplierCode`</v>
      </c>
      <c r="BU51" t="s">
        <v>223</v>
      </c>
      <c r="BV51" s="82" t="str">
        <f>"A.`"&amp;R51&amp;"` = B.`"&amp;R51&amp;"`"</f>
        <v>A.`SupplierCode` = B.`SupplierCode`</v>
      </c>
      <c r="BW51" t="s">
        <v>223</v>
      </c>
      <c r="BX51" s="82" t="str">
        <f>"`"&amp;R51&amp;"`"</f>
        <v>`SupplierCode`</v>
      </c>
      <c r="BY51" t="s">
        <v>223</v>
      </c>
      <c r="BZ51" s="82" t="str">
        <f>"`"&amp;R51&amp;"`"</f>
        <v>`SupplierCode`</v>
      </c>
      <c r="CA51" t="s">
        <v>223</v>
      </c>
    </row>
    <row r="52" spans="1:79" ht="15" customHeight="1">
      <c r="A52" s="84" t="s">
        <v>244</v>
      </c>
      <c r="B52" s="23">
        <v>9</v>
      </c>
      <c r="C52" s="24"/>
      <c r="D52" s="22" t="s">
        <v>1208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6"/>
      <c r="R52" s="22" t="s">
        <v>1286</v>
      </c>
      <c r="S52" s="25"/>
      <c r="T52" s="25"/>
      <c r="U52" s="25"/>
      <c r="V52" s="25"/>
      <c r="W52" s="25"/>
      <c r="X52" s="25"/>
      <c r="Y52" s="25"/>
      <c r="Z52" s="25"/>
      <c r="AA52" s="25"/>
      <c r="AB52" s="26"/>
      <c r="AC52" s="257" t="str">
        <f t="shared" si="7"/>
        <v>char(7)</v>
      </c>
      <c r="AD52" s="258"/>
      <c r="AE52" s="258"/>
      <c r="AF52" s="258"/>
      <c r="AG52" s="259"/>
      <c r="AH52" s="22"/>
      <c r="AI52" s="26"/>
      <c r="AJ52" s="22"/>
      <c r="AK52" s="25"/>
      <c r="AL52" s="26"/>
      <c r="AM52" s="22"/>
      <c r="AN52" s="25"/>
      <c r="AO52" s="25"/>
      <c r="AP52" s="25"/>
      <c r="AQ52" s="25"/>
      <c r="AR52" s="25"/>
      <c r="AS52" s="26"/>
      <c r="AT52" s="22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6"/>
      <c r="BK52" s="4"/>
      <c r="BL52" t="str">
        <f t="shared" si="8"/>
        <v>SUBSTRING(`DATA`,176,7) AS '仕入れ数',</v>
      </c>
      <c r="BM52">
        <f t="shared" si="9"/>
        <v>176</v>
      </c>
      <c r="BN52">
        <v>7</v>
      </c>
      <c r="BP52" t="str">
        <f t="shared" ref="BP52:BP58" si="22">",`"&amp;R52&amp;"` "&amp;AC52&amp;" "&amp;IF(AJ52="Y","NOT NULL","")&amp;" COMMENT '"&amp;D52&amp;"'"</f>
        <v>,`PurchaseQuantity` char(7)  COMMENT '仕入れ数'</v>
      </c>
      <c r="BQ52" t="s">
        <v>223</v>
      </c>
      <c r="BR52" t="str">
        <f t="shared" ref="BR52:BR58" si="23">",`"&amp;R52&amp;"` "&amp;AC52&amp;" "&amp;IF(AJ52="Y","NOT NULL","")</f>
        <v xml:space="preserve">,`PurchaseQuantity` char(7) </v>
      </c>
      <c r="BS52" t="s">
        <v>223</v>
      </c>
      <c r="BT52" t="str">
        <f t="shared" ref="BT52:BT58" si="24">",`"&amp;R52&amp;"`"</f>
        <v>,`PurchaseQuantity`</v>
      </c>
      <c r="BU52" t="s">
        <v>223</v>
      </c>
      <c r="BV52" s="82" t="str">
        <f t="shared" ref="BV52:BV58" si="25">",A.`"&amp;R52&amp;"` = B.`"&amp;R52&amp;"`"</f>
        <v>,A.`PurchaseQuantity` = B.`PurchaseQuantity`</v>
      </c>
      <c r="BW52" t="s">
        <v>223</v>
      </c>
      <c r="BX52" s="82" t="str">
        <f t="shared" ref="BX52:BX58" si="26">",`"&amp;R52&amp;"`"</f>
        <v>,`PurchaseQuantity`</v>
      </c>
      <c r="BY52" t="s">
        <v>223</v>
      </c>
      <c r="BZ52" s="82" t="str">
        <f t="shared" ref="BZ52:BZ58" si="27">",`"&amp;R52&amp;"`"</f>
        <v>,`PurchaseQuantity`</v>
      </c>
      <c r="CA52" t="s">
        <v>223</v>
      </c>
    </row>
    <row r="53" spans="1:79" ht="15" customHeight="1">
      <c r="A53" s="84" t="s">
        <v>245</v>
      </c>
      <c r="B53" s="23">
        <v>9</v>
      </c>
      <c r="C53" s="24"/>
      <c r="D53" s="22" t="s">
        <v>1209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6"/>
      <c r="R53" s="22" t="s">
        <v>1287</v>
      </c>
      <c r="S53" s="25"/>
      <c r="T53" s="25"/>
      <c r="U53" s="25"/>
      <c r="V53" s="25"/>
      <c r="W53" s="25"/>
      <c r="X53" s="25"/>
      <c r="Y53" s="25"/>
      <c r="Z53" s="25"/>
      <c r="AA53" s="25"/>
      <c r="AB53" s="26"/>
      <c r="AC53" s="257" t="str">
        <f t="shared" si="7"/>
        <v>char(3)</v>
      </c>
      <c r="AD53" s="258"/>
      <c r="AE53" s="258"/>
      <c r="AF53" s="258"/>
      <c r="AG53" s="259"/>
      <c r="AH53" s="22"/>
      <c r="AI53" s="26"/>
      <c r="AJ53" s="22"/>
      <c r="AK53" s="25"/>
      <c r="AL53" s="26"/>
      <c r="AM53" s="22"/>
      <c r="AN53" s="25"/>
      <c r="AO53" s="25"/>
      <c r="AP53" s="25"/>
      <c r="AQ53" s="25"/>
      <c r="AR53" s="25"/>
      <c r="AS53" s="26"/>
      <c r="AT53" s="22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6"/>
      <c r="BK53" s="4"/>
      <c r="BL53" t="str">
        <f t="shared" si="8"/>
        <v>SUBSTRING(`DATA`,183,3) AS '発注入り数',</v>
      </c>
      <c r="BM53">
        <f t="shared" si="9"/>
        <v>183</v>
      </c>
      <c r="BN53">
        <v>3</v>
      </c>
      <c r="BP53" t="str">
        <f t="shared" si="22"/>
        <v>,`OrderQuantity` char(3)  COMMENT '発注入り数'</v>
      </c>
      <c r="BQ53" t="s">
        <v>223</v>
      </c>
      <c r="BR53" t="str">
        <f t="shared" si="23"/>
        <v xml:space="preserve">,`OrderQuantity` char(3) </v>
      </c>
      <c r="BS53" t="s">
        <v>223</v>
      </c>
      <c r="BT53" t="str">
        <f t="shared" si="24"/>
        <v>,`OrderQuantity`</v>
      </c>
      <c r="BU53" t="s">
        <v>223</v>
      </c>
      <c r="BV53" s="82" t="str">
        <f t="shared" si="25"/>
        <v>,A.`OrderQuantity` = B.`OrderQuantity`</v>
      </c>
      <c r="BW53" t="s">
        <v>223</v>
      </c>
      <c r="BX53" s="82" t="str">
        <f t="shared" si="26"/>
        <v>,`OrderQuantity`</v>
      </c>
      <c r="BY53" t="s">
        <v>223</v>
      </c>
      <c r="BZ53" s="82" t="str">
        <f t="shared" si="27"/>
        <v>,`OrderQuantity`</v>
      </c>
      <c r="CA53" t="s">
        <v>223</v>
      </c>
    </row>
    <row r="54" spans="1:79" ht="15" customHeight="1">
      <c r="A54" s="84" t="s">
        <v>246</v>
      </c>
      <c r="B54" s="23">
        <v>9</v>
      </c>
      <c r="C54" s="24"/>
      <c r="D54" s="22" t="s">
        <v>1210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  <c r="R54" s="22" t="s">
        <v>1288</v>
      </c>
      <c r="S54" s="25"/>
      <c r="T54" s="25"/>
      <c r="U54" s="25"/>
      <c r="V54" s="25"/>
      <c r="W54" s="25"/>
      <c r="X54" s="25"/>
      <c r="Y54" s="25"/>
      <c r="Z54" s="25"/>
      <c r="AA54" s="25"/>
      <c r="AB54" s="26"/>
      <c r="AC54" s="257" t="str">
        <f t="shared" si="7"/>
        <v>char(1)</v>
      </c>
      <c r="AD54" s="258"/>
      <c r="AE54" s="258"/>
      <c r="AF54" s="258"/>
      <c r="AG54" s="259"/>
      <c r="AH54" s="22"/>
      <c r="AI54" s="26"/>
      <c r="AJ54" s="22"/>
      <c r="AK54" s="25"/>
      <c r="AL54" s="26"/>
      <c r="AM54" s="22"/>
      <c r="AN54" s="25"/>
      <c r="AO54" s="25"/>
      <c r="AP54" s="25"/>
      <c r="AQ54" s="25"/>
      <c r="AR54" s="25"/>
      <c r="AS54" s="26"/>
      <c r="AT54" s="22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6"/>
      <c r="BK54" s="4"/>
      <c r="BL54" t="str">
        <f t="shared" si="8"/>
        <v>SUBSTRING(`DATA`,186,1) AS '発注単位',</v>
      </c>
      <c r="BM54">
        <f t="shared" si="9"/>
        <v>186</v>
      </c>
      <c r="BN54">
        <v>1</v>
      </c>
      <c r="BP54" t="str">
        <f t="shared" si="22"/>
        <v>,`OrderUnit` char(1)  COMMENT '発注単位'</v>
      </c>
      <c r="BQ54" t="s">
        <v>223</v>
      </c>
      <c r="BR54" t="str">
        <f t="shared" si="23"/>
        <v xml:space="preserve">,`OrderUnit` char(1) </v>
      </c>
      <c r="BS54" t="s">
        <v>223</v>
      </c>
      <c r="BT54" t="str">
        <f t="shared" si="24"/>
        <v>,`OrderUnit`</v>
      </c>
      <c r="BU54" t="s">
        <v>223</v>
      </c>
      <c r="BV54" s="82" t="str">
        <f t="shared" si="25"/>
        <v>,A.`OrderUnit` = B.`OrderUnit`</v>
      </c>
      <c r="BW54" t="s">
        <v>223</v>
      </c>
      <c r="BX54" s="82" t="str">
        <f t="shared" si="26"/>
        <v>,`OrderUnit`</v>
      </c>
      <c r="BY54" t="s">
        <v>223</v>
      </c>
      <c r="BZ54" s="82" t="str">
        <f t="shared" si="27"/>
        <v>,`OrderUnit`</v>
      </c>
      <c r="CA54" t="s">
        <v>223</v>
      </c>
    </row>
    <row r="55" spans="1:79" ht="15" customHeight="1">
      <c r="A55" s="84" t="s">
        <v>247</v>
      </c>
      <c r="B55" s="23">
        <v>9</v>
      </c>
      <c r="C55" s="24"/>
      <c r="D55" s="22" t="s">
        <v>1211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6"/>
      <c r="R55" s="22" t="s">
        <v>1289</v>
      </c>
      <c r="S55" s="25"/>
      <c r="T55" s="25"/>
      <c r="U55" s="25"/>
      <c r="V55" s="25"/>
      <c r="W55" s="25"/>
      <c r="X55" s="25"/>
      <c r="Y55" s="25"/>
      <c r="Z55" s="25"/>
      <c r="AA55" s="25"/>
      <c r="AB55" s="26"/>
      <c r="AC55" s="257" t="str">
        <f t="shared" si="7"/>
        <v>char(1)</v>
      </c>
      <c r="AD55" s="258"/>
      <c r="AE55" s="258"/>
      <c r="AF55" s="258"/>
      <c r="AG55" s="259"/>
      <c r="AH55" s="22"/>
      <c r="AI55" s="26"/>
      <c r="AJ55" s="22"/>
      <c r="AK55" s="25"/>
      <c r="AL55" s="26"/>
      <c r="AM55" s="22"/>
      <c r="AN55" s="25"/>
      <c r="AO55" s="25"/>
      <c r="AP55" s="25"/>
      <c r="AQ55" s="25"/>
      <c r="AR55" s="25"/>
      <c r="AS55" s="26"/>
      <c r="AT55" s="22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6"/>
      <c r="BK55" s="4"/>
      <c r="BL55" t="str">
        <f t="shared" si="8"/>
        <v>SUBSTRING(`DATA`,187,1) AS 'センター識別',</v>
      </c>
      <c r="BM55">
        <f t="shared" si="9"/>
        <v>187</v>
      </c>
      <c r="BN55">
        <v>1</v>
      </c>
      <c r="BP55" t="str">
        <f t="shared" si="22"/>
        <v>,`CenterIdentification` char(1)  COMMENT 'センター識別'</v>
      </c>
      <c r="BQ55" t="s">
        <v>223</v>
      </c>
      <c r="BR55" t="str">
        <f t="shared" si="23"/>
        <v xml:space="preserve">,`CenterIdentification` char(1) </v>
      </c>
      <c r="BS55" t="s">
        <v>223</v>
      </c>
      <c r="BT55" t="str">
        <f t="shared" si="24"/>
        <v>,`CenterIdentification`</v>
      </c>
      <c r="BU55" t="s">
        <v>223</v>
      </c>
      <c r="BV55" s="82" t="str">
        <f t="shared" si="25"/>
        <v>,A.`CenterIdentification` = B.`CenterIdentification`</v>
      </c>
      <c r="BW55" t="s">
        <v>223</v>
      </c>
      <c r="BX55" s="82" t="str">
        <f t="shared" si="26"/>
        <v>,`CenterIdentification`</v>
      </c>
      <c r="BY55" t="s">
        <v>223</v>
      </c>
      <c r="BZ55" s="82" t="str">
        <f t="shared" si="27"/>
        <v>,`CenterIdentification`</v>
      </c>
      <c r="CA55" t="s">
        <v>223</v>
      </c>
    </row>
    <row r="56" spans="1:79" ht="15" customHeight="1">
      <c r="A56" s="84" t="s">
        <v>248</v>
      </c>
      <c r="B56" s="23">
        <v>9</v>
      </c>
      <c r="C56" s="24"/>
      <c r="D56" s="22" t="s">
        <v>1212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6"/>
      <c r="R56" s="22" t="s">
        <v>1290</v>
      </c>
      <c r="S56" s="25"/>
      <c r="T56" s="25"/>
      <c r="U56" s="25"/>
      <c r="V56" s="25"/>
      <c r="W56" s="25"/>
      <c r="X56" s="25"/>
      <c r="Y56" s="25"/>
      <c r="Z56" s="25"/>
      <c r="AA56" s="25"/>
      <c r="AB56" s="26"/>
      <c r="AC56" s="257" t="str">
        <f t="shared" si="7"/>
        <v>char(4)</v>
      </c>
      <c r="AD56" s="258"/>
      <c r="AE56" s="258"/>
      <c r="AF56" s="258"/>
      <c r="AG56" s="259"/>
      <c r="AH56" s="22"/>
      <c r="AI56" s="26"/>
      <c r="AJ56" s="22"/>
      <c r="AK56" s="25"/>
      <c r="AL56" s="26"/>
      <c r="AM56" s="22"/>
      <c r="AN56" s="25"/>
      <c r="AO56" s="25"/>
      <c r="AP56" s="25"/>
      <c r="AQ56" s="25"/>
      <c r="AR56" s="25"/>
      <c r="AS56" s="26"/>
      <c r="AT56" s="22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6"/>
      <c r="BK56" s="4"/>
      <c r="BL56" t="str">
        <f t="shared" si="8"/>
        <v>SUBSTRING(`DATA`,188,4) AS 'センターコード',</v>
      </c>
      <c r="BM56">
        <f t="shared" si="9"/>
        <v>188</v>
      </c>
      <c r="BN56">
        <v>4</v>
      </c>
      <c r="BP56" t="str">
        <f t="shared" si="22"/>
        <v>,`CenterCord` char(4)  COMMENT 'センターコード'</v>
      </c>
      <c r="BQ56" t="s">
        <v>223</v>
      </c>
      <c r="BR56" t="str">
        <f t="shared" si="23"/>
        <v xml:space="preserve">,`CenterCord` char(4) </v>
      </c>
      <c r="BS56" t="s">
        <v>223</v>
      </c>
      <c r="BT56" t="str">
        <f t="shared" si="24"/>
        <v>,`CenterCord`</v>
      </c>
      <c r="BU56" t="s">
        <v>223</v>
      </c>
      <c r="BV56" s="82" t="str">
        <f t="shared" si="25"/>
        <v>,A.`CenterCord` = B.`CenterCord`</v>
      </c>
      <c r="BW56" t="s">
        <v>223</v>
      </c>
      <c r="BX56" s="82" t="str">
        <f t="shared" si="26"/>
        <v>,`CenterCord`</v>
      </c>
      <c r="BY56" t="s">
        <v>223</v>
      </c>
      <c r="BZ56" s="82" t="str">
        <f t="shared" si="27"/>
        <v>,`CenterCord`</v>
      </c>
      <c r="CA56" t="s">
        <v>223</v>
      </c>
    </row>
    <row r="57" spans="1:79" ht="15" customHeight="1">
      <c r="A57" s="84" t="s">
        <v>525</v>
      </c>
      <c r="B57" s="23">
        <v>9</v>
      </c>
      <c r="C57" s="24"/>
      <c r="D57" s="22" t="s">
        <v>1213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6"/>
      <c r="R57" s="22" t="s">
        <v>1291</v>
      </c>
      <c r="S57" s="25"/>
      <c r="T57" s="25"/>
      <c r="U57" s="25"/>
      <c r="V57" s="25"/>
      <c r="W57" s="25"/>
      <c r="X57" s="25"/>
      <c r="Y57" s="25"/>
      <c r="Z57" s="25"/>
      <c r="AA57" s="25"/>
      <c r="AB57" s="26"/>
      <c r="AC57" s="257" t="str">
        <f t="shared" si="7"/>
        <v>char(7)</v>
      </c>
      <c r="AD57" s="258"/>
      <c r="AE57" s="258"/>
      <c r="AF57" s="258"/>
      <c r="AG57" s="259"/>
      <c r="AH57" s="22"/>
      <c r="AI57" s="26"/>
      <c r="AJ57" s="22"/>
      <c r="AK57" s="25"/>
      <c r="AL57" s="26"/>
      <c r="AM57" s="22"/>
      <c r="AN57" s="25"/>
      <c r="AO57" s="25"/>
      <c r="AP57" s="25"/>
      <c r="AQ57" s="25"/>
      <c r="AR57" s="25"/>
      <c r="AS57" s="26"/>
      <c r="AT57" s="22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6"/>
      <c r="BK57" s="4"/>
      <c r="BL57" t="str">
        <f t="shared" si="8"/>
        <v>SUBSTRING(`DATA`,192,7) AS '売価',</v>
      </c>
      <c r="BM57">
        <f t="shared" si="9"/>
        <v>192</v>
      </c>
      <c r="BN57">
        <v>7</v>
      </c>
      <c r="BP57" t="str">
        <f t="shared" si="22"/>
        <v>,`SellingPrice` char(7)  COMMENT '売価'</v>
      </c>
      <c r="BQ57" t="s">
        <v>223</v>
      </c>
      <c r="BR57" t="str">
        <f t="shared" si="23"/>
        <v xml:space="preserve">,`SellingPrice` char(7) </v>
      </c>
      <c r="BS57" t="s">
        <v>223</v>
      </c>
      <c r="BT57" t="str">
        <f t="shared" si="24"/>
        <v>,`SellingPrice`</v>
      </c>
      <c r="BU57" t="s">
        <v>223</v>
      </c>
      <c r="BV57" s="82" t="str">
        <f t="shared" si="25"/>
        <v>,A.`SellingPrice` = B.`SellingPrice`</v>
      </c>
      <c r="BW57" t="s">
        <v>223</v>
      </c>
      <c r="BX57" s="82" t="str">
        <f t="shared" si="26"/>
        <v>,`SellingPrice`</v>
      </c>
      <c r="BY57" t="s">
        <v>223</v>
      </c>
      <c r="BZ57" s="82" t="str">
        <f t="shared" si="27"/>
        <v>,`SellingPrice`</v>
      </c>
      <c r="CA57" t="s">
        <v>223</v>
      </c>
    </row>
    <row r="58" spans="1:79" ht="15" customHeight="1">
      <c r="A58" s="84" t="s">
        <v>526</v>
      </c>
      <c r="B58" s="23">
        <v>9</v>
      </c>
      <c r="C58" s="24"/>
      <c r="D58" s="22" t="s">
        <v>1214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  <c r="R58" s="22" t="s">
        <v>1292</v>
      </c>
      <c r="S58" s="25"/>
      <c r="T58" s="25"/>
      <c r="U58" s="25"/>
      <c r="V58" s="25"/>
      <c r="W58" s="25"/>
      <c r="X58" s="25"/>
      <c r="Y58" s="25"/>
      <c r="Z58" s="25"/>
      <c r="AA58" s="25"/>
      <c r="AB58" s="26"/>
      <c r="AC58" s="257" t="str">
        <f t="shared" si="7"/>
        <v>char(9)</v>
      </c>
      <c r="AD58" s="258"/>
      <c r="AE58" s="258"/>
      <c r="AF58" s="258"/>
      <c r="AG58" s="259"/>
      <c r="AH58" s="22"/>
      <c r="AI58" s="26"/>
      <c r="AJ58" s="22"/>
      <c r="AK58" s="25"/>
      <c r="AL58" s="26"/>
      <c r="AM58" s="22"/>
      <c r="AN58" s="25"/>
      <c r="AO58" s="25"/>
      <c r="AP58" s="25"/>
      <c r="AQ58" s="25"/>
      <c r="AR58" s="25"/>
      <c r="AS58" s="26"/>
      <c r="AT58" s="22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6"/>
      <c r="BK58" s="4"/>
      <c r="BL58" t="str">
        <f t="shared" si="8"/>
        <v>SUBSTRING(`DATA`,199,9) AS '原価',</v>
      </c>
      <c r="BM58">
        <f t="shared" si="9"/>
        <v>199</v>
      </c>
      <c r="BN58">
        <v>9</v>
      </c>
      <c r="BP58" t="str">
        <f t="shared" si="22"/>
        <v>,`CostPrice` char(9)  COMMENT '原価'</v>
      </c>
      <c r="BQ58" t="s">
        <v>223</v>
      </c>
      <c r="BR58" t="str">
        <f t="shared" si="23"/>
        <v xml:space="preserve">,`CostPrice` char(9) </v>
      </c>
      <c r="BS58" t="s">
        <v>223</v>
      </c>
      <c r="BT58" t="str">
        <f t="shared" si="24"/>
        <v>,`CostPrice`</v>
      </c>
      <c r="BU58" t="s">
        <v>223</v>
      </c>
      <c r="BV58" s="82" t="str">
        <f t="shared" si="25"/>
        <v>,A.`CostPrice` = B.`CostPrice`</v>
      </c>
      <c r="BW58" t="s">
        <v>223</v>
      </c>
      <c r="BX58" s="82" t="str">
        <f t="shared" si="26"/>
        <v>,`CostPrice`</v>
      </c>
      <c r="BY58" t="s">
        <v>223</v>
      </c>
      <c r="BZ58" s="82" t="str">
        <f t="shared" si="27"/>
        <v>,`CostPrice`</v>
      </c>
      <c r="CA58" t="s">
        <v>223</v>
      </c>
    </row>
    <row r="59" spans="1:79" ht="15" customHeight="1">
      <c r="A59" s="84" t="s">
        <v>242</v>
      </c>
      <c r="B59" s="61">
        <v>7</v>
      </c>
      <c r="C59" s="62"/>
      <c r="D59" s="21" t="s">
        <v>1215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4"/>
      <c r="R59" s="21" t="s">
        <v>1293</v>
      </c>
      <c r="S59" s="63"/>
      <c r="T59" s="63"/>
      <c r="U59" s="63"/>
      <c r="V59" s="63"/>
      <c r="W59" s="63"/>
      <c r="X59" s="63"/>
      <c r="Y59" s="63"/>
      <c r="Z59" s="63"/>
      <c r="AA59" s="63"/>
      <c r="AB59" s="64"/>
      <c r="AC59" s="254" t="str">
        <f t="shared" si="7"/>
        <v>char(1)</v>
      </c>
      <c r="AD59" s="255"/>
      <c r="AE59" s="255"/>
      <c r="AF59" s="255"/>
      <c r="AG59" s="256"/>
      <c r="AH59" s="21"/>
      <c r="AI59" s="64"/>
      <c r="AJ59" s="21"/>
      <c r="AK59" s="63"/>
      <c r="AL59" s="64"/>
      <c r="AM59" s="21"/>
      <c r="AN59" s="63"/>
      <c r="AO59" s="63"/>
      <c r="AP59" s="63"/>
      <c r="AQ59" s="63"/>
      <c r="AR59" s="63"/>
      <c r="AS59" s="64"/>
      <c r="AT59" s="21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4"/>
      <c r="BK59" s="4"/>
      <c r="BL59" t="str">
        <f t="shared" si="8"/>
        <v>SUBSTRING(`DATA`,208,1) AS 'ロギングフラグ',</v>
      </c>
      <c r="BM59">
        <f t="shared" si="9"/>
        <v>208</v>
      </c>
      <c r="BN59">
        <v>1</v>
      </c>
      <c r="BP59" t="str">
        <f>",`"&amp;R59&amp;"` "&amp;AC59&amp;" "&amp;IF(AJ59="Y","NOT NULL","")&amp;" COMMENT '"&amp;D59&amp;"'"</f>
        <v>,`loggingFlag` char(1)  COMMENT 'ロギングフラグ'</v>
      </c>
      <c r="BQ59" t="s">
        <v>223</v>
      </c>
      <c r="BR59" s="82" t="str">
        <f>"`"&amp;R59&amp;"` "&amp;AC59&amp;" "&amp;IF(AJ59="Y","NOT NULL","")</f>
        <v xml:space="preserve">`loggingFlag` char(1) </v>
      </c>
      <c r="BS59" t="s">
        <v>223</v>
      </c>
      <c r="BT59" s="82" t="str">
        <f>"`"&amp;R59&amp;"`"</f>
        <v>`loggingFlag`</v>
      </c>
      <c r="BU59" t="s">
        <v>223</v>
      </c>
      <c r="BV59" s="82" t="str">
        <f>"A.`"&amp;R59&amp;"` = B.`"&amp;R59&amp;"`"</f>
        <v>A.`loggingFlag` = B.`loggingFlag`</v>
      </c>
      <c r="BW59" t="s">
        <v>223</v>
      </c>
      <c r="BX59" s="82" t="str">
        <f>"`"&amp;R59&amp;"`"</f>
        <v>`loggingFlag`</v>
      </c>
      <c r="BY59" t="s">
        <v>223</v>
      </c>
      <c r="BZ59" s="82" t="str">
        <f>"`"&amp;R59&amp;"`"</f>
        <v>`loggingFlag`</v>
      </c>
      <c r="CA59" t="s">
        <v>223</v>
      </c>
    </row>
    <row r="60" spans="1:79" ht="15" customHeight="1">
      <c r="A60" s="84" t="s">
        <v>244</v>
      </c>
      <c r="B60" s="23">
        <v>9</v>
      </c>
      <c r="C60" s="24"/>
      <c r="D60" s="22" t="s">
        <v>1216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6"/>
      <c r="R60" s="22" t="s">
        <v>1294</v>
      </c>
      <c r="S60" s="25"/>
      <c r="T60" s="25"/>
      <c r="U60" s="25"/>
      <c r="V60" s="25"/>
      <c r="W60" s="25"/>
      <c r="X60" s="25"/>
      <c r="Y60" s="25"/>
      <c r="Z60" s="25"/>
      <c r="AA60" s="25"/>
      <c r="AB60" s="26"/>
      <c r="AC60" s="254" t="str">
        <f t="shared" si="7"/>
        <v>char(1)</v>
      </c>
      <c r="AD60" s="255"/>
      <c r="AE60" s="255"/>
      <c r="AF60" s="255"/>
      <c r="AG60" s="256"/>
      <c r="AH60" s="22"/>
      <c r="AI60" s="26"/>
      <c r="AJ60" s="22"/>
      <c r="AK60" s="25"/>
      <c r="AL60" s="26"/>
      <c r="AM60" s="22"/>
      <c r="AN60" s="25"/>
      <c r="AO60" s="25"/>
      <c r="AP60" s="25"/>
      <c r="AQ60" s="25"/>
      <c r="AR60" s="25"/>
      <c r="AS60" s="26"/>
      <c r="AT60" s="22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6"/>
      <c r="BK60" s="4"/>
      <c r="BL60" t="str">
        <f t="shared" si="8"/>
        <v>SUBSTRING(`DATA`,209,1) AS '価格確認フラグ',</v>
      </c>
      <c r="BM60">
        <f t="shared" si="9"/>
        <v>209</v>
      </c>
      <c r="BN60">
        <v>1</v>
      </c>
      <c r="BP60" t="str">
        <f t="shared" ref="BP60:BP66" si="28">",`"&amp;R60&amp;"` "&amp;AC60&amp;" "&amp;IF(AJ60="Y","NOT NULL","")&amp;" COMMENT '"&amp;D60&amp;"'"</f>
        <v>,`PriceConfirmationFlag` char(1)  COMMENT '価格確認フラグ'</v>
      </c>
      <c r="BQ60" t="s">
        <v>223</v>
      </c>
      <c r="BR60" t="str">
        <f t="shared" ref="BR60:BR66" si="29">",`"&amp;R60&amp;"` "&amp;AC60&amp;" "&amp;IF(AJ60="Y","NOT NULL","")</f>
        <v xml:space="preserve">,`PriceConfirmationFlag` char(1) </v>
      </c>
      <c r="BS60" t="s">
        <v>223</v>
      </c>
      <c r="BT60" t="str">
        <f t="shared" ref="BT60:BT66" si="30">",`"&amp;R60&amp;"`"</f>
        <v>,`PriceConfirmationFlag`</v>
      </c>
      <c r="BU60" t="s">
        <v>223</v>
      </c>
      <c r="BV60" s="82" t="str">
        <f t="shared" ref="BV60:BV66" si="31">",A.`"&amp;R60&amp;"` = B.`"&amp;R60&amp;"`"</f>
        <v>,A.`PriceConfirmationFlag` = B.`PriceConfirmationFlag`</v>
      </c>
      <c r="BW60" t="s">
        <v>223</v>
      </c>
      <c r="BX60" s="82" t="str">
        <f t="shared" ref="BX60:BX66" si="32">",`"&amp;R60&amp;"`"</f>
        <v>,`PriceConfirmationFlag`</v>
      </c>
      <c r="BY60" t="s">
        <v>223</v>
      </c>
      <c r="BZ60" s="82" t="str">
        <f t="shared" ref="BZ60:BZ66" si="33">",`"&amp;R60&amp;"`"</f>
        <v>,`PriceConfirmationFlag`</v>
      </c>
      <c r="CA60" t="s">
        <v>223</v>
      </c>
    </row>
    <row r="61" spans="1:79" ht="15" customHeight="1">
      <c r="A61" s="84" t="s">
        <v>245</v>
      </c>
      <c r="B61" s="23">
        <v>9</v>
      </c>
      <c r="C61" s="24"/>
      <c r="D61" s="22" t="s">
        <v>1217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6"/>
      <c r="R61" s="22" t="s">
        <v>1295</v>
      </c>
      <c r="S61" s="25"/>
      <c r="T61" s="25"/>
      <c r="U61" s="25"/>
      <c r="V61" s="25"/>
      <c r="W61" s="25"/>
      <c r="X61" s="25"/>
      <c r="Y61" s="25"/>
      <c r="Z61" s="25"/>
      <c r="AA61" s="25"/>
      <c r="AB61" s="26"/>
      <c r="AC61" s="254" t="str">
        <f t="shared" si="7"/>
        <v>char(1)</v>
      </c>
      <c r="AD61" s="255"/>
      <c r="AE61" s="255"/>
      <c r="AF61" s="255"/>
      <c r="AG61" s="256"/>
      <c r="AH61" s="22"/>
      <c r="AI61" s="26"/>
      <c r="AJ61" s="22"/>
      <c r="AK61" s="25"/>
      <c r="AL61" s="26"/>
      <c r="AM61" s="22"/>
      <c r="AN61" s="25"/>
      <c r="AO61" s="25"/>
      <c r="AP61" s="25"/>
      <c r="AQ61" s="25"/>
      <c r="AR61" s="25"/>
      <c r="AS61" s="26"/>
      <c r="AT61" s="22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6"/>
      <c r="BK61" s="4"/>
      <c r="BL61" t="str">
        <f t="shared" si="8"/>
        <v>SUBSTRING(`DATA`,210,1) AS '価格入力フラグ',</v>
      </c>
      <c r="BM61">
        <f t="shared" si="9"/>
        <v>210</v>
      </c>
      <c r="BN61">
        <v>1</v>
      </c>
      <c r="BP61" t="str">
        <f t="shared" si="28"/>
        <v>,`PriceInputFlag` char(1)  COMMENT '価格入力フラグ'</v>
      </c>
      <c r="BQ61" t="s">
        <v>223</v>
      </c>
      <c r="BR61" t="str">
        <f t="shared" si="29"/>
        <v xml:space="preserve">,`PriceInputFlag` char(1) </v>
      </c>
      <c r="BS61" t="s">
        <v>223</v>
      </c>
      <c r="BT61" t="str">
        <f t="shared" si="30"/>
        <v>,`PriceInputFlag`</v>
      </c>
      <c r="BU61" t="s">
        <v>223</v>
      </c>
      <c r="BV61" s="82" t="str">
        <f t="shared" si="31"/>
        <v>,A.`PriceInputFlag` = B.`PriceInputFlag`</v>
      </c>
      <c r="BW61" t="s">
        <v>223</v>
      </c>
      <c r="BX61" s="82" t="str">
        <f t="shared" si="32"/>
        <v>,`PriceInputFlag`</v>
      </c>
      <c r="BY61" t="s">
        <v>223</v>
      </c>
      <c r="BZ61" s="82" t="str">
        <f t="shared" si="33"/>
        <v>,`PriceInputFlag`</v>
      </c>
      <c r="CA61" t="s">
        <v>223</v>
      </c>
    </row>
    <row r="62" spans="1:79" ht="15" customHeight="1">
      <c r="A62" s="84" t="s">
        <v>246</v>
      </c>
      <c r="B62" s="23">
        <v>9</v>
      </c>
      <c r="C62" s="24"/>
      <c r="D62" s="22" t="s">
        <v>1218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6"/>
      <c r="R62" s="22" t="s">
        <v>1296</v>
      </c>
      <c r="S62" s="25"/>
      <c r="T62" s="25"/>
      <c r="U62" s="25"/>
      <c r="V62" s="25"/>
      <c r="W62" s="25"/>
      <c r="X62" s="25"/>
      <c r="Y62" s="25"/>
      <c r="Z62" s="25"/>
      <c r="AA62" s="25"/>
      <c r="AB62" s="26"/>
      <c r="AC62" s="254" t="str">
        <f t="shared" si="7"/>
        <v>char(1)</v>
      </c>
      <c r="AD62" s="255"/>
      <c r="AE62" s="255"/>
      <c r="AF62" s="255"/>
      <c r="AG62" s="256"/>
      <c r="AH62" s="22"/>
      <c r="AI62" s="26"/>
      <c r="AJ62" s="22"/>
      <c r="AK62" s="25"/>
      <c r="AL62" s="26"/>
      <c r="AM62" s="22"/>
      <c r="AN62" s="25"/>
      <c r="AO62" s="25"/>
      <c r="AP62" s="25"/>
      <c r="AQ62" s="25"/>
      <c r="AR62" s="25"/>
      <c r="AS62" s="26"/>
      <c r="AT62" s="22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6"/>
      <c r="BK62" s="4"/>
      <c r="BL62" t="str">
        <f t="shared" si="8"/>
        <v>SUBSTRING(`DATA`,211,1) AS '重量入力フラグ',</v>
      </c>
      <c r="BM62">
        <f t="shared" si="9"/>
        <v>211</v>
      </c>
      <c r="BN62">
        <v>1</v>
      </c>
      <c r="BP62" t="str">
        <f t="shared" si="28"/>
        <v>,`WeightInputFlag` char(1)  COMMENT '重量入力フラグ'</v>
      </c>
      <c r="BQ62" t="s">
        <v>223</v>
      </c>
      <c r="BR62" t="str">
        <f t="shared" si="29"/>
        <v xml:space="preserve">,`WeightInputFlag` char(1) </v>
      </c>
      <c r="BS62" t="s">
        <v>223</v>
      </c>
      <c r="BT62" t="str">
        <f t="shared" si="30"/>
        <v>,`WeightInputFlag`</v>
      </c>
      <c r="BU62" t="s">
        <v>223</v>
      </c>
      <c r="BV62" s="82" t="str">
        <f t="shared" si="31"/>
        <v>,A.`WeightInputFlag` = B.`WeightInputFlag`</v>
      </c>
      <c r="BW62" t="s">
        <v>223</v>
      </c>
      <c r="BX62" s="82" t="str">
        <f t="shared" si="32"/>
        <v>,`WeightInputFlag`</v>
      </c>
      <c r="BY62" t="s">
        <v>223</v>
      </c>
      <c r="BZ62" s="82" t="str">
        <f t="shared" si="33"/>
        <v>,`WeightInputFlag`</v>
      </c>
      <c r="CA62" t="s">
        <v>223</v>
      </c>
    </row>
    <row r="63" spans="1:79" ht="15" customHeight="1">
      <c r="A63" s="84" t="s">
        <v>247</v>
      </c>
      <c r="B63" s="23">
        <v>9</v>
      </c>
      <c r="C63" s="24"/>
      <c r="D63" s="22" t="s">
        <v>1219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  <c r="R63" s="22" t="s">
        <v>1297</v>
      </c>
      <c r="S63" s="25"/>
      <c r="T63" s="25"/>
      <c r="U63" s="25"/>
      <c r="V63" s="25"/>
      <c r="W63" s="25"/>
      <c r="X63" s="25"/>
      <c r="Y63" s="25"/>
      <c r="Z63" s="25"/>
      <c r="AA63" s="25"/>
      <c r="AB63" s="26"/>
      <c r="AC63" s="254" t="str">
        <f t="shared" si="7"/>
        <v>char(1)</v>
      </c>
      <c r="AD63" s="255"/>
      <c r="AE63" s="255"/>
      <c r="AF63" s="255"/>
      <c r="AG63" s="256"/>
      <c r="AH63" s="22"/>
      <c r="AI63" s="26"/>
      <c r="AJ63" s="22"/>
      <c r="AK63" s="25"/>
      <c r="AL63" s="26"/>
      <c r="AM63" s="22"/>
      <c r="AN63" s="25"/>
      <c r="AO63" s="25"/>
      <c r="AP63" s="25"/>
      <c r="AQ63" s="25"/>
      <c r="AR63" s="25"/>
      <c r="AS63" s="26"/>
      <c r="AT63" s="22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6"/>
      <c r="BK63" s="4"/>
      <c r="BL63" t="str">
        <f t="shared" si="8"/>
        <v>SUBSTRING(`DATA`,212,1) AS '販売可否フラグ',</v>
      </c>
      <c r="BM63">
        <f t="shared" si="9"/>
        <v>212</v>
      </c>
      <c r="BN63">
        <v>1</v>
      </c>
      <c r="BP63" t="str">
        <f t="shared" si="28"/>
        <v>,`SalesAvailabilityFlag` char(1)  COMMENT '販売可否フラグ'</v>
      </c>
      <c r="BQ63" t="s">
        <v>223</v>
      </c>
      <c r="BR63" t="str">
        <f t="shared" si="29"/>
        <v xml:space="preserve">,`SalesAvailabilityFlag` char(1) </v>
      </c>
      <c r="BS63" t="s">
        <v>223</v>
      </c>
      <c r="BT63" t="str">
        <f t="shared" si="30"/>
        <v>,`SalesAvailabilityFlag`</v>
      </c>
      <c r="BU63" t="s">
        <v>223</v>
      </c>
      <c r="BV63" s="82" t="str">
        <f t="shared" si="31"/>
        <v>,A.`SalesAvailabilityFlag` = B.`SalesAvailabilityFlag`</v>
      </c>
      <c r="BW63" t="s">
        <v>223</v>
      </c>
      <c r="BX63" s="82" t="str">
        <f t="shared" si="32"/>
        <v>,`SalesAvailabilityFlag`</v>
      </c>
      <c r="BY63" t="s">
        <v>223</v>
      </c>
      <c r="BZ63" s="82" t="str">
        <f t="shared" si="33"/>
        <v>,`SalesAvailabilityFlag`</v>
      </c>
      <c r="CA63" t="s">
        <v>223</v>
      </c>
    </row>
    <row r="64" spans="1:79" ht="15" customHeight="1">
      <c r="A64" s="84" t="s">
        <v>248</v>
      </c>
      <c r="B64" s="23">
        <v>9</v>
      </c>
      <c r="C64" s="24"/>
      <c r="D64" s="22" t="s">
        <v>1220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  <c r="R64" s="22" t="s">
        <v>1298</v>
      </c>
      <c r="S64" s="25"/>
      <c r="T64" s="25"/>
      <c r="U64" s="25"/>
      <c r="V64" s="25"/>
      <c r="W64" s="25"/>
      <c r="X64" s="25"/>
      <c r="Y64" s="25"/>
      <c r="Z64" s="25"/>
      <c r="AA64" s="25"/>
      <c r="AB64" s="26"/>
      <c r="AC64" s="254" t="str">
        <f t="shared" si="7"/>
        <v>char(1)</v>
      </c>
      <c r="AD64" s="255"/>
      <c r="AE64" s="255"/>
      <c r="AF64" s="255"/>
      <c r="AG64" s="256"/>
      <c r="AH64" s="22"/>
      <c r="AI64" s="26"/>
      <c r="AJ64" s="22"/>
      <c r="AK64" s="25"/>
      <c r="AL64" s="26"/>
      <c r="AM64" s="22"/>
      <c r="AN64" s="25"/>
      <c r="AO64" s="25"/>
      <c r="AP64" s="25"/>
      <c r="AQ64" s="25"/>
      <c r="AR64" s="25"/>
      <c r="AS64" s="26"/>
      <c r="AT64" s="22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6"/>
      <c r="BK64" s="4"/>
      <c r="BL64" t="str">
        <f t="shared" si="8"/>
        <v>SUBSTRING(`DATA`,213,1) AS '社員割引フラグ',</v>
      </c>
      <c r="BM64">
        <f t="shared" si="9"/>
        <v>213</v>
      </c>
      <c r="BN64">
        <v>1</v>
      </c>
      <c r="BP64" t="str">
        <f t="shared" si="28"/>
        <v>,`EmployeeDiscountFlag` char(1)  COMMENT '社員割引フラグ'</v>
      </c>
      <c r="BQ64" t="s">
        <v>223</v>
      </c>
      <c r="BR64" t="str">
        <f t="shared" si="29"/>
        <v xml:space="preserve">,`EmployeeDiscountFlag` char(1) </v>
      </c>
      <c r="BS64" t="s">
        <v>223</v>
      </c>
      <c r="BT64" t="str">
        <f t="shared" si="30"/>
        <v>,`EmployeeDiscountFlag`</v>
      </c>
      <c r="BU64" t="s">
        <v>223</v>
      </c>
      <c r="BV64" s="82" t="str">
        <f t="shared" si="31"/>
        <v>,A.`EmployeeDiscountFlag` = B.`EmployeeDiscountFlag`</v>
      </c>
      <c r="BW64" t="s">
        <v>223</v>
      </c>
      <c r="BX64" s="82" t="str">
        <f t="shared" si="32"/>
        <v>,`EmployeeDiscountFlag`</v>
      </c>
      <c r="BY64" t="s">
        <v>223</v>
      </c>
      <c r="BZ64" s="82" t="str">
        <f t="shared" si="33"/>
        <v>,`EmployeeDiscountFlag`</v>
      </c>
      <c r="CA64" t="s">
        <v>223</v>
      </c>
    </row>
    <row r="65" spans="1:79" ht="15" customHeight="1">
      <c r="A65" s="84" t="s">
        <v>525</v>
      </c>
      <c r="B65" s="23">
        <v>9</v>
      </c>
      <c r="C65" s="24"/>
      <c r="D65" s="22" t="s">
        <v>1221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  <c r="R65" s="22" t="s">
        <v>1299</v>
      </c>
      <c r="S65" s="25"/>
      <c r="T65" s="25"/>
      <c r="U65" s="25"/>
      <c r="V65" s="25"/>
      <c r="W65" s="25"/>
      <c r="X65" s="25"/>
      <c r="Y65" s="25"/>
      <c r="Z65" s="25"/>
      <c r="AA65" s="25"/>
      <c r="AB65" s="26"/>
      <c r="AC65" s="254" t="str">
        <f t="shared" si="7"/>
        <v>char(1)</v>
      </c>
      <c r="AD65" s="255"/>
      <c r="AE65" s="255"/>
      <c r="AF65" s="255"/>
      <c r="AG65" s="256"/>
      <c r="AH65" s="22"/>
      <c r="AI65" s="26"/>
      <c r="AJ65" s="22"/>
      <c r="AK65" s="25"/>
      <c r="AL65" s="26"/>
      <c r="AM65" s="22"/>
      <c r="AN65" s="25"/>
      <c r="AO65" s="25"/>
      <c r="AP65" s="25"/>
      <c r="AQ65" s="25"/>
      <c r="AR65" s="25"/>
      <c r="AS65" s="26"/>
      <c r="AT65" s="22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6"/>
      <c r="BK65" s="4"/>
      <c r="BL65" t="str">
        <f t="shared" si="8"/>
        <v>SUBSTRING(`DATA`,214,1) AS '会員割引フラグ',</v>
      </c>
      <c r="BM65">
        <f t="shared" si="9"/>
        <v>214</v>
      </c>
      <c r="BN65">
        <v>1</v>
      </c>
      <c r="BP65" t="str">
        <f t="shared" si="28"/>
        <v>,`MemberDiscountFlag` char(1)  COMMENT '会員割引フラグ'</v>
      </c>
      <c r="BQ65" t="s">
        <v>223</v>
      </c>
      <c r="BR65" t="str">
        <f t="shared" si="29"/>
        <v xml:space="preserve">,`MemberDiscountFlag` char(1) </v>
      </c>
      <c r="BS65" t="s">
        <v>223</v>
      </c>
      <c r="BT65" t="str">
        <f t="shared" si="30"/>
        <v>,`MemberDiscountFlag`</v>
      </c>
      <c r="BU65" t="s">
        <v>223</v>
      </c>
      <c r="BV65" s="82" t="str">
        <f t="shared" si="31"/>
        <v>,A.`MemberDiscountFlag` = B.`MemberDiscountFlag`</v>
      </c>
      <c r="BW65" t="s">
        <v>223</v>
      </c>
      <c r="BX65" s="82" t="str">
        <f t="shared" si="32"/>
        <v>,`MemberDiscountFlag`</v>
      </c>
      <c r="BY65" t="s">
        <v>223</v>
      </c>
      <c r="BZ65" s="82" t="str">
        <f t="shared" si="33"/>
        <v>,`MemberDiscountFlag`</v>
      </c>
      <c r="CA65" t="s">
        <v>223</v>
      </c>
    </row>
    <row r="66" spans="1:79" ht="15" customHeight="1">
      <c r="A66" s="84" t="s">
        <v>526</v>
      </c>
      <c r="B66" s="23">
        <v>9</v>
      </c>
      <c r="C66" s="24"/>
      <c r="D66" s="22" t="s">
        <v>1222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  <c r="R66" s="22" t="s">
        <v>1300</v>
      </c>
      <c r="S66" s="25"/>
      <c r="T66" s="25"/>
      <c r="U66" s="25"/>
      <c r="V66" s="25"/>
      <c r="W66" s="25"/>
      <c r="X66" s="25"/>
      <c r="Y66" s="25"/>
      <c r="Z66" s="25"/>
      <c r="AA66" s="25"/>
      <c r="AB66" s="26"/>
      <c r="AC66" s="254" t="str">
        <f t="shared" si="7"/>
        <v>char(1)</v>
      </c>
      <c r="AD66" s="255"/>
      <c r="AE66" s="255"/>
      <c r="AF66" s="255"/>
      <c r="AG66" s="256"/>
      <c r="AH66" s="22"/>
      <c r="AI66" s="26"/>
      <c r="AJ66" s="22"/>
      <c r="AK66" s="25"/>
      <c r="AL66" s="26"/>
      <c r="AM66" s="22"/>
      <c r="AN66" s="25"/>
      <c r="AO66" s="25"/>
      <c r="AP66" s="25"/>
      <c r="AQ66" s="25"/>
      <c r="AR66" s="25"/>
      <c r="AS66" s="26"/>
      <c r="AT66" s="22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6"/>
      <c r="BK66" s="4"/>
      <c r="BL66" t="str">
        <f t="shared" si="8"/>
        <v>SUBSTRING(`DATA`,215,1) AS '自動アイテムフラグ',</v>
      </c>
      <c r="BM66">
        <f t="shared" si="9"/>
        <v>215</v>
      </c>
      <c r="BN66">
        <v>1</v>
      </c>
      <c r="BP66" t="str">
        <f t="shared" si="28"/>
        <v>,`AutomaticItemFlag` char(1)  COMMENT '自動アイテムフラグ'</v>
      </c>
      <c r="BQ66" t="s">
        <v>223</v>
      </c>
      <c r="BR66" t="str">
        <f t="shared" si="29"/>
        <v xml:space="preserve">,`AutomaticItemFlag` char(1) </v>
      </c>
      <c r="BS66" t="s">
        <v>223</v>
      </c>
      <c r="BT66" t="str">
        <f t="shared" si="30"/>
        <v>,`AutomaticItemFlag`</v>
      </c>
      <c r="BU66" t="s">
        <v>223</v>
      </c>
      <c r="BV66" s="82" t="str">
        <f t="shared" si="31"/>
        <v>,A.`AutomaticItemFlag` = B.`AutomaticItemFlag`</v>
      </c>
      <c r="BW66" t="s">
        <v>223</v>
      </c>
      <c r="BX66" s="82" t="str">
        <f t="shared" si="32"/>
        <v>,`AutomaticItemFlag`</v>
      </c>
      <c r="BY66" t="s">
        <v>223</v>
      </c>
      <c r="BZ66" s="82" t="str">
        <f t="shared" si="33"/>
        <v>,`AutomaticItemFlag`</v>
      </c>
      <c r="CA66" t="s">
        <v>223</v>
      </c>
    </row>
    <row r="67" spans="1:79" ht="15" customHeight="1">
      <c r="A67" s="84" t="s">
        <v>242</v>
      </c>
      <c r="B67" s="61">
        <v>7</v>
      </c>
      <c r="C67" s="62"/>
      <c r="D67" s="21" t="s">
        <v>1223</v>
      </c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21" t="s">
        <v>1301</v>
      </c>
      <c r="S67" s="63"/>
      <c r="T67" s="63"/>
      <c r="U67" s="63"/>
      <c r="V67" s="63"/>
      <c r="W67" s="63"/>
      <c r="X67" s="63"/>
      <c r="Y67" s="63"/>
      <c r="Z67" s="63"/>
      <c r="AA67" s="63"/>
      <c r="AB67" s="64"/>
      <c r="AC67" s="254" t="str">
        <f t="shared" si="7"/>
        <v>char(1)</v>
      </c>
      <c r="AD67" s="255"/>
      <c r="AE67" s="255"/>
      <c r="AF67" s="255"/>
      <c r="AG67" s="256"/>
      <c r="AH67" s="21"/>
      <c r="AI67" s="64"/>
      <c r="AJ67" s="21"/>
      <c r="AK67" s="63"/>
      <c r="AL67" s="64"/>
      <c r="AM67" s="21"/>
      <c r="AN67" s="63"/>
      <c r="AO67" s="63"/>
      <c r="AP67" s="63"/>
      <c r="AQ67" s="63"/>
      <c r="AR67" s="63"/>
      <c r="AS67" s="64"/>
      <c r="AT67" s="21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4"/>
      <c r="BK67" s="4"/>
      <c r="BL67" t="str">
        <f t="shared" si="8"/>
        <v>SUBSTRING(`DATA`,216,1) AS '割引対象フラグ',</v>
      </c>
      <c r="BM67">
        <f t="shared" si="9"/>
        <v>216</v>
      </c>
      <c r="BN67">
        <v>1</v>
      </c>
      <c r="BP67" t="str">
        <f>",`"&amp;R67&amp;"` "&amp;AC67&amp;" "&amp;IF(AJ67="Y","NOT NULL","")&amp;" COMMENT '"&amp;D67&amp;"'"</f>
        <v>,`DiscountTargetFlag` char(1)  COMMENT '割引対象フラグ'</v>
      </c>
      <c r="BQ67" t="s">
        <v>223</v>
      </c>
      <c r="BR67" s="82" t="str">
        <f>"`"&amp;R67&amp;"` "&amp;AC67&amp;" "&amp;IF(AJ67="Y","NOT NULL","")</f>
        <v xml:space="preserve">`DiscountTargetFlag` char(1) </v>
      </c>
      <c r="BS67" t="s">
        <v>223</v>
      </c>
      <c r="BT67" s="82" t="str">
        <f>"`"&amp;R67&amp;"`"</f>
        <v>`DiscountTargetFlag`</v>
      </c>
      <c r="BU67" t="s">
        <v>223</v>
      </c>
      <c r="BV67" s="82" t="str">
        <f>"A.`"&amp;R67&amp;"` = B.`"&amp;R67&amp;"`"</f>
        <v>A.`DiscountTargetFlag` = B.`DiscountTargetFlag`</v>
      </c>
      <c r="BW67" t="s">
        <v>223</v>
      </c>
      <c r="BX67" s="82" t="str">
        <f>"`"&amp;R67&amp;"`"</f>
        <v>`DiscountTargetFlag`</v>
      </c>
      <c r="BY67" t="s">
        <v>223</v>
      </c>
      <c r="BZ67" s="82" t="str">
        <f>"`"&amp;R67&amp;"`"</f>
        <v>`DiscountTargetFlag`</v>
      </c>
      <c r="CA67" t="s">
        <v>223</v>
      </c>
    </row>
    <row r="68" spans="1:79" ht="15" customHeight="1">
      <c r="A68" s="84" t="s">
        <v>244</v>
      </c>
      <c r="B68" s="23">
        <v>9</v>
      </c>
      <c r="C68" s="24"/>
      <c r="D68" s="22" t="s">
        <v>1224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22" t="s">
        <v>1302</v>
      </c>
      <c r="S68" s="25"/>
      <c r="T68" s="25"/>
      <c r="U68" s="25"/>
      <c r="V68" s="25"/>
      <c r="W68" s="25"/>
      <c r="X68" s="25"/>
      <c r="Y68" s="25"/>
      <c r="Z68" s="25"/>
      <c r="AA68" s="25"/>
      <c r="AB68" s="26"/>
      <c r="AC68" s="254" t="str">
        <f t="shared" si="7"/>
        <v>char(1)</v>
      </c>
      <c r="AD68" s="255"/>
      <c r="AE68" s="255"/>
      <c r="AF68" s="255"/>
      <c r="AG68" s="256"/>
      <c r="AH68" s="22"/>
      <c r="AI68" s="26"/>
      <c r="AJ68" s="22"/>
      <c r="AK68" s="25"/>
      <c r="AL68" s="26"/>
      <c r="AM68" s="22"/>
      <c r="AN68" s="25"/>
      <c r="AO68" s="25"/>
      <c r="AP68" s="25"/>
      <c r="AQ68" s="25"/>
      <c r="AR68" s="25"/>
      <c r="AS68" s="26"/>
      <c r="AT68" s="22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6"/>
      <c r="BK68" s="4"/>
      <c r="BL68" t="str">
        <f t="shared" si="8"/>
        <v>SUBSTRING(`DATA`,217,1) AS '食品フラグ',</v>
      </c>
      <c r="BM68">
        <f t="shared" si="9"/>
        <v>217</v>
      </c>
      <c r="BN68">
        <v>1</v>
      </c>
      <c r="BP68" t="str">
        <f t="shared" ref="BP68:BP74" si="34">",`"&amp;R68&amp;"` "&amp;AC68&amp;" "&amp;IF(AJ68="Y","NOT NULL","")&amp;" COMMENT '"&amp;D68&amp;"'"</f>
        <v>,`FoodFlags` char(1)  COMMENT '食品フラグ'</v>
      </c>
      <c r="BQ68" t="s">
        <v>223</v>
      </c>
      <c r="BR68" t="str">
        <f t="shared" ref="BR68:BR74" si="35">",`"&amp;R68&amp;"` "&amp;AC68&amp;" "&amp;IF(AJ68="Y","NOT NULL","")</f>
        <v xml:space="preserve">,`FoodFlags` char(1) </v>
      </c>
      <c r="BS68" t="s">
        <v>223</v>
      </c>
      <c r="BT68" t="str">
        <f t="shared" ref="BT68:BT74" si="36">",`"&amp;R68&amp;"`"</f>
        <v>,`FoodFlags`</v>
      </c>
      <c r="BU68" t="s">
        <v>223</v>
      </c>
      <c r="BV68" s="82" t="str">
        <f t="shared" ref="BV68:BV74" si="37">",A.`"&amp;R68&amp;"` = B.`"&amp;R68&amp;"`"</f>
        <v>,A.`FoodFlags` = B.`FoodFlags`</v>
      </c>
      <c r="BW68" t="s">
        <v>223</v>
      </c>
      <c r="BX68" s="82" t="str">
        <f t="shared" ref="BX68:BX74" si="38">",`"&amp;R68&amp;"`"</f>
        <v>,`FoodFlags`</v>
      </c>
      <c r="BY68" t="s">
        <v>223</v>
      </c>
      <c r="BZ68" s="82" t="str">
        <f t="shared" ref="BZ68:BZ74" si="39">",`"&amp;R68&amp;"`"</f>
        <v>,`FoodFlags`</v>
      </c>
      <c r="CA68" t="s">
        <v>223</v>
      </c>
    </row>
    <row r="69" spans="1:79" ht="15" customHeight="1">
      <c r="A69" s="84" t="s">
        <v>245</v>
      </c>
      <c r="B69" s="23">
        <v>9</v>
      </c>
      <c r="C69" s="24"/>
      <c r="D69" s="22" t="s">
        <v>1225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6"/>
      <c r="R69" s="22" t="s">
        <v>1303</v>
      </c>
      <c r="S69" s="25"/>
      <c r="T69" s="25"/>
      <c r="U69" s="25"/>
      <c r="V69" s="25"/>
      <c r="W69" s="25"/>
      <c r="X69" s="25"/>
      <c r="Y69" s="25"/>
      <c r="Z69" s="25"/>
      <c r="AA69" s="25"/>
      <c r="AB69" s="26"/>
      <c r="AC69" s="254" t="str">
        <f t="shared" si="7"/>
        <v>char(1)</v>
      </c>
      <c r="AD69" s="255"/>
      <c r="AE69" s="255"/>
      <c r="AF69" s="255"/>
      <c r="AG69" s="256"/>
      <c r="AH69" s="22"/>
      <c r="AI69" s="26"/>
      <c r="AJ69" s="22"/>
      <c r="AK69" s="25"/>
      <c r="AL69" s="26"/>
      <c r="AM69" s="22"/>
      <c r="AN69" s="25"/>
      <c r="AO69" s="25"/>
      <c r="AP69" s="25"/>
      <c r="AQ69" s="25"/>
      <c r="AR69" s="25"/>
      <c r="AS69" s="26"/>
      <c r="AT69" s="22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6"/>
      <c r="BK69" s="4"/>
      <c r="BL69" t="str">
        <f t="shared" si="8"/>
        <v>SUBSTRING(`DATA`,218,1) AS '非食品フラグ',</v>
      </c>
      <c r="BM69">
        <f t="shared" si="9"/>
        <v>218</v>
      </c>
      <c r="BN69">
        <v>1</v>
      </c>
      <c r="BP69" t="str">
        <f t="shared" si="34"/>
        <v>,`NonFoodFlag` char(1)  COMMENT '非食品フラグ'</v>
      </c>
      <c r="BQ69" t="s">
        <v>223</v>
      </c>
      <c r="BR69" t="str">
        <f t="shared" si="35"/>
        <v xml:space="preserve">,`NonFoodFlag` char(1) </v>
      </c>
      <c r="BS69" t="s">
        <v>223</v>
      </c>
      <c r="BT69" t="str">
        <f t="shared" si="36"/>
        <v>,`NonFoodFlag`</v>
      </c>
      <c r="BU69" t="s">
        <v>223</v>
      </c>
      <c r="BV69" s="82" t="str">
        <f t="shared" si="37"/>
        <v>,A.`NonFoodFlag` = B.`NonFoodFlag`</v>
      </c>
      <c r="BW69" t="s">
        <v>223</v>
      </c>
      <c r="BX69" s="82" t="str">
        <f t="shared" si="38"/>
        <v>,`NonFoodFlag`</v>
      </c>
      <c r="BY69" t="s">
        <v>223</v>
      </c>
      <c r="BZ69" s="82" t="str">
        <f t="shared" si="39"/>
        <v>,`NonFoodFlag`</v>
      </c>
      <c r="CA69" t="s">
        <v>223</v>
      </c>
    </row>
    <row r="70" spans="1:79" ht="15" customHeight="1">
      <c r="A70" s="84" t="s">
        <v>246</v>
      </c>
      <c r="B70" s="23">
        <v>9</v>
      </c>
      <c r="C70" s="24"/>
      <c r="D70" s="22" t="s">
        <v>1226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  <c r="R70" s="22" t="s">
        <v>1304</v>
      </c>
      <c r="S70" s="25"/>
      <c r="T70" s="25"/>
      <c r="U70" s="25"/>
      <c r="V70" s="25"/>
      <c r="W70" s="25"/>
      <c r="X70" s="25"/>
      <c r="Y70" s="25"/>
      <c r="Z70" s="25"/>
      <c r="AA70" s="25"/>
      <c r="AB70" s="26"/>
      <c r="AC70" s="254" t="str">
        <f t="shared" si="7"/>
        <v>char(1)</v>
      </c>
      <c r="AD70" s="255"/>
      <c r="AE70" s="255"/>
      <c r="AF70" s="255"/>
      <c r="AG70" s="256"/>
      <c r="AH70" s="22"/>
      <c r="AI70" s="26"/>
      <c r="AJ70" s="22"/>
      <c r="AK70" s="25"/>
      <c r="AL70" s="26"/>
      <c r="AM70" s="22"/>
      <c r="AN70" s="25"/>
      <c r="AO70" s="25"/>
      <c r="AP70" s="25"/>
      <c r="AQ70" s="25"/>
      <c r="AR70" s="25"/>
      <c r="AS70" s="26"/>
      <c r="AT70" s="22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6"/>
      <c r="BK70" s="4"/>
      <c r="BL70" t="str">
        <f t="shared" si="8"/>
        <v>SUBSTRING(`DATA`,219,1) AS 'ロケーションフラグ',</v>
      </c>
      <c r="BM70">
        <f t="shared" si="9"/>
        <v>219</v>
      </c>
      <c r="BN70">
        <v>1</v>
      </c>
      <c r="BP70" t="str">
        <f t="shared" si="34"/>
        <v>,`locationFlag` char(1)  COMMENT 'ロケーションフラグ'</v>
      </c>
      <c r="BQ70" t="s">
        <v>223</v>
      </c>
      <c r="BR70" t="str">
        <f t="shared" si="35"/>
        <v xml:space="preserve">,`locationFlag` char(1) </v>
      </c>
      <c r="BS70" t="s">
        <v>223</v>
      </c>
      <c r="BT70" t="str">
        <f t="shared" si="36"/>
        <v>,`locationFlag`</v>
      </c>
      <c r="BU70" t="s">
        <v>223</v>
      </c>
      <c r="BV70" s="82" t="str">
        <f t="shared" si="37"/>
        <v>,A.`locationFlag` = B.`locationFlag`</v>
      </c>
      <c r="BW70" t="s">
        <v>223</v>
      </c>
      <c r="BX70" s="82" t="str">
        <f t="shared" si="38"/>
        <v>,`locationFlag`</v>
      </c>
      <c r="BY70" t="s">
        <v>223</v>
      </c>
      <c r="BZ70" s="82" t="str">
        <f t="shared" si="39"/>
        <v>,`locationFlag`</v>
      </c>
      <c r="CA70" t="s">
        <v>223</v>
      </c>
    </row>
    <row r="71" spans="1:79" ht="15" customHeight="1">
      <c r="A71" s="84" t="s">
        <v>247</v>
      </c>
      <c r="B71" s="23">
        <v>9</v>
      </c>
      <c r="C71" s="24"/>
      <c r="D71" s="22" t="s">
        <v>1227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  <c r="R71" s="22" t="s">
        <v>1305</v>
      </c>
      <c r="S71" s="25"/>
      <c r="T71" s="25"/>
      <c r="U71" s="25"/>
      <c r="V71" s="25"/>
      <c r="W71" s="25"/>
      <c r="X71" s="25"/>
      <c r="Y71" s="25"/>
      <c r="Z71" s="25"/>
      <c r="AA71" s="25"/>
      <c r="AB71" s="26"/>
      <c r="AC71" s="254" t="str">
        <f t="shared" si="7"/>
        <v>char(1)</v>
      </c>
      <c r="AD71" s="255"/>
      <c r="AE71" s="255"/>
      <c r="AF71" s="255"/>
      <c r="AG71" s="256"/>
      <c r="AH71" s="22"/>
      <c r="AI71" s="26"/>
      <c r="AJ71" s="22"/>
      <c r="AK71" s="25"/>
      <c r="AL71" s="26"/>
      <c r="AM71" s="22"/>
      <c r="AN71" s="25"/>
      <c r="AO71" s="25"/>
      <c r="AP71" s="25"/>
      <c r="AQ71" s="25"/>
      <c r="AR71" s="25"/>
      <c r="AS71" s="26"/>
      <c r="AT71" s="22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6"/>
      <c r="BK71" s="4"/>
      <c r="BL71" t="str">
        <f t="shared" si="8"/>
        <v>SUBSTRING(`DATA`,220,1) AS '返品禁止フラグ',</v>
      </c>
      <c r="BM71">
        <f t="shared" si="9"/>
        <v>220</v>
      </c>
      <c r="BN71">
        <v>1</v>
      </c>
      <c r="BP71" t="str">
        <f t="shared" si="34"/>
        <v>,`NoReturnsFag` char(1)  COMMENT '返品禁止フラグ'</v>
      </c>
      <c r="BQ71" t="s">
        <v>223</v>
      </c>
      <c r="BR71" t="str">
        <f t="shared" si="35"/>
        <v xml:space="preserve">,`NoReturnsFag` char(1) </v>
      </c>
      <c r="BS71" t="s">
        <v>223</v>
      </c>
      <c r="BT71" t="str">
        <f t="shared" si="36"/>
        <v>,`NoReturnsFag`</v>
      </c>
      <c r="BU71" t="s">
        <v>223</v>
      </c>
      <c r="BV71" s="82" t="str">
        <f t="shared" si="37"/>
        <v>,A.`NoReturnsFag` = B.`NoReturnsFag`</v>
      </c>
      <c r="BW71" t="s">
        <v>223</v>
      </c>
      <c r="BX71" s="82" t="str">
        <f t="shared" si="38"/>
        <v>,`NoReturnsFag`</v>
      </c>
      <c r="BY71" t="s">
        <v>223</v>
      </c>
      <c r="BZ71" s="82" t="str">
        <f t="shared" si="39"/>
        <v>,`NoReturnsFag`</v>
      </c>
      <c r="CA71" t="s">
        <v>223</v>
      </c>
    </row>
    <row r="72" spans="1:79" ht="15" customHeight="1">
      <c r="A72" s="84" t="s">
        <v>248</v>
      </c>
      <c r="B72" s="23">
        <v>9</v>
      </c>
      <c r="C72" s="24"/>
      <c r="D72" s="22" t="s">
        <v>1228</v>
      </c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  <c r="R72" s="22" t="s">
        <v>1306</v>
      </c>
      <c r="S72" s="25"/>
      <c r="T72" s="25"/>
      <c r="U72" s="25"/>
      <c r="V72" s="25"/>
      <c r="W72" s="25"/>
      <c r="X72" s="25"/>
      <c r="Y72" s="25"/>
      <c r="Z72" s="25"/>
      <c r="AA72" s="25"/>
      <c r="AB72" s="26"/>
      <c r="AC72" s="254" t="str">
        <f t="shared" si="7"/>
        <v>char(1)</v>
      </c>
      <c r="AD72" s="255"/>
      <c r="AE72" s="255"/>
      <c r="AF72" s="255"/>
      <c r="AG72" s="256"/>
      <c r="AH72" s="22"/>
      <c r="AI72" s="26"/>
      <c r="AJ72" s="22"/>
      <c r="AK72" s="25"/>
      <c r="AL72" s="26"/>
      <c r="AM72" s="22"/>
      <c r="AN72" s="25"/>
      <c r="AO72" s="25"/>
      <c r="AP72" s="25"/>
      <c r="AQ72" s="25"/>
      <c r="AR72" s="25"/>
      <c r="AS72" s="26"/>
      <c r="AT72" s="22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6"/>
      <c r="BK72" s="4"/>
      <c r="BL72" t="str">
        <f t="shared" si="8"/>
        <v>SUBSTRING(`DATA`,221,1) AS '仕入れ税区分',</v>
      </c>
      <c r="BM72">
        <f t="shared" si="9"/>
        <v>221</v>
      </c>
      <c r="BN72">
        <v>1</v>
      </c>
      <c r="BP72" t="str">
        <f t="shared" si="34"/>
        <v>,`PurchaseTaxClassification` char(1)  COMMENT '仕入れ税区分'</v>
      </c>
      <c r="BQ72" t="s">
        <v>223</v>
      </c>
      <c r="BR72" t="str">
        <f t="shared" si="35"/>
        <v xml:space="preserve">,`PurchaseTaxClassification` char(1) </v>
      </c>
      <c r="BS72" t="s">
        <v>223</v>
      </c>
      <c r="BT72" t="str">
        <f t="shared" si="36"/>
        <v>,`PurchaseTaxClassification`</v>
      </c>
      <c r="BU72" t="s">
        <v>223</v>
      </c>
      <c r="BV72" s="82" t="str">
        <f t="shared" si="37"/>
        <v>,A.`PurchaseTaxClassification` = B.`PurchaseTaxClassification`</v>
      </c>
      <c r="BW72" t="s">
        <v>223</v>
      </c>
      <c r="BX72" s="82" t="str">
        <f t="shared" si="38"/>
        <v>,`PurchaseTaxClassification`</v>
      </c>
      <c r="BY72" t="s">
        <v>223</v>
      </c>
      <c r="BZ72" s="82" t="str">
        <f t="shared" si="39"/>
        <v>,`PurchaseTaxClassification`</v>
      </c>
      <c r="CA72" t="s">
        <v>223</v>
      </c>
    </row>
    <row r="73" spans="1:79" ht="15" customHeight="1">
      <c r="A73" s="84" t="s">
        <v>525</v>
      </c>
      <c r="B73" s="23">
        <v>9</v>
      </c>
      <c r="C73" s="24"/>
      <c r="D73" s="22" t="s">
        <v>1229</v>
      </c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6"/>
      <c r="R73" s="22" t="s">
        <v>1307</v>
      </c>
      <c r="S73" s="25"/>
      <c r="T73" s="25"/>
      <c r="U73" s="25"/>
      <c r="V73" s="25"/>
      <c r="W73" s="25"/>
      <c r="X73" s="25"/>
      <c r="Y73" s="25"/>
      <c r="Z73" s="25"/>
      <c r="AA73" s="25"/>
      <c r="AB73" s="26"/>
      <c r="AC73" s="254" t="str">
        <f t="shared" si="7"/>
        <v>char(1)</v>
      </c>
      <c r="AD73" s="255"/>
      <c r="AE73" s="255"/>
      <c r="AF73" s="255"/>
      <c r="AG73" s="256"/>
      <c r="AH73" s="22"/>
      <c r="AI73" s="26"/>
      <c r="AJ73" s="22"/>
      <c r="AK73" s="25"/>
      <c r="AL73" s="26"/>
      <c r="AM73" s="22"/>
      <c r="AN73" s="25"/>
      <c r="AO73" s="25"/>
      <c r="AP73" s="25"/>
      <c r="AQ73" s="25"/>
      <c r="AR73" s="25"/>
      <c r="AS73" s="26"/>
      <c r="AT73" s="22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6"/>
      <c r="BK73" s="4"/>
      <c r="BL73" t="str">
        <f t="shared" si="8"/>
        <v>SUBSTRING(`DATA`,222,1) AS '販売税区分',</v>
      </c>
      <c r="BM73">
        <f t="shared" si="9"/>
        <v>222</v>
      </c>
      <c r="BN73">
        <v>1</v>
      </c>
      <c r="BP73" t="str">
        <f t="shared" si="34"/>
        <v>,`SalesTaxClassification` char(1)  COMMENT '販売税区分'</v>
      </c>
      <c r="BQ73" t="s">
        <v>223</v>
      </c>
      <c r="BR73" t="str">
        <f t="shared" si="35"/>
        <v xml:space="preserve">,`SalesTaxClassification` char(1) </v>
      </c>
      <c r="BS73" t="s">
        <v>223</v>
      </c>
      <c r="BT73" t="str">
        <f t="shared" si="36"/>
        <v>,`SalesTaxClassification`</v>
      </c>
      <c r="BU73" t="s">
        <v>223</v>
      </c>
      <c r="BV73" s="82" t="str">
        <f t="shared" si="37"/>
        <v>,A.`SalesTaxClassification` = B.`SalesTaxClassification`</v>
      </c>
      <c r="BW73" t="s">
        <v>223</v>
      </c>
      <c r="BX73" s="82" t="str">
        <f t="shared" si="38"/>
        <v>,`SalesTaxClassification`</v>
      </c>
      <c r="BY73" t="s">
        <v>223</v>
      </c>
      <c r="BZ73" s="82" t="str">
        <f t="shared" si="39"/>
        <v>,`SalesTaxClassification`</v>
      </c>
      <c r="CA73" t="s">
        <v>223</v>
      </c>
    </row>
    <row r="74" spans="1:79" ht="15" customHeight="1">
      <c r="A74" s="84" t="s">
        <v>526</v>
      </c>
      <c r="B74" s="23">
        <v>9</v>
      </c>
      <c r="C74" s="24"/>
      <c r="D74" s="22" t="s">
        <v>1230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6"/>
      <c r="R74" s="22" t="s">
        <v>1308</v>
      </c>
      <c r="S74" s="25"/>
      <c r="T74" s="25"/>
      <c r="U74" s="25"/>
      <c r="V74" s="25"/>
      <c r="W74" s="25"/>
      <c r="X74" s="25"/>
      <c r="Y74" s="25"/>
      <c r="Z74" s="25"/>
      <c r="AA74" s="25"/>
      <c r="AB74" s="26"/>
      <c r="AC74" s="254" t="str">
        <f t="shared" si="7"/>
        <v>char(2)</v>
      </c>
      <c r="AD74" s="255"/>
      <c r="AE74" s="255"/>
      <c r="AF74" s="255"/>
      <c r="AG74" s="256"/>
      <c r="AH74" s="22"/>
      <c r="AI74" s="26"/>
      <c r="AJ74" s="22"/>
      <c r="AK74" s="25"/>
      <c r="AL74" s="26"/>
      <c r="AM74" s="22"/>
      <c r="AN74" s="25"/>
      <c r="AO74" s="25"/>
      <c r="AP74" s="25"/>
      <c r="AQ74" s="25"/>
      <c r="AR74" s="25"/>
      <c r="AS74" s="26"/>
      <c r="AT74" s="22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6"/>
      <c r="BK74" s="4"/>
      <c r="BL74" t="str">
        <f t="shared" si="8"/>
        <v>SUBSTRING(`DATA`,223,2) AS '消費税部門',</v>
      </c>
      <c r="BM74">
        <f t="shared" si="9"/>
        <v>223</v>
      </c>
      <c r="BN74">
        <v>2</v>
      </c>
      <c r="BP74" t="str">
        <f t="shared" si="34"/>
        <v>,`ConsumptionTaxDepartment` char(2)  COMMENT '消費税部門'</v>
      </c>
      <c r="BQ74" t="s">
        <v>223</v>
      </c>
      <c r="BR74" t="str">
        <f t="shared" si="35"/>
        <v xml:space="preserve">,`ConsumptionTaxDepartment` char(2) </v>
      </c>
      <c r="BS74" t="s">
        <v>223</v>
      </c>
      <c r="BT74" t="str">
        <f t="shared" si="36"/>
        <v>,`ConsumptionTaxDepartment`</v>
      </c>
      <c r="BU74" t="s">
        <v>223</v>
      </c>
      <c r="BV74" s="82" t="str">
        <f t="shared" si="37"/>
        <v>,A.`ConsumptionTaxDepartment` = B.`ConsumptionTaxDepartment`</v>
      </c>
      <c r="BW74" t="s">
        <v>223</v>
      </c>
      <c r="BX74" s="82" t="str">
        <f t="shared" si="38"/>
        <v>,`ConsumptionTaxDepartment`</v>
      </c>
      <c r="BY74" t="s">
        <v>223</v>
      </c>
      <c r="BZ74" s="82" t="str">
        <f t="shared" si="39"/>
        <v>,`ConsumptionTaxDepartment`</v>
      </c>
      <c r="CA74" t="s">
        <v>223</v>
      </c>
    </row>
    <row r="75" spans="1:79" ht="15" customHeight="1">
      <c r="A75" s="84" t="s">
        <v>242</v>
      </c>
      <c r="B75" s="61">
        <v>7</v>
      </c>
      <c r="C75" s="62"/>
      <c r="D75" s="21" t="s">
        <v>1231</v>
      </c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" t="s">
        <v>1309</v>
      </c>
      <c r="S75" s="63"/>
      <c r="T75" s="63"/>
      <c r="U75" s="63"/>
      <c r="V75" s="63"/>
      <c r="W75" s="63"/>
      <c r="X75" s="63"/>
      <c r="Y75" s="63"/>
      <c r="Z75" s="63"/>
      <c r="AA75" s="63"/>
      <c r="AB75" s="64"/>
      <c r="AC75" s="257" t="str">
        <f t="shared" si="7"/>
        <v>char(6)</v>
      </c>
      <c r="AD75" s="258"/>
      <c r="AE75" s="258"/>
      <c r="AF75" s="258"/>
      <c r="AG75" s="259"/>
      <c r="AH75" s="21"/>
      <c r="AI75" s="64"/>
      <c r="AJ75" s="21"/>
      <c r="AK75" s="63"/>
      <c r="AL75" s="64"/>
      <c r="AM75" s="21"/>
      <c r="AN75" s="63"/>
      <c r="AO75" s="63"/>
      <c r="AP75" s="63"/>
      <c r="AQ75" s="63"/>
      <c r="AR75" s="63"/>
      <c r="AS75" s="64"/>
      <c r="AT75" s="21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4"/>
      <c r="BK75" s="4"/>
      <c r="BL75" t="str">
        <f t="shared" si="8"/>
        <v>SUBSTRING(`DATA`,225,6) AS '税率',</v>
      </c>
      <c r="BM75">
        <f t="shared" si="9"/>
        <v>225</v>
      </c>
      <c r="BN75">
        <v>6</v>
      </c>
      <c r="BP75" t="str">
        <f>",`"&amp;R75&amp;"` "&amp;AC75&amp;" "&amp;IF(AJ75="Y","NOT NULL","")&amp;" COMMENT '"&amp;D75&amp;"'"</f>
        <v>,`TaxRate` char(6)  COMMENT '税率'</v>
      </c>
      <c r="BQ75" t="s">
        <v>223</v>
      </c>
      <c r="BR75" s="82" t="str">
        <f>"`"&amp;R75&amp;"` "&amp;AC75&amp;" "&amp;IF(AJ75="Y","NOT NULL","")</f>
        <v xml:space="preserve">`TaxRate` char(6) </v>
      </c>
      <c r="BS75" t="s">
        <v>223</v>
      </c>
      <c r="BT75" s="82" t="str">
        <f>"`"&amp;R75&amp;"`"</f>
        <v>`TaxRate`</v>
      </c>
      <c r="BU75" t="s">
        <v>223</v>
      </c>
      <c r="BV75" s="82" t="str">
        <f>"A.`"&amp;R75&amp;"` = B.`"&amp;R75&amp;"`"</f>
        <v>A.`TaxRate` = B.`TaxRate`</v>
      </c>
      <c r="BW75" t="s">
        <v>223</v>
      </c>
      <c r="BX75" s="82" t="str">
        <f>"`"&amp;R75&amp;"`"</f>
        <v>`TaxRate`</v>
      </c>
      <c r="BY75" t="s">
        <v>223</v>
      </c>
      <c r="BZ75" s="82" t="str">
        <f>"`"&amp;R75&amp;"`"</f>
        <v>`TaxRate`</v>
      </c>
      <c r="CA75" t="s">
        <v>223</v>
      </c>
    </row>
    <row r="76" spans="1:79" ht="15" customHeight="1">
      <c r="A76" s="84" t="s">
        <v>244</v>
      </c>
      <c r="B76" s="23">
        <v>9</v>
      </c>
      <c r="C76" s="24"/>
      <c r="D76" s="22" t="s">
        <v>1232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6"/>
      <c r="R76" s="22" t="s">
        <v>1310</v>
      </c>
      <c r="S76" s="25"/>
      <c r="T76" s="25"/>
      <c r="U76" s="25"/>
      <c r="V76" s="25"/>
      <c r="W76" s="25"/>
      <c r="X76" s="25"/>
      <c r="Y76" s="25"/>
      <c r="Z76" s="25"/>
      <c r="AA76" s="25"/>
      <c r="AB76" s="26"/>
      <c r="AC76" s="257" t="str">
        <f t="shared" si="7"/>
        <v>char(6)</v>
      </c>
      <c r="AD76" s="258"/>
      <c r="AE76" s="258"/>
      <c r="AF76" s="258"/>
      <c r="AG76" s="259"/>
      <c r="AH76" s="22"/>
      <c r="AI76" s="26"/>
      <c r="AJ76" s="22"/>
      <c r="AK76" s="25"/>
      <c r="AL76" s="26"/>
      <c r="AM76" s="22"/>
      <c r="AN76" s="25"/>
      <c r="AO76" s="25"/>
      <c r="AP76" s="25"/>
      <c r="AQ76" s="25"/>
      <c r="AR76" s="25"/>
      <c r="AS76" s="26"/>
      <c r="AT76" s="22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6"/>
      <c r="BK76" s="4"/>
      <c r="BL76" t="str">
        <f t="shared" si="8"/>
        <v>SUBSTRING(`DATA`,231,6) AS '販売可能期間',</v>
      </c>
      <c r="BM76">
        <f t="shared" si="9"/>
        <v>231</v>
      </c>
      <c r="BN76">
        <v>6</v>
      </c>
      <c r="BP76" t="str">
        <f t="shared" ref="BP76:BP82" si="40">",`"&amp;R76&amp;"` "&amp;AC76&amp;" "&amp;IF(AJ76="Y","NOT NULL","")&amp;" COMMENT '"&amp;D76&amp;"'"</f>
        <v>,`SalesPeriod` char(6)  COMMENT '販売可能期間'</v>
      </c>
      <c r="BQ76" t="s">
        <v>223</v>
      </c>
      <c r="BR76" t="str">
        <f t="shared" ref="BR76:BR82" si="41">",`"&amp;R76&amp;"` "&amp;AC76&amp;" "&amp;IF(AJ76="Y","NOT NULL","")</f>
        <v xml:space="preserve">,`SalesPeriod` char(6) </v>
      </c>
      <c r="BS76" t="s">
        <v>223</v>
      </c>
      <c r="BT76" t="str">
        <f t="shared" ref="BT76:BT82" si="42">",`"&amp;R76&amp;"`"</f>
        <v>,`SalesPeriod`</v>
      </c>
      <c r="BU76" t="s">
        <v>223</v>
      </c>
      <c r="BV76" s="82" t="str">
        <f t="shared" ref="BV76:BV82" si="43">",A.`"&amp;R76&amp;"` = B.`"&amp;R76&amp;"`"</f>
        <v>,A.`SalesPeriod` = B.`SalesPeriod`</v>
      </c>
      <c r="BW76" t="s">
        <v>223</v>
      </c>
      <c r="BX76" s="82" t="str">
        <f t="shared" ref="BX76:BX82" si="44">",`"&amp;R76&amp;"`"</f>
        <v>,`SalesPeriod`</v>
      </c>
      <c r="BY76" t="s">
        <v>223</v>
      </c>
      <c r="BZ76" s="82" t="str">
        <f t="shared" ref="BZ76:BZ82" si="45">",`"&amp;R76&amp;"`"</f>
        <v>,`SalesPeriod`</v>
      </c>
      <c r="CA76" t="s">
        <v>223</v>
      </c>
    </row>
    <row r="77" spans="1:79" ht="15" customHeight="1">
      <c r="A77" s="84" t="s">
        <v>245</v>
      </c>
      <c r="B77" s="23">
        <v>9</v>
      </c>
      <c r="C77" s="24"/>
      <c r="D77" s="22" t="s">
        <v>1233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6"/>
      <c r="R77" s="22" t="s">
        <v>1311</v>
      </c>
      <c r="S77" s="25"/>
      <c r="T77" s="25"/>
      <c r="U77" s="25"/>
      <c r="V77" s="25"/>
      <c r="W77" s="25"/>
      <c r="X77" s="25"/>
      <c r="Y77" s="25"/>
      <c r="Z77" s="25"/>
      <c r="AA77" s="25"/>
      <c r="AB77" s="26"/>
      <c r="AC77" s="254" t="str">
        <f t="shared" si="7"/>
        <v>char(1)</v>
      </c>
      <c r="AD77" s="255"/>
      <c r="AE77" s="255"/>
      <c r="AF77" s="255"/>
      <c r="AG77" s="256"/>
      <c r="AH77" s="22"/>
      <c r="AI77" s="26"/>
      <c r="AJ77" s="22"/>
      <c r="AK77" s="25"/>
      <c r="AL77" s="26"/>
      <c r="AM77" s="22"/>
      <c r="AN77" s="25"/>
      <c r="AO77" s="25"/>
      <c r="AP77" s="25"/>
      <c r="AQ77" s="25"/>
      <c r="AR77" s="25"/>
      <c r="AS77" s="26"/>
      <c r="AT77" s="22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6"/>
      <c r="BK77" s="4"/>
      <c r="BL77" t="str">
        <f t="shared" si="8"/>
        <v>SUBSTRING(`DATA`,237,1) AS 'アロー区分',</v>
      </c>
      <c r="BM77">
        <f t="shared" si="9"/>
        <v>237</v>
      </c>
      <c r="BN77">
        <v>1</v>
      </c>
      <c r="BP77" t="str">
        <f t="shared" si="40"/>
        <v>,`ArrowClassification` char(1)  COMMENT 'アロー区分'</v>
      </c>
      <c r="BQ77" t="s">
        <v>223</v>
      </c>
      <c r="BR77" t="str">
        <f t="shared" si="41"/>
        <v xml:space="preserve">,`ArrowClassification` char(1) </v>
      </c>
      <c r="BS77" t="s">
        <v>223</v>
      </c>
      <c r="BT77" t="str">
        <f t="shared" si="42"/>
        <v>,`ArrowClassification`</v>
      </c>
      <c r="BU77" t="s">
        <v>223</v>
      </c>
      <c r="BV77" s="82" t="str">
        <f t="shared" si="43"/>
        <v>,A.`ArrowClassification` = B.`ArrowClassification`</v>
      </c>
      <c r="BW77" t="s">
        <v>223</v>
      </c>
      <c r="BX77" s="82" t="str">
        <f t="shared" si="44"/>
        <v>,`ArrowClassification`</v>
      </c>
      <c r="BY77" t="s">
        <v>223</v>
      </c>
      <c r="BZ77" s="82" t="str">
        <f t="shared" si="45"/>
        <v>,`ArrowClassification`</v>
      </c>
      <c r="CA77" t="s">
        <v>223</v>
      </c>
    </row>
    <row r="78" spans="1:79" ht="15" customHeight="1">
      <c r="A78" s="84" t="s">
        <v>246</v>
      </c>
      <c r="B78" s="23">
        <v>9</v>
      </c>
      <c r="C78" s="24"/>
      <c r="D78" s="22" t="s">
        <v>1234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6"/>
      <c r="R78" s="22" t="s">
        <v>1312</v>
      </c>
      <c r="S78" s="25"/>
      <c r="T78" s="25"/>
      <c r="U78" s="25"/>
      <c r="V78" s="25"/>
      <c r="W78" s="25"/>
      <c r="X78" s="25"/>
      <c r="Y78" s="25"/>
      <c r="Z78" s="25"/>
      <c r="AA78" s="25"/>
      <c r="AB78" s="26"/>
      <c r="AC78" s="254" t="str">
        <f t="shared" si="7"/>
        <v>char(1)</v>
      </c>
      <c r="AD78" s="255"/>
      <c r="AE78" s="255"/>
      <c r="AF78" s="255"/>
      <c r="AG78" s="256"/>
      <c r="AH78" s="22"/>
      <c r="AI78" s="26"/>
      <c r="AJ78" s="22"/>
      <c r="AK78" s="25"/>
      <c r="AL78" s="26"/>
      <c r="AM78" s="22"/>
      <c r="AN78" s="25"/>
      <c r="AO78" s="25"/>
      <c r="AP78" s="25"/>
      <c r="AQ78" s="25"/>
      <c r="AR78" s="25"/>
      <c r="AS78" s="26"/>
      <c r="AT78" s="22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6"/>
      <c r="BK78" s="4"/>
      <c r="BL78" t="str">
        <f t="shared" si="8"/>
        <v>SUBSTRING(`DATA`,238,1) AS '品揃え区分',</v>
      </c>
      <c r="BM78">
        <f t="shared" si="9"/>
        <v>238</v>
      </c>
      <c r="BN78">
        <v>1</v>
      </c>
      <c r="BP78" t="str">
        <f t="shared" si="40"/>
        <v>,`AssortmentClassification` char(1)  COMMENT '品揃え区分'</v>
      </c>
      <c r="BQ78" t="s">
        <v>223</v>
      </c>
      <c r="BR78" t="str">
        <f t="shared" si="41"/>
        <v xml:space="preserve">,`AssortmentClassification` char(1) </v>
      </c>
      <c r="BS78" t="s">
        <v>223</v>
      </c>
      <c r="BT78" t="str">
        <f t="shared" si="42"/>
        <v>,`AssortmentClassification`</v>
      </c>
      <c r="BU78" t="s">
        <v>223</v>
      </c>
      <c r="BV78" s="82" t="str">
        <f t="shared" si="43"/>
        <v>,A.`AssortmentClassification` = B.`AssortmentClassification`</v>
      </c>
      <c r="BW78" t="s">
        <v>223</v>
      </c>
      <c r="BX78" s="82" t="str">
        <f t="shared" si="44"/>
        <v>,`AssortmentClassification`</v>
      </c>
      <c r="BY78" t="s">
        <v>223</v>
      </c>
      <c r="BZ78" s="82" t="str">
        <f t="shared" si="45"/>
        <v>,`AssortmentClassification`</v>
      </c>
      <c r="CA78" t="s">
        <v>223</v>
      </c>
    </row>
    <row r="79" spans="1:79" ht="15" customHeight="1">
      <c r="A79" s="84" t="s">
        <v>247</v>
      </c>
      <c r="B79" s="23">
        <v>9</v>
      </c>
      <c r="C79" s="24"/>
      <c r="D79" s="22" t="s">
        <v>1235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6"/>
      <c r="R79" s="22" t="s">
        <v>1313</v>
      </c>
      <c r="S79" s="25"/>
      <c r="T79" s="25"/>
      <c r="U79" s="25"/>
      <c r="V79" s="25"/>
      <c r="W79" s="25"/>
      <c r="X79" s="25"/>
      <c r="Y79" s="25"/>
      <c r="Z79" s="25"/>
      <c r="AA79" s="25"/>
      <c r="AB79" s="26"/>
      <c r="AC79" s="257" t="str">
        <f t="shared" si="7"/>
        <v>char(7)</v>
      </c>
      <c r="AD79" s="258"/>
      <c r="AE79" s="258"/>
      <c r="AF79" s="258"/>
      <c r="AG79" s="259"/>
      <c r="AH79" s="22"/>
      <c r="AI79" s="26"/>
      <c r="AJ79" s="22"/>
      <c r="AK79" s="25"/>
      <c r="AL79" s="26"/>
      <c r="AM79" s="22"/>
      <c r="AN79" s="25"/>
      <c r="AO79" s="25"/>
      <c r="AP79" s="25"/>
      <c r="AQ79" s="25"/>
      <c r="AR79" s="25"/>
      <c r="AS79" s="26"/>
      <c r="AT79" s="22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6"/>
      <c r="BK79" s="4"/>
      <c r="BL79" t="str">
        <f t="shared" si="8"/>
        <v>SUBSTRING(`DATA`,239,7) AS 'ユニット数',</v>
      </c>
      <c r="BM79">
        <f t="shared" si="9"/>
        <v>239</v>
      </c>
      <c r="BN79">
        <v>7</v>
      </c>
      <c r="BP79" t="str">
        <f t="shared" si="40"/>
        <v>,`NumberOfUnits` char(7)  COMMENT 'ユニット数'</v>
      </c>
      <c r="BQ79" t="s">
        <v>223</v>
      </c>
      <c r="BR79" t="str">
        <f t="shared" si="41"/>
        <v xml:space="preserve">,`NumberOfUnits` char(7) </v>
      </c>
      <c r="BS79" t="s">
        <v>223</v>
      </c>
      <c r="BT79" t="str">
        <f t="shared" si="42"/>
        <v>,`NumberOfUnits`</v>
      </c>
      <c r="BU79" t="s">
        <v>223</v>
      </c>
      <c r="BV79" s="82" t="str">
        <f t="shared" si="43"/>
        <v>,A.`NumberOfUnits` = B.`NumberOfUnits`</v>
      </c>
      <c r="BW79" t="s">
        <v>223</v>
      </c>
      <c r="BX79" s="82" t="str">
        <f t="shared" si="44"/>
        <v>,`NumberOfUnits`</v>
      </c>
      <c r="BY79" t="s">
        <v>223</v>
      </c>
      <c r="BZ79" s="82" t="str">
        <f t="shared" si="45"/>
        <v>,`NumberOfUnits`</v>
      </c>
      <c r="CA79" t="s">
        <v>223</v>
      </c>
    </row>
    <row r="80" spans="1:79" ht="15" customHeight="1">
      <c r="A80" s="84" t="s">
        <v>248</v>
      </c>
      <c r="B80" s="23">
        <v>9</v>
      </c>
      <c r="C80" s="24"/>
      <c r="D80" s="22" t="s">
        <v>1236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6"/>
      <c r="R80" s="22" t="s">
        <v>1314</v>
      </c>
      <c r="S80" s="25"/>
      <c r="T80" s="25"/>
      <c r="U80" s="25"/>
      <c r="V80" s="25"/>
      <c r="W80" s="25"/>
      <c r="X80" s="25"/>
      <c r="Y80" s="25"/>
      <c r="Z80" s="25"/>
      <c r="AA80" s="25"/>
      <c r="AB80" s="26"/>
      <c r="AC80" s="257" t="str">
        <f t="shared" si="7"/>
        <v>char(2)</v>
      </c>
      <c r="AD80" s="258"/>
      <c r="AE80" s="258"/>
      <c r="AF80" s="258"/>
      <c r="AG80" s="259"/>
      <c r="AH80" s="22"/>
      <c r="AI80" s="26"/>
      <c r="AJ80" s="22"/>
      <c r="AK80" s="25"/>
      <c r="AL80" s="26"/>
      <c r="AM80" s="22"/>
      <c r="AN80" s="25"/>
      <c r="AO80" s="25"/>
      <c r="AP80" s="25"/>
      <c r="AQ80" s="25"/>
      <c r="AR80" s="25"/>
      <c r="AS80" s="26"/>
      <c r="AT80" s="22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6"/>
      <c r="BK80" s="4"/>
      <c r="BL80" t="str">
        <f t="shared" si="8"/>
        <v>SUBSTRING(`DATA`,246,2) AS 'ユニット単位',</v>
      </c>
      <c r="BM80">
        <f t="shared" si="9"/>
        <v>246</v>
      </c>
      <c r="BN80">
        <v>2</v>
      </c>
      <c r="BP80" t="str">
        <f t="shared" si="40"/>
        <v>,`Unit` char(2)  COMMENT 'ユニット単位'</v>
      </c>
      <c r="BQ80" t="s">
        <v>223</v>
      </c>
      <c r="BR80" t="str">
        <f t="shared" si="41"/>
        <v xml:space="preserve">,`Unit` char(2) </v>
      </c>
      <c r="BS80" t="s">
        <v>223</v>
      </c>
      <c r="BT80" t="str">
        <f t="shared" si="42"/>
        <v>,`Unit`</v>
      </c>
      <c r="BU80" t="s">
        <v>223</v>
      </c>
      <c r="BV80" s="82" t="str">
        <f t="shared" si="43"/>
        <v>,A.`Unit` = B.`Unit`</v>
      </c>
      <c r="BW80" t="s">
        <v>223</v>
      </c>
      <c r="BX80" s="82" t="str">
        <f t="shared" si="44"/>
        <v>,`Unit`</v>
      </c>
      <c r="BY80" t="s">
        <v>223</v>
      </c>
      <c r="BZ80" s="82" t="str">
        <f t="shared" si="45"/>
        <v>,`Unit`</v>
      </c>
      <c r="CA80" t="s">
        <v>223</v>
      </c>
    </row>
    <row r="81" spans="1:79" ht="15" customHeight="1">
      <c r="A81" s="84" t="s">
        <v>525</v>
      </c>
      <c r="B81" s="23">
        <v>9</v>
      </c>
      <c r="C81" s="24"/>
      <c r="D81" s="22" t="s">
        <v>1237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6"/>
      <c r="R81" s="22" t="s">
        <v>1315</v>
      </c>
      <c r="S81" s="25"/>
      <c r="T81" s="25"/>
      <c r="U81" s="25"/>
      <c r="V81" s="25"/>
      <c r="W81" s="25"/>
      <c r="X81" s="25"/>
      <c r="Y81" s="25"/>
      <c r="Z81" s="25"/>
      <c r="AA81" s="25"/>
      <c r="AB81" s="26"/>
      <c r="AC81" s="257" t="str">
        <f t="shared" si="7"/>
        <v>char(7)</v>
      </c>
      <c r="AD81" s="258"/>
      <c r="AE81" s="258"/>
      <c r="AF81" s="258"/>
      <c r="AG81" s="259"/>
      <c r="AH81" s="22"/>
      <c r="AI81" s="26"/>
      <c r="AJ81" s="22"/>
      <c r="AK81" s="25"/>
      <c r="AL81" s="26"/>
      <c r="AM81" s="22"/>
      <c r="AN81" s="25"/>
      <c r="AO81" s="25"/>
      <c r="AP81" s="25"/>
      <c r="AQ81" s="25"/>
      <c r="AR81" s="25"/>
      <c r="AS81" s="26"/>
      <c r="AT81" s="22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6"/>
      <c r="BK81" s="4"/>
      <c r="BL81" t="str">
        <f t="shared" si="8"/>
        <v>SUBSTRING(`DATA`,248,7) AS '規格数',</v>
      </c>
      <c r="BM81">
        <f t="shared" si="9"/>
        <v>248</v>
      </c>
      <c r="BN81">
        <v>7</v>
      </c>
      <c r="BP81" t="str">
        <f t="shared" si="40"/>
        <v>,`NumberOfStandards` char(7)  COMMENT '規格数'</v>
      </c>
      <c r="BQ81" t="s">
        <v>223</v>
      </c>
      <c r="BR81" t="str">
        <f t="shared" si="41"/>
        <v xml:space="preserve">,`NumberOfStandards` char(7) </v>
      </c>
      <c r="BS81" t="s">
        <v>223</v>
      </c>
      <c r="BT81" t="str">
        <f t="shared" si="42"/>
        <v>,`NumberOfStandards`</v>
      </c>
      <c r="BU81" t="s">
        <v>223</v>
      </c>
      <c r="BV81" s="82" t="str">
        <f t="shared" si="43"/>
        <v>,A.`NumberOfStandards` = B.`NumberOfStandards`</v>
      </c>
      <c r="BW81" t="s">
        <v>223</v>
      </c>
      <c r="BX81" s="82" t="str">
        <f t="shared" si="44"/>
        <v>,`NumberOfStandards`</v>
      </c>
      <c r="BY81" t="s">
        <v>223</v>
      </c>
      <c r="BZ81" s="82" t="str">
        <f t="shared" si="45"/>
        <v>,`NumberOfStandards`</v>
      </c>
      <c r="CA81" t="s">
        <v>223</v>
      </c>
    </row>
    <row r="82" spans="1:79" ht="15" customHeight="1">
      <c r="A82" s="84" t="s">
        <v>526</v>
      </c>
      <c r="B82" s="23">
        <v>9</v>
      </c>
      <c r="C82" s="24"/>
      <c r="D82" s="22" t="s">
        <v>1238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6"/>
      <c r="R82" s="22" t="s">
        <v>1316</v>
      </c>
      <c r="S82" s="25"/>
      <c r="T82" s="25"/>
      <c r="U82" s="25"/>
      <c r="V82" s="25"/>
      <c r="W82" s="25"/>
      <c r="X82" s="25"/>
      <c r="Y82" s="25"/>
      <c r="Z82" s="25"/>
      <c r="AA82" s="25"/>
      <c r="AB82" s="26"/>
      <c r="AC82" s="257" t="str">
        <f t="shared" si="7"/>
        <v>char(2)</v>
      </c>
      <c r="AD82" s="258"/>
      <c r="AE82" s="258"/>
      <c r="AF82" s="258"/>
      <c r="AG82" s="259"/>
      <c r="AH82" s="22"/>
      <c r="AI82" s="26"/>
      <c r="AJ82" s="22"/>
      <c r="AK82" s="25"/>
      <c r="AL82" s="26"/>
      <c r="AM82" s="22"/>
      <c r="AN82" s="25"/>
      <c r="AO82" s="25"/>
      <c r="AP82" s="25"/>
      <c r="AQ82" s="25"/>
      <c r="AR82" s="25"/>
      <c r="AS82" s="26"/>
      <c r="AT82" s="22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6"/>
      <c r="BK82" s="4"/>
      <c r="BL82" t="str">
        <f t="shared" si="8"/>
        <v>SUBSTRING(`DATA`,255,2) AS '規格単位',</v>
      </c>
      <c r="BM82">
        <f t="shared" si="9"/>
        <v>255</v>
      </c>
      <c r="BN82">
        <v>2</v>
      </c>
      <c r="BP82" t="str">
        <f t="shared" si="40"/>
        <v>,`StandardUnit` char(2)  COMMENT '規格単位'</v>
      </c>
      <c r="BQ82" t="s">
        <v>223</v>
      </c>
      <c r="BR82" t="str">
        <f t="shared" si="41"/>
        <v xml:space="preserve">,`StandardUnit` char(2) </v>
      </c>
      <c r="BS82" t="s">
        <v>223</v>
      </c>
      <c r="BT82" t="str">
        <f t="shared" si="42"/>
        <v>,`StandardUnit`</v>
      </c>
      <c r="BU82" t="s">
        <v>223</v>
      </c>
      <c r="BV82" s="82" t="str">
        <f t="shared" si="43"/>
        <v>,A.`StandardUnit` = B.`StandardUnit`</v>
      </c>
      <c r="BW82" t="s">
        <v>223</v>
      </c>
      <c r="BX82" s="82" t="str">
        <f t="shared" si="44"/>
        <v>,`StandardUnit`</v>
      </c>
      <c r="BY82" t="s">
        <v>223</v>
      </c>
      <c r="BZ82" s="82" t="str">
        <f t="shared" si="45"/>
        <v>,`StandardUnit`</v>
      </c>
      <c r="CA82" t="s">
        <v>223</v>
      </c>
    </row>
    <row r="83" spans="1:79" ht="15" customHeight="1">
      <c r="A83" s="84" t="s">
        <v>242</v>
      </c>
      <c r="B83" s="61">
        <v>7</v>
      </c>
      <c r="C83" s="62"/>
      <c r="D83" s="21" t="s">
        <v>1239</v>
      </c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21" t="s">
        <v>1317</v>
      </c>
      <c r="S83" s="63"/>
      <c r="T83" s="63"/>
      <c r="U83" s="63"/>
      <c r="V83" s="63"/>
      <c r="W83" s="63"/>
      <c r="X83" s="63"/>
      <c r="Y83" s="63"/>
      <c r="Z83" s="63"/>
      <c r="AA83" s="63"/>
      <c r="AB83" s="64"/>
      <c r="AC83" s="254" t="str">
        <f t="shared" si="7"/>
        <v>char(6)</v>
      </c>
      <c r="AD83" s="255"/>
      <c r="AE83" s="255"/>
      <c r="AF83" s="255"/>
      <c r="AG83" s="256"/>
      <c r="AH83" s="21"/>
      <c r="AI83" s="64"/>
      <c r="AJ83" s="21"/>
      <c r="AK83" s="63"/>
      <c r="AL83" s="64"/>
      <c r="AM83" s="21"/>
      <c r="AN83" s="63"/>
      <c r="AO83" s="63"/>
      <c r="AP83" s="63"/>
      <c r="AQ83" s="63"/>
      <c r="AR83" s="63"/>
      <c r="AS83" s="64"/>
      <c r="AT83" s="21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4"/>
      <c r="BK83" s="4"/>
      <c r="BL83" t="str">
        <f t="shared" si="8"/>
        <v>SUBSTRING(`DATA`,257,6) AS '登録日',</v>
      </c>
      <c r="BM83">
        <f t="shared" si="9"/>
        <v>257</v>
      </c>
      <c r="BN83">
        <v>6</v>
      </c>
      <c r="BP83" t="str">
        <f>",`"&amp;R83&amp;"` "&amp;AC83&amp;" "&amp;IF(AJ83="Y","NOT NULL","")&amp;" COMMENT '"&amp;D83&amp;"'"</f>
        <v>,`RegistrationDate` char(6)  COMMENT '登録日'</v>
      </c>
      <c r="BQ83" t="s">
        <v>223</v>
      </c>
      <c r="BR83" s="82" t="str">
        <f>"`"&amp;R83&amp;"` "&amp;AC83&amp;" "&amp;IF(AJ83="Y","NOT NULL","")</f>
        <v xml:space="preserve">`RegistrationDate` char(6) </v>
      </c>
      <c r="BS83" t="s">
        <v>223</v>
      </c>
      <c r="BT83" s="82" t="str">
        <f>"`"&amp;R83&amp;"`"</f>
        <v>`RegistrationDate`</v>
      </c>
      <c r="BU83" t="s">
        <v>223</v>
      </c>
      <c r="BV83" s="82" t="str">
        <f>"A.`"&amp;R83&amp;"` = B.`"&amp;R83&amp;"`"</f>
        <v>A.`RegistrationDate` = B.`RegistrationDate`</v>
      </c>
      <c r="BW83" t="s">
        <v>223</v>
      </c>
      <c r="BX83" s="82" t="str">
        <f>"`"&amp;R83&amp;"`"</f>
        <v>`RegistrationDate`</v>
      </c>
      <c r="BY83" t="s">
        <v>223</v>
      </c>
      <c r="BZ83" s="82" t="str">
        <f>"`"&amp;R83&amp;"`"</f>
        <v>`RegistrationDate`</v>
      </c>
      <c r="CA83" t="s">
        <v>223</v>
      </c>
    </row>
    <row r="84" spans="1:79" ht="15" customHeight="1">
      <c r="A84" s="84" t="s">
        <v>244</v>
      </c>
      <c r="B84" s="23">
        <v>9</v>
      </c>
      <c r="C84" s="24"/>
      <c r="D84" s="22" t="s">
        <v>1240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6"/>
      <c r="R84" s="22" t="s">
        <v>1318</v>
      </c>
      <c r="S84" s="25"/>
      <c r="T84" s="25"/>
      <c r="U84" s="25"/>
      <c r="V84" s="25"/>
      <c r="W84" s="25"/>
      <c r="X84" s="25"/>
      <c r="Y84" s="25"/>
      <c r="Z84" s="25"/>
      <c r="AA84" s="25"/>
      <c r="AB84" s="26"/>
      <c r="AC84" s="257" t="str">
        <f t="shared" si="7"/>
        <v>char(1)</v>
      </c>
      <c r="AD84" s="258"/>
      <c r="AE84" s="258"/>
      <c r="AF84" s="258"/>
      <c r="AG84" s="259"/>
      <c r="AH84" s="22"/>
      <c r="AI84" s="26"/>
      <c r="AJ84" s="22"/>
      <c r="AK84" s="25"/>
      <c r="AL84" s="26"/>
      <c r="AM84" s="22"/>
      <c r="AN84" s="25"/>
      <c r="AO84" s="25"/>
      <c r="AP84" s="25"/>
      <c r="AQ84" s="25"/>
      <c r="AR84" s="25"/>
      <c r="AS84" s="26"/>
      <c r="AT84" s="22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6"/>
      <c r="BK84" s="4"/>
      <c r="BL84" t="str">
        <f t="shared" si="8"/>
        <v>SUBSTRING(`DATA`,263,1) AS '保存符号',</v>
      </c>
      <c r="BM84">
        <f t="shared" si="9"/>
        <v>263</v>
      </c>
      <c r="BN84">
        <v>1</v>
      </c>
      <c r="BP84" t="str">
        <f t="shared" ref="BP84:BP89" si="46">",`"&amp;R84&amp;"` "&amp;AC84&amp;" "&amp;IF(AJ84="Y","NOT NULL","")&amp;" COMMENT '"&amp;D84&amp;"'"</f>
        <v>,`ConservationCode` char(1)  COMMENT '保存符号'</v>
      </c>
      <c r="BQ84" t="s">
        <v>223</v>
      </c>
      <c r="BR84" t="str">
        <f t="shared" ref="BR84:BR89" si="47">",`"&amp;R84&amp;"` "&amp;AC84&amp;" "&amp;IF(AJ84="Y","NOT NULL","")</f>
        <v xml:space="preserve">,`ConservationCode` char(1) </v>
      </c>
      <c r="BS84" t="s">
        <v>223</v>
      </c>
      <c r="BT84" t="str">
        <f t="shared" ref="BT84:BT89" si="48">",`"&amp;R84&amp;"`"</f>
        <v>,`ConservationCode`</v>
      </c>
      <c r="BU84" t="s">
        <v>223</v>
      </c>
      <c r="BV84" s="82" t="str">
        <f t="shared" ref="BV84:BV89" si="49">",A.`"&amp;R84&amp;"` = B.`"&amp;R84&amp;"`"</f>
        <v>,A.`ConservationCode` = B.`ConservationCode`</v>
      </c>
      <c r="BW84" t="s">
        <v>223</v>
      </c>
      <c r="BX84" s="82" t="str">
        <f t="shared" ref="BX84:BX89" si="50">",`"&amp;R84&amp;"`"</f>
        <v>,`ConservationCode`</v>
      </c>
      <c r="BY84" t="s">
        <v>223</v>
      </c>
      <c r="BZ84" s="82" t="str">
        <f t="shared" ref="BZ84:BZ89" si="51">",`"&amp;R84&amp;"`"</f>
        <v>,`ConservationCode`</v>
      </c>
      <c r="CA84" t="s">
        <v>223</v>
      </c>
    </row>
    <row r="85" spans="1:79" ht="15" customHeight="1">
      <c r="A85" s="84" t="s">
        <v>245</v>
      </c>
      <c r="B85" s="23">
        <v>9</v>
      </c>
      <c r="C85" s="24"/>
      <c r="D85" s="22" t="s">
        <v>1241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6"/>
      <c r="R85" s="22" t="s">
        <v>1319</v>
      </c>
      <c r="S85" s="25"/>
      <c r="T85" s="25"/>
      <c r="U85" s="25"/>
      <c r="V85" s="25"/>
      <c r="W85" s="25"/>
      <c r="X85" s="25"/>
      <c r="Y85" s="25"/>
      <c r="Z85" s="25"/>
      <c r="AA85" s="25"/>
      <c r="AB85" s="26"/>
      <c r="AC85" s="257" t="str">
        <f t="shared" si="7"/>
        <v>char(5)</v>
      </c>
      <c r="AD85" s="258"/>
      <c r="AE85" s="258"/>
      <c r="AF85" s="258"/>
      <c r="AG85" s="259"/>
      <c r="AH85" s="22"/>
      <c r="AI85" s="26"/>
      <c r="AJ85" s="22"/>
      <c r="AK85" s="25"/>
      <c r="AL85" s="26"/>
      <c r="AM85" s="22"/>
      <c r="AN85" s="25"/>
      <c r="AO85" s="25"/>
      <c r="AP85" s="25"/>
      <c r="AQ85" s="25"/>
      <c r="AR85" s="25"/>
      <c r="AS85" s="26"/>
      <c r="AT85" s="22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6"/>
      <c r="BK85" s="4"/>
      <c r="BL85" t="str">
        <f t="shared" si="8"/>
        <v>SUBSTRING(`DATA`,264,5) AS '保存期限',</v>
      </c>
      <c r="BM85">
        <f t="shared" si="9"/>
        <v>264</v>
      </c>
      <c r="BN85">
        <v>5</v>
      </c>
      <c r="BP85" t="str">
        <f t="shared" si="46"/>
        <v>,`StorageLife` char(5)  COMMENT '保存期限'</v>
      </c>
      <c r="BQ85" t="s">
        <v>223</v>
      </c>
      <c r="BR85" t="str">
        <f t="shared" si="47"/>
        <v xml:space="preserve">,`StorageLife` char(5) </v>
      </c>
      <c r="BS85" t="s">
        <v>223</v>
      </c>
      <c r="BT85" t="str">
        <f t="shared" si="48"/>
        <v>,`StorageLife`</v>
      </c>
      <c r="BU85" t="s">
        <v>223</v>
      </c>
      <c r="BV85" s="82" t="str">
        <f t="shared" si="49"/>
        <v>,A.`StorageLife` = B.`StorageLife`</v>
      </c>
      <c r="BW85" t="s">
        <v>223</v>
      </c>
      <c r="BX85" s="82" t="str">
        <f t="shared" si="50"/>
        <v>,`StorageLife`</v>
      </c>
      <c r="BY85" t="s">
        <v>223</v>
      </c>
      <c r="BZ85" s="82" t="str">
        <f t="shared" si="51"/>
        <v>,`StorageLife`</v>
      </c>
      <c r="CA85" t="s">
        <v>223</v>
      </c>
    </row>
    <row r="86" spans="1:79" ht="15" customHeight="1">
      <c r="A86" s="84" t="s">
        <v>246</v>
      </c>
      <c r="B86" s="23">
        <v>9</v>
      </c>
      <c r="C86" s="24"/>
      <c r="D86" s="22" t="s">
        <v>1242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6"/>
      <c r="R86" s="22" t="s">
        <v>1320</v>
      </c>
      <c r="S86" s="25"/>
      <c r="T86" s="25"/>
      <c r="U86" s="25"/>
      <c r="V86" s="25"/>
      <c r="W86" s="25"/>
      <c r="X86" s="25"/>
      <c r="Y86" s="25"/>
      <c r="Z86" s="25"/>
      <c r="AA86" s="25"/>
      <c r="AB86" s="26"/>
      <c r="AC86" s="257" t="str">
        <f t="shared" si="7"/>
        <v>char(1)</v>
      </c>
      <c r="AD86" s="258"/>
      <c r="AE86" s="258"/>
      <c r="AF86" s="258"/>
      <c r="AG86" s="259"/>
      <c r="AH86" s="22"/>
      <c r="AI86" s="26"/>
      <c r="AJ86" s="22"/>
      <c r="AK86" s="25"/>
      <c r="AL86" s="26"/>
      <c r="AM86" s="22"/>
      <c r="AN86" s="25"/>
      <c r="AO86" s="25"/>
      <c r="AP86" s="25"/>
      <c r="AQ86" s="25"/>
      <c r="AR86" s="25"/>
      <c r="AS86" s="26"/>
      <c r="AT86" s="22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6"/>
      <c r="BK86" s="4"/>
      <c r="BL86" t="str">
        <f t="shared" si="8"/>
        <v>SUBSTRING(`DATA`,269,1) AS '保存単位',</v>
      </c>
      <c r="BM86">
        <f t="shared" si="9"/>
        <v>269</v>
      </c>
      <c r="BN86">
        <v>1</v>
      </c>
      <c r="BP86" t="str">
        <f t="shared" si="46"/>
        <v>,`StorageUnit` char(1)  COMMENT '保存単位'</v>
      </c>
      <c r="BQ86" t="s">
        <v>223</v>
      </c>
      <c r="BR86" t="str">
        <f t="shared" si="47"/>
        <v xml:space="preserve">,`StorageUnit` char(1) </v>
      </c>
      <c r="BS86" t="s">
        <v>223</v>
      </c>
      <c r="BT86" t="str">
        <f t="shared" si="48"/>
        <v>,`StorageUnit`</v>
      </c>
      <c r="BU86" t="s">
        <v>223</v>
      </c>
      <c r="BV86" s="82" t="str">
        <f t="shared" si="49"/>
        <v>,A.`StorageUnit` = B.`StorageUnit`</v>
      </c>
      <c r="BW86" t="s">
        <v>223</v>
      </c>
      <c r="BX86" s="82" t="str">
        <f t="shared" si="50"/>
        <v>,`StorageUnit`</v>
      </c>
      <c r="BY86" t="s">
        <v>223</v>
      </c>
      <c r="BZ86" s="82" t="str">
        <f t="shared" si="51"/>
        <v>,`StorageUnit`</v>
      </c>
      <c r="CA86" t="s">
        <v>223</v>
      </c>
    </row>
    <row r="87" spans="1:79" ht="15" customHeight="1">
      <c r="A87" s="84" t="s">
        <v>247</v>
      </c>
      <c r="B87" s="23">
        <v>9</v>
      </c>
      <c r="C87" s="24"/>
      <c r="D87" s="22" t="s">
        <v>1243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6"/>
      <c r="R87" s="22" t="s">
        <v>1321</v>
      </c>
      <c r="S87" s="25"/>
      <c r="T87" s="25"/>
      <c r="U87" s="25"/>
      <c r="V87" s="25"/>
      <c r="W87" s="25"/>
      <c r="X87" s="25"/>
      <c r="Y87" s="25"/>
      <c r="Z87" s="25"/>
      <c r="AA87" s="25"/>
      <c r="AB87" s="26"/>
      <c r="AC87" s="257" t="str">
        <f t="shared" si="7"/>
        <v>char(5)</v>
      </c>
      <c r="AD87" s="258"/>
      <c r="AE87" s="258"/>
      <c r="AF87" s="258"/>
      <c r="AG87" s="259"/>
      <c r="AH87" s="22"/>
      <c r="AI87" s="26"/>
      <c r="AJ87" s="22"/>
      <c r="AK87" s="25"/>
      <c r="AL87" s="26"/>
      <c r="AM87" s="22"/>
      <c r="AN87" s="25"/>
      <c r="AO87" s="25"/>
      <c r="AP87" s="25"/>
      <c r="AQ87" s="25"/>
      <c r="AR87" s="25"/>
      <c r="AS87" s="26"/>
      <c r="AT87" s="22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6"/>
      <c r="BK87" s="4"/>
      <c r="BL87" t="str">
        <f t="shared" si="8"/>
        <v>SUBSTRING(`DATA`,270,5) AS '賞味期間',</v>
      </c>
      <c r="BM87">
        <f t="shared" si="9"/>
        <v>270</v>
      </c>
      <c r="BN87">
        <v>5</v>
      </c>
      <c r="BP87" t="str">
        <f t="shared" si="46"/>
        <v>,`BestBeforePeriod` char(5)  COMMENT '賞味期間'</v>
      </c>
      <c r="BQ87" t="s">
        <v>223</v>
      </c>
      <c r="BR87" t="str">
        <f t="shared" si="47"/>
        <v xml:space="preserve">,`BestBeforePeriod` char(5) </v>
      </c>
      <c r="BS87" t="s">
        <v>223</v>
      </c>
      <c r="BT87" t="str">
        <f t="shared" si="48"/>
        <v>,`BestBeforePeriod`</v>
      </c>
      <c r="BU87" t="s">
        <v>223</v>
      </c>
      <c r="BV87" s="82" t="str">
        <f t="shared" si="49"/>
        <v>,A.`BestBeforePeriod` = B.`BestBeforePeriod`</v>
      </c>
      <c r="BW87" t="s">
        <v>223</v>
      </c>
      <c r="BX87" s="82" t="str">
        <f t="shared" si="50"/>
        <v>,`BestBeforePeriod`</v>
      </c>
      <c r="BY87" t="s">
        <v>223</v>
      </c>
      <c r="BZ87" s="82" t="str">
        <f t="shared" si="51"/>
        <v>,`BestBeforePeriod`</v>
      </c>
      <c r="CA87" t="s">
        <v>223</v>
      </c>
    </row>
    <row r="88" spans="1:79" ht="15" customHeight="1">
      <c r="A88" s="84" t="s">
        <v>248</v>
      </c>
      <c r="B88" s="23">
        <v>9</v>
      </c>
      <c r="C88" s="24"/>
      <c r="D88" s="22" t="s">
        <v>1244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6"/>
      <c r="R88" s="22" t="s">
        <v>1322</v>
      </c>
      <c r="S88" s="25"/>
      <c r="T88" s="25"/>
      <c r="U88" s="25"/>
      <c r="V88" s="25"/>
      <c r="W88" s="25"/>
      <c r="X88" s="25"/>
      <c r="Y88" s="25"/>
      <c r="Z88" s="25"/>
      <c r="AA88" s="25"/>
      <c r="AB88" s="26"/>
      <c r="AC88" s="257" t="str">
        <f t="shared" si="7"/>
        <v>char(1)</v>
      </c>
      <c r="AD88" s="258"/>
      <c r="AE88" s="258"/>
      <c r="AF88" s="258"/>
      <c r="AG88" s="259"/>
      <c r="AH88" s="22"/>
      <c r="AI88" s="26"/>
      <c r="AJ88" s="22"/>
      <c r="AK88" s="25"/>
      <c r="AL88" s="26"/>
      <c r="AM88" s="22"/>
      <c r="AN88" s="25"/>
      <c r="AO88" s="25"/>
      <c r="AP88" s="25"/>
      <c r="AQ88" s="25"/>
      <c r="AR88" s="25"/>
      <c r="AS88" s="26"/>
      <c r="AT88" s="22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6"/>
      <c r="BK88" s="4"/>
      <c r="BL88" t="str">
        <f t="shared" si="8"/>
        <v>SUBSTRING(`DATA`,275,1) AS '賞味期間単位',</v>
      </c>
      <c r="BM88">
        <f t="shared" si="9"/>
        <v>275</v>
      </c>
      <c r="BN88">
        <v>1</v>
      </c>
      <c r="BP88" t="str">
        <f t="shared" si="46"/>
        <v>,`BestBeforePeriodUnit` char(1)  COMMENT '賞味期間単位'</v>
      </c>
      <c r="BQ88" t="s">
        <v>223</v>
      </c>
      <c r="BR88" t="str">
        <f t="shared" si="47"/>
        <v xml:space="preserve">,`BestBeforePeriodUnit` char(1) </v>
      </c>
      <c r="BS88" t="s">
        <v>223</v>
      </c>
      <c r="BT88" t="str">
        <f t="shared" si="48"/>
        <v>,`BestBeforePeriodUnit`</v>
      </c>
      <c r="BU88" t="s">
        <v>223</v>
      </c>
      <c r="BV88" s="82" t="str">
        <f t="shared" si="49"/>
        <v>,A.`BestBeforePeriodUnit` = B.`BestBeforePeriodUnit`</v>
      </c>
      <c r="BW88" t="s">
        <v>223</v>
      </c>
      <c r="BX88" s="82" t="str">
        <f t="shared" si="50"/>
        <v>,`BestBeforePeriodUnit`</v>
      </c>
      <c r="BY88" t="s">
        <v>223</v>
      </c>
      <c r="BZ88" s="82" t="str">
        <f t="shared" si="51"/>
        <v>,`BestBeforePeriodUnit`</v>
      </c>
      <c r="CA88" t="s">
        <v>223</v>
      </c>
    </row>
    <row r="89" spans="1:79" ht="15" customHeight="1">
      <c r="A89" s="84" t="s">
        <v>525</v>
      </c>
      <c r="B89" s="23">
        <v>9</v>
      </c>
      <c r="C89" s="24"/>
      <c r="D89" s="22" t="s">
        <v>1168</v>
      </c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6"/>
      <c r="R89" s="22" t="s">
        <v>1323</v>
      </c>
      <c r="S89" s="25"/>
      <c r="T89" s="25"/>
      <c r="U89" s="25"/>
      <c r="V89" s="25"/>
      <c r="W89" s="25"/>
      <c r="X89" s="25"/>
      <c r="Y89" s="25"/>
      <c r="Z89" s="25"/>
      <c r="AA89" s="25"/>
      <c r="AB89" s="26"/>
      <c r="AC89" s="257" t="str">
        <f t="shared" si="7"/>
        <v>char(18)</v>
      </c>
      <c r="AD89" s="258"/>
      <c r="AE89" s="258"/>
      <c r="AF89" s="258"/>
      <c r="AG89" s="259"/>
      <c r="AH89" s="22"/>
      <c r="AI89" s="26"/>
      <c r="AJ89" s="22"/>
      <c r="AK89" s="25"/>
      <c r="AL89" s="26"/>
      <c r="AM89" s="22"/>
      <c r="AN89" s="25"/>
      <c r="AO89" s="25"/>
      <c r="AP89" s="25"/>
      <c r="AQ89" s="25"/>
      <c r="AR89" s="25"/>
      <c r="AS89" s="26"/>
      <c r="AT89" s="22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6"/>
      <c r="BK89" s="4"/>
      <c r="BL89" t="str">
        <f t="shared" si="8"/>
        <v>SUBSTRING(`DATA`,276,18) AS '予備',</v>
      </c>
      <c r="BM89">
        <f t="shared" si="9"/>
        <v>276</v>
      </c>
      <c r="BN89">
        <v>18</v>
      </c>
      <c r="BP89" t="str">
        <f t="shared" si="46"/>
        <v>,`YOBI` char(18)  COMMENT '予備'</v>
      </c>
      <c r="BQ89" t="s">
        <v>223</v>
      </c>
      <c r="BR89" t="str">
        <f t="shared" si="47"/>
        <v xml:space="preserve">,`YOBI` char(18) </v>
      </c>
      <c r="BS89" t="s">
        <v>223</v>
      </c>
      <c r="BT89" t="str">
        <f t="shared" si="48"/>
        <v>,`YOBI`</v>
      </c>
      <c r="BU89" t="s">
        <v>223</v>
      </c>
      <c r="BV89" s="82" t="str">
        <f t="shared" si="49"/>
        <v>,A.`YOBI` = B.`YOBI`</v>
      </c>
      <c r="BW89" t="s">
        <v>223</v>
      </c>
      <c r="BX89" s="82" t="str">
        <f t="shared" si="50"/>
        <v>,`YOBI`</v>
      </c>
      <c r="BY89" t="s">
        <v>223</v>
      </c>
      <c r="BZ89" s="82" t="str">
        <f t="shared" si="51"/>
        <v>,`YOBI`</v>
      </c>
      <c r="CA89" t="s">
        <v>223</v>
      </c>
    </row>
    <row r="90" spans="1:79" ht="15" customHeight="1">
      <c r="A90" s="84"/>
      <c r="BK90" s="4"/>
      <c r="BP9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(),</v>
      </c>
      <c r="BQ90" t="s">
        <v>223</v>
      </c>
      <c r="BR90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()</v>
      </c>
      <c r="BS90" t="s">
        <v>223</v>
      </c>
      <c r="BT90" s="82" t="s">
        <v>226</v>
      </c>
      <c r="BU90" t="s">
        <v>223</v>
      </c>
      <c r="BV90" s="82" t="s">
        <v>231</v>
      </c>
      <c r="BW90" t="s">
        <v>223</v>
      </c>
      <c r="BY90" t="s">
        <v>223</v>
      </c>
      <c r="BZ90" s="82" t="str">
        <f>"FROM `TMP`.`"&amp;$G$10&amp;"` A"</f>
        <v>FROM `TMP`.`P001_02` A</v>
      </c>
      <c r="CA90" t="s">
        <v>223</v>
      </c>
    </row>
    <row r="91" spans="1:79" ht="15" customHeight="1">
      <c r="A91" s="84"/>
      <c r="BK91" s="4"/>
      <c r="BP91" s="82" t="s">
        <v>222</v>
      </c>
      <c r="BQ91" t="s">
        <v>223</v>
      </c>
      <c r="BR91" s="82" t="str">
        <f>") ENGINE=InnoDB DEFAULT CHARSET=utf8mb4 COLLATE=utf8mb4_0900_ai_ci COMMENT = '"&amp;$G$9&amp;"_TMP';"</f>
        <v>) ENGINE=InnoDB DEFAULT CHARSET=utf8mb4 COLLATE=utf8mb4_0900_ai_ci COMMENT = 'P001(POP商品情報送付データ)_TMP';</v>
      </c>
      <c r="BS91" t="s">
        <v>223</v>
      </c>
      <c r="BU91" t="s">
        <v>223</v>
      </c>
      <c r="BV91" s="82" t="str">
        <f>IF(_xlfn.XLOOKUP(1,$AH:$AH,$R:$R,"",0)="","","A.`"&amp;_xlfn.XLOOKUP(1,$AH:$AH,$R:$R,"",0)&amp;"` = B.`"&amp;_xlfn.XLOOKUP(1,$AH:$AH,$R:$R,"",0)&amp;"`")</f>
        <v/>
      </c>
      <c r="BW91" t="s">
        <v>223</v>
      </c>
      <c r="BY91" t="s">
        <v>223</v>
      </c>
      <c r="BZ91" s="82" t="s">
        <v>232</v>
      </c>
      <c r="CA91" t="s">
        <v>223</v>
      </c>
    </row>
    <row r="92" spans="1:79" ht="15" customHeight="1">
      <c r="A92" s="84"/>
      <c r="B92" s="36" t="s">
        <v>47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4"/>
      <c r="BP92" s="82" t="str">
        <f>") ENGINE=InnoDB DEFAULT CHARSET=utf8mb4 COLLATE=utf8mb4_0900_ai_ci COMMENT = '"&amp;$G$9&amp;"';"</f>
        <v>) ENGINE=InnoDB DEFAULT CHARSET=utf8mb4 COLLATE=utf8mb4_0900_ai_ci COMMENT = 'P001(POP商品情報送付データ)';</v>
      </c>
      <c r="BQ92" t="s">
        <v>223</v>
      </c>
      <c r="BS92" t="s">
        <v>223</v>
      </c>
      <c r="BU92" t="s">
        <v>223</v>
      </c>
      <c r="BV92" s="82" t="str">
        <f>IF(_xlfn.XLOOKUP(2,$AH:$AH,$R:$R,"",0)="","","AND A.`"&amp;_xlfn.XLOOKUP(2,$AH:$AH,$R:$R,"",0)&amp;"` = B.`"&amp;_xlfn.XLOOKUP(2,$AH:$AH,$R:$R,"",0)&amp;"`")</f>
        <v/>
      </c>
      <c r="BW92" t="s">
        <v>223</v>
      </c>
      <c r="BY92" t="s">
        <v>223</v>
      </c>
      <c r="BZ92" s="82" t="str">
        <f>"FROM `REPLICA_KASUMI`.`"&amp;$G$10&amp;"` B"</f>
        <v>FROM `REPLICA_KASUMI`.`P001_02` B</v>
      </c>
      <c r="CA92" t="s">
        <v>223</v>
      </c>
    </row>
    <row r="93" spans="1:79" ht="15" customHeight="1">
      <c r="A93" s="84"/>
      <c r="B93" s="33" t="s">
        <v>48</v>
      </c>
      <c r="C93" s="34"/>
      <c r="D93" s="33" t="s">
        <v>49</v>
      </c>
      <c r="E93" s="43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4"/>
      <c r="R93" s="33" t="s">
        <v>50</v>
      </c>
      <c r="S93" s="43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4"/>
      <c r="AL93" s="33" t="s">
        <v>51</v>
      </c>
      <c r="AM93" s="35"/>
      <c r="AN93" s="35"/>
      <c r="AO93" s="44"/>
      <c r="AP93" s="33" t="s">
        <v>52</v>
      </c>
      <c r="AQ93" s="35"/>
      <c r="AR93" s="35"/>
      <c r="AS93" s="34"/>
      <c r="AT93" s="33" t="s">
        <v>46</v>
      </c>
      <c r="AU93" s="43"/>
      <c r="AV93" s="43"/>
      <c r="AW93" s="35"/>
      <c r="AX93" s="35"/>
      <c r="AY93" s="43"/>
      <c r="AZ93" s="35"/>
      <c r="BA93" s="35"/>
      <c r="BB93" s="35"/>
      <c r="BC93" s="35"/>
      <c r="BD93" s="35"/>
      <c r="BE93" s="35"/>
      <c r="BF93" s="35"/>
      <c r="BG93" s="35"/>
      <c r="BH93" s="35"/>
      <c r="BI93" s="43"/>
      <c r="BJ93" s="34"/>
      <c r="BK93" s="4"/>
      <c r="BP93" s="82"/>
      <c r="BQ93" t="s">
        <v>223</v>
      </c>
      <c r="BS93" t="s">
        <v>223</v>
      </c>
      <c r="BU93" t="s">
        <v>223</v>
      </c>
      <c r="BV93" s="82" t="str">
        <f>IF(_xlfn.XLOOKUP(3,$AH:$AH,$R:$R,"",0)="","","AND A.`"&amp;_xlfn.XLOOKUP(3,$AH:$AH,$R:$R,"",0)&amp;"` = B.`"&amp;_xlfn.XLOOKUP(3,$AH:$AH,$R:$R,"",0)&amp;"`")</f>
        <v/>
      </c>
      <c r="BW93" t="s">
        <v>223</v>
      </c>
      <c r="BY93" t="s">
        <v>223</v>
      </c>
      <c r="BZ93" s="82" t="s">
        <v>229</v>
      </c>
      <c r="CA93" t="s">
        <v>223</v>
      </c>
    </row>
    <row r="94" spans="1:79" ht="15" customHeight="1">
      <c r="A94" s="84"/>
      <c r="B94" s="37">
        <v>1</v>
      </c>
      <c r="C94" s="38"/>
      <c r="D94" s="37" t="s">
        <v>53</v>
      </c>
      <c r="E94" s="45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8"/>
      <c r="R94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/>
      </c>
      <c r="S94" s="45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8"/>
      <c r="AL94" s="37" t="s">
        <v>224</v>
      </c>
      <c r="AM94" s="39"/>
      <c r="AN94" s="39"/>
      <c r="AO94" s="46"/>
      <c r="AP94" s="37" t="s">
        <v>224</v>
      </c>
      <c r="AQ94" s="39"/>
      <c r="AR94" s="39"/>
      <c r="AS94" s="38"/>
      <c r="AT94" s="37"/>
      <c r="AU94" s="45"/>
      <c r="AV94" s="45"/>
      <c r="AW94" s="39"/>
      <c r="AX94" s="39"/>
      <c r="AY94" s="45"/>
      <c r="AZ94" s="39"/>
      <c r="BA94" s="39"/>
      <c r="BB94" s="39"/>
      <c r="BC94" s="39"/>
      <c r="BD94" s="39"/>
      <c r="BE94" s="39"/>
      <c r="BF94" s="39"/>
      <c r="BG94" s="39"/>
      <c r="BH94" s="39"/>
      <c r="BI94" s="45"/>
      <c r="BJ94" s="38"/>
      <c r="BK94" s="4"/>
      <c r="BP94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`P001_02_CR_Date_Time` BEFORE INSERT ON `P001_02` FOR EACH ROW SET NEW.record_create_date = CURRENT_DATE, NEW.record_create_time = CURRENT_TIME, NEW.record_update_date = CURRENT_DATE, NEW.record_update_time = CURRENT_TIME;</v>
      </c>
      <c r="BQ94" t="s">
        <v>223</v>
      </c>
      <c r="BS94" t="s">
        <v>223</v>
      </c>
      <c r="BU94" t="s">
        <v>223</v>
      </c>
      <c r="BV94" s="82" t="str">
        <f>IF(_xlfn.XLOOKUP(4,$AH:$AH,$R:$R,"",0)="","","AND A.`"&amp;_xlfn.XLOOKUP(4,$AH:$AH,$R:$R,"",0)&amp;"` = B.`"&amp;_xlfn.XLOOKUP(4,$AH:$AH,$R:$R,"",0)&amp;"`")</f>
        <v/>
      </c>
      <c r="BW94" t="s">
        <v>223</v>
      </c>
      <c r="BY94" t="s">
        <v>223</v>
      </c>
      <c r="BZ94" s="82" t="str">
        <f>IF(_xlfn.XLOOKUP(1,$AH:$AH,$R:$R,"",0)="","","A.`"&amp;_xlfn.XLOOKUP(1,$AH:$AH,$R:$R,"",0)&amp;"` = B.`"&amp;_xlfn.XLOOKUP(1,$AH:$AH,$R:$R,"",0)&amp;"`")</f>
        <v/>
      </c>
      <c r="CA94" t="s">
        <v>223</v>
      </c>
    </row>
    <row r="95" spans="1:79" ht="15" customHeight="1">
      <c r="A95" s="84"/>
      <c r="BK95" s="4"/>
      <c r="BP95" s="82" t="str">
        <f>"CREATE TRIGGER `"&amp;$G$10&amp;"_UP_Date_Time` BEFORE UPDATE ON `"&amp;$G$10&amp;"` FOR EACH ROW SET NEW.record_update_date = CURRENT_DATE, NEW.record_update_time = CURRENT_TIME;"</f>
        <v>CREATE TRIGGER `P001_02_UP_Date_Time` BEFORE UPDATE ON `P001_02` FOR EACH ROW SET NEW.record_update_date = CURRENT_DATE, NEW.record_update_time = CURRENT_TIME;</v>
      </c>
      <c r="BQ95" t="s">
        <v>223</v>
      </c>
      <c r="BS95" t="s">
        <v>223</v>
      </c>
      <c r="BU95" t="s">
        <v>223</v>
      </c>
      <c r="BV95" s="82" t="str">
        <f>IF(_xlfn.XLOOKUP(5,$AH:$AH,$R:$R,"",0)="","","AND A.`"&amp;_xlfn.XLOOKUP(5,$AH:$AH,$R:$R,"",0)&amp;"` = B.`"&amp;_xlfn.XLOOKUP(5,$AH:$AH,$R:$R,"",0)&amp;"`")</f>
        <v/>
      </c>
      <c r="BW95" t="s">
        <v>223</v>
      </c>
      <c r="BY95" t="s">
        <v>223</v>
      </c>
      <c r="BZ95" s="82" t="str">
        <f>IF(_xlfn.XLOOKUP(2,$AH:$AH,$R:$R,"",0)="","","AND A.`"&amp;_xlfn.XLOOKUP(2,$AH:$AH,$R:$R,"",0)&amp;"` = B.`"&amp;_xlfn.XLOOKUP(2,$AH:$AH,$R:$R,"",0)&amp;"`")</f>
        <v/>
      </c>
      <c r="CA95" t="s">
        <v>223</v>
      </c>
    </row>
    <row r="96" spans="1:79" ht="15" customHeight="1">
      <c r="A96" s="84"/>
      <c r="BK96" s="4"/>
      <c r="BQ96" t="s">
        <v>223</v>
      </c>
      <c r="BS96" t="s">
        <v>223</v>
      </c>
      <c r="BU96" t="s">
        <v>223</v>
      </c>
      <c r="BV96" s="82" t="str">
        <f>IF(_xlfn.XLOOKUP(6,$AH:$AH,$R:$R,"",0)="","","AND A.`"&amp;_xlfn.XLOOKUP(6,$AH:$AH,$R:$R,"",0)&amp;"` = B.`"&amp;_xlfn.XLOOKUP(6,$AH:$AH,$R:$R,"",0)&amp;"`")</f>
        <v/>
      </c>
      <c r="BW96" t="s">
        <v>223</v>
      </c>
      <c r="BY96" t="s">
        <v>223</v>
      </c>
      <c r="BZ96" s="82" t="str">
        <f>IF(_xlfn.XLOOKUP(3,$AH:$AH,$R:$R,"",0)="","","AND A.`"&amp;_xlfn.XLOOKUP(3,$AH:$AH,$R:$R,"",0)&amp;"` = B.`"&amp;_xlfn.XLOOKUP(3,$AH:$AH,$R:$R,"",0)&amp;"`")</f>
        <v/>
      </c>
      <c r="CA96" t="s">
        <v>223</v>
      </c>
    </row>
    <row r="97" spans="1:79" ht="15" customHeight="1">
      <c r="A97" s="84"/>
      <c r="B97" s="36" t="s">
        <v>32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4"/>
      <c r="BQ97" t="s">
        <v>223</v>
      </c>
      <c r="BS97" t="s">
        <v>223</v>
      </c>
      <c r="BU97" t="s">
        <v>223</v>
      </c>
      <c r="BV97" s="82" t="str">
        <f>IF(_xlfn.XLOOKUP(7,$AH:$AH,$R:$R,"",0)="","","AND A.`"&amp;_xlfn.XLOOKUP(7,$AH:$AH,$R:$R,"",0)&amp;"` = B.`"&amp;_xlfn.XLOOKUP(7,$AH:$AH,$R:$R,"",0)&amp;"`")</f>
        <v/>
      </c>
      <c r="BW97" t="s">
        <v>223</v>
      </c>
      <c r="BY97" t="s">
        <v>223</v>
      </c>
      <c r="BZ97" s="82" t="str">
        <f>IF(_xlfn.XLOOKUP(4,$AH:$AH,$R:$R,"",0)="","","AND A.`"&amp;_xlfn.XLOOKUP(4,$AH:$AH,$R:$R,"",0)&amp;"` = B.`"&amp;_xlfn.XLOOKUP(4,$AH:$AH,$R:$R,"",0)&amp;"`")</f>
        <v/>
      </c>
      <c r="CA97" t="s">
        <v>223</v>
      </c>
    </row>
    <row r="98" spans="1:79" ht="15" customHeight="1">
      <c r="A98" s="84"/>
      <c r="B98" s="33" t="s">
        <v>33</v>
      </c>
      <c r="C98" s="44"/>
      <c r="D98" s="33" t="s">
        <v>34</v>
      </c>
      <c r="E98" s="43"/>
      <c r="F98" s="43"/>
      <c r="G98" s="43"/>
      <c r="H98" s="43"/>
      <c r="I98" s="43"/>
      <c r="J98" s="43"/>
      <c r="K98" s="43"/>
      <c r="L98" s="35"/>
      <c r="M98" s="35"/>
      <c r="N98" s="35"/>
      <c r="O98" s="35"/>
      <c r="P98" s="35"/>
      <c r="Q98" s="34"/>
      <c r="R98" s="33" t="s">
        <v>35</v>
      </c>
      <c r="S98" s="35"/>
      <c r="T98" s="44"/>
      <c r="U98" s="33" t="s">
        <v>36</v>
      </c>
      <c r="V98" s="35"/>
      <c r="W98" s="43"/>
      <c r="X98" s="44"/>
      <c r="Y98" s="33" t="s">
        <v>37</v>
      </c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4"/>
      <c r="BK98" s="4"/>
      <c r="BQ98" t="s">
        <v>223</v>
      </c>
      <c r="BS98" t="s">
        <v>223</v>
      </c>
      <c r="BU98" t="s">
        <v>223</v>
      </c>
      <c r="BV98" s="82" t="str">
        <f>IF(_xlfn.XLOOKUP(8,$AH:$AH,$R:$R,"",0)="","","AND A.`"&amp;_xlfn.XLOOKUP(8,$AH:$AH,$R:$R,"",0)&amp;"` = B.`"&amp;_xlfn.XLOOKUP(8,$AH:$AH,$R:$R,"",0)&amp;"`")</f>
        <v/>
      </c>
      <c r="BW98" t="s">
        <v>223</v>
      </c>
      <c r="BY98" t="s">
        <v>223</v>
      </c>
      <c r="BZ98" s="82" t="str">
        <f>IF(_xlfn.XLOOKUP(5,$AH:$AH,$R:$R,"",0)="","","AND A.`"&amp;_xlfn.XLOOKUP(5,$AH:$AH,$R:$R,"",0)&amp;"` = B.`"&amp;_xlfn.XLOOKUP(5,$AH:$AH,$R:$R,"",0)&amp;"`")</f>
        <v/>
      </c>
      <c r="CA98" t="s">
        <v>223</v>
      </c>
    </row>
    <row r="99" spans="1:79" ht="15" customHeight="1">
      <c r="A99" s="84"/>
      <c r="B99" s="40">
        <v>1</v>
      </c>
      <c r="C99" s="46"/>
      <c r="D99" s="40" t="str">
        <f>G10&amp;"_"&amp;R99&amp;"_"&amp;"trg"</f>
        <v>P001_02_update_trg</v>
      </c>
      <c r="E99" s="45"/>
      <c r="F99" s="45"/>
      <c r="G99" s="45"/>
      <c r="H99" s="45"/>
      <c r="I99" s="45"/>
      <c r="J99" s="45"/>
      <c r="K99" s="45"/>
      <c r="L99" s="41"/>
      <c r="M99" s="41"/>
      <c r="N99" s="41"/>
      <c r="O99" s="41"/>
      <c r="P99" s="41"/>
      <c r="Q99" s="42"/>
      <c r="R99" s="40" t="s">
        <v>38</v>
      </c>
      <c r="S99" s="41"/>
      <c r="T99" s="46"/>
      <c r="U99" s="40" t="s">
        <v>39</v>
      </c>
      <c r="V99" s="41"/>
      <c r="W99" s="45"/>
      <c r="X99" s="46"/>
      <c r="Y99" s="40" t="s">
        <v>40</v>
      </c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2"/>
      <c r="BK99" s="4"/>
      <c r="BQ99" t="s">
        <v>223</v>
      </c>
      <c r="BS99" t="s">
        <v>223</v>
      </c>
      <c r="BU99" t="s">
        <v>223</v>
      </c>
      <c r="BV99" s="82" t="s">
        <v>233</v>
      </c>
      <c r="BW99" t="s">
        <v>223</v>
      </c>
      <c r="BY99" t="s">
        <v>223</v>
      </c>
      <c r="BZ99" s="82" t="str">
        <f>IF(_xlfn.XLOOKUP(6,$AH:$AH,$R:$R,"",0)="","","AND A.`"&amp;_xlfn.XLOOKUP(6,$AH:$AH,$R:$R,"",0)&amp;"` = B.`"&amp;_xlfn.XLOOKUP(6,$AH:$AH,$R:$R,"",0)&amp;"`")</f>
        <v/>
      </c>
      <c r="CA99" t="s">
        <v>223</v>
      </c>
    </row>
    <row r="100" spans="1:79" ht="15" customHeight="1">
      <c r="A100" s="84"/>
      <c r="BK100" s="4"/>
      <c r="BQ100" t="s">
        <v>223</v>
      </c>
      <c r="BS100" t="s">
        <v>223</v>
      </c>
      <c r="BU100" t="s">
        <v>223</v>
      </c>
      <c r="BW100" t="s">
        <v>223</v>
      </c>
      <c r="BY100" t="s">
        <v>223</v>
      </c>
      <c r="BZ100" s="82" t="str">
        <f>IF(_xlfn.XLOOKUP(7,$AH:$AH,$R:$R,"",0)="","","AND A.`"&amp;_xlfn.XLOOKUP(7,$AH:$AH,$R:$R,"",0)&amp;"` = B.`"&amp;_xlfn.XLOOKUP(7,$AH:$AH,$R:$R,"",0)&amp;"`")</f>
        <v/>
      </c>
      <c r="CA100" t="s">
        <v>223</v>
      </c>
    </row>
    <row r="101" spans="1:79" ht="15" customHeight="1">
      <c r="A101" s="84"/>
      <c r="BK101" s="4"/>
      <c r="BQ101" t="s">
        <v>223</v>
      </c>
      <c r="BS101" t="s">
        <v>223</v>
      </c>
      <c r="BU101" t="s">
        <v>223</v>
      </c>
      <c r="BW101" t="s">
        <v>223</v>
      </c>
      <c r="BY101" t="s">
        <v>223</v>
      </c>
      <c r="BZ101" s="82" t="str">
        <f>IF(_xlfn.XLOOKUP(8,$AH:$AH,$R:$R,"",0)="","","AND A.`"&amp;_xlfn.XLOOKUP(8,$AH:$AH,$R:$R,"",0)&amp;"` = B.`"&amp;_xlfn.XLOOKUP(8,$AH:$AH,$R:$R,"",0)&amp;"`")</f>
        <v/>
      </c>
      <c r="CA101" t="s">
        <v>223</v>
      </c>
    </row>
    <row r="102" spans="1:79" ht="15" customHeight="1">
      <c r="A102" s="84"/>
      <c r="BK102" s="4"/>
      <c r="BQ102" t="s">
        <v>223</v>
      </c>
      <c r="BS102" t="s">
        <v>223</v>
      </c>
      <c r="BU102" t="s">
        <v>223</v>
      </c>
      <c r="BW102" t="s">
        <v>223</v>
      </c>
      <c r="BY102" t="s">
        <v>223</v>
      </c>
      <c r="BZ102" s="82" t="s">
        <v>226</v>
      </c>
      <c r="CA102" t="s">
        <v>223</v>
      </c>
    </row>
    <row r="103" spans="1:79" ht="15" customHeight="1">
      <c r="A103" s="84"/>
      <c r="BK103" s="4"/>
      <c r="BQ103" t="s">
        <v>223</v>
      </c>
      <c r="BS103" t="s">
        <v>223</v>
      </c>
      <c r="BU103" t="s">
        <v>223</v>
      </c>
      <c r="BW103" t="s">
        <v>223</v>
      </c>
      <c r="BY103" t="s">
        <v>223</v>
      </c>
      <c r="CA103" t="s">
        <v>223</v>
      </c>
    </row>
    <row r="104" spans="1:79" ht="15" customHeight="1">
      <c r="A104" s="84"/>
      <c r="BK104" s="4"/>
      <c r="BQ104" t="s">
        <v>223</v>
      </c>
      <c r="BS104" t="s">
        <v>223</v>
      </c>
      <c r="BU104" t="s">
        <v>223</v>
      </c>
      <c r="BW104" t="s">
        <v>223</v>
      </c>
      <c r="BY104" t="s">
        <v>223</v>
      </c>
      <c r="BZ104" s="83"/>
      <c r="CA104" t="s">
        <v>223</v>
      </c>
    </row>
    <row r="105" spans="1:79" ht="15" customHeight="1">
      <c r="A105" s="84"/>
      <c r="BK105" s="4"/>
      <c r="BQ105" t="s">
        <v>223</v>
      </c>
      <c r="BS105" t="s">
        <v>223</v>
      </c>
      <c r="BU105" t="s">
        <v>223</v>
      </c>
      <c r="BW105" t="s">
        <v>223</v>
      </c>
      <c r="BY105" t="s">
        <v>223</v>
      </c>
      <c r="BZ105" t="str">
        <f>"DROP TABLE IF EXISTS `TMP`.`"&amp;$G$10&amp;"`;"</f>
        <v>DROP TABLE IF EXISTS `TMP`.`P001_02`;</v>
      </c>
      <c r="CA105" t="s">
        <v>223</v>
      </c>
    </row>
    <row r="106" spans="1:79" ht="15" customHeight="1">
      <c r="A106" s="84"/>
      <c r="BK106" s="4"/>
      <c r="BQ106" t="s">
        <v>223</v>
      </c>
      <c r="BS106" t="s">
        <v>223</v>
      </c>
      <c r="BU106" t="s">
        <v>223</v>
      </c>
      <c r="BW106" t="s">
        <v>223</v>
      </c>
      <c r="BY106" t="s">
        <v>223</v>
      </c>
      <c r="BZ106" t="s">
        <v>234</v>
      </c>
      <c r="CA106" t="s">
        <v>223</v>
      </c>
    </row>
    <row r="107" spans="1:79" ht="15" customHeight="1">
      <c r="A107" s="84"/>
      <c r="BK107" s="4"/>
      <c r="BQ107" t="s">
        <v>223</v>
      </c>
      <c r="BS107" t="s">
        <v>223</v>
      </c>
      <c r="BU107" t="s">
        <v>223</v>
      </c>
      <c r="BW107" t="s">
        <v>223</v>
      </c>
      <c r="BY107" t="s">
        <v>223</v>
      </c>
      <c r="CA107" t="s">
        <v>223</v>
      </c>
    </row>
    <row r="108" spans="1:79" ht="15" customHeight="1">
      <c r="A108" s="84"/>
      <c r="BK108" s="4"/>
      <c r="BQ108" t="s">
        <v>223</v>
      </c>
      <c r="BS108" t="s">
        <v>223</v>
      </c>
      <c r="BU108" t="s">
        <v>223</v>
      </c>
      <c r="BW108" t="s">
        <v>223</v>
      </c>
      <c r="BY108" t="s">
        <v>223</v>
      </c>
      <c r="CA108" t="s">
        <v>223</v>
      </c>
    </row>
    <row r="109" spans="1:79" ht="15" customHeight="1">
      <c r="A109" s="84"/>
      <c r="BK109" s="4"/>
      <c r="BQ109" t="s">
        <v>223</v>
      </c>
      <c r="BS109" t="s">
        <v>223</v>
      </c>
      <c r="BU109" t="s">
        <v>223</v>
      </c>
      <c r="BW109" t="s">
        <v>223</v>
      </c>
      <c r="BY109" t="s">
        <v>223</v>
      </c>
      <c r="CA109" t="s">
        <v>223</v>
      </c>
    </row>
    <row r="110" spans="1:79" ht="15" customHeight="1">
      <c r="A110" s="84"/>
      <c r="BK110" s="4"/>
      <c r="BQ110" t="s">
        <v>223</v>
      </c>
      <c r="BS110" t="s">
        <v>223</v>
      </c>
      <c r="BU110" t="s">
        <v>223</v>
      </c>
      <c r="BW110" t="s">
        <v>223</v>
      </c>
      <c r="BY110" t="s">
        <v>223</v>
      </c>
      <c r="CA110" t="s">
        <v>223</v>
      </c>
    </row>
    <row r="111" spans="1:79" ht="15" customHeight="1">
      <c r="A111" s="8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5"/>
      <c r="BQ111" t="s">
        <v>223</v>
      </c>
      <c r="BS111" t="s">
        <v>223</v>
      </c>
      <c r="BU111" t="s">
        <v>223</v>
      </c>
      <c r="BV111" s="82" t="str">
        <f t="shared" ref="BV111:BV118" si="52">",A.`"&amp;R111&amp;"` = B.`"&amp;R111&amp;"`"</f>
        <v>,A.`` = B.``</v>
      </c>
      <c r="BW111" t="s">
        <v>223</v>
      </c>
      <c r="BX111" s="82" t="str">
        <f t="shared" ref="BX111:BX118" si="53">",`"&amp;R111&amp;"`"</f>
        <v>,``</v>
      </c>
      <c r="BY111" t="s">
        <v>223</v>
      </c>
      <c r="BZ111" s="82" t="str">
        <f t="shared" si="6"/>
        <v>,``</v>
      </c>
      <c r="CA111" t="s">
        <v>223</v>
      </c>
    </row>
    <row r="112" spans="1:79">
      <c r="A112" s="84"/>
      <c r="BQ112" t="s">
        <v>223</v>
      </c>
      <c r="BS112" t="s">
        <v>223</v>
      </c>
      <c r="BU112" t="s">
        <v>223</v>
      </c>
      <c r="BV112" s="82" t="str">
        <f t="shared" si="52"/>
        <v>,A.`` = B.``</v>
      </c>
      <c r="BW112" t="s">
        <v>223</v>
      </c>
      <c r="BX112" s="82" t="str">
        <f t="shared" si="53"/>
        <v>,``</v>
      </c>
      <c r="BY112" t="s">
        <v>223</v>
      </c>
      <c r="BZ112" s="82" t="str">
        <f t="shared" si="6"/>
        <v>,``</v>
      </c>
      <c r="CA112" t="s">
        <v>223</v>
      </c>
    </row>
    <row r="113" spans="1:79">
      <c r="A113" s="84"/>
      <c r="BQ113" t="s">
        <v>223</v>
      </c>
      <c r="BS113" t="s">
        <v>223</v>
      </c>
      <c r="BU113" t="s">
        <v>223</v>
      </c>
      <c r="BV113" s="82" t="str">
        <f t="shared" si="52"/>
        <v>,A.`` = B.``</v>
      </c>
      <c r="BW113" t="s">
        <v>223</v>
      </c>
      <c r="BX113" s="82" t="str">
        <f t="shared" si="53"/>
        <v>,``</v>
      </c>
      <c r="BY113" t="s">
        <v>223</v>
      </c>
      <c r="BZ113" s="82" t="str">
        <f t="shared" si="6"/>
        <v>,``</v>
      </c>
      <c r="CA113" t="s">
        <v>223</v>
      </c>
    </row>
    <row r="114" spans="1:79">
      <c r="A114" s="84"/>
      <c r="BQ114" t="s">
        <v>223</v>
      </c>
      <c r="BS114" t="s">
        <v>223</v>
      </c>
      <c r="BU114" t="s">
        <v>223</v>
      </c>
      <c r="BV114" s="82" t="str">
        <f t="shared" si="52"/>
        <v>,A.`` = B.``</v>
      </c>
      <c r="BW114" t="s">
        <v>223</v>
      </c>
      <c r="BX114" s="82" t="str">
        <f t="shared" si="53"/>
        <v>,``</v>
      </c>
      <c r="BY114" t="s">
        <v>223</v>
      </c>
      <c r="BZ114" s="82" t="str">
        <f t="shared" si="6"/>
        <v>,``</v>
      </c>
      <c r="CA114" t="s">
        <v>223</v>
      </c>
    </row>
    <row r="115" spans="1:79">
      <c r="A115" s="84"/>
      <c r="BQ115" t="s">
        <v>223</v>
      </c>
      <c r="BS115" t="s">
        <v>223</v>
      </c>
      <c r="BU115" t="s">
        <v>223</v>
      </c>
      <c r="BV115" s="82" t="str">
        <f t="shared" si="52"/>
        <v>,A.`` = B.``</v>
      </c>
      <c r="BW115" t="s">
        <v>223</v>
      </c>
      <c r="BX115" s="82" t="str">
        <f t="shared" si="53"/>
        <v>,``</v>
      </c>
      <c r="BY115" t="s">
        <v>223</v>
      </c>
      <c r="BZ115" s="82" t="str">
        <f t="shared" si="6"/>
        <v>,``</v>
      </c>
      <c r="CA115" t="s">
        <v>223</v>
      </c>
    </row>
    <row r="116" spans="1:79">
      <c r="A116" s="84"/>
      <c r="BQ116" t="s">
        <v>223</v>
      </c>
      <c r="BS116" t="s">
        <v>223</v>
      </c>
      <c r="BU116" t="s">
        <v>223</v>
      </c>
      <c r="BV116" s="82" t="str">
        <f t="shared" si="52"/>
        <v>,A.`` = B.``</v>
      </c>
      <c r="BW116" t="s">
        <v>223</v>
      </c>
      <c r="BX116" s="82" t="str">
        <f t="shared" si="53"/>
        <v>,``</v>
      </c>
      <c r="BY116" t="s">
        <v>223</v>
      </c>
      <c r="BZ116" s="82" t="str">
        <f t="shared" si="6"/>
        <v>,``</v>
      </c>
      <c r="CA116" t="s">
        <v>223</v>
      </c>
    </row>
    <row r="117" spans="1:79">
      <c r="A117" s="84"/>
      <c r="BQ117" t="s">
        <v>223</v>
      </c>
      <c r="BS117" t="s">
        <v>223</v>
      </c>
      <c r="BU117" t="s">
        <v>223</v>
      </c>
      <c r="BV117" s="82" t="str">
        <f t="shared" si="52"/>
        <v>,A.`` = B.``</v>
      </c>
      <c r="BW117" t="s">
        <v>223</v>
      </c>
      <c r="BX117" s="82" t="str">
        <f t="shared" si="53"/>
        <v>,``</v>
      </c>
      <c r="BY117" t="s">
        <v>223</v>
      </c>
      <c r="BZ117" s="82" t="str">
        <f t="shared" si="6"/>
        <v>,``</v>
      </c>
      <c r="CA117" t="s">
        <v>223</v>
      </c>
    </row>
    <row r="118" spans="1:79">
      <c r="A118" s="83"/>
      <c r="BQ118" t="s">
        <v>223</v>
      </c>
      <c r="BS118" t="s">
        <v>223</v>
      </c>
      <c r="BU118" t="s">
        <v>223</v>
      </c>
      <c r="BV118" s="82" t="str">
        <f t="shared" si="52"/>
        <v>,A.`` = B.``</v>
      </c>
      <c r="BW118" t="s">
        <v>223</v>
      </c>
      <c r="BX118" s="82" t="str">
        <f t="shared" si="53"/>
        <v>,``</v>
      </c>
      <c r="BY118" t="s">
        <v>223</v>
      </c>
      <c r="BZ118" s="82" t="str">
        <f t="shared" si="6"/>
        <v>,``</v>
      </c>
      <c r="CA118" t="s">
        <v>223</v>
      </c>
    </row>
    <row r="119" spans="1:79">
      <c r="BQ119" t="s">
        <v>223</v>
      </c>
      <c r="BS119" t="s">
        <v>223</v>
      </c>
      <c r="BU119" t="s">
        <v>223</v>
      </c>
      <c r="BV119" s="82" t="s">
        <v>231</v>
      </c>
      <c r="BW119" t="s">
        <v>223</v>
      </c>
      <c r="BY119" t="s">
        <v>223</v>
      </c>
      <c r="BZ119" s="82" t="str">
        <f>"FROM `TMP`.`"&amp;$G$10&amp;"` A"</f>
        <v>FROM `TMP`.`P001_02` A</v>
      </c>
      <c r="CA119" t="s">
        <v>223</v>
      </c>
    </row>
    <row r="120" spans="1:79">
      <c r="BQ120" t="s">
        <v>223</v>
      </c>
      <c r="BS120" t="s">
        <v>223</v>
      </c>
      <c r="BU120" t="s">
        <v>223</v>
      </c>
      <c r="BV120" s="82" t="str">
        <f>IF(_xlfn.XLOOKUP(1,$AH:$AH,$R:$R,"",0)="","","A.`"&amp;_xlfn.XLOOKUP(1,$AH:$AH,$R:$R,"",0)&amp;"` = B.`"&amp;_xlfn.XLOOKUP(1,$AH:$AH,$R:$R,"",0)&amp;"`")</f>
        <v/>
      </c>
      <c r="BW120" t="s">
        <v>223</v>
      </c>
      <c r="BY120" t="s">
        <v>223</v>
      </c>
      <c r="BZ120" s="82" t="s">
        <v>232</v>
      </c>
      <c r="CA120" t="s">
        <v>223</v>
      </c>
    </row>
    <row r="121" spans="1:79">
      <c r="BQ121" t="s">
        <v>223</v>
      </c>
      <c r="BS121" t="s">
        <v>223</v>
      </c>
      <c r="BU121" t="s">
        <v>223</v>
      </c>
      <c r="BV121" s="82" t="str">
        <f>IF(_xlfn.XLOOKUP(2,$AH:$AH,$R:$R,"",0)="","","AND A.`"&amp;_xlfn.XLOOKUP(2,$AH:$AH,$R:$R,"",0)&amp;"` = B.`"&amp;_xlfn.XLOOKUP(2,$AH:$AH,$R:$R,"",0)&amp;"`")</f>
        <v/>
      </c>
      <c r="BW121" t="s">
        <v>223</v>
      </c>
      <c r="BY121" t="s">
        <v>223</v>
      </c>
      <c r="BZ121" s="82" t="str">
        <f>"FROM `REPLICA_KASUMI`.`"&amp;$G$10&amp;"` B"</f>
        <v>FROM `REPLICA_KASUMI`.`P001_02` B</v>
      </c>
      <c r="CA121" t="s">
        <v>223</v>
      </c>
    </row>
    <row r="122" spans="1:79">
      <c r="BQ122" t="s">
        <v>223</v>
      </c>
      <c r="BS122" t="s">
        <v>223</v>
      </c>
      <c r="BU122" t="s">
        <v>223</v>
      </c>
      <c r="BV122" s="82" t="str">
        <f>IF(_xlfn.XLOOKUP(3,$AH:$AH,$R:$R,"",0)="","","AND A.`"&amp;_xlfn.XLOOKUP(3,$AH:$AH,$R:$R,"",0)&amp;"` = B.`"&amp;_xlfn.XLOOKUP(3,$AH:$AH,$R:$R,"",0)&amp;"`")</f>
        <v/>
      </c>
      <c r="BW122" t="s">
        <v>223</v>
      </c>
      <c r="BY122" t="s">
        <v>223</v>
      </c>
      <c r="BZ122" s="82" t="s">
        <v>229</v>
      </c>
      <c r="CA122" t="s">
        <v>223</v>
      </c>
    </row>
    <row r="123" spans="1:79">
      <c r="BQ123" t="s">
        <v>223</v>
      </c>
      <c r="BS123" t="s">
        <v>223</v>
      </c>
      <c r="BU123" t="s">
        <v>223</v>
      </c>
      <c r="BV123" s="82" t="str">
        <f>IF(_xlfn.XLOOKUP(4,$AH:$AH,$R:$R,"",0)="","","AND A.`"&amp;_xlfn.XLOOKUP(4,$AH:$AH,$R:$R,"",0)&amp;"` = B.`"&amp;_xlfn.XLOOKUP(4,$AH:$AH,$R:$R,"",0)&amp;"`")</f>
        <v/>
      </c>
      <c r="BW123" t="s">
        <v>223</v>
      </c>
      <c r="BY123" t="s">
        <v>223</v>
      </c>
      <c r="BZ123" s="82" t="str">
        <f>IF(_xlfn.XLOOKUP(1,$AH:$AH,$R:$R,"",0)="","","A.`"&amp;_xlfn.XLOOKUP(1,$AH:$AH,$R:$R,"",0)&amp;"` = B.`"&amp;_xlfn.XLOOKUP(1,$AH:$AH,$R:$R,"",0)&amp;"`")</f>
        <v/>
      </c>
      <c r="CA123" t="s">
        <v>223</v>
      </c>
    </row>
    <row r="124" spans="1:79">
      <c r="BQ124" t="s">
        <v>223</v>
      </c>
      <c r="BS124" t="s">
        <v>223</v>
      </c>
      <c r="BU124" t="s">
        <v>223</v>
      </c>
      <c r="BV124" s="82" t="str">
        <f>IF(_xlfn.XLOOKUP(5,$AH:$AH,$R:$R,"",0)="","","AND A.`"&amp;_xlfn.XLOOKUP(5,$AH:$AH,$R:$R,"",0)&amp;"` = B.`"&amp;_xlfn.XLOOKUP(5,$AH:$AH,$R:$R,"",0)&amp;"`")</f>
        <v/>
      </c>
      <c r="BW124" t="s">
        <v>223</v>
      </c>
      <c r="BY124" t="s">
        <v>223</v>
      </c>
      <c r="BZ124" s="82" t="str">
        <f>IF(_xlfn.XLOOKUP(2,$AH:$AH,$R:$R,"",0)="","","AND A.`"&amp;_xlfn.XLOOKUP(2,$AH:$AH,$R:$R,"",0)&amp;"` = B.`"&amp;_xlfn.XLOOKUP(2,$AH:$AH,$R:$R,"",0)&amp;"`")</f>
        <v/>
      </c>
      <c r="CA124" t="s">
        <v>223</v>
      </c>
    </row>
    <row r="125" spans="1:79">
      <c r="BQ125" t="s">
        <v>223</v>
      </c>
      <c r="BS125" t="s">
        <v>223</v>
      </c>
      <c r="BU125" t="s">
        <v>223</v>
      </c>
      <c r="BV125" s="82" t="str">
        <f>IF(_xlfn.XLOOKUP(6,$AH:$AH,$R:$R,"",0)="","","AND A.`"&amp;_xlfn.XLOOKUP(6,$AH:$AH,$R:$R,"",0)&amp;"` = B.`"&amp;_xlfn.XLOOKUP(6,$AH:$AH,$R:$R,"",0)&amp;"`")</f>
        <v/>
      </c>
      <c r="BW125" t="s">
        <v>223</v>
      </c>
      <c r="BY125" t="s">
        <v>223</v>
      </c>
      <c r="BZ125" s="82" t="str">
        <f>IF(_xlfn.XLOOKUP(3,$AH:$AH,$R:$R,"",0)="","","AND A.`"&amp;_xlfn.XLOOKUP(3,$AH:$AH,$R:$R,"",0)&amp;"` = B.`"&amp;_xlfn.XLOOKUP(3,$AH:$AH,$R:$R,"",0)&amp;"`")</f>
        <v/>
      </c>
      <c r="CA125" t="s">
        <v>223</v>
      </c>
    </row>
    <row r="126" spans="1:79">
      <c r="BQ126" t="s">
        <v>223</v>
      </c>
      <c r="BS126" t="s">
        <v>223</v>
      </c>
      <c r="BU126" t="s">
        <v>223</v>
      </c>
      <c r="BV126" s="82" t="str">
        <f>IF(_xlfn.XLOOKUP(7,$AH:$AH,$R:$R,"",0)="","","AND A.`"&amp;_xlfn.XLOOKUP(7,$AH:$AH,$R:$R,"",0)&amp;"` = B.`"&amp;_xlfn.XLOOKUP(7,$AH:$AH,$R:$R,"",0)&amp;"`")</f>
        <v/>
      </c>
      <c r="BW126" t="s">
        <v>223</v>
      </c>
      <c r="BY126" t="s">
        <v>223</v>
      </c>
      <c r="BZ126" s="82" t="str">
        <f>IF(_xlfn.XLOOKUP(4,$AH:$AH,$R:$R,"",0)="","","AND A.`"&amp;_xlfn.XLOOKUP(4,$AH:$AH,$R:$R,"",0)&amp;"` = B.`"&amp;_xlfn.XLOOKUP(4,$AH:$AH,$R:$R,"",0)&amp;"`")</f>
        <v/>
      </c>
      <c r="CA126" t="s">
        <v>223</v>
      </c>
    </row>
    <row r="127" spans="1:79">
      <c r="BQ127" t="s">
        <v>223</v>
      </c>
      <c r="BS127" t="s">
        <v>223</v>
      </c>
      <c r="BU127" t="s">
        <v>223</v>
      </c>
      <c r="BV127" s="82" t="str">
        <f>IF(_xlfn.XLOOKUP(8,$AH:$AH,$R:$R,"",0)="","","AND A.`"&amp;_xlfn.XLOOKUP(8,$AH:$AH,$R:$R,"",0)&amp;"` = B.`"&amp;_xlfn.XLOOKUP(8,$AH:$AH,$R:$R,"",0)&amp;"`")</f>
        <v/>
      </c>
      <c r="BW127" t="s">
        <v>223</v>
      </c>
      <c r="BY127" t="s">
        <v>223</v>
      </c>
      <c r="BZ127" s="82" t="str">
        <f>IF(_xlfn.XLOOKUP(5,$AH:$AH,$R:$R,"",0)="","","AND A.`"&amp;_xlfn.XLOOKUP(5,$AH:$AH,$R:$R,"",0)&amp;"` = B.`"&amp;_xlfn.XLOOKUP(5,$AH:$AH,$R:$R,"",0)&amp;"`")</f>
        <v/>
      </c>
      <c r="CA127" t="s">
        <v>223</v>
      </c>
    </row>
    <row r="128" spans="1:79">
      <c r="BQ128" t="s">
        <v>223</v>
      </c>
      <c r="BS128" t="s">
        <v>223</v>
      </c>
      <c r="BU128" t="s">
        <v>223</v>
      </c>
      <c r="BV128" s="82" t="s">
        <v>233</v>
      </c>
      <c r="BW128" t="s">
        <v>223</v>
      </c>
      <c r="BY128" t="s">
        <v>223</v>
      </c>
      <c r="BZ128" s="82" t="str">
        <f>IF(_xlfn.XLOOKUP(6,$AH:$AH,$R:$R,"",0)="","","AND A.`"&amp;_xlfn.XLOOKUP(6,$AH:$AH,$R:$R,"",0)&amp;"` = B.`"&amp;_xlfn.XLOOKUP(6,$AH:$AH,$R:$R,"",0)&amp;"`")</f>
        <v/>
      </c>
      <c r="CA128" t="s">
        <v>223</v>
      </c>
    </row>
    <row r="129" spans="69:79">
      <c r="BQ129" t="s">
        <v>223</v>
      </c>
      <c r="BS129" t="s">
        <v>223</v>
      </c>
      <c r="BU129" t="s">
        <v>223</v>
      </c>
      <c r="BW129" t="s">
        <v>223</v>
      </c>
      <c r="BY129" t="s">
        <v>223</v>
      </c>
      <c r="BZ129" s="82" t="str">
        <f>IF(_xlfn.XLOOKUP(7,$AH:$AH,$R:$R,"",0)="","","AND A.`"&amp;_xlfn.XLOOKUP(7,$AH:$AH,$R:$R,"",0)&amp;"` = B.`"&amp;_xlfn.XLOOKUP(7,$AH:$AH,$R:$R,"",0)&amp;"`")</f>
        <v/>
      </c>
      <c r="CA129" t="s">
        <v>223</v>
      </c>
    </row>
    <row r="130" spans="69:79">
      <c r="BQ130" t="s">
        <v>223</v>
      </c>
      <c r="BS130" t="s">
        <v>223</v>
      </c>
      <c r="BU130" t="s">
        <v>223</v>
      </c>
      <c r="BW130" t="s">
        <v>223</v>
      </c>
      <c r="BY130" t="s">
        <v>223</v>
      </c>
      <c r="BZ130" s="82" t="str">
        <f>IF(_xlfn.XLOOKUP(8,$AH:$AH,$R:$R,"",0)="","","AND A.`"&amp;_xlfn.XLOOKUP(8,$AH:$AH,$R:$R,"",0)&amp;"` = B.`"&amp;_xlfn.XLOOKUP(8,$AH:$AH,$R:$R,"",0)&amp;"`")</f>
        <v/>
      </c>
      <c r="CA130" t="s">
        <v>223</v>
      </c>
    </row>
    <row r="131" spans="69:79">
      <c r="BQ131" t="s">
        <v>223</v>
      </c>
      <c r="BS131" t="s">
        <v>223</v>
      </c>
      <c r="BU131" t="s">
        <v>223</v>
      </c>
      <c r="BW131" t="s">
        <v>223</v>
      </c>
      <c r="BY131" t="s">
        <v>223</v>
      </c>
      <c r="BZ131" s="82" t="s">
        <v>226</v>
      </c>
      <c r="CA131" t="s">
        <v>223</v>
      </c>
    </row>
    <row r="132" spans="69:79">
      <c r="BQ132" t="s">
        <v>223</v>
      </c>
      <c r="BS132" t="s">
        <v>223</v>
      </c>
      <c r="BU132" t="s">
        <v>223</v>
      </c>
      <c r="BW132" t="s">
        <v>223</v>
      </c>
      <c r="BY132" t="s">
        <v>223</v>
      </c>
      <c r="CA132" t="s">
        <v>223</v>
      </c>
    </row>
    <row r="133" spans="69:79">
      <c r="BQ133" t="s">
        <v>223</v>
      </c>
      <c r="BS133" t="s">
        <v>223</v>
      </c>
      <c r="BU133" t="s">
        <v>223</v>
      </c>
      <c r="BW133" t="s">
        <v>223</v>
      </c>
      <c r="BY133" t="s">
        <v>223</v>
      </c>
      <c r="BZ133" s="83"/>
      <c r="CA133" t="s">
        <v>223</v>
      </c>
    </row>
    <row r="134" spans="69:79">
      <c r="BQ134" t="s">
        <v>223</v>
      </c>
      <c r="BS134" t="s">
        <v>223</v>
      </c>
      <c r="BU134" t="s">
        <v>223</v>
      </c>
      <c r="BW134" t="s">
        <v>223</v>
      </c>
      <c r="BY134" t="s">
        <v>223</v>
      </c>
      <c r="BZ134" t="str">
        <f>"DROP TABLE IF EXISTS `TMP`.`"&amp;$G$10&amp;"`;"</f>
        <v>DROP TABLE IF EXISTS `TMP`.`P001_02`;</v>
      </c>
      <c r="CA134" t="s">
        <v>223</v>
      </c>
    </row>
    <row r="135" spans="69:79">
      <c r="BQ135" t="s">
        <v>223</v>
      </c>
      <c r="BS135" t="s">
        <v>223</v>
      </c>
      <c r="BU135" t="s">
        <v>223</v>
      </c>
      <c r="BW135" t="s">
        <v>223</v>
      </c>
      <c r="BY135" t="s">
        <v>223</v>
      </c>
      <c r="BZ135" t="s">
        <v>234</v>
      </c>
      <c r="CA135" t="s">
        <v>223</v>
      </c>
    </row>
    <row r="136" spans="69:79">
      <c r="BQ136" t="s">
        <v>223</v>
      </c>
      <c r="BS136" t="s">
        <v>223</v>
      </c>
      <c r="BU136" t="s">
        <v>223</v>
      </c>
      <c r="BW136" t="s">
        <v>223</v>
      </c>
      <c r="BY136" t="s">
        <v>223</v>
      </c>
      <c r="CA136" t="s">
        <v>223</v>
      </c>
    </row>
    <row r="137" spans="69:79">
      <c r="BQ137" t="s">
        <v>223</v>
      </c>
      <c r="BS137" t="s">
        <v>223</v>
      </c>
      <c r="BU137" t="s">
        <v>223</v>
      </c>
      <c r="BW137" t="s">
        <v>223</v>
      </c>
      <c r="BY137" t="s">
        <v>223</v>
      </c>
      <c r="CA137" t="s">
        <v>223</v>
      </c>
    </row>
    <row r="138" spans="69:79">
      <c r="BQ138" t="s">
        <v>223</v>
      </c>
      <c r="BS138" t="s">
        <v>223</v>
      </c>
      <c r="BU138" t="s">
        <v>223</v>
      </c>
      <c r="BW138" t="s">
        <v>223</v>
      </c>
      <c r="BY138" t="s">
        <v>223</v>
      </c>
      <c r="CA138" t="s">
        <v>223</v>
      </c>
    </row>
    <row r="139" spans="69:79">
      <c r="BQ139" t="s">
        <v>223</v>
      </c>
      <c r="BS139" t="s">
        <v>223</v>
      </c>
      <c r="BU139" t="s">
        <v>223</v>
      </c>
      <c r="BW139" t="s">
        <v>223</v>
      </c>
      <c r="BY139" t="s">
        <v>223</v>
      </c>
      <c r="CA139" t="s">
        <v>223</v>
      </c>
    </row>
    <row r="140" spans="69:79">
      <c r="BQ140" t="s">
        <v>223</v>
      </c>
      <c r="BS140" t="s">
        <v>223</v>
      </c>
      <c r="BU140" t="s">
        <v>223</v>
      </c>
      <c r="BW140" t="s">
        <v>223</v>
      </c>
      <c r="BY140" t="s">
        <v>223</v>
      </c>
      <c r="CA140" t="s">
        <v>223</v>
      </c>
    </row>
  </sheetData>
  <mergeCells count="101">
    <mergeCell ref="AC87:AG87"/>
    <mergeCell ref="AC88:AG88"/>
    <mergeCell ref="AC89:AG89"/>
    <mergeCell ref="AC81:AG81"/>
    <mergeCell ref="AC82:AG82"/>
    <mergeCell ref="AC83:AG83"/>
    <mergeCell ref="AC84:AG84"/>
    <mergeCell ref="AC85:AG85"/>
    <mergeCell ref="AC86:AG86"/>
    <mergeCell ref="AC75:AG75"/>
    <mergeCell ref="AC76:AG76"/>
    <mergeCell ref="AC77:AG77"/>
    <mergeCell ref="AC78:AG78"/>
    <mergeCell ref="AC79:AG79"/>
    <mergeCell ref="AC80:AG80"/>
    <mergeCell ref="AC69:AG69"/>
    <mergeCell ref="AC70:AG70"/>
    <mergeCell ref="AC71:AG71"/>
    <mergeCell ref="AC72:AG72"/>
    <mergeCell ref="AC73:AG73"/>
    <mergeCell ref="AC74:AG74"/>
    <mergeCell ref="AC63:AG63"/>
    <mergeCell ref="AC64:AG64"/>
    <mergeCell ref="AC65:AG65"/>
    <mergeCell ref="AC66:AG66"/>
    <mergeCell ref="AC67:AG67"/>
    <mergeCell ref="AC68:AG68"/>
    <mergeCell ref="AC57:AG57"/>
    <mergeCell ref="AC58:AG58"/>
    <mergeCell ref="AC59:AG59"/>
    <mergeCell ref="AC60:AG60"/>
    <mergeCell ref="AC61:AG61"/>
    <mergeCell ref="AC62:AG62"/>
    <mergeCell ref="AC51:AG51"/>
    <mergeCell ref="AC52:AG52"/>
    <mergeCell ref="AC53:AG53"/>
    <mergeCell ref="AC54:AG54"/>
    <mergeCell ref="AC55:AG55"/>
    <mergeCell ref="AC56:AG56"/>
    <mergeCell ref="AC45:AG45"/>
    <mergeCell ref="AC46:AG46"/>
    <mergeCell ref="AC47:AG47"/>
    <mergeCell ref="AC48:AG48"/>
    <mergeCell ref="AC49:AG49"/>
    <mergeCell ref="AC50:AG50"/>
    <mergeCell ref="AC39:AG39"/>
    <mergeCell ref="AC40:AG40"/>
    <mergeCell ref="AC41:AG41"/>
    <mergeCell ref="AC42:AG42"/>
    <mergeCell ref="AC43:AG43"/>
    <mergeCell ref="AC44:AG44"/>
    <mergeCell ref="AC33:AG33"/>
    <mergeCell ref="AC34:AG34"/>
    <mergeCell ref="AC35:AG35"/>
    <mergeCell ref="AC36:AG36"/>
    <mergeCell ref="AC37:AG37"/>
    <mergeCell ref="AC38:AG38"/>
    <mergeCell ref="AC27:AG27"/>
    <mergeCell ref="AC28:AG28"/>
    <mergeCell ref="AC29:AG29"/>
    <mergeCell ref="AC30:AG30"/>
    <mergeCell ref="AC31:AG31"/>
    <mergeCell ref="AC32:AG32"/>
    <mergeCell ref="B11:AN11"/>
    <mergeCell ref="B12:AN12"/>
    <mergeCell ref="B13:AN13"/>
    <mergeCell ref="B14:AN14"/>
    <mergeCell ref="B15:AN15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A4:G4"/>
    <mergeCell ref="H4:T4"/>
    <mergeCell ref="U4:Y4"/>
    <mergeCell ref="Z4:AO4"/>
    <mergeCell ref="AP4:BK4"/>
    <mergeCell ref="B8:F8"/>
    <mergeCell ref="G8:X8"/>
    <mergeCell ref="Y8:AC8"/>
    <mergeCell ref="AD8:AN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1F78-DC7D-4FFA-A21F-719DFF9ED357}">
  <dimension ref="A1:CA85"/>
  <sheetViews>
    <sheetView view="pageBreakPreview" topLeftCell="A6" zoomScale="80" zoomScaleNormal="75" zoomScaleSheetLayoutView="80" workbookViewId="0">
      <selection activeCell="G9" sqref="G9:X9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1327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1186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`Replica_Kasumi`.`P001_01`;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`Replica_Kasumi`.`P001_01`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`REPLICA_KASUMI`.`P001_01` A,`TMP`.`P001_01`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`TMP`.`P001_01`;</v>
      </c>
      <c r="BS25" t="s">
        <v>223</v>
      </c>
      <c r="BT25" s="82" t="str">
        <f>"LOAD DATA INFILE 'C:/04_DATAFILE/"&amp;$G$10&amp;"/TMP/"&amp;$G$10&amp;".CSV' "</f>
        <v xml:space="preserve">LOAD DATA INFILE 'C:/04_DATAFILE/P001_01/TMP/P001_01.CSV'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/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1399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`TMP`.`P001_01` (</v>
      </c>
      <c r="BS26" t="s">
        <v>223</v>
      </c>
      <c r="BT26" s="82" t="str">
        <f>"REPLACE INTO TABLE TMP.`"&amp;$G$10&amp;"` FIELDS TERMINATED BY ',' ENCLOSED BY '\""' LINES TERMINATED BY '\r\n' ("</f>
        <v>REPLACE INTO TABLE TMP.`P001_01`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`REPLICA_KASUMI`.`P001_01`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/>
      <c r="B27" s="61">
        <v>7</v>
      </c>
      <c r="C27" s="62"/>
      <c r="D27" s="21" t="s">
        <v>1162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1169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1182</v>
      </c>
      <c r="AD27" s="255"/>
      <c r="AE27" s="255"/>
      <c r="AF27" s="255"/>
      <c r="AG27" s="256"/>
      <c r="AH27" s="21"/>
      <c r="AI27" s="64"/>
      <c r="AJ27" s="21" t="s">
        <v>1399</v>
      </c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P27" t="str">
        <f>",`"&amp;R27&amp;"` "&amp;AC27&amp;" "&amp;IF(AJ27="Y","NOT NULL","")&amp;" COMMENT '"&amp;D27&amp;"'"</f>
        <v>,`Terminal_ID` char(6) NOT NULL COMMENT '端末ID'</v>
      </c>
      <c r="BQ27" t="s">
        <v>223</v>
      </c>
      <c r="BR27" s="82" t="str">
        <f>"`"&amp;R27&amp;"` "&amp;AC27&amp;" "&amp;IF(AJ27="Y","NOT NULL","")</f>
        <v>`Terminal_ID` char(6) NOT NULL</v>
      </c>
      <c r="BS27" t="s">
        <v>223</v>
      </c>
      <c r="BT27" s="82" t="str">
        <f>"`"&amp;R27&amp;"`"</f>
        <v>`Terminal_ID`</v>
      </c>
      <c r="BU27" t="s">
        <v>223</v>
      </c>
      <c r="BV27" s="82" t="str">
        <f>"A.`"&amp;R27&amp;"` = B.`"&amp;R27&amp;"`"</f>
        <v>A.`Terminal_ID` = B.`Terminal_ID`</v>
      </c>
      <c r="BW27" t="s">
        <v>223</v>
      </c>
      <c r="BX27" s="82" t="str">
        <f>"`"&amp;R27&amp;"`"</f>
        <v>`Terminal_ID`</v>
      </c>
      <c r="BY27" t="s">
        <v>223</v>
      </c>
      <c r="BZ27" s="82" t="str">
        <f>"`"&amp;R27&amp;"`"</f>
        <v>`Terminal_ID`</v>
      </c>
      <c r="CA27" t="s">
        <v>223</v>
      </c>
    </row>
    <row r="28" spans="1:79" ht="15" customHeight="1">
      <c r="A28" s="84"/>
      <c r="B28" s="23">
        <v>9</v>
      </c>
      <c r="C28" s="24"/>
      <c r="D28" s="22" t="s">
        <v>1163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1170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">
        <v>216</v>
      </c>
      <c r="AD28" s="258"/>
      <c r="AE28" s="258"/>
      <c r="AF28" s="258"/>
      <c r="AG28" s="259"/>
      <c r="AH28" s="22"/>
      <c r="AI28" s="26"/>
      <c r="AJ28" s="22" t="s">
        <v>224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P28" t="str">
        <f t="shared" ref="BP28:BP34" si="1">",`"&amp;R28&amp;"` "&amp;AC28&amp;" "&amp;IF(AJ28="Y","NOT NULL","")&amp;" COMMENT '"&amp;D28&amp;"'"</f>
        <v>,`PRCS_TYP` char(1) NOT NULL COMMENT 'レコード区分'</v>
      </c>
      <c r="BQ28" t="s">
        <v>223</v>
      </c>
      <c r="BR28" t="str">
        <f t="shared" ref="BR28:BR34" si="2">",`"&amp;R28&amp;"` "&amp;AC28&amp;" "&amp;IF(AJ28="Y","NOT NULL","")</f>
        <v>,`PRCS_TYP` char(1) NOT NULL</v>
      </c>
      <c r="BS28" t="s">
        <v>223</v>
      </c>
      <c r="BT28" t="str">
        <f t="shared" ref="BT28:BT34" si="3">",`"&amp;R28&amp;"`"</f>
        <v>,`PRCS_TYP`</v>
      </c>
      <c r="BU28" t="s">
        <v>223</v>
      </c>
      <c r="BV28" s="82" t="str">
        <f t="shared" ref="BV28:BV34" si="4">",A.`"&amp;R28&amp;"` = B.`"&amp;R28&amp;"`"</f>
        <v>,A.`PRCS_TYP` = B.`PRCS_TYP`</v>
      </c>
      <c r="BW28" t="s">
        <v>223</v>
      </c>
      <c r="BX28" s="82" t="str">
        <f t="shared" ref="BX28:BX34" si="5">",`"&amp;R28&amp;"`"</f>
        <v>,`PRCS_TYP`</v>
      </c>
      <c r="BY28" t="s">
        <v>223</v>
      </c>
      <c r="BZ28" s="82" t="str">
        <f t="shared" ref="BZ28:BZ63" si="6">",`"&amp;R28&amp;"`"</f>
        <v>,`PRCS_TYP`</v>
      </c>
      <c r="CA28" t="s">
        <v>223</v>
      </c>
    </row>
    <row r="29" spans="1:79" ht="15" customHeight="1">
      <c r="A29" s="84"/>
      <c r="B29" s="23">
        <v>9</v>
      </c>
      <c r="C29" s="24"/>
      <c r="D29" s="22" t="s">
        <v>1164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1171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">
        <v>221</v>
      </c>
      <c r="AD29" s="258"/>
      <c r="AE29" s="258"/>
      <c r="AF29" s="258"/>
      <c r="AG29" s="259"/>
      <c r="AH29" s="22">
        <v>1</v>
      </c>
      <c r="AI29" s="26"/>
      <c r="AJ29" s="22" t="s">
        <v>224</v>
      </c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P29" t="str">
        <f t="shared" si="1"/>
        <v>,`STR_ID` int NOT NULL COMMENT '店コード'</v>
      </c>
      <c r="BQ29" t="s">
        <v>223</v>
      </c>
      <c r="BR29" t="str">
        <f t="shared" si="2"/>
        <v>,`STR_ID` int NOT NULL</v>
      </c>
      <c r="BS29" t="s">
        <v>223</v>
      </c>
      <c r="BT29" t="str">
        <f t="shared" si="3"/>
        <v>,`STR_ID`</v>
      </c>
      <c r="BU29" t="s">
        <v>223</v>
      </c>
      <c r="BV29" s="82" t="str">
        <f t="shared" si="4"/>
        <v>,A.`STR_ID` = B.`STR_ID`</v>
      </c>
      <c r="BW29" t="s">
        <v>223</v>
      </c>
      <c r="BX29" s="82" t="str">
        <f t="shared" si="5"/>
        <v>,`STR_ID`</v>
      </c>
      <c r="BY29" t="s">
        <v>223</v>
      </c>
      <c r="BZ29" s="82" t="str">
        <f t="shared" si="6"/>
        <v>,`STR_ID`</v>
      </c>
      <c r="CA29" t="s">
        <v>223</v>
      </c>
    </row>
    <row r="30" spans="1:79" ht="15" customHeight="1">
      <c r="A30" s="84"/>
      <c r="B30" s="23">
        <v>9</v>
      </c>
      <c r="C30" s="24"/>
      <c r="D30" s="22" t="s">
        <v>1165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1172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">
        <v>221</v>
      </c>
      <c r="AD30" s="258"/>
      <c r="AE30" s="258"/>
      <c r="AF30" s="258"/>
      <c r="AG30" s="259"/>
      <c r="AH30" s="22">
        <v>2</v>
      </c>
      <c r="AI30" s="26"/>
      <c r="AJ30" s="22" t="s">
        <v>224</v>
      </c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P30" t="str">
        <f t="shared" si="1"/>
        <v>,`CRT_DT` int NOT NULL COMMENT 'データ作成日'</v>
      </c>
      <c r="BQ30" t="s">
        <v>223</v>
      </c>
      <c r="BR30" t="str">
        <f t="shared" si="2"/>
        <v>,`CRT_DT` int NOT NULL</v>
      </c>
      <c r="BS30" t="s">
        <v>223</v>
      </c>
      <c r="BT30" t="str">
        <f t="shared" si="3"/>
        <v>,`CRT_DT`</v>
      </c>
      <c r="BU30" t="s">
        <v>223</v>
      </c>
      <c r="BV30" s="82" t="str">
        <f t="shared" si="4"/>
        <v>,A.`CRT_DT` = B.`CRT_DT`</v>
      </c>
      <c r="BW30" t="s">
        <v>223</v>
      </c>
      <c r="BX30" s="82" t="str">
        <f t="shared" si="5"/>
        <v>,`CRT_DT`</v>
      </c>
      <c r="BY30" t="s">
        <v>223</v>
      </c>
      <c r="BZ30" s="82" t="str">
        <f t="shared" si="6"/>
        <v>,`CRT_DT`</v>
      </c>
      <c r="CA30" t="s">
        <v>223</v>
      </c>
    </row>
    <row r="31" spans="1:79" ht="15" customHeight="1">
      <c r="A31" s="84"/>
      <c r="B31" s="23">
        <v>9</v>
      </c>
      <c r="C31" s="24"/>
      <c r="D31" s="22" t="s">
        <v>1166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1174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">
        <v>221</v>
      </c>
      <c r="AD31" s="258"/>
      <c r="AE31" s="258"/>
      <c r="AF31" s="258"/>
      <c r="AG31" s="259"/>
      <c r="AH31" s="22">
        <v>3</v>
      </c>
      <c r="AI31" s="26"/>
      <c r="AJ31" s="22" t="s">
        <v>224</v>
      </c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,`DSPL_CRT_DT` int NOT NULL COMMENT 'データ作成日時'</v>
      </c>
      <c r="BQ31" t="s">
        <v>223</v>
      </c>
      <c r="BR31" t="str">
        <f t="shared" si="2"/>
        <v>,`DSPL_CRT_DT` int NOT NULL</v>
      </c>
      <c r="BS31" t="s">
        <v>223</v>
      </c>
      <c r="BT31" t="str">
        <f t="shared" si="3"/>
        <v>,`DSPL_CRT_DT`</v>
      </c>
      <c r="BU31" t="s">
        <v>223</v>
      </c>
      <c r="BV31" s="82" t="str">
        <f t="shared" si="4"/>
        <v>,A.`DSPL_CRT_DT` = B.`DSPL_CRT_DT`</v>
      </c>
      <c r="BW31" t="s">
        <v>223</v>
      </c>
      <c r="BX31" s="82" t="str">
        <f t="shared" si="5"/>
        <v>,`DSPL_CRT_DT`</v>
      </c>
      <c r="BY31" t="s">
        <v>223</v>
      </c>
      <c r="BZ31" s="82" t="str">
        <f t="shared" si="6"/>
        <v>,`DSPL_CRT_DT`</v>
      </c>
      <c r="CA31" t="s">
        <v>223</v>
      </c>
    </row>
    <row r="32" spans="1:79" ht="15" customHeight="1">
      <c r="A32" s="84"/>
      <c r="B32" s="23">
        <v>9</v>
      </c>
      <c r="C32" s="24"/>
      <c r="D32" s="22" t="s">
        <v>1167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1177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">
        <v>221</v>
      </c>
      <c r="AD32" s="258"/>
      <c r="AE32" s="258"/>
      <c r="AF32" s="258"/>
      <c r="AG32" s="259"/>
      <c r="AH32" s="22"/>
      <c r="AI32" s="26"/>
      <c r="AJ32" s="22" t="s">
        <v>224</v>
      </c>
      <c r="AK32" s="25"/>
      <c r="AL32" s="26"/>
      <c r="AM32" s="22"/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P32" t="str">
        <f t="shared" si="1"/>
        <v>,`DATA_TYP` int NOT NULL COMMENT 'データ種別'</v>
      </c>
      <c r="BQ32" t="s">
        <v>223</v>
      </c>
      <c r="BR32" t="str">
        <f t="shared" si="2"/>
        <v>,`DATA_TYP` int NOT NULL</v>
      </c>
      <c r="BS32" t="s">
        <v>223</v>
      </c>
      <c r="BT32" t="str">
        <f t="shared" si="3"/>
        <v>,`DATA_TYP`</v>
      </c>
      <c r="BU32" t="s">
        <v>223</v>
      </c>
      <c r="BV32" s="82" t="str">
        <f t="shared" si="4"/>
        <v>,A.`DATA_TYP` = B.`DATA_TYP`</v>
      </c>
      <c r="BW32" t="s">
        <v>223</v>
      </c>
      <c r="BX32" s="82" t="str">
        <f t="shared" si="5"/>
        <v>,`DATA_TYP`</v>
      </c>
      <c r="BY32" t="s">
        <v>223</v>
      </c>
      <c r="BZ32" s="82" t="str">
        <f t="shared" si="6"/>
        <v>,`DATA_TYP`</v>
      </c>
      <c r="CA32" t="s">
        <v>223</v>
      </c>
    </row>
    <row r="33" spans="1:79" ht="15" customHeight="1">
      <c r="A33" s="84"/>
      <c r="B33" s="23">
        <v>9</v>
      </c>
      <c r="C33" s="24"/>
      <c r="D33" s="22" t="s">
        <v>1168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6"/>
      <c r="R33" s="22" t="s">
        <v>1179</v>
      </c>
      <c r="S33" s="25"/>
      <c r="T33" s="25"/>
      <c r="U33" s="25"/>
      <c r="V33" s="25"/>
      <c r="W33" s="25"/>
      <c r="X33" s="25"/>
      <c r="Y33" s="25"/>
      <c r="Z33" s="25"/>
      <c r="AA33" s="25"/>
      <c r="AB33" s="26"/>
      <c r="AC33" s="257" t="s">
        <v>1184</v>
      </c>
      <c r="AD33" s="258"/>
      <c r="AE33" s="258"/>
      <c r="AF33" s="258"/>
      <c r="AG33" s="259"/>
      <c r="AH33" s="22"/>
      <c r="AI33" s="26"/>
      <c r="AJ33" s="22"/>
      <c r="AK33" s="25"/>
      <c r="AL33" s="26"/>
      <c r="AM33" s="22"/>
      <c r="AN33" s="25"/>
      <c r="AO33" s="25"/>
      <c r="AP33" s="25"/>
      <c r="AQ33" s="25"/>
      <c r="AR33" s="25"/>
      <c r="AS33" s="26"/>
      <c r="AT33" s="22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6"/>
      <c r="BK33" s="4"/>
      <c r="BP33" t="str">
        <f t="shared" si="1"/>
        <v>,`YOBI01` char(2)  COMMENT '予備'</v>
      </c>
      <c r="BQ33" t="s">
        <v>223</v>
      </c>
      <c r="BR33" t="str">
        <f t="shared" si="2"/>
        <v xml:space="preserve">,`YOBI01` char(2) </v>
      </c>
      <c r="BS33" t="s">
        <v>223</v>
      </c>
      <c r="BT33" t="str">
        <f t="shared" si="3"/>
        <v>,`YOBI01`</v>
      </c>
      <c r="BU33" t="s">
        <v>223</v>
      </c>
      <c r="BV33" s="82" t="str">
        <f t="shared" si="4"/>
        <v>,A.`YOBI01` = B.`YOBI01`</v>
      </c>
      <c r="BW33" t="s">
        <v>223</v>
      </c>
      <c r="BX33" s="82" t="str">
        <f t="shared" si="5"/>
        <v>,`YOBI01`</v>
      </c>
      <c r="BY33" t="s">
        <v>223</v>
      </c>
      <c r="BZ33" s="82" t="str">
        <f t="shared" si="6"/>
        <v>,`YOBI01`</v>
      </c>
      <c r="CA33" t="s">
        <v>223</v>
      </c>
    </row>
    <row r="34" spans="1:79" ht="15" customHeight="1">
      <c r="A34" s="84"/>
      <c r="B34" s="23">
        <v>9</v>
      </c>
      <c r="C34" s="24"/>
      <c r="D34" s="22" t="s">
        <v>1168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6"/>
      <c r="R34" s="22" t="s">
        <v>1180</v>
      </c>
      <c r="S34" s="25"/>
      <c r="T34" s="25"/>
      <c r="U34" s="25"/>
      <c r="V34" s="25"/>
      <c r="W34" s="25"/>
      <c r="X34" s="25"/>
      <c r="Y34" s="25"/>
      <c r="Z34" s="25"/>
      <c r="AA34" s="25"/>
      <c r="AB34" s="26"/>
      <c r="AC34" s="257" t="s">
        <v>1400</v>
      </c>
      <c r="AD34" s="258"/>
      <c r="AE34" s="258"/>
      <c r="AF34" s="258"/>
      <c r="AG34" s="259"/>
      <c r="AH34" s="22"/>
      <c r="AI34" s="26"/>
      <c r="AJ34" s="22"/>
      <c r="AK34" s="25"/>
      <c r="AL34" s="26"/>
      <c r="AM34" s="22"/>
      <c r="AN34" s="25"/>
      <c r="AO34" s="25"/>
      <c r="AP34" s="25"/>
      <c r="AQ34" s="25"/>
      <c r="AR34" s="25"/>
      <c r="AS34" s="26"/>
      <c r="AT34" s="22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6"/>
      <c r="BK34" s="4"/>
      <c r="BP34" t="str">
        <f t="shared" si="1"/>
        <v>,`YOBI02` varchar(272)  COMMENT '予備'</v>
      </c>
      <c r="BQ34" t="s">
        <v>223</v>
      </c>
      <c r="BR34" t="str">
        <f t="shared" si="2"/>
        <v xml:space="preserve">,`YOBI02` varchar(272) </v>
      </c>
      <c r="BS34" t="s">
        <v>223</v>
      </c>
      <c r="BT34" t="str">
        <f t="shared" si="3"/>
        <v>,`YOBI02`</v>
      </c>
      <c r="BU34" t="s">
        <v>223</v>
      </c>
      <c r="BV34" s="82" t="str">
        <f t="shared" si="4"/>
        <v>,A.`YOBI02` = B.`YOBI02`</v>
      </c>
      <c r="BW34" t="s">
        <v>223</v>
      </c>
      <c r="BX34" s="82" t="str">
        <f t="shared" si="5"/>
        <v>,`YOBI02`</v>
      </c>
      <c r="BY34" t="s">
        <v>223</v>
      </c>
      <c r="BZ34" s="82" t="str">
        <f t="shared" si="6"/>
        <v>,`YOBI02`</v>
      </c>
      <c r="CA34" t="s">
        <v>223</v>
      </c>
    </row>
    <row r="35" spans="1:79" ht="15" customHeight="1">
      <c r="A35" s="84"/>
      <c r="BK35" s="4"/>
      <c r="BP3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(`STR_ID`,`CRT_DT`,`DSPL_CRT_DT`),</v>
      </c>
      <c r="BQ35" t="s">
        <v>223</v>
      </c>
      <c r="BR35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(`STR_ID`,`CRT_DT`,`DSPL_CRT_DT`)</v>
      </c>
      <c r="BS35" t="s">
        <v>223</v>
      </c>
      <c r="BT35" s="82" t="s">
        <v>226</v>
      </c>
      <c r="BU35" t="s">
        <v>223</v>
      </c>
      <c r="BV35" s="82" t="s">
        <v>231</v>
      </c>
      <c r="BW35" t="s">
        <v>223</v>
      </c>
      <c r="BY35" t="s">
        <v>223</v>
      </c>
      <c r="BZ35" s="82" t="str">
        <f>"FROM `TMP`.`"&amp;$G$10&amp;"` A"</f>
        <v>FROM `TMP`.`P001_01` A</v>
      </c>
      <c r="CA35" t="s">
        <v>223</v>
      </c>
    </row>
    <row r="36" spans="1:79" ht="15" customHeight="1">
      <c r="A36" s="84"/>
      <c r="BK36" s="4"/>
      <c r="BP36" s="82" t="s">
        <v>222</v>
      </c>
      <c r="BQ36" t="s">
        <v>223</v>
      </c>
      <c r="BR36" s="82" t="str">
        <f>") ENGINE=InnoDB DEFAULT CHARSET=utf8mb4 COLLATE=utf8mb4_0900_ai_ci COMMENT = '"&amp;$G$9&amp;"_TMP';"</f>
        <v>) ENGINE=InnoDB DEFAULT CHARSET=utf8mb4 COLLATE=utf8mb4_0900_ai_ci COMMENT = 'P001(ヘッダー)_TMP';</v>
      </c>
      <c r="BS36" t="s">
        <v>223</v>
      </c>
      <c r="BU36" t="s">
        <v>223</v>
      </c>
      <c r="BV36" s="82" t="str">
        <f>IF(_xlfn.XLOOKUP(1,$AH:$AH,$R:$R,"",0)="","","A.`"&amp;_xlfn.XLOOKUP(1,$AH:$AH,$R:$R,"",0)&amp;"` = B.`"&amp;_xlfn.XLOOKUP(1,$AH:$AH,$R:$R,"",0)&amp;"`")</f>
        <v>A.`STR_ID` = B.`STR_ID`</v>
      </c>
      <c r="BW36" t="s">
        <v>223</v>
      </c>
      <c r="BY36" t="s">
        <v>223</v>
      </c>
      <c r="BZ36" s="82" t="s">
        <v>232</v>
      </c>
      <c r="CA36" t="s">
        <v>223</v>
      </c>
    </row>
    <row r="37" spans="1:79" ht="15" customHeight="1">
      <c r="A37" s="84"/>
      <c r="B37" s="36" t="s">
        <v>47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4"/>
      <c r="BP37" s="82" t="str">
        <f>") ENGINE=InnoDB DEFAULT CHARSET=utf8mb4 COLLATE=utf8mb4_0900_ai_ci COMMENT = '"&amp;$G$9&amp;"';"</f>
        <v>) ENGINE=InnoDB DEFAULT CHARSET=utf8mb4 COLLATE=utf8mb4_0900_ai_ci COMMENT = 'P001(ヘッダー)';</v>
      </c>
      <c r="BQ37" t="s">
        <v>223</v>
      </c>
      <c r="BS37" t="s">
        <v>223</v>
      </c>
      <c r="BU37" t="s">
        <v>223</v>
      </c>
      <c r="BV37" s="82" t="str">
        <f>IF(_xlfn.XLOOKUP(2,$AH:$AH,$R:$R,"",0)="","","AND A.`"&amp;_xlfn.XLOOKUP(2,$AH:$AH,$R:$R,"",0)&amp;"` = B.`"&amp;_xlfn.XLOOKUP(2,$AH:$AH,$R:$R,"",0)&amp;"`")</f>
        <v>AND A.`CRT_DT` = B.`CRT_DT`</v>
      </c>
      <c r="BW37" t="s">
        <v>223</v>
      </c>
      <c r="BY37" t="s">
        <v>223</v>
      </c>
      <c r="BZ37" s="82" t="str">
        <f>"FROM `REPLICA_KASUMI`.`"&amp;$G$10&amp;"` B"</f>
        <v>FROM `REPLICA_KASUMI`.`P001_01` B</v>
      </c>
      <c r="CA37" t="s">
        <v>223</v>
      </c>
    </row>
    <row r="38" spans="1:79" ht="15" customHeight="1">
      <c r="A38" s="84"/>
      <c r="B38" s="33" t="s">
        <v>48</v>
      </c>
      <c r="C38" s="34"/>
      <c r="D38" s="33" t="s">
        <v>49</v>
      </c>
      <c r="E38" s="43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4"/>
      <c r="R38" s="33" t="s">
        <v>50</v>
      </c>
      <c r="S38" s="43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4"/>
      <c r="AL38" s="33" t="s">
        <v>51</v>
      </c>
      <c r="AM38" s="35"/>
      <c r="AN38" s="35"/>
      <c r="AO38" s="44"/>
      <c r="AP38" s="33" t="s">
        <v>52</v>
      </c>
      <c r="AQ38" s="35"/>
      <c r="AR38" s="35"/>
      <c r="AS38" s="34"/>
      <c r="AT38" s="33" t="s">
        <v>46</v>
      </c>
      <c r="AU38" s="43"/>
      <c r="AV38" s="43"/>
      <c r="AW38" s="35"/>
      <c r="AX38" s="35"/>
      <c r="AY38" s="43"/>
      <c r="AZ38" s="35"/>
      <c r="BA38" s="35"/>
      <c r="BB38" s="35"/>
      <c r="BC38" s="35"/>
      <c r="BD38" s="35"/>
      <c r="BE38" s="35"/>
      <c r="BF38" s="35"/>
      <c r="BG38" s="35"/>
      <c r="BH38" s="35"/>
      <c r="BI38" s="43"/>
      <c r="BJ38" s="34"/>
      <c r="BK38" s="4"/>
      <c r="BP38" s="82"/>
      <c r="BQ38" t="s">
        <v>223</v>
      </c>
      <c r="BS38" t="s">
        <v>223</v>
      </c>
      <c r="BU38" t="s">
        <v>223</v>
      </c>
      <c r="BV38" s="82" t="str">
        <f>IF(_xlfn.XLOOKUP(3,$AH:$AH,$R:$R,"",0)="","","AND A.`"&amp;_xlfn.XLOOKUP(3,$AH:$AH,$R:$R,"",0)&amp;"` = B.`"&amp;_xlfn.XLOOKUP(3,$AH:$AH,$R:$R,"",0)&amp;"`")</f>
        <v>AND A.`DSPL_CRT_DT` = B.`DSPL_CRT_DT`</v>
      </c>
      <c r="BW38" t="s">
        <v>223</v>
      </c>
      <c r="BY38" t="s">
        <v>223</v>
      </c>
      <c r="BZ38" s="82" t="s">
        <v>229</v>
      </c>
      <c r="CA38" t="s">
        <v>223</v>
      </c>
    </row>
    <row r="39" spans="1:79" ht="15" customHeight="1">
      <c r="A39" s="84"/>
      <c r="B39" s="37">
        <v>1</v>
      </c>
      <c r="C39" s="38"/>
      <c r="D39" s="37" t="s">
        <v>53</v>
      </c>
      <c r="E39" s="45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8"/>
      <c r="R39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`STR_ID`,`CRT_DT`,`DSPL_CRT_DT`</v>
      </c>
      <c r="S39" s="45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8"/>
      <c r="AL39" s="37" t="s">
        <v>224</v>
      </c>
      <c r="AM39" s="39"/>
      <c r="AN39" s="39"/>
      <c r="AO39" s="46"/>
      <c r="AP39" s="37" t="s">
        <v>224</v>
      </c>
      <c r="AQ39" s="39"/>
      <c r="AR39" s="39"/>
      <c r="AS39" s="38"/>
      <c r="AT39" s="37"/>
      <c r="AU39" s="45"/>
      <c r="AV39" s="45"/>
      <c r="AW39" s="39"/>
      <c r="AX39" s="39"/>
      <c r="AY39" s="45"/>
      <c r="AZ39" s="39"/>
      <c r="BA39" s="39"/>
      <c r="BB39" s="39"/>
      <c r="BC39" s="39"/>
      <c r="BD39" s="39"/>
      <c r="BE39" s="39"/>
      <c r="BF39" s="39"/>
      <c r="BG39" s="39"/>
      <c r="BH39" s="39"/>
      <c r="BI39" s="45"/>
      <c r="BJ39" s="38"/>
      <c r="BK39" s="4"/>
      <c r="BP39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`P001_01_CR_Date_Time` BEFORE INSERT ON `P001_01` FOR EACH ROW SET NEW.record_create_date = CURRENT_DATE, NEW.record_create_time = CURRENT_TIME, NEW.record_update_date = CURRENT_DATE, NEW.record_update_time = CURRENT_TIME;</v>
      </c>
      <c r="BQ39" t="s">
        <v>223</v>
      </c>
      <c r="BS39" t="s">
        <v>223</v>
      </c>
      <c r="BU39" t="s">
        <v>223</v>
      </c>
      <c r="BV39" s="82" t="str">
        <f>IF(_xlfn.XLOOKUP(4,$AH:$AH,$R:$R,"",0)="","","AND A.`"&amp;_xlfn.XLOOKUP(4,$AH:$AH,$R:$R,"",0)&amp;"` = B.`"&amp;_xlfn.XLOOKUP(4,$AH:$AH,$R:$R,"",0)&amp;"`")</f>
        <v/>
      </c>
      <c r="BW39" t="s">
        <v>223</v>
      </c>
      <c r="BY39" t="s">
        <v>223</v>
      </c>
      <c r="BZ39" s="82" t="str">
        <f>IF(_xlfn.XLOOKUP(1,$AH:$AH,$R:$R,"",0)="","","A.`"&amp;_xlfn.XLOOKUP(1,$AH:$AH,$R:$R,"",0)&amp;"` = B.`"&amp;_xlfn.XLOOKUP(1,$AH:$AH,$R:$R,"",0)&amp;"`")</f>
        <v>A.`STR_ID` = B.`STR_ID`</v>
      </c>
      <c r="CA39" t="s">
        <v>223</v>
      </c>
    </row>
    <row r="40" spans="1:79" ht="15" customHeight="1">
      <c r="A40" s="84"/>
      <c r="BK40" s="4"/>
      <c r="BP40" s="82" t="str">
        <f>"CREATE TRIGGER `"&amp;$G$10&amp;"_UP_Date_Time` BEFORE UPDATE ON `"&amp;$G$10&amp;"` FOR EACH ROW SET NEW.record_update_date = CURRENT_DATE, NEW.record_update_time = CURRENT_TIME;"</f>
        <v>CREATE TRIGGER `P001_01_UP_Date_Time` BEFORE UPDATE ON `P001_01` FOR EACH ROW SET NEW.record_update_date = CURRENT_DATE, NEW.record_update_time = CURRENT_TIME;</v>
      </c>
      <c r="BQ40" t="s">
        <v>223</v>
      </c>
      <c r="BS40" t="s">
        <v>223</v>
      </c>
      <c r="BU40" t="s">
        <v>223</v>
      </c>
      <c r="BV40" s="82" t="str">
        <f>IF(_xlfn.XLOOKUP(5,$AH:$AH,$R:$R,"",0)="","","AND A.`"&amp;_xlfn.XLOOKUP(5,$AH:$AH,$R:$R,"",0)&amp;"` = B.`"&amp;_xlfn.XLOOKUP(5,$AH:$AH,$R:$R,"",0)&amp;"`")</f>
        <v/>
      </c>
      <c r="BW40" t="s">
        <v>223</v>
      </c>
      <c r="BY40" t="s">
        <v>223</v>
      </c>
      <c r="BZ40" s="82" t="str">
        <f>IF(_xlfn.XLOOKUP(2,$AH:$AH,$R:$R,"",0)="","","AND A.`"&amp;_xlfn.XLOOKUP(2,$AH:$AH,$R:$R,"",0)&amp;"` = B.`"&amp;_xlfn.XLOOKUP(2,$AH:$AH,$R:$R,"",0)&amp;"`")</f>
        <v>AND A.`CRT_DT` = B.`CRT_DT`</v>
      </c>
      <c r="CA40" t="s">
        <v>223</v>
      </c>
    </row>
    <row r="41" spans="1:79" ht="15" customHeight="1">
      <c r="A41" s="84"/>
      <c r="BK41" s="4"/>
      <c r="BQ41" t="s">
        <v>223</v>
      </c>
      <c r="BS41" t="s">
        <v>223</v>
      </c>
      <c r="BU41" t="s">
        <v>223</v>
      </c>
      <c r="BV41" s="82" t="str">
        <f>IF(_xlfn.XLOOKUP(6,$AH:$AH,$R:$R,"",0)="","","AND A.`"&amp;_xlfn.XLOOKUP(6,$AH:$AH,$R:$R,"",0)&amp;"` = B.`"&amp;_xlfn.XLOOKUP(6,$AH:$AH,$R:$R,"",0)&amp;"`")</f>
        <v/>
      </c>
      <c r="BW41" t="s">
        <v>223</v>
      </c>
      <c r="BY41" t="s">
        <v>223</v>
      </c>
      <c r="BZ41" s="82" t="str">
        <f>IF(_xlfn.XLOOKUP(3,$AH:$AH,$R:$R,"",0)="","","AND A.`"&amp;_xlfn.XLOOKUP(3,$AH:$AH,$R:$R,"",0)&amp;"` = B.`"&amp;_xlfn.XLOOKUP(3,$AH:$AH,$R:$R,"",0)&amp;"`")</f>
        <v>AND A.`DSPL_CRT_DT` = B.`DSPL_CRT_DT`</v>
      </c>
      <c r="CA41" t="s">
        <v>223</v>
      </c>
    </row>
    <row r="42" spans="1:79" ht="15" customHeight="1">
      <c r="A42" s="84"/>
      <c r="B42" s="36" t="s">
        <v>32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4"/>
      <c r="BQ42" t="s">
        <v>223</v>
      </c>
      <c r="BS42" t="s">
        <v>223</v>
      </c>
      <c r="BU42" t="s">
        <v>223</v>
      </c>
      <c r="BV42" s="82" t="str">
        <f>IF(_xlfn.XLOOKUP(7,$AH:$AH,$R:$R,"",0)="","","AND A.`"&amp;_xlfn.XLOOKUP(7,$AH:$AH,$R:$R,"",0)&amp;"` = B.`"&amp;_xlfn.XLOOKUP(7,$AH:$AH,$R:$R,"",0)&amp;"`")</f>
        <v/>
      </c>
      <c r="BW42" t="s">
        <v>223</v>
      </c>
      <c r="BY42" t="s">
        <v>223</v>
      </c>
      <c r="BZ42" s="82" t="str">
        <f>IF(_xlfn.XLOOKUP(4,$AH:$AH,$R:$R,"",0)="","","AND A.`"&amp;_xlfn.XLOOKUP(4,$AH:$AH,$R:$R,"",0)&amp;"` = B.`"&amp;_xlfn.XLOOKUP(4,$AH:$AH,$R:$R,"",0)&amp;"`")</f>
        <v/>
      </c>
      <c r="CA42" t="s">
        <v>223</v>
      </c>
    </row>
    <row r="43" spans="1:79" ht="15" customHeight="1">
      <c r="A43" s="84"/>
      <c r="B43" s="33" t="s">
        <v>33</v>
      </c>
      <c r="C43" s="44"/>
      <c r="D43" s="33" t="s">
        <v>34</v>
      </c>
      <c r="E43" s="43"/>
      <c r="F43" s="43"/>
      <c r="G43" s="43"/>
      <c r="H43" s="43"/>
      <c r="I43" s="43"/>
      <c r="J43" s="43"/>
      <c r="K43" s="43"/>
      <c r="L43" s="35"/>
      <c r="M43" s="35"/>
      <c r="N43" s="35"/>
      <c r="O43" s="35"/>
      <c r="P43" s="35"/>
      <c r="Q43" s="34"/>
      <c r="R43" s="33" t="s">
        <v>35</v>
      </c>
      <c r="S43" s="35"/>
      <c r="T43" s="44"/>
      <c r="U43" s="33" t="s">
        <v>36</v>
      </c>
      <c r="V43" s="35"/>
      <c r="W43" s="43"/>
      <c r="X43" s="44"/>
      <c r="Y43" s="33" t="s">
        <v>37</v>
      </c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4"/>
      <c r="BK43" s="4"/>
      <c r="BQ43" t="s">
        <v>223</v>
      </c>
      <c r="BS43" t="s">
        <v>223</v>
      </c>
      <c r="BU43" t="s">
        <v>223</v>
      </c>
      <c r="BV43" s="82" t="str">
        <f>IF(_xlfn.XLOOKUP(8,$AH:$AH,$R:$R,"",0)="","","AND A.`"&amp;_xlfn.XLOOKUP(8,$AH:$AH,$R:$R,"",0)&amp;"` = B.`"&amp;_xlfn.XLOOKUP(8,$AH:$AH,$R:$R,"",0)&amp;"`")</f>
        <v/>
      </c>
      <c r="BW43" t="s">
        <v>223</v>
      </c>
      <c r="BY43" t="s">
        <v>223</v>
      </c>
      <c r="BZ43" s="82" t="str">
        <f>IF(_xlfn.XLOOKUP(5,$AH:$AH,$R:$R,"",0)="","","AND A.`"&amp;_xlfn.XLOOKUP(5,$AH:$AH,$R:$R,"",0)&amp;"` = B.`"&amp;_xlfn.XLOOKUP(5,$AH:$AH,$R:$R,"",0)&amp;"`")</f>
        <v/>
      </c>
      <c r="CA43" t="s">
        <v>223</v>
      </c>
    </row>
    <row r="44" spans="1:79" ht="15" customHeight="1">
      <c r="A44" s="84"/>
      <c r="B44" s="40">
        <v>1</v>
      </c>
      <c r="C44" s="46"/>
      <c r="D44" s="40" t="str">
        <f>G10&amp;"_"&amp;R44&amp;"_"&amp;"trg"</f>
        <v>P001_01_update_trg</v>
      </c>
      <c r="E44" s="45"/>
      <c r="F44" s="45"/>
      <c r="G44" s="45"/>
      <c r="H44" s="45"/>
      <c r="I44" s="45"/>
      <c r="J44" s="45"/>
      <c r="K44" s="45"/>
      <c r="L44" s="41"/>
      <c r="M44" s="41"/>
      <c r="N44" s="41"/>
      <c r="O44" s="41"/>
      <c r="P44" s="41"/>
      <c r="Q44" s="42"/>
      <c r="R44" s="40" t="s">
        <v>38</v>
      </c>
      <c r="S44" s="41"/>
      <c r="T44" s="46"/>
      <c r="U44" s="40" t="s">
        <v>39</v>
      </c>
      <c r="V44" s="41"/>
      <c r="W44" s="45"/>
      <c r="X44" s="46"/>
      <c r="Y44" s="40" t="s">
        <v>40</v>
      </c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2"/>
      <c r="BK44" s="4"/>
      <c r="BQ44" t="s">
        <v>223</v>
      </c>
      <c r="BS44" t="s">
        <v>223</v>
      </c>
      <c r="BU44" t="s">
        <v>223</v>
      </c>
      <c r="BV44" s="82" t="s">
        <v>233</v>
      </c>
      <c r="BW44" t="s">
        <v>223</v>
      </c>
      <c r="BY44" t="s">
        <v>223</v>
      </c>
      <c r="BZ44" s="82" t="str">
        <f>IF(_xlfn.XLOOKUP(6,$AH:$AH,$R:$R,"",0)="","","AND A.`"&amp;_xlfn.XLOOKUP(6,$AH:$AH,$R:$R,"",0)&amp;"` = B.`"&amp;_xlfn.XLOOKUP(6,$AH:$AH,$R:$R,"",0)&amp;"`")</f>
        <v/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BZ45" s="82" t="str">
        <f>IF(_xlfn.XLOOKUP(7,$AH:$AH,$R:$R,"",0)="","","AND A.`"&amp;_xlfn.XLOOKUP(7,$AH:$AH,$R:$R,"",0)&amp;"` = B.`"&amp;_xlfn.XLOOKUP(7,$AH:$AH,$R:$R,"",0)&amp;"`")</f>
        <v/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BZ46" s="82" t="str">
        <f>IF(_xlfn.XLOOKUP(8,$AH:$AH,$R:$R,"",0)="","","AND A.`"&amp;_xlfn.XLOOKUP(8,$AH:$AH,$R:$R,"",0)&amp;"` = B.`"&amp;_xlfn.XLOOKUP(8,$AH:$AH,$R:$R,"",0)&amp;"`")</f>
        <v/>
      </c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BZ47" s="82" t="s">
        <v>226</v>
      </c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BZ49" s="83"/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BZ50" t="str">
        <f>"DROP TABLE IF EXISTS `TMP`.`"&amp;$G$10&amp;"`;"</f>
        <v>DROP TABLE IF EXISTS `TMP`.`P001_01`;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BZ51" t="s">
        <v>234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K53" s="4"/>
      <c r="BQ53" t="s">
        <v>223</v>
      </c>
      <c r="BS53" t="s">
        <v>223</v>
      </c>
      <c r="BU53" t="s">
        <v>223</v>
      </c>
      <c r="BW53" t="s">
        <v>223</v>
      </c>
      <c r="BY53" t="s">
        <v>223</v>
      </c>
      <c r="CA53" t="s">
        <v>223</v>
      </c>
    </row>
    <row r="54" spans="1:79" ht="15" customHeight="1">
      <c r="A54" s="84"/>
      <c r="BK54" s="4"/>
      <c r="BQ54" t="s">
        <v>223</v>
      </c>
      <c r="BS54" t="s">
        <v>223</v>
      </c>
      <c r="BU54" t="s">
        <v>223</v>
      </c>
      <c r="BW54" t="s">
        <v>223</v>
      </c>
      <c r="BY54" t="s">
        <v>223</v>
      </c>
      <c r="CA54" t="s">
        <v>223</v>
      </c>
    </row>
    <row r="55" spans="1:79" ht="15" customHeight="1">
      <c r="A55" s="84"/>
      <c r="BK55" s="4"/>
      <c r="BQ55" t="s">
        <v>223</v>
      </c>
      <c r="BS55" t="s">
        <v>223</v>
      </c>
      <c r="BU55" t="s">
        <v>223</v>
      </c>
      <c r="BW55" t="s">
        <v>223</v>
      </c>
      <c r="BY55" t="s">
        <v>223</v>
      </c>
      <c r="CA55" t="s">
        <v>223</v>
      </c>
    </row>
    <row r="56" spans="1:79" ht="15" customHeight="1">
      <c r="A56" s="8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5"/>
      <c r="BQ56" t="s">
        <v>223</v>
      </c>
      <c r="BS56" t="s">
        <v>223</v>
      </c>
      <c r="BU56" t="s">
        <v>223</v>
      </c>
      <c r="BV56" s="82" t="str">
        <f t="shared" ref="BV56:BV63" si="7">",A.`"&amp;R56&amp;"` = B.`"&amp;R56&amp;"`"</f>
        <v>,A.`` = B.``</v>
      </c>
      <c r="BW56" t="s">
        <v>223</v>
      </c>
      <c r="BX56" s="82" t="str">
        <f t="shared" ref="BX56:BX63" si="8">",`"&amp;R56&amp;"`"</f>
        <v>,``</v>
      </c>
      <c r="BY56" t="s">
        <v>223</v>
      </c>
      <c r="BZ56" s="82" t="str">
        <f t="shared" si="6"/>
        <v>,``</v>
      </c>
      <c r="CA56" t="s">
        <v>223</v>
      </c>
    </row>
    <row r="57" spans="1:79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6"/>
        <v>,``</v>
      </c>
      <c r="CA57" t="s">
        <v>223</v>
      </c>
    </row>
    <row r="58" spans="1:79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6"/>
        <v>,``</v>
      </c>
      <c r="CA58" t="s">
        <v>223</v>
      </c>
    </row>
    <row r="59" spans="1:79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6"/>
        <v>,``</v>
      </c>
      <c r="CA59" t="s">
        <v>223</v>
      </c>
    </row>
    <row r="60" spans="1:79">
      <c r="A60" s="84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6"/>
        <v>,``</v>
      </c>
      <c r="CA60" t="s">
        <v>223</v>
      </c>
    </row>
    <row r="61" spans="1:79">
      <c r="A61" s="84"/>
      <c r="BQ61" t="s">
        <v>223</v>
      </c>
      <c r="BS61" t="s">
        <v>223</v>
      </c>
      <c r="BU61" t="s">
        <v>223</v>
      </c>
      <c r="BV61" s="82" t="str">
        <f t="shared" si="7"/>
        <v>,A.`` = B.``</v>
      </c>
      <c r="BW61" t="s">
        <v>223</v>
      </c>
      <c r="BX61" s="82" t="str">
        <f t="shared" si="8"/>
        <v>,``</v>
      </c>
      <c r="BY61" t="s">
        <v>223</v>
      </c>
      <c r="BZ61" s="82" t="str">
        <f t="shared" si="6"/>
        <v>,``</v>
      </c>
      <c r="CA61" t="s">
        <v>223</v>
      </c>
    </row>
    <row r="62" spans="1:79">
      <c r="A62" s="84"/>
      <c r="BQ62" t="s">
        <v>223</v>
      </c>
      <c r="BS62" t="s">
        <v>223</v>
      </c>
      <c r="BU62" t="s">
        <v>223</v>
      </c>
      <c r="BV62" s="82" t="str">
        <f t="shared" si="7"/>
        <v>,A.`` = B.``</v>
      </c>
      <c r="BW62" t="s">
        <v>223</v>
      </c>
      <c r="BX62" s="82" t="str">
        <f t="shared" si="8"/>
        <v>,``</v>
      </c>
      <c r="BY62" t="s">
        <v>223</v>
      </c>
      <c r="BZ62" s="82" t="str">
        <f t="shared" si="6"/>
        <v>,``</v>
      </c>
      <c r="CA62" t="s">
        <v>223</v>
      </c>
    </row>
    <row r="63" spans="1:79">
      <c r="A63" s="83"/>
      <c r="BQ63" t="s">
        <v>223</v>
      </c>
      <c r="BS63" t="s">
        <v>223</v>
      </c>
      <c r="BU63" t="s">
        <v>223</v>
      </c>
      <c r="BV63" s="82" t="str">
        <f t="shared" si="7"/>
        <v>,A.`` = B.``</v>
      </c>
      <c r="BW63" t="s">
        <v>223</v>
      </c>
      <c r="BX63" s="82" t="str">
        <f t="shared" si="8"/>
        <v>,``</v>
      </c>
      <c r="BY63" t="s">
        <v>223</v>
      </c>
      <c r="BZ63" s="82" t="str">
        <f t="shared" si="6"/>
        <v>,``</v>
      </c>
      <c r="CA63" t="s">
        <v>223</v>
      </c>
    </row>
    <row r="64" spans="1:79">
      <c r="BQ64" t="s">
        <v>223</v>
      </c>
      <c r="BS64" t="s">
        <v>223</v>
      </c>
      <c r="BU64" t="s">
        <v>223</v>
      </c>
      <c r="BV64" s="82" t="s">
        <v>231</v>
      </c>
      <c r="BW64" t="s">
        <v>223</v>
      </c>
      <c r="BY64" t="s">
        <v>223</v>
      </c>
      <c r="BZ64" s="82" t="str">
        <f>"FROM `TMP`.`"&amp;$G$10&amp;"` A"</f>
        <v>FROM `TMP`.`P001_01` A</v>
      </c>
      <c r="CA64" t="s">
        <v>223</v>
      </c>
    </row>
    <row r="65" spans="69:79">
      <c r="BQ65" t="s">
        <v>223</v>
      </c>
      <c r="BS65" t="s">
        <v>223</v>
      </c>
      <c r="BU65" t="s">
        <v>223</v>
      </c>
      <c r="BV65" s="82" t="str">
        <f>IF(_xlfn.XLOOKUP(1,$AH:$AH,$R:$R,"",0)="","","A.`"&amp;_xlfn.XLOOKUP(1,$AH:$AH,$R:$R,"",0)&amp;"` = B.`"&amp;_xlfn.XLOOKUP(1,$AH:$AH,$R:$R,"",0)&amp;"`")</f>
        <v>A.`STR_ID` = B.`STR_ID`</v>
      </c>
      <c r="BW65" t="s">
        <v>223</v>
      </c>
      <c r="BY65" t="s">
        <v>223</v>
      </c>
      <c r="BZ65" s="82" t="s">
        <v>232</v>
      </c>
      <c r="CA65" t="s">
        <v>223</v>
      </c>
    </row>
    <row r="66" spans="69:79">
      <c r="BQ66" t="s">
        <v>223</v>
      </c>
      <c r="BS66" t="s">
        <v>223</v>
      </c>
      <c r="BU66" t="s">
        <v>223</v>
      </c>
      <c r="BV66" s="82" t="str">
        <f>IF(_xlfn.XLOOKUP(2,$AH:$AH,$R:$R,"",0)="","","AND A.`"&amp;_xlfn.XLOOKUP(2,$AH:$AH,$R:$R,"",0)&amp;"` = B.`"&amp;_xlfn.XLOOKUP(2,$AH:$AH,$R:$R,"",0)&amp;"`")</f>
        <v>AND A.`CRT_DT` = B.`CRT_DT`</v>
      </c>
      <c r="BW66" t="s">
        <v>223</v>
      </c>
      <c r="BY66" t="s">
        <v>223</v>
      </c>
      <c r="BZ66" s="82" t="str">
        <f>"FROM `REPLICA_KASUMI`.`"&amp;$G$10&amp;"` B"</f>
        <v>FROM `REPLICA_KASUMI`.`P001_01` B</v>
      </c>
      <c r="CA66" t="s">
        <v>223</v>
      </c>
    </row>
    <row r="67" spans="69:79">
      <c r="BQ67" t="s">
        <v>223</v>
      </c>
      <c r="BS67" t="s">
        <v>223</v>
      </c>
      <c r="BU67" t="s">
        <v>223</v>
      </c>
      <c r="BV67" s="82" t="str">
        <f>IF(_xlfn.XLOOKUP(3,$AH:$AH,$R:$R,"",0)="","","AND A.`"&amp;_xlfn.XLOOKUP(3,$AH:$AH,$R:$R,"",0)&amp;"` = B.`"&amp;_xlfn.XLOOKUP(3,$AH:$AH,$R:$R,"",0)&amp;"`")</f>
        <v>AND A.`DSPL_CRT_DT` = B.`DSPL_CRT_DT`</v>
      </c>
      <c r="BW67" t="s">
        <v>223</v>
      </c>
      <c r="BY67" t="s">
        <v>223</v>
      </c>
      <c r="BZ67" s="82" t="s">
        <v>229</v>
      </c>
      <c r="CA67" t="s">
        <v>223</v>
      </c>
    </row>
    <row r="68" spans="69:79">
      <c r="BQ68" t="s">
        <v>223</v>
      </c>
      <c r="BS68" t="s">
        <v>223</v>
      </c>
      <c r="BU68" t="s">
        <v>223</v>
      </c>
      <c r="BV68" s="82" t="str">
        <f>IF(_xlfn.XLOOKUP(4,$AH:$AH,$R:$R,"",0)="","","AND A.`"&amp;_xlfn.XLOOKUP(4,$AH:$AH,$R:$R,"",0)&amp;"` = B.`"&amp;_xlfn.XLOOKUP(4,$AH:$AH,$R:$R,"",0)&amp;"`")</f>
        <v/>
      </c>
      <c r="BW68" t="s">
        <v>223</v>
      </c>
      <c r="BY68" t="s">
        <v>223</v>
      </c>
      <c r="BZ68" s="82" t="str">
        <f>IF(_xlfn.XLOOKUP(1,$AH:$AH,$R:$R,"",0)="","","A.`"&amp;_xlfn.XLOOKUP(1,$AH:$AH,$R:$R,"",0)&amp;"` = B.`"&amp;_xlfn.XLOOKUP(1,$AH:$AH,$R:$R,"",0)&amp;"`")</f>
        <v>A.`STR_ID` = B.`STR_ID`</v>
      </c>
      <c r="CA68" t="s">
        <v>223</v>
      </c>
    </row>
    <row r="69" spans="69:79">
      <c r="BQ69" t="s">
        <v>223</v>
      </c>
      <c r="BS69" t="s">
        <v>223</v>
      </c>
      <c r="BU69" t="s">
        <v>223</v>
      </c>
      <c r="BV69" s="82" t="str">
        <f>IF(_xlfn.XLOOKUP(5,$AH:$AH,$R:$R,"",0)="","","AND A.`"&amp;_xlfn.XLOOKUP(5,$AH:$AH,$R:$R,"",0)&amp;"` = B.`"&amp;_xlfn.XLOOKUP(5,$AH:$AH,$R:$R,"",0)&amp;"`")</f>
        <v/>
      </c>
      <c r="BW69" t="s">
        <v>223</v>
      </c>
      <c r="BY69" t="s">
        <v>223</v>
      </c>
      <c r="BZ69" s="82" t="str">
        <f>IF(_xlfn.XLOOKUP(2,$AH:$AH,$R:$R,"",0)="","","AND A.`"&amp;_xlfn.XLOOKUP(2,$AH:$AH,$R:$R,"",0)&amp;"` = B.`"&amp;_xlfn.XLOOKUP(2,$AH:$AH,$R:$R,"",0)&amp;"`")</f>
        <v>AND A.`CRT_DT` = B.`CRT_DT`</v>
      </c>
      <c r="CA69" t="s">
        <v>223</v>
      </c>
    </row>
    <row r="70" spans="69:79">
      <c r="BQ70" t="s">
        <v>223</v>
      </c>
      <c r="BS70" t="s">
        <v>223</v>
      </c>
      <c r="BU70" t="s">
        <v>223</v>
      </c>
      <c r="BV70" s="82" t="str">
        <f>IF(_xlfn.XLOOKUP(6,$AH:$AH,$R:$R,"",0)="","","AND A.`"&amp;_xlfn.XLOOKUP(6,$AH:$AH,$R:$R,"",0)&amp;"` = B.`"&amp;_xlfn.XLOOKUP(6,$AH:$AH,$R:$R,"",0)&amp;"`")</f>
        <v/>
      </c>
      <c r="BW70" t="s">
        <v>223</v>
      </c>
      <c r="BY70" t="s">
        <v>223</v>
      </c>
      <c r="BZ70" s="82" t="str">
        <f>IF(_xlfn.XLOOKUP(3,$AH:$AH,$R:$R,"",0)="","","AND A.`"&amp;_xlfn.XLOOKUP(3,$AH:$AH,$R:$R,"",0)&amp;"` = B.`"&amp;_xlfn.XLOOKUP(3,$AH:$AH,$R:$R,"",0)&amp;"`")</f>
        <v>AND A.`DSPL_CRT_DT` = B.`DSPL_CRT_DT`</v>
      </c>
      <c r="CA70" t="s">
        <v>223</v>
      </c>
    </row>
    <row r="71" spans="69:79">
      <c r="BQ71" t="s">
        <v>223</v>
      </c>
      <c r="BS71" t="s">
        <v>223</v>
      </c>
      <c r="BU71" t="s">
        <v>223</v>
      </c>
      <c r="BV71" s="82" t="str">
        <f>IF(_xlfn.XLOOKUP(7,$AH:$AH,$R:$R,"",0)="","","AND A.`"&amp;_xlfn.XLOOKUP(7,$AH:$AH,$R:$R,"",0)&amp;"` = B.`"&amp;_xlfn.XLOOKUP(7,$AH:$AH,$R:$R,"",0)&amp;"`")</f>
        <v/>
      </c>
      <c r="BW71" t="s">
        <v>223</v>
      </c>
      <c r="BY71" t="s">
        <v>223</v>
      </c>
      <c r="BZ71" s="82" t="str">
        <f>IF(_xlfn.XLOOKUP(4,$AH:$AH,$R:$R,"",0)="","","AND A.`"&amp;_xlfn.XLOOKUP(4,$AH:$AH,$R:$R,"",0)&amp;"` = B.`"&amp;_xlfn.XLOOKUP(4,$AH:$AH,$R:$R,"",0)&amp;"`")</f>
        <v/>
      </c>
      <c r="CA71" t="s">
        <v>223</v>
      </c>
    </row>
    <row r="72" spans="69:79">
      <c r="BQ72" t="s">
        <v>223</v>
      </c>
      <c r="BS72" t="s">
        <v>223</v>
      </c>
      <c r="BU72" t="s">
        <v>223</v>
      </c>
      <c r="BV72" s="82" t="str">
        <f>IF(_xlfn.XLOOKUP(8,$AH:$AH,$R:$R,"",0)="","","AND A.`"&amp;_xlfn.XLOOKUP(8,$AH:$AH,$R:$R,"",0)&amp;"` = B.`"&amp;_xlfn.XLOOKUP(8,$AH:$AH,$R:$R,"",0)&amp;"`")</f>
        <v/>
      </c>
      <c r="BW72" t="s">
        <v>223</v>
      </c>
      <c r="BY72" t="s">
        <v>223</v>
      </c>
      <c r="BZ72" s="82" t="str">
        <f>IF(_xlfn.XLOOKUP(5,$AH:$AH,$R:$R,"",0)="","","AND A.`"&amp;_xlfn.XLOOKUP(5,$AH:$AH,$R:$R,"",0)&amp;"` = B.`"&amp;_xlfn.XLOOKUP(5,$AH:$AH,$R:$R,"",0)&amp;"`")</f>
        <v/>
      </c>
      <c r="CA72" t="s">
        <v>223</v>
      </c>
    </row>
    <row r="73" spans="69:79">
      <c r="BQ73" t="s">
        <v>223</v>
      </c>
      <c r="BS73" t="s">
        <v>223</v>
      </c>
      <c r="BU73" t="s">
        <v>223</v>
      </c>
      <c r="BV73" s="82" t="s">
        <v>233</v>
      </c>
      <c r="BW73" t="s">
        <v>223</v>
      </c>
      <c r="BY73" t="s">
        <v>223</v>
      </c>
      <c r="BZ73" s="82" t="str">
        <f>IF(_xlfn.XLOOKUP(6,$AH:$AH,$R:$R,"",0)="","","AND A.`"&amp;_xlfn.XLOOKUP(6,$AH:$AH,$R:$R,"",0)&amp;"` = B.`"&amp;_xlfn.XLOOKUP(6,$AH:$AH,$R:$R,"",0)&amp;"`")</f>
        <v/>
      </c>
      <c r="CA73" t="s">
        <v>223</v>
      </c>
    </row>
    <row r="74" spans="69:79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BZ74" s="82" t="str">
        <f>IF(_xlfn.XLOOKUP(7,$AH:$AH,$R:$R,"",0)="","","AND A.`"&amp;_xlfn.XLOOKUP(7,$AH:$AH,$R:$R,"",0)&amp;"` = B.`"&amp;_xlfn.XLOOKUP(7,$AH:$AH,$R:$R,"",0)&amp;"`")</f>
        <v/>
      </c>
      <c r="CA74" t="s">
        <v>223</v>
      </c>
    </row>
    <row r="75" spans="69:79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BZ75" s="82" t="str">
        <f>IF(_xlfn.XLOOKUP(8,$AH:$AH,$R:$R,"",0)="","","AND A.`"&amp;_xlfn.XLOOKUP(8,$AH:$AH,$R:$R,"",0)&amp;"` = B.`"&amp;_xlfn.XLOOKUP(8,$AH:$AH,$R:$R,"",0)&amp;"`")</f>
        <v/>
      </c>
      <c r="CA75" t="s">
        <v>223</v>
      </c>
    </row>
    <row r="76" spans="69:79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BZ76" s="82" t="s">
        <v>226</v>
      </c>
      <c r="CA76" t="s">
        <v>223</v>
      </c>
    </row>
    <row r="77" spans="69:79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CA77" t="s">
        <v>223</v>
      </c>
    </row>
    <row r="78" spans="69:79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BZ78" s="83"/>
      <c r="CA78" t="s">
        <v>223</v>
      </c>
    </row>
    <row r="79" spans="69:79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BZ79" t="str">
        <f>"DROP TABLE IF EXISTS `TMP`.`"&amp;$G$10&amp;"`;"</f>
        <v>DROP TABLE IF EXISTS `TMP`.`P001_01`;</v>
      </c>
      <c r="CA79" t="s">
        <v>223</v>
      </c>
    </row>
    <row r="80" spans="69:79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BZ80" t="s">
        <v>234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  <row r="83" spans="69:79">
      <c r="BQ83" t="s">
        <v>223</v>
      </c>
      <c r="BS83" t="s">
        <v>223</v>
      </c>
      <c r="BU83" t="s">
        <v>223</v>
      </c>
      <c r="BW83" t="s">
        <v>223</v>
      </c>
      <c r="BY83" t="s">
        <v>223</v>
      </c>
      <c r="CA83" t="s">
        <v>223</v>
      </c>
    </row>
    <row r="84" spans="69:79">
      <c r="BQ84" t="s">
        <v>223</v>
      </c>
      <c r="BS84" t="s">
        <v>223</v>
      </c>
      <c r="BU84" t="s">
        <v>223</v>
      </c>
      <c r="BW84" t="s">
        <v>223</v>
      </c>
      <c r="BY84" t="s">
        <v>223</v>
      </c>
      <c r="CA84" t="s">
        <v>223</v>
      </c>
    </row>
    <row r="85" spans="69:79">
      <c r="BQ85" t="s">
        <v>223</v>
      </c>
      <c r="BS85" t="s">
        <v>223</v>
      </c>
      <c r="BU85" t="s">
        <v>223</v>
      </c>
      <c r="BW85" t="s">
        <v>223</v>
      </c>
      <c r="BY85" t="s">
        <v>223</v>
      </c>
      <c r="CA85" t="s">
        <v>223</v>
      </c>
    </row>
  </sheetData>
  <mergeCells count="46">
    <mergeCell ref="AC32:AG32"/>
    <mergeCell ref="AC33:AG33"/>
    <mergeCell ref="AC34:AG34"/>
    <mergeCell ref="AC27:AG27"/>
    <mergeCell ref="AC28:AG28"/>
    <mergeCell ref="AC29:AG29"/>
    <mergeCell ref="AC30:AG30"/>
    <mergeCell ref="AC31:AG31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BA2F-70F9-4469-814B-2AEB92FF4328}">
  <dimension ref="A1:CA83"/>
  <sheetViews>
    <sheetView view="pageBreakPreview" topLeftCell="A4" zoomScale="80" zoomScaleNormal="75" zoomScaleSheetLayoutView="80" workbookViewId="0">
      <selection activeCell="G9" sqref="G9:X9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1401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1245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`Replica_Kasumi`.`P001_02`;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`Replica_Kasumi`.`P001_02`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`REPLICA_KASUMI`.`P001_02` A,`TMP`.`P001_02`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`TMP`.`P001_02`;</v>
      </c>
      <c r="BS25" t="s">
        <v>223</v>
      </c>
      <c r="BT25" s="82" t="str">
        <f>"LOAD DATA INFILE 'C:/04_DATAFILE/"&amp;$G$10&amp;"/TMP/"&amp;$G$10&amp;".CSV' "</f>
        <v xml:space="preserve">LOAD DATA INFILE 'C:/04_DATAFILE/P001_02/TMP/P001_02.CSV'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/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`TMP`.`P001_02` (</v>
      </c>
      <c r="BS26" t="s">
        <v>223</v>
      </c>
      <c r="BT26" s="82" t="str">
        <f>"REPLACE INTO TABLE TMP.`"&amp;$G$10&amp;"` FIELDS TERMINATED BY ',' ENCLOSED BY '\""' LINES TERMINATED BY '\r\n' ("</f>
        <v>REPLACE INTO TABLE TMP.`P001_02`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`REPLICA_KASUMI`.`P001_02`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/>
      <c r="B27" s="61">
        <v>7</v>
      </c>
      <c r="C27" s="62"/>
      <c r="D27" s="21" t="s">
        <v>1162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1169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1182</v>
      </c>
      <c r="AD27" s="255"/>
      <c r="AE27" s="255"/>
      <c r="AF27" s="255"/>
      <c r="AG27" s="256"/>
      <c r="AH27" s="21"/>
      <c r="AI27" s="64"/>
      <c r="AJ27" s="21" t="s">
        <v>224</v>
      </c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P27" t="str">
        <f>",`"&amp;R27&amp;"` "&amp;AC27&amp;" "&amp;IF(AJ27="Y","NOT NULL","")&amp;" COMMENT '"&amp;D27&amp;"'"</f>
        <v>,`Terminal_ID` char(6) NOT NULL COMMENT '端末ID'</v>
      </c>
      <c r="BQ27" t="s">
        <v>223</v>
      </c>
      <c r="BR27" s="82" t="str">
        <f>"`"&amp;R27&amp;"` "&amp;AC27&amp;" "&amp;IF(AJ27="Y","NOT NULL","")</f>
        <v>`Terminal_ID` char(6) NOT NULL</v>
      </c>
      <c r="BS27" t="s">
        <v>223</v>
      </c>
      <c r="BT27" s="82" t="str">
        <f>"`"&amp;R27&amp;"`"</f>
        <v>`Terminal_ID`</v>
      </c>
      <c r="BU27" t="s">
        <v>223</v>
      </c>
      <c r="BV27" s="82" t="str">
        <f>"A.`"&amp;R27&amp;"` = B.`"&amp;R27&amp;"`"</f>
        <v>A.`Terminal_ID` = B.`Terminal_ID`</v>
      </c>
      <c r="BW27" t="s">
        <v>223</v>
      </c>
      <c r="BX27" s="82" t="str">
        <f>"`"&amp;R27&amp;"`"</f>
        <v>`Terminal_ID`</v>
      </c>
      <c r="BY27" t="s">
        <v>223</v>
      </c>
      <c r="BZ27" s="82" t="str">
        <f>"`"&amp;R27&amp;"`"</f>
        <v>`Terminal_ID`</v>
      </c>
      <c r="CA27" t="s">
        <v>223</v>
      </c>
    </row>
    <row r="28" spans="1:79" ht="15" customHeight="1">
      <c r="A28" s="84"/>
      <c r="B28" s="23">
        <v>9</v>
      </c>
      <c r="C28" s="24"/>
      <c r="D28" s="22" t="s">
        <v>1163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1170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">
        <v>216</v>
      </c>
      <c r="AD28" s="258"/>
      <c r="AE28" s="258"/>
      <c r="AF28" s="258"/>
      <c r="AG28" s="259"/>
      <c r="AH28" s="22"/>
      <c r="AI28" s="26"/>
      <c r="AJ28" s="22" t="s">
        <v>224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P28" t="str">
        <f t="shared" ref="BP28:BP32" si="1">",`"&amp;R28&amp;"` "&amp;AC28&amp;" "&amp;IF(AJ28="Y","NOT NULL","")&amp;" COMMENT '"&amp;D28&amp;"'"</f>
        <v>,`PRCS_TYP` char(1) NOT NULL COMMENT 'レコード区分'</v>
      </c>
      <c r="BQ28" t="s">
        <v>223</v>
      </c>
      <c r="BR28" t="str">
        <f t="shared" ref="BR28:BR32" si="2">",`"&amp;R28&amp;"` "&amp;AC28&amp;" "&amp;IF(AJ28="Y","NOT NULL","")</f>
        <v>,`PRCS_TYP` char(1) NOT NULL</v>
      </c>
      <c r="BS28" t="s">
        <v>223</v>
      </c>
      <c r="BT28" t="str">
        <f t="shared" ref="BT28:BT32" si="3">",`"&amp;R28&amp;"`"</f>
        <v>,`PRCS_TYP`</v>
      </c>
      <c r="BU28" t="s">
        <v>223</v>
      </c>
      <c r="BV28" s="82" t="str">
        <f t="shared" ref="BV28:BV32" si="4">",A.`"&amp;R28&amp;"` = B.`"&amp;R28&amp;"`"</f>
        <v>,A.`PRCS_TYP` = B.`PRCS_TYP`</v>
      </c>
      <c r="BW28" t="s">
        <v>223</v>
      </c>
      <c r="BX28" s="82" t="str">
        <f t="shared" ref="BX28:BX32" si="5">",`"&amp;R28&amp;"`"</f>
        <v>,`PRCS_TYP`</v>
      </c>
      <c r="BY28" t="s">
        <v>223</v>
      </c>
      <c r="BZ28" s="82" t="str">
        <f t="shared" ref="BZ28:BZ61" si="6">",`"&amp;R28&amp;"`"</f>
        <v>,`PRCS_TYP`</v>
      </c>
      <c r="CA28" t="s">
        <v>223</v>
      </c>
    </row>
    <row r="29" spans="1:79" ht="15" customHeight="1">
      <c r="A29" s="84"/>
      <c r="B29" s="23">
        <v>9</v>
      </c>
      <c r="C29" s="24"/>
      <c r="D29" s="22" t="s">
        <v>1164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1171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">
        <v>221</v>
      </c>
      <c r="AD29" s="258"/>
      <c r="AE29" s="258"/>
      <c r="AF29" s="258"/>
      <c r="AG29" s="259"/>
      <c r="AH29" s="22">
        <v>1</v>
      </c>
      <c r="AI29" s="26"/>
      <c r="AJ29" s="22" t="s">
        <v>224</v>
      </c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P29" t="str">
        <f t="shared" si="1"/>
        <v>,`STR_ID` int NOT NULL COMMENT '店コード'</v>
      </c>
      <c r="BQ29" t="s">
        <v>223</v>
      </c>
      <c r="BR29" t="str">
        <f t="shared" si="2"/>
        <v>,`STR_ID` int NOT NULL</v>
      </c>
      <c r="BS29" t="s">
        <v>223</v>
      </c>
      <c r="BT29" t="str">
        <f t="shared" si="3"/>
        <v>,`STR_ID`</v>
      </c>
      <c r="BU29" t="s">
        <v>223</v>
      </c>
      <c r="BV29" s="82" t="str">
        <f t="shared" si="4"/>
        <v>,A.`STR_ID` = B.`STR_ID`</v>
      </c>
      <c r="BW29" t="s">
        <v>223</v>
      </c>
      <c r="BX29" s="82" t="str">
        <f t="shared" si="5"/>
        <v>,`STR_ID`</v>
      </c>
      <c r="BY29" t="s">
        <v>223</v>
      </c>
      <c r="BZ29" s="82" t="str">
        <f t="shared" si="6"/>
        <v>,`STR_ID`</v>
      </c>
      <c r="CA29" t="s">
        <v>223</v>
      </c>
    </row>
    <row r="30" spans="1:79" ht="15" customHeight="1">
      <c r="A30" s="84"/>
      <c r="B30" s="23">
        <v>9</v>
      </c>
      <c r="C30" s="24"/>
      <c r="D30" s="22" t="s">
        <v>1165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1172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">
        <v>221</v>
      </c>
      <c r="AD30" s="258"/>
      <c r="AE30" s="258"/>
      <c r="AF30" s="258"/>
      <c r="AG30" s="259"/>
      <c r="AH30" s="22">
        <v>2</v>
      </c>
      <c r="AI30" s="26"/>
      <c r="AJ30" s="22" t="s">
        <v>224</v>
      </c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P30" t="str">
        <f t="shared" si="1"/>
        <v>,`CRT_DT` int NOT NULL COMMENT 'データ作成日'</v>
      </c>
      <c r="BQ30" t="s">
        <v>223</v>
      </c>
      <c r="BR30" t="str">
        <f t="shared" si="2"/>
        <v>,`CRT_DT` int NOT NULL</v>
      </c>
      <c r="BS30" t="s">
        <v>223</v>
      </c>
      <c r="BT30" t="str">
        <f t="shared" si="3"/>
        <v>,`CRT_DT`</v>
      </c>
      <c r="BU30" t="s">
        <v>223</v>
      </c>
      <c r="BV30" s="82" t="str">
        <f t="shared" si="4"/>
        <v>,A.`CRT_DT` = B.`CRT_DT`</v>
      </c>
      <c r="BW30" t="s">
        <v>223</v>
      </c>
      <c r="BX30" s="82" t="str">
        <f t="shared" si="5"/>
        <v>,`CRT_DT`</v>
      </c>
      <c r="BY30" t="s">
        <v>223</v>
      </c>
      <c r="BZ30" s="82" t="str">
        <f t="shared" si="6"/>
        <v>,`CRT_DT`</v>
      </c>
      <c r="CA30" t="s">
        <v>223</v>
      </c>
    </row>
    <row r="31" spans="1:79" ht="15" customHeight="1">
      <c r="A31" s="84"/>
      <c r="B31" s="23">
        <v>9</v>
      </c>
      <c r="C31" s="24"/>
      <c r="D31" s="22" t="s">
        <v>1166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1174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">
        <v>221</v>
      </c>
      <c r="AD31" s="258"/>
      <c r="AE31" s="258"/>
      <c r="AF31" s="258"/>
      <c r="AG31" s="259"/>
      <c r="AH31" s="22">
        <v>3</v>
      </c>
      <c r="AI31" s="26"/>
      <c r="AJ31" s="22" t="s">
        <v>224</v>
      </c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,`DSPL_CRT_DT` int NOT NULL COMMENT 'データ作成日時'</v>
      </c>
      <c r="BQ31" t="s">
        <v>223</v>
      </c>
      <c r="BR31" t="str">
        <f t="shared" si="2"/>
        <v>,`DSPL_CRT_DT` int NOT NULL</v>
      </c>
      <c r="BS31" t="s">
        <v>223</v>
      </c>
      <c r="BT31" t="str">
        <f t="shared" si="3"/>
        <v>,`DSPL_CRT_DT`</v>
      </c>
      <c r="BU31" t="s">
        <v>223</v>
      </c>
      <c r="BV31" s="82" t="str">
        <f t="shared" si="4"/>
        <v>,A.`DSPL_CRT_DT` = B.`DSPL_CRT_DT`</v>
      </c>
      <c r="BW31" t="s">
        <v>223</v>
      </c>
      <c r="BX31" s="82" t="str">
        <f t="shared" si="5"/>
        <v>,`DSPL_CRT_DT`</v>
      </c>
      <c r="BY31" t="s">
        <v>223</v>
      </c>
      <c r="BZ31" s="82" t="str">
        <f t="shared" si="6"/>
        <v>,`DSPL_CRT_DT`</v>
      </c>
      <c r="CA31" t="s">
        <v>223</v>
      </c>
    </row>
    <row r="32" spans="1:79" ht="15" customHeight="1">
      <c r="A32" s="84"/>
      <c r="B32" s="23">
        <v>9</v>
      </c>
      <c r="C32" s="24"/>
      <c r="D32" s="22" t="s">
        <v>1405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 t="s">
        <v>1403</v>
      </c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57" t="s">
        <v>221</v>
      </c>
      <c r="AD32" s="258"/>
      <c r="AE32" s="258"/>
      <c r="AF32" s="258"/>
      <c r="AG32" s="259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2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P32" t="str">
        <f t="shared" si="1"/>
        <v>,`RECORD_QTY` int  COMMENT 'レコード件数'</v>
      </c>
      <c r="BQ32" t="s">
        <v>223</v>
      </c>
      <c r="BR32" t="str">
        <f t="shared" si="2"/>
        <v xml:space="preserve">,`RECORD_QTY` int </v>
      </c>
      <c r="BS32" t="s">
        <v>223</v>
      </c>
      <c r="BT32" t="str">
        <f t="shared" si="3"/>
        <v>,`RECORD_QTY`</v>
      </c>
      <c r="BU32" t="s">
        <v>223</v>
      </c>
      <c r="BV32" s="82" t="str">
        <f t="shared" si="4"/>
        <v>,A.`RECORD_QTY` = B.`RECORD_QTY`</v>
      </c>
      <c r="BW32" t="s">
        <v>223</v>
      </c>
      <c r="BX32" s="82" t="str">
        <f t="shared" si="5"/>
        <v>,`RECORD_QTY`</v>
      </c>
      <c r="BY32" t="s">
        <v>223</v>
      </c>
      <c r="BZ32" s="82" t="str">
        <f t="shared" si="6"/>
        <v>,`RECORD_QTY`</v>
      </c>
      <c r="CA32" t="s">
        <v>223</v>
      </c>
    </row>
    <row r="33" spans="1:79" ht="15" customHeight="1">
      <c r="A33" s="84"/>
      <c r="BK33" s="4"/>
      <c r="BP33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(`STR_ID`,`CRT_DT`,`DSPL_CRT_DT`),</v>
      </c>
      <c r="BQ33" t="s">
        <v>223</v>
      </c>
      <c r="BR33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(`STR_ID`,`CRT_DT`,`DSPL_CRT_DT`)</v>
      </c>
      <c r="BS33" t="s">
        <v>223</v>
      </c>
      <c r="BT33" s="82" t="s">
        <v>226</v>
      </c>
      <c r="BU33" t="s">
        <v>223</v>
      </c>
      <c r="BV33" s="82" t="s">
        <v>231</v>
      </c>
      <c r="BW33" t="s">
        <v>223</v>
      </c>
      <c r="BY33" t="s">
        <v>223</v>
      </c>
      <c r="BZ33" s="82" t="str">
        <f>"FROM `TMP`.`"&amp;$G$10&amp;"` A"</f>
        <v>FROM `TMP`.`P001_02` A</v>
      </c>
      <c r="CA33" t="s">
        <v>223</v>
      </c>
    </row>
    <row r="34" spans="1:79" ht="15" customHeight="1">
      <c r="A34" s="84"/>
      <c r="BK34" s="4"/>
      <c r="BP34" s="82" t="s">
        <v>222</v>
      </c>
      <c r="BQ34" t="s">
        <v>223</v>
      </c>
      <c r="BR34" s="82" t="str">
        <f>") ENGINE=InnoDB DEFAULT CHARSET=utf8mb4 COLLATE=utf8mb4_0900_ai_ci COMMENT = '"&amp;$G$9&amp;"_TMP';"</f>
        <v>) ENGINE=InnoDB DEFAULT CHARSET=utf8mb4 COLLATE=utf8mb4_0900_ai_ci COMMENT = 'P001(エンドレコード)_TMP';</v>
      </c>
      <c r="BS34" t="s">
        <v>223</v>
      </c>
      <c r="BU34" t="s">
        <v>223</v>
      </c>
      <c r="BV34" s="82" t="str">
        <f>IF(_xlfn.XLOOKUP(1,$AH:$AH,$R:$R,"",0)="","","A.`"&amp;_xlfn.XLOOKUP(1,$AH:$AH,$R:$R,"",0)&amp;"` = B.`"&amp;_xlfn.XLOOKUP(1,$AH:$AH,$R:$R,"",0)&amp;"`")</f>
        <v>A.`STR_ID` = B.`STR_ID`</v>
      </c>
      <c r="BW34" t="s">
        <v>223</v>
      </c>
      <c r="BY34" t="s">
        <v>223</v>
      </c>
      <c r="BZ34" s="82" t="s">
        <v>232</v>
      </c>
      <c r="CA34" t="s">
        <v>223</v>
      </c>
    </row>
    <row r="35" spans="1:79" ht="15" customHeight="1">
      <c r="A35" s="84"/>
      <c r="B35" s="36" t="s">
        <v>47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4"/>
      <c r="BP35" s="82" t="str">
        <f>") ENGINE=InnoDB DEFAULT CHARSET=utf8mb4 COLLATE=utf8mb4_0900_ai_ci COMMENT = '"&amp;$G$9&amp;"';"</f>
        <v>) ENGINE=InnoDB DEFAULT CHARSET=utf8mb4 COLLATE=utf8mb4_0900_ai_ci COMMENT = 'P001(エンドレコード)';</v>
      </c>
      <c r="BQ35" t="s">
        <v>223</v>
      </c>
      <c r="BS35" t="s">
        <v>223</v>
      </c>
      <c r="BU35" t="s">
        <v>223</v>
      </c>
      <c r="BV35" s="82" t="str">
        <f>IF(_xlfn.XLOOKUP(2,$AH:$AH,$R:$R,"",0)="","","AND A.`"&amp;_xlfn.XLOOKUP(2,$AH:$AH,$R:$R,"",0)&amp;"` = B.`"&amp;_xlfn.XLOOKUP(2,$AH:$AH,$R:$R,"",0)&amp;"`")</f>
        <v>AND A.`CRT_DT` = B.`CRT_DT`</v>
      </c>
      <c r="BW35" t="s">
        <v>223</v>
      </c>
      <c r="BY35" t="s">
        <v>223</v>
      </c>
      <c r="BZ35" s="82" t="str">
        <f>"FROM `REPLICA_KASUMI`.`"&amp;$G$10&amp;"` B"</f>
        <v>FROM `REPLICA_KASUMI`.`P001_02` B</v>
      </c>
      <c r="CA35" t="s">
        <v>223</v>
      </c>
    </row>
    <row r="36" spans="1:79" ht="15" customHeight="1">
      <c r="A36" s="84"/>
      <c r="B36" s="33" t="s">
        <v>48</v>
      </c>
      <c r="C36" s="34"/>
      <c r="D36" s="33" t="s">
        <v>49</v>
      </c>
      <c r="E36" s="43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4"/>
      <c r="R36" s="33" t="s">
        <v>50</v>
      </c>
      <c r="S36" s="43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4"/>
      <c r="AL36" s="33" t="s">
        <v>51</v>
      </c>
      <c r="AM36" s="35"/>
      <c r="AN36" s="35"/>
      <c r="AO36" s="44"/>
      <c r="AP36" s="33" t="s">
        <v>52</v>
      </c>
      <c r="AQ36" s="35"/>
      <c r="AR36" s="35"/>
      <c r="AS36" s="34"/>
      <c r="AT36" s="33" t="s">
        <v>46</v>
      </c>
      <c r="AU36" s="43"/>
      <c r="AV36" s="43"/>
      <c r="AW36" s="35"/>
      <c r="AX36" s="35"/>
      <c r="AY36" s="43"/>
      <c r="AZ36" s="35"/>
      <c r="BA36" s="35"/>
      <c r="BB36" s="35"/>
      <c r="BC36" s="35"/>
      <c r="BD36" s="35"/>
      <c r="BE36" s="35"/>
      <c r="BF36" s="35"/>
      <c r="BG36" s="35"/>
      <c r="BH36" s="35"/>
      <c r="BI36" s="43"/>
      <c r="BJ36" s="34"/>
      <c r="BK36" s="4"/>
      <c r="BP36" s="82"/>
      <c r="BQ36" t="s">
        <v>223</v>
      </c>
      <c r="BS36" t="s">
        <v>223</v>
      </c>
      <c r="BU36" t="s">
        <v>223</v>
      </c>
      <c r="BV36" s="82" t="str">
        <f>IF(_xlfn.XLOOKUP(3,$AH:$AH,$R:$R,"",0)="","","AND A.`"&amp;_xlfn.XLOOKUP(3,$AH:$AH,$R:$R,"",0)&amp;"` = B.`"&amp;_xlfn.XLOOKUP(3,$AH:$AH,$R:$R,"",0)&amp;"`")</f>
        <v>AND A.`DSPL_CRT_DT` = B.`DSPL_CRT_DT`</v>
      </c>
      <c r="BW36" t="s">
        <v>223</v>
      </c>
      <c r="BY36" t="s">
        <v>223</v>
      </c>
      <c r="BZ36" s="82" t="s">
        <v>229</v>
      </c>
      <c r="CA36" t="s">
        <v>223</v>
      </c>
    </row>
    <row r="37" spans="1:79" ht="15" customHeight="1">
      <c r="A37" s="84"/>
      <c r="B37" s="37">
        <v>1</v>
      </c>
      <c r="C37" s="38"/>
      <c r="D37" s="37" t="s">
        <v>53</v>
      </c>
      <c r="E37" s="45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8"/>
      <c r="R37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`STR_ID`,`CRT_DT`,`DSPL_CRT_DT`</v>
      </c>
      <c r="S37" s="45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8"/>
      <c r="AL37" s="37" t="s">
        <v>224</v>
      </c>
      <c r="AM37" s="39"/>
      <c r="AN37" s="39"/>
      <c r="AO37" s="46"/>
      <c r="AP37" s="37" t="s">
        <v>224</v>
      </c>
      <c r="AQ37" s="39"/>
      <c r="AR37" s="39"/>
      <c r="AS37" s="38"/>
      <c r="AT37" s="37"/>
      <c r="AU37" s="45"/>
      <c r="AV37" s="45"/>
      <c r="AW37" s="39"/>
      <c r="AX37" s="39"/>
      <c r="AY37" s="45"/>
      <c r="AZ37" s="39"/>
      <c r="BA37" s="39"/>
      <c r="BB37" s="39"/>
      <c r="BC37" s="39"/>
      <c r="BD37" s="39"/>
      <c r="BE37" s="39"/>
      <c r="BF37" s="39"/>
      <c r="BG37" s="39"/>
      <c r="BH37" s="39"/>
      <c r="BI37" s="45"/>
      <c r="BJ37" s="38"/>
      <c r="BK37" s="4"/>
      <c r="BP37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`P001_02_CR_Date_Time` BEFORE INSERT ON `P001_02` FOR EACH ROW SET NEW.record_create_date = CURRENT_DATE, NEW.record_create_time = CURRENT_TIME, NEW.record_update_date = CURRENT_DATE, NEW.record_update_time = CURRENT_TIME;</v>
      </c>
      <c r="BQ37" t="s">
        <v>223</v>
      </c>
      <c r="BS37" t="s">
        <v>223</v>
      </c>
      <c r="BU37" t="s">
        <v>223</v>
      </c>
      <c r="BV37" s="82" t="str">
        <f>IF(_xlfn.XLOOKUP(4,$AH:$AH,$R:$R,"",0)="","","AND A.`"&amp;_xlfn.XLOOKUP(4,$AH:$AH,$R:$R,"",0)&amp;"` = B.`"&amp;_xlfn.XLOOKUP(4,$AH:$AH,$R:$R,"",0)&amp;"`")</f>
        <v/>
      </c>
      <c r="BW37" t="s">
        <v>223</v>
      </c>
      <c r="BY37" t="s">
        <v>223</v>
      </c>
      <c r="BZ37" s="82" t="str">
        <f>IF(_xlfn.XLOOKUP(1,$AH:$AH,$R:$R,"",0)="","","A.`"&amp;_xlfn.XLOOKUP(1,$AH:$AH,$R:$R,"",0)&amp;"` = B.`"&amp;_xlfn.XLOOKUP(1,$AH:$AH,$R:$R,"",0)&amp;"`")</f>
        <v>A.`STR_ID` = B.`STR_ID`</v>
      </c>
      <c r="CA37" t="s">
        <v>223</v>
      </c>
    </row>
    <row r="38" spans="1:79" ht="15" customHeight="1">
      <c r="A38" s="84"/>
      <c r="BK38" s="4"/>
      <c r="BP38" s="82" t="str">
        <f>"CREATE TRIGGER `"&amp;$G$10&amp;"_UP_Date_Time` BEFORE UPDATE ON `"&amp;$G$10&amp;"` FOR EACH ROW SET NEW.record_update_date = CURRENT_DATE, NEW.record_update_time = CURRENT_TIME;"</f>
        <v>CREATE TRIGGER `P001_02_UP_Date_Time` BEFORE UPDATE ON `P001_02` FOR EACH ROW SET NEW.record_update_date = CURRENT_DATE, NEW.record_update_time = CURRENT_TIME;</v>
      </c>
      <c r="BQ38" t="s">
        <v>223</v>
      </c>
      <c r="BS38" t="s">
        <v>223</v>
      </c>
      <c r="BU38" t="s">
        <v>223</v>
      </c>
      <c r="BV38" s="82" t="str">
        <f>IF(_xlfn.XLOOKUP(5,$AH:$AH,$R:$R,"",0)="","","AND A.`"&amp;_xlfn.XLOOKUP(5,$AH:$AH,$R:$R,"",0)&amp;"` = B.`"&amp;_xlfn.XLOOKUP(5,$AH:$AH,$R:$R,"",0)&amp;"`")</f>
        <v/>
      </c>
      <c r="BW38" t="s">
        <v>223</v>
      </c>
      <c r="BY38" t="s">
        <v>223</v>
      </c>
      <c r="BZ38" s="82" t="str">
        <f>IF(_xlfn.XLOOKUP(2,$AH:$AH,$R:$R,"",0)="","","AND A.`"&amp;_xlfn.XLOOKUP(2,$AH:$AH,$R:$R,"",0)&amp;"` = B.`"&amp;_xlfn.XLOOKUP(2,$AH:$AH,$R:$R,"",0)&amp;"`")</f>
        <v>AND A.`CRT_DT` = B.`CRT_DT`</v>
      </c>
      <c r="CA38" t="s">
        <v>223</v>
      </c>
    </row>
    <row r="39" spans="1:79" ht="15" customHeight="1">
      <c r="A39" s="84"/>
      <c r="BK39" s="4"/>
      <c r="BQ39" t="s">
        <v>223</v>
      </c>
      <c r="BS39" t="s">
        <v>223</v>
      </c>
      <c r="BU39" t="s">
        <v>223</v>
      </c>
      <c r="BV39" s="82" t="str">
        <f>IF(_xlfn.XLOOKUP(6,$AH:$AH,$R:$R,"",0)="","","AND A.`"&amp;_xlfn.XLOOKUP(6,$AH:$AH,$R:$R,"",0)&amp;"` = B.`"&amp;_xlfn.XLOOKUP(6,$AH:$AH,$R:$R,"",0)&amp;"`")</f>
        <v/>
      </c>
      <c r="BW39" t="s">
        <v>223</v>
      </c>
      <c r="BY39" t="s">
        <v>223</v>
      </c>
      <c r="BZ39" s="82" t="str">
        <f>IF(_xlfn.XLOOKUP(3,$AH:$AH,$R:$R,"",0)="","","AND A.`"&amp;_xlfn.XLOOKUP(3,$AH:$AH,$R:$R,"",0)&amp;"` = B.`"&amp;_xlfn.XLOOKUP(3,$AH:$AH,$R:$R,"",0)&amp;"`")</f>
        <v>AND A.`DSPL_CRT_DT` = B.`DSPL_CRT_DT`</v>
      </c>
      <c r="CA39" t="s">
        <v>223</v>
      </c>
    </row>
    <row r="40" spans="1:79" ht="15" customHeight="1">
      <c r="A40" s="84"/>
      <c r="B40" s="36" t="s">
        <v>32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4"/>
      <c r="BQ40" t="s">
        <v>223</v>
      </c>
      <c r="BS40" t="s">
        <v>223</v>
      </c>
      <c r="BU40" t="s">
        <v>223</v>
      </c>
      <c r="BV40" s="82" t="str">
        <f>IF(_xlfn.XLOOKUP(7,$AH:$AH,$R:$R,"",0)="","","AND A.`"&amp;_xlfn.XLOOKUP(7,$AH:$AH,$R:$R,"",0)&amp;"` = B.`"&amp;_xlfn.XLOOKUP(7,$AH:$AH,$R:$R,"",0)&amp;"`")</f>
        <v/>
      </c>
      <c r="BW40" t="s">
        <v>223</v>
      </c>
      <c r="BY40" t="s">
        <v>223</v>
      </c>
      <c r="BZ40" s="82" t="str">
        <f>IF(_xlfn.XLOOKUP(4,$AH:$AH,$R:$R,"",0)="","","AND A.`"&amp;_xlfn.XLOOKUP(4,$AH:$AH,$R:$R,"",0)&amp;"` = B.`"&amp;_xlfn.XLOOKUP(4,$AH:$AH,$R:$R,"",0)&amp;"`")</f>
        <v/>
      </c>
      <c r="CA40" t="s">
        <v>223</v>
      </c>
    </row>
    <row r="41" spans="1:79" ht="15" customHeight="1">
      <c r="A41" s="84"/>
      <c r="B41" s="33" t="s">
        <v>33</v>
      </c>
      <c r="C41" s="44"/>
      <c r="D41" s="33" t="s">
        <v>34</v>
      </c>
      <c r="E41" s="43"/>
      <c r="F41" s="43"/>
      <c r="G41" s="43"/>
      <c r="H41" s="43"/>
      <c r="I41" s="43"/>
      <c r="J41" s="43"/>
      <c r="K41" s="43"/>
      <c r="L41" s="35"/>
      <c r="M41" s="35"/>
      <c r="N41" s="35"/>
      <c r="O41" s="35"/>
      <c r="P41" s="35"/>
      <c r="Q41" s="34"/>
      <c r="R41" s="33" t="s">
        <v>35</v>
      </c>
      <c r="S41" s="35"/>
      <c r="T41" s="44"/>
      <c r="U41" s="33" t="s">
        <v>36</v>
      </c>
      <c r="V41" s="35"/>
      <c r="W41" s="43"/>
      <c r="X41" s="44"/>
      <c r="Y41" s="33" t="s">
        <v>37</v>
      </c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4"/>
      <c r="BK41" s="4"/>
      <c r="BQ41" t="s">
        <v>223</v>
      </c>
      <c r="BS41" t="s">
        <v>223</v>
      </c>
      <c r="BU41" t="s">
        <v>223</v>
      </c>
      <c r="BV41" s="82" t="str">
        <f>IF(_xlfn.XLOOKUP(8,$AH:$AH,$R:$R,"",0)="","","AND A.`"&amp;_xlfn.XLOOKUP(8,$AH:$AH,$R:$R,"",0)&amp;"` = B.`"&amp;_xlfn.XLOOKUP(8,$AH:$AH,$R:$R,"",0)&amp;"`")</f>
        <v/>
      </c>
      <c r="BW41" t="s">
        <v>223</v>
      </c>
      <c r="BY41" t="s">
        <v>223</v>
      </c>
      <c r="BZ41" s="82" t="str">
        <f>IF(_xlfn.XLOOKUP(5,$AH:$AH,$R:$R,"",0)="","","AND A.`"&amp;_xlfn.XLOOKUP(5,$AH:$AH,$R:$R,"",0)&amp;"` = B.`"&amp;_xlfn.XLOOKUP(5,$AH:$AH,$R:$R,"",0)&amp;"`")</f>
        <v/>
      </c>
      <c r="CA41" t="s">
        <v>223</v>
      </c>
    </row>
    <row r="42" spans="1:79" ht="15" customHeight="1">
      <c r="A42" s="84"/>
      <c r="B42" s="40">
        <v>1</v>
      </c>
      <c r="C42" s="46"/>
      <c r="D42" s="40" t="str">
        <f>G10&amp;"_"&amp;R42&amp;"_"&amp;"trg"</f>
        <v>P001_02_update_trg</v>
      </c>
      <c r="E42" s="45"/>
      <c r="F42" s="45"/>
      <c r="G42" s="45"/>
      <c r="H42" s="45"/>
      <c r="I42" s="45"/>
      <c r="J42" s="45"/>
      <c r="K42" s="45"/>
      <c r="L42" s="41"/>
      <c r="M42" s="41"/>
      <c r="N42" s="41"/>
      <c r="O42" s="41"/>
      <c r="P42" s="41"/>
      <c r="Q42" s="42"/>
      <c r="R42" s="40" t="s">
        <v>38</v>
      </c>
      <c r="S42" s="41"/>
      <c r="T42" s="46"/>
      <c r="U42" s="40" t="s">
        <v>39</v>
      </c>
      <c r="V42" s="41"/>
      <c r="W42" s="45"/>
      <c r="X42" s="46"/>
      <c r="Y42" s="40" t="s">
        <v>40</v>
      </c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2"/>
      <c r="BK42" s="4"/>
      <c r="BQ42" t="s">
        <v>223</v>
      </c>
      <c r="BS42" t="s">
        <v>223</v>
      </c>
      <c r="BU42" t="s">
        <v>223</v>
      </c>
      <c r="BV42" s="82" t="s">
        <v>233</v>
      </c>
      <c r="BW42" t="s">
        <v>223</v>
      </c>
      <c r="BY42" t="s">
        <v>223</v>
      </c>
      <c r="BZ42" s="82" t="str">
        <f>IF(_xlfn.XLOOKUP(6,$AH:$AH,$R:$R,"",0)="","","AND A.`"&amp;_xlfn.XLOOKUP(6,$AH:$AH,$R:$R,"",0)&amp;"` = B.`"&amp;_xlfn.XLOOKUP(6,$AH:$AH,$R:$R,"",0)&amp;"`")</f>
        <v/>
      </c>
      <c r="CA42" t="s">
        <v>223</v>
      </c>
    </row>
    <row r="43" spans="1:79" ht="15" customHeight="1">
      <c r="A43" s="84"/>
      <c r="BK43" s="4"/>
      <c r="BQ43" t="s">
        <v>223</v>
      </c>
      <c r="BS43" t="s">
        <v>223</v>
      </c>
      <c r="BU43" t="s">
        <v>223</v>
      </c>
      <c r="BW43" t="s">
        <v>223</v>
      </c>
      <c r="BY43" t="s">
        <v>223</v>
      </c>
      <c r="BZ43" s="82" t="str">
        <f>IF(_xlfn.XLOOKUP(7,$AH:$AH,$R:$R,"",0)="","","AND A.`"&amp;_xlfn.XLOOKUP(7,$AH:$AH,$R:$R,"",0)&amp;"` = B.`"&amp;_xlfn.XLOOKUP(7,$AH:$AH,$R:$R,"",0)&amp;"`")</f>
        <v/>
      </c>
      <c r="CA43" t="s">
        <v>223</v>
      </c>
    </row>
    <row r="44" spans="1:79" ht="15" customHeight="1">
      <c r="A44" s="84"/>
      <c r="BK44" s="4"/>
      <c r="BQ44" t="s">
        <v>223</v>
      </c>
      <c r="BS44" t="s">
        <v>223</v>
      </c>
      <c r="BU44" t="s">
        <v>223</v>
      </c>
      <c r="BW44" t="s">
        <v>223</v>
      </c>
      <c r="BY44" t="s">
        <v>223</v>
      </c>
      <c r="BZ44" s="82" t="str">
        <f>IF(_xlfn.XLOOKUP(8,$AH:$AH,$R:$R,"",0)="","","AND A.`"&amp;_xlfn.XLOOKUP(8,$AH:$AH,$R:$R,"",0)&amp;"` = B.`"&amp;_xlfn.XLOOKUP(8,$AH:$AH,$R:$R,"",0)&amp;"`")</f>
        <v/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BZ45" s="82" t="s">
        <v>226</v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BZ47" s="83"/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BZ48" t="str">
        <f>"DROP TABLE IF EXISTS `TMP`.`"&amp;$G$10&amp;"`;"</f>
        <v>DROP TABLE IF EXISTS `TMP`.`P001_02`;</v>
      </c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BZ49" t="s">
        <v>234</v>
      </c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K53" s="4"/>
      <c r="BQ53" t="s">
        <v>223</v>
      </c>
      <c r="BS53" t="s">
        <v>223</v>
      </c>
      <c r="BU53" t="s">
        <v>223</v>
      </c>
      <c r="BW53" t="s">
        <v>223</v>
      </c>
      <c r="BY53" t="s">
        <v>223</v>
      </c>
      <c r="CA53" t="s">
        <v>223</v>
      </c>
    </row>
    <row r="54" spans="1:79" ht="15" customHeight="1">
      <c r="A54" s="8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5"/>
      <c r="BQ54" t="s">
        <v>223</v>
      </c>
      <c r="BS54" t="s">
        <v>223</v>
      </c>
      <c r="BU54" t="s">
        <v>223</v>
      </c>
      <c r="BV54" s="82" t="str">
        <f t="shared" ref="BV54:BV61" si="7">",A.`"&amp;R54&amp;"` = B.`"&amp;R54&amp;"`"</f>
        <v>,A.`` = B.``</v>
      </c>
      <c r="BW54" t="s">
        <v>223</v>
      </c>
      <c r="BX54" s="82" t="str">
        <f t="shared" ref="BX54:BX61" si="8">",`"&amp;R54&amp;"`"</f>
        <v>,``</v>
      </c>
      <c r="BY54" t="s">
        <v>223</v>
      </c>
      <c r="BZ54" s="82" t="str">
        <f t="shared" si="6"/>
        <v>,``</v>
      </c>
      <c r="CA54" t="s">
        <v>223</v>
      </c>
    </row>
    <row r="55" spans="1:79">
      <c r="A55" s="84"/>
      <c r="BQ55" t="s">
        <v>223</v>
      </c>
      <c r="BS55" t="s">
        <v>223</v>
      </c>
      <c r="BU55" t="s">
        <v>223</v>
      </c>
      <c r="BV55" s="82" t="str">
        <f t="shared" si="7"/>
        <v>,A.`` = B.``</v>
      </c>
      <c r="BW55" t="s">
        <v>223</v>
      </c>
      <c r="BX55" s="82" t="str">
        <f t="shared" si="8"/>
        <v>,``</v>
      </c>
      <c r="BY55" t="s">
        <v>223</v>
      </c>
      <c r="BZ55" s="82" t="str">
        <f t="shared" si="6"/>
        <v>,``</v>
      </c>
      <c r="CA55" t="s">
        <v>223</v>
      </c>
    </row>
    <row r="56" spans="1:79">
      <c r="A56" s="84"/>
      <c r="BQ56" t="s">
        <v>223</v>
      </c>
      <c r="BS56" t="s">
        <v>223</v>
      </c>
      <c r="BU56" t="s">
        <v>223</v>
      </c>
      <c r="BV56" s="82" t="str">
        <f t="shared" si="7"/>
        <v>,A.`` = B.``</v>
      </c>
      <c r="BW56" t="s">
        <v>223</v>
      </c>
      <c r="BX56" s="82" t="str">
        <f t="shared" si="8"/>
        <v>,``</v>
      </c>
      <c r="BY56" t="s">
        <v>223</v>
      </c>
      <c r="BZ56" s="82" t="str">
        <f t="shared" si="6"/>
        <v>,``</v>
      </c>
      <c r="CA56" t="s">
        <v>223</v>
      </c>
    </row>
    <row r="57" spans="1:79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6"/>
        <v>,``</v>
      </c>
      <c r="CA57" t="s">
        <v>223</v>
      </c>
    </row>
    <row r="58" spans="1:79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6"/>
        <v>,``</v>
      </c>
      <c r="CA58" t="s">
        <v>223</v>
      </c>
    </row>
    <row r="59" spans="1:79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6"/>
        <v>,``</v>
      </c>
      <c r="CA59" t="s">
        <v>223</v>
      </c>
    </row>
    <row r="60" spans="1:79">
      <c r="A60" s="84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6"/>
        <v>,``</v>
      </c>
      <c r="CA60" t="s">
        <v>223</v>
      </c>
    </row>
    <row r="61" spans="1:79">
      <c r="A61" s="83"/>
      <c r="BQ61" t="s">
        <v>223</v>
      </c>
      <c r="BS61" t="s">
        <v>223</v>
      </c>
      <c r="BU61" t="s">
        <v>223</v>
      </c>
      <c r="BV61" s="82" t="str">
        <f t="shared" si="7"/>
        <v>,A.`` = B.``</v>
      </c>
      <c r="BW61" t="s">
        <v>223</v>
      </c>
      <c r="BX61" s="82" t="str">
        <f t="shared" si="8"/>
        <v>,``</v>
      </c>
      <c r="BY61" t="s">
        <v>223</v>
      </c>
      <c r="BZ61" s="82" t="str">
        <f t="shared" si="6"/>
        <v>,``</v>
      </c>
      <c r="CA61" t="s">
        <v>223</v>
      </c>
    </row>
    <row r="62" spans="1:79">
      <c r="BQ62" t="s">
        <v>223</v>
      </c>
      <c r="BS62" t="s">
        <v>223</v>
      </c>
      <c r="BU62" t="s">
        <v>223</v>
      </c>
      <c r="BV62" s="82" t="s">
        <v>231</v>
      </c>
      <c r="BW62" t="s">
        <v>223</v>
      </c>
      <c r="BY62" t="s">
        <v>223</v>
      </c>
      <c r="BZ62" s="82" t="str">
        <f>"FROM `TMP`.`"&amp;$G$10&amp;"` A"</f>
        <v>FROM `TMP`.`P001_02` A</v>
      </c>
      <c r="CA62" t="s">
        <v>223</v>
      </c>
    </row>
    <row r="63" spans="1:79">
      <c r="BQ63" t="s">
        <v>223</v>
      </c>
      <c r="BS63" t="s">
        <v>223</v>
      </c>
      <c r="BU63" t="s">
        <v>223</v>
      </c>
      <c r="BV63" s="82" t="str">
        <f>IF(_xlfn.XLOOKUP(1,$AH:$AH,$R:$R,"",0)="","","A.`"&amp;_xlfn.XLOOKUP(1,$AH:$AH,$R:$R,"",0)&amp;"` = B.`"&amp;_xlfn.XLOOKUP(1,$AH:$AH,$R:$R,"",0)&amp;"`")</f>
        <v>A.`STR_ID` = B.`STR_ID`</v>
      </c>
      <c r="BW63" t="s">
        <v>223</v>
      </c>
      <c r="BY63" t="s">
        <v>223</v>
      </c>
      <c r="BZ63" s="82" t="s">
        <v>232</v>
      </c>
      <c r="CA63" t="s">
        <v>223</v>
      </c>
    </row>
    <row r="64" spans="1:79">
      <c r="BQ64" t="s">
        <v>223</v>
      </c>
      <c r="BS64" t="s">
        <v>223</v>
      </c>
      <c r="BU64" t="s">
        <v>223</v>
      </c>
      <c r="BV64" s="82" t="str">
        <f>IF(_xlfn.XLOOKUP(2,$AH:$AH,$R:$R,"",0)="","","AND A.`"&amp;_xlfn.XLOOKUP(2,$AH:$AH,$R:$R,"",0)&amp;"` = B.`"&amp;_xlfn.XLOOKUP(2,$AH:$AH,$R:$R,"",0)&amp;"`")</f>
        <v>AND A.`CRT_DT` = B.`CRT_DT`</v>
      </c>
      <c r="BW64" t="s">
        <v>223</v>
      </c>
      <c r="BY64" t="s">
        <v>223</v>
      </c>
      <c r="BZ64" s="82" t="str">
        <f>"FROM `REPLICA_KASUMI`.`"&amp;$G$10&amp;"` B"</f>
        <v>FROM `REPLICA_KASUMI`.`P001_02` B</v>
      </c>
      <c r="CA64" t="s">
        <v>223</v>
      </c>
    </row>
    <row r="65" spans="69:79">
      <c r="BQ65" t="s">
        <v>223</v>
      </c>
      <c r="BS65" t="s">
        <v>223</v>
      </c>
      <c r="BU65" t="s">
        <v>223</v>
      </c>
      <c r="BV65" s="82" t="str">
        <f>IF(_xlfn.XLOOKUP(3,$AH:$AH,$R:$R,"",0)="","","AND A.`"&amp;_xlfn.XLOOKUP(3,$AH:$AH,$R:$R,"",0)&amp;"` = B.`"&amp;_xlfn.XLOOKUP(3,$AH:$AH,$R:$R,"",0)&amp;"`")</f>
        <v>AND A.`DSPL_CRT_DT` = B.`DSPL_CRT_DT`</v>
      </c>
      <c r="BW65" t="s">
        <v>223</v>
      </c>
      <c r="BY65" t="s">
        <v>223</v>
      </c>
      <c r="BZ65" s="82" t="s">
        <v>229</v>
      </c>
      <c r="CA65" t="s">
        <v>223</v>
      </c>
    </row>
    <row r="66" spans="69:79">
      <c r="BQ66" t="s">
        <v>223</v>
      </c>
      <c r="BS66" t="s">
        <v>223</v>
      </c>
      <c r="BU66" t="s">
        <v>223</v>
      </c>
      <c r="BV66" s="82" t="str">
        <f>IF(_xlfn.XLOOKUP(4,$AH:$AH,$R:$R,"",0)="","","AND A.`"&amp;_xlfn.XLOOKUP(4,$AH:$AH,$R:$R,"",0)&amp;"` = B.`"&amp;_xlfn.XLOOKUP(4,$AH:$AH,$R:$R,"",0)&amp;"`")</f>
        <v/>
      </c>
      <c r="BW66" t="s">
        <v>223</v>
      </c>
      <c r="BY66" t="s">
        <v>223</v>
      </c>
      <c r="BZ66" s="82" t="str">
        <f>IF(_xlfn.XLOOKUP(1,$AH:$AH,$R:$R,"",0)="","","A.`"&amp;_xlfn.XLOOKUP(1,$AH:$AH,$R:$R,"",0)&amp;"` = B.`"&amp;_xlfn.XLOOKUP(1,$AH:$AH,$R:$R,"",0)&amp;"`")</f>
        <v>A.`STR_ID` = B.`STR_ID`</v>
      </c>
      <c r="CA66" t="s">
        <v>223</v>
      </c>
    </row>
    <row r="67" spans="69:79">
      <c r="BQ67" t="s">
        <v>223</v>
      </c>
      <c r="BS67" t="s">
        <v>223</v>
      </c>
      <c r="BU67" t="s">
        <v>223</v>
      </c>
      <c r="BV67" s="82" t="str">
        <f>IF(_xlfn.XLOOKUP(5,$AH:$AH,$R:$R,"",0)="","","AND A.`"&amp;_xlfn.XLOOKUP(5,$AH:$AH,$R:$R,"",0)&amp;"` = B.`"&amp;_xlfn.XLOOKUP(5,$AH:$AH,$R:$R,"",0)&amp;"`")</f>
        <v/>
      </c>
      <c r="BW67" t="s">
        <v>223</v>
      </c>
      <c r="BY67" t="s">
        <v>223</v>
      </c>
      <c r="BZ67" s="82" t="str">
        <f>IF(_xlfn.XLOOKUP(2,$AH:$AH,$R:$R,"",0)="","","AND A.`"&amp;_xlfn.XLOOKUP(2,$AH:$AH,$R:$R,"",0)&amp;"` = B.`"&amp;_xlfn.XLOOKUP(2,$AH:$AH,$R:$R,"",0)&amp;"`")</f>
        <v>AND A.`CRT_DT` = B.`CRT_DT`</v>
      </c>
      <c r="CA67" t="s">
        <v>223</v>
      </c>
    </row>
    <row r="68" spans="69:79">
      <c r="BQ68" t="s">
        <v>223</v>
      </c>
      <c r="BS68" t="s">
        <v>223</v>
      </c>
      <c r="BU68" t="s">
        <v>223</v>
      </c>
      <c r="BV68" s="82" t="str">
        <f>IF(_xlfn.XLOOKUP(6,$AH:$AH,$R:$R,"",0)="","","AND A.`"&amp;_xlfn.XLOOKUP(6,$AH:$AH,$R:$R,"",0)&amp;"` = B.`"&amp;_xlfn.XLOOKUP(6,$AH:$AH,$R:$R,"",0)&amp;"`")</f>
        <v/>
      </c>
      <c r="BW68" t="s">
        <v>223</v>
      </c>
      <c r="BY68" t="s">
        <v>223</v>
      </c>
      <c r="BZ68" s="82" t="str">
        <f>IF(_xlfn.XLOOKUP(3,$AH:$AH,$R:$R,"",0)="","","AND A.`"&amp;_xlfn.XLOOKUP(3,$AH:$AH,$R:$R,"",0)&amp;"` = B.`"&amp;_xlfn.XLOOKUP(3,$AH:$AH,$R:$R,"",0)&amp;"`")</f>
        <v>AND A.`DSPL_CRT_DT` = B.`DSPL_CRT_DT`</v>
      </c>
      <c r="CA68" t="s">
        <v>223</v>
      </c>
    </row>
    <row r="69" spans="69:79">
      <c r="BQ69" t="s">
        <v>223</v>
      </c>
      <c r="BS69" t="s">
        <v>223</v>
      </c>
      <c r="BU69" t="s">
        <v>223</v>
      </c>
      <c r="BV69" s="82" t="str">
        <f>IF(_xlfn.XLOOKUP(7,$AH:$AH,$R:$R,"",0)="","","AND A.`"&amp;_xlfn.XLOOKUP(7,$AH:$AH,$R:$R,"",0)&amp;"` = B.`"&amp;_xlfn.XLOOKUP(7,$AH:$AH,$R:$R,"",0)&amp;"`")</f>
        <v/>
      </c>
      <c r="BW69" t="s">
        <v>223</v>
      </c>
      <c r="BY69" t="s">
        <v>223</v>
      </c>
      <c r="BZ69" s="82" t="str">
        <f>IF(_xlfn.XLOOKUP(4,$AH:$AH,$R:$R,"",0)="","","AND A.`"&amp;_xlfn.XLOOKUP(4,$AH:$AH,$R:$R,"",0)&amp;"` = B.`"&amp;_xlfn.XLOOKUP(4,$AH:$AH,$R:$R,"",0)&amp;"`")</f>
        <v/>
      </c>
      <c r="CA69" t="s">
        <v>223</v>
      </c>
    </row>
    <row r="70" spans="69:79">
      <c r="BQ70" t="s">
        <v>223</v>
      </c>
      <c r="BS70" t="s">
        <v>223</v>
      </c>
      <c r="BU70" t="s">
        <v>223</v>
      </c>
      <c r="BV70" s="82" t="str">
        <f>IF(_xlfn.XLOOKUP(8,$AH:$AH,$R:$R,"",0)="","","AND A.`"&amp;_xlfn.XLOOKUP(8,$AH:$AH,$R:$R,"",0)&amp;"` = B.`"&amp;_xlfn.XLOOKUP(8,$AH:$AH,$R:$R,"",0)&amp;"`")</f>
        <v/>
      </c>
      <c r="BW70" t="s">
        <v>223</v>
      </c>
      <c r="BY70" t="s">
        <v>223</v>
      </c>
      <c r="BZ70" s="82" t="str">
        <f>IF(_xlfn.XLOOKUP(5,$AH:$AH,$R:$R,"",0)="","","AND A.`"&amp;_xlfn.XLOOKUP(5,$AH:$AH,$R:$R,"",0)&amp;"` = B.`"&amp;_xlfn.XLOOKUP(5,$AH:$AH,$R:$R,"",0)&amp;"`")</f>
        <v/>
      </c>
      <c r="CA70" t="s">
        <v>223</v>
      </c>
    </row>
    <row r="71" spans="69:79">
      <c r="BQ71" t="s">
        <v>223</v>
      </c>
      <c r="BS71" t="s">
        <v>223</v>
      </c>
      <c r="BU71" t="s">
        <v>223</v>
      </c>
      <c r="BV71" s="82" t="s">
        <v>233</v>
      </c>
      <c r="BW71" t="s">
        <v>223</v>
      </c>
      <c r="BY71" t="s">
        <v>223</v>
      </c>
      <c r="BZ71" s="82" t="str">
        <f>IF(_xlfn.XLOOKUP(6,$AH:$AH,$R:$R,"",0)="","","AND A.`"&amp;_xlfn.XLOOKUP(6,$AH:$AH,$R:$R,"",0)&amp;"` = B.`"&amp;_xlfn.XLOOKUP(6,$AH:$AH,$R:$R,"",0)&amp;"`")</f>
        <v/>
      </c>
      <c r="CA71" t="s">
        <v>223</v>
      </c>
    </row>
    <row r="72" spans="69:79">
      <c r="BQ72" t="s">
        <v>223</v>
      </c>
      <c r="BS72" t="s">
        <v>223</v>
      </c>
      <c r="BU72" t="s">
        <v>223</v>
      </c>
      <c r="BW72" t="s">
        <v>223</v>
      </c>
      <c r="BY72" t="s">
        <v>223</v>
      </c>
      <c r="BZ72" s="82" t="str">
        <f>IF(_xlfn.XLOOKUP(7,$AH:$AH,$R:$R,"",0)="","","AND A.`"&amp;_xlfn.XLOOKUP(7,$AH:$AH,$R:$R,"",0)&amp;"` = B.`"&amp;_xlfn.XLOOKUP(7,$AH:$AH,$R:$R,"",0)&amp;"`")</f>
        <v/>
      </c>
      <c r="CA72" t="s">
        <v>223</v>
      </c>
    </row>
    <row r="73" spans="69:79">
      <c r="BQ73" t="s">
        <v>223</v>
      </c>
      <c r="BS73" t="s">
        <v>223</v>
      </c>
      <c r="BU73" t="s">
        <v>223</v>
      </c>
      <c r="BW73" t="s">
        <v>223</v>
      </c>
      <c r="BY73" t="s">
        <v>223</v>
      </c>
      <c r="BZ73" s="82" t="str">
        <f>IF(_xlfn.XLOOKUP(8,$AH:$AH,$R:$R,"",0)="","","AND A.`"&amp;_xlfn.XLOOKUP(8,$AH:$AH,$R:$R,"",0)&amp;"` = B.`"&amp;_xlfn.XLOOKUP(8,$AH:$AH,$R:$R,"",0)&amp;"`")</f>
        <v/>
      </c>
      <c r="CA73" t="s">
        <v>223</v>
      </c>
    </row>
    <row r="74" spans="69:79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BZ74" s="82" t="s">
        <v>226</v>
      </c>
      <c r="CA74" t="s">
        <v>223</v>
      </c>
    </row>
    <row r="75" spans="69:79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CA75" t="s">
        <v>223</v>
      </c>
    </row>
    <row r="76" spans="69:79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BZ76" s="83"/>
      <c r="CA76" t="s">
        <v>223</v>
      </c>
    </row>
    <row r="77" spans="69:79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BZ77" t="str">
        <f>"DROP TABLE IF EXISTS `TMP`.`"&amp;$G$10&amp;"`;"</f>
        <v>DROP TABLE IF EXISTS `TMP`.`P001_02`;</v>
      </c>
      <c r="CA77" t="s">
        <v>223</v>
      </c>
    </row>
    <row r="78" spans="69:79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BZ78" t="s">
        <v>234</v>
      </c>
      <c r="CA78" t="s">
        <v>223</v>
      </c>
    </row>
    <row r="79" spans="69:79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CA79" t="s">
        <v>223</v>
      </c>
    </row>
    <row r="80" spans="69:79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  <row r="83" spans="69:79">
      <c r="BQ83" t="s">
        <v>223</v>
      </c>
      <c r="BS83" t="s">
        <v>223</v>
      </c>
      <c r="BU83" t="s">
        <v>223</v>
      </c>
      <c r="BW83" t="s">
        <v>223</v>
      </c>
      <c r="BY83" t="s">
        <v>223</v>
      </c>
      <c r="CA83" t="s">
        <v>223</v>
      </c>
    </row>
  </sheetData>
  <mergeCells count="44">
    <mergeCell ref="AC32:AG32"/>
    <mergeCell ref="B11:AN11"/>
    <mergeCell ref="B12:AN12"/>
    <mergeCell ref="B13:AN13"/>
    <mergeCell ref="B14:AN14"/>
    <mergeCell ref="B15:AN15"/>
    <mergeCell ref="B16:AN16"/>
    <mergeCell ref="AC27:AG27"/>
    <mergeCell ref="AC28:AG28"/>
    <mergeCell ref="AC29:AG29"/>
    <mergeCell ref="AC30:AG30"/>
    <mergeCell ref="AC31:AG31"/>
    <mergeCell ref="B9:F9"/>
    <mergeCell ref="G9:X9"/>
    <mergeCell ref="Y9:AC9"/>
    <mergeCell ref="AD9:AN9"/>
    <mergeCell ref="B10:F10"/>
    <mergeCell ref="G10:X10"/>
    <mergeCell ref="Y10:AC10"/>
    <mergeCell ref="AD10:AN10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8D9D-695B-4836-9AF0-B25B0D66B054}">
  <dimension ref="A1:CA82"/>
  <sheetViews>
    <sheetView view="pageBreakPreview" zoomScale="80" zoomScaleNormal="75" zoomScaleSheetLayoutView="80" workbookViewId="0">
      <selection activeCell="BZ26" sqref="BZ26:BZ48"/>
    </sheetView>
  </sheetViews>
  <sheetFormatPr defaultRowHeight="15.75"/>
  <cols>
    <col min="1" max="63" width="2.77734375" customWidth="1"/>
    <col min="64" max="67" width="3.77734375" customWidth="1"/>
    <col min="69" max="69" width="2.77734375" customWidth="1"/>
    <col min="71" max="71" width="2.77734375" customWidth="1"/>
    <col min="73" max="73" width="2.77734375" customWidth="1"/>
    <col min="75" max="75" width="2.77734375" customWidth="1"/>
    <col min="77" max="77" width="2.77734375" customWidth="1"/>
    <col min="79" max="79" width="2.77734375" customWidth="1"/>
  </cols>
  <sheetData>
    <row r="1" spans="1:79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">
        <v>19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41</v>
      </c>
      <c r="C8" s="225"/>
      <c r="D8" s="225"/>
      <c r="E8" s="225"/>
      <c r="F8" s="226"/>
      <c r="G8" s="227" t="s">
        <v>260</v>
      </c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42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43</v>
      </c>
      <c r="C9" s="240"/>
      <c r="D9" s="240"/>
      <c r="E9" s="240"/>
      <c r="F9" s="241"/>
      <c r="G9" s="233" t="s">
        <v>1408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44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45</v>
      </c>
      <c r="C10" s="246"/>
      <c r="D10" s="246"/>
      <c r="E10" s="246"/>
      <c r="F10" s="247"/>
      <c r="G10" s="236" t="s">
        <v>1407</v>
      </c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46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`Replica_Kasumi`.`P003`;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`Replica_Kasumi`.`P003`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U24" t="s">
        <v>223</v>
      </c>
      <c r="BV24" s="82" t="str">
        <f>"UPDATE `REPLICA_KASUMI`.`"&amp;$G$10&amp;"` A,`TMP`.`"&amp;$G$10&amp;"` B"</f>
        <v>UPDATE `REPLICA_KASUMI`.`P003` A,`TMP`.`P003`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`TMP`.`P003`;</v>
      </c>
      <c r="BS25" t="s">
        <v>223</v>
      </c>
      <c r="BT25" s="82" t="str">
        <f>"LOAD DATA INFILE 'C:/04_DATAFILE/"&amp;$G$10&amp;"/TMP/"&amp;$G$10&amp;".CSV' "</f>
        <v xml:space="preserve">LOAD DATA INFILE 'C:/04_DATAFILE/P003/TMP/P003.CSV' 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/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1399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`TMP`.`P003` (</v>
      </c>
      <c r="BS26" t="s">
        <v>223</v>
      </c>
      <c r="BT26" s="82" t="str">
        <f>"REPLACE INTO TABLE TMP.`"&amp;$G$10&amp;"` FIELDS TERMINATED BY ',' ENCLOSED BY '\""' LINES TERMINATED BY '\r\n' ("</f>
        <v>REPLACE INTO TABLE TMP.`P003` FIELDS TERMINATED BY ',' ENCLOSED BY '\"' LINES TERMINATED BY '\r\n' (</v>
      </c>
      <c r="BU26" t="s">
        <v>223</v>
      </c>
      <c r="BV26" s="82"/>
      <c r="BW26" t="s">
        <v>223</v>
      </c>
      <c r="BX26" s="82" t="str">
        <f>"INSERT INTO `REPLICA_KASUMI`.`"&amp;$G$10&amp;"` ("</f>
        <v>INSERT INTO `REPLICA_KASUMI`.`P003`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/>
      <c r="B27" s="61">
        <v>7</v>
      </c>
      <c r="C27" s="62"/>
      <c r="D27" s="21" t="s">
        <v>1409</v>
      </c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21" t="s">
        <v>1171</v>
      </c>
      <c r="S27" s="63"/>
      <c r="T27" s="63"/>
      <c r="U27" s="63"/>
      <c r="V27" s="63"/>
      <c r="W27" s="63"/>
      <c r="X27" s="63"/>
      <c r="Y27" s="63"/>
      <c r="Z27" s="63"/>
      <c r="AA27" s="63"/>
      <c r="AB27" s="64"/>
      <c r="AC27" s="254" t="s">
        <v>249</v>
      </c>
      <c r="AD27" s="255"/>
      <c r="AE27" s="255"/>
      <c r="AF27" s="255"/>
      <c r="AG27" s="256"/>
      <c r="AH27" s="21">
        <v>1</v>
      </c>
      <c r="AI27" s="64"/>
      <c r="AJ27" s="21" t="s">
        <v>1399</v>
      </c>
      <c r="AK27" s="63"/>
      <c r="AL27" s="64"/>
      <c r="AM27" s="21"/>
      <c r="AN27" s="63"/>
      <c r="AO27" s="63"/>
      <c r="AP27" s="63"/>
      <c r="AQ27" s="63"/>
      <c r="AR27" s="63"/>
      <c r="AS27" s="64"/>
      <c r="AT27" s="21" t="s">
        <v>1178</v>
      </c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  <c r="BK27" s="4"/>
      <c r="BP27" t="str">
        <f>",`"&amp;R27&amp;"` "&amp;AC27&amp;" "&amp;IF(AJ27="Y","NOT NULL","")&amp;" COMMENT '"&amp;D27&amp;"'"</f>
        <v>,`STR_ID` int NOT NULL COMMENT '店舗＃'</v>
      </c>
      <c r="BQ27" t="s">
        <v>223</v>
      </c>
      <c r="BR27" s="82" t="str">
        <f>"`"&amp;R27&amp;"` "&amp;AC27&amp;" "&amp;IF(AJ27="Y","NOT NULL","")</f>
        <v>`STR_ID` int NOT NULL</v>
      </c>
      <c r="BS27" t="s">
        <v>223</v>
      </c>
      <c r="BT27" s="82" t="str">
        <f>"`"&amp;R27&amp;"`"</f>
        <v>`STR_ID`</v>
      </c>
      <c r="BU27" t="s">
        <v>223</v>
      </c>
      <c r="BV27" s="82" t="str">
        <f>"A.`"&amp;R27&amp;"` = B.`"&amp;R27&amp;"`"</f>
        <v>A.`STR_ID` = B.`STR_ID`</v>
      </c>
      <c r="BW27" t="s">
        <v>223</v>
      </c>
      <c r="BX27" s="82" t="str">
        <f>"`"&amp;R27&amp;"`"</f>
        <v>`STR_ID`</v>
      </c>
      <c r="BY27" t="s">
        <v>223</v>
      </c>
      <c r="BZ27" s="82" t="str">
        <f>"`"&amp;R27&amp;"`"</f>
        <v>`STR_ID`</v>
      </c>
      <c r="CA27" t="s">
        <v>223</v>
      </c>
    </row>
    <row r="28" spans="1:79" ht="15" customHeight="1">
      <c r="A28" s="84"/>
      <c r="B28" s="23">
        <v>9</v>
      </c>
      <c r="C28" s="24"/>
      <c r="D28" s="22" t="s">
        <v>1410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2" t="s">
        <v>1415</v>
      </c>
      <c r="S28" s="25"/>
      <c r="T28" s="25"/>
      <c r="U28" s="25"/>
      <c r="V28" s="25"/>
      <c r="W28" s="25"/>
      <c r="X28" s="25"/>
      <c r="Y28" s="25"/>
      <c r="Z28" s="25"/>
      <c r="AA28" s="25"/>
      <c r="AB28" s="26"/>
      <c r="AC28" s="257" t="s">
        <v>249</v>
      </c>
      <c r="AD28" s="258"/>
      <c r="AE28" s="258"/>
      <c r="AF28" s="258"/>
      <c r="AG28" s="259"/>
      <c r="AH28" s="22">
        <v>2</v>
      </c>
      <c r="AI28" s="26"/>
      <c r="AJ28" s="22" t="s">
        <v>224</v>
      </c>
      <c r="AK28" s="25"/>
      <c r="AL28" s="26"/>
      <c r="AM28" s="22"/>
      <c r="AN28" s="25"/>
      <c r="AO28" s="25"/>
      <c r="AP28" s="25"/>
      <c r="AQ28" s="25"/>
      <c r="AR28" s="25"/>
      <c r="AS28" s="26"/>
      <c r="AT28" s="22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6"/>
      <c r="BK28" s="4"/>
      <c r="BP28" t="str">
        <f t="shared" ref="BP28:BP31" si="1">",`"&amp;R28&amp;"` "&amp;AC28&amp;" "&amp;IF(AJ28="Y","NOT NULL","")&amp;" COMMENT '"&amp;D28&amp;"'"</f>
        <v>,`JAN_ID` int NOT NULL COMMENT 'ＪＡＮコード'</v>
      </c>
      <c r="BQ28" t="s">
        <v>223</v>
      </c>
      <c r="BR28" t="str">
        <f t="shared" ref="BR28:BR31" si="2">",`"&amp;R28&amp;"` "&amp;AC28&amp;" "&amp;IF(AJ28="Y","NOT NULL","")</f>
        <v>,`JAN_ID` int NOT NULL</v>
      </c>
      <c r="BS28" t="s">
        <v>223</v>
      </c>
      <c r="BT28" t="str">
        <f t="shared" ref="BT28:BT31" si="3">",`"&amp;R28&amp;"`"</f>
        <v>,`JAN_ID`</v>
      </c>
      <c r="BU28" t="s">
        <v>223</v>
      </c>
      <c r="BV28" s="82" t="str">
        <f t="shared" ref="BV28:BV31" si="4">",A.`"&amp;R28&amp;"` = B.`"&amp;R28&amp;"`"</f>
        <v>,A.`JAN_ID` = B.`JAN_ID`</v>
      </c>
      <c r="BW28" t="s">
        <v>223</v>
      </c>
      <c r="BX28" s="82" t="str">
        <f t="shared" ref="BX28:BX31" si="5">",`"&amp;R28&amp;"`"</f>
        <v>,`JAN_ID`</v>
      </c>
      <c r="BY28" t="s">
        <v>223</v>
      </c>
      <c r="BZ28" s="82" t="str">
        <f t="shared" ref="BZ28:BZ60" si="6">",`"&amp;R28&amp;"`"</f>
        <v>,`JAN_ID`</v>
      </c>
      <c r="CA28" t="s">
        <v>223</v>
      </c>
    </row>
    <row r="29" spans="1:79" ht="15" customHeight="1">
      <c r="A29" s="84"/>
      <c r="B29" s="23">
        <v>9</v>
      </c>
      <c r="C29" s="24"/>
      <c r="D29" s="22" t="s">
        <v>1411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2" t="s">
        <v>1416</v>
      </c>
      <c r="S29" s="25"/>
      <c r="T29" s="25"/>
      <c r="U29" s="25"/>
      <c r="V29" s="25"/>
      <c r="W29" s="25"/>
      <c r="X29" s="25"/>
      <c r="Y29" s="25"/>
      <c r="Z29" s="25"/>
      <c r="AA29" s="25"/>
      <c r="AB29" s="26"/>
      <c r="AC29" s="257" t="s">
        <v>249</v>
      </c>
      <c r="AD29" s="258"/>
      <c r="AE29" s="258"/>
      <c r="AF29" s="258"/>
      <c r="AG29" s="259"/>
      <c r="AH29" s="22">
        <v>3</v>
      </c>
      <c r="AI29" s="26"/>
      <c r="AJ29" s="22" t="s">
        <v>224</v>
      </c>
      <c r="AK29" s="25"/>
      <c r="AL29" s="26"/>
      <c r="AM29" s="22"/>
      <c r="AN29" s="25"/>
      <c r="AO29" s="25"/>
      <c r="AP29" s="25"/>
      <c r="AQ29" s="25"/>
      <c r="AR29" s="25"/>
      <c r="AS29" s="26"/>
      <c r="AT29" s="22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6"/>
      <c r="BK29" s="4"/>
      <c r="BP29" t="str">
        <f t="shared" si="1"/>
        <v>,`SHELF_ID` int NOT NULL COMMENT '棚番'</v>
      </c>
      <c r="BQ29" t="s">
        <v>223</v>
      </c>
      <c r="BR29" t="str">
        <f t="shared" si="2"/>
        <v>,`SHELF_ID` int NOT NULL</v>
      </c>
      <c r="BS29" t="s">
        <v>223</v>
      </c>
      <c r="BT29" t="str">
        <f t="shared" si="3"/>
        <v>,`SHELF_ID`</v>
      </c>
      <c r="BU29" t="s">
        <v>223</v>
      </c>
      <c r="BV29" s="82" t="str">
        <f t="shared" si="4"/>
        <v>,A.`SHELF_ID` = B.`SHELF_ID`</v>
      </c>
      <c r="BW29" t="s">
        <v>223</v>
      </c>
      <c r="BX29" s="82" t="str">
        <f t="shared" si="5"/>
        <v>,`SHELF_ID`</v>
      </c>
      <c r="BY29" t="s">
        <v>223</v>
      </c>
      <c r="BZ29" s="82" t="str">
        <f t="shared" si="6"/>
        <v>,`SHELF_ID`</v>
      </c>
      <c r="CA29" t="s">
        <v>223</v>
      </c>
    </row>
    <row r="30" spans="1:79" ht="15" customHeight="1">
      <c r="A30" s="84"/>
      <c r="B30" s="23">
        <v>9</v>
      </c>
      <c r="C30" s="24"/>
      <c r="D30" s="22" t="s">
        <v>1412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  <c r="R30" s="22" t="s">
        <v>1417</v>
      </c>
      <c r="S30" s="25"/>
      <c r="T30" s="25"/>
      <c r="U30" s="25"/>
      <c r="V30" s="25"/>
      <c r="W30" s="25"/>
      <c r="X30" s="25"/>
      <c r="Y30" s="25"/>
      <c r="Z30" s="25"/>
      <c r="AA30" s="25"/>
      <c r="AB30" s="26"/>
      <c r="AC30" s="257" t="s">
        <v>221</v>
      </c>
      <c r="AD30" s="258"/>
      <c r="AE30" s="258"/>
      <c r="AF30" s="258"/>
      <c r="AG30" s="259"/>
      <c r="AH30" s="22">
        <v>4</v>
      </c>
      <c r="AI30" s="26"/>
      <c r="AJ30" s="22" t="s">
        <v>224</v>
      </c>
      <c r="AK30" s="25"/>
      <c r="AL30" s="26"/>
      <c r="AM30" s="22"/>
      <c r="AN30" s="25"/>
      <c r="AO30" s="25"/>
      <c r="AP30" s="25"/>
      <c r="AQ30" s="25"/>
      <c r="AR30" s="25"/>
      <c r="AS30" s="26"/>
      <c r="AT30" s="22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6"/>
      <c r="BK30" s="4"/>
      <c r="BP30" t="str">
        <f t="shared" si="1"/>
        <v>,`SHELF_STEP` int NOT NULL COMMENT '棚段'</v>
      </c>
      <c r="BQ30" t="s">
        <v>223</v>
      </c>
      <c r="BR30" t="str">
        <f t="shared" si="2"/>
        <v>,`SHELF_STEP` int NOT NULL</v>
      </c>
      <c r="BS30" t="s">
        <v>223</v>
      </c>
      <c r="BT30" t="str">
        <f t="shared" si="3"/>
        <v>,`SHELF_STEP`</v>
      </c>
      <c r="BU30" t="s">
        <v>223</v>
      </c>
      <c r="BV30" s="82" t="str">
        <f t="shared" si="4"/>
        <v>,A.`SHELF_STEP` = B.`SHELF_STEP`</v>
      </c>
      <c r="BW30" t="s">
        <v>223</v>
      </c>
      <c r="BX30" s="82" t="str">
        <f t="shared" si="5"/>
        <v>,`SHELF_STEP`</v>
      </c>
      <c r="BY30" t="s">
        <v>223</v>
      </c>
      <c r="BZ30" s="82" t="str">
        <f t="shared" si="6"/>
        <v>,`SHELF_STEP`</v>
      </c>
      <c r="CA30" t="s">
        <v>223</v>
      </c>
    </row>
    <row r="31" spans="1:79" ht="15" customHeight="1">
      <c r="A31" s="84"/>
      <c r="B31" s="23">
        <v>9</v>
      </c>
      <c r="C31" s="24"/>
      <c r="D31" s="22" t="s">
        <v>1413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 t="s">
        <v>1418</v>
      </c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57" t="s">
        <v>221</v>
      </c>
      <c r="AD31" s="258"/>
      <c r="AE31" s="258"/>
      <c r="AF31" s="258"/>
      <c r="AG31" s="259"/>
      <c r="AH31" s="22">
        <v>5</v>
      </c>
      <c r="AI31" s="26"/>
      <c r="AJ31" s="22" t="s">
        <v>224</v>
      </c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,`SHELF_ROW` int NOT NULL COMMENT '棚列'</v>
      </c>
      <c r="BQ31" t="s">
        <v>223</v>
      </c>
      <c r="BR31" t="str">
        <f t="shared" si="2"/>
        <v>,`SHELF_ROW` int NOT NULL</v>
      </c>
      <c r="BS31" t="s">
        <v>223</v>
      </c>
      <c r="BT31" t="str">
        <f t="shared" si="3"/>
        <v>,`SHELF_ROW`</v>
      </c>
      <c r="BU31" t="s">
        <v>223</v>
      </c>
      <c r="BV31" s="82" t="str">
        <f t="shared" si="4"/>
        <v>,A.`SHELF_ROW` = B.`SHELF_ROW`</v>
      </c>
      <c r="BW31" t="s">
        <v>223</v>
      </c>
      <c r="BX31" s="82" t="str">
        <f t="shared" si="5"/>
        <v>,`SHELF_ROW`</v>
      </c>
      <c r="BY31" t="s">
        <v>223</v>
      </c>
      <c r="BZ31" s="82" t="str">
        <f t="shared" si="6"/>
        <v>,`SHELF_ROW`</v>
      </c>
      <c r="CA31" t="s">
        <v>223</v>
      </c>
    </row>
    <row r="32" spans="1:79" ht="15" customHeight="1">
      <c r="A32" s="84"/>
      <c r="BK32" s="4"/>
      <c r="BP32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(`STR_ID`,`JAN_ID`,`SHELF_ID`,`SHELF_STEP`,`SHELF_ROW`),</v>
      </c>
      <c r="BQ32" t="s">
        <v>223</v>
      </c>
      <c r="BR32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(`STR_ID`,`JAN_ID`,`SHELF_ID`,`SHELF_STEP`,`SHELF_ROW`)</v>
      </c>
      <c r="BS32" t="s">
        <v>223</v>
      </c>
      <c r="BT32" s="82" t="s">
        <v>226</v>
      </c>
      <c r="BU32" t="s">
        <v>223</v>
      </c>
      <c r="BV32" s="82" t="s">
        <v>231</v>
      </c>
      <c r="BW32" t="s">
        <v>223</v>
      </c>
      <c r="BY32" t="s">
        <v>223</v>
      </c>
      <c r="BZ32" s="82" t="str">
        <f>"FROM `TMP`.`"&amp;$G$10&amp;"` A"</f>
        <v>FROM `TMP`.`P003` A</v>
      </c>
      <c r="CA32" t="s">
        <v>223</v>
      </c>
    </row>
    <row r="33" spans="1:79" ht="15" customHeight="1">
      <c r="A33" s="84"/>
      <c r="BK33" s="4"/>
      <c r="BP33" s="82" t="s">
        <v>222</v>
      </c>
      <c r="BQ33" t="s">
        <v>223</v>
      </c>
      <c r="BR33" s="82" t="str">
        <f>") ENGINE=InnoDB DEFAULT CHARSET=utf8mb4 COLLATE=utf8mb4_0900_ai_ci COMMENT = '"&amp;$G$9&amp;"_TMP';"</f>
        <v>) ENGINE=InnoDB DEFAULT CHARSET=utf8mb4 COLLATE=utf8mb4_0900_ai_ci COMMENT = 'P003(棚番情報送付データ)_TMP';</v>
      </c>
      <c r="BS33" t="s">
        <v>223</v>
      </c>
      <c r="BU33" t="s">
        <v>223</v>
      </c>
      <c r="BV33" s="82" t="str">
        <f>IF(_xlfn.XLOOKUP(1,$AH:$AH,$R:$R,"",0)="","","A.`"&amp;_xlfn.XLOOKUP(1,$AH:$AH,$R:$R,"",0)&amp;"` = B.`"&amp;_xlfn.XLOOKUP(1,$AH:$AH,$R:$R,"",0)&amp;"`")</f>
        <v>A.`STR_ID` = B.`STR_ID`</v>
      </c>
      <c r="BW33" t="s">
        <v>223</v>
      </c>
      <c r="BY33" t="s">
        <v>223</v>
      </c>
      <c r="BZ33" s="82" t="s">
        <v>232</v>
      </c>
      <c r="CA33" t="s">
        <v>223</v>
      </c>
    </row>
    <row r="34" spans="1:79" ht="15" customHeight="1">
      <c r="A34" s="84"/>
      <c r="B34" s="36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4"/>
      <c r="BP34" s="82" t="str">
        <f>") ENGINE=InnoDB DEFAULT CHARSET=utf8mb4 COLLATE=utf8mb4_0900_ai_ci COMMENT = '"&amp;$G$9&amp;"';"</f>
        <v>) ENGINE=InnoDB DEFAULT CHARSET=utf8mb4 COLLATE=utf8mb4_0900_ai_ci COMMENT = 'P003(棚番情報送付データ)';</v>
      </c>
      <c r="BQ34" t="s">
        <v>223</v>
      </c>
      <c r="BS34" t="s">
        <v>223</v>
      </c>
      <c r="BU34" t="s">
        <v>223</v>
      </c>
      <c r="BV34" s="82" t="str">
        <f>IF(_xlfn.XLOOKUP(2,$AH:$AH,$R:$R,"",0)="","","AND A.`"&amp;_xlfn.XLOOKUP(2,$AH:$AH,$R:$R,"",0)&amp;"` = B.`"&amp;_xlfn.XLOOKUP(2,$AH:$AH,$R:$R,"",0)&amp;"`")</f>
        <v>AND A.`JAN_ID` = B.`JAN_ID`</v>
      </c>
      <c r="BW34" t="s">
        <v>223</v>
      </c>
      <c r="BY34" t="s">
        <v>223</v>
      </c>
      <c r="BZ34" s="82" t="str">
        <f>"FROM `REPLICA_KASUMI`.`"&amp;$G$10&amp;"` B"</f>
        <v>FROM `REPLICA_KASUMI`.`P003` B</v>
      </c>
      <c r="CA34" t="s">
        <v>223</v>
      </c>
    </row>
    <row r="35" spans="1:79" ht="15" customHeight="1">
      <c r="A35" s="84"/>
      <c r="B35" s="33" t="s">
        <v>48</v>
      </c>
      <c r="C35" s="34"/>
      <c r="D35" s="33" t="s">
        <v>49</v>
      </c>
      <c r="E35" s="43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4"/>
      <c r="R35" s="33" t="s">
        <v>50</v>
      </c>
      <c r="S35" s="43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4"/>
      <c r="AL35" s="33" t="s">
        <v>51</v>
      </c>
      <c r="AM35" s="35"/>
      <c r="AN35" s="35"/>
      <c r="AO35" s="44"/>
      <c r="AP35" s="33" t="s">
        <v>52</v>
      </c>
      <c r="AQ35" s="35"/>
      <c r="AR35" s="35"/>
      <c r="AS35" s="34"/>
      <c r="AT35" s="33" t="s">
        <v>46</v>
      </c>
      <c r="AU35" s="43"/>
      <c r="AV35" s="43"/>
      <c r="AW35" s="35"/>
      <c r="AX35" s="35"/>
      <c r="AY35" s="43"/>
      <c r="AZ35" s="35"/>
      <c r="BA35" s="35"/>
      <c r="BB35" s="35"/>
      <c r="BC35" s="35"/>
      <c r="BD35" s="35"/>
      <c r="BE35" s="35"/>
      <c r="BF35" s="35"/>
      <c r="BG35" s="35"/>
      <c r="BH35" s="35"/>
      <c r="BI35" s="43"/>
      <c r="BJ35" s="34"/>
      <c r="BK35" s="4"/>
      <c r="BP35" s="82"/>
      <c r="BQ35" t="s">
        <v>223</v>
      </c>
      <c r="BS35" t="s">
        <v>223</v>
      </c>
      <c r="BU35" t="s">
        <v>223</v>
      </c>
      <c r="BV35" s="82" t="str">
        <f>IF(_xlfn.XLOOKUP(3,$AH:$AH,$R:$R,"",0)="","","AND A.`"&amp;_xlfn.XLOOKUP(3,$AH:$AH,$R:$R,"",0)&amp;"` = B.`"&amp;_xlfn.XLOOKUP(3,$AH:$AH,$R:$R,"",0)&amp;"`")</f>
        <v>AND A.`SHELF_ID` = B.`SHELF_ID`</v>
      </c>
      <c r="BW35" t="s">
        <v>223</v>
      </c>
      <c r="BY35" t="s">
        <v>223</v>
      </c>
      <c r="BZ35" s="82" t="s">
        <v>229</v>
      </c>
      <c r="CA35" t="s">
        <v>223</v>
      </c>
    </row>
    <row r="36" spans="1:79" ht="15" customHeight="1">
      <c r="A36" s="84"/>
      <c r="B36" s="37">
        <v>1</v>
      </c>
      <c r="C36" s="38"/>
      <c r="D36" s="37" t="s">
        <v>53</v>
      </c>
      <c r="E36" s="45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8"/>
      <c r="R36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>`STR_ID`,`JAN_ID`,`SHELF_ID`,`SHELF_STEP`,`SHELF_ROW`</v>
      </c>
      <c r="S36" s="45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8"/>
      <c r="AL36" s="37" t="s">
        <v>224</v>
      </c>
      <c r="AM36" s="39"/>
      <c r="AN36" s="39"/>
      <c r="AO36" s="46"/>
      <c r="AP36" s="37" t="s">
        <v>224</v>
      </c>
      <c r="AQ36" s="39"/>
      <c r="AR36" s="39"/>
      <c r="AS36" s="38"/>
      <c r="AT36" s="37"/>
      <c r="AU36" s="45"/>
      <c r="AV36" s="45"/>
      <c r="AW36" s="39"/>
      <c r="AX36" s="39"/>
      <c r="AY36" s="45"/>
      <c r="AZ36" s="39"/>
      <c r="BA36" s="39"/>
      <c r="BB36" s="39"/>
      <c r="BC36" s="39"/>
      <c r="BD36" s="39"/>
      <c r="BE36" s="39"/>
      <c r="BF36" s="39"/>
      <c r="BG36" s="39"/>
      <c r="BH36" s="39"/>
      <c r="BI36" s="45"/>
      <c r="BJ36" s="38"/>
      <c r="BK36" s="4"/>
      <c r="BP36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`P003_CR_Date_Time` BEFORE INSERT ON `P003` FOR EACH ROW SET NEW.record_create_date = CURRENT_DATE, NEW.record_create_time = CURRENT_TIME, NEW.record_update_date = CURRENT_DATE, NEW.record_update_time = CURRENT_TIME;</v>
      </c>
      <c r="BQ36" t="s">
        <v>223</v>
      </c>
      <c r="BS36" t="s">
        <v>223</v>
      </c>
      <c r="BU36" t="s">
        <v>223</v>
      </c>
      <c r="BV36" s="82" t="str">
        <f>IF(_xlfn.XLOOKUP(4,$AH:$AH,$R:$R,"",0)="","","AND A.`"&amp;_xlfn.XLOOKUP(4,$AH:$AH,$R:$R,"",0)&amp;"` = B.`"&amp;_xlfn.XLOOKUP(4,$AH:$AH,$R:$R,"",0)&amp;"`")</f>
        <v>AND A.`SHELF_STEP` = B.`SHELF_STEP`</v>
      </c>
      <c r="BW36" t="s">
        <v>223</v>
      </c>
      <c r="BY36" t="s">
        <v>223</v>
      </c>
      <c r="BZ36" s="82" t="str">
        <f>IF(_xlfn.XLOOKUP(1,$AH:$AH,$R:$R,"",0)="","","A.`"&amp;_xlfn.XLOOKUP(1,$AH:$AH,$R:$R,"",0)&amp;"` = B.`"&amp;_xlfn.XLOOKUP(1,$AH:$AH,$R:$R,"",0)&amp;"`")</f>
        <v>A.`STR_ID` = B.`STR_ID`</v>
      </c>
      <c r="CA36" t="s">
        <v>223</v>
      </c>
    </row>
    <row r="37" spans="1:79" ht="15" customHeight="1">
      <c r="A37" s="84"/>
      <c r="BK37" s="4"/>
      <c r="BP37" s="82" t="str">
        <f>"CREATE TRIGGER `"&amp;$G$10&amp;"_UP_Date_Time` BEFORE UPDATE ON `"&amp;$G$10&amp;"` FOR EACH ROW SET NEW.record_update_date = CURRENT_DATE, NEW.record_update_time = CURRENT_TIME;"</f>
        <v>CREATE TRIGGER `P003_UP_Date_Time` BEFORE UPDATE ON `P003` FOR EACH ROW SET NEW.record_update_date = CURRENT_DATE, NEW.record_update_time = CURRENT_TIME;</v>
      </c>
      <c r="BQ37" t="s">
        <v>223</v>
      </c>
      <c r="BS37" t="s">
        <v>223</v>
      </c>
      <c r="BU37" t="s">
        <v>223</v>
      </c>
      <c r="BV37" s="82" t="str">
        <f>IF(_xlfn.XLOOKUP(5,$AH:$AH,$R:$R,"",0)="","","AND A.`"&amp;_xlfn.XLOOKUP(5,$AH:$AH,$R:$R,"",0)&amp;"` = B.`"&amp;_xlfn.XLOOKUP(5,$AH:$AH,$R:$R,"",0)&amp;"`")</f>
        <v>AND A.`SHELF_ROW` = B.`SHELF_ROW`</v>
      </c>
      <c r="BW37" t="s">
        <v>223</v>
      </c>
      <c r="BY37" t="s">
        <v>223</v>
      </c>
      <c r="BZ37" s="82" t="str">
        <f>IF(_xlfn.XLOOKUP(2,$AH:$AH,$R:$R,"",0)="","","AND A.`"&amp;_xlfn.XLOOKUP(2,$AH:$AH,$R:$R,"",0)&amp;"` = B.`"&amp;_xlfn.XLOOKUP(2,$AH:$AH,$R:$R,"",0)&amp;"`")</f>
        <v>AND A.`JAN_ID` = B.`JAN_ID`</v>
      </c>
      <c r="CA37" t="s">
        <v>223</v>
      </c>
    </row>
    <row r="38" spans="1:79" ht="15" customHeight="1">
      <c r="A38" s="84"/>
      <c r="BK38" s="4"/>
      <c r="BQ38" t="s">
        <v>223</v>
      </c>
      <c r="BS38" t="s">
        <v>223</v>
      </c>
      <c r="BU38" t="s">
        <v>223</v>
      </c>
      <c r="BV38" s="82" t="str">
        <f>IF(_xlfn.XLOOKUP(6,$AH:$AH,$R:$R,"",0)="","","AND A.`"&amp;_xlfn.XLOOKUP(6,$AH:$AH,$R:$R,"",0)&amp;"` = B.`"&amp;_xlfn.XLOOKUP(6,$AH:$AH,$R:$R,"",0)&amp;"`")</f>
        <v/>
      </c>
      <c r="BW38" t="s">
        <v>223</v>
      </c>
      <c r="BY38" t="s">
        <v>223</v>
      </c>
      <c r="BZ38" s="82" t="str">
        <f>IF(_xlfn.XLOOKUP(3,$AH:$AH,$R:$R,"",0)="","","AND A.`"&amp;_xlfn.XLOOKUP(3,$AH:$AH,$R:$R,"",0)&amp;"` = B.`"&amp;_xlfn.XLOOKUP(3,$AH:$AH,$R:$R,"",0)&amp;"`")</f>
        <v>AND A.`SHELF_ID` = B.`SHELF_ID`</v>
      </c>
      <c r="CA38" t="s">
        <v>223</v>
      </c>
    </row>
    <row r="39" spans="1:79" ht="15" customHeight="1">
      <c r="A39" s="84"/>
      <c r="B39" s="36" t="s">
        <v>32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4"/>
      <c r="BQ39" t="s">
        <v>223</v>
      </c>
      <c r="BS39" t="s">
        <v>223</v>
      </c>
      <c r="BU39" t="s">
        <v>223</v>
      </c>
      <c r="BV39" s="82" t="str">
        <f>IF(_xlfn.XLOOKUP(7,$AH:$AH,$R:$R,"",0)="","","AND A.`"&amp;_xlfn.XLOOKUP(7,$AH:$AH,$R:$R,"",0)&amp;"` = B.`"&amp;_xlfn.XLOOKUP(7,$AH:$AH,$R:$R,"",0)&amp;"`")</f>
        <v/>
      </c>
      <c r="BW39" t="s">
        <v>223</v>
      </c>
      <c r="BY39" t="s">
        <v>223</v>
      </c>
      <c r="BZ39" s="82" t="str">
        <f>IF(_xlfn.XLOOKUP(4,$AH:$AH,$R:$R,"",0)="","","AND A.`"&amp;_xlfn.XLOOKUP(4,$AH:$AH,$R:$R,"",0)&amp;"` = B.`"&amp;_xlfn.XLOOKUP(4,$AH:$AH,$R:$R,"",0)&amp;"`")</f>
        <v>AND A.`SHELF_STEP` = B.`SHELF_STEP`</v>
      </c>
      <c r="CA39" t="s">
        <v>223</v>
      </c>
    </row>
    <row r="40" spans="1:79" ht="15" customHeight="1">
      <c r="A40" s="84"/>
      <c r="B40" s="33" t="s">
        <v>33</v>
      </c>
      <c r="C40" s="44"/>
      <c r="D40" s="33" t="s">
        <v>34</v>
      </c>
      <c r="E40" s="43"/>
      <c r="F40" s="43"/>
      <c r="G40" s="43"/>
      <c r="H40" s="43"/>
      <c r="I40" s="43"/>
      <c r="J40" s="43"/>
      <c r="K40" s="43"/>
      <c r="L40" s="35"/>
      <c r="M40" s="35"/>
      <c r="N40" s="35"/>
      <c r="O40" s="35"/>
      <c r="P40" s="35"/>
      <c r="Q40" s="34"/>
      <c r="R40" s="33" t="s">
        <v>35</v>
      </c>
      <c r="S40" s="35"/>
      <c r="T40" s="44"/>
      <c r="U40" s="33" t="s">
        <v>36</v>
      </c>
      <c r="V40" s="35"/>
      <c r="W40" s="43"/>
      <c r="X40" s="44"/>
      <c r="Y40" s="33" t="s">
        <v>37</v>
      </c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4"/>
      <c r="BK40" s="4"/>
      <c r="BQ40" t="s">
        <v>223</v>
      </c>
      <c r="BS40" t="s">
        <v>223</v>
      </c>
      <c r="BU40" t="s">
        <v>223</v>
      </c>
      <c r="BV40" s="82" t="str">
        <f>IF(_xlfn.XLOOKUP(8,$AH:$AH,$R:$R,"",0)="","","AND A.`"&amp;_xlfn.XLOOKUP(8,$AH:$AH,$R:$R,"",0)&amp;"` = B.`"&amp;_xlfn.XLOOKUP(8,$AH:$AH,$R:$R,"",0)&amp;"`")</f>
        <v/>
      </c>
      <c r="BW40" t="s">
        <v>223</v>
      </c>
      <c r="BY40" t="s">
        <v>223</v>
      </c>
      <c r="BZ40" s="82" t="str">
        <f>IF(_xlfn.XLOOKUP(5,$AH:$AH,$R:$R,"",0)="","","AND A.`"&amp;_xlfn.XLOOKUP(5,$AH:$AH,$R:$R,"",0)&amp;"` = B.`"&amp;_xlfn.XLOOKUP(5,$AH:$AH,$R:$R,"",0)&amp;"`")</f>
        <v>AND A.`SHELF_ROW` = B.`SHELF_ROW`</v>
      </c>
      <c r="CA40" t="s">
        <v>223</v>
      </c>
    </row>
    <row r="41" spans="1:79" ht="15" customHeight="1">
      <c r="A41" s="84"/>
      <c r="B41" s="40">
        <v>1</v>
      </c>
      <c r="C41" s="46"/>
      <c r="D41" s="40" t="str">
        <f>G10&amp;"_"&amp;R41&amp;"_"&amp;"trg"</f>
        <v>P003_update_trg</v>
      </c>
      <c r="E41" s="45"/>
      <c r="F41" s="45"/>
      <c r="G41" s="45"/>
      <c r="H41" s="45"/>
      <c r="I41" s="45"/>
      <c r="J41" s="45"/>
      <c r="K41" s="45"/>
      <c r="L41" s="41"/>
      <c r="M41" s="41"/>
      <c r="N41" s="41"/>
      <c r="O41" s="41"/>
      <c r="P41" s="41"/>
      <c r="Q41" s="42"/>
      <c r="R41" s="40" t="s">
        <v>38</v>
      </c>
      <c r="S41" s="41"/>
      <c r="T41" s="46"/>
      <c r="U41" s="40" t="s">
        <v>39</v>
      </c>
      <c r="V41" s="41"/>
      <c r="W41" s="45"/>
      <c r="X41" s="46"/>
      <c r="Y41" s="40" t="s">
        <v>40</v>
      </c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2"/>
      <c r="BK41" s="4"/>
      <c r="BQ41" t="s">
        <v>223</v>
      </c>
      <c r="BS41" t="s">
        <v>223</v>
      </c>
      <c r="BU41" t="s">
        <v>223</v>
      </c>
      <c r="BV41" s="82" t="s">
        <v>233</v>
      </c>
      <c r="BW41" t="s">
        <v>223</v>
      </c>
      <c r="BY41" t="s">
        <v>223</v>
      </c>
      <c r="BZ41" s="82" t="str">
        <f>IF(_xlfn.XLOOKUP(6,$AH:$AH,$R:$R,"",0)="","","AND A.`"&amp;_xlfn.XLOOKUP(6,$AH:$AH,$R:$R,"",0)&amp;"` = B.`"&amp;_xlfn.XLOOKUP(6,$AH:$AH,$R:$R,"",0)&amp;"`")</f>
        <v/>
      </c>
      <c r="CA41" t="s">
        <v>223</v>
      </c>
    </row>
    <row r="42" spans="1:79" ht="15" customHeight="1">
      <c r="A42" s="84"/>
      <c r="BK42" s="4"/>
      <c r="BQ42" t="s">
        <v>223</v>
      </c>
      <c r="BS42" t="s">
        <v>223</v>
      </c>
      <c r="BU42" t="s">
        <v>223</v>
      </c>
      <c r="BW42" t="s">
        <v>223</v>
      </c>
      <c r="BY42" t="s">
        <v>223</v>
      </c>
      <c r="BZ42" s="82" t="str">
        <f>IF(_xlfn.XLOOKUP(7,$AH:$AH,$R:$R,"",0)="","","AND A.`"&amp;_xlfn.XLOOKUP(7,$AH:$AH,$R:$R,"",0)&amp;"` = B.`"&amp;_xlfn.XLOOKUP(7,$AH:$AH,$R:$R,"",0)&amp;"`")</f>
        <v/>
      </c>
      <c r="CA42" t="s">
        <v>223</v>
      </c>
    </row>
    <row r="43" spans="1:79" ht="15" customHeight="1">
      <c r="A43" s="84"/>
      <c r="BK43" s="4"/>
      <c r="BQ43" t="s">
        <v>223</v>
      </c>
      <c r="BS43" t="s">
        <v>223</v>
      </c>
      <c r="BU43" t="s">
        <v>223</v>
      </c>
      <c r="BW43" t="s">
        <v>223</v>
      </c>
      <c r="BY43" t="s">
        <v>223</v>
      </c>
      <c r="BZ43" s="82" t="str">
        <f>IF(_xlfn.XLOOKUP(8,$AH:$AH,$R:$R,"",0)="","","AND A.`"&amp;_xlfn.XLOOKUP(8,$AH:$AH,$R:$R,"",0)&amp;"` = B.`"&amp;_xlfn.XLOOKUP(8,$AH:$AH,$R:$R,"",0)&amp;"`")</f>
        <v/>
      </c>
      <c r="CA43" t="s">
        <v>223</v>
      </c>
    </row>
    <row r="44" spans="1:79" ht="15" customHeight="1">
      <c r="A44" s="84"/>
      <c r="BK44" s="4"/>
      <c r="BQ44" t="s">
        <v>223</v>
      </c>
      <c r="BS44" t="s">
        <v>223</v>
      </c>
      <c r="BU44" t="s">
        <v>223</v>
      </c>
      <c r="BW44" t="s">
        <v>223</v>
      </c>
      <c r="BY44" t="s">
        <v>223</v>
      </c>
      <c r="BZ44" s="82" t="s">
        <v>226</v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BZ46" s="83"/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BZ47" t="str">
        <f>"DROP TABLE IF EXISTS `TMP`.`"&amp;$G$10&amp;"`;"</f>
        <v>DROP TABLE IF EXISTS `TMP`.`P003`;</v>
      </c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BZ48" t="s">
        <v>234</v>
      </c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5"/>
      <c r="BQ53" t="s">
        <v>223</v>
      </c>
      <c r="BS53" t="s">
        <v>223</v>
      </c>
      <c r="BU53" t="s">
        <v>223</v>
      </c>
      <c r="BV53" s="82" t="str">
        <f t="shared" ref="BV53:BV60" si="7">",A.`"&amp;R53&amp;"` = B.`"&amp;R53&amp;"`"</f>
        <v>,A.`` = B.``</v>
      </c>
      <c r="BW53" t="s">
        <v>223</v>
      </c>
      <c r="BX53" s="82" t="str">
        <f t="shared" ref="BX53:BX60" si="8">",`"&amp;R53&amp;"`"</f>
        <v>,``</v>
      </c>
      <c r="BY53" t="s">
        <v>223</v>
      </c>
      <c r="BZ53" s="82" t="str">
        <f t="shared" si="6"/>
        <v>,``</v>
      </c>
      <c r="CA53" t="s">
        <v>223</v>
      </c>
    </row>
    <row r="54" spans="1:79">
      <c r="A54" s="84"/>
      <c r="BQ54" t="s">
        <v>223</v>
      </c>
      <c r="BS54" t="s">
        <v>223</v>
      </c>
      <c r="BU54" t="s">
        <v>223</v>
      </c>
      <c r="BV54" s="82" t="str">
        <f t="shared" si="7"/>
        <v>,A.`` = B.``</v>
      </c>
      <c r="BW54" t="s">
        <v>223</v>
      </c>
      <c r="BX54" s="82" t="str">
        <f t="shared" si="8"/>
        <v>,``</v>
      </c>
      <c r="BY54" t="s">
        <v>223</v>
      </c>
      <c r="BZ54" s="82" t="str">
        <f t="shared" si="6"/>
        <v>,``</v>
      </c>
      <c r="CA54" t="s">
        <v>223</v>
      </c>
    </row>
    <row r="55" spans="1:79">
      <c r="A55" s="84"/>
      <c r="BQ55" t="s">
        <v>223</v>
      </c>
      <c r="BS55" t="s">
        <v>223</v>
      </c>
      <c r="BU55" t="s">
        <v>223</v>
      </c>
      <c r="BV55" s="82" t="str">
        <f t="shared" si="7"/>
        <v>,A.`` = B.``</v>
      </c>
      <c r="BW55" t="s">
        <v>223</v>
      </c>
      <c r="BX55" s="82" t="str">
        <f t="shared" si="8"/>
        <v>,``</v>
      </c>
      <c r="BY55" t="s">
        <v>223</v>
      </c>
      <c r="BZ55" s="82" t="str">
        <f t="shared" si="6"/>
        <v>,``</v>
      </c>
      <c r="CA55" t="s">
        <v>223</v>
      </c>
    </row>
    <row r="56" spans="1:79">
      <c r="A56" s="84"/>
      <c r="BQ56" t="s">
        <v>223</v>
      </c>
      <c r="BS56" t="s">
        <v>223</v>
      </c>
      <c r="BU56" t="s">
        <v>223</v>
      </c>
      <c r="BV56" s="82" t="str">
        <f t="shared" si="7"/>
        <v>,A.`` = B.``</v>
      </c>
      <c r="BW56" t="s">
        <v>223</v>
      </c>
      <c r="BX56" s="82" t="str">
        <f t="shared" si="8"/>
        <v>,``</v>
      </c>
      <c r="BY56" t="s">
        <v>223</v>
      </c>
      <c r="BZ56" s="82" t="str">
        <f t="shared" si="6"/>
        <v>,``</v>
      </c>
      <c r="CA56" t="s">
        <v>223</v>
      </c>
    </row>
    <row r="57" spans="1:79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6"/>
        <v>,``</v>
      </c>
      <c r="CA57" t="s">
        <v>223</v>
      </c>
    </row>
    <row r="58" spans="1:79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6"/>
        <v>,``</v>
      </c>
      <c r="CA58" t="s">
        <v>223</v>
      </c>
    </row>
    <row r="59" spans="1:79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6"/>
        <v>,``</v>
      </c>
      <c r="CA59" t="s">
        <v>223</v>
      </c>
    </row>
    <row r="60" spans="1:79">
      <c r="A60" s="83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6"/>
        <v>,``</v>
      </c>
      <c r="CA60" t="s">
        <v>223</v>
      </c>
    </row>
    <row r="61" spans="1:79">
      <c r="BQ61" t="s">
        <v>223</v>
      </c>
      <c r="BS61" t="s">
        <v>223</v>
      </c>
      <c r="BU61" t="s">
        <v>223</v>
      </c>
      <c r="BV61" s="82" t="s">
        <v>231</v>
      </c>
      <c r="BW61" t="s">
        <v>223</v>
      </c>
      <c r="BY61" t="s">
        <v>223</v>
      </c>
      <c r="BZ61" s="82" t="str">
        <f>"FROM `TMP`.`"&amp;$G$10&amp;"` A"</f>
        <v>FROM `TMP`.`P003` A</v>
      </c>
      <c r="CA61" t="s">
        <v>223</v>
      </c>
    </row>
    <row r="62" spans="1:79">
      <c r="BQ62" t="s">
        <v>223</v>
      </c>
      <c r="BS62" t="s">
        <v>223</v>
      </c>
      <c r="BU62" t="s">
        <v>223</v>
      </c>
      <c r="BV62" s="82" t="str">
        <f>IF(_xlfn.XLOOKUP(1,$AH:$AH,$R:$R,"",0)="","","A.`"&amp;_xlfn.XLOOKUP(1,$AH:$AH,$R:$R,"",0)&amp;"` = B.`"&amp;_xlfn.XLOOKUP(1,$AH:$AH,$R:$R,"",0)&amp;"`")</f>
        <v>A.`STR_ID` = B.`STR_ID`</v>
      </c>
      <c r="BW62" t="s">
        <v>223</v>
      </c>
      <c r="BY62" t="s">
        <v>223</v>
      </c>
      <c r="BZ62" s="82" t="s">
        <v>232</v>
      </c>
      <c r="CA62" t="s">
        <v>223</v>
      </c>
    </row>
    <row r="63" spans="1:79">
      <c r="BQ63" t="s">
        <v>223</v>
      </c>
      <c r="BS63" t="s">
        <v>223</v>
      </c>
      <c r="BU63" t="s">
        <v>223</v>
      </c>
      <c r="BV63" s="82" t="str">
        <f>IF(_xlfn.XLOOKUP(2,$AH:$AH,$R:$R,"",0)="","","AND A.`"&amp;_xlfn.XLOOKUP(2,$AH:$AH,$R:$R,"",0)&amp;"` = B.`"&amp;_xlfn.XLOOKUP(2,$AH:$AH,$R:$R,"",0)&amp;"`")</f>
        <v>AND A.`JAN_ID` = B.`JAN_ID`</v>
      </c>
      <c r="BW63" t="s">
        <v>223</v>
      </c>
      <c r="BY63" t="s">
        <v>223</v>
      </c>
      <c r="BZ63" s="82" t="str">
        <f>"FROM `REPLICA_KASUMI`.`"&amp;$G$10&amp;"` B"</f>
        <v>FROM `REPLICA_KASUMI`.`P003` B</v>
      </c>
      <c r="CA63" t="s">
        <v>223</v>
      </c>
    </row>
    <row r="64" spans="1:79">
      <c r="BQ64" t="s">
        <v>223</v>
      </c>
      <c r="BS64" t="s">
        <v>223</v>
      </c>
      <c r="BU64" t="s">
        <v>223</v>
      </c>
      <c r="BV64" s="82" t="str">
        <f>IF(_xlfn.XLOOKUP(3,$AH:$AH,$R:$R,"",0)="","","AND A.`"&amp;_xlfn.XLOOKUP(3,$AH:$AH,$R:$R,"",0)&amp;"` = B.`"&amp;_xlfn.XLOOKUP(3,$AH:$AH,$R:$R,"",0)&amp;"`")</f>
        <v>AND A.`SHELF_ID` = B.`SHELF_ID`</v>
      </c>
      <c r="BW64" t="s">
        <v>223</v>
      </c>
      <c r="BY64" t="s">
        <v>223</v>
      </c>
      <c r="BZ64" s="82" t="s">
        <v>229</v>
      </c>
      <c r="CA64" t="s">
        <v>223</v>
      </c>
    </row>
    <row r="65" spans="69:79">
      <c r="BQ65" t="s">
        <v>223</v>
      </c>
      <c r="BS65" t="s">
        <v>223</v>
      </c>
      <c r="BU65" t="s">
        <v>223</v>
      </c>
      <c r="BV65" s="82" t="str">
        <f>IF(_xlfn.XLOOKUP(4,$AH:$AH,$R:$R,"",0)="","","AND A.`"&amp;_xlfn.XLOOKUP(4,$AH:$AH,$R:$R,"",0)&amp;"` = B.`"&amp;_xlfn.XLOOKUP(4,$AH:$AH,$R:$R,"",0)&amp;"`")</f>
        <v>AND A.`SHELF_STEP` = B.`SHELF_STEP`</v>
      </c>
      <c r="BW65" t="s">
        <v>223</v>
      </c>
      <c r="BY65" t="s">
        <v>223</v>
      </c>
      <c r="BZ65" s="82" t="str">
        <f>IF(_xlfn.XLOOKUP(1,$AH:$AH,$R:$R,"",0)="","","A.`"&amp;_xlfn.XLOOKUP(1,$AH:$AH,$R:$R,"",0)&amp;"` = B.`"&amp;_xlfn.XLOOKUP(1,$AH:$AH,$R:$R,"",0)&amp;"`")</f>
        <v>A.`STR_ID` = B.`STR_ID`</v>
      </c>
      <c r="CA65" t="s">
        <v>223</v>
      </c>
    </row>
    <row r="66" spans="69:79">
      <c r="BQ66" t="s">
        <v>223</v>
      </c>
      <c r="BS66" t="s">
        <v>223</v>
      </c>
      <c r="BU66" t="s">
        <v>223</v>
      </c>
      <c r="BV66" s="82" t="str">
        <f>IF(_xlfn.XLOOKUP(5,$AH:$AH,$R:$R,"",0)="","","AND A.`"&amp;_xlfn.XLOOKUP(5,$AH:$AH,$R:$R,"",0)&amp;"` = B.`"&amp;_xlfn.XLOOKUP(5,$AH:$AH,$R:$R,"",0)&amp;"`")</f>
        <v>AND A.`SHELF_ROW` = B.`SHELF_ROW`</v>
      </c>
      <c r="BW66" t="s">
        <v>223</v>
      </c>
      <c r="BY66" t="s">
        <v>223</v>
      </c>
      <c r="BZ66" s="82" t="str">
        <f>IF(_xlfn.XLOOKUP(2,$AH:$AH,$R:$R,"",0)="","","AND A.`"&amp;_xlfn.XLOOKUP(2,$AH:$AH,$R:$R,"",0)&amp;"` = B.`"&amp;_xlfn.XLOOKUP(2,$AH:$AH,$R:$R,"",0)&amp;"`")</f>
        <v>AND A.`JAN_ID` = B.`JAN_ID`</v>
      </c>
      <c r="CA66" t="s">
        <v>223</v>
      </c>
    </row>
    <row r="67" spans="69:79">
      <c r="BQ67" t="s">
        <v>223</v>
      </c>
      <c r="BS67" t="s">
        <v>223</v>
      </c>
      <c r="BU67" t="s">
        <v>223</v>
      </c>
      <c r="BV67" s="82" t="str">
        <f>IF(_xlfn.XLOOKUP(6,$AH:$AH,$R:$R,"",0)="","","AND A.`"&amp;_xlfn.XLOOKUP(6,$AH:$AH,$R:$R,"",0)&amp;"` = B.`"&amp;_xlfn.XLOOKUP(6,$AH:$AH,$R:$R,"",0)&amp;"`")</f>
        <v/>
      </c>
      <c r="BW67" t="s">
        <v>223</v>
      </c>
      <c r="BY67" t="s">
        <v>223</v>
      </c>
      <c r="BZ67" s="82" t="str">
        <f>IF(_xlfn.XLOOKUP(3,$AH:$AH,$R:$R,"",0)="","","AND A.`"&amp;_xlfn.XLOOKUP(3,$AH:$AH,$R:$R,"",0)&amp;"` = B.`"&amp;_xlfn.XLOOKUP(3,$AH:$AH,$R:$R,"",0)&amp;"`")</f>
        <v>AND A.`SHELF_ID` = B.`SHELF_ID`</v>
      </c>
      <c r="CA67" t="s">
        <v>223</v>
      </c>
    </row>
    <row r="68" spans="69:79">
      <c r="BQ68" t="s">
        <v>223</v>
      </c>
      <c r="BS68" t="s">
        <v>223</v>
      </c>
      <c r="BU68" t="s">
        <v>223</v>
      </c>
      <c r="BV68" s="82" t="str">
        <f>IF(_xlfn.XLOOKUP(7,$AH:$AH,$R:$R,"",0)="","","AND A.`"&amp;_xlfn.XLOOKUP(7,$AH:$AH,$R:$R,"",0)&amp;"` = B.`"&amp;_xlfn.XLOOKUP(7,$AH:$AH,$R:$R,"",0)&amp;"`")</f>
        <v/>
      </c>
      <c r="BW68" t="s">
        <v>223</v>
      </c>
      <c r="BY68" t="s">
        <v>223</v>
      </c>
      <c r="BZ68" s="82" t="str">
        <f>IF(_xlfn.XLOOKUP(4,$AH:$AH,$R:$R,"",0)="","","AND A.`"&amp;_xlfn.XLOOKUP(4,$AH:$AH,$R:$R,"",0)&amp;"` = B.`"&amp;_xlfn.XLOOKUP(4,$AH:$AH,$R:$R,"",0)&amp;"`")</f>
        <v>AND A.`SHELF_STEP` = B.`SHELF_STEP`</v>
      </c>
      <c r="CA68" t="s">
        <v>223</v>
      </c>
    </row>
    <row r="69" spans="69:79">
      <c r="BQ69" t="s">
        <v>223</v>
      </c>
      <c r="BS69" t="s">
        <v>223</v>
      </c>
      <c r="BU69" t="s">
        <v>223</v>
      </c>
      <c r="BV69" s="82" t="str">
        <f>IF(_xlfn.XLOOKUP(8,$AH:$AH,$R:$R,"",0)="","","AND A.`"&amp;_xlfn.XLOOKUP(8,$AH:$AH,$R:$R,"",0)&amp;"` = B.`"&amp;_xlfn.XLOOKUP(8,$AH:$AH,$R:$R,"",0)&amp;"`")</f>
        <v/>
      </c>
      <c r="BW69" t="s">
        <v>223</v>
      </c>
      <c r="BY69" t="s">
        <v>223</v>
      </c>
      <c r="BZ69" s="82" t="str">
        <f>IF(_xlfn.XLOOKUP(5,$AH:$AH,$R:$R,"",0)="","","AND A.`"&amp;_xlfn.XLOOKUP(5,$AH:$AH,$R:$R,"",0)&amp;"` = B.`"&amp;_xlfn.XLOOKUP(5,$AH:$AH,$R:$R,"",0)&amp;"`")</f>
        <v>AND A.`SHELF_ROW` = B.`SHELF_ROW`</v>
      </c>
      <c r="CA69" t="s">
        <v>223</v>
      </c>
    </row>
    <row r="70" spans="69:79">
      <c r="BQ70" t="s">
        <v>223</v>
      </c>
      <c r="BS70" t="s">
        <v>223</v>
      </c>
      <c r="BU70" t="s">
        <v>223</v>
      </c>
      <c r="BV70" s="82" t="s">
        <v>233</v>
      </c>
      <c r="BW70" t="s">
        <v>223</v>
      </c>
      <c r="BY70" t="s">
        <v>223</v>
      </c>
      <c r="BZ70" s="82" t="str">
        <f>IF(_xlfn.XLOOKUP(6,$AH:$AH,$R:$R,"",0)="","","AND A.`"&amp;_xlfn.XLOOKUP(6,$AH:$AH,$R:$R,"",0)&amp;"` = B.`"&amp;_xlfn.XLOOKUP(6,$AH:$AH,$R:$R,"",0)&amp;"`")</f>
        <v/>
      </c>
      <c r="CA70" t="s">
        <v>223</v>
      </c>
    </row>
    <row r="71" spans="69:79">
      <c r="BQ71" t="s">
        <v>223</v>
      </c>
      <c r="BS71" t="s">
        <v>223</v>
      </c>
      <c r="BU71" t="s">
        <v>223</v>
      </c>
      <c r="BW71" t="s">
        <v>223</v>
      </c>
      <c r="BY71" t="s">
        <v>223</v>
      </c>
      <c r="BZ71" s="82" t="str">
        <f>IF(_xlfn.XLOOKUP(7,$AH:$AH,$R:$R,"",0)="","","AND A.`"&amp;_xlfn.XLOOKUP(7,$AH:$AH,$R:$R,"",0)&amp;"` = B.`"&amp;_xlfn.XLOOKUP(7,$AH:$AH,$R:$R,"",0)&amp;"`")</f>
        <v/>
      </c>
      <c r="CA71" t="s">
        <v>223</v>
      </c>
    </row>
    <row r="72" spans="69:79">
      <c r="BQ72" t="s">
        <v>223</v>
      </c>
      <c r="BS72" t="s">
        <v>223</v>
      </c>
      <c r="BU72" t="s">
        <v>223</v>
      </c>
      <c r="BW72" t="s">
        <v>223</v>
      </c>
      <c r="BY72" t="s">
        <v>223</v>
      </c>
      <c r="BZ72" s="82" t="str">
        <f>IF(_xlfn.XLOOKUP(8,$AH:$AH,$R:$R,"",0)="","","AND A.`"&amp;_xlfn.XLOOKUP(8,$AH:$AH,$R:$R,"",0)&amp;"` = B.`"&amp;_xlfn.XLOOKUP(8,$AH:$AH,$R:$R,"",0)&amp;"`")</f>
        <v/>
      </c>
      <c r="CA72" t="s">
        <v>223</v>
      </c>
    </row>
    <row r="73" spans="69:79">
      <c r="BQ73" t="s">
        <v>223</v>
      </c>
      <c r="BS73" t="s">
        <v>223</v>
      </c>
      <c r="BU73" t="s">
        <v>223</v>
      </c>
      <c r="BW73" t="s">
        <v>223</v>
      </c>
      <c r="BY73" t="s">
        <v>223</v>
      </c>
      <c r="BZ73" s="82" t="s">
        <v>226</v>
      </c>
      <c r="CA73" t="s">
        <v>223</v>
      </c>
    </row>
    <row r="74" spans="69:79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CA74" t="s">
        <v>223</v>
      </c>
    </row>
    <row r="75" spans="69:79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BZ75" s="83"/>
      <c r="CA75" t="s">
        <v>223</v>
      </c>
    </row>
    <row r="76" spans="69:79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BZ76" t="str">
        <f>"DROP TABLE IF EXISTS `TMP`.`"&amp;$G$10&amp;"`;"</f>
        <v>DROP TABLE IF EXISTS `TMP`.`P003`;</v>
      </c>
      <c r="CA76" t="s">
        <v>223</v>
      </c>
    </row>
    <row r="77" spans="69:79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BZ77" t="s">
        <v>234</v>
      </c>
      <c r="CA77" t="s">
        <v>223</v>
      </c>
    </row>
    <row r="78" spans="69:79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CA78" t="s">
        <v>223</v>
      </c>
    </row>
    <row r="79" spans="69:79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CA79" t="s">
        <v>223</v>
      </c>
    </row>
    <row r="80" spans="69:79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CA80" t="s">
        <v>223</v>
      </c>
    </row>
    <row r="81" spans="69:79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</sheetData>
  <mergeCells count="43">
    <mergeCell ref="AC27:AG27"/>
    <mergeCell ref="AC28:AG28"/>
    <mergeCell ref="AC29:AG29"/>
    <mergeCell ref="AC30:AG30"/>
    <mergeCell ref="AC31:AG31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C224-14D2-431D-B6EC-6D31121C9CAC}">
  <sheetPr>
    <pageSetUpPr fitToPage="1"/>
  </sheetPr>
  <dimension ref="A1:BK439"/>
  <sheetViews>
    <sheetView view="pageBreakPreview" topLeftCell="A126" zoomScale="75" zoomScaleNormal="75" zoomScaleSheetLayoutView="75" workbookViewId="0">
      <selection activeCell="AH431" sqref="AH431"/>
    </sheetView>
  </sheetViews>
  <sheetFormatPr defaultColWidth="2.77734375" defaultRowHeight="15" customHeight="1"/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 cm="1">
        <f t="array" aca="1" ref="AP4" ca="1">RIGHT(CELL("filename",$A$1),LEN(CELL("filename",$A$1))-FIND("]",CELL("filename",$A$1)))</f>
        <v>CHK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1247</v>
      </c>
      <c r="J7" t="s">
        <v>24</v>
      </c>
      <c r="U7" t="s">
        <v>25</v>
      </c>
      <c r="BK7" s="4"/>
    </row>
    <row r="8" spans="1:63" ht="15" customHeight="1">
      <c r="A8" s="1"/>
      <c r="B8" t="s">
        <v>816</v>
      </c>
      <c r="J8" t="s">
        <v>1084</v>
      </c>
      <c r="U8" t="s">
        <v>521</v>
      </c>
      <c r="BK8" s="4"/>
    </row>
    <row r="9" spans="1:63" ht="15" customHeight="1">
      <c r="A9" s="1"/>
      <c r="B9" t="s">
        <v>1259</v>
      </c>
      <c r="J9" t="s">
        <v>690</v>
      </c>
      <c r="U9" t="s">
        <v>521</v>
      </c>
      <c r="BK9" s="4"/>
    </row>
    <row r="10" spans="1:63" ht="15" customHeight="1">
      <c r="A10" s="1"/>
      <c r="B10" t="s">
        <v>942</v>
      </c>
      <c r="J10" t="s">
        <v>1081</v>
      </c>
      <c r="U10" t="s">
        <v>521</v>
      </c>
      <c r="BK10" s="4"/>
    </row>
    <row r="11" spans="1:63" ht="15" customHeight="1">
      <c r="A11" s="1"/>
      <c r="B11" t="s">
        <v>1262</v>
      </c>
      <c r="J11" t="s">
        <v>693</v>
      </c>
      <c r="U11" t="s">
        <v>521</v>
      </c>
      <c r="BK11" s="4"/>
    </row>
    <row r="12" spans="1:63" ht="15" customHeight="1">
      <c r="A12" s="1"/>
      <c r="B12" t="s">
        <v>944</v>
      </c>
      <c r="J12" t="s">
        <v>693</v>
      </c>
      <c r="U12" t="s">
        <v>521</v>
      </c>
      <c r="BK12" s="4"/>
    </row>
    <row r="13" spans="1:63" ht="15" customHeight="1">
      <c r="A13" s="1"/>
      <c r="B13" t="s">
        <v>656</v>
      </c>
      <c r="J13" t="s">
        <v>702</v>
      </c>
      <c r="U13" t="s">
        <v>521</v>
      </c>
      <c r="BK13" s="4"/>
    </row>
    <row r="14" spans="1:63" ht="15" customHeight="1">
      <c r="A14" s="1"/>
      <c r="B14" t="s">
        <v>951</v>
      </c>
      <c r="J14" t="s">
        <v>702</v>
      </c>
      <c r="U14" t="s">
        <v>521</v>
      </c>
      <c r="BK14" s="4"/>
    </row>
    <row r="15" spans="1:63" ht="15" customHeight="1">
      <c r="A15" s="1"/>
      <c r="B15" t="s">
        <v>319</v>
      </c>
      <c r="J15" t="s">
        <v>413</v>
      </c>
      <c r="U15" t="s">
        <v>1252</v>
      </c>
      <c r="BK15" s="4"/>
    </row>
    <row r="16" spans="1:63" ht="15" customHeight="1">
      <c r="A16" s="1"/>
      <c r="B16" t="s">
        <v>800</v>
      </c>
      <c r="J16" t="s">
        <v>956</v>
      </c>
      <c r="U16" t="s">
        <v>1251</v>
      </c>
      <c r="BK16" s="4"/>
    </row>
    <row r="17" spans="1:63" ht="15" customHeight="1">
      <c r="A17" s="1"/>
      <c r="B17" t="s">
        <v>820</v>
      </c>
      <c r="J17" t="s">
        <v>962</v>
      </c>
      <c r="U17" t="s">
        <v>493</v>
      </c>
      <c r="BK17" s="4"/>
    </row>
    <row r="18" spans="1:63" ht="15" customHeight="1">
      <c r="A18" s="1"/>
      <c r="B18" t="s">
        <v>824</v>
      </c>
      <c r="J18" t="s">
        <v>966</v>
      </c>
      <c r="U18" t="s">
        <v>493</v>
      </c>
      <c r="BK18" s="4"/>
    </row>
    <row r="19" spans="1:63" ht="15" customHeight="1">
      <c r="A19" s="1"/>
      <c r="B19" t="s">
        <v>828</v>
      </c>
      <c r="J19" t="s">
        <v>970</v>
      </c>
      <c r="U19" t="s">
        <v>493</v>
      </c>
      <c r="BK19" s="4"/>
    </row>
    <row r="20" spans="1:63" ht="15" customHeight="1">
      <c r="A20" s="1"/>
      <c r="B20" t="s">
        <v>821</v>
      </c>
      <c r="J20" t="s">
        <v>963</v>
      </c>
      <c r="U20" t="s">
        <v>221</v>
      </c>
      <c r="BK20" s="4"/>
    </row>
    <row r="21" spans="1:63" ht="15" customHeight="1">
      <c r="A21" s="1"/>
      <c r="B21" t="s">
        <v>825</v>
      </c>
      <c r="J21" t="s">
        <v>967</v>
      </c>
      <c r="U21" t="s">
        <v>221</v>
      </c>
      <c r="BK21" s="4"/>
    </row>
    <row r="22" spans="1:63" ht="15" customHeight="1">
      <c r="A22" s="1"/>
      <c r="B22" t="s">
        <v>829</v>
      </c>
      <c r="J22" t="s">
        <v>971</v>
      </c>
      <c r="U22" t="s">
        <v>221</v>
      </c>
      <c r="BK22" s="4"/>
    </row>
    <row r="23" spans="1:63" ht="15" customHeight="1">
      <c r="A23" s="1"/>
      <c r="B23" t="s">
        <v>350</v>
      </c>
      <c r="J23" t="s">
        <v>444</v>
      </c>
      <c r="U23" t="s">
        <v>221</v>
      </c>
      <c r="BK23" s="4"/>
    </row>
    <row r="24" spans="1:63" ht="15" customHeight="1">
      <c r="A24" s="1"/>
      <c r="B24" t="s">
        <v>350</v>
      </c>
      <c r="J24" t="s">
        <v>689</v>
      </c>
      <c r="U24" t="s">
        <v>221</v>
      </c>
      <c r="BK24" s="4"/>
    </row>
    <row r="25" spans="1:63" ht="15" customHeight="1">
      <c r="A25" s="1"/>
      <c r="B25" t="s">
        <v>941</v>
      </c>
      <c r="J25" t="s">
        <v>689</v>
      </c>
      <c r="U25" t="s">
        <v>221</v>
      </c>
      <c r="BK25" s="4"/>
    </row>
    <row r="26" spans="1:63" ht="15" customHeight="1">
      <c r="A26" s="1"/>
      <c r="B26" t="s">
        <v>657</v>
      </c>
      <c r="J26" t="s">
        <v>444</v>
      </c>
      <c r="U26" t="s">
        <v>221</v>
      </c>
      <c r="BK26" s="4"/>
    </row>
    <row r="27" spans="1:63" ht="15" customHeight="1">
      <c r="A27" s="1"/>
      <c r="B27" t="s">
        <v>952</v>
      </c>
      <c r="J27" t="s">
        <v>444</v>
      </c>
      <c r="U27" t="s">
        <v>221</v>
      </c>
      <c r="BK27" s="4"/>
    </row>
    <row r="28" spans="1:63" ht="15" customHeight="1">
      <c r="A28" s="1"/>
      <c r="B28" t="s">
        <v>330</v>
      </c>
      <c r="J28" t="s">
        <v>424</v>
      </c>
      <c r="U28" t="s">
        <v>521</v>
      </c>
      <c r="BK28" s="4"/>
    </row>
    <row r="29" spans="1:63" ht="15" customHeight="1">
      <c r="A29" s="1"/>
      <c r="B29" t="s">
        <v>344</v>
      </c>
      <c r="J29" t="s">
        <v>438</v>
      </c>
      <c r="U29" t="s">
        <v>521</v>
      </c>
      <c r="BK29" s="4"/>
    </row>
    <row r="30" spans="1:63" ht="15" customHeight="1">
      <c r="A30" s="1"/>
      <c r="B30" t="s">
        <v>318</v>
      </c>
      <c r="J30" t="s">
        <v>412</v>
      </c>
      <c r="U30" t="s">
        <v>1252</v>
      </c>
      <c r="BK30" s="4"/>
    </row>
    <row r="31" spans="1:63" ht="15" customHeight="1">
      <c r="A31" s="1"/>
      <c r="B31" t="s">
        <v>288</v>
      </c>
      <c r="J31" t="s">
        <v>382</v>
      </c>
      <c r="U31" t="s">
        <v>1252</v>
      </c>
      <c r="BK31" s="4"/>
    </row>
    <row r="32" spans="1:63" ht="15" customHeight="1">
      <c r="A32" s="1"/>
      <c r="B32" t="s">
        <v>280</v>
      </c>
      <c r="J32" t="s">
        <v>374</v>
      </c>
      <c r="U32" t="s">
        <v>521</v>
      </c>
      <c r="BK32" s="4"/>
    </row>
    <row r="33" spans="1:63" ht="15" customHeight="1">
      <c r="A33" s="1"/>
      <c r="B33" t="s">
        <v>295</v>
      </c>
      <c r="J33" t="s">
        <v>389</v>
      </c>
      <c r="U33" t="s">
        <v>521</v>
      </c>
      <c r="BK33" s="4"/>
    </row>
    <row r="34" spans="1:63" ht="15" customHeight="1">
      <c r="A34" s="1"/>
      <c r="B34" t="s">
        <v>334</v>
      </c>
      <c r="J34" t="s">
        <v>428</v>
      </c>
      <c r="U34" t="s">
        <v>221</v>
      </c>
      <c r="BK34" s="4"/>
    </row>
    <row r="35" spans="1:63" ht="15" customHeight="1">
      <c r="A35" s="1"/>
      <c r="B35" t="s">
        <v>337</v>
      </c>
      <c r="J35" t="s">
        <v>431</v>
      </c>
      <c r="U35" t="s">
        <v>521</v>
      </c>
      <c r="BK35" s="4"/>
    </row>
    <row r="36" spans="1:63" ht="15" customHeight="1">
      <c r="A36" s="1"/>
      <c r="B36" t="s">
        <v>617</v>
      </c>
      <c r="J36" t="s">
        <v>662</v>
      </c>
      <c r="U36" t="s">
        <v>521</v>
      </c>
      <c r="BK36" s="4"/>
    </row>
    <row r="37" spans="1:63" ht="15" customHeight="1">
      <c r="A37" s="1"/>
      <c r="B37" t="s">
        <v>801</v>
      </c>
      <c r="J37" t="s">
        <v>662</v>
      </c>
      <c r="U37" t="s">
        <v>521</v>
      </c>
      <c r="BK37" s="4"/>
    </row>
    <row r="38" spans="1:63" ht="15" customHeight="1">
      <c r="A38" s="1"/>
      <c r="B38" t="s">
        <v>298</v>
      </c>
      <c r="J38" t="s">
        <v>392</v>
      </c>
      <c r="U38" t="s">
        <v>521</v>
      </c>
      <c r="BK38" s="4"/>
    </row>
    <row r="39" spans="1:63" ht="15" customHeight="1">
      <c r="A39" s="1"/>
      <c r="B39" t="s">
        <v>643</v>
      </c>
      <c r="J39" t="s">
        <v>392</v>
      </c>
      <c r="U39" t="s">
        <v>521</v>
      </c>
      <c r="BK39" s="4"/>
    </row>
    <row r="40" spans="1:63" ht="15" customHeight="1">
      <c r="A40" s="1"/>
      <c r="B40" t="s">
        <v>292</v>
      </c>
      <c r="J40" t="s">
        <v>386</v>
      </c>
      <c r="U40" t="s">
        <v>521</v>
      </c>
      <c r="BK40" s="4"/>
    </row>
    <row r="41" spans="1:63" ht="15" customHeight="1">
      <c r="A41" s="1"/>
      <c r="B41" t="s">
        <v>1144</v>
      </c>
      <c r="J41" t="s">
        <v>671</v>
      </c>
      <c r="U41" t="s">
        <v>521</v>
      </c>
      <c r="BK41" s="4"/>
    </row>
    <row r="42" spans="1:63" ht="15" customHeight="1">
      <c r="A42" s="1"/>
      <c r="B42" t="s">
        <v>625</v>
      </c>
      <c r="J42" t="s">
        <v>671</v>
      </c>
      <c r="U42" t="s">
        <v>521</v>
      </c>
      <c r="BK42" s="4"/>
    </row>
    <row r="43" spans="1:63" ht="15" customHeight="1">
      <c r="A43" s="1"/>
      <c r="B43" t="s">
        <v>810</v>
      </c>
      <c r="J43" t="s">
        <v>671</v>
      </c>
      <c r="U43" t="s">
        <v>521</v>
      </c>
      <c r="BK43" s="4"/>
    </row>
    <row r="44" spans="1:63" ht="15" customHeight="1">
      <c r="A44" s="1"/>
      <c r="B44" t="s">
        <v>798</v>
      </c>
      <c r="J44" t="s">
        <v>955</v>
      </c>
      <c r="U44" t="s">
        <v>1256</v>
      </c>
      <c r="BK44" s="4"/>
    </row>
    <row r="45" spans="1:63" ht="15" customHeight="1">
      <c r="A45" s="1"/>
      <c r="B45" t="s">
        <v>1138</v>
      </c>
      <c r="J45" t="s">
        <v>1153</v>
      </c>
      <c r="U45" t="s">
        <v>1252</v>
      </c>
      <c r="BK45" s="4"/>
    </row>
    <row r="46" spans="1:63" ht="15" customHeight="1">
      <c r="A46" s="1"/>
      <c r="B46" t="s">
        <v>616</v>
      </c>
      <c r="J46" t="s">
        <v>661</v>
      </c>
      <c r="U46" t="s">
        <v>1256</v>
      </c>
      <c r="BK46" s="4"/>
    </row>
    <row r="47" spans="1:63" ht="15" customHeight="1">
      <c r="A47" s="1"/>
      <c r="B47" t="s">
        <v>799</v>
      </c>
      <c r="J47" t="s">
        <v>661</v>
      </c>
      <c r="U47" t="s">
        <v>1256</v>
      </c>
      <c r="BK47" s="4"/>
    </row>
    <row r="48" spans="1:63" ht="15" customHeight="1">
      <c r="A48" s="1"/>
      <c r="B48" t="s">
        <v>1137</v>
      </c>
      <c r="J48" t="s">
        <v>661</v>
      </c>
      <c r="U48" t="s">
        <v>1256</v>
      </c>
      <c r="BK48" s="4"/>
    </row>
    <row r="49" spans="1:63" ht="15" customHeight="1">
      <c r="A49" s="1"/>
      <c r="B49" t="s">
        <v>1140</v>
      </c>
      <c r="J49" t="s">
        <v>664</v>
      </c>
      <c r="U49" t="s">
        <v>1255</v>
      </c>
      <c r="BK49" s="4"/>
    </row>
    <row r="50" spans="1:63" ht="15" customHeight="1">
      <c r="A50" s="1"/>
      <c r="B50" t="s">
        <v>804</v>
      </c>
      <c r="J50" t="s">
        <v>957</v>
      </c>
      <c r="U50" t="s">
        <v>521</v>
      </c>
      <c r="BK50" s="4"/>
    </row>
    <row r="51" spans="1:63" ht="15" customHeight="1">
      <c r="A51" s="1"/>
      <c r="B51" t="s">
        <v>1142</v>
      </c>
      <c r="J51" t="s">
        <v>666</v>
      </c>
      <c r="U51" t="s">
        <v>1257</v>
      </c>
      <c r="BK51" s="4"/>
    </row>
    <row r="52" spans="1:63" ht="15" customHeight="1">
      <c r="A52" s="1"/>
      <c r="B52" t="s">
        <v>1141</v>
      </c>
      <c r="J52" t="s">
        <v>665</v>
      </c>
      <c r="U52" t="s">
        <v>1255</v>
      </c>
      <c r="BK52" s="4"/>
    </row>
    <row r="53" spans="1:63" ht="15" customHeight="1">
      <c r="A53" s="1"/>
      <c r="B53" t="s">
        <v>299</v>
      </c>
      <c r="J53" t="s">
        <v>393</v>
      </c>
      <c r="U53" t="s">
        <v>1254</v>
      </c>
      <c r="BK53" s="4"/>
    </row>
    <row r="54" spans="1:63" ht="15" customHeight="1">
      <c r="A54" s="1"/>
      <c r="B54" t="s">
        <v>1143</v>
      </c>
      <c r="J54" t="s">
        <v>667</v>
      </c>
      <c r="U54" t="s">
        <v>521</v>
      </c>
      <c r="BK54" s="4"/>
    </row>
    <row r="55" spans="1:63" ht="15" customHeight="1">
      <c r="A55" s="2"/>
      <c r="B55" s="3" t="s">
        <v>805</v>
      </c>
      <c r="C55" s="3"/>
      <c r="D55" s="3"/>
      <c r="E55" s="3"/>
      <c r="F55" s="3"/>
      <c r="G55" s="3"/>
      <c r="H55" s="3"/>
      <c r="I55" s="3"/>
      <c r="J55" s="3" t="s">
        <v>958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 t="s">
        <v>221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  <row r="56" spans="1:63" ht="15" customHeight="1">
      <c r="B56" s="85" t="s">
        <v>805</v>
      </c>
      <c r="C56" s="85"/>
      <c r="D56" s="85"/>
      <c r="E56" s="85"/>
      <c r="F56" s="85"/>
      <c r="G56" s="85"/>
      <c r="H56" s="85"/>
      <c r="I56" s="85"/>
      <c r="J56" s="85" t="s">
        <v>958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 t="s">
        <v>221</v>
      </c>
      <c r="V56" s="85"/>
      <c r="W56" s="85"/>
      <c r="X56" s="85"/>
      <c r="Y56" s="85"/>
    </row>
    <row r="57" spans="1:63" ht="15" customHeight="1">
      <c r="B57" t="s">
        <v>300</v>
      </c>
      <c r="J57" t="s">
        <v>394</v>
      </c>
      <c r="U57" t="s">
        <v>1254</v>
      </c>
    </row>
    <row r="58" spans="1:63" ht="15" customHeight="1">
      <c r="B58" t="s">
        <v>1147</v>
      </c>
      <c r="J58" t="s">
        <v>674</v>
      </c>
      <c r="U58" t="s">
        <v>521</v>
      </c>
    </row>
    <row r="59" spans="1:63" ht="15" customHeight="1">
      <c r="B59" t="s">
        <v>628</v>
      </c>
      <c r="J59" t="s">
        <v>674</v>
      </c>
      <c r="U59" t="s">
        <v>521</v>
      </c>
    </row>
    <row r="60" spans="1:63" ht="15" customHeight="1">
      <c r="B60" t="s">
        <v>813</v>
      </c>
      <c r="J60" t="s">
        <v>674</v>
      </c>
      <c r="U60" t="s">
        <v>521</v>
      </c>
    </row>
    <row r="61" spans="1:63" ht="15" customHeight="1">
      <c r="B61" t="s">
        <v>345</v>
      </c>
      <c r="J61" t="s">
        <v>439</v>
      </c>
      <c r="U61" t="s">
        <v>221</v>
      </c>
    </row>
    <row r="62" spans="1:63" ht="15" customHeight="1">
      <c r="B62" t="s">
        <v>293</v>
      </c>
      <c r="J62" t="s">
        <v>387</v>
      </c>
      <c r="U62" t="s">
        <v>493</v>
      </c>
    </row>
    <row r="63" spans="1:63" ht="15" customHeight="1">
      <c r="B63" t="s">
        <v>802</v>
      </c>
      <c r="J63" t="s">
        <v>664</v>
      </c>
      <c r="U63" t="s">
        <v>1255</v>
      </c>
    </row>
    <row r="64" spans="1:63" ht="15" customHeight="1">
      <c r="B64" t="s">
        <v>806</v>
      </c>
      <c r="J64" t="s">
        <v>959</v>
      </c>
      <c r="U64" t="s">
        <v>1255</v>
      </c>
    </row>
    <row r="65" spans="2:21" ht="15" customHeight="1">
      <c r="B65" t="s">
        <v>803</v>
      </c>
      <c r="J65" t="s">
        <v>665</v>
      </c>
      <c r="U65" t="s">
        <v>1255</v>
      </c>
    </row>
    <row r="66" spans="2:21" ht="15" customHeight="1">
      <c r="B66" t="s">
        <v>294</v>
      </c>
      <c r="J66" t="s">
        <v>388</v>
      </c>
      <c r="U66" t="s">
        <v>221</v>
      </c>
    </row>
    <row r="67" spans="2:21" ht="15" customHeight="1">
      <c r="B67" t="s">
        <v>808</v>
      </c>
      <c r="J67" t="s">
        <v>668</v>
      </c>
      <c r="U67" t="s">
        <v>521</v>
      </c>
    </row>
    <row r="68" spans="2:21" ht="15" customHeight="1">
      <c r="B68" t="s">
        <v>807</v>
      </c>
      <c r="J68" t="s">
        <v>667</v>
      </c>
      <c r="U68" t="s">
        <v>521</v>
      </c>
    </row>
    <row r="69" spans="2:21" ht="15" customHeight="1">
      <c r="B69" t="s">
        <v>303</v>
      </c>
      <c r="J69" t="s">
        <v>397</v>
      </c>
      <c r="U69" t="s">
        <v>1254</v>
      </c>
    </row>
    <row r="70" spans="2:21" ht="15" customHeight="1">
      <c r="B70" t="s">
        <v>301</v>
      </c>
      <c r="J70" t="s">
        <v>395</v>
      </c>
      <c r="U70" t="s">
        <v>1254</v>
      </c>
    </row>
    <row r="71" spans="2:21" ht="15" customHeight="1">
      <c r="B71" t="s">
        <v>899</v>
      </c>
      <c r="J71" t="s">
        <v>1040</v>
      </c>
      <c r="U71" t="s">
        <v>1255</v>
      </c>
    </row>
    <row r="72" spans="2:21" ht="15" customHeight="1">
      <c r="B72" t="s">
        <v>923</v>
      </c>
      <c r="J72" t="s">
        <v>1064</v>
      </c>
      <c r="U72" t="s">
        <v>221</v>
      </c>
    </row>
    <row r="73" spans="2:21" ht="15" customHeight="1">
      <c r="B73" t="s">
        <v>927</v>
      </c>
      <c r="J73" t="s">
        <v>1068</v>
      </c>
      <c r="U73" t="s">
        <v>221</v>
      </c>
    </row>
    <row r="74" spans="2:21" ht="15" customHeight="1">
      <c r="B74" t="s">
        <v>922</v>
      </c>
      <c r="J74" t="s">
        <v>1063</v>
      </c>
      <c r="U74" t="s">
        <v>493</v>
      </c>
    </row>
    <row r="75" spans="2:21" ht="15" customHeight="1">
      <c r="B75" t="s">
        <v>926</v>
      </c>
      <c r="J75" t="s">
        <v>1067</v>
      </c>
      <c r="U75" t="s">
        <v>493</v>
      </c>
    </row>
    <row r="76" spans="2:21" ht="15" customHeight="1">
      <c r="B76" t="s">
        <v>642</v>
      </c>
      <c r="J76" t="s">
        <v>687</v>
      </c>
      <c r="U76" t="s">
        <v>493</v>
      </c>
    </row>
    <row r="77" spans="2:21" ht="15" customHeight="1">
      <c r="B77" t="s">
        <v>901</v>
      </c>
      <c r="J77" t="s">
        <v>1042</v>
      </c>
      <c r="U77" t="s">
        <v>493</v>
      </c>
    </row>
    <row r="78" spans="2:21" ht="15" customHeight="1">
      <c r="B78" t="s">
        <v>921</v>
      </c>
      <c r="J78" t="s">
        <v>1062</v>
      </c>
      <c r="U78" t="s">
        <v>493</v>
      </c>
    </row>
    <row r="79" spans="2:21" ht="15" customHeight="1">
      <c r="B79" t="s">
        <v>925</v>
      </c>
      <c r="J79" t="s">
        <v>1066</v>
      </c>
      <c r="U79" t="s">
        <v>493</v>
      </c>
    </row>
    <row r="80" spans="2:21" ht="15" customHeight="1">
      <c r="B80" t="s">
        <v>641</v>
      </c>
      <c r="J80" t="s">
        <v>686</v>
      </c>
      <c r="U80" t="s">
        <v>521</v>
      </c>
    </row>
    <row r="81" spans="2:21" ht="15" customHeight="1">
      <c r="B81" t="s">
        <v>900</v>
      </c>
      <c r="J81" t="s">
        <v>1041</v>
      </c>
      <c r="U81" t="s">
        <v>521</v>
      </c>
    </row>
    <row r="82" spans="2:21" ht="15" customHeight="1">
      <c r="B82" t="s">
        <v>936</v>
      </c>
      <c r="J82" t="s">
        <v>1077</v>
      </c>
      <c r="U82" t="s">
        <v>521</v>
      </c>
    </row>
    <row r="83" spans="2:21" ht="15" customHeight="1">
      <c r="B83" t="s">
        <v>924</v>
      </c>
      <c r="J83" t="s">
        <v>1065</v>
      </c>
      <c r="U83" t="s">
        <v>521</v>
      </c>
    </row>
    <row r="84" spans="2:21" ht="15" customHeight="1">
      <c r="B84" t="s">
        <v>904</v>
      </c>
      <c r="J84" t="s">
        <v>1045</v>
      </c>
      <c r="U84" t="s">
        <v>521</v>
      </c>
    </row>
    <row r="85" spans="2:21" ht="15" customHeight="1">
      <c r="B85" t="s">
        <v>908</v>
      </c>
      <c r="J85" t="s">
        <v>1049</v>
      </c>
      <c r="U85" t="s">
        <v>521</v>
      </c>
    </row>
    <row r="86" spans="2:21" ht="15" customHeight="1">
      <c r="B86" t="s">
        <v>912</v>
      </c>
      <c r="J86" t="s">
        <v>1053</v>
      </c>
      <c r="U86" t="s">
        <v>521</v>
      </c>
    </row>
    <row r="87" spans="2:21" ht="15" customHeight="1">
      <c r="B87" t="s">
        <v>916</v>
      </c>
      <c r="J87" t="s">
        <v>1057</v>
      </c>
      <c r="U87" t="s">
        <v>521</v>
      </c>
    </row>
    <row r="88" spans="2:21" ht="15" customHeight="1">
      <c r="B88" t="s">
        <v>920</v>
      </c>
      <c r="J88" t="s">
        <v>1061</v>
      </c>
      <c r="U88" t="s">
        <v>521</v>
      </c>
    </row>
    <row r="89" spans="2:21" ht="15" customHeight="1">
      <c r="B89" t="s">
        <v>928</v>
      </c>
      <c r="J89" t="s">
        <v>1069</v>
      </c>
      <c r="U89" t="s">
        <v>521</v>
      </c>
    </row>
    <row r="90" spans="2:21" ht="15" customHeight="1">
      <c r="B90" t="s">
        <v>903</v>
      </c>
      <c r="J90" t="s">
        <v>1044</v>
      </c>
      <c r="U90" t="s">
        <v>221</v>
      </c>
    </row>
    <row r="91" spans="2:21" ht="15" customHeight="1">
      <c r="B91" t="s">
        <v>907</v>
      </c>
      <c r="J91" t="s">
        <v>1048</v>
      </c>
      <c r="U91" t="s">
        <v>221</v>
      </c>
    </row>
    <row r="92" spans="2:21" ht="15" customHeight="1">
      <c r="B92" t="s">
        <v>911</v>
      </c>
      <c r="J92" t="s">
        <v>1052</v>
      </c>
      <c r="U92" t="s">
        <v>221</v>
      </c>
    </row>
    <row r="93" spans="2:21" ht="15" customHeight="1">
      <c r="B93" t="s">
        <v>915</v>
      </c>
      <c r="J93" t="s">
        <v>1056</v>
      </c>
      <c r="U93" t="s">
        <v>221</v>
      </c>
    </row>
    <row r="94" spans="2:21" ht="15" customHeight="1">
      <c r="B94" t="s">
        <v>919</v>
      </c>
      <c r="J94" t="s">
        <v>1060</v>
      </c>
      <c r="U94" t="s">
        <v>221</v>
      </c>
    </row>
    <row r="95" spans="2:21" ht="15" customHeight="1">
      <c r="B95" t="s">
        <v>902</v>
      </c>
      <c r="J95" t="s">
        <v>1043</v>
      </c>
      <c r="U95" t="s">
        <v>493</v>
      </c>
    </row>
    <row r="96" spans="2:21" ht="15" customHeight="1">
      <c r="B96" t="s">
        <v>906</v>
      </c>
      <c r="J96" t="s">
        <v>1047</v>
      </c>
      <c r="U96" t="s">
        <v>493</v>
      </c>
    </row>
    <row r="97" spans="2:21" ht="15" customHeight="1">
      <c r="B97" t="s">
        <v>910</v>
      </c>
      <c r="J97" t="s">
        <v>1051</v>
      </c>
      <c r="U97" t="s">
        <v>493</v>
      </c>
    </row>
    <row r="98" spans="2:21" ht="15" customHeight="1">
      <c r="B98" t="s">
        <v>914</v>
      </c>
      <c r="J98" t="s">
        <v>1055</v>
      </c>
      <c r="U98" t="s">
        <v>493</v>
      </c>
    </row>
    <row r="99" spans="2:21" ht="15" customHeight="1">
      <c r="B99" t="s">
        <v>918</v>
      </c>
      <c r="J99" t="s">
        <v>1059</v>
      </c>
      <c r="U99" t="s">
        <v>493</v>
      </c>
    </row>
    <row r="100" spans="2:21" ht="15" customHeight="1">
      <c r="B100" t="s">
        <v>930</v>
      </c>
      <c r="J100" t="s">
        <v>1071</v>
      </c>
      <c r="U100" t="s">
        <v>493</v>
      </c>
    </row>
    <row r="101" spans="2:21" ht="15" customHeight="1">
      <c r="B101" t="s">
        <v>905</v>
      </c>
      <c r="J101" t="s">
        <v>1046</v>
      </c>
      <c r="U101" t="s">
        <v>493</v>
      </c>
    </row>
    <row r="102" spans="2:21" ht="15" customHeight="1">
      <c r="B102" t="s">
        <v>909</v>
      </c>
      <c r="J102" t="s">
        <v>1050</v>
      </c>
      <c r="U102" t="s">
        <v>493</v>
      </c>
    </row>
    <row r="103" spans="2:21" ht="15" customHeight="1">
      <c r="B103" t="s">
        <v>913</v>
      </c>
      <c r="J103" t="s">
        <v>1054</v>
      </c>
      <c r="U103" t="s">
        <v>493</v>
      </c>
    </row>
    <row r="104" spans="2:21" ht="15" customHeight="1">
      <c r="B104" t="s">
        <v>917</v>
      </c>
      <c r="J104" t="s">
        <v>1058</v>
      </c>
      <c r="U104" t="s">
        <v>493</v>
      </c>
    </row>
    <row r="105" spans="2:21" ht="15" customHeight="1">
      <c r="B105" t="s">
        <v>929</v>
      </c>
      <c r="J105" t="s">
        <v>1070</v>
      </c>
      <c r="U105" t="s">
        <v>493</v>
      </c>
    </row>
    <row r="106" spans="2:21" ht="15" customHeight="1">
      <c r="B106" t="s">
        <v>325</v>
      </c>
      <c r="J106" t="s">
        <v>419</v>
      </c>
      <c r="U106" t="s">
        <v>493</v>
      </c>
    </row>
    <row r="107" spans="2:21" ht="15" customHeight="1">
      <c r="B107" t="s">
        <v>324</v>
      </c>
      <c r="J107" t="s">
        <v>418</v>
      </c>
      <c r="U107" t="s">
        <v>521</v>
      </c>
    </row>
    <row r="108" spans="2:21" ht="15" customHeight="1">
      <c r="B108" t="s">
        <v>323</v>
      </c>
      <c r="J108" t="s">
        <v>417</v>
      </c>
      <c r="U108" t="s">
        <v>521</v>
      </c>
    </row>
    <row r="109" spans="2:21" ht="15" customHeight="1">
      <c r="B109" t="s">
        <v>624</v>
      </c>
      <c r="J109" t="s">
        <v>670</v>
      </c>
      <c r="U109" t="s">
        <v>521</v>
      </c>
    </row>
    <row r="110" spans="2:21" ht="15" customHeight="1">
      <c r="B110" t="s">
        <v>809</v>
      </c>
      <c r="J110" t="s">
        <v>670</v>
      </c>
      <c r="U110" t="s">
        <v>521</v>
      </c>
    </row>
    <row r="111" spans="2:21" ht="15" customHeight="1">
      <c r="B111" t="s">
        <v>624</v>
      </c>
      <c r="J111" t="s">
        <v>670</v>
      </c>
      <c r="U111" t="s">
        <v>521</v>
      </c>
    </row>
    <row r="112" spans="2:21" ht="15" customHeight="1">
      <c r="B112" t="s">
        <v>1146</v>
      </c>
      <c r="J112" t="s">
        <v>673</v>
      </c>
      <c r="U112" t="s">
        <v>521</v>
      </c>
    </row>
    <row r="113" spans="2:21" ht="15" customHeight="1">
      <c r="B113" t="s">
        <v>269</v>
      </c>
      <c r="J113" t="s">
        <v>363</v>
      </c>
      <c r="U113" t="s">
        <v>221</v>
      </c>
    </row>
    <row r="114" spans="2:21" ht="15" customHeight="1">
      <c r="B114" t="s">
        <v>328</v>
      </c>
      <c r="J114" t="s">
        <v>422</v>
      </c>
      <c r="U114" t="s">
        <v>221</v>
      </c>
    </row>
    <row r="115" spans="2:21" ht="15" customHeight="1">
      <c r="B115" t="s">
        <v>634</v>
      </c>
      <c r="J115" t="s">
        <v>680</v>
      </c>
      <c r="U115" t="s">
        <v>493</v>
      </c>
    </row>
    <row r="116" spans="2:21" ht="15" customHeight="1">
      <c r="B116" t="s">
        <v>947</v>
      </c>
      <c r="J116" t="s">
        <v>680</v>
      </c>
      <c r="U116" t="s">
        <v>493</v>
      </c>
    </row>
    <row r="117" spans="2:21" ht="15" customHeight="1">
      <c r="B117" t="s">
        <v>285</v>
      </c>
      <c r="J117" t="s">
        <v>379</v>
      </c>
      <c r="U117" t="s">
        <v>221</v>
      </c>
    </row>
    <row r="118" spans="2:21" ht="15" customHeight="1">
      <c r="B118" t="s">
        <v>281</v>
      </c>
      <c r="J118" t="s">
        <v>375</v>
      </c>
      <c r="U118" t="s">
        <v>521</v>
      </c>
    </row>
    <row r="119" spans="2:21" ht="15" customHeight="1">
      <c r="B119" t="s">
        <v>339</v>
      </c>
      <c r="J119" t="s">
        <v>433</v>
      </c>
      <c r="U119" t="s">
        <v>221</v>
      </c>
    </row>
    <row r="120" spans="2:21" ht="15" customHeight="1">
      <c r="B120" t="s">
        <v>341</v>
      </c>
      <c r="J120" t="s">
        <v>435</v>
      </c>
      <c r="U120" t="s">
        <v>1255</v>
      </c>
    </row>
    <row r="121" spans="2:21" ht="15" customHeight="1">
      <c r="B121" t="s">
        <v>272</v>
      </c>
      <c r="J121" t="s">
        <v>366</v>
      </c>
      <c r="U121" t="s">
        <v>493</v>
      </c>
    </row>
    <row r="122" spans="2:21" ht="15" customHeight="1">
      <c r="B122" t="s">
        <v>284</v>
      </c>
      <c r="J122" t="s">
        <v>378</v>
      </c>
      <c r="U122" t="s">
        <v>221</v>
      </c>
    </row>
    <row r="123" spans="2:21" ht="15" customHeight="1">
      <c r="B123" t="s">
        <v>351</v>
      </c>
      <c r="J123" t="s">
        <v>445</v>
      </c>
      <c r="U123" t="s">
        <v>1255</v>
      </c>
    </row>
    <row r="124" spans="2:21" ht="15" customHeight="1">
      <c r="B124" t="s">
        <v>658</v>
      </c>
      <c r="J124" t="s">
        <v>445</v>
      </c>
      <c r="U124" t="s">
        <v>1255</v>
      </c>
    </row>
    <row r="125" spans="2:21" ht="15" customHeight="1">
      <c r="B125" t="s">
        <v>351</v>
      </c>
      <c r="J125" t="s">
        <v>445</v>
      </c>
      <c r="U125" t="s">
        <v>1255</v>
      </c>
    </row>
    <row r="126" spans="2:21" ht="15" customHeight="1">
      <c r="B126" t="s">
        <v>1150</v>
      </c>
      <c r="J126" t="s">
        <v>445</v>
      </c>
      <c r="U126" t="s">
        <v>1255</v>
      </c>
    </row>
    <row r="127" spans="2:21" ht="15" customHeight="1">
      <c r="B127" t="s">
        <v>645</v>
      </c>
      <c r="J127" t="s">
        <v>691</v>
      </c>
      <c r="U127" t="s">
        <v>1252</v>
      </c>
    </row>
    <row r="128" spans="2:21" ht="15" customHeight="1">
      <c r="B128" t="s">
        <v>653</v>
      </c>
      <c r="J128" t="s">
        <v>699</v>
      </c>
      <c r="U128" t="s">
        <v>521</v>
      </c>
    </row>
    <row r="129" spans="2:21" ht="15" customHeight="1">
      <c r="B129" t="s">
        <v>653</v>
      </c>
      <c r="J129" t="s">
        <v>699</v>
      </c>
      <c r="U129" t="s">
        <v>521</v>
      </c>
    </row>
    <row r="130" spans="2:21" ht="15" customHeight="1">
      <c r="B130" t="s">
        <v>338</v>
      </c>
      <c r="J130" t="s">
        <v>432</v>
      </c>
      <c r="U130" t="s">
        <v>221</v>
      </c>
    </row>
    <row r="131" spans="2:21" ht="15" customHeight="1">
      <c r="B131" t="s">
        <v>858</v>
      </c>
      <c r="J131" t="s">
        <v>1000</v>
      </c>
      <c r="U131" t="s">
        <v>1255</v>
      </c>
    </row>
    <row r="132" spans="2:21" ht="15" customHeight="1">
      <c r="B132" t="s">
        <v>862</v>
      </c>
      <c r="J132" t="s">
        <v>1004</v>
      </c>
      <c r="U132" t="s">
        <v>221</v>
      </c>
    </row>
    <row r="133" spans="2:21" ht="15" customHeight="1">
      <c r="B133" t="s">
        <v>866</v>
      </c>
      <c r="J133" t="s">
        <v>1008</v>
      </c>
      <c r="U133" t="s">
        <v>221</v>
      </c>
    </row>
    <row r="134" spans="2:21" ht="15" customHeight="1">
      <c r="B134" t="s">
        <v>870</v>
      </c>
      <c r="J134" t="s">
        <v>1012</v>
      </c>
      <c r="U134" t="s">
        <v>221</v>
      </c>
    </row>
    <row r="135" spans="2:21" ht="15" customHeight="1">
      <c r="B135" t="s">
        <v>874</v>
      </c>
      <c r="J135" t="s">
        <v>1016</v>
      </c>
      <c r="U135" t="s">
        <v>221</v>
      </c>
    </row>
    <row r="136" spans="2:21" ht="15" customHeight="1">
      <c r="B136" t="s">
        <v>878</v>
      </c>
      <c r="J136" t="s">
        <v>1020</v>
      </c>
      <c r="U136" t="s">
        <v>221</v>
      </c>
    </row>
    <row r="137" spans="2:21" ht="15" customHeight="1">
      <c r="B137" t="s">
        <v>882</v>
      </c>
      <c r="J137" t="s">
        <v>1024</v>
      </c>
      <c r="U137" t="s">
        <v>221</v>
      </c>
    </row>
    <row r="138" spans="2:21" ht="15" customHeight="1">
      <c r="B138" t="s">
        <v>886</v>
      </c>
      <c r="J138" t="s">
        <v>1028</v>
      </c>
      <c r="U138" t="s">
        <v>221</v>
      </c>
    </row>
    <row r="139" spans="2:21" ht="15" customHeight="1">
      <c r="B139" t="s">
        <v>890</v>
      </c>
      <c r="J139" t="s">
        <v>1032</v>
      </c>
      <c r="U139" t="s">
        <v>221</v>
      </c>
    </row>
    <row r="140" spans="2:21" ht="15" customHeight="1">
      <c r="B140" t="s">
        <v>861</v>
      </c>
      <c r="J140" t="s">
        <v>1003</v>
      </c>
      <c r="U140" t="s">
        <v>493</v>
      </c>
    </row>
    <row r="141" spans="2:21" ht="15" customHeight="1">
      <c r="B141" t="s">
        <v>865</v>
      </c>
      <c r="J141" t="s">
        <v>1007</v>
      </c>
      <c r="U141" t="s">
        <v>493</v>
      </c>
    </row>
    <row r="142" spans="2:21" ht="15" customHeight="1">
      <c r="B142" t="s">
        <v>869</v>
      </c>
      <c r="J142" t="s">
        <v>1011</v>
      </c>
      <c r="U142" t="s">
        <v>493</v>
      </c>
    </row>
    <row r="143" spans="2:21" ht="15" customHeight="1">
      <c r="B143" t="s">
        <v>873</v>
      </c>
      <c r="J143" t="s">
        <v>1015</v>
      </c>
      <c r="U143" t="s">
        <v>493</v>
      </c>
    </row>
    <row r="144" spans="2:21" ht="15" customHeight="1">
      <c r="B144" t="s">
        <v>877</v>
      </c>
      <c r="J144" t="s">
        <v>1019</v>
      </c>
      <c r="U144" t="s">
        <v>493</v>
      </c>
    </row>
    <row r="145" spans="2:21" ht="15" customHeight="1">
      <c r="B145" t="s">
        <v>881</v>
      </c>
      <c r="J145" t="s">
        <v>1023</v>
      </c>
      <c r="U145" t="s">
        <v>493</v>
      </c>
    </row>
    <row r="146" spans="2:21" ht="15" customHeight="1">
      <c r="B146" t="s">
        <v>885</v>
      </c>
      <c r="J146" t="s">
        <v>1027</v>
      </c>
      <c r="U146" t="s">
        <v>493</v>
      </c>
    </row>
    <row r="147" spans="2:21" ht="15" customHeight="1">
      <c r="B147" t="s">
        <v>889</v>
      </c>
      <c r="J147" t="s">
        <v>1031</v>
      </c>
      <c r="U147" t="s">
        <v>493</v>
      </c>
    </row>
    <row r="148" spans="2:21" ht="15" customHeight="1">
      <c r="B148" t="s">
        <v>637</v>
      </c>
      <c r="J148" t="s">
        <v>683</v>
      </c>
      <c r="U148" t="s">
        <v>1255</v>
      </c>
    </row>
    <row r="149" spans="2:21" ht="15" customHeight="1">
      <c r="B149" t="s">
        <v>639</v>
      </c>
      <c r="J149" t="s">
        <v>725</v>
      </c>
      <c r="U149" t="s">
        <v>493</v>
      </c>
    </row>
    <row r="150" spans="2:21" ht="15" customHeight="1">
      <c r="B150" t="s">
        <v>860</v>
      </c>
      <c r="J150" t="s">
        <v>1002</v>
      </c>
      <c r="U150" t="s">
        <v>493</v>
      </c>
    </row>
    <row r="151" spans="2:21" ht="15" customHeight="1">
      <c r="B151" t="s">
        <v>864</v>
      </c>
      <c r="J151" t="s">
        <v>1006</v>
      </c>
      <c r="U151" t="s">
        <v>493</v>
      </c>
    </row>
    <row r="152" spans="2:21" ht="15" customHeight="1">
      <c r="B152" t="s">
        <v>868</v>
      </c>
      <c r="J152" t="s">
        <v>1010</v>
      </c>
      <c r="U152" t="s">
        <v>493</v>
      </c>
    </row>
    <row r="153" spans="2:21" ht="15" customHeight="1">
      <c r="B153" t="s">
        <v>872</v>
      </c>
      <c r="J153" t="s">
        <v>1014</v>
      </c>
      <c r="U153" t="s">
        <v>493</v>
      </c>
    </row>
    <row r="154" spans="2:21" ht="15" customHeight="1">
      <c r="B154" t="s">
        <v>876</v>
      </c>
      <c r="J154" t="s">
        <v>1018</v>
      </c>
      <c r="U154" t="s">
        <v>493</v>
      </c>
    </row>
    <row r="155" spans="2:21" ht="15" customHeight="1">
      <c r="B155" t="s">
        <v>880</v>
      </c>
      <c r="J155" t="s">
        <v>1022</v>
      </c>
      <c r="U155" t="s">
        <v>493</v>
      </c>
    </row>
    <row r="156" spans="2:21" ht="15" customHeight="1">
      <c r="B156" t="s">
        <v>884</v>
      </c>
      <c r="J156" t="s">
        <v>1026</v>
      </c>
      <c r="U156" t="s">
        <v>493</v>
      </c>
    </row>
    <row r="157" spans="2:21" ht="15" customHeight="1">
      <c r="B157" t="s">
        <v>888</v>
      </c>
      <c r="J157" t="s">
        <v>1030</v>
      </c>
      <c r="U157" t="s">
        <v>493</v>
      </c>
    </row>
    <row r="158" spans="2:21" ht="15" customHeight="1">
      <c r="B158" t="s">
        <v>892</v>
      </c>
      <c r="J158" t="s">
        <v>1034</v>
      </c>
      <c r="U158" t="s">
        <v>493</v>
      </c>
    </row>
    <row r="159" spans="2:21" ht="15" customHeight="1">
      <c r="B159" t="s">
        <v>638</v>
      </c>
      <c r="J159" t="s">
        <v>684</v>
      </c>
      <c r="U159" t="s">
        <v>521</v>
      </c>
    </row>
    <row r="160" spans="2:21" ht="15" customHeight="1">
      <c r="B160" t="s">
        <v>859</v>
      </c>
      <c r="J160" t="s">
        <v>1001</v>
      </c>
      <c r="U160" t="s">
        <v>521</v>
      </c>
    </row>
    <row r="161" spans="2:21" ht="15" customHeight="1">
      <c r="B161" t="s">
        <v>863</v>
      </c>
      <c r="J161" t="s">
        <v>1005</v>
      </c>
      <c r="U161" t="s">
        <v>521</v>
      </c>
    </row>
    <row r="162" spans="2:21" ht="15" customHeight="1">
      <c r="B162" t="s">
        <v>867</v>
      </c>
      <c r="J162" t="s">
        <v>1009</v>
      </c>
      <c r="U162" t="s">
        <v>521</v>
      </c>
    </row>
    <row r="163" spans="2:21" ht="15" customHeight="1">
      <c r="B163" t="s">
        <v>871</v>
      </c>
      <c r="J163" t="s">
        <v>1013</v>
      </c>
      <c r="U163" t="s">
        <v>521</v>
      </c>
    </row>
    <row r="164" spans="2:21" ht="15" customHeight="1">
      <c r="B164" t="s">
        <v>875</v>
      </c>
      <c r="J164" t="s">
        <v>1017</v>
      </c>
      <c r="U164" t="s">
        <v>521</v>
      </c>
    </row>
    <row r="165" spans="2:21" ht="15" customHeight="1">
      <c r="B165" t="s">
        <v>879</v>
      </c>
      <c r="J165" t="s">
        <v>1021</v>
      </c>
      <c r="U165" t="s">
        <v>521</v>
      </c>
    </row>
    <row r="166" spans="2:21" ht="15" customHeight="1">
      <c r="B166" t="s">
        <v>883</v>
      </c>
      <c r="J166" t="s">
        <v>1025</v>
      </c>
      <c r="U166" t="s">
        <v>521</v>
      </c>
    </row>
    <row r="167" spans="2:21" ht="15" customHeight="1">
      <c r="B167" t="s">
        <v>887</v>
      </c>
      <c r="J167" t="s">
        <v>1029</v>
      </c>
      <c r="U167" t="s">
        <v>521</v>
      </c>
    </row>
    <row r="168" spans="2:21" ht="15" customHeight="1">
      <c r="B168" t="s">
        <v>891</v>
      </c>
      <c r="J168" t="s">
        <v>1033</v>
      </c>
      <c r="U168" t="s">
        <v>521</v>
      </c>
    </row>
    <row r="169" spans="2:21" ht="15" customHeight="1">
      <c r="B169" t="s">
        <v>332</v>
      </c>
      <c r="J169" t="s">
        <v>426</v>
      </c>
      <c r="U169" t="s">
        <v>521</v>
      </c>
    </row>
    <row r="170" spans="2:21" ht="15" customHeight="1">
      <c r="B170" t="s">
        <v>353</v>
      </c>
      <c r="J170" t="s">
        <v>447</v>
      </c>
      <c r="U170" t="s">
        <v>1255</v>
      </c>
    </row>
    <row r="171" spans="2:21" ht="15" customHeight="1">
      <c r="B171" t="s">
        <v>659</v>
      </c>
      <c r="J171" t="s">
        <v>447</v>
      </c>
      <c r="U171" t="s">
        <v>1255</v>
      </c>
    </row>
    <row r="172" spans="2:21" ht="15" customHeight="1">
      <c r="B172" t="s">
        <v>953</v>
      </c>
      <c r="J172" t="s">
        <v>447</v>
      </c>
      <c r="U172" t="s">
        <v>1255</v>
      </c>
    </row>
    <row r="173" spans="2:21" ht="15" customHeight="1">
      <c r="B173" t="s">
        <v>1151</v>
      </c>
      <c r="J173" t="s">
        <v>447</v>
      </c>
      <c r="U173" t="s">
        <v>1255</v>
      </c>
    </row>
    <row r="174" spans="2:21" ht="15" customHeight="1">
      <c r="B174" t="s">
        <v>336</v>
      </c>
      <c r="J174" t="s">
        <v>430</v>
      </c>
      <c r="U174" t="s">
        <v>521</v>
      </c>
    </row>
    <row r="175" spans="2:21" ht="15" customHeight="1">
      <c r="B175" t="s">
        <v>268</v>
      </c>
      <c r="J175" t="s">
        <v>362</v>
      </c>
      <c r="U175" t="s">
        <v>221</v>
      </c>
    </row>
    <row r="176" spans="2:21" ht="15" customHeight="1">
      <c r="B176" t="s">
        <v>287</v>
      </c>
      <c r="J176" t="s">
        <v>381</v>
      </c>
      <c r="U176" t="s">
        <v>521</v>
      </c>
    </row>
    <row r="177" spans="2:21" ht="15" customHeight="1">
      <c r="B177" t="s">
        <v>307</v>
      </c>
      <c r="J177" t="s">
        <v>401</v>
      </c>
      <c r="U177" t="s">
        <v>1254</v>
      </c>
    </row>
    <row r="178" spans="2:21" ht="15" customHeight="1">
      <c r="B178" t="s">
        <v>308</v>
      </c>
      <c r="J178" t="s">
        <v>402</v>
      </c>
      <c r="U178" t="s">
        <v>1254</v>
      </c>
    </row>
    <row r="179" spans="2:21" ht="15" customHeight="1">
      <c r="B179" t="s">
        <v>644</v>
      </c>
      <c r="J179" t="s">
        <v>688</v>
      </c>
      <c r="U179" t="s">
        <v>221</v>
      </c>
    </row>
    <row r="180" spans="2:21" ht="15" customHeight="1">
      <c r="B180" t="s">
        <v>940</v>
      </c>
      <c r="J180" t="s">
        <v>361</v>
      </c>
      <c r="U180" t="s">
        <v>221</v>
      </c>
    </row>
    <row r="181" spans="2:21" ht="15" customHeight="1">
      <c r="B181" t="s">
        <v>320</v>
      </c>
      <c r="J181" t="s">
        <v>414</v>
      </c>
      <c r="U181" t="s">
        <v>521</v>
      </c>
    </row>
    <row r="182" spans="2:21" ht="15" customHeight="1">
      <c r="B182" t="s">
        <v>262</v>
      </c>
      <c r="J182" t="s">
        <v>356</v>
      </c>
      <c r="U182" t="s">
        <v>1251</v>
      </c>
    </row>
    <row r="183" spans="2:21" ht="15" customHeight="1">
      <c r="B183" t="s">
        <v>348</v>
      </c>
      <c r="J183" t="s">
        <v>442</v>
      </c>
      <c r="U183" t="s">
        <v>1251</v>
      </c>
    </row>
    <row r="184" spans="2:21" ht="15" customHeight="1">
      <c r="B184" t="s">
        <v>262</v>
      </c>
      <c r="J184" t="s">
        <v>663</v>
      </c>
      <c r="U184" t="s">
        <v>1251</v>
      </c>
    </row>
    <row r="185" spans="2:21" ht="15" customHeight="1">
      <c r="B185" t="s">
        <v>348</v>
      </c>
      <c r="J185" t="s">
        <v>663</v>
      </c>
      <c r="U185" t="s">
        <v>1251</v>
      </c>
    </row>
    <row r="186" spans="2:21" ht="15" customHeight="1">
      <c r="B186" t="s">
        <v>347</v>
      </c>
      <c r="J186" t="s">
        <v>441</v>
      </c>
      <c r="U186" t="s">
        <v>521</v>
      </c>
    </row>
    <row r="187" spans="2:21" ht="15" customHeight="1">
      <c r="B187" t="s">
        <v>278</v>
      </c>
      <c r="J187" t="s">
        <v>372</v>
      </c>
      <c r="U187" t="s">
        <v>521</v>
      </c>
    </row>
    <row r="188" spans="2:21" ht="15" customHeight="1">
      <c r="B188" t="s">
        <v>286</v>
      </c>
      <c r="J188" t="s">
        <v>380</v>
      </c>
      <c r="U188" t="s">
        <v>1253</v>
      </c>
    </row>
    <row r="189" spans="2:21" ht="15" customHeight="1">
      <c r="B189" t="s">
        <v>270</v>
      </c>
      <c r="J189" t="s">
        <v>364</v>
      </c>
      <c r="U189" t="s">
        <v>1253</v>
      </c>
    </row>
    <row r="190" spans="2:21" ht="15" customHeight="1">
      <c r="B190" t="s">
        <v>261</v>
      </c>
      <c r="J190" t="s">
        <v>355</v>
      </c>
      <c r="U190" t="s">
        <v>1181</v>
      </c>
    </row>
    <row r="191" spans="2:21" ht="15" customHeight="1">
      <c r="B191" t="s">
        <v>261</v>
      </c>
      <c r="J191" t="s">
        <v>355</v>
      </c>
      <c r="U191" t="s">
        <v>1181</v>
      </c>
    </row>
    <row r="192" spans="2:21" ht="15" customHeight="1">
      <c r="B192" t="s">
        <v>1136</v>
      </c>
      <c r="J192" t="s">
        <v>355</v>
      </c>
      <c r="U192" t="s">
        <v>1181</v>
      </c>
    </row>
    <row r="193" spans="2:21" ht="15" customHeight="1">
      <c r="B193" t="s">
        <v>352</v>
      </c>
      <c r="J193" t="s">
        <v>446</v>
      </c>
      <c r="U193" t="s">
        <v>1255</v>
      </c>
    </row>
    <row r="194" spans="2:21" ht="15" customHeight="1">
      <c r="B194" t="s">
        <v>352</v>
      </c>
      <c r="J194" t="s">
        <v>446</v>
      </c>
      <c r="U194" t="s">
        <v>1255</v>
      </c>
    </row>
    <row r="195" spans="2:21" ht="15" customHeight="1">
      <c r="B195" t="s">
        <v>352</v>
      </c>
      <c r="J195" t="s">
        <v>446</v>
      </c>
      <c r="U195" t="s">
        <v>1255</v>
      </c>
    </row>
    <row r="196" spans="2:21" ht="15" customHeight="1">
      <c r="B196" t="s">
        <v>660</v>
      </c>
      <c r="J196" t="s">
        <v>446</v>
      </c>
      <c r="U196" t="s">
        <v>1255</v>
      </c>
    </row>
    <row r="197" spans="2:21" ht="15" customHeight="1">
      <c r="B197" t="s">
        <v>354</v>
      </c>
      <c r="J197" t="s">
        <v>448</v>
      </c>
      <c r="U197" t="s">
        <v>1181</v>
      </c>
    </row>
    <row r="198" spans="2:21" ht="15" customHeight="1">
      <c r="B198" t="s">
        <v>354</v>
      </c>
      <c r="J198" t="s">
        <v>448</v>
      </c>
      <c r="U198" t="s">
        <v>1181</v>
      </c>
    </row>
    <row r="199" spans="2:21" ht="15" customHeight="1">
      <c r="B199" t="s">
        <v>954</v>
      </c>
      <c r="J199" t="s">
        <v>448</v>
      </c>
      <c r="U199" t="s">
        <v>1181</v>
      </c>
    </row>
    <row r="200" spans="2:21" ht="15" customHeight="1">
      <c r="B200" t="s">
        <v>1152</v>
      </c>
      <c r="J200" t="s">
        <v>448</v>
      </c>
      <c r="U200" t="s">
        <v>521</v>
      </c>
    </row>
    <row r="201" spans="2:21" ht="15" customHeight="1">
      <c r="B201" t="s">
        <v>1145</v>
      </c>
      <c r="J201" t="s">
        <v>672</v>
      </c>
      <c r="U201" t="s">
        <v>521</v>
      </c>
    </row>
    <row r="202" spans="2:21" ht="15" customHeight="1">
      <c r="B202" t="s">
        <v>626</v>
      </c>
      <c r="J202" t="s">
        <v>672</v>
      </c>
      <c r="U202" t="s">
        <v>521</v>
      </c>
    </row>
    <row r="203" spans="2:21" ht="15" customHeight="1">
      <c r="B203" t="s">
        <v>811</v>
      </c>
      <c r="J203" t="s">
        <v>672</v>
      </c>
      <c r="U203" t="s">
        <v>521</v>
      </c>
    </row>
    <row r="204" spans="2:21" ht="15" customHeight="1">
      <c r="B204" t="s">
        <v>950</v>
      </c>
      <c r="J204" t="s">
        <v>1083</v>
      </c>
      <c r="U204" t="s">
        <v>493</v>
      </c>
    </row>
    <row r="205" spans="2:21" ht="15" customHeight="1">
      <c r="B205" t="s">
        <v>275</v>
      </c>
      <c r="J205" t="s">
        <v>369</v>
      </c>
      <c r="U205" t="s">
        <v>521</v>
      </c>
    </row>
    <row r="206" spans="2:21" ht="15" customHeight="1">
      <c r="B206" t="s">
        <v>274</v>
      </c>
      <c r="J206" t="s">
        <v>368</v>
      </c>
      <c r="U206" t="s">
        <v>521</v>
      </c>
    </row>
    <row r="207" spans="2:21" ht="15" customHeight="1">
      <c r="B207" t="s">
        <v>343</v>
      </c>
      <c r="J207" t="s">
        <v>437</v>
      </c>
      <c r="U207" t="s">
        <v>1251</v>
      </c>
    </row>
    <row r="208" spans="2:21" ht="15" customHeight="1">
      <c r="B208" t="s">
        <v>264</v>
      </c>
      <c r="J208" t="s">
        <v>358</v>
      </c>
      <c r="U208" t="s">
        <v>521</v>
      </c>
    </row>
    <row r="209" spans="2:21" ht="15" customHeight="1">
      <c r="B209" t="s">
        <v>655</v>
      </c>
      <c r="J209" t="s">
        <v>701</v>
      </c>
      <c r="U209" t="s">
        <v>221</v>
      </c>
    </row>
    <row r="210" spans="2:21" ht="15" customHeight="1">
      <c r="B210" t="s">
        <v>857</v>
      </c>
      <c r="J210" t="s">
        <v>999</v>
      </c>
      <c r="U210" t="s">
        <v>221</v>
      </c>
    </row>
    <row r="211" spans="2:21" ht="15" customHeight="1">
      <c r="B211" t="s">
        <v>833</v>
      </c>
      <c r="J211" t="s">
        <v>975</v>
      </c>
      <c r="U211" t="s">
        <v>221</v>
      </c>
    </row>
    <row r="212" spans="2:21" ht="15" customHeight="1">
      <c r="B212" t="s">
        <v>837</v>
      </c>
      <c r="J212" t="s">
        <v>979</v>
      </c>
      <c r="U212" t="s">
        <v>221</v>
      </c>
    </row>
    <row r="213" spans="2:21" ht="15" customHeight="1">
      <c r="B213" t="s">
        <v>841</v>
      </c>
      <c r="J213" t="s">
        <v>983</v>
      </c>
      <c r="U213" t="s">
        <v>221</v>
      </c>
    </row>
    <row r="214" spans="2:21" ht="15" customHeight="1">
      <c r="B214" t="s">
        <v>845</v>
      </c>
      <c r="J214" t="s">
        <v>987</v>
      </c>
      <c r="U214" t="s">
        <v>221</v>
      </c>
    </row>
    <row r="215" spans="2:21" ht="15" customHeight="1">
      <c r="B215" t="s">
        <v>849</v>
      </c>
      <c r="J215" t="s">
        <v>991</v>
      </c>
      <c r="U215" t="s">
        <v>221</v>
      </c>
    </row>
    <row r="216" spans="2:21" ht="15" customHeight="1">
      <c r="B216" t="s">
        <v>853</v>
      </c>
      <c r="J216" t="s">
        <v>995</v>
      </c>
      <c r="U216" t="s">
        <v>221</v>
      </c>
    </row>
    <row r="217" spans="2:21" ht="15" customHeight="1">
      <c r="B217" t="s">
        <v>654</v>
      </c>
      <c r="J217" t="s">
        <v>700</v>
      </c>
      <c r="U217" t="s">
        <v>493</v>
      </c>
    </row>
    <row r="218" spans="2:21" ht="15" customHeight="1">
      <c r="B218" t="s">
        <v>856</v>
      </c>
      <c r="J218" t="s">
        <v>998</v>
      </c>
      <c r="U218" t="s">
        <v>493</v>
      </c>
    </row>
    <row r="219" spans="2:21" ht="15" customHeight="1">
      <c r="B219" t="s">
        <v>832</v>
      </c>
      <c r="J219" t="s">
        <v>974</v>
      </c>
      <c r="U219" t="s">
        <v>493</v>
      </c>
    </row>
    <row r="220" spans="2:21" ht="15" customHeight="1">
      <c r="B220" t="s">
        <v>836</v>
      </c>
      <c r="J220" t="s">
        <v>978</v>
      </c>
      <c r="U220" t="s">
        <v>493</v>
      </c>
    </row>
    <row r="221" spans="2:21" ht="15" customHeight="1">
      <c r="B221" t="s">
        <v>840</v>
      </c>
      <c r="J221" t="s">
        <v>982</v>
      </c>
      <c r="U221" t="s">
        <v>493</v>
      </c>
    </row>
    <row r="222" spans="2:21" ht="15" customHeight="1">
      <c r="B222" t="s">
        <v>844</v>
      </c>
      <c r="J222" t="s">
        <v>986</v>
      </c>
      <c r="U222" t="s">
        <v>493</v>
      </c>
    </row>
    <row r="223" spans="2:21" ht="15" customHeight="1">
      <c r="B223" t="s">
        <v>848</v>
      </c>
      <c r="J223" t="s">
        <v>990</v>
      </c>
      <c r="U223" t="s">
        <v>493</v>
      </c>
    </row>
    <row r="224" spans="2:21" ht="15" customHeight="1">
      <c r="B224" t="s">
        <v>852</v>
      </c>
      <c r="J224" t="s">
        <v>994</v>
      </c>
      <c r="U224" t="s">
        <v>493</v>
      </c>
    </row>
    <row r="225" spans="2:21" ht="15" customHeight="1">
      <c r="B225" t="s">
        <v>1139</v>
      </c>
      <c r="J225" t="s">
        <v>956</v>
      </c>
      <c r="U225" t="s">
        <v>1251</v>
      </c>
    </row>
    <row r="226" spans="2:21" ht="15" customHeight="1">
      <c r="B226" t="s">
        <v>623</v>
      </c>
      <c r="J226" t="s">
        <v>669</v>
      </c>
      <c r="U226" t="s">
        <v>521</v>
      </c>
    </row>
    <row r="227" spans="2:21" ht="15" customHeight="1">
      <c r="B227" t="s">
        <v>623</v>
      </c>
      <c r="J227" t="s">
        <v>669</v>
      </c>
      <c r="U227" t="s">
        <v>521</v>
      </c>
    </row>
    <row r="228" spans="2:21" ht="15" customHeight="1">
      <c r="B228" t="s">
        <v>623</v>
      </c>
      <c r="J228" t="s">
        <v>669</v>
      </c>
      <c r="U228" t="s">
        <v>521</v>
      </c>
    </row>
    <row r="229" spans="2:21" ht="15" customHeight="1">
      <c r="B229" t="s">
        <v>283</v>
      </c>
      <c r="J229" t="s">
        <v>377</v>
      </c>
      <c r="U229" t="s">
        <v>493</v>
      </c>
    </row>
    <row r="230" spans="2:21" ht="15" customHeight="1">
      <c r="B230" t="s">
        <v>335</v>
      </c>
      <c r="J230" t="s">
        <v>429</v>
      </c>
      <c r="U230" t="s">
        <v>521</v>
      </c>
    </row>
    <row r="231" spans="2:21" ht="15" customHeight="1">
      <c r="B231" t="s">
        <v>271</v>
      </c>
      <c r="J231" t="s">
        <v>365</v>
      </c>
      <c r="U231" t="s">
        <v>1253</v>
      </c>
    </row>
    <row r="232" spans="2:21" ht="15" customHeight="1">
      <c r="B232" t="s">
        <v>265</v>
      </c>
      <c r="J232" t="s">
        <v>359</v>
      </c>
      <c r="U232" t="s">
        <v>1252</v>
      </c>
    </row>
    <row r="233" spans="2:21" ht="15" customHeight="1">
      <c r="B233" t="s">
        <v>342</v>
      </c>
      <c r="J233" t="s">
        <v>436</v>
      </c>
      <c r="U233" t="s">
        <v>221</v>
      </c>
    </row>
    <row r="234" spans="2:21" ht="15" customHeight="1">
      <c r="B234" t="s">
        <v>349</v>
      </c>
      <c r="J234" t="s">
        <v>443</v>
      </c>
      <c r="U234" t="s">
        <v>221</v>
      </c>
    </row>
    <row r="235" spans="2:21" ht="15" customHeight="1">
      <c r="B235" t="s">
        <v>349</v>
      </c>
      <c r="J235" t="s">
        <v>443</v>
      </c>
      <c r="U235" t="s">
        <v>221</v>
      </c>
    </row>
    <row r="236" spans="2:21" ht="15" customHeight="1">
      <c r="B236" t="s">
        <v>349</v>
      </c>
      <c r="J236" t="s">
        <v>443</v>
      </c>
      <c r="U236" t="s">
        <v>221</v>
      </c>
    </row>
    <row r="237" spans="2:21" ht="15" customHeight="1">
      <c r="B237" t="s">
        <v>349</v>
      </c>
      <c r="J237" t="s">
        <v>1154</v>
      </c>
      <c r="U237" t="s">
        <v>221</v>
      </c>
    </row>
    <row r="238" spans="2:21" ht="15" customHeight="1">
      <c r="B238" t="s">
        <v>329</v>
      </c>
      <c r="J238" t="s">
        <v>423</v>
      </c>
      <c r="U238" t="s">
        <v>521</v>
      </c>
    </row>
    <row r="239" spans="2:21" ht="15" customHeight="1">
      <c r="B239" t="s">
        <v>277</v>
      </c>
      <c r="J239" t="s">
        <v>371</v>
      </c>
      <c r="U239" t="s">
        <v>521</v>
      </c>
    </row>
    <row r="240" spans="2:21" ht="15" customHeight="1">
      <c r="B240" t="s">
        <v>267</v>
      </c>
      <c r="J240" t="s">
        <v>361</v>
      </c>
      <c r="U240" t="s">
        <v>221</v>
      </c>
    </row>
    <row r="241" spans="2:21" ht="15" customHeight="1">
      <c r="B241" t="s">
        <v>263</v>
      </c>
      <c r="J241" t="s">
        <v>357</v>
      </c>
      <c r="U241" t="s">
        <v>221</v>
      </c>
    </row>
    <row r="242" spans="2:21" ht="15" customHeight="1">
      <c r="B242" t="s">
        <v>615</v>
      </c>
      <c r="J242" t="s">
        <v>357</v>
      </c>
      <c r="U242" t="s">
        <v>221</v>
      </c>
    </row>
    <row r="243" spans="2:21" ht="15" customHeight="1">
      <c r="B243" t="s">
        <v>263</v>
      </c>
      <c r="J243" t="s">
        <v>357</v>
      </c>
      <c r="U243" t="s">
        <v>221</v>
      </c>
    </row>
    <row r="244" spans="2:21" ht="15" customHeight="1">
      <c r="B244" t="s">
        <v>615</v>
      </c>
      <c r="J244" t="s">
        <v>357</v>
      </c>
      <c r="U244" t="s">
        <v>221</v>
      </c>
    </row>
    <row r="245" spans="2:21" ht="15" customHeight="1">
      <c r="B245" t="s">
        <v>340</v>
      </c>
      <c r="J245" t="s">
        <v>434</v>
      </c>
      <c r="U245" t="s">
        <v>1255</v>
      </c>
    </row>
    <row r="246" spans="2:21" ht="15" customHeight="1">
      <c r="B246" t="s">
        <v>635</v>
      </c>
      <c r="J246" t="s">
        <v>681</v>
      </c>
      <c r="U246" t="s">
        <v>1258</v>
      </c>
    </row>
    <row r="247" spans="2:21" ht="15" customHeight="1">
      <c r="B247" t="s">
        <v>635</v>
      </c>
      <c r="J247" t="s">
        <v>681</v>
      </c>
      <c r="U247" t="s">
        <v>1258</v>
      </c>
    </row>
    <row r="248" spans="2:21" ht="15" customHeight="1">
      <c r="B248" t="s">
        <v>618</v>
      </c>
      <c r="J248" t="s">
        <v>664</v>
      </c>
      <c r="U248" t="s">
        <v>1255</v>
      </c>
    </row>
    <row r="249" spans="2:21" ht="15" customHeight="1">
      <c r="B249" t="s">
        <v>633</v>
      </c>
      <c r="J249" t="s">
        <v>679</v>
      </c>
      <c r="U249" t="s">
        <v>493</v>
      </c>
    </row>
    <row r="250" spans="2:21" ht="15" customHeight="1">
      <c r="B250" t="s">
        <v>819</v>
      </c>
      <c r="J250" t="s">
        <v>961</v>
      </c>
      <c r="U250" t="s">
        <v>493</v>
      </c>
    </row>
    <row r="251" spans="2:21" ht="15" customHeight="1">
      <c r="B251" t="s">
        <v>855</v>
      </c>
      <c r="J251" t="s">
        <v>997</v>
      </c>
      <c r="U251" t="s">
        <v>493</v>
      </c>
    </row>
    <row r="252" spans="2:21" ht="15" customHeight="1">
      <c r="B252" t="s">
        <v>823</v>
      </c>
      <c r="J252" t="s">
        <v>965</v>
      </c>
      <c r="U252" t="s">
        <v>493</v>
      </c>
    </row>
    <row r="253" spans="2:21" ht="15" customHeight="1">
      <c r="B253" t="s">
        <v>827</v>
      </c>
      <c r="J253" t="s">
        <v>969</v>
      </c>
      <c r="U253" t="s">
        <v>493</v>
      </c>
    </row>
    <row r="254" spans="2:21" ht="15" customHeight="1">
      <c r="B254" t="s">
        <v>831</v>
      </c>
      <c r="J254" t="s">
        <v>973</v>
      </c>
      <c r="U254" t="s">
        <v>493</v>
      </c>
    </row>
    <row r="255" spans="2:21" ht="15" customHeight="1">
      <c r="B255" t="s">
        <v>835</v>
      </c>
      <c r="J255" t="s">
        <v>977</v>
      </c>
      <c r="U255" t="s">
        <v>493</v>
      </c>
    </row>
    <row r="256" spans="2:21" ht="15" customHeight="1">
      <c r="B256" t="s">
        <v>839</v>
      </c>
      <c r="J256" t="s">
        <v>981</v>
      </c>
      <c r="U256" t="s">
        <v>493</v>
      </c>
    </row>
    <row r="257" spans="2:21" ht="15" customHeight="1">
      <c r="B257" t="s">
        <v>843</v>
      </c>
      <c r="J257" t="s">
        <v>985</v>
      </c>
      <c r="U257" t="s">
        <v>493</v>
      </c>
    </row>
    <row r="258" spans="2:21" ht="15" customHeight="1">
      <c r="B258" t="s">
        <v>847</v>
      </c>
      <c r="J258" t="s">
        <v>989</v>
      </c>
      <c r="U258" t="s">
        <v>493</v>
      </c>
    </row>
    <row r="259" spans="2:21" ht="15" customHeight="1">
      <c r="B259" t="s">
        <v>851</v>
      </c>
      <c r="J259" t="s">
        <v>993</v>
      </c>
      <c r="U259" t="s">
        <v>493</v>
      </c>
    </row>
    <row r="260" spans="2:21" ht="15" customHeight="1">
      <c r="B260" t="s">
        <v>631</v>
      </c>
      <c r="J260" t="s">
        <v>677</v>
      </c>
      <c r="U260" t="s">
        <v>221</v>
      </c>
    </row>
    <row r="261" spans="2:21" ht="15" customHeight="1">
      <c r="B261" t="s">
        <v>948</v>
      </c>
      <c r="J261" t="s">
        <v>696</v>
      </c>
      <c r="U261" t="s">
        <v>521</v>
      </c>
    </row>
    <row r="262" spans="2:21" ht="15" customHeight="1">
      <c r="B262" t="s">
        <v>636</v>
      </c>
      <c r="J262" t="s">
        <v>682</v>
      </c>
      <c r="U262" t="s">
        <v>1258</v>
      </c>
    </row>
    <row r="263" spans="2:21" ht="15" customHeight="1">
      <c r="B263" t="s">
        <v>817</v>
      </c>
      <c r="J263" t="s">
        <v>682</v>
      </c>
      <c r="U263" t="s">
        <v>1258</v>
      </c>
    </row>
    <row r="264" spans="2:21" ht="15" customHeight="1">
      <c r="B264" t="s">
        <v>619</v>
      </c>
      <c r="J264" t="s">
        <v>665</v>
      </c>
      <c r="U264" t="s">
        <v>1255</v>
      </c>
    </row>
    <row r="265" spans="2:21" ht="15" customHeight="1">
      <c r="B265" t="s">
        <v>622</v>
      </c>
      <c r="J265" t="s">
        <v>668</v>
      </c>
      <c r="U265" t="s">
        <v>521</v>
      </c>
    </row>
    <row r="266" spans="2:21" ht="15" customHeight="1">
      <c r="B266" t="s">
        <v>621</v>
      </c>
      <c r="J266" t="s">
        <v>667</v>
      </c>
      <c r="U266" t="s">
        <v>521</v>
      </c>
    </row>
    <row r="267" spans="2:21" ht="15" customHeight="1">
      <c r="B267" t="s">
        <v>1148</v>
      </c>
      <c r="J267" t="s">
        <v>675</v>
      </c>
      <c r="U267" t="s">
        <v>521</v>
      </c>
    </row>
    <row r="268" spans="2:21" ht="15" customHeight="1">
      <c r="B268" t="s">
        <v>629</v>
      </c>
      <c r="J268" t="s">
        <v>675</v>
      </c>
      <c r="U268" t="s">
        <v>521</v>
      </c>
    </row>
    <row r="269" spans="2:21" ht="15" customHeight="1">
      <c r="B269" t="s">
        <v>814</v>
      </c>
      <c r="J269" t="s">
        <v>675</v>
      </c>
      <c r="U269" t="s">
        <v>521</v>
      </c>
    </row>
    <row r="270" spans="2:21" ht="15" customHeight="1">
      <c r="B270" t="s">
        <v>331</v>
      </c>
      <c r="J270" t="s">
        <v>425</v>
      </c>
      <c r="U270" t="s">
        <v>1252</v>
      </c>
    </row>
    <row r="271" spans="2:21" ht="15" customHeight="1">
      <c r="B271" t="s">
        <v>1149</v>
      </c>
      <c r="J271" t="s">
        <v>676</v>
      </c>
      <c r="U271" t="s">
        <v>521</v>
      </c>
    </row>
    <row r="272" spans="2:21" ht="15" customHeight="1">
      <c r="B272" t="s">
        <v>630</v>
      </c>
      <c r="J272" t="s">
        <v>676</v>
      </c>
      <c r="U272" t="s">
        <v>521</v>
      </c>
    </row>
    <row r="273" spans="2:21" ht="15" customHeight="1">
      <c r="B273" t="s">
        <v>815</v>
      </c>
      <c r="J273" t="s">
        <v>676</v>
      </c>
      <c r="U273" t="s">
        <v>521</v>
      </c>
    </row>
    <row r="274" spans="2:21" ht="15" customHeight="1">
      <c r="B274" t="s">
        <v>327</v>
      </c>
      <c r="J274" t="s">
        <v>421</v>
      </c>
      <c r="U274" t="s">
        <v>521</v>
      </c>
    </row>
    <row r="275" spans="2:21" ht="15" customHeight="1">
      <c r="B275" t="s">
        <v>273</v>
      </c>
      <c r="J275" t="s">
        <v>367</v>
      </c>
      <c r="U275" t="s">
        <v>521</v>
      </c>
    </row>
    <row r="276" spans="2:21" ht="15" customHeight="1">
      <c r="B276" t="s">
        <v>282</v>
      </c>
      <c r="J276" t="s">
        <v>376</v>
      </c>
      <c r="U276" t="s">
        <v>221</v>
      </c>
    </row>
    <row r="277" spans="2:21" ht="15" customHeight="1">
      <c r="B277" t="s">
        <v>652</v>
      </c>
      <c r="J277" t="s">
        <v>698</v>
      </c>
      <c r="U277" t="s">
        <v>221</v>
      </c>
    </row>
    <row r="278" spans="2:21" ht="15" customHeight="1">
      <c r="B278" t="s">
        <v>949</v>
      </c>
      <c r="J278" t="s">
        <v>698</v>
      </c>
      <c r="U278" t="s">
        <v>221</v>
      </c>
    </row>
    <row r="279" spans="2:21" ht="15" customHeight="1">
      <c r="B279" t="s">
        <v>276</v>
      </c>
      <c r="J279" t="s">
        <v>370</v>
      </c>
      <c r="U279" t="s">
        <v>521</v>
      </c>
    </row>
    <row r="280" spans="2:21" ht="15" customHeight="1">
      <c r="B280" t="s">
        <v>296</v>
      </c>
      <c r="J280" t="s">
        <v>390</v>
      </c>
      <c r="U280" t="s">
        <v>221</v>
      </c>
    </row>
    <row r="281" spans="2:21" ht="15" customHeight="1">
      <c r="B281" t="s">
        <v>321</v>
      </c>
      <c r="J281" t="s">
        <v>415</v>
      </c>
      <c r="U281" t="s">
        <v>521</v>
      </c>
    </row>
    <row r="282" spans="2:21" ht="15" customHeight="1">
      <c r="B282" t="s">
        <v>305</v>
      </c>
      <c r="J282" t="s">
        <v>399</v>
      </c>
      <c r="U282" t="s">
        <v>1254</v>
      </c>
    </row>
    <row r="283" spans="2:21" ht="15" customHeight="1">
      <c r="B283" t="s">
        <v>304</v>
      </c>
      <c r="J283" t="s">
        <v>398</v>
      </c>
      <c r="U283" t="s">
        <v>1254</v>
      </c>
    </row>
    <row r="284" spans="2:21" ht="15" customHeight="1">
      <c r="B284" t="s">
        <v>279</v>
      </c>
      <c r="J284" t="s">
        <v>373</v>
      </c>
      <c r="U284" t="s">
        <v>521</v>
      </c>
    </row>
    <row r="285" spans="2:21" ht="15" customHeight="1">
      <c r="B285" t="s">
        <v>302</v>
      </c>
      <c r="J285" t="s">
        <v>396</v>
      </c>
      <c r="U285" t="s">
        <v>1254</v>
      </c>
    </row>
    <row r="286" spans="2:21" ht="15" customHeight="1">
      <c r="B286" t="s">
        <v>309</v>
      </c>
      <c r="J286" t="s">
        <v>403</v>
      </c>
      <c r="U286" t="s">
        <v>1252</v>
      </c>
    </row>
    <row r="287" spans="2:21" ht="15" customHeight="1">
      <c r="B287" t="s">
        <v>313</v>
      </c>
      <c r="J287" t="s">
        <v>407</v>
      </c>
      <c r="U287" t="s">
        <v>221</v>
      </c>
    </row>
    <row r="288" spans="2:21" ht="15" customHeight="1">
      <c r="B288" t="s">
        <v>312</v>
      </c>
      <c r="J288" t="s">
        <v>406</v>
      </c>
      <c r="U288" t="s">
        <v>493</v>
      </c>
    </row>
    <row r="289" spans="2:21" ht="15" customHeight="1">
      <c r="B289" t="s">
        <v>326</v>
      </c>
      <c r="J289" t="s">
        <v>420</v>
      </c>
      <c r="U289" t="s">
        <v>493</v>
      </c>
    </row>
    <row r="290" spans="2:21" ht="15" customHeight="1">
      <c r="B290" t="s">
        <v>310</v>
      </c>
      <c r="J290" t="s">
        <v>404</v>
      </c>
      <c r="U290" t="s">
        <v>1252</v>
      </c>
    </row>
    <row r="291" spans="2:21" ht="15" customHeight="1">
      <c r="B291" t="s">
        <v>314</v>
      </c>
      <c r="J291" t="s">
        <v>408</v>
      </c>
      <c r="U291" t="s">
        <v>221</v>
      </c>
    </row>
    <row r="292" spans="2:21" ht="15" customHeight="1">
      <c r="B292" t="s">
        <v>311</v>
      </c>
      <c r="J292" t="s">
        <v>405</v>
      </c>
      <c r="U292" t="s">
        <v>521</v>
      </c>
    </row>
    <row r="293" spans="2:21" ht="15" customHeight="1">
      <c r="B293" t="s">
        <v>317</v>
      </c>
      <c r="J293" t="s">
        <v>411</v>
      </c>
      <c r="U293" t="s">
        <v>1252</v>
      </c>
    </row>
    <row r="294" spans="2:21" ht="15" customHeight="1">
      <c r="B294" t="s">
        <v>316</v>
      </c>
      <c r="J294" t="s">
        <v>410</v>
      </c>
      <c r="U294" t="s">
        <v>521</v>
      </c>
    </row>
    <row r="295" spans="2:21" ht="15" customHeight="1">
      <c r="B295" t="s">
        <v>315</v>
      </c>
      <c r="J295" t="s">
        <v>409</v>
      </c>
      <c r="U295" t="s">
        <v>521</v>
      </c>
    </row>
    <row r="296" spans="2:21" ht="15" customHeight="1">
      <c r="B296" t="s">
        <v>322</v>
      </c>
      <c r="J296" t="s">
        <v>416</v>
      </c>
      <c r="U296" t="s">
        <v>521</v>
      </c>
    </row>
    <row r="297" spans="2:21" ht="15" customHeight="1">
      <c r="B297" t="s">
        <v>306</v>
      </c>
      <c r="J297" t="s">
        <v>400</v>
      </c>
      <c r="U297" t="s">
        <v>1254</v>
      </c>
    </row>
    <row r="298" spans="2:21" ht="15" customHeight="1">
      <c r="B298" t="s">
        <v>297</v>
      </c>
      <c r="J298" t="s">
        <v>391</v>
      </c>
      <c r="U298" t="s">
        <v>221</v>
      </c>
    </row>
    <row r="299" spans="2:21" ht="15" customHeight="1">
      <c r="B299" t="s">
        <v>346</v>
      </c>
      <c r="J299" t="s">
        <v>440</v>
      </c>
      <c r="U299" t="s">
        <v>221</v>
      </c>
    </row>
    <row r="300" spans="2:21" ht="15" customHeight="1">
      <c r="B300" t="s">
        <v>627</v>
      </c>
      <c r="J300" t="s">
        <v>673</v>
      </c>
      <c r="U300" t="s">
        <v>521</v>
      </c>
    </row>
    <row r="301" spans="2:21" ht="15" customHeight="1">
      <c r="B301" t="s">
        <v>812</v>
      </c>
      <c r="J301" t="s">
        <v>673</v>
      </c>
      <c r="U301" t="s">
        <v>521</v>
      </c>
    </row>
    <row r="302" spans="2:21" ht="15" customHeight="1">
      <c r="B302" t="s">
        <v>30</v>
      </c>
      <c r="J302" t="s">
        <v>60</v>
      </c>
      <c r="U302" t="s">
        <v>1248</v>
      </c>
    </row>
    <row r="303" spans="2:21" ht="15" customHeight="1">
      <c r="B303" t="s">
        <v>30</v>
      </c>
      <c r="J303" t="s">
        <v>60</v>
      </c>
      <c r="U303" t="s">
        <v>1248</v>
      </c>
    </row>
    <row r="304" spans="2:21" ht="15" customHeight="1">
      <c r="B304" t="s">
        <v>30</v>
      </c>
      <c r="J304" t="s">
        <v>60</v>
      </c>
      <c r="U304" t="s">
        <v>1248</v>
      </c>
    </row>
    <row r="305" spans="2:21" ht="15" customHeight="1">
      <c r="B305" t="s">
        <v>30</v>
      </c>
      <c r="J305" t="s">
        <v>60</v>
      </c>
      <c r="U305" t="s">
        <v>1248</v>
      </c>
    </row>
    <row r="306" spans="2:21" ht="15" customHeight="1">
      <c r="B306" t="s">
        <v>67</v>
      </c>
      <c r="J306" t="s">
        <v>63</v>
      </c>
      <c r="U306" t="s">
        <v>1250</v>
      </c>
    </row>
    <row r="307" spans="2:21" ht="15" customHeight="1">
      <c r="B307" t="s">
        <v>67</v>
      </c>
      <c r="J307" t="s">
        <v>63</v>
      </c>
      <c r="U307" t="s">
        <v>1250</v>
      </c>
    </row>
    <row r="308" spans="2:21" ht="15" customHeight="1">
      <c r="B308" t="s">
        <v>67</v>
      </c>
      <c r="J308" t="s">
        <v>63</v>
      </c>
      <c r="U308" t="s">
        <v>1250</v>
      </c>
    </row>
    <row r="309" spans="2:21" ht="15" customHeight="1">
      <c r="B309" t="s">
        <v>67</v>
      </c>
      <c r="J309" t="s">
        <v>63</v>
      </c>
      <c r="U309" t="s">
        <v>1250</v>
      </c>
    </row>
    <row r="310" spans="2:21" ht="15" customHeight="1">
      <c r="B310" t="s">
        <v>66</v>
      </c>
      <c r="J310" t="s">
        <v>62</v>
      </c>
      <c r="U310" t="s">
        <v>1249</v>
      </c>
    </row>
    <row r="311" spans="2:21" ht="15" customHeight="1">
      <c r="B311" t="s">
        <v>66</v>
      </c>
      <c r="J311" t="s">
        <v>62</v>
      </c>
      <c r="U311" t="s">
        <v>1249</v>
      </c>
    </row>
    <row r="312" spans="2:21" ht="15" customHeight="1">
      <c r="B312" t="s">
        <v>66</v>
      </c>
      <c r="J312" t="s">
        <v>62</v>
      </c>
      <c r="U312" t="s">
        <v>1249</v>
      </c>
    </row>
    <row r="313" spans="2:21" ht="15" customHeight="1">
      <c r="B313" t="s">
        <v>66</v>
      </c>
      <c r="J313" t="s">
        <v>62</v>
      </c>
      <c r="U313" t="s">
        <v>1249</v>
      </c>
    </row>
    <row r="314" spans="2:21" ht="15" customHeight="1">
      <c r="B314" t="s">
        <v>65</v>
      </c>
      <c r="J314" t="s">
        <v>61</v>
      </c>
      <c r="U314" t="s">
        <v>1250</v>
      </c>
    </row>
    <row r="315" spans="2:21" ht="15" customHeight="1">
      <c r="B315" t="s">
        <v>65</v>
      </c>
      <c r="J315" t="s">
        <v>61</v>
      </c>
      <c r="U315" t="s">
        <v>1250</v>
      </c>
    </row>
    <row r="316" spans="2:21" ht="15" customHeight="1">
      <c r="B316" t="s">
        <v>65</v>
      </c>
      <c r="J316" t="s">
        <v>61</v>
      </c>
      <c r="U316" t="s">
        <v>1250</v>
      </c>
    </row>
    <row r="317" spans="2:21" ht="15" customHeight="1">
      <c r="B317" t="s">
        <v>65</v>
      </c>
      <c r="J317" t="s">
        <v>61</v>
      </c>
      <c r="U317" t="s">
        <v>1250</v>
      </c>
    </row>
    <row r="318" spans="2:21" ht="15" customHeight="1">
      <c r="B318" t="s">
        <v>64</v>
      </c>
      <c r="J318" t="s">
        <v>59</v>
      </c>
      <c r="U318" t="s">
        <v>1249</v>
      </c>
    </row>
    <row r="319" spans="2:21" ht="15" customHeight="1">
      <c r="B319" t="s">
        <v>64</v>
      </c>
      <c r="J319" t="s">
        <v>59</v>
      </c>
      <c r="U319" t="s">
        <v>1249</v>
      </c>
    </row>
    <row r="320" spans="2:21" ht="15" customHeight="1">
      <c r="B320" t="s">
        <v>64</v>
      </c>
      <c r="J320" t="s">
        <v>59</v>
      </c>
      <c r="U320" t="s">
        <v>1249</v>
      </c>
    </row>
    <row r="321" spans="2:21" ht="15" customHeight="1">
      <c r="B321" t="s">
        <v>64</v>
      </c>
      <c r="J321" t="s">
        <v>59</v>
      </c>
      <c r="U321" t="s">
        <v>1249</v>
      </c>
    </row>
    <row r="322" spans="2:21" ht="15" customHeight="1">
      <c r="B322" t="s">
        <v>68</v>
      </c>
      <c r="J322" t="s">
        <v>58</v>
      </c>
      <c r="U322" t="s">
        <v>1183</v>
      </c>
    </row>
    <row r="323" spans="2:21" ht="15" customHeight="1">
      <c r="B323" t="s">
        <v>68</v>
      </c>
      <c r="J323" t="s">
        <v>58</v>
      </c>
      <c r="U323" t="s">
        <v>1183</v>
      </c>
    </row>
    <row r="324" spans="2:21" ht="15" customHeight="1">
      <c r="B324" t="s">
        <v>68</v>
      </c>
      <c r="J324" t="s">
        <v>58</v>
      </c>
      <c r="U324" t="s">
        <v>1183</v>
      </c>
    </row>
    <row r="325" spans="2:21" ht="15" customHeight="1">
      <c r="B325" t="s">
        <v>68</v>
      </c>
      <c r="J325" t="s">
        <v>58</v>
      </c>
      <c r="U325" t="s">
        <v>1183</v>
      </c>
    </row>
    <row r="326" spans="2:21" ht="15" customHeight="1">
      <c r="B326" t="s">
        <v>266</v>
      </c>
      <c r="J326" t="s">
        <v>360</v>
      </c>
      <c r="U326" t="s">
        <v>1253</v>
      </c>
    </row>
    <row r="327" spans="2:21" ht="15" customHeight="1">
      <c r="B327" t="s">
        <v>289</v>
      </c>
      <c r="J327" t="s">
        <v>383</v>
      </c>
      <c r="U327" t="s">
        <v>1252</v>
      </c>
    </row>
    <row r="328" spans="2:21" ht="15" customHeight="1">
      <c r="B328" t="s">
        <v>290</v>
      </c>
      <c r="J328" t="s">
        <v>384</v>
      </c>
      <c r="U328" t="s">
        <v>1252</v>
      </c>
    </row>
    <row r="329" spans="2:21" ht="15" customHeight="1">
      <c r="B329" t="s">
        <v>291</v>
      </c>
      <c r="J329" t="s">
        <v>385</v>
      </c>
      <c r="U329" t="s">
        <v>1252</v>
      </c>
    </row>
    <row r="330" spans="2:21" ht="15" customHeight="1">
      <c r="B330" t="s">
        <v>648</v>
      </c>
      <c r="J330" t="s">
        <v>694</v>
      </c>
      <c r="U330" t="s">
        <v>1252</v>
      </c>
    </row>
    <row r="331" spans="2:21" ht="15" customHeight="1">
      <c r="B331" t="s">
        <v>648</v>
      </c>
      <c r="J331" t="s">
        <v>694</v>
      </c>
      <c r="U331" t="s">
        <v>1252</v>
      </c>
    </row>
    <row r="332" spans="2:21" ht="15" customHeight="1">
      <c r="B332" t="s">
        <v>649</v>
      </c>
      <c r="J332" t="s">
        <v>695</v>
      </c>
      <c r="U332" t="s">
        <v>221</v>
      </c>
    </row>
    <row r="333" spans="2:21" ht="15" customHeight="1">
      <c r="B333" t="s">
        <v>946</v>
      </c>
      <c r="J333" t="s">
        <v>1082</v>
      </c>
      <c r="U333" t="s">
        <v>221</v>
      </c>
    </row>
    <row r="334" spans="2:21" ht="15" customHeight="1">
      <c r="B334" t="s">
        <v>646</v>
      </c>
      <c r="J334" t="s">
        <v>692</v>
      </c>
      <c r="U334" t="s">
        <v>1252</v>
      </c>
    </row>
    <row r="335" spans="2:21" ht="15" customHeight="1">
      <c r="B335" t="s">
        <v>943</v>
      </c>
      <c r="J335" t="s">
        <v>692</v>
      </c>
      <c r="U335" t="s">
        <v>1252</v>
      </c>
    </row>
    <row r="336" spans="2:21" ht="15" customHeight="1">
      <c r="B336" t="s">
        <v>333</v>
      </c>
      <c r="J336" t="s">
        <v>427</v>
      </c>
      <c r="U336" t="s">
        <v>521</v>
      </c>
    </row>
    <row r="337" spans="2:21" ht="15" customHeight="1">
      <c r="B337" t="s">
        <v>632</v>
      </c>
      <c r="J337" t="s">
        <v>678</v>
      </c>
      <c r="U337" t="s">
        <v>521</v>
      </c>
    </row>
    <row r="338" spans="2:21" ht="15" customHeight="1">
      <c r="B338" t="s">
        <v>945</v>
      </c>
      <c r="J338" t="s">
        <v>678</v>
      </c>
      <c r="U338" t="s">
        <v>521</v>
      </c>
    </row>
    <row r="339" spans="2:21" ht="15" customHeight="1">
      <c r="B339" t="s">
        <v>854</v>
      </c>
      <c r="J339" t="s">
        <v>996</v>
      </c>
      <c r="U339" t="s">
        <v>521</v>
      </c>
    </row>
    <row r="340" spans="2:21" ht="15" customHeight="1">
      <c r="B340" t="s">
        <v>822</v>
      </c>
      <c r="J340" t="s">
        <v>964</v>
      </c>
      <c r="U340" t="s">
        <v>521</v>
      </c>
    </row>
    <row r="341" spans="2:21" ht="15" customHeight="1">
      <c r="B341" t="s">
        <v>826</v>
      </c>
      <c r="J341" t="s">
        <v>968</v>
      </c>
      <c r="U341" t="s">
        <v>521</v>
      </c>
    </row>
    <row r="342" spans="2:21" ht="15" customHeight="1">
      <c r="B342" t="s">
        <v>830</v>
      </c>
      <c r="J342" t="s">
        <v>972</v>
      </c>
      <c r="U342" t="s">
        <v>521</v>
      </c>
    </row>
    <row r="343" spans="2:21" ht="15" customHeight="1">
      <c r="B343" t="s">
        <v>834</v>
      </c>
      <c r="J343" t="s">
        <v>976</v>
      </c>
      <c r="U343" t="s">
        <v>521</v>
      </c>
    </row>
    <row r="344" spans="2:21" ht="15" customHeight="1">
      <c r="B344" t="s">
        <v>838</v>
      </c>
      <c r="J344" t="s">
        <v>980</v>
      </c>
      <c r="U344" t="s">
        <v>521</v>
      </c>
    </row>
    <row r="345" spans="2:21" ht="15" customHeight="1">
      <c r="B345" t="s">
        <v>842</v>
      </c>
      <c r="J345" t="s">
        <v>984</v>
      </c>
      <c r="U345" t="s">
        <v>521</v>
      </c>
    </row>
    <row r="346" spans="2:21" ht="15" customHeight="1">
      <c r="B346" t="s">
        <v>846</v>
      </c>
      <c r="J346" t="s">
        <v>988</v>
      </c>
      <c r="U346" t="s">
        <v>521</v>
      </c>
    </row>
    <row r="347" spans="2:21" ht="15" customHeight="1">
      <c r="B347" t="s">
        <v>850</v>
      </c>
      <c r="J347" t="s">
        <v>992</v>
      </c>
      <c r="U347" t="s">
        <v>521</v>
      </c>
    </row>
    <row r="348" spans="2:21" ht="15" customHeight="1">
      <c r="B348" t="s">
        <v>651</v>
      </c>
      <c r="J348" t="s">
        <v>697</v>
      </c>
      <c r="U348" t="s">
        <v>521</v>
      </c>
    </row>
    <row r="349" spans="2:21" ht="15" customHeight="1">
      <c r="B349" t="s">
        <v>651</v>
      </c>
      <c r="J349" t="s">
        <v>697</v>
      </c>
      <c r="U349" t="s">
        <v>521</v>
      </c>
    </row>
    <row r="350" spans="2:21" ht="15" customHeight="1">
      <c r="B350" t="s">
        <v>818</v>
      </c>
      <c r="J350" t="s">
        <v>960</v>
      </c>
      <c r="U350" t="s">
        <v>521</v>
      </c>
    </row>
    <row r="351" spans="2:21" ht="15" customHeight="1">
      <c r="B351" t="s">
        <v>931</v>
      </c>
      <c r="J351" t="s">
        <v>1072</v>
      </c>
      <c r="U351" t="s">
        <v>221</v>
      </c>
    </row>
    <row r="352" spans="2:21" ht="15" customHeight="1">
      <c r="B352" t="s">
        <v>937</v>
      </c>
      <c r="J352" t="s">
        <v>1078</v>
      </c>
      <c r="U352" t="s">
        <v>493</v>
      </c>
    </row>
    <row r="353" spans="2:21" ht="15" customHeight="1">
      <c r="B353" t="s">
        <v>932</v>
      </c>
      <c r="J353" t="s">
        <v>1073</v>
      </c>
      <c r="U353" t="s">
        <v>521</v>
      </c>
    </row>
    <row r="354" spans="2:21" ht="15" customHeight="1">
      <c r="B354" t="s">
        <v>938</v>
      </c>
      <c r="J354" t="s">
        <v>1079</v>
      </c>
      <c r="U354" t="s">
        <v>493</v>
      </c>
    </row>
    <row r="355" spans="2:21" ht="15" customHeight="1">
      <c r="B355" t="s">
        <v>939</v>
      </c>
      <c r="J355" t="s">
        <v>1080</v>
      </c>
      <c r="U355" t="s">
        <v>221</v>
      </c>
    </row>
    <row r="356" spans="2:21" ht="15" customHeight="1">
      <c r="B356" t="s">
        <v>935</v>
      </c>
      <c r="J356" t="s">
        <v>1076</v>
      </c>
      <c r="U356" t="s">
        <v>221</v>
      </c>
    </row>
    <row r="357" spans="2:21" ht="15" customHeight="1">
      <c r="B357" t="s">
        <v>934</v>
      </c>
      <c r="J357" t="s">
        <v>1075</v>
      </c>
      <c r="U357" t="s">
        <v>493</v>
      </c>
    </row>
    <row r="358" spans="2:21" ht="15" customHeight="1">
      <c r="B358" t="s">
        <v>933</v>
      </c>
      <c r="J358" t="s">
        <v>1074</v>
      </c>
      <c r="U358" t="s">
        <v>493</v>
      </c>
    </row>
    <row r="359" spans="2:21" ht="15" customHeight="1">
      <c r="B359" t="s">
        <v>640</v>
      </c>
      <c r="J359" t="s">
        <v>685</v>
      </c>
      <c r="U359" t="s">
        <v>1255</v>
      </c>
    </row>
    <row r="360" spans="2:21" ht="15" customHeight="1">
      <c r="B360" t="s">
        <v>895</v>
      </c>
      <c r="J360" t="s">
        <v>1037</v>
      </c>
      <c r="U360" t="s">
        <v>521</v>
      </c>
    </row>
    <row r="361" spans="2:21" ht="15" customHeight="1">
      <c r="B361" t="s">
        <v>898</v>
      </c>
      <c r="J361" t="s">
        <v>1039</v>
      </c>
      <c r="U361" t="s">
        <v>221</v>
      </c>
    </row>
    <row r="362" spans="2:21" ht="15" customHeight="1">
      <c r="B362" t="s">
        <v>894</v>
      </c>
      <c r="J362" t="s">
        <v>1036</v>
      </c>
      <c r="U362" t="s">
        <v>221</v>
      </c>
    </row>
    <row r="363" spans="2:21" ht="15" customHeight="1">
      <c r="B363" t="s">
        <v>897</v>
      </c>
      <c r="J363" t="s">
        <v>1038</v>
      </c>
      <c r="U363" t="s">
        <v>493</v>
      </c>
    </row>
    <row r="364" spans="2:21" ht="15" customHeight="1">
      <c r="B364" t="s">
        <v>893</v>
      </c>
      <c r="J364" t="s">
        <v>1035</v>
      </c>
      <c r="U364" t="s">
        <v>493</v>
      </c>
    </row>
    <row r="365" spans="2:21" ht="15" customHeight="1">
      <c r="B365" t="s">
        <v>896</v>
      </c>
      <c r="J365" t="s">
        <v>1131</v>
      </c>
      <c r="U365" t="s">
        <v>493</v>
      </c>
    </row>
    <row r="366" spans="2:21" ht="15" customHeight="1">
      <c r="B366" t="s">
        <v>797</v>
      </c>
      <c r="J366" t="s">
        <v>355</v>
      </c>
      <c r="U366" t="s">
        <v>1181</v>
      </c>
    </row>
    <row r="367" spans="2:21" ht="15" customHeight="1">
      <c r="B367" t="s">
        <v>650</v>
      </c>
      <c r="J367" t="s">
        <v>696</v>
      </c>
      <c r="U367" t="s">
        <v>221</v>
      </c>
    </row>
    <row r="368" spans="2:21" ht="15" customHeight="1">
      <c r="B368" t="s">
        <v>620</v>
      </c>
      <c r="J368" t="s">
        <v>666</v>
      </c>
      <c r="U368" t="s">
        <v>1257</v>
      </c>
    </row>
    <row r="369" spans="2:21" ht="15" customHeight="1">
      <c r="B369" s="21" t="s">
        <v>1162</v>
      </c>
      <c r="J369" s="21" t="s">
        <v>1169</v>
      </c>
      <c r="U369" t="s">
        <v>1324</v>
      </c>
    </row>
    <row r="370" spans="2:21" ht="15" customHeight="1">
      <c r="B370" s="22" t="s">
        <v>1163</v>
      </c>
      <c r="J370" s="22" t="s">
        <v>1170</v>
      </c>
      <c r="U370" t="s">
        <v>1183</v>
      </c>
    </row>
    <row r="371" spans="2:21" ht="15" customHeight="1">
      <c r="B371" s="22" t="s">
        <v>1164</v>
      </c>
      <c r="J371" s="22" t="s">
        <v>1171</v>
      </c>
      <c r="U371" t="s">
        <v>221</v>
      </c>
    </row>
    <row r="372" spans="2:21" ht="15" customHeight="1">
      <c r="B372" s="22" t="s">
        <v>1165</v>
      </c>
      <c r="J372" s="22" t="s">
        <v>1172</v>
      </c>
      <c r="U372" t="s">
        <v>221</v>
      </c>
    </row>
    <row r="373" spans="2:21" ht="15" customHeight="1">
      <c r="B373" s="22" t="s">
        <v>1166</v>
      </c>
      <c r="J373" s="22" t="s">
        <v>1174</v>
      </c>
      <c r="U373" t="s">
        <v>221</v>
      </c>
    </row>
    <row r="374" spans="2:21" ht="15" customHeight="1">
      <c r="B374" s="22" t="s">
        <v>1167</v>
      </c>
      <c r="J374" s="22" t="s">
        <v>1177</v>
      </c>
      <c r="U374" t="s">
        <v>221</v>
      </c>
    </row>
    <row r="375" spans="2:21" ht="15" customHeight="1">
      <c r="B375" s="22" t="s">
        <v>1168</v>
      </c>
      <c r="J375" s="22" t="s">
        <v>1179</v>
      </c>
      <c r="U375" t="s">
        <v>1325</v>
      </c>
    </row>
    <row r="376" spans="2:21" ht="15" customHeight="1">
      <c r="B376" s="22" t="s">
        <v>1168</v>
      </c>
      <c r="J376" s="22" t="s">
        <v>1180</v>
      </c>
      <c r="U376" t="s">
        <v>1326</v>
      </c>
    </row>
    <row r="377" spans="2:21" ht="15" customHeight="1">
      <c r="B377" t="s">
        <v>1162</v>
      </c>
      <c r="J377" t="s">
        <v>1169</v>
      </c>
      <c r="U377" t="s">
        <v>1324</v>
      </c>
    </row>
    <row r="378" spans="2:21" ht="15" customHeight="1">
      <c r="B378" t="s">
        <v>1163</v>
      </c>
      <c r="J378" t="s">
        <v>355</v>
      </c>
      <c r="U378" t="s">
        <v>1183</v>
      </c>
    </row>
    <row r="379" spans="2:21" ht="15" customHeight="1">
      <c r="B379" t="s">
        <v>1328</v>
      </c>
      <c r="J379" t="s">
        <v>1329</v>
      </c>
      <c r="U379" t="s">
        <v>1324</v>
      </c>
    </row>
    <row r="380" spans="2:21" ht="15" customHeight="1">
      <c r="B380" t="s">
        <v>1167</v>
      </c>
      <c r="J380" t="s">
        <v>1330</v>
      </c>
      <c r="U380" t="s">
        <v>1389</v>
      </c>
    </row>
    <row r="381" spans="2:21" ht="15" customHeight="1">
      <c r="B381" t="s">
        <v>1187</v>
      </c>
      <c r="J381" t="s">
        <v>1331</v>
      </c>
      <c r="U381" t="s">
        <v>1325</v>
      </c>
    </row>
    <row r="382" spans="2:21" ht="15" customHeight="1">
      <c r="B382" t="s">
        <v>1188</v>
      </c>
      <c r="J382" t="s">
        <v>1332</v>
      </c>
      <c r="U382" t="s">
        <v>1325</v>
      </c>
    </row>
    <row r="383" spans="2:21" ht="15" customHeight="1">
      <c r="B383" t="s">
        <v>1189</v>
      </c>
      <c r="J383" t="s">
        <v>1333</v>
      </c>
      <c r="U383" t="s">
        <v>1325</v>
      </c>
    </row>
    <row r="384" spans="2:21" ht="15" customHeight="1">
      <c r="B384" t="s">
        <v>1190</v>
      </c>
      <c r="J384" t="s">
        <v>1263</v>
      </c>
      <c r="U384" t="s">
        <v>1325</v>
      </c>
    </row>
    <row r="385" spans="2:21" ht="15" customHeight="1">
      <c r="B385" t="s">
        <v>1191</v>
      </c>
      <c r="J385" t="s">
        <v>1334</v>
      </c>
      <c r="U385" t="s">
        <v>1390</v>
      </c>
    </row>
    <row r="386" spans="2:21" ht="15" customHeight="1">
      <c r="B386" t="s">
        <v>1192</v>
      </c>
      <c r="J386" t="s">
        <v>1335</v>
      </c>
      <c r="U386" t="s">
        <v>1324</v>
      </c>
    </row>
    <row r="387" spans="2:21" ht="15" customHeight="1">
      <c r="B387" t="s">
        <v>1193</v>
      </c>
      <c r="J387" t="s">
        <v>1336</v>
      </c>
      <c r="U387" t="s">
        <v>1391</v>
      </c>
    </row>
    <row r="388" spans="2:21" ht="15" customHeight="1">
      <c r="B388" t="s">
        <v>1194</v>
      </c>
      <c r="J388" t="s">
        <v>1337</v>
      </c>
      <c r="U388" t="s">
        <v>1183</v>
      </c>
    </row>
    <row r="389" spans="2:21" ht="15" customHeight="1">
      <c r="B389" t="s">
        <v>1195</v>
      </c>
      <c r="J389" t="s">
        <v>1338</v>
      </c>
      <c r="U389" t="s">
        <v>1389</v>
      </c>
    </row>
    <row r="390" spans="2:21" ht="15" customHeight="1">
      <c r="B390" t="s">
        <v>1196</v>
      </c>
      <c r="J390" t="s">
        <v>1339</v>
      </c>
      <c r="U390" t="s">
        <v>1389</v>
      </c>
    </row>
    <row r="391" spans="2:21" ht="15" customHeight="1">
      <c r="B391" t="s">
        <v>1197</v>
      </c>
      <c r="J391" t="s">
        <v>1340</v>
      </c>
      <c r="U391" t="s">
        <v>1389</v>
      </c>
    </row>
    <row r="392" spans="2:21" ht="15" customHeight="1">
      <c r="B392" t="s">
        <v>1198</v>
      </c>
      <c r="J392" t="s">
        <v>1341</v>
      </c>
      <c r="U392" t="s">
        <v>1392</v>
      </c>
    </row>
    <row r="393" spans="2:21" ht="15" customHeight="1">
      <c r="B393" t="s">
        <v>1199</v>
      </c>
      <c r="J393" t="s">
        <v>1342</v>
      </c>
      <c r="U393" t="s">
        <v>1393</v>
      </c>
    </row>
    <row r="394" spans="2:21" ht="15" customHeight="1">
      <c r="B394" t="s">
        <v>1200</v>
      </c>
      <c r="J394" t="s">
        <v>1343</v>
      </c>
      <c r="U394" t="s">
        <v>1394</v>
      </c>
    </row>
    <row r="395" spans="2:21" ht="15" customHeight="1">
      <c r="B395" t="s">
        <v>1201</v>
      </c>
      <c r="J395" t="s">
        <v>1344</v>
      </c>
      <c r="U395" t="s">
        <v>1183</v>
      </c>
    </row>
    <row r="396" spans="2:21" ht="15" customHeight="1">
      <c r="B396" t="s">
        <v>1202</v>
      </c>
      <c r="J396" t="s">
        <v>1345</v>
      </c>
      <c r="U396" t="s">
        <v>1395</v>
      </c>
    </row>
    <row r="397" spans="2:21" ht="15" customHeight="1">
      <c r="B397" t="s">
        <v>1203</v>
      </c>
      <c r="J397" t="s">
        <v>1346</v>
      </c>
      <c r="U397" t="s">
        <v>1183</v>
      </c>
    </row>
    <row r="398" spans="2:21" ht="15" customHeight="1">
      <c r="B398" t="s">
        <v>1204</v>
      </c>
      <c r="J398" t="s">
        <v>1347</v>
      </c>
      <c r="U398" t="s">
        <v>1395</v>
      </c>
    </row>
    <row r="399" spans="2:21" ht="15" customHeight="1">
      <c r="B399" t="s">
        <v>1205</v>
      </c>
      <c r="J399" t="s">
        <v>1348</v>
      </c>
      <c r="U399" t="s">
        <v>1183</v>
      </c>
    </row>
    <row r="400" spans="2:21" ht="15" customHeight="1">
      <c r="B400" t="s">
        <v>1206</v>
      </c>
      <c r="J400" t="s">
        <v>1349</v>
      </c>
      <c r="U400" t="s">
        <v>1395</v>
      </c>
    </row>
    <row r="401" spans="2:21" ht="15" customHeight="1">
      <c r="B401" t="s">
        <v>1207</v>
      </c>
      <c r="J401" t="s">
        <v>1350</v>
      </c>
      <c r="U401" t="s">
        <v>1324</v>
      </c>
    </row>
    <row r="402" spans="2:21" ht="15" customHeight="1">
      <c r="B402" t="s">
        <v>1208</v>
      </c>
      <c r="J402" t="s">
        <v>1351</v>
      </c>
      <c r="U402" t="s">
        <v>1390</v>
      </c>
    </row>
    <row r="403" spans="2:21" ht="15" customHeight="1">
      <c r="B403" t="s">
        <v>1209</v>
      </c>
      <c r="J403" t="s">
        <v>1352</v>
      </c>
      <c r="U403" t="s">
        <v>1389</v>
      </c>
    </row>
    <row r="404" spans="2:21" ht="15" customHeight="1">
      <c r="B404" t="s">
        <v>1210</v>
      </c>
      <c r="J404" t="s">
        <v>1353</v>
      </c>
      <c r="U404" t="s">
        <v>1183</v>
      </c>
    </row>
    <row r="405" spans="2:21" ht="15" customHeight="1">
      <c r="B405" t="s">
        <v>1211</v>
      </c>
      <c r="J405" t="s">
        <v>1354</v>
      </c>
      <c r="U405" t="s">
        <v>1183</v>
      </c>
    </row>
    <row r="406" spans="2:21" ht="15" customHeight="1">
      <c r="B406" t="s">
        <v>1212</v>
      </c>
      <c r="J406" t="s">
        <v>1355</v>
      </c>
      <c r="U406" t="s">
        <v>1391</v>
      </c>
    </row>
    <row r="407" spans="2:21" ht="15" customHeight="1">
      <c r="B407" t="s">
        <v>1213</v>
      </c>
      <c r="J407" t="s">
        <v>1356</v>
      </c>
      <c r="U407" t="s">
        <v>1390</v>
      </c>
    </row>
    <row r="408" spans="2:21" ht="15" customHeight="1">
      <c r="B408" t="s">
        <v>1214</v>
      </c>
      <c r="J408" t="s">
        <v>1357</v>
      </c>
      <c r="U408" t="s">
        <v>1396</v>
      </c>
    </row>
    <row r="409" spans="2:21" ht="15" customHeight="1">
      <c r="B409" t="s">
        <v>1215</v>
      </c>
      <c r="J409" t="s">
        <v>1358</v>
      </c>
      <c r="U409" t="s">
        <v>1183</v>
      </c>
    </row>
    <row r="410" spans="2:21" ht="15" customHeight="1">
      <c r="B410" t="s">
        <v>1216</v>
      </c>
      <c r="J410" t="s">
        <v>1359</v>
      </c>
      <c r="U410" t="s">
        <v>1183</v>
      </c>
    </row>
    <row r="411" spans="2:21" ht="15" customHeight="1">
      <c r="B411" t="s">
        <v>1217</v>
      </c>
      <c r="J411" t="s">
        <v>1360</v>
      </c>
      <c r="U411" t="s">
        <v>1183</v>
      </c>
    </row>
    <row r="412" spans="2:21" ht="15" customHeight="1">
      <c r="B412" t="s">
        <v>1218</v>
      </c>
      <c r="J412" t="s">
        <v>1361</v>
      </c>
      <c r="U412" t="s">
        <v>1183</v>
      </c>
    </row>
    <row r="413" spans="2:21" ht="15" customHeight="1">
      <c r="B413" t="s">
        <v>1219</v>
      </c>
      <c r="J413" t="s">
        <v>1362</v>
      </c>
      <c r="U413" t="s">
        <v>1183</v>
      </c>
    </row>
    <row r="414" spans="2:21" ht="15" customHeight="1">
      <c r="B414" t="s">
        <v>1220</v>
      </c>
      <c r="J414" t="s">
        <v>1363</v>
      </c>
      <c r="U414" t="s">
        <v>1183</v>
      </c>
    </row>
    <row r="415" spans="2:21" ht="15" customHeight="1">
      <c r="B415" t="s">
        <v>1221</v>
      </c>
      <c r="J415" t="s">
        <v>1364</v>
      </c>
      <c r="U415" t="s">
        <v>1183</v>
      </c>
    </row>
    <row r="416" spans="2:21" ht="15" customHeight="1">
      <c r="B416" t="s">
        <v>1222</v>
      </c>
      <c r="J416" t="s">
        <v>1365</v>
      </c>
      <c r="U416" t="s">
        <v>1183</v>
      </c>
    </row>
    <row r="417" spans="2:21" ht="15" customHeight="1">
      <c r="B417" t="s">
        <v>1223</v>
      </c>
      <c r="J417" t="s">
        <v>1366</v>
      </c>
      <c r="U417" t="s">
        <v>1183</v>
      </c>
    </row>
    <row r="418" spans="2:21" ht="15" customHeight="1">
      <c r="B418" t="s">
        <v>1224</v>
      </c>
      <c r="J418" t="s">
        <v>1367</v>
      </c>
      <c r="U418" t="s">
        <v>1183</v>
      </c>
    </row>
    <row r="419" spans="2:21" ht="15" customHeight="1">
      <c r="B419" t="s">
        <v>1225</v>
      </c>
      <c r="J419" t="s">
        <v>1368</v>
      </c>
      <c r="U419" t="s">
        <v>1183</v>
      </c>
    </row>
    <row r="420" spans="2:21" ht="15" customHeight="1">
      <c r="B420" t="s">
        <v>1226</v>
      </c>
      <c r="J420" t="s">
        <v>1369</v>
      </c>
      <c r="U420" t="s">
        <v>1183</v>
      </c>
    </row>
    <row r="421" spans="2:21" ht="15" customHeight="1">
      <c r="B421" t="s">
        <v>1227</v>
      </c>
      <c r="J421" t="s">
        <v>1370</v>
      </c>
      <c r="U421" t="s">
        <v>1183</v>
      </c>
    </row>
    <row r="422" spans="2:21" ht="15" customHeight="1">
      <c r="B422" t="s">
        <v>1228</v>
      </c>
      <c r="J422" t="s">
        <v>1371</v>
      </c>
      <c r="U422" t="s">
        <v>1183</v>
      </c>
    </row>
    <row r="423" spans="2:21" ht="15" customHeight="1">
      <c r="B423" t="s">
        <v>1229</v>
      </c>
      <c r="J423" t="s">
        <v>1372</v>
      </c>
      <c r="U423" t="s">
        <v>1183</v>
      </c>
    </row>
    <row r="424" spans="2:21" ht="15" customHeight="1">
      <c r="B424" t="s">
        <v>1230</v>
      </c>
      <c r="J424" t="s">
        <v>1373</v>
      </c>
      <c r="U424" t="s">
        <v>1325</v>
      </c>
    </row>
    <row r="425" spans="2:21" ht="15" customHeight="1">
      <c r="B425" t="s">
        <v>1231</v>
      </c>
      <c r="J425" t="s">
        <v>1374</v>
      </c>
      <c r="U425" t="s">
        <v>1324</v>
      </c>
    </row>
    <row r="426" spans="2:21" ht="15" customHeight="1">
      <c r="B426" t="s">
        <v>1232</v>
      </c>
      <c r="J426" t="s">
        <v>1375</v>
      </c>
      <c r="U426" t="s">
        <v>1324</v>
      </c>
    </row>
    <row r="427" spans="2:21" ht="15" customHeight="1">
      <c r="B427" t="s">
        <v>1233</v>
      </c>
      <c r="J427" t="s">
        <v>1376</v>
      </c>
      <c r="U427" t="s">
        <v>1183</v>
      </c>
    </row>
    <row r="428" spans="2:21" ht="15" customHeight="1">
      <c r="B428" t="s">
        <v>1234</v>
      </c>
      <c r="J428" t="s">
        <v>1377</v>
      </c>
      <c r="U428" t="s">
        <v>1183</v>
      </c>
    </row>
    <row r="429" spans="2:21" ht="15" customHeight="1">
      <c r="B429" t="s">
        <v>1235</v>
      </c>
      <c r="J429" t="s">
        <v>1378</v>
      </c>
      <c r="U429" t="s">
        <v>1390</v>
      </c>
    </row>
    <row r="430" spans="2:21" ht="15" customHeight="1">
      <c r="B430" t="s">
        <v>1236</v>
      </c>
      <c r="J430" t="s">
        <v>1379</v>
      </c>
      <c r="U430" t="s">
        <v>1325</v>
      </c>
    </row>
    <row r="431" spans="2:21" ht="15" customHeight="1">
      <c r="B431" t="s">
        <v>1237</v>
      </c>
      <c r="J431" t="s">
        <v>1380</v>
      </c>
      <c r="U431" t="s">
        <v>1390</v>
      </c>
    </row>
    <row r="432" spans="2:21" ht="15" customHeight="1">
      <c r="B432" t="s">
        <v>1238</v>
      </c>
      <c r="J432" t="s">
        <v>1381</v>
      </c>
      <c r="U432" t="s">
        <v>1325</v>
      </c>
    </row>
    <row r="433" spans="2:21" ht="15" customHeight="1">
      <c r="B433" t="s">
        <v>1239</v>
      </c>
      <c r="J433" t="s">
        <v>1382</v>
      </c>
      <c r="U433" t="s">
        <v>1324</v>
      </c>
    </row>
    <row r="434" spans="2:21" ht="15" customHeight="1">
      <c r="B434" t="s">
        <v>1240</v>
      </c>
      <c r="J434" t="s">
        <v>1383</v>
      </c>
      <c r="U434" t="s">
        <v>1183</v>
      </c>
    </row>
    <row r="435" spans="2:21" ht="15" customHeight="1">
      <c r="B435" t="s">
        <v>1241</v>
      </c>
      <c r="J435" t="s">
        <v>1384</v>
      </c>
      <c r="U435" t="s">
        <v>1397</v>
      </c>
    </row>
    <row r="436" spans="2:21" ht="15" customHeight="1">
      <c r="B436" t="s">
        <v>1242</v>
      </c>
      <c r="J436" t="s">
        <v>1385</v>
      </c>
      <c r="U436" t="s">
        <v>1183</v>
      </c>
    </row>
    <row r="437" spans="2:21" ht="15" customHeight="1">
      <c r="B437" t="s">
        <v>1243</v>
      </c>
      <c r="J437" t="s">
        <v>1386</v>
      </c>
      <c r="U437" t="s">
        <v>1397</v>
      </c>
    </row>
    <row r="438" spans="2:21" ht="15" customHeight="1">
      <c r="B438" t="s">
        <v>1244</v>
      </c>
      <c r="J438" t="s">
        <v>1387</v>
      </c>
      <c r="U438" t="s">
        <v>1183</v>
      </c>
    </row>
    <row r="439" spans="2:21" ht="15" customHeight="1">
      <c r="B439" t="s">
        <v>1168</v>
      </c>
      <c r="J439" t="s">
        <v>1388</v>
      </c>
      <c r="U439" t="s">
        <v>1398</v>
      </c>
    </row>
  </sheetData>
  <autoFilter ref="B7:Y368" xr:uid="{CA03C224-14D2-431D-B6EC-6D31121C9CAC}">
    <sortState xmlns:xlrd2="http://schemas.microsoft.com/office/spreadsheetml/2017/richdata2" ref="B8:Y368">
      <sortCondition ref="B8:B368"/>
    </sortState>
  </autoFilter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0" orientation="landscape" r:id="rId1"/>
  <headerFooter>
    <oddHeader>&amp;R&amp;F</oddHeader>
    <oddFooter>&amp;C&amp;P / &amp;N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EBCE-D3FE-4722-A265-620A850A8D5B}">
  <sheetPr>
    <pageSetUpPr fitToPage="1"/>
  </sheetPr>
  <dimension ref="A1:BK55"/>
  <sheetViews>
    <sheetView view="pageBreakPreview" zoomScale="75" zoomScaleNormal="75" zoomScaleSheetLayoutView="75" workbookViewId="0">
      <selection activeCell="B7" sqref="B7:E12"/>
    </sheetView>
  </sheetViews>
  <sheetFormatPr defaultColWidth="2.77734375" defaultRowHeight="15" customHeight="1"/>
  <sheetData>
    <row r="1" spans="1:63" ht="24.95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2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3</v>
      </c>
      <c r="AQ1" s="145"/>
      <c r="AR1" s="145"/>
      <c r="AS1" s="146"/>
      <c r="AT1" s="144" t="s">
        <v>4</v>
      </c>
      <c r="AU1" s="145"/>
      <c r="AV1" s="145"/>
      <c r="AW1" s="145"/>
      <c r="AX1" s="146"/>
      <c r="AY1" s="144" t="s">
        <v>5</v>
      </c>
      <c r="AZ1" s="145"/>
      <c r="BA1" s="145"/>
      <c r="BB1" s="146"/>
      <c r="BC1" s="144" t="s">
        <v>6</v>
      </c>
      <c r="BD1" s="145"/>
      <c r="BE1" s="145"/>
      <c r="BF1" s="145"/>
      <c r="BG1" s="146"/>
      <c r="BH1" s="144" t="s">
        <v>7</v>
      </c>
      <c r="BI1" s="145"/>
      <c r="BJ1" s="145"/>
      <c r="BK1" s="146"/>
    </row>
    <row r="2" spans="1:63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</row>
    <row r="3" spans="1:63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</row>
    <row r="4" spans="1:63" ht="24.95" customHeight="1">
      <c r="A4" s="144" t="s">
        <v>1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8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 cm="1">
        <f t="array" aca="1" ref="AP4" ca="1">RIGHT(CELL("filename",$A$1),LEN(CELL("filename",$A$1))-FIND("]",CELL("filename",$A$1)))</f>
        <v>データ型定義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517</v>
      </c>
      <c r="BK7" s="4"/>
    </row>
    <row r="8" spans="1:63" ht="15" customHeight="1">
      <c r="A8" s="1"/>
      <c r="B8" t="s">
        <v>449</v>
      </c>
      <c r="E8" t="s">
        <v>520</v>
      </c>
      <c r="BK8" s="4"/>
    </row>
    <row r="9" spans="1:63" ht="15" customHeight="1">
      <c r="A9" s="1"/>
      <c r="B9" t="s">
        <v>454</v>
      </c>
      <c r="E9" t="s">
        <v>249</v>
      </c>
      <c r="BK9" s="4"/>
    </row>
    <row r="10" spans="1:63" ht="15" customHeight="1">
      <c r="A10" s="1"/>
      <c r="B10" t="s">
        <v>451</v>
      </c>
      <c r="E10" t="s">
        <v>522</v>
      </c>
      <c r="BK10" s="4"/>
    </row>
    <row r="11" spans="1:63" ht="15" customHeight="1">
      <c r="A11" s="1"/>
      <c r="B11" t="s">
        <v>518</v>
      </c>
      <c r="E11" t="s">
        <v>523</v>
      </c>
      <c r="BK11" s="4"/>
    </row>
    <row r="12" spans="1:63" ht="15" customHeight="1">
      <c r="A12" s="1"/>
      <c r="B12" t="s">
        <v>519</v>
      </c>
      <c r="E12" t="s">
        <v>494</v>
      </c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E18E-48E6-4316-B5ED-170A7BDF41C9}">
  <sheetPr>
    <pageSetUpPr fitToPage="1"/>
  </sheetPr>
  <dimension ref="A1:CA84"/>
  <sheetViews>
    <sheetView view="pageBreakPreview" zoomScale="75" zoomScaleNormal="75" zoomScaleSheetLayoutView="75" workbookViewId="0">
      <selection activeCell="BM42" sqref="BM42"/>
    </sheetView>
  </sheetViews>
  <sheetFormatPr defaultColWidth="2.77734375" defaultRowHeight="15" customHeight="1"/>
  <cols>
    <col min="2" max="2" width="2.77734375" customWidth="1"/>
    <col min="29" max="29" width="2.77734375" customWidth="1"/>
    <col min="46" max="46" width="2.77734375" customWidth="1"/>
    <col min="55" max="55" width="2.77734375" customWidth="1"/>
    <col min="60" max="60" width="2.77734375" customWidth="1"/>
  </cols>
  <sheetData>
    <row r="1" spans="1:79" ht="24.95" customHeight="1">
      <c r="A1" s="144" t="s">
        <v>508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510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DB定義書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511</v>
      </c>
      <c r="AQ1" s="145"/>
      <c r="AR1" s="145"/>
      <c r="AS1" s="146"/>
      <c r="AT1" s="144" t="s">
        <v>512</v>
      </c>
      <c r="AU1" s="145"/>
      <c r="AV1" s="145"/>
      <c r="AW1" s="145"/>
      <c r="AX1" s="146"/>
      <c r="AY1" s="144" t="s">
        <v>513</v>
      </c>
      <c r="AZ1" s="145"/>
      <c r="BA1" s="145"/>
      <c r="BB1" s="146"/>
      <c r="BC1" s="144" t="s">
        <v>514</v>
      </c>
      <c r="BD1" s="145"/>
      <c r="BE1" s="145"/>
      <c r="BF1" s="145"/>
      <c r="BG1" s="146"/>
      <c r="BH1" s="144" t="s">
        <v>515</v>
      </c>
      <c r="BI1" s="145"/>
      <c r="BJ1" s="145"/>
      <c r="BK1" s="146"/>
      <c r="BQ1" t="s">
        <v>223</v>
      </c>
      <c r="BS1" t="s">
        <v>223</v>
      </c>
      <c r="BU1" t="s">
        <v>223</v>
      </c>
      <c r="BW1" t="s">
        <v>223</v>
      </c>
      <c r="BY1" t="s">
        <v>223</v>
      </c>
      <c r="CA1" t="s">
        <v>223</v>
      </c>
    </row>
    <row r="2" spans="1:79" ht="15" customHeight="1">
      <c r="A2" s="129" t="str">
        <f>IF(表紙!A2="","",表紙!A2)</f>
        <v>現金専用簡易セルフPOS</v>
      </c>
      <c r="B2" s="130"/>
      <c r="C2" s="130"/>
      <c r="D2" s="130"/>
      <c r="E2" s="130"/>
      <c r="F2" s="130"/>
      <c r="G2" s="130"/>
      <c r="H2" s="130"/>
      <c r="I2" s="130"/>
      <c r="J2" s="131"/>
      <c r="K2" s="129" t="str">
        <f>IF(表紙!K2="","",表紙!K2)</f>
        <v/>
      </c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29" t="str">
        <f>IF(表紙!AP2="","",表紙!AP2)</f>
        <v>きよはら</v>
      </c>
      <c r="AQ2" s="130"/>
      <c r="AR2" s="130"/>
      <c r="AS2" s="131"/>
      <c r="AT2" s="162">
        <f>IF(表紙!AT2="","",表紙!AT2)</f>
        <v>44652</v>
      </c>
      <c r="AU2" s="163"/>
      <c r="AV2" s="163"/>
      <c r="AW2" s="163"/>
      <c r="AX2" s="164"/>
      <c r="AY2" s="129" t="str">
        <f>IF(表紙!AY2="","",表紙!AY2)</f>
        <v>Thanh Nguyên</v>
      </c>
      <c r="AZ2" s="130"/>
      <c r="BA2" s="130"/>
      <c r="BB2" s="131"/>
      <c r="BC2" s="162">
        <f>IF(表紙!BC2="","",表紙!BC2)</f>
        <v>45285</v>
      </c>
      <c r="BD2" s="163"/>
      <c r="BE2" s="163"/>
      <c r="BF2" s="163"/>
      <c r="BG2" s="164"/>
      <c r="BH2" s="129">
        <f>IF(表紙!BH2="","",表紙!BH2)</f>
        <v>0.2</v>
      </c>
      <c r="BI2" s="130"/>
      <c r="BJ2" s="130"/>
      <c r="BK2" s="131"/>
      <c r="BQ2" t="s">
        <v>223</v>
      </c>
      <c r="BS2" t="s">
        <v>223</v>
      </c>
      <c r="BU2" t="s">
        <v>223</v>
      </c>
      <c r="BW2" t="s">
        <v>223</v>
      </c>
      <c r="BY2" t="s">
        <v>223</v>
      </c>
      <c r="CA2" t="s">
        <v>223</v>
      </c>
    </row>
    <row r="3" spans="1:79" ht="15" customHeight="1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35"/>
      <c r="AQ3" s="136"/>
      <c r="AR3" s="136"/>
      <c r="AS3" s="137"/>
      <c r="AT3" s="165"/>
      <c r="AU3" s="166"/>
      <c r="AV3" s="166"/>
      <c r="AW3" s="166"/>
      <c r="AX3" s="167"/>
      <c r="AY3" s="135"/>
      <c r="AZ3" s="136"/>
      <c r="BA3" s="136"/>
      <c r="BB3" s="137"/>
      <c r="BC3" s="165"/>
      <c r="BD3" s="166"/>
      <c r="BE3" s="166"/>
      <c r="BF3" s="166"/>
      <c r="BG3" s="167"/>
      <c r="BH3" s="135"/>
      <c r="BI3" s="136"/>
      <c r="BJ3" s="136"/>
      <c r="BK3" s="137"/>
      <c r="BQ3" t="s">
        <v>223</v>
      </c>
      <c r="BS3" t="s">
        <v>223</v>
      </c>
      <c r="BU3" t="s">
        <v>223</v>
      </c>
      <c r="BW3" t="s">
        <v>223</v>
      </c>
      <c r="BY3" t="s">
        <v>223</v>
      </c>
      <c r="CA3" t="s">
        <v>223</v>
      </c>
    </row>
    <row r="4" spans="1:79" ht="24.95" customHeight="1">
      <c r="A4" s="144" t="s">
        <v>509</v>
      </c>
      <c r="B4" s="145"/>
      <c r="C4" s="145"/>
      <c r="D4" s="145"/>
      <c r="E4" s="145"/>
      <c r="F4" s="145"/>
      <c r="G4" s="146"/>
      <c r="H4" s="169" t="str">
        <f>IF(表紙!H4="","",表紙!H4)</f>
        <v>共通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1"/>
      <c r="U4" s="144" t="s">
        <v>516</v>
      </c>
      <c r="V4" s="145"/>
      <c r="W4" s="145"/>
      <c r="X4" s="145"/>
      <c r="Y4" s="146"/>
      <c r="Z4" s="169" t="str">
        <f>IF(表紙!Z4="","",表紙!Z4)</f>
        <v/>
      </c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1"/>
      <c r="AP4" s="169" t="str" cm="1">
        <f t="array" aca="1" ref="AP4" ca="1">RIGHT(CELL("filename",$A$1),LEN(CELL("filename",$A$1))-FIND("]",CELL("filename",$A$1)))</f>
        <v>テンプレート</v>
      </c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1"/>
      <c r="BQ4" t="s">
        <v>223</v>
      </c>
      <c r="BS4" t="s">
        <v>223</v>
      </c>
      <c r="BU4" t="s">
        <v>223</v>
      </c>
      <c r="BW4" t="s">
        <v>223</v>
      </c>
      <c r="BY4" t="s">
        <v>223</v>
      </c>
      <c r="CA4" t="s">
        <v>223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223</v>
      </c>
      <c r="BS5" t="s">
        <v>223</v>
      </c>
      <c r="BU5" t="s">
        <v>223</v>
      </c>
      <c r="BW5" t="s">
        <v>223</v>
      </c>
      <c r="BY5" t="s">
        <v>223</v>
      </c>
      <c r="CA5" t="s">
        <v>223</v>
      </c>
    </row>
    <row r="6" spans="1:79" ht="15" customHeight="1">
      <c r="A6" s="1"/>
      <c r="BK6" s="4"/>
      <c r="BQ6" t="s">
        <v>223</v>
      </c>
      <c r="BS6" t="s">
        <v>223</v>
      </c>
      <c r="BU6" t="s">
        <v>223</v>
      </c>
      <c r="BW6" t="s">
        <v>223</v>
      </c>
      <c r="BY6" t="s">
        <v>223</v>
      </c>
      <c r="CA6" t="s">
        <v>223</v>
      </c>
    </row>
    <row r="7" spans="1:79" ht="15" customHeight="1">
      <c r="A7" s="1"/>
      <c r="B7" t="s">
        <v>20</v>
      </c>
      <c r="BK7" s="4"/>
      <c r="BQ7" t="s">
        <v>223</v>
      </c>
      <c r="BS7" t="s">
        <v>223</v>
      </c>
      <c r="BU7" t="s">
        <v>223</v>
      </c>
      <c r="BW7" t="s">
        <v>223</v>
      </c>
      <c r="BY7" t="s">
        <v>223</v>
      </c>
      <c r="CA7" t="s">
        <v>223</v>
      </c>
    </row>
    <row r="8" spans="1:79" ht="15" customHeight="1">
      <c r="A8" s="1"/>
      <c r="B8" s="224" t="s">
        <v>495</v>
      </c>
      <c r="C8" s="225"/>
      <c r="D8" s="225"/>
      <c r="E8" s="225"/>
      <c r="F8" s="226"/>
      <c r="G8" s="227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9"/>
      <c r="Y8" s="224" t="s">
        <v>496</v>
      </c>
      <c r="Z8" s="225"/>
      <c r="AA8" s="225"/>
      <c r="AB8" s="225"/>
      <c r="AC8" s="226"/>
      <c r="AD8" s="227"/>
      <c r="AE8" s="228"/>
      <c r="AF8" s="228"/>
      <c r="AG8" s="228"/>
      <c r="AH8" s="228"/>
      <c r="AI8" s="228"/>
      <c r="AJ8" s="228"/>
      <c r="AK8" s="228"/>
      <c r="AL8" s="228"/>
      <c r="AM8" s="228"/>
      <c r="AN8" s="229"/>
      <c r="BK8" s="4"/>
      <c r="BQ8" t="s">
        <v>223</v>
      </c>
      <c r="BS8" t="s">
        <v>223</v>
      </c>
      <c r="BU8" t="s">
        <v>223</v>
      </c>
      <c r="BW8" t="s">
        <v>223</v>
      </c>
      <c r="BY8" t="s">
        <v>223</v>
      </c>
      <c r="CA8" t="s">
        <v>223</v>
      </c>
    </row>
    <row r="9" spans="1:79" ht="15" customHeight="1">
      <c r="A9" s="1"/>
      <c r="B9" s="239" t="s">
        <v>497</v>
      </c>
      <c r="C9" s="240"/>
      <c r="D9" s="240"/>
      <c r="E9" s="240"/>
      <c r="F9" s="241"/>
      <c r="G9" s="233" t="s">
        <v>225</v>
      </c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5"/>
      <c r="Y9" s="239" t="s">
        <v>498</v>
      </c>
      <c r="Z9" s="240"/>
      <c r="AA9" s="240"/>
      <c r="AB9" s="240"/>
      <c r="AC9" s="241"/>
      <c r="AD9" s="242"/>
      <c r="AE9" s="243"/>
      <c r="AF9" s="243"/>
      <c r="AG9" s="243"/>
      <c r="AH9" s="243"/>
      <c r="AI9" s="243"/>
      <c r="AJ9" s="243"/>
      <c r="AK9" s="243"/>
      <c r="AL9" s="243"/>
      <c r="AM9" s="243"/>
      <c r="AN9" s="244"/>
      <c r="BK9" s="4"/>
      <c r="BQ9" t="s">
        <v>223</v>
      </c>
      <c r="BS9" t="s">
        <v>223</v>
      </c>
      <c r="BU9" t="s">
        <v>223</v>
      </c>
      <c r="BW9" t="s">
        <v>223</v>
      </c>
      <c r="BY9" t="s">
        <v>223</v>
      </c>
      <c r="CA9" t="s">
        <v>223</v>
      </c>
    </row>
    <row r="10" spans="1:79" ht="15" customHeight="1">
      <c r="A10" s="1"/>
      <c r="B10" s="245" t="s">
        <v>499</v>
      </c>
      <c r="C10" s="246"/>
      <c r="D10" s="246"/>
      <c r="E10" s="246"/>
      <c r="F10" s="247"/>
      <c r="G10" s="236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8"/>
      <c r="Y10" s="245"/>
      <c r="Z10" s="246"/>
      <c r="AA10" s="246"/>
      <c r="AB10" s="246"/>
      <c r="AC10" s="247"/>
      <c r="AD10" s="248"/>
      <c r="AE10" s="249"/>
      <c r="AF10" s="249"/>
      <c r="AG10" s="249"/>
      <c r="AH10" s="249"/>
      <c r="AI10" s="249"/>
      <c r="AJ10" s="249"/>
      <c r="AK10" s="249"/>
      <c r="AL10" s="249"/>
      <c r="AM10" s="249"/>
      <c r="AN10" s="250"/>
      <c r="BK10" s="4"/>
      <c r="BQ10" t="s">
        <v>223</v>
      </c>
      <c r="BS10" t="s">
        <v>223</v>
      </c>
      <c r="BU10" t="s">
        <v>223</v>
      </c>
      <c r="BW10" t="s">
        <v>223</v>
      </c>
      <c r="BY10" t="s">
        <v>223</v>
      </c>
      <c r="CA10" t="s">
        <v>223</v>
      </c>
    </row>
    <row r="11" spans="1:79" ht="15" customHeight="1">
      <c r="A11" s="1"/>
      <c r="B11" s="230" t="s">
        <v>500</v>
      </c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2"/>
      <c r="BK11" s="4"/>
      <c r="BQ11" t="s">
        <v>223</v>
      </c>
      <c r="BS11" t="s">
        <v>223</v>
      </c>
      <c r="BU11" t="s">
        <v>223</v>
      </c>
      <c r="BW11" t="s">
        <v>223</v>
      </c>
      <c r="BY11" t="s">
        <v>223</v>
      </c>
      <c r="CA11" t="s">
        <v>223</v>
      </c>
    </row>
    <row r="12" spans="1:79" ht="15" customHeight="1">
      <c r="A12" s="1"/>
      <c r="B12" s="227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9"/>
      <c r="BK12" s="4"/>
      <c r="BQ12" t="s">
        <v>223</v>
      </c>
      <c r="BS12" t="s">
        <v>223</v>
      </c>
      <c r="BU12" t="s">
        <v>223</v>
      </c>
      <c r="BW12" t="s">
        <v>223</v>
      </c>
      <c r="BY12" t="s">
        <v>223</v>
      </c>
      <c r="CA12" t="s">
        <v>223</v>
      </c>
    </row>
    <row r="13" spans="1:79" ht="15" customHeight="1">
      <c r="A13" s="1"/>
      <c r="B13" s="233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5"/>
      <c r="BK13" s="4"/>
      <c r="BQ13" t="s">
        <v>223</v>
      </c>
      <c r="BS13" t="s">
        <v>223</v>
      </c>
      <c r="BU13" t="s">
        <v>223</v>
      </c>
      <c r="BW13" t="s">
        <v>223</v>
      </c>
      <c r="BY13" t="s">
        <v>223</v>
      </c>
      <c r="CA13" t="s">
        <v>223</v>
      </c>
    </row>
    <row r="14" spans="1:79" ht="15" customHeight="1">
      <c r="A14" s="1"/>
      <c r="B14" s="233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BK14" s="4"/>
      <c r="BQ14" t="s">
        <v>223</v>
      </c>
      <c r="BS14" t="s">
        <v>223</v>
      </c>
      <c r="BU14" t="s">
        <v>223</v>
      </c>
      <c r="BW14" t="s">
        <v>223</v>
      </c>
      <c r="BY14" t="s">
        <v>223</v>
      </c>
      <c r="CA14" t="s">
        <v>223</v>
      </c>
    </row>
    <row r="15" spans="1:79" ht="15" customHeight="1">
      <c r="A15" s="1"/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5"/>
      <c r="BK15" s="4"/>
      <c r="BQ15" t="s">
        <v>223</v>
      </c>
      <c r="BS15" t="s">
        <v>223</v>
      </c>
      <c r="BU15" t="s">
        <v>223</v>
      </c>
      <c r="BW15" t="s">
        <v>223</v>
      </c>
      <c r="BY15" t="s">
        <v>223</v>
      </c>
      <c r="CA15" t="s">
        <v>223</v>
      </c>
    </row>
    <row r="16" spans="1:79" ht="15" customHeight="1">
      <c r="A16" s="1"/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8"/>
      <c r="BK16" s="4"/>
      <c r="BQ16" t="s">
        <v>223</v>
      </c>
      <c r="BS16" t="s">
        <v>223</v>
      </c>
      <c r="BU16" t="s">
        <v>223</v>
      </c>
      <c r="BW16" t="s">
        <v>223</v>
      </c>
      <c r="BY16" t="s">
        <v>223</v>
      </c>
      <c r="CA16" t="s">
        <v>223</v>
      </c>
    </row>
    <row r="17" spans="1:79" ht="15" customHeight="1">
      <c r="A17" s="1"/>
      <c r="BK17" s="4"/>
      <c r="BQ17" t="s">
        <v>223</v>
      </c>
      <c r="BS17" t="s">
        <v>223</v>
      </c>
      <c r="BU17" t="s">
        <v>223</v>
      </c>
      <c r="BW17" t="s">
        <v>223</v>
      </c>
      <c r="BY17" t="s">
        <v>223</v>
      </c>
      <c r="CA17" t="s">
        <v>223</v>
      </c>
    </row>
    <row r="18" spans="1:79" ht="15" customHeight="1">
      <c r="A18" s="1"/>
      <c r="BK18" s="4"/>
      <c r="BQ18" t="s">
        <v>223</v>
      </c>
      <c r="BS18" t="s">
        <v>223</v>
      </c>
      <c r="BU18" t="s">
        <v>223</v>
      </c>
      <c r="BW18" t="s">
        <v>223</v>
      </c>
      <c r="BY18" t="s">
        <v>223</v>
      </c>
      <c r="CA18" t="s">
        <v>223</v>
      </c>
    </row>
    <row r="19" spans="1:79" ht="15" customHeight="1">
      <c r="A19" s="1"/>
      <c r="B19" t="s">
        <v>21</v>
      </c>
      <c r="BK19" s="4"/>
      <c r="BP19" s="82" t="str">
        <f>"DROP TABLE IF EXISTS `"&amp;$G$8&amp;"`.`"&amp;$G$10&amp;"`;"</f>
        <v>DROP TABLE IF EXISTS ``.``;</v>
      </c>
      <c r="BQ19" t="s">
        <v>223</v>
      </c>
      <c r="BS19" t="s">
        <v>223</v>
      </c>
      <c r="BU19" t="s">
        <v>223</v>
      </c>
      <c r="BW19" t="s">
        <v>223</v>
      </c>
      <c r="BY19" t="s">
        <v>223</v>
      </c>
      <c r="CA19" t="s">
        <v>223</v>
      </c>
    </row>
    <row r="20" spans="1:79" ht="15" customHeight="1">
      <c r="A20" s="1"/>
      <c r="B20" s="33" t="s">
        <v>22</v>
      </c>
      <c r="C20" s="34"/>
      <c r="D20" s="33" t="s">
        <v>23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4"/>
      <c r="R20" s="33" t="s">
        <v>24</v>
      </c>
      <c r="S20" s="35"/>
      <c r="T20" s="35"/>
      <c r="U20" s="35"/>
      <c r="V20" s="35"/>
      <c r="W20" s="35"/>
      <c r="X20" s="35"/>
      <c r="Y20" s="35"/>
      <c r="Z20" s="35"/>
      <c r="AA20" s="35"/>
      <c r="AB20" s="34"/>
      <c r="AC20" s="33" t="s">
        <v>25</v>
      </c>
      <c r="AD20" s="35"/>
      <c r="AE20" s="35"/>
      <c r="AF20" s="35"/>
      <c r="AG20" s="34"/>
      <c r="AH20" s="33" t="s">
        <v>26</v>
      </c>
      <c r="AI20" s="34"/>
      <c r="AJ20" s="33" t="s">
        <v>27</v>
      </c>
      <c r="AK20" s="35"/>
      <c r="AL20" s="34"/>
      <c r="AM20" s="33" t="s">
        <v>28</v>
      </c>
      <c r="AN20" s="35"/>
      <c r="AO20" s="35"/>
      <c r="AP20" s="35"/>
      <c r="AQ20" s="35"/>
      <c r="AR20" s="35"/>
      <c r="AS20" s="34"/>
      <c r="AT20" s="33" t="s">
        <v>29</v>
      </c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4"/>
      <c r="BK20" s="4"/>
      <c r="BP20" s="82" t="str">
        <f>"CREATE TABLE `"&amp;$G$8&amp;"`.`"&amp;$G$10&amp;"` ("</f>
        <v>CREATE TABLE ``.`` (</v>
      </c>
      <c r="BQ20" t="s">
        <v>223</v>
      </c>
      <c r="BS20" t="s">
        <v>223</v>
      </c>
      <c r="BU20" t="s">
        <v>223</v>
      </c>
      <c r="BW20" t="s">
        <v>223</v>
      </c>
      <c r="BY20" t="s">
        <v>223</v>
      </c>
      <c r="CA20" t="s">
        <v>223</v>
      </c>
    </row>
    <row r="21" spans="1:79" ht="15" customHeight="1">
      <c r="A21" s="1"/>
      <c r="B21" s="66">
        <v>1</v>
      </c>
      <c r="C21" s="67"/>
      <c r="D21" s="68" t="s">
        <v>30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68" t="s">
        <v>210</v>
      </c>
      <c r="S21" s="69"/>
      <c r="T21" s="69"/>
      <c r="U21" s="69"/>
      <c r="V21" s="69"/>
      <c r="W21" s="69"/>
      <c r="X21" s="69"/>
      <c r="Y21" s="69"/>
      <c r="Z21" s="69"/>
      <c r="AA21" s="69"/>
      <c r="AB21" s="70"/>
      <c r="AC21" s="68" t="s">
        <v>217</v>
      </c>
      <c r="AD21" s="69"/>
      <c r="AE21" s="69"/>
      <c r="AF21" s="69"/>
      <c r="AG21" s="70"/>
      <c r="AH21" s="68"/>
      <c r="AI21" s="70"/>
      <c r="AJ21" s="68" t="s">
        <v>224</v>
      </c>
      <c r="AK21" s="69"/>
      <c r="AL21" s="70"/>
      <c r="AM21" s="68" t="s">
        <v>31</v>
      </c>
      <c r="AN21" s="69"/>
      <c r="AO21" s="69"/>
      <c r="AP21" s="69"/>
      <c r="AQ21" s="69"/>
      <c r="AR21" s="69"/>
      <c r="AS21" s="70"/>
      <c r="AT21" s="68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/>
      <c r="BK21" s="4"/>
      <c r="BP21" s="82" t="s">
        <v>240</v>
      </c>
      <c r="BQ21" t="s">
        <v>223</v>
      </c>
      <c r="BR21" t="s">
        <v>223</v>
      </c>
      <c r="BS21" t="s">
        <v>223</v>
      </c>
      <c r="BU21" t="s">
        <v>223</v>
      </c>
      <c r="BW21" t="s">
        <v>223</v>
      </c>
      <c r="BY21" t="s">
        <v>223</v>
      </c>
      <c r="CA21" t="s">
        <v>223</v>
      </c>
    </row>
    <row r="22" spans="1:79" ht="15" customHeight="1">
      <c r="A22" s="1"/>
      <c r="B22" s="71">
        <f>B21+1</f>
        <v>2</v>
      </c>
      <c r="C22" s="72"/>
      <c r="D22" s="73" t="s">
        <v>205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73" t="s">
        <v>211</v>
      </c>
      <c r="S22" s="74"/>
      <c r="T22" s="74"/>
      <c r="U22" s="74"/>
      <c r="V22" s="74"/>
      <c r="W22" s="74"/>
      <c r="X22" s="74"/>
      <c r="Y22" s="74"/>
      <c r="Z22" s="74"/>
      <c r="AA22" s="74"/>
      <c r="AB22" s="75"/>
      <c r="AC22" s="73" t="s">
        <v>218</v>
      </c>
      <c r="AD22" s="74"/>
      <c r="AE22" s="74"/>
      <c r="AF22" s="74"/>
      <c r="AG22" s="75"/>
      <c r="AH22" s="73"/>
      <c r="AI22" s="75"/>
      <c r="AJ22" s="73" t="s">
        <v>224</v>
      </c>
      <c r="AK22" s="74"/>
      <c r="AL22" s="75"/>
      <c r="AM22" s="73" t="s">
        <v>69</v>
      </c>
      <c r="AN22" s="74"/>
      <c r="AO22" s="74"/>
      <c r="AP22" s="74"/>
      <c r="AQ22" s="74"/>
      <c r="AR22" s="74"/>
      <c r="AS22" s="75"/>
      <c r="AT22" s="73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5"/>
      <c r="BK22" s="4"/>
      <c r="BP22" s="82" t="s">
        <v>239</v>
      </c>
      <c r="BQ22" t="s">
        <v>223</v>
      </c>
      <c r="BR22" t="s">
        <v>223</v>
      </c>
      <c r="BS22" t="s">
        <v>223</v>
      </c>
      <c r="BU22" t="s">
        <v>223</v>
      </c>
      <c r="BW22" t="s">
        <v>223</v>
      </c>
      <c r="BY22" t="s">
        <v>223</v>
      </c>
      <c r="CA22" t="s">
        <v>223</v>
      </c>
    </row>
    <row r="23" spans="1:79" ht="15" customHeight="1">
      <c r="A23" s="1"/>
      <c r="B23" s="71">
        <f t="shared" ref="B23:B26" si="0">B22+1</f>
        <v>3</v>
      </c>
      <c r="C23" s="72"/>
      <c r="D23" s="73" t="s">
        <v>206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3" t="s">
        <v>212</v>
      </c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3" t="s">
        <v>219</v>
      </c>
      <c r="AD23" s="74"/>
      <c r="AE23" s="74"/>
      <c r="AF23" s="74"/>
      <c r="AG23" s="75"/>
      <c r="AH23" s="73"/>
      <c r="AI23" s="75"/>
      <c r="AJ23" s="73" t="s">
        <v>224</v>
      </c>
      <c r="AK23" s="74"/>
      <c r="AL23" s="75"/>
      <c r="AM23" s="73" t="s">
        <v>70</v>
      </c>
      <c r="AN23" s="74"/>
      <c r="AO23" s="74"/>
      <c r="AP23" s="74"/>
      <c r="AQ23" s="74"/>
      <c r="AR23" s="74"/>
      <c r="AS23" s="75"/>
      <c r="AT23" s="73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5"/>
      <c r="BK23" s="4"/>
      <c r="BP23" s="82" t="s">
        <v>238</v>
      </c>
      <c r="BQ23" t="s">
        <v>223</v>
      </c>
      <c r="BR23" t="s">
        <v>223</v>
      </c>
      <c r="BS23" t="s">
        <v>223</v>
      </c>
      <c r="BU23" t="s">
        <v>223</v>
      </c>
      <c r="BV23" s="82" t="s">
        <v>230</v>
      </c>
      <c r="BW23" t="s">
        <v>223</v>
      </c>
      <c r="BY23" t="s">
        <v>223</v>
      </c>
      <c r="CA23" t="s">
        <v>223</v>
      </c>
    </row>
    <row r="24" spans="1:79" ht="15" customHeight="1">
      <c r="A24" s="1"/>
      <c r="B24" s="71">
        <f t="shared" si="0"/>
        <v>4</v>
      </c>
      <c r="C24" s="72"/>
      <c r="D24" s="73" t="s">
        <v>207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5"/>
      <c r="R24" s="73" t="s">
        <v>213</v>
      </c>
      <c r="S24" s="74"/>
      <c r="T24" s="74"/>
      <c r="U24" s="74"/>
      <c r="V24" s="74"/>
      <c r="W24" s="74"/>
      <c r="X24" s="74"/>
      <c r="Y24" s="74"/>
      <c r="Z24" s="74"/>
      <c r="AA24" s="74"/>
      <c r="AB24" s="75"/>
      <c r="AC24" s="73" t="s">
        <v>218</v>
      </c>
      <c r="AD24" s="74"/>
      <c r="AE24" s="74"/>
      <c r="AF24" s="74"/>
      <c r="AG24" s="75"/>
      <c r="AH24" s="73"/>
      <c r="AI24" s="75"/>
      <c r="AJ24" s="73" t="s">
        <v>224</v>
      </c>
      <c r="AK24" s="74"/>
      <c r="AL24" s="75"/>
      <c r="AM24" s="73" t="s">
        <v>69</v>
      </c>
      <c r="AN24" s="74"/>
      <c r="AO24" s="74"/>
      <c r="AP24" s="74"/>
      <c r="AQ24" s="74"/>
      <c r="AR24" s="74"/>
      <c r="AS24" s="75"/>
      <c r="AT24" s="76" t="s">
        <v>71</v>
      </c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5"/>
      <c r="BK24" s="4"/>
      <c r="BP24" s="82" t="s">
        <v>237</v>
      </c>
      <c r="BQ24" t="s">
        <v>223</v>
      </c>
      <c r="BS24" t="s">
        <v>223</v>
      </c>
      <c r="BT24" s="82" t="str">
        <f>"LOAD DATA INFILE 'C:/04_DATAFILE/"&amp;$G$10&amp;"/TMP/"&amp;$G$10&amp;".CSV' "</f>
        <v xml:space="preserve">LOAD DATA INFILE 'C:/04_DATAFILE//TMP/.CSV' </v>
      </c>
      <c r="BU24" t="s">
        <v>223</v>
      </c>
      <c r="BV24" s="82" t="str">
        <f>"UPDATE `POS_MASTER`.`"&amp;$G$10&amp;"` A,`TMP`.`"&amp;$G$10&amp;"` B"</f>
        <v>UPDATE `POS_MASTER`.`` A,`TMP`.`` B</v>
      </c>
      <c r="BW24" t="s">
        <v>223</v>
      </c>
      <c r="BY24" t="s">
        <v>223</v>
      </c>
      <c r="CA24" t="s">
        <v>223</v>
      </c>
    </row>
    <row r="25" spans="1:79" ht="15" customHeight="1">
      <c r="A25" s="1"/>
      <c r="B25" s="71">
        <f t="shared" si="0"/>
        <v>5</v>
      </c>
      <c r="C25" s="72"/>
      <c r="D25" s="73" t="s">
        <v>208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3" t="s">
        <v>214</v>
      </c>
      <c r="S25" s="74"/>
      <c r="T25" s="74"/>
      <c r="U25" s="74"/>
      <c r="V25" s="74"/>
      <c r="W25" s="74"/>
      <c r="X25" s="74"/>
      <c r="Y25" s="74"/>
      <c r="Z25" s="74"/>
      <c r="AA25" s="74"/>
      <c r="AB25" s="75"/>
      <c r="AC25" s="73" t="s">
        <v>219</v>
      </c>
      <c r="AD25" s="74"/>
      <c r="AE25" s="74"/>
      <c r="AF25" s="74"/>
      <c r="AG25" s="75"/>
      <c r="AH25" s="73"/>
      <c r="AI25" s="75"/>
      <c r="AJ25" s="73" t="s">
        <v>224</v>
      </c>
      <c r="AK25" s="74"/>
      <c r="AL25" s="75"/>
      <c r="AM25" s="73" t="s">
        <v>70</v>
      </c>
      <c r="AN25" s="74"/>
      <c r="AO25" s="74"/>
      <c r="AP25" s="74"/>
      <c r="AQ25" s="74"/>
      <c r="AR25" s="74"/>
      <c r="AS25" s="75"/>
      <c r="AT25" s="76" t="s">
        <v>71</v>
      </c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5"/>
      <c r="BK25" s="4"/>
      <c r="BP25" s="82" t="s">
        <v>236</v>
      </c>
      <c r="BQ25" t="s">
        <v>223</v>
      </c>
      <c r="BR25" s="82" t="str">
        <f>"DROP TABLE IF EXISTS `TMP`.`"&amp;$G$10&amp;"`;"</f>
        <v>DROP TABLE IF EXISTS `TMP`.``;</v>
      </c>
      <c r="BS25" t="s">
        <v>223</v>
      </c>
      <c r="BT25" s="82" t="str">
        <f>"REPLACE INTO TABLE TMP.`"&amp;$G$10&amp;"` CHARACTER SET 'UTF8'"</f>
        <v>REPLACE INTO TABLE TMP.`` CHARACTER SET 'UTF8'</v>
      </c>
      <c r="BU25" t="s">
        <v>223</v>
      </c>
      <c r="BV25" s="82" t="s">
        <v>227</v>
      </c>
      <c r="BW25" t="s">
        <v>223</v>
      </c>
      <c r="BY25" t="s">
        <v>223</v>
      </c>
      <c r="CA25" t="s">
        <v>223</v>
      </c>
    </row>
    <row r="26" spans="1:79" ht="15" customHeight="1">
      <c r="A26" s="84" t="s">
        <v>241</v>
      </c>
      <c r="B26" s="77">
        <f t="shared" si="0"/>
        <v>6</v>
      </c>
      <c r="C26" s="78"/>
      <c r="D26" s="79" t="s">
        <v>209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79" t="s">
        <v>215</v>
      </c>
      <c r="S26" s="80"/>
      <c r="T26" s="80"/>
      <c r="U26" s="80"/>
      <c r="V26" s="80"/>
      <c r="W26" s="80"/>
      <c r="X26" s="80"/>
      <c r="Y26" s="80"/>
      <c r="Z26" s="80"/>
      <c r="AA26" s="80"/>
      <c r="AB26" s="81"/>
      <c r="AC26" s="79" t="s">
        <v>216</v>
      </c>
      <c r="AD26" s="80"/>
      <c r="AE26" s="80"/>
      <c r="AF26" s="80"/>
      <c r="AG26" s="81"/>
      <c r="AH26" s="79"/>
      <c r="AI26" s="81"/>
      <c r="AJ26" s="79" t="s">
        <v>224</v>
      </c>
      <c r="AK26" s="80"/>
      <c r="AL26" s="81"/>
      <c r="AM26" s="79" t="s">
        <v>78</v>
      </c>
      <c r="AN26" s="80"/>
      <c r="AO26" s="80"/>
      <c r="AP26" s="80"/>
      <c r="AQ26" s="80"/>
      <c r="AR26" s="80"/>
      <c r="AS26" s="81"/>
      <c r="AT26" s="79" t="s">
        <v>220</v>
      </c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1"/>
      <c r="BK26" s="4"/>
      <c r="BP26" s="82" t="s">
        <v>235</v>
      </c>
      <c r="BQ26" t="s">
        <v>223</v>
      </c>
      <c r="BR26" s="82" t="str">
        <f>"CREATE TABLE `TMP`.`"&amp;G10&amp;"` ("</f>
        <v>CREATE TABLE `TMP`.`` (</v>
      </c>
      <c r="BS26" t="s">
        <v>223</v>
      </c>
      <c r="BT26" s="82" t="str">
        <f>SUBSTITUTE(SUBSTITUTE("("&amp;A26&amp;","&amp;A27&amp;","&amp;A28&amp;","&amp;A29&amp;","&amp;A30&amp;","&amp;A31&amp;","&amp;A32&amp;","&amp;A33&amp;","&amp;A34&amp;","&amp;A35&amp;","&amp;A36&amp;","&amp;A37&amp;","&amp;A38&amp;","&amp;A39&amp;","&amp;A40&amp;","&amp;A41&amp;","&amp;A42&amp;","&amp;A43&amp;","&amp;A44&amp;","&amp;A45&amp;","&amp;A46&amp;","&amp;A47&amp;","&amp;A48&amp;","&amp;A49&amp;","&amp;A50&amp;","&amp;A51&amp;","&amp;A52&amp;","&amp;A53&amp;","&amp;A54&amp;","&amp;A55&amp;","&amp;A56&amp;","&amp;A57&amp;","&amp;A58&amp;","&amp;A59&amp;","&amp;A60&amp;","&amp;A61&amp;","&amp;A62&amp;")",",,",""),",)",")")</f>
        <v>(@1,@2,@3,@4,@5,@6,@7,@8)</v>
      </c>
      <c r="BU26" t="s">
        <v>223</v>
      </c>
      <c r="BV26" s="82"/>
      <c r="BW26" t="s">
        <v>223</v>
      </c>
      <c r="BX26" s="82" t="str">
        <f>"INSERT INTO `POS_MASTER`.`"&amp;$G$10&amp;"` ("</f>
        <v>INSERT INTO `POS_MASTER`.`` (</v>
      </c>
      <c r="BY26" t="s">
        <v>223</v>
      </c>
      <c r="BZ26" s="82" t="s">
        <v>228</v>
      </c>
      <c r="CA26" t="s">
        <v>223</v>
      </c>
    </row>
    <row r="27" spans="1:79" ht="15" customHeight="1">
      <c r="A27" s="84" t="s">
        <v>242</v>
      </c>
      <c r="B27" s="16">
        <v>7</v>
      </c>
      <c r="C27" s="17"/>
      <c r="D27" s="22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20"/>
      <c r="AC27" s="18" t="e" cm="1">
        <f t="array" ref="AC27">_xlfn.SWITCH(BM27,"nvarchar","varchar("&amp;BN27&amp;")","smallint","smallint","date","date","money","decimal(19,4)","numeric","numeric("&amp;BN27&amp;")","int","int","bit","char(1)","datetime2","datetime","time","time")</f>
        <v>#N/A</v>
      </c>
      <c r="AD27" s="19"/>
      <c r="AE27" s="19"/>
      <c r="AF27" s="19"/>
      <c r="AG27" s="20"/>
      <c r="AH27" s="18"/>
      <c r="AI27" s="20"/>
      <c r="AJ27" s="18"/>
      <c r="AK27" s="19"/>
      <c r="AL27" s="20"/>
      <c r="AM27" s="18"/>
      <c r="AN27" s="19"/>
      <c r="AO27" s="19"/>
      <c r="AP27" s="19"/>
      <c r="AQ27" s="19"/>
      <c r="AR27" s="19"/>
      <c r="AS27" s="20"/>
      <c r="AT27" s="18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0"/>
      <c r="BK27" s="4"/>
      <c r="BP27" t="e">
        <f>",`"&amp;R27&amp;"` "&amp;AC27&amp;" "&amp;IF(AJ27="Y","NOT NULL","")&amp;" COMMENT '"&amp;D27&amp;"'"</f>
        <v>#N/A</v>
      </c>
      <c r="BQ27" t="s">
        <v>223</v>
      </c>
      <c r="BR27" s="82" t="e">
        <f>"`"&amp;R27&amp;"` "&amp;AC27&amp;" "&amp;IF(AJ27="Y","NOT NULL","")</f>
        <v>#N/A</v>
      </c>
      <c r="BS27" t="s">
        <v>223</v>
      </c>
      <c r="BT27" s="82" t="e">
        <f>",`"&amp;R27&amp;"` = "&amp;IF(LEFT(AC27,4)="date", "if(@"&amp;B27-5&amp;" &gt; '0000-00-00 00:00:00', if(@"&amp;B27-5&amp;" &gt; '2999-12-31 23:59:59', '2999-12-31 23:59:59', @"&amp;B27-5&amp;"), null)","if(nullif( @"&amp;B27-5&amp;",'') &gt; '', @"&amp;B27-5&amp;", null )")</f>
        <v>#N/A</v>
      </c>
      <c r="BU27" t="s">
        <v>223</v>
      </c>
      <c r="BV27" s="82" t="str">
        <f>"A.`"&amp;R27&amp;"` = B.`"&amp;R27&amp;"`"</f>
        <v>A.`` = B.``</v>
      </c>
      <c r="BW27" t="s">
        <v>223</v>
      </c>
      <c r="BX27" s="82" t="str">
        <f>"`"&amp;R27&amp;"`"</f>
        <v>``</v>
      </c>
      <c r="BY27" t="s">
        <v>223</v>
      </c>
      <c r="BZ27" s="82" t="str">
        <f>"`"&amp;R27&amp;"`"</f>
        <v>``</v>
      </c>
      <c r="CA27" t="s">
        <v>223</v>
      </c>
    </row>
    <row r="28" spans="1:79" ht="15" customHeight="1">
      <c r="A28" s="84" t="s">
        <v>243</v>
      </c>
      <c r="B28" s="16">
        <v>8</v>
      </c>
      <c r="C28" s="17"/>
      <c r="D28" s="22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20"/>
      <c r="AC28" s="18"/>
      <c r="AD28" s="19"/>
      <c r="AE28" s="19"/>
      <c r="AF28" s="19"/>
      <c r="AG28" s="20"/>
      <c r="AH28" s="18"/>
      <c r="AI28" s="20"/>
      <c r="AJ28" s="18"/>
      <c r="AK28" s="19"/>
      <c r="AL28" s="20"/>
      <c r="AM28" s="18"/>
      <c r="AN28" s="19"/>
      <c r="AO28" s="19"/>
      <c r="AP28" s="19"/>
      <c r="AQ28" s="19"/>
      <c r="AR28" s="19"/>
      <c r="AS28" s="20"/>
      <c r="AT28" s="18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20"/>
      <c r="BK28" s="4"/>
      <c r="BP28" t="str">
        <f t="shared" ref="BP28:BP33" si="1">",`"&amp;R28&amp;"` "&amp;AC28&amp;" "&amp;IF(AJ28="Y","NOT NULL","")&amp;" COMMENT '"&amp;D28&amp;"'"</f>
        <v>,``   COMMENT ''</v>
      </c>
      <c r="BQ28" t="s">
        <v>223</v>
      </c>
      <c r="BR28" s="82" t="str">
        <f>",`"&amp;R28&amp;"` "&amp;AC28&amp;" "&amp;IF(AJ28="Y","NOT NULL","")</f>
        <v xml:space="preserve">,``  </v>
      </c>
      <c r="BS28" t="s">
        <v>223</v>
      </c>
      <c r="BT28" t="str">
        <f t="shared" ref="BT28:BT33" si="2">",`"&amp;R28&amp;"` = "&amp;IF(LEFT(AC28,4)="date", "if(@"&amp;B28-5&amp;" &gt; '0000-00-00 00:00:00', if(@"&amp;B28-5&amp;" &gt; '2999-12-31 23:59:59', '2999-12-31 23:59:59', @"&amp;B28-5&amp;"), null)","if(nullif( @"&amp;B28-5&amp;",'') &gt; '', @"&amp;B28-5&amp;", null )")</f>
        <v>,`` = if(nullif( @3,'') &gt; '', @3, null )</v>
      </c>
      <c r="BU28" t="s">
        <v>223</v>
      </c>
      <c r="BV28" s="82" t="str">
        <f t="shared" ref="BV28:BV33" si="3">",A.`"&amp;R28&amp;"` = B.`"&amp;R28&amp;"`"</f>
        <v>,A.`` = B.``</v>
      </c>
      <c r="BW28" t="s">
        <v>223</v>
      </c>
      <c r="BX28" s="82" t="str">
        <f t="shared" ref="BX28:BX33" si="4">",`"&amp;R28&amp;"`"</f>
        <v>,``</v>
      </c>
      <c r="BY28" t="s">
        <v>223</v>
      </c>
      <c r="BZ28" s="82" t="str">
        <f t="shared" ref="BZ28:BZ62" si="5">",`"&amp;R28&amp;"`"</f>
        <v>,``</v>
      </c>
      <c r="CA28" t="s">
        <v>223</v>
      </c>
    </row>
    <row r="29" spans="1:79" ht="15" customHeight="1">
      <c r="A29" s="84" t="s">
        <v>244</v>
      </c>
      <c r="B29" s="16">
        <v>9</v>
      </c>
      <c r="C29" s="24"/>
      <c r="D29" s="22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8"/>
      <c r="AD29" s="19"/>
      <c r="AE29" s="19"/>
      <c r="AF29" s="19"/>
      <c r="AG29" s="20"/>
      <c r="AH29" s="18"/>
      <c r="AI29" s="20"/>
      <c r="AJ29" s="22"/>
      <c r="AK29" s="19"/>
      <c r="AL29" s="20"/>
      <c r="AM29" s="22"/>
      <c r="AN29" s="19"/>
      <c r="AO29" s="19"/>
      <c r="AP29" s="19"/>
      <c r="AQ29" s="19"/>
      <c r="AR29" s="19"/>
      <c r="AS29" s="20"/>
      <c r="AT29" s="22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20"/>
      <c r="BK29" s="4"/>
      <c r="BP29" t="str">
        <f t="shared" si="1"/>
        <v>,``   COMMENT ''</v>
      </c>
      <c r="BQ29" t="s">
        <v>223</v>
      </c>
      <c r="BR29" t="str">
        <f t="shared" ref="BR29:BR33" si="6">",`"&amp;R29&amp;"` "&amp;AC29&amp;" "&amp;IF(AJ29="Y","NOT NULL","")</f>
        <v xml:space="preserve">,``  </v>
      </c>
      <c r="BS29" t="s">
        <v>223</v>
      </c>
      <c r="BT29" t="str">
        <f t="shared" si="2"/>
        <v>,`` = if(nullif( @4,'') &gt; '', @4, null )</v>
      </c>
      <c r="BU29" t="s">
        <v>223</v>
      </c>
      <c r="BV29" s="82" t="str">
        <f t="shared" si="3"/>
        <v>,A.`` = B.``</v>
      </c>
      <c r="BW29" t="s">
        <v>223</v>
      </c>
      <c r="BX29" s="82" t="str">
        <f t="shared" si="4"/>
        <v>,``</v>
      </c>
      <c r="BY29" t="s">
        <v>223</v>
      </c>
      <c r="BZ29" s="82" t="str">
        <f t="shared" si="5"/>
        <v>,``</v>
      </c>
      <c r="CA29" t="s">
        <v>223</v>
      </c>
    </row>
    <row r="30" spans="1:79" ht="15" customHeight="1">
      <c r="A30" s="84" t="s">
        <v>245</v>
      </c>
      <c r="B30" s="16">
        <v>10</v>
      </c>
      <c r="C30" s="24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20"/>
      <c r="AC30" s="18"/>
      <c r="AD30" s="19"/>
      <c r="AE30" s="19"/>
      <c r="AF30" s="19"/>
      <c r="AG30" s="20"/>
      <c r="AH30" s="18"/>
      <c r="AI30" s="20"/>
      <c r="AJ30" s="22"/>
      <c r="AK30" s="19"/>
      <c r="AL30" s="20"/>
      <c r="AM30" s="18"/>
      <c r="AN30" s="19"/>
      <c r="AO30" s="19"/>
      <c r="AP30" s="19"/>
      <c r="AQ30" s="19"/>
      <c r="AR30" s="19"/>
      <c r="AS30" s="20"/>
      <c r="AT30" s="18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20"/>
      <c r="BK30" s="4"/>
      <c r="BP30" t="str">
        <f t="shared" si="1"/>
        <v>,``   COMMENT ''</v>
      </c>
      <c r="BQ30" t="s">
        <v>223</v>
      </c>
      <c r="BR30" t="str">
        <f t="shared" si="6"/>
        <v xml:space="preserve">,``  </v>
      </c>
      <c r="BS30" t="s">
        <v>223</v>
      </c>
      <c r="BT30" t="str">
        <f t="shared" si="2"/>
        <v>,`` = if(nullif( @5,'') &gt; '', @5, null )</v>
      </c>
      <c r="BU30" t="s">
        <v>223</v>
      </c>
      <c r="BV30" s="82" t="str">
        <f t="shared" si="3"/>
        <v>,A.`` = B.``</v>
      </c>
      <c r="BW30" t="s">
        <v>223</v>
      </c>
      <c r="BX30" s="82" t="str">
        <f t="shared" si="4"/>
        <v>,``</v>
      </c>
      <c r="BY30" t="s">
        <v>223</v>
      </c>
      <c r="BZ30" s="82" t="str">
        <f t="shared" si="5"/>
        <v>,``</v>
      </c>
      <c r="CA30" t="s">
        <v>223</v>
      </c>
    </row>
    <row r="31" spans="1:79" ht="15" customHeight="1">
      <c r="A31" s="84" t="s">
        <v>246</v>
      </c>
      <c r="B31" s="16">
        <v>11</v>
      </c>
      <c r="C31" s="24"/>
      <c r="D31" s="22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6"/>
      <c r="R31" s="22"/>
      <c r="S31" s="25"/>
      <c r="T31" s="25"/>
      <c r="U31" s="25"/>
      <c r="V31" s="25"/>
      <c r="W31" s="25"/>
      <c r="X31" s="25"/>
      <c r="Y31" s="25"/>
      <c r="Z31" s="25"/>
      <c r="AA31" s="25"/>
      <c r="AB31" s="26"/>
      <c r="AC31" s="22"/>
      <c r="AD31" s="25"/>
      <c r="AE31" s="25"/>
      <c r="AF31" s="25"/>
      <c r="AG31" s="26"/>
      <c r="AH31" s="22"/>
      <c r="AI31" s="26"/>
      <c r="AJ31" s="22"/>
      <c r="AK31" s="25"/>
      <c r="AL31" s="26"/>
      <c r="AM31" s="22"/>
      <c r="AN31" s="25"/>
      <c r="AO31" s="25"/>
      <c r="AP31" s="25"/>
      <c r="AQ31" s="25"/>
      <c r="AR31" s="25"/>
      <c r="AS31" s="26"/>
      <c r="AT31" s="22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6"/>
      <c r="BK31" s="4"/>
      <c r="BP31" t="str">
        <f t="shared" si="1"/>
        <v>,``   COMMENT ''</v>
      </c>
      <c r="BQ31" t="s">
        <v>223</v>
      </c>
      <c r="BR31" t="str">
        <f t="shared" si="6"/>
        <v xml:space="preserve">,``  </v>
      </c>
      <c r="BS31" t="s">
        <v>223</v>
      </c>
      <c r="BT31" t="str">
        <f t="shared" si="2"/>
        <v>,`` = if(nullif( @6,'') &gt; '', @6, null )</v>
      </c>
      <c r="BU31" t="s">
        <v>223</v>
      </c>
      <c r="BV31" s="82" t="str">
        <f t="shared" si="3"/>
        <v>,A.`` = B.``</v>
      </c>
      <c r="BW31" t="s">
        <v>223</v>
      </c>
      <c r="BX31" s="82" t="str">
        <f t="shared" si="4"/>
        <v>,``</v>
      </c>
      <c r="BY31" t="s">
        <v>223</v>
      </c>
      <c r="BZ31" s="82" t="str">
        <f t="shared" si="5"/>
        <v>,``</v>
      </c>
      <c r="CA31" t="s">
        <v>223</v>
      </c>
    </row>
    <row r="32" spans="1:79" ht="15" customHeight="1">
      <c r="A32" s="84" t="s">
        <v>247</v>
      </c>
      <c r="B32" s="16">
        <v>12</v>
      </c>
      <c r="C32" s="24"/>
      <c r="D32" s="22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6"/>
      <c r="R32" s="22"/>
      <c r="S32" s="25"/>
      <c r="T32" s="25"/>
      <c r="U32" s="25"/>
      <c r="V32" s="25"/>
      <c r="W32" s="25"/>
      <c r="X32" s="25"/>
      <c r="Y32" s="25"/>
      <c r="Z32" s="25"/>
      <c r="AA32" s="25"/>
      <c r="AB32" s="26"/>
      <c r="AC32" s="22"/>
      <c r="AD32" s="25"/>
      <c r="AE32" s="25"/>
      <c r="AF32" s="25"/>
      <c r="AG32" s="26"/>
      <c r="AH32" s="22"/>
      <c r="AI32" s="26"/>
      <c r="AJ32" s="22"/>
      <c r="AK32" s="25"/>
      <c r="AL32" s="26"/>
      <c r="AM32" s="22"/>
      <c r="AN32" s="25"/>
      <c r="AO32" s="25"/>
      <c r="AP32" s="25"/>
      <c r="AQ32" s="25"/>
      <c r="AR32" s="25"/>
      <c r="AS32" s="26"/>
      <c r="AT32" s="32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6"/>
      <c r="BK32" s="4"/>
      <c r="BP32" t="str">
        <f t="shared" si="1"/>
        <v>,``   COMMENT ''</v>
      </c>
      <c r="BQ32" t="s">
        <v>223</v>
      </c>
      <c r="BR32" t="str">
        <f t="shared" si="6"/>
        <v xml:space="preserve">,``  </v>
      </c>
      <c r="BS32" t="s">
        <v>223</v>
      </c>
      <c r="BT32" t="str">
        <f t="shared" si="2"/>
        <v>,`` = if(nullif( @7,'') &gt; '', @7, null )</v>
      </c>
      <c r="BU32" t="s">
        <v>223</v>
      </c>
      <c r="BV32" s="82" t="str">
        <f t="shared" si="3"/>
        <v>,A.`` = B.``</v>
      </c>
      <c r="BW32" t="s">
        <v>223</v>
      </c>
      <c r="BX32" s="82" t="str">
        <f t="shared" si="4"/>
        <v>,``</v>
      </c>
      <c r="BY32" t="s">
        <v>223</v>
      </c>
      <c r="BZ32" s="82" t="str">
        <f t="shared" si="5"/>
        <v>,``</v>
      </c>
      <c r="CA32" t="s">
        <v>223</v>
      </c>
    </row>
    <row r="33" spans="1:79" ht="15" customHeight="1">
      <c r="A33" s="84" t="s">
        <v>248</v>
      </c>
      <c r="B33" s="27">
        <v>13</v>
      </c>
      <c r="C33" s="28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1"/>
      <c r="R33" s="29"/>
      <c r="S33" s="30"/>
      <c r="T33" s="30"/>
      <c r="U33" s="30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1"/>
      <c r="AH33" s="29"/>
      <c r="AI33" s="31"/>
      <c r="AJ33" s="29"/>
      <c r="AK33" s="30"/>
      <c r="AL33" s="31"/>
      <c r="AM33" s="29"/>
      <c r="AN33" s="30"/>
      <c r="AO33" s="30"/>
      <c r="AP33" s="30"/>
      <c r="AQ33" s="30"/>
      <c r="AR33" s="30"/>
      <c r="AS33" s="31"/>
      <c r="AT33" s="29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1"/>
      <c r="BK33" s="4"/>
      <c r="BP33" t="str">
        <f t="shared" si="1"/>
        <v>,``   COMMENT ''</v>
      </c>
      <c r="BQ33" t="s">
        <v>223</v>
      </c>
      <c r="BR33" t="str">
        <f t="shared" si="6"/>
        <v xml:space="preserve">,``  </v>
      </c>
      <c r="BS33" t="s">
        <v>223</v>
      </c>
      <c r="BT33" t="str">
        <f t="shared" si="2"/>
        <v>,`` = if(nullif( @8,'') &gt; '', @8, null )</v>
      </c>
      <c r="BU33" t="s">
        <v>223</v>
      </c>
      <c r="BV33" s="82" t="str">
        <f t="shared" si="3"/>
        <v>,A.`` = B.``</v>
      </c>
      <c r="BW33" t="s">
        <v>223</v>
      </c>
      <c r="BX33" s="82" t="str">
        <f t="shared" si="4"/>
        <v>,``</v>
      </c>
      <c r="BY33" t="s">
        <v>223</v>
      </c>
      <c r="BZ33" s="82" t="str">
        <f t="shared" si="5"/>
        <v>,``</v>
      </c>
      <c r="CA33" t="s">
        <v>223</v>
      </c>
    </row>
    <row r="34" spans="1:79" ht="15" customHeight="1">
      <c r="A34" s="84"/>
      <c r="BK34" s="4"/>
      <c r="BP34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(),</v>
      </c>
      <c r="BQ34" t="s">
        <v>223</v>
      </c>
      <c r="BR34" s="82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()</v>
      </c>
      <c r="BS34" t="s">
        <v>223</v>
      </c>
      <c r="BT34" s="82" t="s">
        <v>233</v>
      </c>
      <c r="BU34" t="s">
        <v>223</v>
      </c>
      <c r="BV34" s="82" t="s">
        <v>231</v>
      </c>
      <c r="BW34" t="s">
        <v>223</v>
      </c>
      <c r="BY34" t="s">
        <v>223</v>
      </c>
      <c r="BZ34" s="82" t="str">
        <f>"FROM `TMP`.`"&amp;$G$10&amp;"` A"</f>
        <v>FROM `TMP`.`` A</v>
      </c>
      <c r="CA34" t="s">
        <v>223</v>
      </c>
    </row>
    <row r="35" spans="1:79" ht="15" customHeight="1">
      <c r="A35" s="84"/>
      <c r="BK35" s="4"/>
      <c r="BP35" s="82" t="s">
        <v>222</v>
      </c>
      <c r="BQ35" t="s">
        <v>223</v>
      </c>
      <c r="BR35" s="82" t="str">
        <f>") ENGINE=InnoDB DEFAULT CHARSET=utf8mb4 COLLATE=utf8mb4_0900_ai_ci COMMENT = '"&amp;$G$9&amp;"_TMP';"</f>
        <v>) ENGINE=InnoDB DEFAULT CHARSET=utf8mb4 COLLATE=utf8mb4_0900_ai_ci COMMENT = 'template_TMP';</v>
      </c>
      <c r="BS35" t="s">
        <v>223</v>
      </c>
      <c r="BU35" t="s">
        <v>223</v>
      </c>
      <c r="BV35" s="82" t="str">
        <f>IF(_xlfn.XLOOKUP(1,$AH:$AH,$R:$R,"",0)="","","A.`"&amp;_xlfn.XLOOKUP(1,$AH:$AH,$R:$R,"",0)&amp;"` = B.`"&amp;_xlfn.XLOOKUP(1,$AH:$AH,$R:$R,"",0)&amp;"`")</f>
        <v/>
      </c>
      <c r="BW35" t="s">
        <v>223</v>
      </c>
      <c r="BY35" t="s">
        <v>223</v>
      </c>
      <c r="BZ35" s="82" t="s">
        <v>232</v>
      </c>
      <c r="CA35" t="s">
        <v>223</v>
      </c>
    </row>
    <row r="36" spans="1:79" ht="15" customHeight="1">
      <c r="A36" s="84"/>
      <c r="B36" s="36" t="s">
        <v>501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4"/>
      <c r="BP36" s="82" t="str">
        <f>") ENGINE=InnoDB DEFAULT CHARSET=utf8mb4 COLLATE=utf8mb4_0900_ai_ci COMMENT = '"&amp;$G$9&amp;"';"</f>
        <v>) ENGINE=InnoDB DEFAULT CHARSET=utf8mb4 COLLATE=utf8mb4_0900_ai_ci COMMENT = 'template';</v>
      </c>
      <c r="BQ36" t="s">
        <v>223</v>
      </c>
      <c r="BS36" t="s">
        <v>223</v>
      </c>
      <c r="BU36" t="s">
        <v>223</v>
      </c>
      <c r="BV36" s="82" t="str">
        <f>IF(_xlfn.XLOOKUP(2,$AH:$AH,$R:$R,"",0)="","","AND A.`"&amp;_xlfn.XLOOKUP(2,$AH:$AH,$R:$R,"",0)&amp;"` = B.`"&amp;_xlfn.XLOOKUP(2,$AH:$AH,$R:$R,"",0)&amp;"`")</f>
        <v/>
      </c>
      <c r="BW36" t="s">
        <v>223</v>
      </c>
      <c r="BY36" t="s">
        <v>223</v>
      </c>
      <c r="BZ36" s="82" t="str">
        <f>"FROM `POS_MASTER`.`"&amp;$G$10&amp;"` B"</f>
        <v>FROM `POS_MASTER`.`` B</v>
      </c>
      <c r="CA36" t="s">
        <v>223</v>
      </c>
    </row>
    <row r="37" spans="1:79" ht="15" customHeight="1">
      <c r="A37" s="84"/>
      <c r="B37" s="33" t="s">
        <v>502</v>
      </c>
      <c r="C37" s="34"/>
      <c r="D37" s="33" t="s">
        <v>503</v>
      </c>
      <c r="E37" s="43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4"/>
      <c r="R37" s="33" t="s">
        <v>504</v>
      </c>
      <c r="S37" s="43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4"/>
      <c r="AL37" s="33" t="s">
        <v>505</v>
      </c>
      <c r="AM37" s="35"/>
      <c r="AN37" s="35"/>
      <c r="AO37" s="44"/>
      <c r="AP37" s="33" t="s">
        <v>506</v>
      </c>
      <c r="AQ37" s="35"/>
      <c r="AR37" s="35"/>
      <c r="AS37" s="34"/>
      <c r="AT37" s="33" t="s">
        <v>500</v>
      </c>
      <c r="AU37" s="43"/>
      <c r="AV37" s="43"/>
      <c r="AW37" s="35"/>
      <c r="AX37" s="35"/>
      <c r="AY37" s="43"/>
      <c r="AZ37" s="35"/>
      <c r="BA37" s="35"/>
      <c r="BB37" s="35"/>
      <c r="BC37" s="35"/>
      <c r="BD37" s="35"/>
      <c r="BE37" s="35"/>
      <c r="BF37" s="35"/>
      <c r="BG37" s="35"/>
      <c r="BH37" s="35"/>
      <c r="BI37" s="43"/>
      <c r="BJ37" s="34"/>
      <c r="BK37" s="4"/>
      <c r="BP37" s="82"/>
      <c r="BQ37" t="s">
        <v>223</v>
      </c>
      <c r="BS37" t="s">
        <v>223</v>
      </c>
      <c r="BU37" t="s">
        <v>223</v>
      </c>
      <c r="BV37" s="82" t="str">
        <f>IF(_xlfn.XLOOKUP(3,$AH:$AH,$R:$R,"",0)="","","AND A.`"&amp;_xlfn.XLOOKUP(3,$AH:$AH,$R:$R,"",0)&amp;"` = B.`"&amp;_xlfn.XLOOKUP(3,$AH:$AH,$R:$R,"",0)&amp;"`")</f>
        <v/>
      </c>
      <c r="BW37" t="s">
        <v>223</v>
      </c>
      <c r="BY37" t="s">
        <v>223</v>
      </c>
      <c r="BZ37" s="82" t="s">
        <v>229</v>
      </c>
      <c r="CA37" t="s">
        <v>223</v>
      </c>
    </row>
    <row r="38" spans="1:79" ht="15" customHeight="1">
      <c r="A38" s="84"/>
      <c r="B38" s="37">
        <v>1</v>
      </c>
      <c r="C38" s="38"/>
      <c r="D38" s="37" t="s">
        <v>507</v>
      </c>
      <c r="E38" s="45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8"/>
      <c r="R38" s="37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/>
      </c>
      <c r="S38" s="45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8"/>
      <c r="AL38" s="37" t="s">
        <v>224</v>
      </c>
      <c r="AM38" s="39"/>
      <c r="AN38" s="39"/>
      <c r="AO38" s="46"/>
      <c r="AP38" s="37" t="s">
        <v>224</v>
      </c>
      <c r="AQ38" s="39"/>
      <c r="AR38" s="39"/>
      <c r="AS38" s="38"/>
      <c r="AT38" s="37"/>
      <c r="AU38" s="45"/>
      <c r="AV38" s="45"/>
      <c r="AW38" s="39"/>
      <c r="AX38" s="39"/>
      <c r="AY38" s="45"/>
      <c r="AZ38" s="39"/>
      <c r="BA38" s="39"/>
      <c r="BB38" s="39"/>
      <c r="BC38" s="39"/>
      <c r="BD38" s="39"/>
      <c r="BE38" s="39"/>
      <c r="BF38" s="39"/>
      <c r="BG38" s="39"/>
      <c r="BH38" s="39"/>
      <c r="BI38" s="45"/>
      <c r="BJ38" s="38"/>
      <c r="BK38" s="4"/>
      <c r="BP38" s="82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`_CR_Date_Time` BEFORE INSERT ON `` FOR EACH ROW SET NEW.record_create_date = CURRENT_DATE, NEW.record_create_time = CURRENT_TIME, NEW.record_update_date = CURRENT_DATE, NEW.record_update_time = CURRENT_TIME;</v>
      </c>
      <c r="BQ38" t="s">
        <v>223</v>
      </c>
      <c r="BS38" t="s">
        <v>223</v>
      </c>
      <c r="BU38" t="s">
        <v>223</v>
      </c>
      <c r="BV38" s="82" t="str">
        <f>IF(_xlfn.XLOOKUP(4,$AH:$AH,$R:$R,"",0)="","","AND A.`"&amp;_xlfn.XLOOKUP(4,$AH:$AH,$R:$R,"",0)&amp;"` = B.`"&amp;_xlfn.XLOOKUP(4,$AH:$AH,$R:$R,"",0)&amp;"`")</f>
        <v/>
      </c>
      <c r="BW38" t="s">
        <v>223</v>
      </c>
      <c r="BY38" t="s">
        <v>223</v>
      </c>
      <c r="BZ38" s="82" t="str">
        <f>IF(_xlfn.XLOOKUP(1,$AH:$AH,$R:$R,"",0)="","","A.`"&amp;_xlfn.XLOOKUP(1,$AH:$AH,$R:$R,"",0)&amp;"` = B.`"&amp;_xlfn.XLOOKUP(1,$AH:$AH,$R:$R,"",0)&amp;"`")</f>
        <v/>
      </c>
      <c r="CA38" t="s">
        <v>223</v>
      </c>
    </row>
    <row r="39" spans="1:79" ht="15" customHeight="1">
      <c r="A39" s="84"/>
      <c r="BK39" s="4"/>
      <c r="BP39" s="82" t="str">
        <f>"CREATE TRIGGER `"&amp;$G$10&amp;"_UP_Date_Time` BEFORE UPDATE ON `"&amp;$G$10&amp;"` FOR EACH ROW SET NEW.record_update_date = CURRENT_DATE, NEW.record_update_time = CURRENT_TIME;"</f>
        <v>CREATE TRIGGER `_UP_Date_Time` BEFORE UPDATE ON `` FOR EACH ROW SET NEW.record_update_date = CURRENT_DATE, NEW.record_update_time = CURRENT_TIME;</v>
      </c>
      <c r="BQ39" t="s">
        <v>223</v>
      </c>
      <c r="BS39" t="s">
        <v>223</v>
      </c>
      <c r="BU39" t="s">
        <v>223</v>
      </c>
      <c r="BV39" s="82" t="str">
        <f>IF(_xlfn.XLOOKUP(5,$AH:$AH,$R:$R,"",0)="","","AND A.`"&amp;_xlfn.XLOOKUP(5,$AH:$AH,$R:$R,"",0)&amp;"` = B.`"&amp;_xlfn.XLOOKUP(5,$AH:$AH,$R:$R,"",0)&amp;"`")</f>
        <v/>
      </c>
      <c r="BW39" t="s">
        <v>223</v>
      </c>
      <c r="BY39" t="s">
        <v>223</v>
      </c>
      <c r="BZ39" s="82" t="str">
        <f>IF(_xlfn.XLOOKUP(2,$AH:$AH,$R:$R,"",0)="","","AND A.`"&amp;_xlfn.XLOOKUP(2,$AH:$AH,$R:$R,"",0)&amp;"` = B.`"&amp;_xlfn.XLOOKUP(2,$AH:$AH,$R:$R,"",0)&amp;"`")</f>
        <v/>
      </c>
      <c r="CA39" t="s">
        <v>223</v>
      </c>
    </row>
    <row r="40" spans="1:79" ht="15" customHeight="1">
      <c r="A40" s="84"/>
      <c r="BK40" s="4"/>
      <c r="BQ40" t="s">
        <v>223</v>
      </c>
      <c r="BS40" t="s">
        <v>223</v>
      </c>
      <c r="BU40" t="s">
        <v>223</v>
      </c>
      <c r="BV40" s="82" t="str">
        <f>IF(_xlfn.XLOOKUP(6,$AH:$AH,$R:$R,"",0)="","","AND A.`"&amp;_xlfn.XLOOKUP(6,$AH:$AH,$R:$R,"",0)&amp;"` = B.`"&amp;_xlfn.XLOOKUP(6,$AH:$AH,$R:$R,"",0)&amp;"`")</f>
        <v/>
      </c>
      <c r="BW40" t="s">
        <v>223</v>
      </c>
      <c r="BY40" t="s">
        <v>223</v>
      </c>
      <c r="BZ40" s="82" t="str">
        <f>IF(_xlfn.XLOOKUP(3,$AH:$AH,$R:$R,"",0)="","","AND A.`"&amp;_xlfn.XLOOKUP(3,$AH:$AH,$R:$R,"",0)&amp;"` = B.`"&amp;_xlfn.XLOOKUP(3,$AH:$AH,$R:$R,"",0)&amp;"`")</f>
        <v/>
      </c>
      <c r="CA40" t="s">
        <v>223</v>
      </c>
    </row>
    <row r="41" spans="1:79" ht="15" customHeight="1">
      <c r="A41" s="84"/>
      <c r="B41" s="36" t="s">
        <v>32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4"/>
      <c r="BQ41" t="s">
        <v>223</v>
      </c>
      <c r="BS41" t="s">
        <v>223</v>
      </c>
      <c r="BU41" t="s">
        <v>223</v>
      </c>
      <c r="BV41" s="82" t="str">
        <f>IF(_xlfn.XLOOKUP(7,$AH:$AH,$R:$R,"",0)="","","AND A.`"&amp;_xlfn.XLOOKUP(7,$AH:$AH,$R:$R,"",0)&amp;"` = B.`"&amp;_xlfn.XLOOKUP(7,$AH:$AH,$R:$R,"",0)&amp;"`")</f>
        <v/>
      </c>
      <c r="BW41" t="s">
        <v>223</v>
      </c>
      <c r="BY41" t="s">
        <v>223</v>
      </c>
      <c r="BZ41" s="82" t="str">
        <f>IF(_xlfn.XLOOKUP(4,$AH:$AH,$R:$R,"",0)="","","AND A.`"&amp;_xlfn.XLOOKUP(4,$AH:$AH,$R:$R,"",0)&amp;"` = B.`"&amp;_xlfn.XLOOKUP(4,$AH:$AH,$R:$R,"",0)&amp;"`")</f>
        <v/>
      </c>
      <c r="CA41" t="s">
        <v>223</v>
      </c>
    </row>
    <row r="42" spans="1:79" ht="15" customHeight="1">
      <c r="A42" s="84"/>
      <c r="B42" s="33" t="s">
        <v>33</v>
      </c>
      <c r="C42" s="44"/>
      <c r="D42" s="33" t="s">
        <v>34</v>
      </c>
      <c r="E42" s="43"/>
      <c r="F42" s="43"/>
      <c r="G42" s="43"/>
      <c r="H42" s="43"/>
      <c r="I42" s="43"/>
      <c r="J42" s="43"/>
      <c r="K42" s="43"/>
      <c r="L42" s="35"/>
      <c r="M42" s="35"/>
      <c r="N42" s="35"/>
      <c r="O42" s="35"/>
      <c r="P42" s="35"/>
      <c r="Q42" s="34"/>
      <c r="R42" s="33" t="s">
        <v>35</v>
      </c>
      <c r="S42" s="35"/>
      <c r="T42" s="44"/>
      <c r="U42" s="33" t="s">
        <v>36</v>
      </c>
      <c r="V42" s="35"/>
      <c r="W42" s="43"/>
      <c r="X42" s="44"/>
      <c r="Y42" s="33" t="s">
        <v>37</v>
      </c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4"/>
      <c r="BK42" s="4"/>
      <c r="BQ42" t="s">
        <v>223</v>
      </c>
      <c r="BS42" t="s">
        <v>223</v>
      </c>
      <c r="BU42" t="s">
        <v>223</v>
      </c>
      <c r="BV42" s="82" t="str">
        <f>IF(_xlfn.XLOOKUP(8,$AH:$AH,$R:$R,"",0)="","","AND A.`"&amp;_xlfn.XLOOKUP(8,$AH:$AH,$R:$R,"",0)&amp;"` = B.`"&amp;_xlfn.XLOOKUP(8,$AH:$AH,$R:$R,"",0)&amp;"`")</f>
        <v/>
      </c>
      <c r="BW42" t="s">
        <v>223</v>
      </c>
      <c r="BY42" t="s">
        <v>223</v>
      </c>
      <c r="BZ42" s="82" t="str">
        <f>IF(_xlfn.XLOOKUP(5,$AH:$AH,$R:$R,"",0)="","","AND A.`"&amp;_xlfn.XLOOKUP(5,$AH:$AH,$R:$R,"",0)&amp;"` = B.`"&amp;_xlfn.XLOOKUP(5,$AH:$AH,$R:$R,"",0)&amp;"`")</f>
        <v/>
      </c>
      <c r="CA42" t="s">
        <v>223</v>
      </c>
    </row>
    <row r="43" spans="1:79" ht="15" customHeight="1">
      <c r="A43" s="84"/>
      <c r="B43" s="40">
        <v>1</v>
      </c>
      <c r="C43" s="46"/>
      <c r="D43" s="40" t="str">
        <f>G10&amp;"_"&amp;R43&amp;"_"&amp;"trg"</f>
        <v>_update_trg</v>
      </c>
      <c r="E43" s="45"/>
      <c r="F43" s="45"/>
      <c r="G43" s="45"/>
      <c r="H43" s="45"/>
      <c r="I43" s="45"/>
      <c r="J43" s="45"/>
      <c r="K43" s="45"/>
      <c r="L43" s="41"/>
      <c r="M43" s="41"/>
      <c r="N43" s="41"/>
      <c r="O43" s="41"/>
      <c r="P43" s="41"/>
      <c r="Q43" s="42"/>
      <c r="R43" s="40" t="s">
        <v>38</v>
      </c>
      <c r="S43" s="41"/>
      <c r="T43" s="46"/>
      <c r="U43" s="40" t="s">
        <v>39</v>
      </c>
      <c r="V43" s="41"/>
      <c r="W43" s="45"/>
      <c r="X43" s="46"/>
      <c r="Y43" s="40" t="s">
        <v>40</v>
      </c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2"/>
      <c r="BK43" s="4"/>
      <c r="BQ43" t="s">
        <v>223</v>
      </c>
      <c r="BS43" t="s">
        <v>223</v>
      </c>
      <c r="BU43" t="s">
        <v>223</v>
      </c>
      <c r="BV43" s="82" t="s">
        <v>233</v>
      </c>
      <c r="BW43" t="s">
        <v>223</v>
      </c>
      <c r="BY43" t="s">
        <v>223</v>
      </c>
      <c r="BZ43" s="82" t="str">
        <f>IF(_xlfn.XLOOKUP(6,$AH:$AH,$R:$R,"",0)="","","AND A.`"&amp;_xlfn.XLOOKUP(6,$AH:$AH,$R:$R,"",0)&amp;"` = B.`"&amp;_xlfn.XLOOKUP(6,$AH:$AH,$R:$R,"",0)&amp;"`")</f>
        <v/>
      </c>
      <c r="CA43" t="s">
        <v>223</v>
      </c>
    </row>
    <row r="44" spans="1:79" ht="15" customHeight="1">
      <c r="A44" s="84"/>
      <c r="BK44" s="4"/>
      <c r="BQ44" t="s">
        <v>223</v>
      </c>
      <c r="BS44" t="s">
        <v>223</v>
      </c>
      <c r="BU44" t="s">
        <v>223</v>
      </c>
      <c r="BW44" t="s">
        <v>223</v>
      </c>
      <c r="BY44" t="s">
        <v>223</v>
      </c>
      <c r="BZ44" s="82" t="str">
        <f>IF(_xlfn.XLOOKUP(7,$AH:$AH,$R:$R,"",0)="","","AND A.`"&amp;_xlfn.XLOOKUP(7,$AH:$AH,$R:$R,"",0)&amp;"` = B.`"&amp;_xlfn.XLOOKUP(7,$AH:$AH,$R:$R,"",0)&amp;"`")</f>
        <v/>
      </c>
      <c r="CA44" t="s">
        <v>223</v>
      </c>
    </row>
    <row r="45" spans="1:79" ht="15" customHeight="1">
      <c r="A45" s="84"/>
      <c r="BK45" s="4"/>
      <c r="BQ45" t="s">
        <v>223</v>
      </c>
      <c r="BS45" t="s">
        <v>223</v>
      </c>
      <c r="BU45" t="s">
        <v>223</v>
      </c>
      <c r="BW45" t="s">
        <v>223</v>
      </c>
      <c r="BY45" t="s">
        <v>223</v>
      </c>
      <c r="BZ45" s="82" t="str">
        <f>IF(_xlfn.XLOOKUP(8,$AH:$AH,$R:$R,"",0)="","","AND A.`"&amp;_xlfn.XLOOKUP(8,$AH:$AH,$R:$R,"",0)&amp;"` = B.`"&amp;_xlfn.XLOOKUP(8,$AH:$AH,$R:$R,"",0)&amp;"`")</f>
        <v/>
      </c>
      <c r="CA45" t="s">
        <v>223</v>
      </c>
    </row>
    <row r="46" spans="1:79" ht="15" customHeight="1">
      <c r="A46" s="84"/>
      <c r="BK46" s="4"/>
      <c r="BQ46" t="s">
        <v>223</v>
      </c>
      <c r="BS46" t="s">
        <v>223</v>
      </c>
      <c r="BU46" t="s">
        <v>223</v>
      </c>
      <c r="BW46" t="s">
        <v>223</v>
      </c>
      <c r="BY46" t="s">
        <v>223</v>
      </c>
      <c r="BZ46" s="82" t="s">
        <v>226</v>
      </c>
      <c r="CA46" t="s">
        <v>223</v>
      </c>
    </row>
    <row r="47" spans="1:79" ht="15" customHeight="1">
      <c r="A47" s="84"/>
      <c r="BK47" s="4"/>
      <c r="BQ47" t="s">
        <v>223</v>
      </c>
      <c r="BS47" t="s">
        <v>223</v>
      </c>
      <c r="BU47" t="s">
        <v>223</v>
      </c>
      <c r="BW47" t="s">
        <v>223</v>
      </c>
      <c r="BY47" t="s">
        <v>223</v>
      </c>
      <c r="CA47" t="s">
        <v>223</v>
      </c>
    </row>
    <row r="48" spans="1:79" ht="15" customHeight="1">
      <c r="A48" s="84"/>
      <c r="BK48" s="4"/>
      <c r="BQ48" t="s">
        <v>223</v>
      </c>
      <c r="BS48" t="s">
        <v>223</v>
      </c>
      <c r="BU48" t="s">
        <v>223</v>
      </c>
      <c r="BW48" t="s">
        <v>223</v>
      </c>
      <c r="BY48" t="s">
        <v>223</v>
      </c>
      <c r="BZ48" s="83"/>
      <c r="CA48" t="s">
        <v>223</v>
      </c>
    </row>
    <row r="49" spans="1:79" ht="15" customHeight="1">
      <c r="A49" s="84"/>
      <c r="BK49" s="4"/>
      <c r="BQ49" t="s">
        <v>223</v>
      </c>
      <c r="BS49" t="s">
        <v>223</v>
      </c>
      <c r="BU49" t="s">
        <v>223</v>
      </c>
      <c r="BW49" t="s">
        <v>223</v>
      </c>
      <c r="BY49" t="s">
        <v>223</v>
      </c>
      <c r="BZ49" t="str">
        <f>"DROP TABLE IF EXISTS `TMP`.`"&amp;$G$10&amp;"`;"</f>
        <v>DROP TABLE IF EXISTS `TMP`.``;</v>
      </c>
      <c r="CA49" t="s">
        <v>223</v>
      </c>
    </row>
    <row r="50" spans="1:79" ht="15" customHeight="1">
      <c r="A50" s="84"/>
      <c r="BK50" s="4"/>
      <c r="BQ50" t="s">
        <v>223</v>
      </c>
      <c r="BS50" t="s">
        <v>223</v>
      </c>
      <c r="BU50" t="s">
        <v>223</v>
      </c>
      <c r="BW50" t="s">
        <v>223</v>
      </c>
      <c r="BY50" t="s">
        <v>223</v>
      </c>
      <c r="BZ50" t="s">
        <v>234</v>
      </c>
      <c r="CA50" t="s">
        <v>223</v>
      </c>
    </row>
    <row r="51" spans="1:79" ht="15" customHeight="1">
      <c r="A51" s="84"/>
      <c r="BK51" s="4"/>
      <c r="BQ51" t="s">
        <v>223</v>
      </c>
      <c r="BS51" t="s">
        <v>223</v>
      </c>
      <c r="BU51" t="s">
        <v>223</v>
      </c>
      <c r="BW51" t="s">
        <v>223</v>
      </c>
      <c r="BY51" t="s">
        <v>223</v>
      </c>
      <c r="CA51" t="s">
        <v>223</v>
      </c>
    </row>
    <row r="52" spans="1:79" ht="15" customHeight="1">
      <c r="A52" s="84"/>
      <c r="BK52" s="4"/>
      <c r="BQ52" t="s">
        <v>223</v>
      </c>
      <c r="BS52" t="s">
        <v>223</v>
      </c>
      <c r="BU52" t="s">
        <v>223</v>
      </c>
      <c r="BW52" t="s">
        <v>223</v>
      </c>
      <c r="BY52" t="s">
        <v>223</v>
      </c>
      <c r="CA52" t="s">
        <v>223</v>
      </c>
    </row>
    <row r="53" spans="1:79" ht="15" customHeight="1">
      <c r="A53" s="84"/>
      <c r="BK53" s="4"/>
      <c r="BQ53" t="s">
        <v>223</v>
      </c>
      <c r="BS53" t="s">
        <v>223</v>
      </c>
      <c r="BU53" t="s">
        <v>223</v>
      </c>
      <c r="BW53" t="s">
        <v>223</v>
      </c>
      <c r="BY53" t="s">
        <v>223</v>
      </c>
      <c r="CA53" t="s">
        <v>223</v>
      </c>
    </row>
    <row r="54" spans="1:79" ht="15" customHeight="1">
      <c r="A54" s="84"/>
      <c r="BK54" s="4"/>
      <c r="BQ54" t="s">
        <v>223</v>
      </c>
      <c r="BS54" t="s">
        <v>223</v>
      </c>
      <c r="BU54" t="s">
        <v>223</v>
      </c>
      <c r="BW54" t="s">
        <v>223</v>
      </c>
      <c r="BY54" t="s">
        <v>223</v>
      </c>
      <c r="CA54" t="s">
        <v>223</v>
      </c>
    </row>
    <row r="55" spans="1:79" ht="15" customHeight="1">
      <c r="A55" s="8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  <c r="BQ55" t="s">
        <v>223</v>
      </c>
      <c r="BS55" t="s">
        <v>223</v>
      </c>
      <c r="BU55" t="s">
        <v>223</v>
      </c>
      <c r="BV55" s="82" t="str">
        <f t="shared" ref="BV55:BV62" si="7">",A.`"&amp;R55&amp;"` = B.`"&amp;R55&amp;"`"</f>
        <v>,A.`` = B.``</v>
      </c>
      <c r="BW55" t="s">
        <v>223</v>
      </c>
      <c r="BX55" s="82" t="str">
        <f t="shared" ref="BX55:BX62" si="8">",`"&amp;R55&amp;"`"</f>
        <v>,``</v>
      </c>
      <c r="BY55" t="s">
        <v>223</v>
      </c>
      <c r="BZ55" s="82" t="str">
        <f t="shared" si="5"/>
        <v>,``</v>
      </c>
      <c r="CA55" t="s">
        <v>223</v>
      </c>
    </row>
    <row r="56" spans="1:79" ht="15" customHeight="1">
      <c r="A56" s="84"/>
      <c r="BQ56" t="s">
        <v>223</v>
      </c>
      <c r="BS56" t="s">
        <v>223</v>
      </c>
      <c r="BU56" t="s">
        <v>223</v>
      </c>
      <c r="BV56" s="82" t="str">
        <f t="shared" si="7"/>
        <v>,A.`` = B.``</v>
      </c>
      <c r="BW56" t="s">
        <v>223</v>
      </c>
      <c r="BX56" s="82" t="str">
        <f t="shared" si="8"/>
        <v>,``</v>
      </c>
      <c r="BY56" t="s">
        <v>223</v>
      </c>
      <c r="BZ56" s="82" t="str">
        <f t="shared" si="5"/>
        <v>,``</v>
      </c>
      <c r="CA56" t="s">
        <v>223</v>
      </c>
    </row>
    <row r="57" spans="1:79" ht="15" customHeight="1">
      <c r="A57" s="84"/>
      <c r="BQ57" t="s">
        <v>223</v>
      </c>
      <c r="BS57" t="s">
        <v>223</v>
      </c>
      <c r="BU57" t="s">
        <v>223</v>
      </c>
      <c r="BV57" s="82" t="str">
        <f t="shared" si="7"/>
        <v>,A.`` = B.``</v>
      </c>
      <c r="BW57" t="s">
        <v>223</v>
      </c>
      <c r="BX57" s="82" t="str">
        <f t="shared" si="8"/>
        <v>,``</v>
      </c>
      <c r="BY57" t="s">
        <v>223</v>
      </c>
      <c r="BZ57" s="82" t="str">
        <f t="shared" si="5"/>
        <v>,``</v>
      </c>
      <c r="CA57" t="s">
        <v>223</v>
      </c>
    </row>
    <row r="58" spans="1:79" ht="15" customHeight="1">
      <c r="A58" s="84"/>
      <c r="BQ58" t="s">
        <v>223</v>
      </c>
      <c r="BS58" t="s">
        <v>223</v>
      </c>
      <c r="BU58" t="s">
        <v>223</v>
      </c>
      <c r="BV58" s="82" t="str">
        <f t="shared" si="7"/>
        <v>,A.`` = B.``</v>
      </c>
      <c r="BW58" t="s">
        <v>223</v>
      </c>
      <c r="BX58" s="82" t="str">
        <f t="shared" si="8"/>
        <v>,``</v>
      </c>
      <c r="BY58" t="s">
        <v>223</v>
      </c>
      <c r="BZ58" s="82" t="str">
        <f t="shared" si="5"/>
        <v>,``</v>
      </c>
      <c r="CA58" t="s">
        <v>223</v>
      </c>
    </row>
    <row r="59" spans="1:79" ht="15" customHeight="1">
      <c r="A59" s="84"/>
      <c r="BQ59" t="s">
        <v>223</v>
      </c>
      <c r="BS59" t="s">
        <v>223</v>
      </c>
      <c r="BU59" t="s">
        <v>223</v>
      </c>
      <c r="BV59" s="82" t="str">
        <f t="shared" si="7"/>
        <v>,A.`` = B.``</v>
      </c>
      <c r="BW59" t="s">
        <v>223</v>
      </c>
      <c r="BX59" s="82" t="str">
        <f t="shared" si="8"/>
        <v>,``</v>
      </c>
      <c r="BY59" t="s">
        <v>223</v>
      </c>
      <c r="BZ59" s="82" t="str">
        <f t="shared" si="5"/>
        <v>,``</v>
      </c>
      <c r="CA59" t="s">
        <v>223</v>
      </c>
    </row>
    <row r="60" spans="1:79" ht="15" customHeight="1">
      <c r="A60" s="84"/>
      <c r="BQ60" t="s">
        <v>223</v>
      </c>
      <c r="BS60" t="s">
        <v>223</v>
      </c>
      <c r="BU60" t="s">
        <v>223</v>
      </c>
      <c r="BV60" s="82" t="str">
        <f t="shared" si="7"/>
        <v>,A.`` = B.``</v>
      </c>
      <c r="BW60" t="s">
        <v>223</v>
      </c>
      <c r="BX60" s="82" t="str">
        <f t="shared" si="8"/>
        <v>,``</v>
      </c>
      <c r="BY60" t="s">
        <v>223</v>
      </c>
      <c r="BZ60" s="82" t="str">
        <f t="shared" si="5"/>
        <v>,``</v>
      </c>
      <c r="CA60" t="s">
        <v>223</v>
      </c>
    </row>
    <row r="61" spans="1:79" ht="15" customHeight="1">
      <c r="A61" s="84"/>
      <c r="BQ61" t="s">
        <v>223</v>
      </c>
      <c r="BS61" t="s">
        <v>223</v>
      </c>
      <c r="BU61" t="s">
        <v>223</v>
      </c>
      <c r="BV61" s="82" t="str">
        <f t="shared" si="7"/>
        <v>,A.`` = B.``</v>
      </c>
      <c r="BW61" t="s">
        <v>223</v>
      </c>
      <c r="BX61" s="82" t="str">
        <f t="shared" si="8"/>
        <v>,``</v>
      </c>
      <c r="BY61" t="s">
        <v>223</v>
      </c>
      <c r="BZ61" s="82" t="str">
        <f t="shared" si="5"/>
        <v>,``</v>
      </c>
      <c r="CA61" t="s">
        <v>223</v>
      </c>
    </row>
    <row r="62" spans="1:79" ht="15" customHeight="1">
      <c r="A62" s="83"/>
      <c r="BQ62" t="s">
        <v>223</v>
      </c>
      <c r="BS62" t="s">
        <v>223</v>
      </c>
      <c r="BU62" t="s">
        <v>223</v>
      </c>
      <c r="BV62" s="82" t="str">
        <f t="shared" si="7"/>
        <v>,A.`` = B.``</v>
      </c>
      <c r="BW62" t="s">
        <v>223</v>
      </c>
      <c r="BX62" s="82" t="str">
        <f t="shared" si="8"/>
        <v>,``</v>
      </c>
      <c r="BY62" t="s">
        <v>223</v>
      </c>
      <c r="BZ62" s="82" t="str">
        <f t="shared" si="5"/>
        <v>,``</v>
      </c>
      <c r="CA62" t="s">
        <v>223</v>
      </c>
    </row>
    <row r="63" spans="1:79" ht="15" customHeight="1">
      <c r="BQ63" t="s">
        <v>223</v>
      </c>
      <c r="BS63" t="s">
        <v>223</v>
      </c>
      <c r="BU63" t="s">
        <v>223</v>
      </c>
      <c r="BV63" s="82" t="s">
        <v>231</v>
      </c>
      <c r="BW63" t="s">
        <v>223</v>
      </c>
      <c r="BY63" t="s">
        <v>223</v>
      </c>
      <c r="BZ63" s="82" t="str">
        <f>"FROM `TMP`.`"&amp;$G$10&amp;"` A"</f>
        <v>FROM `TMP`.`` A</v>
      </c>
      <c r="CA63" t="s">
        <v>223</v>
      </c>
    </row>
    <row r="64" spans="1:79" ht="15" customHeight="1">
      <c r="BQ64" t="s">
        <v>223</v>
      </c>
      <c r="BS64" t="s">
        <v>223</v>
      </c>
      <c r="BU64" t="s">
        <v>223</v>
      </c>
      <c r="BV64" s="82" t="str">
        <f>IF(_xlfn.XLOOKUP(1,$AH:$AH,$R:$R,"",0)="","","A.`"&amp;_xlfn.XLOOKUP(1,$AH:$AH,$R:$R,"",0)&amp;"` = B.`"&amp;_xlfn.XLOOKUP(1,$AH:$AH,$R:$R,"",0)&amp;"`")</f>
        <v/>
      </c>
      <c r="BW64" t="s">
        <v>223</v>
      </c>
      <c r="BY64" t="s">
        <v>223</v>
      </c>
      <c r="BZ64" s="82" t="s">
        <v>232</v>
      </c>
      <c r="CA64" t="s">
        <v>223</v>
      </c>
    </row>
    <row r="65" spans="69:79" ht="15" customHeight="1">
      <c r="BQ65" t="s">
        <v>223</v>
      </c>
      <c r="BS65" t="s">
        <v>223</v>
      </c>
      <c r="BU65" t="s">
        <v>223</v>
      </c>
      <c r="BV65" s="82" t="str">
        <f>IF(_xlfn.XLOOKUP(2,$AH:$AH,$R:$R,"",0)="","","AND A.`"&amp;_xlfn.XLOOKUP(2,$AH:$AH,$R:$R,"",0)&amp;"` = B.`"&amp;_xlfn.XLOOKUP(2,$AH:$AH,$R:$R,"",0)&amp;"`")</f>
        <v/>
      </c>
      <c r="BW65" t="s">
        <v>223</v>
      </c>
      <c r="BY65" t="s">
        <v>223</v>
      </c>
      <c r="BZ65" s="82" t="str">
        <f>"FROM `POS_MASTER`.`"&amp;$G$10&amp;"` B"</f>
        <v>FROM `POS_MASTER`.`` B</v>
      </c>
      <c r="CA65" t="s">
        <v>223</v>
      </c>
    </row>
    <row r="66" spans="69:79" ht="15" customHeight="1">
      <c r="BQ66" t="s">
        <v>223</v>
      </c>
      <c r="BS66" t="s">
        <v>223</v>
      </c>
      <c r="BU66" t="s">
        <v>223</v>
      </c>
      <c r="BV66" s="82" t="str">
        <f>IF(_xlfn.XLOOKUP(3,$AH:$AH,$R:$R,"",0)="","","AND A.`"&amp;_xlfn.XLOOKUP(3,$AH:$AH,$R:$R,"",0)&amp;"` = B.`"&amp;_xlfn.XLOOKUP(3,$AH:$AH,$R:$R,"",0)&amp;"`")</f>
        <v/>
      </c>
      <c r="BW66" t="s">
        <v>223</v>
      </c>
      <c r="BY66" t="s">
        <v>223</v>
      </c>
      <c r="BZ66" s="82" t="s">
        <v>229</v>
      </c>
      <c r="CA66" t="s">
        <v>223</v>
      </c>
    </row>
    <row r="67" spans="69:79" ht="15" customHeight="1">
      <c r="BQ67" t="s">
        <v>223</v>
      </c>
      <c r="BS67" t="s">
        <v>223</v>
      </c>
      <c r="BU67" t="s">
        <v>223</v>
      </c>
      <c r="BV67" s="82" t="str">
        <f>IF(_xlfn.XLOOKUP(4,$AH:$AH,$R:$R,"",0)="","","AND A.`"&amp;_xlfn.XLOOKUP(4,$AH:$AH,$R:$R,"",0)&amp;"` = B.`"&amp;_xlfn.XLOOKUP(4,$AH:$AH,$R:$R,"",0)&amp;"`")</f>
        <v/>
      </c>
      <c r="BW67" t="s">
        <v>223</v>
      </c>
      <c r="BY67" t="s">
        <v>223</v>
      </c>
      <c r="BZ67" s="82" t="str">
        <f>IF(_xlfn.XLOOKUP(1,$AH:$AH,$R:$R,"",0)="","","A.`"&amp;_xlfn.XLOOKUP(1,$AH:$AH,$R:$R,"",0)&amp;"` = B.`"&amp;_xlfn.XLOOKUP(1,$AH:$AH,$R:$R,"",0)&amp;"`")</f>
        <v/>
      </c>
      <c r="CA67" t="s">
        <v>223</v>
      </c>
    </row>
    <row r="68" spans="69:79" ht="15" customHeight="1">
      <c r="BQ68" t="s">
        <v>223</v>
      </c>
      <c r="BS68" t="s">
        <v>223</v>
      </c>
      <c r="BU68" t="s">
        <v>223</v>
      </c>
      <c r="BV68" s="82" t="str">
        <f>IF(_xlfn.XLOOKUP(5,$AH:$AH,$R:$R,"",0)="","","AND A.`"&amp;_xlfn.XLOOKUP(5,$AH:$AH,$R:$R,"",0)&amp;"` = B.`"&amp;_xlfn.XLOOKUP(5,$AH:$AH,$R:$R,"",0)&amp;"`")</f>
        <v/>
      </c>
      <c r="BW68" t="s">
        <v>223</v>
      </c>
      <c r="BY68" t="s">
        <v>223</v>
      </c>
      <c r="BZ68" s="82" t="str">
        <f>IF(_xlfn.XLOOKUP(2,$AH:$AH,$R:$R,"",0)="","","AND A.`"&amp;_xlfn.XLOOKUP(2,$AH:$AH,$R:$R,"",0)&amp;"` = B.`"&amp;_xlfn.XLOOKUP(2,$AH:$AH,$R:$R,"",0)&amp;"`")</f>
        <v/>
      </c>
      <c r="CA68" t="s">
        <v>223</v>
      </c>
    </row>
    <row r="69" spans="69:79" ht="15" customHeight="1">
      <c r="BQ69" t="s">
        <v>223</v>
      </c>
      <c r="BS69" t="s">
        <v>223</v>
      </c>
      <c r="BU69" t="s">
        <v>223</v>
      </c>
      <c r="BV69" s="82" t="str">
        <f>IF(_xlfn.XLOOKUP(6,$AH:$AH,$R:$R,"",0)="","","AND A.`"&amp;_xlfn.XLOOKUP(6,$AH:$AH,$R:$R,"",0)&amp;"` = B.`"&amp;_xlfn.XLOOKUP(6,$AH:$AH,$R:$R,"",0)&amp;"`")</f>
        <v/>
      </c>
      <c r="BW69" t="s">
        <v>223</v>
      </c>
      <c r="BY69" t="s">
        <v>223</v>
      </c>
      <c r="BZ69" s="82" t="str">
        <f>IF(_xlfn.XLOOKUP(3,$AH:$AH,$R:$R,"",0)="","","AND A.`"&amp;_xlfn.XLOOKUP(3,$AH:$AH,$R:$R,"",0)&amp;"` = B.`"&amp;_xlfn.XLOOKUP(3,$AH:$AH,$R:$R,"",0)&amp;"`")</f>
        <v/>
      </c>
      <c r="CA69" t="s">
        <v>223</v>
      </c>
    </row>
    <row r="70" spans="69:79" ht="15" customHeight="1">
      <c r="BQ70" t="s">
        <v>223</v>
      </c>
      <c r="BS70" t="s">
        <v>223</v>
      </c>
      <c r="BU70" t="s">
        <v>223</v>
      </c>
      <c r="BV70" s="82" t="str">
        <f>IF(_xlfn.XLOOKUP(7,$AH:$AH,$R:$R,"",0)="","","AND A.`"&amp;_xlfn.XLOOKUP(7,$AH:$AH,$R:$R,"",0)&amp;"` = B.`"&amp;_xlfn.XLOOKUP(7,$AH:$AH,$R:$R,"",0)&amp;"`")</f>
        <v/>
      </c>
      <c r="BW70" t="s">
        <v>223</v>
      </c>
      <c r="BY70" t="s">
        <v>223</v>
      </c>
      <c r="BZ70" s="82" t="str">
        <f>IF(_xlfn.XLOOKUP(4,$AH:$AH,$R:$R,"",0)="","","AND A.`"&amp;_xlfn.XLOOKUP(4,$AH:$AH,$R:$R,"",0)&amp;"` = B.`"&amp;_xlfn.XLOOKUP(4,$AH:$AH,$R:$R,"",0)&amp;"`")</f>
        <v/>
      </c>
      <c r="CA70" t="s">
        <v>223</v>
      </c>
    </row>
    <row r="71" spans="69:79" ht="15" customHeight="1">
      <c r="BQ71" t="s">
        <v>223</v>
      </c>
      <c r="BS71" t="s">
        <v>223</v>
      </c>
      <c r="BU71" t="s">
        <v>223</v>
      </c>
      <c r="BV71" s="82" t="str">
        <f>IF(_xlfn.XLOOKUP(8,$AH:$AH,$R:$R,"",0)="","","AND A.`"&amp;_xlfn.XLOOKUP(8,$AH:$AH,$R:$R,"",0)&amp;"` = B.`"&amp;_xlfn.XLOOKUP(8,$AH:$AH,$R:$R,"",0)&amp;"`")</f>
        <v/>
      </c>
      <c r="BW71" t="s">
        <v>223</v>
      </c>
      <c r="BY71" t="s">
        <v>223</v>
      </c>
      <c r="BZ71" s="82" t="str">
        <f>IF(_xlfn.XLOOKUP(5,$AH:$AH,$R:$R,"",0)="","","AND A.`"&amp;_xlfn.XLOOKUP(5,$AH:$AH,$R:$R,"",0)&amp;"` = B.`"&amp;_xlfn.XLOOKUP(5,$AH:$AH,$R:$R,"",0)&amp;"`")</f>
        <v/>
      </c>
      <c r="CA71" t="s">
        <v>223</v>
      </c>
    </row>
    <row r="72" spans="69:79" ht="15" customHeight="1">
      <c r="BQ72" t="s">
        <v>223</v>
      </c>
      <c r="BS72" t="s">
        <v>223</v>
      </c>
      <c r="BU72" t="s">
        <v>223</v>
      </c>
      <c r="BV72" s="82" t="s">
        <v>233</v>
      </c>
      <c r="BW72" t="s">
        <v>223</v>
      </c>
      <c r="BY72" t="s">
        <v>223</v>
      </c>
      <c r="BZ72" s="82" t="str">
        <f>IF(_xlfn.XLOOKUP(6,$AH:$AH,$R:$R,"",0)="","","AND A.`"&amp;_xlfn.XLOOKUP(6,$AH:$AH,$R:$R,"",0)&amp;"` = B.`"&amp;_xlfn.XLOOKUP(6,$AH:$AH,$R:$R,"",0)&amp;"`")</f>
        <v/>
      </c>
      <c r="CA72" t="s">
        <v>223</v>
      </c>
    </row>
    <row r="73" spans="69:79" ht="15" customHeight="1">
      <c r="BQ73" t="s">
        <v>223</v>
      </c>
      <c r="BS73" t="s">
        <v>223</v>
      </c>
      <c r="BU73" t="s">
        <v>223</v>
      </c>
      <c r="BW73" t="s">
        <v>223</v>
      </c>
      <c r="BY73" t="s">
        <v>223</v>
      </c>
      <c r="BZ73" s="82" t="str">
        <f>IF(_xlfn.XLOOKUP(7,$AH:$AH,$R:$R,"",0)="","","AND A.`"&amp;_xlfn.XLOOKUP(7,$AH:$AH,$R:$R,"",0)&amp;"` = B.`"&amp;_xlfn.XLOOKUP(7,$AH:$AH,$R:$R,"",0)&amp;"`")</f>
        <v/>
      </c>
      <c r="CA73" t="s">
        <v>223</v>
      </c>
    </row>
    <row r="74" spans="69:79" ht="15" customHeight="1">
      <c r="BQ74" t="s">
        <v>223</v>
      </c>
      <c r="BS74" t="s">
        <v>223</v>
      </c>
      <c r="BU74" t="s">
        <v>223</v>
      </c>
      <c r="BW74" t="s">
        <v>223</v>
      </c>
      <c r="BY74" t="s">
        <v>223</v>
      </c>
      <c r="BZ74" s="82" t="str">
        <f>IF(_xlfn.XLOOKUP(8,$AH:$AH,$R:$R,"",0)="","","AND A.`"&amp;_xlfn.XLOOKUP(8,$AH:$AH,$R:$R,"",0)&amp;"` = B.`"&amp;_xlfn.XLOOKUP(8,$AH:$AH,$R:$R,"",0)&amp;"`")</f>
        <v/>
      </c>
      <c r="CA74" t="s">
        <v>223</v>
      </c>
    </row>
    <row r="75" spans="69:79" ht="15" customHeight="1">
      <c r="BQ75" t="s">
        <v>223</v>
      </c>
      <c r="BS75" t="s">
        <v>223</v>
      </c>
      <c r="BU75" t="s">
        <v>223</v>
      </c>
      <c r="BW75" t="s">
        <v>223</v>
      </c>
      <c r="BY75" t="s">
        <v>223</v>
      </c>
      <c r="BZ75" s="82" t="s">
        <v>226</v>
      </c>
      <c r="CA75" t="s">
        <v>223</v>
      </c>
    </row>
    <row r="76" spans="69:79" ht="15" customHeight="1">
      <c r="BQ76" t="s">
        <v>223</v>
      </c>
      <c r="BS76" t="s">
        <v>223</v>
      </c>
      <c r="BU76" t="s">
        <v>223</v>
      </c>
      <c r="BW76" t="s">
        <v>223</v>
      </c>
      <c r="BY76" t="s">
        <v>223</v>
      </c>
      <c r="CA76" t="s">
        <v>223</v>
      </c>
    </row>
    <row r="77" spans="69:79" ht="15" customHeight="1">
      <c r="BQ77" t="s">
        <v>223</v>
      </c>
      <c r="BS77" t="s">
        <v>223</v>
      </c>
      <c r="BU77" t="s">
        <v>223</v>
      </c>
      <c r="BW77" t="s">
        <v>223</v>
      </c>
      <c r="BY77" t="s">
        <v>223</v>
      </c>
      <c r="BZ77" s="83"/>
      <c r="CA77" t="s">
        <v>223</v>
      </c>
    </row>
    <row r="78" spans="69:79" ht="15" customHeight="1">
      <c r="BQ78" t="s">
        <v>223</v>
      </c>
      <c r="BS78" t="s">
        <v>223</v>
      </c>
      <c r="BU78" t="s">
        <v>223</v>
      </c>
      <c r="BW78" t="s">
        <v>223</v>
      </c>
      <c r="BY78" t="s">
        <v>223</v>
      </c>
      <c r="BZ78" t="str">
        <f>"DROP TABLE IF EXISTS `TMP`.`"&amp;$G$10&amp;"`;"</f>
        <v>DROP TABLE IF EXISTS `TMP`.``;</v>
      </c>
      <c r="CA78" t="s">
        <v>223</v>
      </c>
    </row>
    <row r="79" spans="69:79" ht="15" customHeight="1">
      <c r="BQ79" t="s">
        <v>223</v>
      </c>
      <c r="BS79" t="s">
        <v>223</v>
      </c>
      <c r="BU79" t="s">
        <v>223</v>
      </c>
      <c r="BW79" t="s">
        <v>223</v>
      </c>
      <c r="BY79" t="s">
        <v>223</v>
      </c>
      <c r="BZ79" t="s">
        <v>234</v>
      </c>
      <c r="CA79" t="s">
        <v>223</v>
      </c>
    </row>
    <row r="80" spans="69:79" ht="15" customHeight="1">
      <c r="BQ80" t="s">
        <v>223</v>
      </c>
      <c r="BS80" t="s">
        <v>223</v>
      </c>
      <c r="BU80" t="s">
        <v>223</v>
      </c>
      <c r="BW80" t="s">
        <v>223</v>
      </c>
      <c r="BY80" t="s">
        <v>223</v>
      </c>
      <c r="CA80" t="s">
        <v>223</v>
      </c>
    </row>
    <row r="81" spans="69:79" ht="15" customHeight="1">
      <c r="BQ81" t="s">
        <v>223</v>
      </c>
      <c r="BS81" t="s">
        <v>223</v>
      </c>
      <c r="BU81" t="s">
        <v>223</v>
      </c>
      <c r="BW81" t="s">
        <v>223</v>
      </c>
      <c r="BY81" t="s">
        <v>223</v>
      </c>
      <c r="CA81" t="s">
        <v>223</v>
      </c>
    </row>
    <row r="82" spans="69:79" ht="15" customHeight="1">
      <c r="BQ82" t="s">
        <v>223</v>
      </c>
      <c r="BS82" t="s">
        <v>223</v>
      </c>
      <c r="BU82" t="s">
        <v>223</v>
      </c>
      <c r="BW82" t="s">
        <v>223</v>
      </c>
      <c r="BY82" t="s">
        <v>223</v>
      </c>
      <c r="CA82" t="s">
        <v>223</v>
      </c>
    </row>
    <row r="83" spans="69:79" ht="15" customHeight="1">
      <c r="BQ83" t="s">
        <v>223</v>
      </c>
      <c r="BS83" t="s">
        <v>223</v>
      </c>
      <c r="BU83" t="s">
        <v>223</v>
      </c>
      <c r="BW83" t="s">
        <v>223</v>
      </c>
      <c r="BY83" t="s">
        <v>223</v>
      </c>
      <c r="CA83" t="s">
        <v>223</v>
      </c>
    </row>
    <row r="84" spans="69:79" ht="15" customHeight="1">
      <c r="BQ84" t="s">
        <v>223</v>
      </c>
      <c r="BS84" t="s">
        <v>223</v>
      </c>
      <c r="BU84" t="s">
        <v>223</v>
      </c>
      <c r="BW84" t="s">
        <v>223</v>
      </c>
      <c r="BY84" t="s">
        <v>223</v>
      </c>
      <c r="CA84" t="s">
        <v>223</v>
      </c>
    </row>
  </sheetData>
  <mergeCells count="38">
    <mergeCell ref="A4:G4"/>
    <mergeCell ref="BH2:BK3"/>
    <mergeCell ref="BC2:BG3"/>
    <mergeCell ref="AY2:BB3"/>
    <mergeCell ref="AT2:AX3"/>
    <mergeCell ref="AP2:AS3"/>
    <mergeCell ref="Y10:AC10"/>
    <mergeCell ref="AD10:AN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B14:AN14"/>
    <mergeCell ref="B15:AN15"/>
    <mergeCell ref="B16:AN16"/>
    <mergeCell ref="B8:F8"/>
    <mergeCell ref="G8:X8"/>
    <mergeCell ref="Y8:AC8"/>
    <mergeCell ref="AD8:AN8"/>
    <mergeCell ref="B11:AN11"/>
    <mergeCell ref="B12:AN12"/>
    <mergeCell ref="B13:AN13"/>
    <mergeCell ref="B9:F9"/>
    <mergeCell ref="G9:X9"/>
    <mergeCell ref="Y9:AC9"/>
    <mergeCell ref="AD9:AN9"/>
    <mergeCell ref="B10:F10"/>
    <mergeCell ref="G10:X10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9" orientation="landscape" horizontalDpi="300" r:id="rId1"/>
  <headerFooter>
    <oddHeader>&amp;R&amp;F</oddHeader>
    <oddFooter>&amp;C&amp;P / &amp;N ページ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C084-B55F-43D1-BD2D-CF74742AC75F}">
  <dimension ref="B2:E39"/>
  <sheetViews>
    <sheetView zoomScale="80" zoomScaleNormal="80" workbookViewId="0">
      <selection activeCell="M32" sqref="M32"/>
    </sheetView>
  </sheetViews>
  <sheetFormatPr defaultRowHeight="14.25"/>
  <cols>
    <col min="1" max="2" width="8.88671875" style="65"/>
    <col min="3" max="3" width="15.109375" style="65" bestFit="1" customWidth="1"/>
    <col min="4" max="4" width="19" style="65" bestFit="1" customWidth="1"/>
    <col min="5" max="5" width="19.109375" style="65" bestFit="1" customWidth="1"/>
    <col min="6" max="16384" width="8.88671875" style="65"/>
  </cols>
  <sheetData>
    <row r="2" spans="2:5">
      <c r="B2" s="65" t="s">
        <v>79</v>
      </c>
      <c r="C2" s="65" t="s">
        <v>80</v>
      </c>
      <c r="D2" s="65" t="s">
        <v>81</v>
      </c>
      <c r="E2" s="65" t="s">
        <v>82</v>
      </c>
    </row>
    <row r="3" spans="2:5">
      <c r="C3" s="65" t="s">
        <v>83</v>
      </c>
      <c r="D3" s="65" t="s">
        <v>84</v>
      </c>
      <c r="E3" s="65" t="s">
        <v>85</v>
      </c>
    </row>
    <row r="4" spans="2:5">
      <c r="C4" s="65" t="s">
        <v>86</v>
      </c>
      <c r="D4" s="65" t="s">
        <v>87</v>
      </c>
      <c r="E4" s="65" t="s">
        <v>88</v>
      </c>
    </row>
    <row r="5" spans="2:5">
      <c r="C5" s="65" t="s">
        <v>89</v>
      </c>
      <c r="D5" s="65" t="s">
        <v>90</v>
      </c>
      <c r="E5" s="65" t="s">
        <v>91</v>
      </c>
    </row>
    <row r="6" spans="2:5">
      <c r="C6" s="65" t="s">
        <v>92</v>
      </c>
      <c r="D6" s="65" t="s">
        <v>93</v>
      </c>
      <c r="E6" s="65" t="s">
        <v>94</v>
      </c>
    </row>
    <row r="7" spans="2:5">
      <c r="B7" s="65" t="s">
        <v>95</v>
      </c>
      <c r="C7" s="65" t="s">
        <v>96</v>
      </c>
      <c r="D7" s="65" t="s">
        <v>97</v>
      </c>
      <c r="E7" s="65" t="s">
        <v>98</v>
      </c>
    </row>
    <row r="8" spans="2:5">
      <c r="C8" s="65" t="s">
        <v>99</v>
      </c>
      <c r="D8" s="65" t="s">
        <v>100</v>
      </c>
      <c r="E8" s="65" t="s">
        <v>101</v>
      </c>
    </row>
    <row r="9" spans="2:5">
      <c r="C9" s="65" t="s">
        <v>102</v>
      </c>
      <c r="D9" s="65" t="s">
        <v>103</v>
      </c>
      <c r="E9" s="65" t="s">
        <v>104</v>
      </c>
    </row>
    <row r="10" spans="2:5">
      <c r="C10" s="65" t="s">
        <v>105</v>
      </c>
      <c r="D10" s="65" t="s">
        <v>106</v>
      </c>
      <c r="E10" s="65" t="s">
        <v>107</v>
      </c>
    </row>
    <row r="11" spans="2:5">
      <c r="B11" s="65" t="s">
        <v>108</v>
      </c>
      <c r="C11" s="65" t="s">
        <v>109</v>
      </c>
      <c r="D11" s="65" t="s">
        <v>110</v>
      </c>
      <c r="E11" s="65" t="s">
        <v>111</v>
      </c>
    </row>
    <row r="12" spans="2:5">
      <c r="C12" s="65" t="s">
        <v>112</v>
      </c>
      <c r="D12" s="65" t="s">
        <v>113</v>
      </c>
      <c r="E12" s="65" t="s">
        <v>203</v>
      </c>
    </row>
    <row r="13" spans="2:5">
      <c r="C13" s="65" t="s">
        <v>114</v>
      </c>
      <c r="D13" s="65" t="s">
        <v>115</v>
      </c>
      <c r="E13" s="65" t="s">
        <v>116</v>
      </c>
    </row>
    <row r="14" spans="2:5">
      <c r="C14" s="65" t="s">
        <v>117</v>
      </c>
      <c r="D14" s="65" t="s">
        <v>118</v>
      </c>
      <c r="E14" s="65" t="s">
        <v>119</v>
      </c>
    </row>
    <row r="15" spans="2:5">
      <c r="C15" s="65" t="s">
        <v>120</v>
      </c>
      <c r="D15" s="65" t="s">
        <v>121</v>
      </c>
      <c r="E15" s="65" t="s">
        <v>122</v>
      </c>
    </row>
    <row r="16" spans="2:5">
      <c r="B16" s="65" t="s">
        <v>123</v>
      </c>
      <c r="C16" s="65" t="s">
        <v>124</v>
      </c>
      <c r="D16" s="65" t="s">
        <v>125</v>
      </c>
      <c r="E16" s="65" t="s">
        <v>126</v>
      </c>
    </row>
    <row r="17" spans="2:5">
      <c r="C17" s="65" t="s">
        <v>127</v>
      </c>
      <c r="D17" s="65" t="s">
        <v>128</v>
      </c>
      <c r="E17" s="65" t="s">
        <v>129</v>
      </c>
    </row>
    <row r="18" spans="2:5">
      <c r="C18" s="65" t="s">
        <v>130</v>
      </c>
      <c r="D18" s="65" t="s">
        <v>131</v>
      </c>
      <c r="E18" s="65" t="s">
        <v>132</v>
      </c>
    </row>
    <row r="19" spans="2:5">
      <c r="C19" s="65" t="s">
        <v>133</v>
      </c>
      <c r="D19" s="65" t="s">
        <v>134</v>
      </c>
      <c r="E19" s="65" t="s">
        <v>135</v>
      </c>
    </row>
    <row r="20" spans="2:5">
      <c r="B20" s="65" t="s">
        <v>136</v>
      </c>
      <c r="C20" s="65" t="s">
        <v>137</v>
      </c>
      <c r="D20" s="65" t="s">
        <v>138</v>
      </c>
      <c r="E20" s="65" t="s">
        <v>139</v>
      </c>
    </row>
    <row r="21" spans="2:5">
      <c r="B21" s="65" t="s">
        <v>140</v>
      </c>
      <c r="C21" s="65" t="s">
        <v>141</v>
      </c>
      <c r="D21" s="65" t="s">
        <v>142</v>
      </c>
      <c r="E21" s="65" t="s">
        <v>143</v>
      </c>
    </row>
    <row r="22" spans="2:5">
      <c r="C22" s="65" t="s">
        <v>144</v>
      </c>
      <c r="D22" s="65" t="s">
        <v>145</v>
      </c>
      <c r="E22" s="65" t="s">
        <v>146</v>
      </c>
    </row>
    <row r="23" spans="2:5">
      <c r="C23" s="65" t="s">
        <v>147</v>
      </c>
      <c r="D23" s="65" t="s">
        <v>148</v>
      </c>
      <c r="E23" s="65" t="s">
        <v>149</v>
      </c>
    </row>
    <row r="24" spans="2:5">
      <c r="C24" s="65" t="s">
        <v>150</v>
      </c>
      <c r="D24" s="65" t="s">
        <v>151</v>
      </c>
      <c r="E24" s="65" t="s">
        <v>152</v>
      </c>
    </row>
    <row r="25" spans="2:5">
      <c r="B25" s="65" t="s">
        <v>153</v>
      </c>
      <c r="C25" s="65" t="s">
        <v>154</v>
      </c>
      <c r="D25" s="65" t="s">
        <v>155</v>
      </c>
      <c r="E25" s="65" t="s">
        <v>156</v>
      </c>
    </row>
    <row r="26" spans="2:5">
      <c r="C26" s="65" t="s">
        <v>157</v>
      </c>
      <c r="D26" s="65" t="s">
        <v>158</v>
      </c>
      <c r="E26" s="65" t="s">
        <v>159</v>
      </c>
    </row>
    <row r="27" spans="2:5">
      <c r="C27" s="65" t="s">
        <v>160</v>
      </c>
      <c r="D27" s="65" t="s">
        <v>161</v>
      </c>
      <c r="E27" s="65" t="s">
        <v>162</v>
      </c>
    </row>
    <row r="28" spans="2:5">
      <c r="C28" s="65" t="s">
        <v>163</v>
      </c>
      <c r="D28" s="65" t="s">
        <v>164</v>
      </c>
      <c r="E28" s="65" t="s">
        <v>165</v>
      </c>
    </row>
    <row r="29" spans="2:5">
      <c r="B29" s="65" t="s">
        <v>166</v>
      </c>
      <c r="C29" s="65" t="s">
        <v>167</v>
      </c>
      <c r="D29" s="65" t="s">
        <v>168</v>
      </c>
      <c r="E29" s="65" t="s">
        <v>169</v>
      </c>
    </row>
    <row r="30" spans="2:5">
      <c r="C30" s="65" t="s">
        <v>170</v>
      </c>
      <c r="D30" s="65" t="s">
        <v>171</v>
      </c>
      <c r="E30" s="65" t="s">
        <v>172</v>
      </c>
    </row>
    <row r="31" spans="2:5">
      <c r="B31" s="65" t="s">
        <v>173</v>
      </c>
      <c r="C31" s="65" t="s">
        <v>174</v>
      </c>
      <c r="D31" s="65" t="s">
        <v>175</v>
      </c>
      <c r="E31" s="65" t="s">
        <v>176</v>
      </c>
    </row>
    <row r="32" spans="2:5">
      <c r="C32" s="65" t="s">
        <v>177</v>
      </c>
      <c r="D32" s="65" t="s">
        <v>178</v>
      </c>
      <c r="E32" s="65" t="s">
        <v>179</v>
      </c>
    </row>
    <row r="33" spans="2:5">
      <c r="B33" s="65" t="s">
        <v>180</v>
      </c>
      <c r="C33" s="65" t="s">
        <v>181</v>
      </c>
      <c r="D33" s="65" t="s">
        <v>182</v>
      </c>
      <c r="E33" s="65" t="s">
        <v>183</v>
      </c>
    </row>
    <row r="34" spans="2:5">
      <c r="C34" s="65" t="s">
        <v>184</v>
      </c>
      <c r="D34" s="65" t="s">
        <v>185</v>
      </c>
      <c r="E34" s="65" t="s">
        <v>186</v>
      </c>
    </row>
    <row r="35" spans="2:5">
      <c r="B35" s="65" t="s">
        <v>187</v>
      </c>
      <c r="C35" s="65" t="s">
        <v>188</v>
      </c>
      <c r="D35" s="65" t="s">
        <v>189</v>
      </c>
      <c r="E35" s="65" t="s">
        <v>190</v>
      </c>
    </row>
    <row r="36" spans="2:5">
      <c r="C36" s="65" t="s">
        <v>191</v>
      </c>
      <c r="D36" s="65" t="s">
        <v>192</v>
      </c>
      <c r="E36" s="65" t="s">
        <v>193</v>
      </c>
    </row>
    <row r="37" spans="2:5">
      <c r="C37" s="65" t="s">
        <v>194</v>
      </c>
      <c r="D37" s="65" t="s">
        <v>195</v>
      </c>
      <c r="E37" s="65" t="s">
        <v>196</v>
      </c>
    </row>
    <row r="38" spans="2:5">
      <c r="C38" s="65" t="s">
        <v>197</v>
      </c>
      <c r="D38" s="65" t="s">
        <v>198</v>
      </c>
      <c r="E38" s="65" t="s">
        <v>199</v>
      </c>
    </row>
    <row r="39" spans="2:5">
      <c r="C39" s="65" t="s">
        <v>200</v>
      </c>
      <c r="D39" s="65" t="s">
        <v>201</v>
      </c>
      <c r="E39" s="65" t="s">
        <v>202</v>
      </c>
    </row>
  </sheetData>
  <phoneticPr fontId="2"/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ACFBC-B156-42A7-A8FA-FCE268D9B71F}"/>
</file>

<file path=customXml/itemProps2.xml><?xml version="1.0" encoding="utf-8"?>
<ds:datastoreItem xmlns:ds="http://schemas.openxmlformats.org/officeDocument/2006/customXml" ds:itemID="{1F8DC015-2500-4044-B027-D822D2533D15}"/>
</file>

<file path=customXml/itemProps3.xml><?xml version="1.0" encoding="utf-8"?>
<ds:datastoreItem xmlns:ds="http://schemas.openxmlformats.org/officeDocument/2006/customXml" ds:itemID="{2A0F7D81-395B-43AA-B992-4EB67043A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4</vt:i4>
      </vt:variant>
    </vt:vector>
  </HeadingPairs>
  <TitlesOfParts>
    <vt:vector size="21" baseType="lpstr">
      <vt:lpstr>表紙</vt:lpstr>
      <vt:lpstr>改廃履歴</vt:lpstr>
      <vt:lpstr>DB一覧</vt:lpstr>
      <vt:lpstr>テスト</vt:lpstr>
      <vt:lpstr>ER</vt:lpstr>
      <vt:lpstr>PLUメンテ</vt:lpstr>
      <vt:lpstr>特売メンテ</vt:lpstr>
      <vt:lpstr>MMマスタ</vt:lpstr>
      <vt:lpstr>企画マスタ</vt:lpstr>
      <vt:lpstr>P001</vt:lpstr>
      <vt:lpstr>P001_01</vt:lpstr>
      <vt:lpstr>P001_02</vt:lpstr>
      <vt:lpstr>P003</vt:lpstr>
      <vt:lpstr>CHK</vt:lpstr>
      <vt:lpstr>データ型定義</vt:lpstr>
      <vt:lpstr>テンプレート</vt:lpstr>
      <vt:lpstr>メモ</vt:lpstr>
      <vt:lpstr>CHK!Print_Titles</vt:lpstr>
      <vt:lpstr>ER!Print_Titles</vt:lpstr>
      <vt:lpstr>データ型定義!Print_Titles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Thanh Nguyên</cp:lastModifiedBy>
  <dcterms:created xsi:type="dcterms:W3CDTF">2022-04-01T08:34:32Z</dcterms:created>
  <dcterms:modified xsi:type="dcterms:W3CDTF">2024-08-06T13:09:54Z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