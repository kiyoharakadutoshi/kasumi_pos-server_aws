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コスト推移表" sheetId="1" state="visible" r:id="rId3"/>
    <sheet name="月次入力ガイド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<sst xmlns="http://schemas.openxmlformats.org/spreadsheetml/2006/main" count="209" uniqueCount="103">
  <si>
    <t xml:space="preserve">月</t>
  </si>
  <si>
    <t xml:space="preserve">合計</t>
  </si>
  <si>
    <t xml:space="preserve">RDS</t>
  </si>
  <si>
    <t xml:space="preserve">TF</t>
  </si>
  <si>
    <t xml:space="preserve">Tax</t>
  </si>
  <si>
    <t xml:space="preserve">EC2</t>
  </si>
  <si>
    <t xml:space="preserve">VPC</t>
  </si>
  <si>
    <r>
      <rPr>
        <b val="true"/>
        <sz val="8"/>
        <rFont val="Calibri"/>
        <family val="0"/>
        <charset val="1"/>
      </rPr>
      <t xml:space="preserve">EC2</t>
    </r>
    <r>
      <rPr>
        <b val="true"/>
        <sz val="8"/>
        <rFont val="Noto Sans CJK SC"/>
        <family val="2"/>
      </rPr>
      <t xml:space="preserve">その他</t>
    </r>
  </si>
  <si>
    <t xml:space="preserve">カスミPOS  AWS コスト推移表</t>
  </si>
  <si>
    <t xml:space="preserve">2025/09</t>
  </si>
  <si>
    <t xml:space="preserve">単位: USD ($)　　■ 網掛け = 実績　　□ 白地 = 未入力（monthly_cost_check.sh 実行後に貼り付け）</t>
  </si>
  <si>
    <t xml:space="preserve">2025/10</t>
  </si>
  <si>
    <t xml:space="preserve">サービス</t>
  </si>
  <si>
    <r>
      <rPr>
        <b val="true"/>
        <sz val="9"/>
        <color rgb="FFFFFFFF"/>
        <rFont val="Calibri"/>
        <family val="0"/>
        <charset val="1"/>
      </rPr>
      <t xml:space="preserve">6</t>
    </r>
    <r>
      <rPr>
        <b val="true"/>
        <sz val="9"/>
        <color rgb="FFFFFFFF"/>
        <rFont val="Noto Sans CJK SC"/>
        <family val="2"/>
      </rPr>
      <t xml:space="preserve">ヶ月平均</t>
    </r>
  </si>
  <si>
    <t xml:space="preserve">2025/11</t>
  </si>
  <si>
    <t xml:space="preserve">2025/12</t>
  </si>
  <si>
    <t xml:space="preserve">2026/01</t>
  </si>
  <si>
    <t xml:space="preserve">2026/02</t>
  </si>
  <si>
    <t xml:space="preserve">2026/03</t>
  </si>
  <si>
    <t xml:space="preserve">2026/04</t>
  </si>
  <si>
    <t xml:space="preserve">2026/05</t>
  </si>
  <si>
    <t xml:space="preserve">2026/06</t>
  </si>
  <si>
    <t xml:space="preserve">2026/07</t>
  </si>
  <si>
    <t xml:space="preserve">2026/08</t>
  </si>
  <si>
    <t xml:space="preserve">実績</t>
  </si>
  <si>
    <t xml:space="preserve">▼入力</t>
  </si>
  <si>
    <t xml:space="preserve">RDS (Aurora MySQL)</t>
  </si>
  <si>
    <t xml:space="preserve">Transfer Family</t>
  </si>
  <si>
    <r>
      <rPr>
        <sz val="9"/>
        <color rgb="FF000000"/>
        <rFont val="Calibri"/>
        <family val="0"/>
        <charset val="1"/>
      </rPr>
      <t xml:space="preserve">EC2 </t>
    </r>
    <r>
      <rPr>
        <sz val="9"/>
        <color rgb="FF000000"/>
        <rFont val="Noto Sans CJK SC"/>
        <family val="2"/>
      </rPr>
      <t xml:space="preserve">インスタンス</t>
    </r>
  </si>
  <si>
    <r>
      <rPr>
        <sz val="9"/>
        <color rgb="FF000000"/>
        <rFont val="Calibri"/>
        <family val="0"/>
        <charset val="1"/>
      </rPr>
      <t xml:space="preserve">VPC (NAT Gateway</t>
    </r>
    <r>
      <rPr>
        <sz val="9"/>
        <color rgb="FF000000"/>
        <rFont val="Noto Sans CJK SC"/>
        <family val="2"/>
      </rPr>
      <t xml:space="preserve">等</t>
    </r>
    <r>
      <rPr>
        <sz val="9"/>
        <color rgb="FF000000"/>
        <rFont val="Calibri"/>
        <family val="0"/>
        <charset val="1"/>
      </rPr>
      <t xml:space="preserve">)</t>
    </r>
  </si>
  <si>
    <r>
      <rPr>
        <sz val="9"/>
        <color rgb="FF000000"/>
        <rFont val="Calibri"/>
        <family val="0"/>
        <charset val="1"/>
      </rPr>
      <t xml:space="preserve">EC2 </t>
    </r>
    <r>
      <rPr>
        <sz val="9"/>
        <color rgb="FF000000"/>
        <rFont val="Noto Sans CJK SC"/>
        <family val="2"/>
      </rPr>
      <t xml:space="preserve">その他</t>
    </r>
  </si>
  <si>
    <t xml:space="preserve">Config</t>
  </si>
  <si>
    <t xml:space="preserve">GuardDuty</t>
  </si>
  <si>
    <t xml:space="preserve">Security Hub</t>
  </si>
  <si>
    <t xml:space="preserve">Inspector</t>
  </si>
  <si>
    <t xml:space="preserve">ECS</t>
  </si>
  <si>
    <t xml:space="preserve">S3</t>
  </si>
  <si>
    <t xml:space="preserve">KMS</t>
  </si>
  <si>
    <t xml:space="preserve">Secrets Manager</t>
  </si>
  <si>
    <t xml:space="preserve">CloudWatch</t>
  </si>
  <si>
    <t xml:space="preserve">Step Functions</t>
  </si>
  <si>
    <t xml:space="preserve">Systems Manager</t>
  </si>
  <si>
    <t xml:space="preserve">その他</t>
  </si>
  <si>
    <t xml:space="preserve">前月比 ($)</t>
  </si>
  <si>
    <t xml:space="preserve">-</t>
  </si>
  <si>
    <t xml:space="preserve">前月比 (%)</t>
  </si>
  <si>
    <r>
      <rPr>
        <b val="true"/>
        <sz val="8"/>
        <color rgb="FF555555"/>
        <rFont val="Calibri"/>
        <family val="0"/>
        <charset val="1"/>
      </rPr>
      <t xml:space="preserve">RDS</t>
    </r>
    <r>
      <rPr>
        <b val="true"/>
        <sz val="8"/>
        <color rgb="FF555555"/>
        <rFont val="Noto Sans CJK SC"/>
        <family val="2"/>
      </rPr>
      <t xml:space="preserve">比率</t>
    </r>
  </si>
  <si>
    <t xml:space="preserve">閾値チェック ($2,500)</t>
  </si>
  <si>
    <t xml:space="preserve">月次コスト入力ガイド  —  CloudShell 実行結果の転記手順</t>
  </si>
  <si>
    <t xml:space="preserve">STEP 1</t>
  </si>
  <si>
    <r>
      <rPr>
        <b val="true"/>
        <sz val="10"/>
        <color rgb="FF000000"/>
        <rFont val="Calibri"/>
        <family val="0"/>
        <charset val="1"/>
      </rPr>
      <t xml:space="preserve">CloudShell </t>
    </r>
    <r>
      <rPr>
        <b val="true"/>
        <sz val="10"/>
        <color rgb="FF000000"/>
        <rFont val="Noto Sans CJK SC"/>
        <family val="2"/>
      </rPr>
      <t xml:space="preserve">を開く</t>
    </r>
  </si>
  <si>
    <t xml:space="preserve">https://ap-northeast-1.console.aws.amazon.com/cloudshell/home?region=ap-northeast-1</t>
  </si>
  <si>
    <t xml:space="preserve">STEP 2</t>
  </si>
  <si>
    <t xml:space="preserve">スクリプトを実行</t>
  </si>
  <si>
    <r>
      <rPr>
        <sz val="9"/>
        <color rgb="FF000000"/>
        <rFont val="Calibri"/>
        <family val="0"/>
        <charset val="1"/>
      </rPr>
      <t xml:space="preserve">40_AWS/06_</t>
    </r>
    <r>
      <rPr>
        <sz val="9"/>
        <color rgb="FF000000"/>
        <rFont val="Noto Sans CJK SC"/>
        <family val="2"/>
      </rPr>
      <t xml:space="preserve">コスト調査</t>
    </r>
    <r>
      <rPr>
        <sz val="9"/>
        <color rgb="FF000000"/>
        <rFont val="Calibri"/>
        <family val="0"/>
        <charset val="1"/>
      </rPr>
      <t xml:space="preserve">/monthly_cost_check.sh  </t>
    </r>
    <r>
      <rPr>
        <sz val="9"/>
        <color rgb="FF000000"/>
        <rFont val="Noto Sans CJK SC"/>
        <family val="2"/>
      </rPr>
      <t xml:space="preserve">をコピー</t>
    </r>
    <r>
      <rPr>
        <sz val="9"/>
        <color rgb="FF000000"/>
        <rFont val="Calibri"/>
        <family val="0"/>
        <charset val="1"/>
      </rPr>
      <t xml:space="preserve">&amp;</t>
    </r>
    <r>
      <rPr>
        <sz val="9"/>
        <color rgb="FF000000"/>
        <rFont val="Noto Sans CJK SC"/>
        <family val="2"/>
      </rPr>
      <t xml:space="preserve">ペーストして実行</t>
    </r>
  </si>
  <si>
    <t xml:space="preserve">STEP 3</t>
  </si>
  <si>
    <t xml:space="preserve">「コスト推移表」シートを開く</t>
  </si>
  <si>
    <t xml:space="preserve">該当月の列（例: 2026/03）を探す</t>
  </si>
  <si>
    <t xml:space="preserve">STEP 4</t>
  </si>
  <si>
    <t xml:space="preserve">以下の対応表に従って値を入力</t>
  </si>
  <si>
    <t xml:space="preserve">黄色セル（▼入力）に数値を転記してください</t>
  </si>
  <si>
    <t xml:space="preserve">スクリプト出力【項目】</t>
  </si>
  <si>
    <t xml:space="preserve">「コスト推移表」の行（サービス名）</t>
  </si>
  <si>
    <t xml:space="preserve">セクション</t>
  </si>
  <si>
    <t xml:space="preserve">単位</t>
  </si>
  <si>
    <t xml:space="preserve">備考</t>
  </si>
  <si>
    <t xml:space="preserve">【2】Amazon Relational Database Service</t>
  </si>
  <si>
    <t xml:space="preserve">上位10件</t>
  </si>
  <si>
    <t xml:space="preserve">$</t>
  </si>
  <si>
    <t xml:space="preserve">【2】AWS Transfer Family</t>
  </si>
  <si>
    <t xml:space="preserve">【2】Tax</t>
  </si>
  <si>
    <t xml:space="preserve">【2】Amazon EC2 (インスタンス)</t>
  </si>
  <si>
    <r>
      <rPr>
        <b val="true"/>
        <sz val="8"/>
        <color rgb="FF000000"/>
        <rFont val="Calibri"/>
        <family val="0"/>
        <charset val="1"/>
      </rPr>
      <t xml:space="preserve">EC2 </t>
    </r>
    <r>
      <rPr>
        <b val="true"/>
        <sz val="8"/>
        <color rgb="FF000000"/>
        <rFont val="Noto Sans CJK SC"/>
        <family val="2"/>
      </rPr>
      <t xml:space="preserve">インスタンス</t>
    </r>
  </si>
  <si>
    <r>
      <rPr>
        <i val="true"/>
        <sz val="8"/>
        <color rgb="FF000000"/>
        <rFont val="Calibri"/>
        <family val="0"/>
        <charset val="1"/>
      </rPr>
      <t xml:space="preserve">EC2 Compute </t>
    </r>
    <r>
      <rPr>
        <i val="true"/>
        <sz val="8"/>
        <color rgb="FF000000"/>
        <rFont val="Noto Sans CJK SC"/>
        <family val="2"/>
      </rPr>
      <t xml:space="preserve">のみ</t>
    </r>
  </si>
  <si>
    <t xml:space="preserve">【2】Amazon VPC</t>
  </si>
  <si>
    <r>
      <rPr>
        <b val="true"/>
        <sz val="8"/>
        <color rgb="FF000000"/>
        <rFont val="Calibri"/>
        <family val="0"/>
        <charset val="1"/>
      </rPr>
      <t xml:space="preserve">VPC (NAT Gateway</t>
    </r>
    <r>
      <rPr>
        <b val="true"/>
        <sz val="8"/>
        <color rgb="FF000000"/>
        <rFont val="Noto Sans CJK SC"/>
        <family val="2"/>
      </rPr>
      <t xml:space="preserve">等</t>
    </r>
    <r>
      <rPr>
        <b val="true"/>
        <sz val="8"/>
        <color rgb="FF000000"/>
        <rFont val="Calibri"/>
        <family val="0"/>
        <charset val="1"/>
      </rPr>
      <t xml:space="preserve">)</t>
    </r>
  </si>
  <si>
    <t xml:space="preserve">【2】EC2-Other</t>
  </si>
  <si>
    <r>
      <rPr>
        <b val="true"/>
        <sz val="8"/>
        <color rgb="FF000000"/>
        <rFont val="Calibri"/>
        <family val="0"/>
        <charset val="1"/>
      </rPr>
      <t xml:space="preserve">EC2 </t>
    </r>
    <r>
      <rPr>
        <b val="true"/>
        <sz val="8"/>
        <color rgb="FF000000"/>
        <rFont val="Noto Sans CJK SC"/>
        <family val="2"/>
      </rPr>
      <t xml:space="preserve">その他</t>
    </r>
  </si>
  <si>
    <r>
      <rPr>
        <i val="true"/>
        <sz val="8"/>
        <color rgb="FF000000"/>
        <rFont val="Calibri"/>
        <family val="0"/>
        <charset val="1"/>
      </rPr>
      <t xml:space="preserve">EBS</t>
    </r>
    <r>
      <rPr>
        <i val="true"/>
        <sz val="8"/>
        <color rgb="FF000000"/>
        <rFont val="Noto Sans CJK SC"/>
        <family val="2"/>
      </rPr>
      <t xml:space="preserve">等</t>
    </r>
  </si>
  <si>
    <t xml:space="preserve">【2】AWS Config</t>
  </si>
  <si>
    <t xml:space="preserve">【2】Amazon GuardDuty</t>
  </si>
  <si>
    <t xml:space="preserve">【2】AWS Security Hub</t>
  </si>
  <si>
    <t xml:space="preserve">【2】Amazon Inspector</t>
  </si>
  <si>
    <t xml:space="preserve">【2】Amazon ECS</t>
  </si>
  <si>
    <t xml:space="preserve">【7】S3 StorageBytes合計</t>
  </si>
  <si>
    <t xml:space="preserve">バケット</t>
  </si>
  <si>
    <t xml:space="preserve">【2】のS3コストを使用</t>
  </si>
  <si>
    <t xml:space="preserve">【2】AWS KMS</t>
  </si>
  <si>
    <t xml:space="preserve">【2】AWS Secrets Manager</t>
  </si>
  <si>
    <t xml:space="preserve">【2】Amazon CloudWatch</t>
  </si>
  <si>
    <t xml:space="preserve">【2】AWS Step Functions</t>
  </si>
  <si>
    <t xml:space="preserve">【2】AWS Systems Manager</t>
  </si>
  <si>
    <t xml:space="preserve">残余サービス合計</t>
  </si>
  <si>
    <t xml:space="preserve">合計 - 上記合計</t>
  </si>
  <si>
    <r>
      <rPr>
        <b val="true"/>
        <sz val="10"/>
        <color rgb="FF000000"/>
        <rFont val="Calibri"/>
        <family val="0"/>
        <charset val="1"/>
      </rPr>
      <t xml:space="preserve">※ RDS CPU</t>
    </r>
    <r>
      <rPr>
        <b val="true"/>
        <sz val="10"/>
        <color rgb="FF000000"/>
        <rFont val="Noto Sans CJK SC"/>
        <family val="2"/>
      </rPr>
      <t xml:space="preserve">・接続数メモ欄（毎月更新）</t>
    </r>
  </si>
  <si>
    <r>
      <rPr>
        <b val="true"/>
        <sz val="9"/>
        <color rgb="FFFFFFFF"/>
        <rFont val="Calibri"/>
        <family val="0"/>
        <charset val="1"/>
      </rPr>
      <t xml:space="preserve">RDS CPU</t>
    </r>
    <r>
      <rPr>
        <b val="true"/>
        <sz val="9"/>
        <color rgb="FFFFFFFF"/>
        <rFont val="Noto Sans CJK SC"/>
        <family val="2"/>
      </rPr>
      <t xml:space="preserve">平均</t>
    </r>
    <r>
      <rPr>
        <b val="true"/>
        <sz val="9"/>
        <color rgb="FFFFFFFF"/>
        <rFont val="Calibri"/>
        <family val="0"/>
        <charset val="1"/>
      </rPr>
      <t xml:space="preserve">(inst-1)%</t>
    </r>
  </si>
  <si>
    <r>
      <rPr>
        <b val="true"/>
        <sz val="9"/>
        <color rgb="FFFFFFFF"/>
        <rFont val="Calibri"/>
        <family val="0"/>
        <charset val="1"/>
      </rPr>
      <t xml:space="preserve">RDS CPU</t>
    </r>
    <r>
      <rPr>
        <b val="true"/>
        <sz val="9"/>
        <color rgb="FFFFFFFF"/>
        <rFont val="Noto Sans CJK SC"/>
        <family val="2"/>
      </rPr>
      <t xml:space="preserve">最大</t>
    </r>
    <r>
      <rPr>
        <b val="true"/>
        <sz val="9"/>
        <color rgb="FFFFFFFF"/>
        <rFont val="Calibri"/>
        <family val="0"/>
        <charset val="1"/>
      </rPr>
      <t xml:space="preserve">(inst-1)%</t>
    </r>
  </si>
  <si>
    <r>
      <rPr>
        <b val="true"/>
        <sz val="9"/>
        <color rgb="FFFFFFFF"/>
        <rFont val="Calibri"/>
        <family val="0"/>
        <charset val="1"/>
      </rPr>
      <t xml:space="preserve">RDS CPU</t>
    </r>
    <r>
      <rPr>
        <b val="true"/>
        <sz val="9"/>
        <color rgb="FFFFFFFF"/>
        <rFont val="Noto Sans CJK SC"/>
        <family val="2"/>
      </rPr>
      <t xml:space="preserve">平均</t>
    </r>
    <r>
      <rPr>
        <b val="true"/>
        <sz val="9"/>
        <color rgb="FFFFFFFF"/>
        <rFont val="Calibri"/>
        <family val="0"/>
        <charset val="1"/>
      </rPr>
      <t xml:space="preserve">(inst-2)%</t>
    </r>
  </si>
  <si>
    <t xml:space="preserve">最大接続数</t>
  </si>
  <si>
    <t xml:space="preserve">≒0%</t>
  </si>
  <si>
    <t xml:space="preserve">0.015%</t>
  </si>
  <si>
    <t xml:space="preserve">1.69%</t>
  </si>
  <si>
    <t xml:space="preserve">調査前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</si>
</sst>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.00"/>
    <numFmt numFmtId="166" formatCode="\+#,##0.00;\-#,##0.00;\-"/>
    <numFmt numFmtId="167" formatCode="\+0.0%;\-0.0%;\-"/>
    <numFmt numFmtId="168" formatCode="0.0%"/>
    <numFmt numFmtId="169" formatCode="#,##0"/>
  </numFmts>
  <fonts count="4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8"/>
      <name val="Noto Sans CJK SC"/>
      <family val="2"/>
    </font>
    <font>
      <b val="true"/>
      <sz val="8"/>
      <name val="Calibri"/>
      <family val="0"/>
      <charset val="1"/>
    </font>
    <font>
      <b val="true"/>
      <sz val="16"/>
      <color rgb="FFFFFFFF"/>
      <name val="Noto Sans CJK SC"/>
      <family val="2"/>
      <charset val="1"/>
    </font>
    <font>
      <i val="true"/>
      <sz val="8"/>
      <color rgb="FF555555"/>
      <name val="Noto Sans CJK SC"/>
      <family val="2"/>
      <charset val="1"/>
    </font>
    <font>
      <b val="true"/>
      <sz val="9"/>
      <color rgb="FFFFFFFF"/>
      <name val="Noto Sans CJK SC"/>
      <family val="2"/>
      <charset val="1"/>
    </font>
    <font>
      <b val="true"/>
      <sz val="9"/>
      <color rgb="FFFFFFFF"/>
      <name val="Calibri"/>
      <family val="0"/>
      <charset val="1"/>
    </font>
    <font>
      <b val="true"/>
      <sz val="9"/>
      <color rgb="FFFFFFFF"/>
      <name val="Noto Sans CJK SC"/>
      <family val="2"/>
    </font>
    <font>
      <sz val="9"/>
      <color rgb="FF000000"/>
      <name val="Calibri"/>
      <family val="0"/>
      <charset val="1"/>
    </font>
    <font>
      <b val="true"/>
      <sz val="7"/>
      <color rgb="FF1A5276"/>
      <name val="Noto Sans CJK SC"/>
      <family val="2"/>
      <charset val="1"/>
    </font>
    <font>
      <b val="true"/>
      <sz val="7"/>
      <color rgb="FF784212"/>
      <name val="Noto Sans CJK SC"/>
      <family val="2"/>
      <charset val="1"/>
    </font>
    <font>
      <b val="true"/>
      <sz val="9"/>
      <color rgb="FF000000"/>
      <name val="Calibri"/>
      <family val="0"/>
      <charset val="1"/>
    </font>
    <font>
      <b val="true"/>
      <sz val="9"/>
      <color rgb="FF1A5276"/>
      <name val="Calibri"/>
      <family val="0"/>
      <charset val="1"/>
    </font>
    <font>
      <sz val="9"/>
      <color rgb="FF000000"/>
      <name val="Noto Sans CJK SC"/>
      <family val="2"/>
    </font>
    <font>
      <sz val="9"/>
      <color rgb="FF000000"/>
      <name val="Noto Sans CJK SC"/>
      <family val="2"/>
      <charset val="1"/>
    </font>
    <font>
      <b val="true"/>
      <sz val="10"/>
      <color rgb="FFFFFFFF"/>
      <name val="Noto Sans CJK SC"/>
      <family val="2"/>
      <charset val="1"/>
    </font>
    <font>
      <b val="true"/>
      <sz val="10"/>
      <color rgb="FFFFFFFF"/>
      <name val="Calibri"/>
      <family val="0"/>
      <charset val="1"/>
    </font>
    <font>
      <b val="true"/>
      <sz val="8"/>
      <color rgb="FF555555"/>
      <name val="Noto Sans CJK SC"/>
      <family val="2"/>
      <charset val="1"/>
    </font>
    <font>
      <sz val="8"/>
      <color rgb="FF999999"/>
      <name val="Calibri"/>
      <family val="0"/>
      <charset val="1"/>
    </font>
    <font>
      <sz val="8"/>
      <color rgb="FF000000"/>
      <name val="Calibri"/>
      <family val="0"/>
      <charset val="1"/>
    </font>
    <font>
      <b val="true"/>
      <sz val="8"/>
      <color rgb="FF555555"/>
      <name val="Calibri"/>
      <family val="0"/>
      <charset val="1"/>
    </font>
    <font>
      <b val="true"/>
      <sz val="8"/>
      <color rgb="FF555555"/>
      <name val="Noto Sans CJK SC"/>
      <family val="2"/>
    </font>
    <font>
      <sz val="8"/>
      <color rgb="FF1A5276"/>
      <name val="Calibri"/>
      <family val="0"/>
      <charset val="1"/>
    </font>
    <font>
      <sz val="8"/>
      <color rgb="FF000000"/>
      <name val="Noto Sans CJK SC"/>
      <family val="2"/>
      <charset val="1"/>
    </font>
    <font>
      <b val="true"/>
      <sz val="18"/>
      <color rgb="FF000000"/>
      <name val="Noto Sans CJK SC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Noto Sans CJK SC"/>
      <family val="2"/>
    </font>
    <font>
      <b val="true"/>
      <sz val="10"/>
      <color rgb="FF000000"/>
      <name val="Calibri"/>
      <family val="2"/>
    </font>
    <font>
      <b val="true"/>
      <sz val="14"/>
      <color rgb="FFFFFFFF"/>
      <name val="Noto Sans CJK SC"/>
      <family val="2"/>
      <charset val="1"/>
    </font>
    <font>
      <b val="true"/>
      <sz val="10"/>
      <color rgb="FF000000"/>
      <name val="Calibri"/>
      <family val="0"/>
      <charset val="1"/>
    </font>
    <font>
      <b val="true"/>
      <sz val="10"/>
      <color rgb="FF000000"/>
      <name val="Noto Sans CJK SC"/>
      <family val="2"/>
      <charset val="1"/>
    </font>
    <font>
      <b val="true"/>
      <sz val="8"/>
      <color rgb="FF000000"/>
      <name val="Calibri"/>
      <family val="0"/>
      <charset val="1"/>
    </font>
    <font>
      <i val="true"/>
      <sz val="8"/>
      <color rgb="FF000000"/>
      <name val="Calibri"/>
      <family val="0"/>
      <charset val="1"/>
    </font>
    <font>
      <b val="true"/>
      <sz val="8"/>
      <color rgb="FF000000"/>
      <name val="Noto Sans CJK SC"/>
      <family val="2"/>
    </font>
    <font>
      <i val="true"/>
      <sz val="8"/>
      <color rgb="FF000000"/>
      <name val="Noto Sans CJK SC"/>
      <family val="2"/>
    </font>
    <font>
      <i val="true"/>
      <sz val="8"/>
      <color rgb="FF000000"/>
      <name val="Noto Sans CJK SC"/>
      <family val="2"/>
      <charset val="1"/>
    </font>
    <font>
      <b val="true"/>
      <sz val="8"/>
      <color rgb="FF000000"/>
      <name val="Noto Sans CJK SC"/>
      <family val="2"/>
      <charset val="1"/>
    </font>
  </fonts>
  <fills count="12">
    <fill>
      <patternFill patternType="none"/>
    </fill>
    <fill>
      <patternFill patternType="gray125"/>
    </fill>
    <fill>
      <patternFill patternType="solid">
        <fgColor rgb="FF1A3A5C"/>
        <bgColor rgb="FF333333"/>
      </patternFill>
    </fill>
    <fill>
      <patternFill patternType="solid">
        <fgColor rgb="FF2E86AB"/>
        <bgColor rgb="FF2980B9"/>
      </patternFill>
    </fill>
    <fill>
      <patternFill patternType="solid">
        <fgColor rgb="FFF8F9FA"/>
        <bgColor rgb="FFF4F6F7"/>
      </patternFill>
    </fill>
    <fill>
      <patternFill patternType="solid">
        <fgColor rgb="FFD6EAF8"/>
        <bgColor rgb="FFE8EAED"/>
      </patternFill>
    </fill>
    <fill>
      <patternFill patternType="solid">
        <fgColor rgb="FFFDEBD0"/>
        <bgColor rgb="FFFEF9E7"/>
      </patternFill>
    </fill>
    <fill>
      <patternFill patternType="solid">
        <fgColor rgb="FFEBF5FB"/>
        <bgColor rgb="FFF4F6F7"/>
      </patternFill>
    </fill>
    <fill>
      <patternFill patternType="solid">
        <fgColor rgb="FFFFFDE7"/>
        <bgColor rgb="FFFEF9E7"/>
      </patternFill>
    </fill>
    <fill>
      <patternFill patternType="solid">
        <fgColor rgb="FFF4F6F7"/>
        <bgColor rgb="FFF8F9FA"/>
      </patternFill>
    </fill>
    <fill>
      <patternFill patternType="solid">
        <fgColor rgb="FFFEF9E7"/>
        <bgColor rgb="FFFFFDE7"/>
      </patternFill>
    </fill>
    <fill>
      <patternFill patternType="solid">
        <fgColor rgb="FFFDFEFE"/>
        <bgColor rgb="FFFFFFFF"/>
      </patternFill>
    </fill>
  </fills>
  <borders count="5">
    <border diagonalUp="false" diagonalDown="false">
      <left/>
      <right/>
      <top/>
      <bottom/>
      <diagonal/>
    </border>
    <border diagonalUp="false" diagonalDown="false">
      <left/>
      <right/>
      <top style="thin">
        <color rgb="FFD5D8DC"/>
      </top>
      <bottom style="thin">
        <color rgb="FFD5D8DC"/>
      </bottom>
      <diagonal/>
    </border>
    <border diagonalUp="false" diagonalDown="false">
      <left/>
      <right/>
      <top/>
      <bottom style="thin">
        <color rgb="FFD5D8DC"/>
      </bottom>
      <diagonal/>
    </border>
    <border diagonalUp="false" diagonalDown="false">
      <left/>
      <right style="thin">
        <color rgb="FFE8EAED"/>
      </right>
      <top/>
      <bottom style="thin">
        <color rgb="FFD5D8DC"/>
      </bottom>
      <diagonal/>
    </border>
    <border diagonalUp="false" diagonalDown="false">
      <left/>
      <right style="medium">
        <color rgb="FFAAAAAA"/>
      </right>
      <top/>
      <bottom style="thin">
        <color rgb="FFD5D8D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2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5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1" fillId="7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1" fillId="8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1" fillId="8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9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20" fillId="9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1" fillId="9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1" fillId="9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22" fillId="9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22" fillId="9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23" fillId="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1" fillId="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8" fontId="25" fillId="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20" fillId="1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1" fillId="1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6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2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3" fillId="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1" fillId="7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4" fillId="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7" fillId="7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6" fillId="11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35" fillId="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6" fillId="11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2" fillId="11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6" fillId="11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39" fillId="11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0" fillId="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33" fillId="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7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EF9E7"/>
      <rgbColor rgb="FFFF00FF"/>
      <rgbColor rgb="FF00FFFF"/>
      <rgbColor rgb="FF800000"/>
      <rgbColor rgb="FF008000"/>
      <rgbColor rgb="FF000080"/>
      <rgbColor rgb="FF808000"/>
      <rgbColor rgb="FF800080"/>
      <rgbColor rgb="FF2980B9"/>
      <rgbColor rgb="FFB3B3B3"/>
      <rgbColor rgb="FF808080"/>
      <rgbColor rgb="FFAAAAAA"/>
      <rgbColor rgb="FF993366"/>
      <rgbColor rgb="FFFFFDE7"/>
      <rgbColor rgb="FFD6EAF8"/>
      <rgbColor rgb="FF660066"/>
      <rgbColor rgb="FFFF8080"/>
      <rgbColor rgb="FF0066CC"/>
      <rgbColor rgb="FFD5D8DC"/>
      <rgbColor rgb="FF000080"/>
      <rgbColor rgb="FFFF00FF"/>
      <rgbColor rgb="FFF8F9FA"/>
      <rgbColor rgb="FF00FFFF"/>
      <rgbColor rgb="FF800080"/>
      <rgbColor rgb="FF800000"/>
      <rgbColor rgb="FF008080"/>
      <rgbColor rgb="FF0000FF"/>
      <rgbColor rgb="FF00CCFF"/>
      <rgbColor rgb="FFEBF5FB"/>
      <rgbColor rgb="FFE8EAED"/>
      <rgbColor rgb="FFFDEBD0"/>
      <rgbColor rgb="FFAED6F1"/>
      <rgbColor rgb="FFF4F6F7"/>
      <rgbColor rgb="FFD9D9D9"/>
      <rgbColor rgb="FFF0B27A"/>
      <rgbColor rgb="FF3366FF"/>
      <rgbColor rgb="FF85C1E9"/>
      <rgbColor rgb="FF99CC00"/>
      <rgbColor rgb="FFFDFEFE"/>
      <rgbColor rgb="FFFF9900"/>
      <rgbColor rgb="FFE67E22"/>
      <rgbColor rgb="FF555555"/>
      <rgbColor rgb="FF999999"/>
      <rgbColor rgb="FF1A3A5C"/>
      <rgbColor rgb="FF2E86AB"/>
      <rgbColor rgb="FF003300"/>
      <rgbColor rgb="FF333300"/>
      <rgbColor rgb="FF784212"/>
      <rgbColor rgb="FF993366"/>
      <rgbColor rgb="FF1A527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月次合計コスト推移 (USD)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"月間合計 ($)"</c:f>
              <c:strCache>
                <c:ptCount val="1"/>
                <c:pt idx="0">
                  <c:v>月間合計 ($)</c:v>
                </c:pt>
              </c:strCache>
            </c:strRef>
          </c:tx>
          <c:spPr>
            <a:solidFill>
              <a:srgbClr val="2e86ab"/>
            </a:solidFill>
            <a:ln w="24840">
              <a:solidFill>
                <a:srgbClr val="2e86ab"/>
              </a:solidFill>
              <a:round/>
            </a:ln>
          </c:spPr>
          <c:marker>
            <c:symbol val="circle"/>
            <c:size val="7"/>
            <c:spPr>
              <a:solidFill>
                <a:srgbClr val="2e86a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コスト推移表!$AP$2:$AP$7</c:f>
              <c:strCache>
                <c:ptCount val="6"/>
                <c:pt idx="0">
                  <c:v>2025/09</c:v>
                </c:pt>
                <c:pt idx="1">
                  <c:v>2025/10</c:v>
                </c:pt>
                <c:pt idx="2">
                  <c:v>2025/11</c:v>
                </c:pt>
                <c:pt idx="3">
                  <c:v>2025/12</c:v>
                </c:pt>
                <c:pt idx="4">
                  <c:v>2026/01</c:v>
                </c:pt>
                <c:pt idx="5">
                  <c:v>2026/02</c:v>
                </c:pt>
              </c:strCache>
            </c:strRef>
          </c:cat>
          <c:val>
            <c:numRef>
              <c:f>コスト推移表!$AQ$2:$AQ$7</c:f>
              <c:numCache>
                <c:formatCode>#,##0.00</c:formatCode>
                <c:ptCount val="6"/>
                <c:pt idx="0">
                  <c:v>3316.36</c:v>
                </c:pt>
                <c:pt idx="1">
                  <c:v>3455.32</c:v>
                </c:pt>
                <c:pt idx="2">
                  <c:v>3483.88</c:v>
                </c:pt>
                <c:pt idx="3">
                  <c:v>3904.08</c:v>
                </c:pt>
                <c:pt idx="4">
                  <c:v>3910.71</c:v>
                </c:pt>
                <c:pt idx="5">
                  <c:v>3586.79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1"/>
        <c:axId val="29824750"/>
        <c:axId val="61041418"/>
      </c:lineChart>
      <c:catAx>
        <c:axId val="2982475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1041418"/>
        <c:crosses val="autoZero"/>
        <c:auto val="1"/>
        <c:lblAlgn val="ctr"/>
        <c:lblOffset val="100"/>
        <c:noMultiLvlLbl val="0"/>
      </c:catAx>
      <c:valAx>
        <c:axId val="6104141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コスト (USD)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982475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サービス別コスト内訳（実績）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"RDS"</c:f>
              <c:strCache>
                <c:ptCount val="1"/>
                <c:pt idx="0">
                  <c:v>RDS</c:v>
                </c:pt>
              </c:strCache>
            </c:strRef>
          </c:tx>
          <c:spPr>
            <a:solidFill>
              <a:srgbClr val="1a3a5c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コスト推移表!$AP$2:$AP$7</c:f>
              <c:strCache>
                <c:ptCount val="6"/>
                <c:pt idx="0">
                  <c:v>2025/09</c:v>
                </c:pt>
                <c:pt idx="1">
                  <c:v>2025/10</c:v>
                </c:pt>
                <c:pt idx="2">
                  <c:v>2025/11</c:v>
                </c:pt>
                <c:pt idx="3">
                  <c:v>2025/12</c:v>
                </c:pt>
                <c:pt idx="4">
                  <c:v>2026/01</c:v>
                </c:pt>
                <c:pt idx="5">
                  <c:v>2026/02</c:v>
                </c:pt>
              </c:strCache>
            </c:strRef>
          </c:cat>
          <c:val>
            <c:numRef>
              <c:f>コスト推移表!$AR$2:$AR$7</c:f>
              <c:numCache>
                <c:formatCode>#,##0.00</c:formatCode>
                <c:ptCount val="6"/>
                <c:pt idx="0">
                  <c:v>2204.35</c:v>
                </c:pt>
                <c:pt idx="1">
                  <c:v>2277.51</c:v>
                </c:pt>
                <c:pt idx="2">
                  <c:v>2204.53</c:v>
                </c:pt>
                <c:pt idx="3">
                  <c:v>2277.99</c:v>
                </c:pt>
                <c:pt idx="4">
                  <c:v>2280.3</c:v>
                </c:pt>
                <c:pt idx="5">
                  <c:v>2061.07</c:v>
                </c:pt>
              </c:numCache>
            </c:numRef>
          </c:val>
        </c:ser>
        <c:ser>
          <c:idx val="1"/>
          <c:order val="1"/>
          <c:tx>
            <c:strRef>
              <c:f>"Transfer Family"</c:f>
              <c:strCache>
                <c:ptCount val="1"/>
                <c:pt idx="0">
                  <c:v>Transfer Family</c:v>
                </c:pt>
              </c:strCache>
            </c:strRef>
          </c:tx>
          <c:spPr>
            <a:solidFill>
              <a:srgbClr val="2980b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コスト推移表!$AP$2:$AP$7</c:f>
              <c:strCache>
                <c:ptCount val="6"/>
                <c:pt idx="0">
                  <c:v>2025/09</c:v>
                </c:pt>
                <c:pt idx="1">
                  <c:v>2025/10</c:v>
                </c:pt>
                <c:pt idx="2">
                  <c:v>2025/11</c:v>
                </c:pt>
                <c:pt idx="3">
                  <c:v>2025/12</c:v>
                </c:pt>
                <c:pt idx="4">
                  <c:v>2026/01</c:v>
                </c:pt>
                <c:pt idx="5">
                  <c:v>2026/02</c:v>
                </c:pt>
              </c:strCache>
            </c:strRef>
          </c:cat>
          <c:val>
            <c:numRef>
              <c:f>コスト推移表!$AS$2:$AS$7</c:f>
              <c:numCache>
                <c:formatCode>#,##0.00</c:formatCode>
                <c:ptCount val="6"/>
                <c:pt idx="0">
                  <c:v>432.08</c:v>
                </c:pt>
                <c:pt idx="1">
                  <c:v>446.48</c:v>
                </c:pt>
                <c:pt idx="2">
                  <c:v>501.42</c:v>
                </c:pt>
                <c:pt idx="3">
                  <c:v>669.67</c:v>
                </c:pt>
                <c:pt idx="4">
                  <c:v>669.71</c:v>
                </c:pt>
                <c:pt idx="5">
                  <c:v>604.95</c:v>
                </c:pt>
              </c:numCache>
            </c:numRef>
          </c:val>
        </c:ser>
        <c:ser>
          <c:idx val="2"/>
          <c:order val="2"/>
          <c:tx>
            <c:strRef>
              <c:f>"Tax"</c:f>
              <c:strCache>
                <c:ptCount val="1"/>
                <c:pt idx="0">
                  <c:v>Tax</c:v>
                </c:pt>
              </c:strCache>
            </c:strRef>
          </c:tx>
          <c:spPr>
            <a:solidFill>
              <a:srgbClr val="85c1e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コスト推移表!$AP$2:$AP$7</c:f>
              <c:strCache>
                <c:ptCount val="6"/>
                <c:pt idx="0">
                  <c:v>2025/09</c:v>
                </c:pt>
                <c:pt idx="1">
                  <c:v>2025/10</c:v>
                </c:pt>
                <c:pt idx="2">
                  <c:v>2025/11</c:v>
                </c:pt>
                <c:pt idx="3">
                  <c:v>2025/12</c:v>
                </c:pt>
                <c:pt idx="4">
                  <c:v>2026/01</c:v>
                </c:pt>
                <c:pt idx="5">
                  <c:v>2026/02</c:v>
                </c:pt>
              </c:strCache>
            </c:strRef>
          </c:cat>
          <c:val>
            <c:numRef>
              <c:f>コスト推移表!$AT$2:$AT$7</c:f>
              <c:numCache>
                <c:formatCode>#,##0.00</c:formatCode>
                <c:ptCount val="6"/>
                <c:pt idx="0">
                  <c:v>301.49</c:v>
                </c:pt>
                <c:pt idx="1">
                  <c:v>314.18</c:v>
                </c:pt>
                <c:pt idx="2">
                  <c:v>318.09</c:v>
                </c:pt>
                <c:pt idx="3">
                  <c:v>355.29</c:v>
                </c:pt>
                <c:pt idx="4">
                  <c:v>356.08</c:v>
                </c:pt>
                <c:pt idx="5">
                  <c:v>326.08</c:v>
                </c:pt>
              </c:numCache>
            </c:numRef>
          </c:val>
        </c:ser>
        <c:ser>
          <c:idx val="3"/>
          <c:order val="3"/>
          <c:tx>
            <c:strRef>
              <c:f>"EC2"</c:f>
              <c:strCache>
                <c:ptCount val="1"/>
                <c:pt idx="0">
                  <c:v>EC2</c:v>
                </c:pt>
              </c:strCache>
            </c:strRef>
          </c:tx>
          <c:spPr>
            <a:solidFill>
              <a:srgbClr val="e67e22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コスト推移表!$AP$2:$AP$7</c:f>
              <c:strCache>
                <c:ptCount val="6"/>
                <c:pt idx="0">
                  <c:v>2025/09</c:v>
                </c:pt>
                <c:pt idx="1">
                  <c:v>2025/10</c:v>
                </c:pt>
                <c:pt idx="2">
                  <c:v>2025/11</c:v>
                </c:pt>
                <c:pt idx="3">
                  <c:v>2025/12</c:v>
                </c:pt>
                <c:pt idx="4">
                  <c:v>2026/01</c:v>
                </c:pt>
                <c:pt idx="5">
                  <c:v>2026/02</c:v>
                </c:pt>
              </c:strCache>
            </c:strRef>
          </c:cat>
          <c:val>
            <c:numRef>
              <c:f>コスト推移表!$AU$2:$AU$7</c:f>
              <c:numCache>
                <c:formatCode>#,##0.00</c:formatCode>
                <c:ptCount val="6"/>
                <c:pt idx="0">
                  <c:v>133.31</c:v>
                </c:pt>
                <c:pt idx="1">
                  <c:v>161.89</c:v>
                </c:pt>
                <c:pt idx="2">
                  <c:v>173.09</c:v>
                </c:pt>
                <c:pt idx="3">
                  <c:v>273.17</c:v>
                </c:pt>
                <c:pt idx="4">
                  <c:v>272.97</c:v>
                </c:pt>
                <c:pt idx="5">
                  <c:v>246.69</c:v>
                </c:pt>
              </c:numCache>
            </c:numRef>
          </c:val>
        </c:ser>
        <c:ser>
          <c:idx val="4"/>
          <c:order val="4"/>
          <c:tx>
            <c:strRef>
              <c:f>"VPC"</c:f>
              <c:strCache>
                <c:ptCount val="1"/>
                <c:pt idx="0">
                  <c:v>VPC</c:v>
                </c:pt>
              </c:strCache>
            </c:strRef>
          </c:tx>
          <c:spPr>
            <a:solidFill>
              <a:srgbClr val="f0b27a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コスト推移表!$AP$2:$AP$7</c:f>
              <c:strCache>
                <c:ptCount val="6"/>
                <c:pt idx="0">
                  <c:v>2025/09</c:v>
                </c:pt>
                <c:pt idx="1">
                  <c:v>2025/10</c:v>
                </c:pt>
                <c:pt idx="2">
                  <c:v>2025/11</c:v>
                </c:pt>
                <c:pt idx="3">
                  <c:v>2025/12</c:v>
                </c:pt>
                <c:pt idx="4">
                  <c:v>2026/01</c:v>
                </c:pt>
                <c:pt idx="5">
                  <c:v>2026/02</c:v>
                </c:pt>
              </c:strCache>
            </c:strRef>
          </c:cat>
          <c:val>
            <c:numRef>
              <c:f>コスト推移表!$AV$2:$AV$7</c:f>
              <c:numCache>
                <c:formatCode>#,##0.00</c:formatCode>
                <c:ptCount val="6"/>
                <c:pt idx="0">
                  <c:v>128.02</c:v>
                </c:pt>
                <c:pt idx="1">
                  <c:v>132.41</c:v>
                </c:pt>
                <c:pt idx="2">
                  <c:v>128.02</c:v>
                </c:pt>
                <c:pt idx="3">
                  <c:v>132.41</c:v>
                </c:pt>
                <c:pt idx="4">
                  <c:v>130.21</c:v>
                </c:pt>
                <c:pt idx="5">
                  <c:v>151.66</c:v>
                </c:pt>
              </c:numCache>
            </c:numRef>
          </c:val>
        </c:ser>
        <c:ser>
          <c:idx val="5"/>
          <c:order val="5"/>
          <c:tx>
            <c:strRef>
              <c:f>"EC2その他"</c:f>
              <c:strCache>
                <c:ptCount val="1"/>
                <c:pt idx="0">
                  <c:v>EC2その他</c:v>
                </c:pt>
              </c:strCache>
            </c:strRef>
          </c:tx>
          <c:spPr>
            <a:solidFill>
              <a:srgbClr val="aed6f1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コスト推移表!$AP$2:$AP$7</c:f>
              <c:strCache>
                <c:ptCount val="6"/>
                <c:pt idx="0">
                  <c:v>2025/09</c:v>
                </c:pt>
                <c:pt idx="1">
                  <c:v>2025/10</c:v>
                </c:pt>
                <c:pt idx="2">
                  <c:v>2025/11</c:v>
                </c:pt>
                <c:pt idx="3">
                  <c:v>2025/12</c:v>
                </c:pt>
                <c:pt idx="4">
                  <c:v>2026/01</c:v>
                </c:pt>
                <c:pt idx="5">
                  <c:v>2026/02</c:v>
                </c:pt>
              </c:strCache>
            </c:strRef>
          </c:cat>
          <c:val>
            <c:numRef>
              <c:f>コスト推移表!$AW$2:$AW$7</c:f>
              <c:numCache>
                <c:formatCode>#,##0.00</c:formatCode>
                <c:ptCount val="6"/>
                <c:pt idx="0">
                  <c:v>46.32</c:v>
                </c:pt>
                <c:pt idx="1">
                  <c:v>47.8</c:v>
                </c:pt>
                <c:pt idx="2">
                  <c:v>48.21</c:v>
                </c:pt>
                <c:pt idx="3">
                  <c:v>59.88</c:v>
                </c:pt>
                <c:pt idx="4">
                  <c:v>60.79</c:v>
                </c:pt>
                <c:pt idx="5">
                  <c:v>56.16</c:v>
                </c:pt>
              </c:numCache>
            </c:numRef>
          </c:val>
        </c:ser>
        <c:gapWidth val="150"/>
        <c:overlap val="100"/>
        <c:axId val="17797402"/>
        <c:axId val="48580461"/>
      </c:barChart>
      <c:catAx>
        <c:axId val="1779740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8580461"/>
        <c:crosses val="autoZero"/>
        <c:auto val="1"/>
        <c:lblAlgn val="ctr"/>
        <c:lblOffset val="100"/>
        <c:noMultiLvlLbl val="0"/>
      </c:catAx>
      <c:valAx>
        <c:axId val="4858046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コスト (USD)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779740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29</xdr:row>
      <xdr:rowOff>0</xdr:rowOff>
    </xdr:from>
    <xdr:to>
      <xdr:col>10</xdr:col>
      <xdr:colOff>441360</xdr:colOff>
      <xdr:row>51</xdr:row>
      <xdr:rowOff>128880</xdr:rowOff>
    </xdr:to>
    <xdr:graphicFrame>
      <xdr:nvGraphicFramePr>
        <xdr:cNvPr id="0" name="Chart 1"/>
        <xdr:cNvGraphicFramePr/>
      </xdr:nvGraphicFramePr>
      <xdr:xfrm>
        <a:off x="141120" y="612468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51</xdr:row>
      <xdr:rowOff>0</xdr:rowOff>
    </xdr:from>
    <xdr:to>
      <xdr:col>10</xdr:col>
      <xdr:colOff>441360</xdr:colOff>
      <xdr:row>77</xdr:row>
      <xdr:rowOff>86400</xdr:rowOff>
    </xdr:to>
    <xdr:graphicFrame>
      <xdr:nvGraphicFramePr>
        <xdr:cNvPr id="1" name="Chart 2"/>
        <xdr:cNvGraphicFramePr/>
      </xdr:nvGraphicFramePr>
      <xdr:xfrm>
        <a:off x="141120" y="10315440"/>
        <a:ext cx="791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W2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4"/>
    <col collapsed="false" customWidth="true" hidden="false" outlineLevel="0" max="3" min="3" style="1" width="8.5"/>
    <col collapsed="false" customWidth="true" hidden="false" outlineLevel="0" max="15" min="4" style="1" width="10.51"/>
    <col collapsed="false" customWidth="true" hidden="false" outlineLevel="0" max="16" min="16" style="1" width="22"/>
    <col collapsed="false" customWidth="true" hidden="false" outlineLevel="0" max="49" min="42" style="1" width="11"/>
  </cols>
  <sheetData>
    <row r="1" customFormat="false" ht="7.5" hidden="false" customHeight="true" outlineLevel="0" collapsed="false">
      <c r="AP1" s="2" t="s">
        <v>0</v>
      </c>
      <c r="AQ1" s="2" t="s">
        <v>1</v>
      </c>
      <c r="AR1" s="3" t="s">
        <v>2</v>
      </c>
      <c r="AS1" s="3" t="s">
        <v>3</v>
      </c>
      <c r="AT1" s="3" t="s">
        <v>4</v>
      </c>
      <c r="AU1" s="3" t="s">
        <v>5</v>
      </c>
      <c r="AV1" s="3" t="s">
        <v>6</v>
      </c>
      <c r="AW1" s="3" t="s">
        <v>7</v>
      </c>
    </row>
    <row r="2" customFormat="false" ht="36" hidden="false" customHeight="true" outlineLevel="0" collapsed="false">
      <c r="B2" s="4" t="s">
        <v>8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AP2" s="1" t="s">
        <v>9</v>
      </c>
      <c r="AQ2" s="5" t="n">
        <v>3316.36</v>
      </c>
      <c r="AR2" s="5" t="n">
        <v>2204.35</v>
      </c>
      <c r="AS2" s="5" t="n">
        <v>432.08</v>
      </c>
      <c r="AT2" s="5" t="n">
        <v>301.49</v>
      </c>
      <c r="AU2" s="5" t="n">
        <v>133.31</v>
      </c>
      <c r="AV2" s="5" t="n">
        <v>128.02</v>
      </c>
      <c r="AW2" s="5" t="n">
        <v>46.32</v>
      </c>
    </row>
    <row r="3" customFormat="false" ht="18" hidden="false" customHeight="true" outlineLevel="0" collapsed="false">
      <c r="B3" s="6" t="s">
        <v>10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AP3" s="1" t="s">
        <v>11</v>
      </c>
      <c r="AQ3" s="5" t="n">
        <v>3455.32</v>
      </c>
      <c r="AR3" s="5" t="n">
        <v>2277.51</v>
      </c>
      <c r="AS3" s="5" t="n">
        <v>446.48</v>
      </c>
      <c r="AT3" s="5" t="n">
        <v>314.18</v>
      </c>
      <c r="AU3" s="5" t="n">
        <v>161.89</v>
      </c>
      <c r="AV3" s="5" t="n">
        <v>132.41</v>
      </c>
      <c r="AW3" s="5" t="n">
        <v>47.8</v>
      </c>
    </row>
    <row r="4" customFormat="false" ht="21.75" hidden="false" customHeight="true" outlineLevel="0" collapsed="false">
      <c r="B4" s="7" t="s">
        <v>12</v>
      </c>
      <c r="C4" s="8" t="s">
        <v>13</v>
      </c>
      <c r="D4" s="8" t="s">
        <v>9</v>
      </c>
      <c r="E4" s="8" t="s">
        <v>11</v>
      </c>
      <c r="F4" s="8" t="s">
        <v>14</v>
      </c>
      <c r="G4" s="8" t="s">
        <v>15</v>
      </c>
      <c r="H4" s="8" t="s">
        <v>16</v>
      </c>
      <c r="I4" s="8" t="s">
        <v>17</v>
      </c>
      <c r="J4" s="9" t="s">
        <v>18</v>
      </c>
      <c r="K4" s="9" t="s">
        <v>19</v>
      </c>
      <c r="L4" s="9" t="s">
        <v>20</v>
      </c>
      <c r="M4" s="9" t="s">
        <v>21</v>
      </c>
      <c r="N4" s="9" t="s">
        <v>22</v>
      </c>
      <c r="O4" s="9" t="s">
        <v>23</v>
      </c>
      <c r="AP4" s="1" t="s">
        <v>14</v>
      </c>
      <c r="AQ4" s="5" t="n">
        <v>3483.88</v>
      </c>
      <c r="AR4" s="5" t="n">
        <v>2204.53</v>
      </c>
      <c r="AS4" s="5" t="n">
        <v>501.42</v>
      </c>
      <c r="AT4" s="5" t="n">
        <v>318.09</v>
      </c>
      <c r="AU4" s="5" t="n">
        <v>173.09</v>
      </c>
      <c r="AV4" s="5" t="n">
        <v>128.02</v>
      </c>
      <c r="AW4" s="5" t="n">
        <v>48.21</v>
      </c>
    </row>
    <row r="5" customFormat="false" ht="13.5" hidden="false" customHeight="true" outlineLevel="0" collapsed="false">
      <c r="B5" s="10"/>
      <c r="C5" s="10"/>
      <c r="D5" s="11" t="s">
        <v>24</v>
      </c>
      <c r="E5" s="11" t="s">
        <v>24</v>
      </c>
      <c r="F5" s="11" t="s">
        <v>24</v>
      </c>
      <c r="G5" s="11" t="s">
        <v>24</v>
      </c>
      <c r="H5" s="11" t="s">
        <v>24</v>
      </c>
      <c r="I5" s="11" t="s">
        <v>24</v>
      </c>
      <c r="J5" s="12" t="s">
        <v>25</v>
      </c>
      <c r="K5" s="12" t="s">
        <v>25</v>
      </c>
      <c r="L5" s="12" t="s">
        <v>25</v>
      </c>
      <c r="M5" s="12" t="s">
        <v>25</v>
      </c>
      <c r="N5" s="12" t="s">
        <v>25</v>
      </c>
      <c r="O5" s="12" t="s">
        <v>25</v>
      </c>
      <c r="AP5" s="1" t="s">
        <v>15</v>
      </c>
      <c r="AQ5" s="5" t="n">
        <v>3904.08</v>
      </c>
      <c r="AR5" s="5" t="n">
        <v>2277.99</v>
      </c>
      <c r="AS5" s="5" t="n">
        <v>669.67</v>
      </c>
      <c r="AT5" s="5" t="n">
        <v>355.29</v>
      </c>
      <c r="AU5" s="5" t="n">
        <v>273.17</v>
      </c>
      <c r="AV5" s="5" t="n">
        <v>132.41</v>
      </c>
      <c r="AW5" s="5" t="n">
        <v>59.88</v>
      </c>
    </row>
    <row r="6" customFormat="false" ht="15.75" hidden="false" customHeight="true" outlineLevel="0" collapsed="false">
      <c r="B6" s="13" t="s">
        <v>26</v>
      </c>
      <c r="C6" s="14" t="n">
        <f aca="false">IFERROR(AVERAGE(D6,E6,F6,G6,H6,I6),"")</f>
        <v>2217.625</v>
      </c>
      <c r="D6" s="15" t="n">
        <v>2204.35</v>
      </c>
      <c r="E6" s="15" t="n">
        <v>2277.51</v>
      </c>
      <c r="F6" s="15" t="n">
        <v>2204.53</v>
      </c>
      <c r="G6" s="15" t="n">
        <v>2277.99</v>
      </c>
      <c r="H6" s="15" t="n">
        <v>2280.3</v>
      </c>
      <c r="I6" s="15" t="n">
        <v>2061.07</v>
      </c>
      <c r="J6" s="16"/>
      <c r="K6" s="16"/>
      <c r="L6" s="16"/>
      <c r="M6" s="16"/>
      <c r="N6" s="16"/>
      <c r="O6" s="17"/>
      <c r="AP6" s="1" t="s">
        <v>16</v>
      </c>
      <c r="AQ6" s="5" t="n">
        <v>3910.71</v>
      </c>
      <c r="AR6" s="5" t="n">
        <v>2280.3</v>
      </c>
      <c r="AS6" s="5" t="n">
        <v>669.71</v>
      </c>
      <c r="AT6" s="5" t="n">
        <v>356.08</v>
      </c>
      <c r="AU6" s="5" t="n">
        <v>272.97</v>
      </c>
      <c r="AV6" s="5" t="n">
        <v>130.21</v>
      </c>
      <c r="AW6" s="5" t="n">
        <v>60.79</v>
      </c>
    </row>
    <row r="7" customFormat="false" ht="15.75" hidden="false" customHeight="true" outlineLevel="0" collapsed="false">
      <c r="B7" s="18" t="s">
        <v>27</v>
      </c>
      <c r="C7" s="14" t="n">
        <f aca="false">IFERROR(AVERAGE(D7,E7,F7,G7,H7,I7),"")</f>
        <v>554.051666666667</v>
      </c>
      <c r="D7" s="15" t="n">
        <v>432.08</v>
      </c>
      <c r="E7" s="15" t="n">
        <v>446.48</v>
      </c>
      <c r="F7" s="15" t="n">
        <v>501.42</v>
      </c>
      <c r="G7" s="15" t="n">
        <v>669.67</v>
      </c>
      <c r="H7" s="15" t="n">
        <v>669.71</v>
      </c>
      <c r="I7" s="15" t="n">
        <v>604.95</v>
      </c>
      <c r="J7" s="16"/>
      <c r="K7" s="16"/>
      <c r="L7" s="16"/>
      <c r="M7" s="16"/>
      <c r="N7" s="16"/>
      <c r="O7" s="17"/>
      <c r="AP7" s="1" t="s">
        <v>17</v>
      </c>
      <c r="AQ7" s="5" t="n">
        <v>3586.79</v>
      </c>
      <c r="AR7" s="5" t="n">
        <v>2061.07</v>
      </c>
      <c r="AS7" s="5" t="n">
        <v>604.95</v>
      </c>
      <c r="AT7" s="5" t="n">
        <v>326.08</v>
      </c>
      <c r="AU7" s="5" t="n">
        <v>246.69</v>
      </c>
      <c r="AV7" s="5" t="n">
        <v>151.66</v>
      </c>
      <c r="AW7" s="5" t="n">
        <v>56.16</v>
      </c>
    </row>
    <row r="8" customFormat="false" ht="15.75" hidden="false" customHeight="true" outlineLevel="0" collapsed="false">
      <c r="B8" s="18" t="s">
        <v>4</v>
      </c>
      <c r="C8" s="14" t="n">
        <f aca="false">IFERROR(AVERAGE(D8,E8,F8,G8,H8,I8),"")</f>
        <v>328.535</v>
      </c>
      <c r="D8" s="15" t="n">
        <v>301.49</v>
      </c>
      <c r="E8" s="15" t="n">
        <v>314.18</v>
      </c>
      <c r="F8" s="15" t="n">
        <v>318.09</v>
      </c>
      <c r="G8" s="15" t="n">
        <v>355.29</v>
      </c>
      <c r="H8" s="15" t="n">
        <v>356.08</v>
      </c>
      <c r="I8" s="15" t="n">
        <v>326.08</v>
      </c>
      <c r="J8" s="16"/>
      <c r="K8" s="16"/>
      <c r="L8" s="16"/>
      <c r="M8" s="16"/>
      <c r="N8" s="16"/>
      <c r="O8" s="17"/>
      <c r="AP8" s="1" t="s">
        <v>18</v>
      </c>
      <c r="AQ8" s="5" t="n">
        <f aca="false">J24</f>
        <v>0</v>
      </c>
      <c r="AR8" s="5" t="n">
        <f aca="false">J6</f>
        <v>0</v>
      </c>
      <c r="AS8" s="5" t="n">
        <f aca="false">J7</f>
        <v>0</v>
      </c>
      <c r="AT8" s="5" t="n">
        <f aca="false">J8</f>
        <v>0</v>
      </c>
      <c r="AU8" s="5" t="n">
        <f aca="false">J9</f>
        <v>0</v>
      </c>
      <c r="AV8" s="5" t="n">
        <f aca="false">J10</f>
        <v>0</v>
      </c>
      <c r="AW8" s="5" t="n">
        <f aca="false">J11</f>
        <v>0</v>
      </c>
    </row>
    <row r="9" customFormat="false" ht="15.75" hidden="false" customHeight="true" outlineLevel="0" collapsed="false">
      <c r="B9" s="18" t="s">
        <v>28</v>
      </c>
      <c r="C9" s="14" t="n">
        <f aca="false">IFERROR(AVERAGE(D9,E9,F9,G9,H9,I9),"")</f>
        <v>210.186666666667</v>
      </c>
      <c r="D9" s="15" t="n">
        <v>133.31</v>
      </c>
      <c r="E9" s="15" t="n">
        <v>161.89</v>
      </c>
      <c r="F9" s="15" t="n">
        <v>173.09</v>
      </c>
      <c r="G9" s="15" t="n">
        <v>273.17</v>
      </c>
      <c r="H9" s="15" t="n">
        <v>272.97</v>
      </c>
      <c r="I9" s="15" t="n">
        <v>246.69</v>
      </c>
      <c r="J9" s="16"/>
      <c r="K9" s="16"/>
      <c r="L9" s="16"/>
      <c r="M9" s="16"/>
      <c r="N9" s="16"/>
      <c r="O9" s="17"/>
      <c r="AP9" s="1" t="s">
        <v>19</v>
      </c>
      <c r="AQ9" s="5" t="n">
        <f aca="false">K24</f>
        <v>0</v>
      </c>
      <c r="AR9" s="5" t="n">
        <f aca="false">K6</f>
        <v>0</v>
      </c>
      <c r="AS9" s="5" t="n">
        <f aca="false">K7</f>
        <v>0</v>
      </c>
      <c r="AT9" s="5" t="n">
        <f aca="false">K8</f>
        <v>0</v>
      </c>
      <c r="AU9" s="5" t="n">
        <f aca="false">K9</f>
        <v>0</v>
      </c>
      <c r="AV9" s="5" t="n">
        <f aca="false">K10</f>
        <v>0</v>
      </c>
      <c r="AW9" s="5" t="n">
        <f aca="false">K11</f>
        <v>0</v>
      </c>
    </row>
    <row r="10" customFormat="false" ht="15.75" hidden="false" customHeight="true" outlineLevel="0" collapsed="false">
      <c r="B10" s="18" t="s">
        <v>29</v>
      </c>
      <c r="C10" s="14" t="n">
        <f aca="false">IFERROR(AVERAGE(D10,E10,F10,G10,H10,I10),"")</f>
        <v>133.788333333333</v>
      </c>
      <c r="D10" s="15" t="n">
        <v>128.02</v>
      </c>
      <c r="E10" s="15" t="n">
        <v>132.41</v>
      </c>
      <c r="F10" s="15" t="n">
        <v>128.02</v>
      </c>
      <c r="G10" s="15" t="n">
        <v>132.41</v>
      </c>
      <c r="H10" s="15" t="n">
        <v>130.21</v>
      </c>
      <c r="I10" s="15" t="n">
        <v>151.66</v>
      </c>
      <c r="J10" s="16"/>
      <c r="K10" s="16"/>
      <c r="L10" s="16"/>
      <c r="M10" s="16"/>
      <c r="N10" s="16"/>
      <c r="O10" s="17"/>
      <c r="AP10" s="1" t="s">
        <v>20</v>
      </c>
      <c r="AQ10" s="5" t="n">
        <f aca="false">L24</f>
        <v>0</v>
      </c>
      <c r="AR10" s="5" t="n">
        <f aca="false">L6</f>
        <v>0</v>
      </c>
      <c r="AS10" s="5" t="n">
        <f aca="false">L7</f>
        <v>0</v>
      </c>
      <c r="AT10" s="5" t="n">
        <f aca="false">L8</f>
        <v>0</v>
      </c>
      <c r="AU10" s="5" t="n">
        <f aca="false">L9</f>
        <v>0</v>
      </c>
      <c r="AV10" s="5" t="n">
        <f aca="false">L10</f>
        <v>0</v>
      </c>
      <c r="AW10" s="5" t="n">
        <f aca="false">L11</f>
        <v>0</v>
      </c>
    </row>
    <row r="11" customFormat="false" ht="15.75" hidden="false" customHeight="true" outlineLevel="0" collapsed="false">
      <c r="B11" s="18" t="s">
        <v>30</v>
      </c>
      <c r="C11" s="14" t="n">
        <f aca="false">IFERROR(AVERAGE(D11,E11,F11,G11,H11,I11),"")</f>
        <v>53.1933333333333</v>
      </c>
      <c r="D11" s="15" t="n">
        <v>46.32</v>
      </c>
      <c r="E11" s="15" t="n">
        <v>47.8</v>
      </c>
      <c r="F11" s="15" t="n">
        <v>48.21</v>
      </c>
      <c r="G11" s="15" t="n">
        <v>59.88</v>
      </c>
      <c r="H11" s="15" t="n">
        <v>60.79</v>
      </c>
      <c r="I11" s="15" t="n">
        <v>56.16</v>
      </c>
      <c r="J11" s="16"/>
      <c r="K11" s="16"/>
      <c r="L11" s="16"/>
      <c r="M11" s="16"/>
      <c r="N11" s="16"/>
      <c r="O11" s="17"/>
      <c r="AP11" s="1" t="s">
        <v>21</v>
      </c>
      <c r="AQ11" s="5" t="n">
        <f aca="false">M24</f>
        <v>0</v>
      </c>
      <c r="AR11" s="5" t="n">
        <f aca="false">M6</f>
        <v>0</v>
      </c>
      <c r="AS11" s="5" t="n">
        <f aca="false">M7</f>
        <v>0</v>
      </c>
      <c r="AT11" s="5" t="n">
        <f aca="false">M8</f>
        <v>0</v>
      </c>
      <c r="AU11" s="5" t="n">
        <f aca="false">M9</f>
        <v>0</v>
      </c>
      <c r="AV11" s="5" t="n">
        <f aca="false">M10</f>
        <v>0</v>
      </c>
      <c r="AW11" s="5" t="n">
        <f aca="false">M11</f>
        <v>0</v>
      </c>
    </row>
    <row r="12" customFormat="false" ht="15.75" hidden="false" customHeight="true" outlineLevel="0" collapsed="false">
      <c r="B12" s="18" t="s">
        <v>31</v>
      </c>
      <c r="C12" s="14" t="n">
        <f aca="false">IFERROR(AVERAGE(D12,E12,F12,G12,H12,I12),"")</f>
        <v>24.385</v>
      </c>
      <c r="D12" s="15" t="n">
        <v>23.58</v>
      </c>
      <c r="E12" s="15" t="n">
        <v>12.31</v>
      </c>
      <c r="F12" s="15" t="n">
        <v>20.84</v>
      </c>
      <c r="G12" s="15" t="n">
        <v>27.49</v>
      </c>
      <c r="H12" s="15" t="n">
        <v>31.87</v>
      </c>
      <c r="I12" s="15" t="n">
        <v>30.22</v>
      </c>
      <c r="J12" s="16"/>
      <c r="K12" s="16"/>
      <c r="L12" s="16"/>
      <c r="M12" s="16"/>
      <c r="N12" s="16"/>
      <c r="O12" s="17"/>
      <c r="AP12" s="1" t="s">
        <v>22</v>
      </c>
      <c r="AQ12" s="5" t="n">
        <f aca="false">N24</f>
        <v>0</v>
      </c>
      <c r="AR12" s="5" t="n">
        <f aca="false">N6</f>
        <v>0</v>
      </c>
      <c r="AS12" s="5" t="n">
        <f aca="false">N7</f>
        <v>0</v>
      </c>
      <c r="AT12" s="5" t="n">
        <f aca="false">N8</f>
        <v>0</v>
      </c>
      <c r="AU12" s="5" t="n">
        <f aca="false">N9</f>
        <v>0</v>
      </c>
      <c r="AV12" s="5" t="n">
        <f aca="false">N10</f>
        <v>0</v>
      </c>
      <c r="AW12" s="5" t="n">
        <f aca="false">N11</f>
        <v>0</v>
      </c>
    </row>
    <row r="13" customFormat="false" ht="15.75" hidden="false" customHeight="true" outlineLevel="0" collapsed="false">
      <c r="B13" s="18" t="s">
        <v>32</v>
      </c>
      <c r="C13" s="14" t="n">
        <f aca="false">IFERROR(AVERAGE(D13,E13,F13,G13,H13,I13),"")</f>
        <v>21.0866666666667</v>
      </c>
      <c r="D13" s="15" t="n">
        <v>0</v>
      </c>
      <c r="E13" s="15" t="n">
        <v>4.55</v>
      </c>
      <c r="F13" s="15" t="n">
        <v>29.87</v>
      </c>
      <c r="G13" s="15" t="n">
        <v>30.86</v>
      </c>
      <c r="H13" s="15" t="n">
        <v>30.66</v>
      </c>
      <c r="I13" s="15" t="n">
        <v>30.58</v>
      </c>
      <c r="J13" s="16"/>
      <c r="K13" s="16"/>
      <c r="L13" s="16"/>
      <c r="M13" s="16"/>
      <c r="N13" s="16"/>
      <c r="O13" s="17"/>
      <c r="AP13" s="1" t="s">
        <v>23</v>
      </c>
      <c r="AQ13" s="5" t="n">
        <f aca="false">O24</f>
        <v>0</v>
      </c>
      <c r="AR13" s="5" t="n">
        <f aca="false">O6</f>
        <v>0</v>
      </c>
      <c r="AS13" s="5" t="n">
        <f aca="false">O7</f>
        <v>0</v>
      </c>
      <c r="AT13" s="5" t="n">
        <f aca="false">O8</f>
        <v>0</v>
      </c>
      <c r="AU13" s="5" t="n">
        <f aca="false">O9</f>
        <v>0</v>
      </c>
      <c r="AV13" s="5" t="n">
        <f aca="false">O10</f>
        <v>0</v>
      </c>
      <c r="AW13" s="5" t="n">
        <f aca="false">O11</f>
        <v>0</v>
      </c>
    </row>
    <row r="14" customFormat="false" ht="15.75" hidden="false" customHeight="true" outlineLevel="0" collapsed="false">
      <c r="B14" s="18" t="s">
        <v>33</v>
      </c>
      <c r="C14" s="14" t="n">
        <f aca="false">IFERROR(AVERAGE(D14,E14,F14,G14,H14,I14),"")</f>
        <v>17.795</v>
      </c>
      <c r="D14" s="15" t="n">
        <v>15.36</v>
      </c>
      <c r="E14" s="15" t="n">
        <v>14.68</v>
      </c>
      <c r="F14" s="15" t="n">
        <v>17.01</v>
      </c>
      <c r="G14" s="15" t="n">
        <v>19.84</v>
      </c>
      <c r="H14" s="15" t="n">
        <v>20.64</v>
      </c>
      <c r="I14" s="15" t="n">
        <v>19.24</v>
      </c>
      <c r="J14" s="16"/>
      <c r="K14" s="16"/>
      <c r="L14" s="16"/>
      <c r="M14" s="16"/>
      <c r="N14" s="16"/>
      <c r="O14" s="17"/>
    </row>
    <row r="15" customFormat="false" ht="15.75" hidden="false" customHeight="true" outlineLevel="0" collapsed="false">
      <c r="B15" s="18" t="s">
        <v>34</v>
      </c>
      <c r="C15" s="14" t="n">
        <f aca="false">IFERROR(AVERAGE(D15,E15,F15,G15,H15,I15),"")</f>
        <v>15.66</v>
      </c>
      <c r="D15" s="15" t="n">
        <v>8.9</v>
      </c>
      <c r="E15" s="15" t="n">
        <v>15.16</v>
      </c>
      <c r="F15" s="15" t="n">
        <v>9.91</v>
      </c>
      <c r="G15" s="15" t="n">
        <v>21.15</v>
      </c>
      <c r="H15" s="15" t="n">
        <v>20.56</v>
      </c>
      <c r="I15" s="15" t="n">
        <v>18.28</v>
      </c>
      <c r="J15" s="16"/>
      <c r="K15" s="16"/>
      <c r="L15" s="16"/>
      <c r="M15" s="16"/>
      <c r="N15" s="16"/>
      <c r="O15" s="17"/>
    </row>
    <row r="16" customFormat="false" ht="15.75" hidden="false" customHeight="true" outlineLevel="0" collapsed="false">
      <c r="B16" s="18" t="s">
        <v>35</v>
      </c>
      <c r="C16" s="14" t="n">
        <f aca="false">IFERROR(AVERAGE(D16,E16,F16,G16,H16,I16),"")</f>
        <v>7.6</v>
      </c>
      <c r="D16" s="15" t="n">
        <v>2.8</v>
      </c>
      <c r="E16" s="15" t="n">
        <v>5.8</v>
      </c>
      <c r="F16" s="15" t="n">
        <v>6.4</v>
      </c>
      <c r="G16" s="15" t="n">
        <v>10.6</v>
      </c>
      <c r="H16" s="15" t="n">
        <v>10.6</v>
      </c>
      <c r="I16" s="15" t="n">
        <v>9.4</v>
      </c>
      <c r="J16" s="16"/>
      <c r="K16" s="16"/>
      <c r="L16" s="16"/>
      <c r="M16" s="16"/>
      <c r="N16" s="16"/>
      <c r="O16" s="17"/>
    </row>
    <row r="17" customFormat="false" ht="15.75" hidden="false" customHeight="true" outlineLevel="0" collapsed="false">
      <c r="B17" s="18" t="s">
        <v>36</v>
      </c>
      <c r="C17" s="14" t="n">
        <f aca="false">IFERROR(AVERAGE(D17,E17,F17,G17,H17,I17),"")</f>
        <v>4.62666666666667</v>
      </c>
      <c r="D17" s="15" t="n">
        <v>2.17</v>
      </c>
      <c r="E17" s="15" t="n">
        <v>4.61</v>
      </c>
      <c r="F17" s="15" t="n">
        <v>6.99</v>
      </c>
      <c r="G17" s="15" t="n">
        <v>4.54</v>
      </c>
      <c r="H17" s="15" t="n">
        <v>4.52</v>
      </c>
      <c r="I17" s="15" t="n">
        <v>4.93</v>
      </c>
      <c r="J17" s="16"/>
      <c r="K17" s="16"/>
      <c r="L17" s="16"/>
      <c r="M17" s="16"/>
      <c r="N17" s="16"/>
      <c r="O17" s="17"/>
    </row>
    <row r="18" customFormat="false" ht="15.75" hidden="false" customHeight="true" outlineLevel="0" collapsed="false">
      <c r="B18" s="18" t="s">
        <v>37</v>
      </c>
      <c r="C18" s="14" t="n">
        <f aca="false">IFERROR(AVERAGE(D18,E18,F18,G18,H18,I18),"")</f>
        <v>4</v>
      </c>
      <c r="D18" s="15" t="n">
        <v>4</v>
      </c>
      <c r="E18" s="15" t="n">
        <v>4</v>
      </c>
      <c r="F18" s="15" t="n">
        <v>4</v>
      </c>
      <c r="G18" s="15" t="n">
        <v>4</v>
      </c>
      <c r="H18" s="15" t="n">
        <v>4</v>
      </c>
      <c r="I18" s="15" t="n">
        <v>4</v>
      </c>
      <c r="J18" s="16"/>
      <c r="K18" s="16"/>
      <c r="L18" s="16"/>
      <c r="M18" s="16"/>
      <c r="N18" s="16"/>
      <c r="O18" s="17"/>
    </row>
    <row r="19" customFormat="false" ht="15.75" hidden="false" customHeight="true" outlineLevel="0" collapsed="false">
      <c r="B19" s="18" t="s">
        <v>38</v>
      </c>
      <c r="C19" s="14" t="n">
        <f aca="false">IFERROR(AVERAGE(D19,E19,F19,G19,H19,I19),"")</f>
        <v>2.94</v>
      </c>
      <c r="D19" s="15" t="n">
        <v>2.87</v>
      </c>
      <c r="E19" s="15" t="n">
        <v>2.88</v>
      </c>
      <c r="F19" s="15" t="n">
        <v>2.93</v>
      </c>
      <c r="G19" s="15" t="n">
        <v>2.96</v>
      </c>
      <c r="H19" s="15" t="n">
        <v>3.01</v>
      </c>
      <c r="I19" s="15" t="n">
        <v>2.99</v>
      </c>
      <c r="J19" s="16"/>
      <c r="K19" s="16"/>
      <c r="L19" s="16"/>
      <c r="M19" s="16"/>
      <c r="N19" s="16"/>
      <c r="O19" s="17"/>
    </row>
    <row r="20" customFormat="false" ht="15.75" hidden="false" customHeight="true" outlineLevel="0" collapsed="false">
      <c r="B20" s="18" t="s">
        <v>39</v>
      </c>
      <c r="C20" s="14" t="n">
        <f aca="false">IFERROR(AVERAGE(D20,E20,F20,G20,H20,I20),"")</f>
        <v>2.535</v>
      </c>
      <c r="D20" s="15" t="n">
        <v>1.79</v>
      </c>
      <c r="E20" s="15" t="n">
        <v>1.84</v>
      </c>
      <c r="F20" s="15" t="n">
        <v>2.56</v>
      </c>
      <c r="G20" s="15" t="n">
        <v>2.93</v>
      </c>
      <c r="H20" s="15" t="n">
        <v>2.88</v>
      </c>
      <c r="I20" s="15" t="n">
        <v>3.21</v>
      </c>
      <c r="J20" s="16"/>
      <c r="K20" s="16"/>
      <c r="L20" s="16"/>
      <c r="M20" s="16"/>
      <c r="N20" s="16"/>
      <c r="O20" s="17"/>
    </row>
    <row r="21" customFormat="false" ht="15.75" hidden="false" customHeight="true" outlineLevel="0" collapsed="false">
      <c r="B21" s="18" t="s">
        <v>40</v>
      </c>
      <c r="C21" s="14" t="n">
        <f aca="false">IFERROR(AVERAGE(D21,E21,F21,G21,H21,I21),"")</f>
        <v>2.10666666666667</v>
      </c>
      <c r="D21" s="15" t="n">
        <v>1.11</v>
      </c>
      <c r="E21" s="15" t="n">
        <v>1.27</v>
      </c>
      <c r="F21" s="15" t="n">
        <v>2.06</v>
      </c>
      <c r="G21" s="15" t="n">
        <v>2.29</v>
      </c>
      <c r="H21" s="15" t="n">
        <v>3.03</v>
      </c>
      <c r="I21" s="15" t="n">
        <v>2.88</v>
      </c>
      <c r="J21" s="16"/>
      <c r="K21" s="16"/>
      <c r="L21" s="16"/>
      <c r="M21" s="16"/>
      <c r="N21" s="16"/>
      <c r="O21" s="17"/>
    </row>
    <row r="22" customFormat="false" ht="15.75" hidden="false" customHeight="true" outlineLevel="0" collapsed="false">
      <c r="B22" s="18" t="s">
        <v>41</v>
      </c>
      <c r="C22" s="14" t="n">
        <f aca="false">IFERROR(AVERAGE(D22,E22,F22,G22,H22,I22),"")</f>
        <v>1.49166666666667</v>
      </c>
      <c r="D22" s="15" t="n">
        <v>1.26</v>
      </c>
      <c r="E22" s="15" t="n">
        <v>1.58</v>
      </c>
      <c r="F22" s="15" t="n">
        <v>1.52</v>
      </c>
      <c r="G22" s="15" t="n">
        <v>1.58</v>
      </c>
      <c r="H22" s="15" t="n">
        <v>1.58</v>
      </c>
      <c r="I22" s="15" t="n">
        <v>1.43</v>
      </c>
      <c r="J22" s="16"/>
      <c r="K22" s="16"/>
      <c r="L22" s="16"/>
      <c r="M22" s="16"/>
      <c r="N22" s="16"/>
      <c r="O22" s="17"/>
    </row>
    <row r="23" customFormat="false" ht="15.75" hidden="false" customHeight="true" outlineLevel="0" collapsed="false">
      <c r="B23" s="19" t="s">
        <v>42</v>
      </c>
      <c r="C23" s="14" t="n">
        <f aca="false">IFERROR(AVERAGE(D23,E23,F23,G23,H23,I23),"")</f>
        <v>6.85</v>
      </c>
      <c r="D23" s="15" t="n">
        <v>6.95</v>
      </c>
      <c r="E23" s="15" t="n">
        <v>6.37</v>
      </c>
      <c r="F23" s="15" t="n">
        <v>6.43</v>
      </c>
      <c r="G23" s="15" t="n">
        <v>7.43</v>
      </c>
      <c r="H23" s="15" t="n">
        <v>7.3</v>
      </c>
      <c r="I23" s="15" t="n">
        <v>6.62</v>
      </c>
      <c r="J23" s="16"/>
      <c r="K23" s="16"/>
      <c r="L23" s="16"/>
      <c r="M23" s="16"/>
      <c r="N23" s="16"/>
      <c r="O23" s="17"/>
    </row>
    <row r="24" customFormat="false" ht="19.5" hidden="false" customHeight="true" outlineLevel="0" collapsed="false">
      <c r="B24" s="20" t="s">
        <v>1</v>
      </c>
      <c r="C24" s="21" t="n">
        <f aca="false">IFERROR(SUM(C6,C7,C8,C9,C10,C11,C12,C13,C14,C15,C16,C17,C18,C19,C20,C21,C22,C23),"")</f>
        <v>3608.45666666667</v>
      </c>
      <c r="D24" s="21" t="n">
        <f aca="false">IFERROR(SUM(D6:D23),"")</f>
        <v>3316.36</v>
      </c>
      <c r="E24" s="21" t="n">
        <f aca="false">IFERROR(SUM(E6:E23),"")</f>
        <v>3455.32</v>
      </c>
      <c r="F24" s="21" t="n">
        <f aca="false">IFERROR(SUM(F6:F23),"")</f>
        <v>3483.88</v>
      </c>
      <c r="G24" s="21" t="n">
        <f aca="false">IFERROR(SUM(G6:G23),"")</f>
        <v>3904.08</v>
      </c>
      <c r="H24" s="21" t="n">
        <f aca="false">IFERROR(SUM(H6:H23),"")</f>
        <v>3910.71</v>
      </c>
      <c r="I24" s="21" t="n">
        <f aca="false">IFERROR(SUM(I6:I23),"")</f>
        <v>3580.39</v>
      </c>
      <c r="J24" s="21" t="n">
        <f aca="false">IFERROR(SUM(J6:J23),"")</f>
        <v>0</v>
      </c>
      <c r="K24" s="21" t="n">
        <f aca="false">IFERROR(SUM(K6:K23),"")</f>
        <v>0</v>
      </c>
      <c r="L24" s="21" t="n">
        <f aca="false">IFERROR(SUM(L6:L23),"")</f>
        <v>0</v>
      </c>
      <c r="M24" s="21" t="n">
        <f aca="false">IFERROR(SUM(M6:M23),"")</f>
        <v>0</v>
      </c>
      <c r="N24" s="21" t="n">
        <f aca="false">IFERROR(SUM(N6:N23),"")</f>
        <v>0</v>
      </c>
      <c r="O24" s="21" t="n">
        <f aca="false">IFERROR(SUM(O6:O23),"")</f>
        <v>0</v>
      </c>
    </row>
    <row r="25" customFormat="false" ht="15.75" hidden="false" customHeight="true" outlineLevel="0" collapsed="false">
      <c r="B25" s="22" t="s">
        <v>43</v>
      </c>
      <c r="C25" s="23"/>
      <c r="D25" s="24" t="s">
        <v>44</v>
      </c>
      <c r="E25" s="25" t="n">
        <f aca="false">IFERROR(E24-D24,"")</f>
        <v>138.96</v>
      </c>
      <c r="F25" s="25" t="n">
        <f aca="false">IFERROR(F24-E24,"")</f>
        <v>28.5599999999999</v>
      </c>
      <c r="G25" s="25" t="n">
        <f aca="false">IFERROR(G24-F24,"")</f>
        <v>420.2</v>
      </c>
      <c r="H25" s="25" t="n">
        <f aca="false">IFERROR(H24-G24,"")</f>
        <v>6.63000000000011</v>
      </c>
      <c r="I25" s="25" t="n">
        <f aca="false">IFERROR(I24-H24,"")</f>
        <v>-330.32</v>
      </c>
      <c r="J25" s="25" t="n">
        <f aca="false">IFERROR(J24-I24,"")</f>
        <v>-3580.39</v>
      </c>
      <c r="K25" s="25" t="n">
        <f aca="false">IFERROR(K24-J24,"")</f>
        <v>0</v>
      </c>
      <c r="L25" s="25" t="n">
        <f aca="false">IFERROR(L24-K24,"")</f>
        <v>0</v>
      </c>
      <c r="M25" s="25" t="n">
        <f aca="false">IFERROR(M24-L24,"")</f>
        <v>0</v>
      </c>
      <c r="N25" s="25" t="n">
        <f aca="false">IFERROR(N24-M24,"")</f>
        <v>0</v>
      </c>
      <c r="O25" s="25" t="n">
        <f aca="false">IFERROR(O24-N24,"")</f>
        <v>0</v>
      </c>
    </row>
    <row r="26" customFormat="false" ht="15.75" hidden="false" customHeight="true" outlineLevel="0" collapsed="false">
      <c r="B26" s="22" t="s">
        <v>45</v>
      </c>
      <c r="C26" s="23"/>
      <c r="D26" s="24" t="s">
        <v>44</v>
      </c>
      <c r="E26" s="26" t="n">
        <f aca="false">IFERROR((E24-D24)/D24,"")</f>
        <v>0.0419013617339493</v>
      </c>
      <c r="F26" s="26" t="n">
        <f aca="false">IFERROR((F24-E24)/E24,"")</f>
        <v>0.00826551520553811</v>
      </c>
      <c r="G26" s="26" t="n">
        <f aca="false">IFERROR((G24-F24)/F24,"")</f>
        <v>0.120612650263499</v>
      </c>
      <c r="H26" s="26" t="n">
        <f aca="false">IFERROR((H24-G24)/G24,"")</f>
        <v>0.00169822339706156</v>
      </c>
      <c r="I26" s="26" t="n">
        <f aca="false">IFERROR((I24-H24)/H24,"")</f>
        <v>-0.0844654806927642</v>
      </c>
      <c r="J26" s="26" t="n">
        <f aca="false">IFERROR((J24-I24)/I24,"")</f>
        <v>-1</v>
      </c>
      <c r="K26" s="26" t="str">
        <f aca="false">IFERROR((K24-J24)/J24,"")</f>
        <v/>
      </c>
      <c r="L26" s="26" t="str">
        <f aca="false">IFERROR((L24-K24)/K24,"")</f>
        <v/>
      </c>
      <c r="M26" s="26" t="str">
        <f aca="false">IFERROR((M24-L24)/L24,"")</f>
        <v/>
      </c>
      <c r="N26" s="26" t="str">
        <f aca="false">IFERROR((N24-M24)/M24,"")</f>
        <v/>
      </c>
      <c r="O26" s="26" t="str">
        <f aca="false">IFERROR((O24-N24)/N24,"")</f>
        <v/>
      </c>
    </row>
    <row r="27" customFormat="false" ht="15.75" hidden="false" customHeight="true" outlineLevel="0" collapsed="false">
      <c r="B27" s="27" t="s">
        <v>46</v>
      </c>
      <c r="C27" s="28"/>
      <c r="D27" s="29" t="n">
        <f aca="false">IFERROR(D6/D24,"")</f>
        <v>0.66468959944035</v>
      </c>
      <c r="E27" s="29" t="n">
        <f aca="false">IFERROR(E6/E24,"")</f>
        <v>0.659131426322309</v>
      </c>
      <c r="F27" s="29" t="n">
        <f aca="false">IFERROR(F6/F24,"")</f>
        <v>0.632780118718211</v>
      </c>
      <c r="G27" s="29" t="n">
        <f aca="false">IFERROR(G6/G24,"")</f>
        <v>0.583489580131555</v>
      </c>
      <c r="H27" s="29" t="n">
        <f aca="false">IFERROR(H6/H24,"")</f>
        <v>0.583091049962795</v>
      </c>
      <c r="I27" s="29" t="n">
        <f aca="false">IFERROR(I6/I24,"")</f>
        <v>0.575655166057329</v>
      </c>
      <c r="J27" s="29" t="str">
        <f aca="false">IFERROR(J6/J24,"")</f>
        <v/>
      </c>
      <c r="K27" s="29" t="str">
        <f aca="false">IFERROR(K6/K24,"")</f>
        <v/>
      </c>
      <c r="L27" s="29" t="str">
        <f aca="false">IFERROR(L6/L24,"")</f>
        <v/>
      </c>
      <c r="M27" s="29" t="str">
        <f aca="false">IFERROR(M6/M24,"")</f>
        <v/>
      </c>
      <c r="N27" s="29" t="str">
        <f aca="false">IFERROR(N6/N24,"")</f>
        <v/>
      </c>
      <c r="O27" s="29" t="str">
        <f aca="false">IFERROR(O6/O24,"")</f>
        <v/>
      </c>
    </row>
    <row r="28" customFormat="false" ht="15.75" hidden="false" customHeight="true" outlineLevel="0" collapsed="false">
      <c r="B28" s="30" t="s">
        <v>47</v>
      </c>
      <c r="C28" s="31"/>
      <c r="D28" s="32" t="str">
        <f aca="false">IFERROR(IF(D24&gt;2500,"⚠ 超過","✓ 正常"),"")</f>
        <v>⚠ 超過</v>
      </c>
      <c r="E28" s="32" t="str">
        <f aca="false">IFERROR(IF(E24&gt;2500,"⚠ 超過","✓ 正常"),"")</f>
        <v>⚠ 超過</v>
      </c>
      <c r="F28" s="32" t="str">
        <f aca="false">IFERROR(IF(F24&gt;2500,"⚠ 超過","✓ 正常"),"")</f>
        <v>⚠ 超過</v>
      </c>
      <c r="G28" s="32" t="str">
        <f aca="false">IFERROR(IF(G24&gt;2500,"⚠ 超過","✓ 正常"),"")</f>
        <v>⚠ 超過</v>
      </c>
      <c r="H28" s="32" t="str">
        <f aca="false">IFERROR(IF(H24&gt;2500,"⚠ 超過","✓ 正常"),"")</f>
        <v>⚠ 超過</v>
      </c>
      <c r="I28" s="32" t="str">
        <f aca="false">IFERROR(IF(I24&gt;2500,"⚠ 超過","✓ 正常"),"")</f>
        <v>⚠ 超過</v>
      </c>
      <c r="J28" s="32" t="str">
        <f aca="false">IFERROR(IF(J24&gt;2500,"⚠ 超過","✓ 正常"),"")</f>
        <v>✓ 正常</v>
      </c>
      <c r="K28" s="32" t="str">
        <f aca="false">IFERROR(IF(K24&gt;2500,"⚠ 超過","✓ 正常"),"")</f>
        <v>✓ 正常</v>
      </c>
      <c r="L28" s="32" t="str">
        <f aca="false">IFERROR(IF(L24&gt;2500,"⚠ 超過","✓ 正常"),"")</f>
        <v>✓ 正常</v>
      </c>
      <c r="M28" s="32" t="str">
        <f aca="false">IFERROR(IF(M24&gt;2500,"⚠ 超過","✓ 正常"),"")</f>
        <v>✓ 正常</v>
      </c>
      <c r="N28" s="32" t="str">
        <f aca="false">IFERROR(IF(N24&gt;2500,"⚠ 超過","✓ 正常"),"")</f>
        <v>✓ 正常</v>
      </c>
      <c r="O28" s="32" t="str">
        <f aca="false">IFERROR(IF(O24&gt;2500,"⚠ 超過","✓ 正常"),"")</f>
        <v>✓ 正常</v>
      </c>
    </row>
    <row r="29" customFormat="false" ht="19.5" hidden="false" customHeight="true" outlineLevel="0" collapsed="false"/>
  </sheetData>
  <mergeCells count="2">
    <mergeCell ref="B2:P2"/>
    <mergeCell ref="B3:P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0"/>
    <col collapsed="false" customWidth="true" hidden="false" outlineLevel="0" max="3" min="3" style="1" width="55"/>
    <col collapsed="false" customWidth="true" hidden="false" outlineLevel="0" max="5" min="4" style="1" width="16"/>
    <col collapsed="false" customWidth="true" hidden="false" outlineLevel="0" max="6" min="6" style="1" width="22"/>
  </cols>
  <sheetData>
    <row r="1" customFormat="false" ht="7.5" hidden="false" customHeight="true" outlineLevel="0" collapsed="false"/>
    <row r="2" customFormat="false" ht="36" hidden="false" customHeight="true" outlineLevel="0" collapsed="false">
      <c r="B2" s="33" t="s">
        <v>48</v>
      </c>
      <c r="C2" s="33"/>
      <c r="D2" s="33"/>
      <c r="E2" s="33"/>
      <c r="F2" s="33"/>
    </row>
    <row r="3" customFormat="false" ht="18" hidden="false" customHeight="true" outlineLevel="0" collapsed="false"/>
    <row r="4" customFormat="false" ht="18" hidden="false" customHeight="true" outlineLevel="0" collapsed="false">
      <c r="B4" s="34" t="s">
        <v>49</v>
      </c>
      <c r="C4" s="35" t="s">
        <v>50</v>
      </c>
      <c r="D4" s="36" t="s">
        <v>51</v>
      </c>
      <c r="E4" s="36"/>
      <c r="F4" s="36"/>
    </row>
    <row r="5" customFormat="false" ht="18" hidden="false" customHeight="true" outlineLevel="0" collapsed="false">
      <c r="B5" s="34" t="s">
        <v>52</v>
      </c>
      <c r="C5" s="37" t="s">
        <v>53</v>
      </c>
      <c r="D5" s="36" t="s">
        <v>54</v>
      </c>
      <c r="E5" s="36"/>
      <c r="F5" s="36"/>
    </row>
    <row r="6" customFormat="false" ht="18" hidden="false" customHeight="true" outlineLevel="0" collapsed="false">
      <c r="B6" s="34" t="s">
        <v>55</v>
      </c>
      <c r="C6" s="37" t="s">
        <v>56</v>
      </c>
      <c r="D6" s="38" t="s">
        <v>57</v>
      </c>
      <c r="E6" s="38"/>
      <c r="F6" s="38"/>
    </row>
    <row r="7" customFormat="false" ht="18" hidden="false" customHeight="true" outlineLevel="0" collapsed="false">
      <c r="B7" s="34" t="s">
        <v>58</v>
      </c>
      <c r="C7" s="37" t="s">
        <v>59</v>
      </c>
      <c r="D7" s="38" t="s">
        <v>60</v>
      </c>
      <c r="E7" s="38"/>
      <c r="F7" s="38"/>
    </row>
    <row r="8" customFormat="false" ht="18" hidden="false" customHeight="true" outlineLevel="0" collapsed="false"/>
    <row r="9" customFormat="false" ht="19.5" hidden="false" customHeight="true" outlineLevel="0" collapsed="false">
      <c r="B9" s="7" t="s">
        <v>61</v>
      </c>
      <c r="C9" s="7" t="s">
        <v>62</v>
      </c>
      <c r="D9" s="7" t="s">
        <v>63</v>
      </c>
      <c r="E9" s="7" t="s">
        <v>64</v>
      </c>
      <c r="F9" s="7" t="s">
        <v>65</v>
      </c>
    </row>
    <row r="10" customFormat="false" ht="15.75" hidden="false" customHeight="true" outlineLevel="0" collapsed="false">
      <c r="B10" s="39" t="s">
        <v>66</v>
      </c>
      <c r="C10" s="40" t="s">
        <v>26</v>
      </c>
      <c r="D10" s="41" t="s">
        <v>67</v>
      </c>
      <c r="E10" s="42" t="s">
        <v>68</v>
      </c>
      <c r="F10" s="43"/>
    </row>
    <row r="11" customFormat="false" ht="15.75" hidden="false" customHeight="true" outlineLevel="0" collapsed="false">
      <c r="B11" s="39" t="s">
        <v>69</v>
      </c>
      <c r="C11" s="40" t="s">
        <v>27</v>
      </c>
      <c r="D11" s="41" t="s">
        <v>67</v>
      </c>
      <c r="E11" s="42" t="s">
        <v>68</v>
      </c>
      <c r="F11" s="43"/>
    </row>
    <row r="12" customFormat="false" ht="15.75" hidden="false" customHeight="true" outlineLevel="0" collapsed="false">
      <c r="B12" s="39" t="s">
        <v>70</v>
      </c>
      <c r="C12" s="40" t="s">
        <v>4</v>
      </c>
      <c r="D12" s="41" t="s">
        <v>67</v>
      </c>
      <c r="E12" s="42" t="s">
        <v>68</v>
      </c>
      <c r="F12" s="43"/>
    </row>
    <row r="13" customFormat="false" ht="15.75" hidden="false" customHeight="true" outlineLevel="0" collapsed="false">
      <c r="B13" s="39" t="s">
        <v>71</v>
      </c>
      <c r="C13" s="40" t="s">
        <v>72</v>
      </c>
      <c r="D13" s="41" t="s">
        <v>67</v>
      </c>
      <c r="E13" s="42" t="s">
        <v>68</v>
      </c>
      <c r="F13" s="43" t="s">
        <v>73</v>
      </c>
    </row>
    <row r="14" customFormat="false" ht="15.75" hidden="false" customHeight="true" outlineLevel="0" collapsed="false">
      <c r="B14" s="39" t="s">
        <v>74</v>
      </c>
      <c r="C14" s="40" t="s">
        <v>75</v>
      </c>
      <c r="D14" s="41" t="s">
        <v>67</v>
      </c>
      <c r="E14" s="42" t="s">
        <v>68</v>
      </c>
      <c r="F14" s="43"/>
    </row>
    <row r="15" customFormat="false" ht="15.75" hidden="false" customHeight="true" outlineLevel="0" collapsed="false">
      <c r="B15" s="39" t="s">
        <v>76</v>
      </c>
      <c r="C15" s="40" t="s">
        <v>77</v>
      </c>
      <c r="D15" s="41" t="s">
        <v>67</v>
      </c>
      <c r="E15" s="42" t="s">
        <v>68</v>
      </c>
      <c r="F15" s="43" t="s">
        <v>78</v>
      </c>
    </row>
    <row r="16" customFormat="false" ht="15.75" hidden="false" customHeight="true" outlineLevel="0" collapsed="false">
      <c r="B16" s="39" t="s">
        <v>79</v>
      </c>
      <c r="C16" s="40" t="s">
        <v>31</v>
      </c>
      <c r="D16" s="41" t="s">
        <v>67</v>
      </c>
      <c r="E16" s="42" t="s">
        <v>68</v>
      </c>
      <c r="F16" s="43"/>
    </row>
    <row r="17" customFormat="false" ht="15.75" hidden="false" customHeight="true" outlineLevel="0" collapsed="false">
      <c r="B17" s="39" t="s">
        <v>80</v>
      </c>
      <c r="C17" s="40" t="s">
        <v>32</v>
      </c>
      <c r="D17" s="41" t="s">
        <v>67</v>
      </c>
      <c r="E17" s="42" t="s">
        <v>68</v>
      </c>
      <c r="F17" s="43"/>
    </row>
    <row r="18" customFormat="false" ht="15.75" hidden="false" customHeight="true" outlineLevel="0" collapsed="false">
      <c r="B18" s="39" t="s">
        <v>81</v>
      </c>
      <c r="C18" s="40" t="s">
        <v>33</v>
      </c>
      <c r="D18" s="41" t="s">
        <v>67</v>
      </c>
      <c r="E18" s="42" t="s">
        <v>68</v>
      </c>
      <c r="F18" s="43"/>
    </row>
    <row r="19" customFormat="false" ht="15.75" hidden="false" customHeight="true" outlineLevel="0" collapsed="false">
      <c r="B19" s="39" t="s">
        <v>82</v>
      </c>
      <c r="C19" s="40" t="s">
        <v>34</v>
      </c>
      <c r="D19" s="41" t="s">
        <v>67</v>
      </c>
      <c r="E19" s="42" t="s">
        <v>68</v>
      </c>
      <c r="F19" s="43"/>
    </row>
    <row r="20" customFormat="false" ht="15.75" hidden="false" customHeight="true" outlineLevel="0" collapsed="false">
      <c r="B20" s="39" t="s">
        <v>83</v>
      </c>
      <c r="C20" s="40" t="s">
        <v>35</v>
      </c>
      <c r="D20" s="41" t="s">
        <v>67</v>
      </c>
      <c r="E20" s="42" t="s">
        <v>68</v>
      </c>
      <c r="F20" s="43"/>
    </row>
    <row r="21" customFormat="false" ht="15.75" hidden="false" customHeight="true" outlineLevel="0" collapsed="false">
      <c r="B21" s="39" t="s">
        <v>84</v>
      </c>
      <c r="C21" s="40" t="s">
        <v>36</v>
      </c>
      <c r="D21" s="41" t="s">
        <v>85</v>
      </c>
      <c r="E21" s="42" t="s">
        <v>68</v>
      </c>
      <c r="F21" s="44" t="s">
        <v>86</v>
      </c>
    </row>
    <row r="22" customFormat="false" ht="15.75" hidden="false" customHeight="true" outlineLevel="0" collapsed="false">
      <c r="B22" s="39" t="s">
        <v>87</v>
      </c>
      <c r="C22" s="40" t="s">
        <v>37</v>
      </c>
      <c r="D22" s="41" t="s">
        <v>67</v>
      </c>
      <c r="E22" s="42" t="s">
        <v>68</v>
      </c>
      <c r="F22" s="43"/>
    </row>
    <row r="23" customFormat="false" ht="15.75" hidden="false" customHeight="true" outlineLevel="0" collapsed="false">
      <c r="B23" s="39" t="s">
        <v>88</v>
      </c>
      <c r="C23" s="40" t="s">
        <v>38</v>
      </c>
      <c r="D23" s="41" t="s">
        <v>67</v>
      </c>
      <c r="E23" s="42" t="s">
        <v>68</v>
      </c>
      <c r="F23" s="43"/>
    </row>
    <row r="24" customFormat="false" ht="15.75" hidden="false" customHeight="true" outlineLevel="0" collapsed="false">
      <c r="B24" s="39" t="s">
        <v>89</v>
      </c>
      <c r="C24" s="40" t="s">
        <v>39</v>
      </c>
      <c r="D24" s="41" t="s">
        <v>67</v>
      </c>
      <c r="E24" s="42" t="s">
        <v>68</v>
      </c>
      <c r="F24" s="43"/>
    </row>
    <row r="25" customFormat="false" ht="15.75" hidden="false" customHeight="true" outlineLevel="0" collapsed="false">
      <c r="B25" s="39" t="s">
        <v>90</v>
      </c>
      <c r="C25" s="40" t="s">
        <v>40</v>
      </c>
      <c r="D25" s="41" t="s">
        <v>67</v>
      </c>
      <c r="E25" s="42" t="s">
        <v>68</v>
      </c>
      <c r="F25" s="43"/>
    </row>
    <row r="26" customFormat="false" ht="15.75" hidden="false" customHeight="true" outlineLevel="0" collapsed="false">
      <c r="B26" s="39" t="s">
        <v>91</v>
      </c>
      <c r="C26" s="40" t="s">
        <v>41</v>
      </c>
      <c r="D26" s="41" t="s">
        <v>67</v>
      </c>
      <c r="E26" s="42" t="s">
        <v>68</v>
      </c>
      <c r="F26" s="43"/>
    </row>
    <row r="27" customFormat="false" ht="15.75" hidden="false" customHeight="true" outlineLevel="0" collapsed="false">
      <c r="B27" s="39" t="s">
        <v>92</v>
      </c>
      <c r="C27" s="45" t="s">
        <v>42</v>
      </c>
      <c r="D27" s="42" t="s">
        <v>44</v>
      </c>
      <c r="E27" s="42" t="s">
        <v>68</v>
      </c>
      <c r="F27" s="44" t="s">
        <v>93</v>
      </c>
    </row>
    <row r="29" customFormat="false" ht="19.5" hidden="false" customHeight="true" outlineLevel="0" collapsed="false">
      <c r="B29" s="46" t="s">
        <v>94</v>
      </c>
      <c r="C29" s="46"/>
      <c r="D29" s="46"/>
      <c r="E29" s="46"/>
      <c r="F29" s="46"/>
    </row>
    <row r="30" customFormat="false" ht="19.5" hidden="false" customHeight="true" outlineLevel="0" collapsed="false">
      <c r="B30" s="7" t="s">
        <v>0</v>
      </c>
      <c r="C30" s="8" t="s">
        <v>95</v>
      </c>
      <c r="D30" s="8" t="s">
        <v>96</v>
      </c>
      <c r="E30" s="8" t="s">
        <v>97</v>
      </c>
      <c r="F30" s="7" t="s">
        <v>98</v>
      </c>
    </row>
    <row r="31" customFormat="false" ht="15" hidden="false" customHeight="true" outlineLevel="0" collapsed="false">
      <c r="B31" s="47" t="s">
        <v>9</v>
      </c>
      <c r="C31" s="47" t="s">
        <v>99</v>
      </c>
      <c r="D31" s="47" t="s">
        <v>100</v>
      </c>
      <c r="E31" s="47" t="s">
        <v>101</v>
      </c>
      <c r="F31" s="48" t="s">
        <v>102</v>
      </c>
    </row>
    <row r="32" customFormat="false" ht="15" hidden="false" customHeight="true" outlineLevel="0" collapsed="false">
      <c r="B32" s="47" t="s">
        <v>11</v>
      </c>
      <c r="C32" s="47" t="s">
        <v>99</v>
      </c>
      <c r="D32" s="47" t="s">
        <v>44</v>
      </c>
      <c r="E32" s="47" t="s">
        <v>101</v>
      </c>
      <c r="F32" s="47" t="s">
        <v>44</v>
      </c>
    </row>
    <row r="33" customFormat="false" ht="15" hidden="false" customHeight="true" outlineLevel="0" collapsed="false">
      <c r="B33" s="47" t="s">
        <v>14</v>
      </c>
      <c r="C33" s="47" t="s">
        <v>99</v>
      </c>
      <c r="D33" s="47" t="s">
        <v>44</v>
      </c>
      <c r="E33" s="47" t="s">
        <v>101</v>
      </c>
      <c r="F33" s="47" t="s">
        <v>44</v>
      </c>
    </row>
    <row r="34" customFormat="false" ht="15" hidden="false" customHeight="true" outlineLevel="0" collapsed="false">
      <c r="B34" s="47" t="s">
        <v>15</v>
      </c>
      <c r="C34" s="47" t="s">
        <v>99</v>
      </c>
      <c r="D34" s="47" t="s">
        <v>44</v>
      </c>
      <c r="E34" s="47" t="s">
        <v>101</v>
      </c>
      <c r="F34" s="47" t="s">
        <v>44</v>
      </c>
    </row>
    <row r="35" customFormat="false" ht="15" hidden="false" customHeight="true" outlineLevel="0" collapsed="false">
      <c r="B35" s="47" t="s">
        <v>16</v>
      </c>
      <c r="C35" s="47" t="s">
        <v>99</v>
      </c>
      <c r="D35" s="47" t="s">
        <v>44</v>
      </c>
      <c r="E35" s="47" t="s">
        <v>101</v>
      </c>
      <c r="F35" s="47" t="s">
        <v>44</v>
      </c>
    </row>
    <row r="36" customFormat="false" ht="15" hidden="false" customHeight="true" outlineLevel="0" collapsed="false">
      <c r="B36" s="47" t="s">
        <v>17</v>
      </c>
      <c r="C36" s="47" t="s">
        <v>99</v>
      </c>
      <c r="D36" s="47" t="s">
        <v>44</v>
      </c>
      <c r="E36" s="47" t="s">
        <v>101</v>
      </c>
      <c r="F36" s="47" t="s">
        <v>44</v>
      </c>
    </row>
    <row r="37" customFormat="false" ht="15" hidden="false" customHeight="true" outlineLevel="0" collapsed="false">
      <c r="B37" s="49" t="s">
        <v>18</v>
      </c>
      <c r="C37" s="49"/>
      <c r="D37" s="49"/>
      <c r="E37" s="49"/>
      <c r="F37" s="49"/>
    </row>
    <row r="38" customFormat="false" ht="15" hidden="false" customHeight="true" outlineLevel="0" collapsed="false">
      <c r="B38" s="49" t="s">
        <v>19</v>
      </c>
      <c r="C38" s="49"/>
      <c r="D38" s="49"/>
      <c r="E38" s="49"/>
      <c r="F38" s="49"/>
    </row>
    <row r="39" customFormat="false" ht="15" hidden="false" customHeight="true" outlineLevel="0" collapsed="false">
      <c r="B39" s="49" t="s">
        <v>20</v>
      </c>
      <c r="C39" s="49"/>
      <c r="D39" s="49"/>
      <c r="E39" s="49"/>
      <c r="F39" s="49"/>
    </row>
    <row r="40" customFormat="false" ht="15" hidden="false" customHeight="true" outlineLevel="0" collapsed="false">
      <c r="B40" s="49" t="s">
        <v>21</v>
      </c>
      <c r="C40" s="49"/>
      <c r="D40" s="49"/>
      <c r="E40" s="49"/>
      <c r="F40" s="49"/>
    </row>
    <row r="41" customFormat="false" ht="15" hidden="false" customHeight="true" outlineLevel="0" collapsed="false">
      <c r="B41" s="49" t="s">
        <v>22</v>
      </c>
      <c r="C41" s="49"/>
      <c r="D41" s="49"/>
      <c r="E41" s="49"/>
      <c r="F41" s="49"/>
    </row>
    <row r="42" customFormat="false" ht="15" hidden="false" customHeight="true" outlineLevel="0" collapsed="false">
      <c r="B42" s="49" t="s">
        <v>23</v>
      </c>
      <c r="C42" s="49"/>
      <c r="D42" s="49"/>
      <c r="E42" s="49"/>
      <c r="F42" s="49"/>
    </row>
  </sheetData>
  <mergeCells count="6">
    <mergeCell ref="B2:F2"/>
    <mergeCell ref="D4:F4"/>
    <mergeCell ref="D5:F5"/>
    <mergeCell ref="D6:F6"/>
    <mergeCell ref="D7:F7"/>
    <mergeCell ref="B29:F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2026-03-08T11:21:29Z</dcterms:created>
  <dc:creator>openpyxl</dc:creator>
  <dc:description/>
  <dc:language>en-US</dc:language>
  <cp:lastModifiedBy/>
  <dcterms:modified xsi:type="dcterms:W3CDTF">2026-03-08T11:24:20Z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