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Dコスト推移" sheetId="1" state="visible" r:id="rId1"/>
    <sheet xmlns:r="http://schemas.openxmlformats.org/officeDocument/2006/relationships" name="コスト推移表" sheetId="2" state="visible" r:id="rId2"/>
    <sheet xmlns:r="http://schemas.openxmlformats.org/officeDocument/2006/relationships" name="月次入力ガイド" sheetId="3" state="visible" r:id="rId3"/>
    <sheet xmlns:r="http://schemas.openxmlformats.org/officeDocument/2006/relationships" name="STGコスト推移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+#,##0.00;\-#,##0.00;\-"/>
    <numFmt numFmtId="165" formatCode="\+0.0%;\-0.0%;\-"/>
    <numFmt numFmtId="166" formatCode="0.0%"/>
  </numFmts>
  <fonts count="5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000000"/>
      <sz val="8"/>
    </font>
    <font>
      <name val="Calibri"/>
      <charset val="1"/>
      <family val="0"/>
      <b val="1"/>
      <color rgb="FF000000"/>
      <sz val="8"/>
    </font>
    <font>
      <name val="Noto Sans CJK SC"/>
      <family val="2"/>
      <b val="1"/>
      <color rgb="FFFFFFFF"/>
      <sz val="16"/>
    </font>
    <font>
      <name val="Calibri"/>
      <charset val="1"/>
      <family val="0"/>
      <b val="1"/>
      <color rgb="FFFFFFFF"/>
      <sz val="16"/>
    </font>
    <font>
      <name val="Noto Sans CJK SC"/>
      <family val="2"/>
      <i val="1"/>
      <color rgb="FF555555"/>
      <sz val="8"/>
    </font>
    <font>
      <name val="Calibri"/>
      <charset val="1"/>
      <family val="0"/>
      <i val="1"/>
      <color rgb="FF555555"/>
      <sz val="8"/>
    </font>
    <font>
      <name val="Noto Sans CJK SC"/>
      <family val="2"/>
      <b val="1"/>
      <color rgb="FFFFFFFF"/>
      <sz val="9"/>
    </font>
    <font>
      <name val="Calibri"/>
      <charset val="1"/>
      <family val="0"/>
      <b val="1"/>
      <color rgb="FFFFFFFF"/>
      <sz val="9"/>
    </font>
    <font>
      <name val="Noto Sans CJK SC"/>
      <family val="2"/>
      <b val="1"/>
      <color rgb="FF1A5276"/>
      <sz val="7"/>
    </font>
    <font>
      <name val="Noto Sans CJK SC"/>
      <family val="2"/>
      <b val="1"/>
      <color rgb="FF784212"/>
      <sz val="7"/>
    </font>
    <font>
      <name val="Calibri"/>
      <charset val="1"/>
      <family val="0"/>
      <b val="1"/>
      <color rgb="FF000000"/>
      <sz val="9"/>
    </font>
    <font>
      <name val="Calibri"/>
      <charset val="1"/>
      <family val="0"/>
      <b val="1"/>
      <color rgb="FF1A5276"/>
      <sz val="9"/>
    </font>
    <font>
      <name val="Calibri"/>
      <charset val="1"/>
      <family val="0"/>
      <color rgb="FF000000"/>
      <sz val="9"/>
    </font>
    <font>
      <name val="Noto Sans CJK SC"/>
      <family val="2"/>
      <color rgb="FF000000"/>
      <sz val="9"/>
    </font>
    <font>
      <name val="Noto Sans CJK SC"/>
      <family val="2"/>
      <b val="1"/>
      <color rgb="FFFFFFFF"/>
      <sz val="10"/>
    </font>
    <font>
      <name val="Calibri"/>
      <charset val="1"/>
      <family val="0"/>
      <b val="1"/>
      <color rgb="FFFFFFFF"/>
      <sz val="10"/>
    </font>
    <font>
      <name val="Noto Sans CJK SC"/>
      <family val="2"/>
      <b val="1"/>
      <color rgb="FF555555"/>
      <sz val="8"/>
    </font>
    <font>
      <name val="Calibri"/>
      <charset val="1"/>
      <family val="0"/>
      <b val="1"/>
      <color rgb="FF555555"/>
      <sz val="8"/>
    </font>
    <font>
      <name val="Calibri"/>
      <charset val="1"/>
      <family val="0"/>
      <color rgb="FF999999"/>
      <sz val="8"/>
    </font>
    <font>
      <name val="Calibri"/>
      <charset val="1"/>
      <family val="0"/>
      <color rgb="FF000000"/>
      <sz val="8"/>
    </font>
    <font>
      <name val="Calibri"/>
      <charset val="1"/>
      <family val="0"/>
      <color rgb="FF1A5276"/>
      <sz val="8"/>
    </font>
    <font>
      <name val="Noto Sans CJK SC"/>
      <family val="2"/>
      <color rgb="FF000000"/>
      <sz val="8"/>
    </font>
    <font>
      <name val="Noto Sans CJK SC"/>
      <family val="2"/>
      <b val="1"/>
      <color rgb="FF000000"/>
      <sz val="18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Noto Sans CJK SC"/>
      <family val="2"/>
      <b val="1"/>
      <color rgb="FF000000"/>
      <sz val="10"/>
    </font>
    <font>
      <name val="Calibri"/>
      <family val="2"/>
      <b val="1"/>
      <color rgb="FF000000"/>
      <sz val="10"/>
    </font>
    <font>
      <name val="Noto Sans CJK SC"/>
      <charset val="1"/>
      <family val="2"/>
      <b val="1"/>
      <color rgb="FFFFFFFF"/>
      <sz val="14"/>
    </font>
    <font>
      <name val="Calibri"/>
      <charset val="1"/>
      <family val="0"/>
      <b val="1"/>
      <color rgb="FF000000"/>
      <sz val="10"/>
    </font>
    <font>
      <name val="Noto Sans CJK SC"/>
      <charset val="1"/>
      <family val="2"/>
      <b val="1"/>
      <color rgb="FF000000"/>
      <sz val="10"/>
    </font>
    <font>
      <name val="Noto Sans CJK SC"/>
      <charset val="1"/>
      <family val="2"/>
      <color rgb="FF000000"/>
      <sz val="9"/>
    </font>
    <font>
      <name val="Noto Sans CJK SC"/>
      <charset val="1"/>
      <family val="2"/>
      <b val="1"/>
      <color rgb="FFFFFFFF"/>
      <sz val="9"/>
    </font>
    <font>
      <name val="Noto Sans CJK SC"/>
      <charset val="1"/>
      <family val="2"/>
      <color rgb="FF000000"/>
      <sz val="8"/>
    </font>
    <font>
      <name val="Calibri"/>
      <charset val="1"/>
      <family val="0"/>
      <i val="1"/>
      <color rgb="FF000000"/>
      <sz val="8"/>
    </font>
    <font>
      <name val="Noto Sans CJK SC"/>
      <family val="2"/>
      <i val="1"/>
      <color rgb="FF000000"/>
      <sz val="8"/>
    </font>
    <font>
      <name val="Noto Sans CJK SC"/>
      <charset val="1"/>
      <family val="2"/>
      <i val="1"/>
      <color rgb="FF000000"/>
      <sz val="8"/>
    </font>
    <font>
      <name val="Noto Sans CJK SC"/>
      <charset val="1"/>
      <family val="2"/>
      <b val="1"/>
      <color rgb="FF000000"/>
      <sz val="8"/>
    </font>
    <font>
      <name val="BIZ UDPゴシック"/>
      <b val="1"/>
      <color rgb="00C8102E"/>
      <sz val="14"/>
    </font>
    <font>
      <name val="BIZ UDPゴシック"/>
      <color rgb="00666666"/>
      <sz val="9"/>
    </font>
    <font>
      <name val="BIZ UDPゴシック"/>
      <b val="1"/>
      <color rgb="00000000"/>
      <sz val="10"/>
    </font>
    <font>
      <name val="BIZ UDPゴシック"/>
      <color rgb="00444444"/>
      <sz val="8"/>
    </font>
    <font>
      <name val="BIZ UDPゴシック"/>
      <color rgb="00CC6600"/>
      <sz val="8"/>
    </font>
    <font>
      <name val="BIZ UDPゴシック"/>
      <sz val="9"/>
    </font>
    <font>
      <name val="BIZ UDPゴシック"/>
      <color rgb="00000080"/>
      <sz val="9"/>
    </font>
    <font>
      <name val="BIZ UDPゴシック"/>
      <color rgb="00AAAAAA"/>
      <sz val="9"/>
    </font>
    <font>
      <name val="BIZ UDPゴシック"/>
      <b val="1"/>
      <color rgb="00000080"/>
      <sz val="10"/>
    </font>
    <font>
      <name val="BIZ UDPゴシック"/>
      <b val="1"/>
      <color rgb="00000000"/>
      <sz val="11"/>
    </font>
    <font>
      <name val="BIZ UDPゴシック"/>
      <b val="1"/>
      <color rgb="00FFFFFF"/>
      <sz val="11"/>
    </font>
    <font>
      <name val="BIZ UDPゴシック"/>
      <i val="1"/>
      <sz val="9"/>
    </font>
  </fonts>
  <fills count="19">
    <fill>
      <patternFill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86AB"/>
        <bgColor rgb="FF2980B9"/>
      </patternFill>
    </fill>
    <fill>
      <patternFill patternType="solid">
        <fgColor rgb="FFF8F9FA"/>
        <bgColor rgb="FFF4F6F7"/>
      </patternFill>
    </fill>
    <fill>
      <patternFill patternType="solid">
        <fgColor rgb="FFD6EAF8"/>
        <bgColor rgb="FFEBF5FB"/>
      </patternFill>
    </fill>
    <fill>
      <patternFill patternType="solid">
        <fgColor rgb="FFFDEBD0"/>
        <bgColor rgb="FFFEF9E7"/>
      </patternFill>
    </fill>
    <fill>
      <patternFill patternType="solid">
        <fgColor rgb="FFEBF5FB"/>
        <bgColor rgb="FFF4F6F7"/>
      </patternFill>
    </fill>
    <fill>
      <patternFill patternType="solid">
        <fgColor rgb="FFFFFDE7"/>
        <bgColor rgb="FFFEF9E7"/>
      </patternFill>
    </fill>
    <fill>
      <patternFill patternType="solid">
        <fgColor rgb="FFFEF9E7"/>
        <bgColor rgb="FFFFFDE7"/>
      </patternFill>
    </fill>
    <fill>
      <patternFill patternType="solid">
        <fgColor rgb="FFF4F6F7"/>
        <bgColor rgb="FFF8F9FA"/>
      </patternFill>
    </fill>
    <fill>
      <patternFill patternType="solid">
        <fgColor rgb="FFFDFEFE"/>
        <bgColor rgb="FFFFFFFF"/>
      </patternFill>
    </fill>
    <fill>
      <patternFill patternType="solid">
        <fgColor rgb="00E8E8E8"/>
      </patternFill>
    </fill>
    <fill>
      <patternFill patternType="solid">
        <fgColor rgb="00DCE6F1"/>
      </patternFill>
    </fill>
    <fill>
      <patternFill patternType="solid">
        <fgColor rgb="00FFFACD"/>
      </patternFill>
    </fill>
    <fill>
      <patternFill patternType="solid">
        <fgColor rgb="00F5F5F5"/>
      </patternFill>
    </fill>
    <fill>
      <patternFill patternType="solid">
        <fgColor rgb="00F0F0F0"/>
      </patternFill>
    </fill>
    <fill>
      <patternFill patternType="solid">
        <fgColor rgb="00D0D0D0"/>
      </patternFill>
    </fill>
    <fill>
      <patternFill patternType="solid">
        <fgColor rgb="00C8102E"/>
      </patternFill>
    </fill>
  </fills>
  <borders count="4">
    <border>
      <left/>
      <right/>
      <top/>
      <bottom/>
      <diagonal/>
    </border>
    <border>
      <left/>
      <right/>
      <top/>
      <bottom style="thin">
        <color rgb="FFD5D8D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999999"/>
      </top>
      <bottom style="medium">
        <color rgb="0099999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4" fontId="15" fillId="7" borderId="1" applyAlignment="1" pivotButton="0" quotePrefix="0" xfId="0">
      <alignment horizontal="right" vertical="center"/>
    </xf>
    <xf numFmtId="4" fontId="16" fillId="7" borderId="1" applyAlignment="1" pivotButton="0" quotePrefix="0" xfId="0">
      <alignment horizontal="right" vertical="center"/>
    </xf>
    <xf numFmtId="4" fontId="16" fillId="8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4" fontId="19" fillId="3" borderId="0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/>
    </xf>
    <xf numFmtId="4" fontId="16" fillId="9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4" fontId="19" fillId="2" borderId="0" applyAlignment="1" pivotButton="0" quotePrefix="0" xfId="0">
      <alignment horizontal="right" vertical="center"/>
    </xf>
    <xf numFmtId="0" fontId="20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general" vertical="bottom"/>
    </xf>
    <xf numFmtId="0" fontId="22" fillId="10" borderId="0" applyAlignment="1" pivotButton="0" quotePrefix="0" xfId="0">
      <alignment horizontal="right" vertical="center"/>
    </xf>
    <xf numFmtId="164" fontId="23" fillId="10" borderId="0" applyAlignment="1" pivotButton="0" quotePrefix="0" xfId="0">
      <alignment horizontal="right" vertical="center"/>
    </xf>
    <xf numFmtId="165" fontId="23" fillId="10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general" vertical="bottom"/>
    </xf>
    <xf numFmtId="166" fontId="24" fillId="7" borderId="0" applyAlignment="1" pivotButton="0" quotePrefix="0" xfId="0">
      <alignment horizontal="right" vertical="center"/>
    </xf>
    <xf numFmtId="0" fontId="20" fillId="9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31" fillId="2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 wrapText="1"/>
    </xf>
    <xf numFmtId="0" fontId="33" fillId="7" borderId="0" applyAlignment="1" pivotButton="0" quotePrefix="0" xfId="0">
      <alignment horizontal="left" vertical="center"/>
    </xf>
    <xf numFmtId="0" fontId="34" fillId="7" borderId="0" applyAlignment="1" pivotButton="0" quotePrefix="0" xfId="0">
      <alignment horizontal="left" vertical="center" wrapText="1"/>
    </xf>
    <xf numFmtId="0" fontId="35" fillId="2" borderId="0" applyAlignment="1" pivotButton="0" quotePrefix="0" xfId="0">
      <alignment horizontal="center" vertical="center"/>
    </xf>
    <xf numFmtId="0" fontId="36" fillId="11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36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37" fillId="11" borderId="0" applyAlignment="1" pivotButton="0" quotePrefix="0" xfId="0">
      <alignment horizontal="left" vertical="center"/>
    </xf>
    <xf numFmtId="0" fontId="39" fillId="11" borderId="0" applyAlignment="1" pivotButton="0" quotePrefix="0" xfId="0">
      <alignment horizontal="left" vertical="center"/>
    </xf>
    <xf numFmtId="0" fontId="40" fillId="7" borderId="0" applyAlignment="1" pivotButton="0" quotePrefix="0" xfId="0">
      <alignment horizontal="left" vertical="center"/>
    </xf>
    <xf numFmtId="0" fontId="32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12" borderId="2" applyAlignment="1" pivotButton="0" quotePrefix="0" xfId="0">
      <alignment horizontal="center" vertical="center" wrapText="1"/>
    </xf>
    <xf numFmtId="0" fontId="43" fillId="13" borderId="2" applyAlignment="1" pivotButton="0" quotePrefix="0" xfId="0">
      <alignment horizontal="center" vertical="center"/>
    </xf>
    <xf numFmtId="0" fontId="44" fillId="0" borderId="2" applyAlignment="1" pivotButton="0" quotePrefix="0" xfId="0">
      <alignment horizontal="center"/>
    </xf>
    <xf numFmtId="0" fontId="45" fillId="14" borderId="2" applyAlignment="1" pivotButton="0" quotePrefix="0" xfId="0">
      <alignment horizontal="center"/>
    </xf>
    <xf numFmtId="0" fontId="46" fillId="0" borderId="2" applyAlignment="1" pivotButton="0" quotePrefix="0" xfId="0">
      <alignment vertical="center"/>
    </xf>
    <xf numFmtId="4" fontId="47" fillId="15" borderId="2" applyAlignment="1" pivotButton="0" quotePrefix="0" xfId="0">
      <alignment horizontal="right" vertical="center"/>
    </xf>
    <xf numFmtId="4" fontId="46" fillId="16" borderId="2" applyAlignment="1" pivotButton="0" quotePrefix="0" xfId="0">
      <alignment horizontal="right" vertical="center"/>
    </xf>
    <xf numFmtId="4" fontId="48" fillId="14" borderId="2" applyAlignment="1" pivotButton="0" quotePrefix="0" xfId="0">
      <alignment horizontal="right" vertical="center"/>
    </xf>
    <xf numFmtId="0" fontId="43" fillId="17" borderId="3" applyAlignment="1" pivotButton="0" quotePrefix="0" xfId="0">
      <alignment vertical="center"/>
    </xf>
    <xf numFmtId="4" fontId="49" fillId="17" borderId="3" applyAlignment="1" pivotButton="0" quotePrefix="0" xfId="0">
      <alignment horizontal="right" vertical="center"/>
    </xf>
    <xf numFmtId="4" fontId="43" fillId="17" borderId="3" applyAlignment="1" pivotButton="0" quotePrefix="0" xfId="0">
      <alignment horizontal="right" vertical="center"/>
    </xf>
    <xf numFmtId="0" fontId="46" fillId="0" borderId="2" pivotButton="0" quotePrefix="0" xfId="0"/>
    <xf numFmtId="4" fontId="0" fillId="14" borderId="2" applyAlignment="1" pivotButton="0" quotePrefix="0" xfId="0">
      <alignment horizontal="right" vertical="center"/>
    </xf>
    <xf numFmtId="0" fontId="51" fillId="18" borderId="3" applyAlignment="1" pivotButton="0" quotePrefix="0" xfId="0">
      <alignment vertical="center"/>
    </xf>
    <xf numFmtId="4" fontId="51" fillId="18" borderId="3" applyAlignment="1" pivotButton="0" quotePrefix="0" xfId="0">
      <alignment horizontal="right" vertical="center"/>
    </xf>
    <xf numFmtId="0" fontId="52" fillId="15" borderId="2" pivotButton="0" quotePrefix="0" xfId="0"/>
    <xf numFmtId="0" fontId="0" fillId="0" borderId="2" pivotButton="0" quotePrefix="0" xfId="0"/>
    <xf numFmtId="4" fontId="46" fillId="0" borderId="2" applyAlignment="1" pivotButton="0" quotePrefix="0" xfId="0">
      <alignment horizontal="right"/>
    </xf>
    <xf numFmtId="0" fontId="46" fillId="0" borderId="2" applyAlignment="1" pivotButton="0" quotePrefix="0" xfId="0">
      <alignment horizontal="right"/>
    </xf>
    <xf numFmtId="166" fontId="46" fillId="0" borderId="2" applyAlignment="1" pivotButton="0" quotePrefix="0" xfId="0">
      <alignment horizontal="right"/>
    </xf>
    <xf numFmtId="0" fontId="46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4" fontId="15" fillId="7" borderId="1" applyAlignment="1" pivotButton="0" quotePrefix="0" xfId="0">
      <alignment horizontal="right" vertical="center"/>
    </xf>
    <xf numFmtId="4" fontId="16" fillId="7" borderId="1" applyAlignment="1" pivotButton="0" quotePrefix="0" xfId="0">
      <alignment horizontal="right" vertical="center"/>
    </xf>
    <xf numFmtId="4" fontId="16" fillId="8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4" fontId="19" fillId="3" borderId="0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/>
    </xf>
    <xf numFmtId="4" fontId="16" fillId="9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4" fontId="19" fillId="2" borderId="0" applyAlignment="1" pivotButton="0" quotePrefix="0" xfId="0">
      <alignment horizontal="right" vertical="center"/>
    </xf>
    <xf numFmtId="0" fontId="20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general" vertical="bottom"/>
    </xf>
    <xf numFmtId="0" fontId="22" fillId="10" borderId="0" applyAlignment="1" pivotButton="0" quotePrefix="0" xfId="0">
      <alignment horizontal="right" vertical="center"/>
    </xf>
    <xf numFmtId="164" fontId="23" fillId="10" borderId="0" applyAlignment="1" pivotButton="0" quotePrefix="0" xfId="0">
      <alignment horizontal="right" vertical="center"/>
    </xf>
    <xf numFmtId="165" fontId="23" fillId="10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general" vertical="bottom"/>
    </xf>
    <xf numFmtId="166" fontId="24" fillId="7" borderId="0" applyAlignment="1" pivotButton="0" quotePrefix="0" xfId="0">
      <alignment horizontal="right" vertical="center"/>
    </xf>
    <xf numFmtId="0" fontId="20" fillId="9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 wrapText="1"/>
    </xf>
    <xf numFmtId="0" fontId="33" fillId="7" borderId="0" applyAlignment="1" pivotButton="0" quotePrefix="0" xfId="0">
      <alignment horizontal="left" vertical="center"/>
    </xf>
    <xf numFmtId="0" fontId="34" fillId="7" borderId="0" applyAlignment="1" pivotButton="0" quotePrefix="0" xfId="0">
      <alignment horizontal="left" vertical="center" wrapText="1"/>
    </xf>
    <xf numFmtId="0" fontId="35" fillId="2" borderId="0" applyAlignment="1" pivotButton="0" quotePrefix="0" xfId="0">
      <alignment horizontal="center" vertical="center"/>
    </xf>
    <xf numFmtId="0" fontId="36" fillId="11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36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37" fillId="11" borderId="0" applyAlignment="1" pivotButton="0" quotePrefix="0" xfId="0">
      <alignment horizontal="left" vertical="center"/>
    </xf>
    <xf numFmtId="0" fontId="39" fillId="11" borderId="0" applyAlignment="1" pivotButton="0" quotePrefix="0" xfId="0">
      <alignment horizontal="left" vertical="center"/>
    </xf>
    <xf numFmtId="0" fontId="40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8F9FA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3B3B3"/>
      <rgbColor rgb="FF808080"/>
      <rgbColor rgb="FF9999FF"/>
      <rgbColor rgb="FF993366"/>
      <rgbColor rgb="FFFFFDE7"/>
      <rgbColor rgb="FFD6EAF8"/>
      <rgbColor rgb="FF660066"/>
      <rgbColor rgb="FFFF8080"/>
      <rgbColor rgb="FF0066CC"/>
      <rgbColor rgb="FFD5D8DC"/>
      <rgbColor rgb="FF000080"/>
      <rgbColor rgb="FFFF00FF"/>
      <rgbColor rgb="FFFDFEFE"/>
      <rgbColor rgb="FF00FFFF"/>
      <rgbColor rgb="FF800080"/>
      <rgbColor rgb="FF800000"/>
      <rgbColor rgb="FF008080"/>
      <rgbColor rgb="FF0000FF"/>
      <rgbColor rgb="FF00CCFF"/>
      <rgbColor rgb="FFEBF5FB"/>
      <rgbColor rgb="FFF4F6F7"/>
      <rgbColor rgb="FFFDEBD0"/>
      <rgbColor rgb="FFAED6F1"/>
      <rgbColor rgb="FFFEF9E7"/>
      <rgbColor rgb="FFD9D9D9"/>
      <rgbColor rgb="FFF0B27A"/>
      <rgbColor rgb="FF3366FF"/>
      <rgbColor rgb="FF33CCCC"/>
      <rgbColor rgb="FF99CC00"/>
      <rgbColor rgb="FFFFCC00"/>
      <rgbColor rgb="FFFF9900"/>
      <rgbColor rgb="FFE67E22"/>
      <rgbColor rgb="FF555555"/>
      <rgbColor rgb="FF999999"/>
      <rgbColor rgb="FF1A3A5C"/>
      <rgbColor rgb="FF2E86AB"/>
      <rgbColor rgb="FF003300"/>
      <rgbColor rgb="FF333300"/>
      <rgbColor rgb="FF784212"/>
      <rgbColor rgb="FF993366"/>
      <rgbColor rgb="FF1A527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月次コスト推移 (USD)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"合計（税込）"</f>
              <strCache>
                <ptCount val="1"/>
                <pt idx="0">
                  <v>合計（税込）</v>
                </pt>
              </strCache>
            </strRef>
          </tx>
          <spPr>
            <a:solidFill xmlns:a="http://schemas.openxmlformats.org/drawingml/2006/main">
              <a:srgbClr val="1a3a5c"/>
            </a:solidFill>
            <a:ln xmlns:a="http://schemas.openxmlformats.org/drawingml/2006/main" w="24840">
              <a:solidFill>
                <a:srgbClr val="1a3a5c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1a3a5c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コスト推移表!$AQ$2:$AQ$7</f>
              <numCache>
                <formatCode>#,##0.00</formatCode>
                <ptCount val="6"/>
                <pt idx="0">
                  <v>3316.36</v>
                </pt>
                <pt idx="1">
                  <v>3455.32</v>
                </pt>
                <pt idx="2">
                  <v>3483.88</v>
                </pt>
                <pt idx="3">
                  <v>3904.08</v>
                </pt>
                <pt idx="4">
                  <v>3910.71</v>
                </pt>
                <pt idx="5">
                  <v>3586.79</v>
                </pt>
              </numCache>
            </numRef>
          </val>
          <smooth val="1"/>
        </ser>
        <ser>
          <idx val="1"/>
          <order val="1"/>
          <tx>
            <strRef>
              <f>"サービス小計"</f>
              <strCache>
                <ptCount val="1"/>
                <pt idx="0">
                  <v>サービス小計</v>
                </pt>
              </strCache>
            </strRef>
          </tx>
          <spPr>
            <a:solidFill xmlns:a="http://schemas.openxmlformats.org/drawingml/2006/main">
              <a:srgbClr val="2e86ab"/>
            </a:solidFill>
            <a:ln xmlns:a="http://schemas.openxmlformats.org/drawingml/2006/main" w="20160">
              <a:solidFill>
                <a:srgbClr val="2e86ab"/>
              </a:solidFill>
              <a:prstDash val="solid"/>
              <a:round/>
            </a:ln>
          </spPr>
          <marker>
            <symbol val="diamond"/>
            <size val="6"/>
            <spPr>
              <a:solidFill xmlns:a="http://schemas.openxmlformats.org/drawingml/2006/main">
                <a:srgbClr val="2e86ab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コスト推移表!$AR$2:$AR$7</f>
              <numCache>
                <formatCode>#,##0.00</formatCode>
                <ptCount val="6"/>
                <pt idx="0">
                  <v>3014.87</v>
                </pt>
                <pt idx="1">
                  <v>3141.14</v>
                </pt>
                <pt idx="2">
                  <v>3165.79</v>
                </pt>
                <pt idx="3">
                  <v>3548.79</v>
                </pt>
                <pt idx="4">
                  <v>3554.63</v>
                </pt>
                <pt idx="5">
                  <v>3260.71</v>
                </pt>
              </numCache>
            </numRef>
          </val>
          <smooth val="1"/>
        </ser>
        <ser>
          <idx val="2"/>
          <order val="2"/>
          <tx>
            <strRef>
              <f>"Tax"</f>
              <strCache>
                <ptCount val="1"/>
                <pt idx="0">
                  <v>Tax</v>
                </pt>
              </strCache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 w="15120">
              <a:solidFill>
                <a:srgbClr val="e67e22"/>
              </a:solidFill>
              <a:prstDash val="solid"/>
              <a:round/>
            </a:ln>
          </spPr>
          <marker>
            <symbol val="square"/>
            <size val="6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コスト推移表!$AS$2:$AS$7</f>
              <numCache>
                <formatCode>#,##0.00</formatCode>
                <ptCount val="6"/>
                <pt idx="0">
                  <v>301.49</v>
                </pt>
                <pt idx="1">
                  <v>314.18</v>
                </pt>
                <pt idx="2">
                  <v>318.09</v>
                </pt>
                <pt idx="3">
                  <v>355.29</v>
                </pt>
                <pt idx="4">
                  <v>356.08</v>
                </pt>
                <pt idx="5">
                  <v>326.08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49523354"/>
        <axId val="19971383"/>
      </lineChart>
      <catAx>
        <axId val="4952335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9971383"/>
        <crosses val="autoZero"/>
        <auto val="1"/>
        <lblAlgn val="ctr"/>
        <lblOffset val="100"/>
        <noMultiLvlLbl val="0"/>
      </catAx>
      <valAx>
        <axId val="19971383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コスト (USD)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952335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サービス別コスト内訳（実績・税抜）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"RDS"</f>
              <strCache>
                <ptCount val="1"/>
                <pt idx="0">
                  <v>RDS</v>
                </pt>
              </strCache>
            </strRef>
          </tx>
          <spPr>
            <a:solidFill xmlns:a="http://schemas.openxmlformats.org/drawingml/2006/main">
              <a:srgbClr val="1a3a5c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コスト推移表!$AT$2:$AT$7</f>
              <numCache>
                <formatCode>#,##0.00</formatCode>
                <ptCount val="6"/>
                <pt idx="0">
                  <v>2204.35</v>
                </pt>
                <pt idx="1">
                  <v>2277.51</v>
                </pt>
                <pt idx="2">
                  <v>2204.53</v>
                </pt>
                <pt idx="3">
                  <v>2277.99</v>
                </pt>
                <pt idx="4">
                  <v>2280.3</v>
                </pt>
                <pt idx="5">
                  <v>2061.07</v>
                </pt>
              </numCache>
            </numRef>
          </val>
        </ser>
        <ser>
          <idx val="1"/>
          <order val="1"/>
          <tx>
            <strRef>
              <f>"Transfer Family"</f>
              <strCache>
                <ptCount val="1"/>
                <pt idx="0">
                  <v>Transfer Family</v>
                </pt>
              </strCache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コスト推移表!$AU$2:$AU$7</f>
              <numCache>
                <formatCode>#,##0.00</formatCode>
                <ptCount val="6"/>
                <pt idx="0">
                  <v>432.08</v>
                </pt>
                <pt idx="1">
                  <v>446.48</v>
                </pt>
                <pt idx="2">
                  <v>501.42</v>
                </pt>
                <pt idx="3">
                  <v>669.67</v>
                </pt>
                <pt idx="4">
                  <v>669.71</v>
                </pt>
                <pt idx="5">
                  <v>604.95</v>
                </pt>
              </numCache>
            </numRef>
          </val>
        </ser>
        <ser>
          <idx val="2"/>
          <order val="2"/>
          <tx>
            <strRef>
              <f>"EC2"</f>
              <strCache>
                <ptCount val="1"/>
                <pt idx="0">
                  <v>EC2</v>
                </pt>
              </strCache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コスト推移表!$AV$2:$AV$7</f>
              <numCache>
                <formatCode>#,##0.00</formatCode>
                <ptCount val="6"/>
                <pt idx="0">
                  <v>133.31</v>
                </pt>
                <pt idx="1">
                  <v>161.89</v>
                </pt>
                <pt idx="2">
                  <v>173.09</v>
                </pt>
                <pt idx="3">
                  <v>273.17</v>
                </pt>
                <pt idx="4">
                  <v>272.97</v>
                </pt>
                <pt idx="5">
                  <v>246.69</v>
                </pt>
              </numCache>
            </numRef>
          </val>
        </ser>
        <ser>
          <idx val="3"/>
          <order val="3"/>
          <tx>
            <strRef>
              <f>"VPC"</f>
              <strCache>
                <ptCount val="1"/>
                <pt idx="0">
                  <v>VPC</v>
                </pt>
              </strCache>
            </strRef>
          </tx>
          <spPr>
            <a:solidFill xmlns:a="http://schemas.openxmlformats.org/drawingml/2006/main">
              <a:srgbClr val="f0b27a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コスト推移表!$AW$2:$AW$7</f>
              <numCache>
                <formatCode>#,##0.00</formatCode>
                <ptCount val="6"/>
                <pt idx="0">
                  <v>128.02</v>
                </pt>
                <pt idx="1">
                  <v>132.41</v>
                </pt>
                <pt idx="2">
                  <v>128.02</v>
                </pt>
                <pt idx="3">
                  <v>132.41</v>
                </pt>
                <pt idx="4">
                  <v>130.21</v>
                </pt>
                <pt idx="5">
                  <v>151.66</v>
                </pt>
              </numCache>
            </numRef>
          </val>
        </ser>
        <ser>
          <idx val="4"/>
          <order val="4"/>
          <tx>
            <strRef>
              <f>"EC2その他"</f>
              <strCache>
                <ptCount val="1"/>
                <pt idx="0">
                  <v>EC2その他</v>
                </pt>
              </strCache>
            </strRef>
          </tx>
          <spPr>
            <a:solidFill xmlns:a="http://schemas.openxmlformats.org/drawingml/2006/main">
              <a:srgbClr val="aed6f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コスト推移表!$AP$2:$AP$7</f>
              <strCache>
                <ptCount val="6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</strCache>
            </strRef>
          </cat>
          <val>
            <numRef>
              <f>コスト推移表!$AX$2:$AX$7</f>
              <numCache>
                <formatCode>#,##0.00</formatCode>
                <ptCount val="6"/>
                <pt idx="0">
                  <v>46.32</v>
                </pt>
                <pt idx="1">
                  <v>47.8</v>
                </pt>
                <pt idx="2">
                  <v>48.21</v>
                </pt>
                <pt idx="3">
                  <v>59.88</v>
                </pt>
                <pt idx="4">
                  <v>60.79</v>
                </pt>
                <pt idx="5">
                  <v>56.16</v>
                </pt>
              </numCache>
            </numRef>
          </val>
        </ser>
        <gapWidth val="150"/>
        <overlap val="100"/>
        <axId val="58039036"/>
        <axId val="97717929"/>
      </barChart>
      <catAx>
        <axId val="580390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7717929"/>
        <crosses val="autoZero"/>
        <auto val="1"/>
        <lblAlgn val="ctr"/>
        <lblOffset val="100"/>
        <noMultiLvlLbl val="0"/>
      </catAx>
      <valAx>
        <axId val="97717929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コスト (USD)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803903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30</row>
      <rowOff>0</rowOff>
    </from>
    <to>
      <col>11</col>
      <colOff>249480</colOff>
      <row>54</row>
      <rowOff>107640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54</row>
      <rowOff>0</rowOff>
    </from>
    <to>
      <col>11</col>
      <colOff>249480</colOff>
      <row>80</row>
      <rowOff>86760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9"/>
  <sheetViews>
    <sheetView workbookViewId="0">
      <selection activeCell="A1" sqref="A1"/>
    </sheetView>
  </sheetViews>
  <sheetFormatPr baseColWidth="8" defaultRowHeight="15"/>
  <cols>
    <col width="1" customWidth="1" style="54" min="1" max="1"/>
    <col width="26" customWidth="1" style="54" min="2" max="2"/>
    <col width="12" customWidth="1" style="54" min="3" max="3"/>
    <col width="11" customWidth="1" style="54" min="4" max="4"/>
    <col width="11" customWidth="1" style="54" min="5" max="5"/>
    <col width="11" customWidth="1" style="54" min="6" max="6"/>
    <col width="11" customWidth="1" style="54" min="7" max="7"/>
    <col width="11" customWidth="1" style="54" min="8" max="8"/>
    <col width="11" customWidth="1" style="54" min="9" max="9"/>
    <col width="11" customWidth="1" style="54" min="10" max="10"/>
    <col width="11" customWidth="1" style="54" min="11" max="11"/>
    <col width="11" customWidth="1" style="54" min="12" max="12"/>
    <col width="11" customWidth="1" style="54" min="13" max="13"/>
    <col width="11" customWidth="1" style="54" min="14" max="14"/>
    <col width="11" customWidth="1" style="54" min="15" max="15"/>
  </cols>
  <sheetData>
    <row r="1" ht="8" customHeight="1" s="54"/>
    <row r="2" ht="30" customHeight="1" s="54">
      <c r="B2" s="55" t="inlineStr">
        <is>
          <t>カスミPOS  AWS コスト推移表（本番環境）</t>
        </is>
      </c>
    </row>
    <row r="3">
      <c r="B3" s="56" t="inlineStr">
        <is>
          <t>単位: USD ($)　　■ 網掛け = 実績　　□ 黄地 = 未入力</t>
        </is>
      </c>
    </row>
    <row r="4" ht="20" customHeight="1" s="54">
      <c r="B4" s="57" t="inlineStr">
        <is>
          <t>サービス</t>
        </is>
      </c>
      <c r="C4" s="57" t="inlineStr">
        <is>
          <t>6ヶ月平均</t>
        </is>
      </c>
      <c r="D4" s="58" t="inlineStr">
        <is>
          <t>2025/09</t>
        </is>
      </c>
      <c r="E4" s="58" t="inlineStr">
        <is>
          <t>2025/10</t>
        </is>
      </c>
      <c r="F4" s="58" t="inlineStr">
        <is>
          <t>2025/11</t>
        </is>
      </c>
      <c r="G4" s="58" t="inlineStr">
        <is>
          <t>2025/12</t>
        </is>
      </c>
      <c r="H4" s="58" t="inlineStr">
        <is>
          <t>2026/01</t>
        </is>
      </c>
      <c r="I4" s="58" t="inlineStr">
        <is>
          <t>2026/02</t>
        </is>
      </c>
      <c r="J4" s="58" t="inlineStr">
        <is>
          <t>2026/03</t>
        </is>
      </c>
      <c r="K4" s="58" t="inlineStr">
        <is>
          <t>2026/04</t>
        </is>
      </c>
      <c r="L4" s="58" t="inlineStr">
        <is>
          <t>2026/05</t>
        </is>
      </c>
      <c r="M4" s="58" t="inlineStr">
        <is>
          <t>2026/06</t>
        </is>
      </c>
      <c r="N4" s="58" t="inlineStr">
        <is>
          <t>2026/07</t>
        </is>
      </c>
      <c r="O4" s="58" t="inlineStr">
        <is>
          <t>2026/08</t>
        </is>
      </c>
    </row>
    <row r="5" ht="16" customHeight="1" s="54">
      <c r="B5" t="inlineStr"/>
      <c r="C5" t="inlineStr"/>
      <c r="D5" s="59" t="inlineStr">
        <is>
          <t>実績</t>
        </is>
      </c>
      <c r="E5" s="59" t="inlineStr">
        <is>
          <t>実績</t>
        </is>
      </c>
      <c r="F5" s="59" t="inlineStr">
        <is>
          <t>実績</t>
        </is>
      </c>
      <c r="G5" s="59" t="inlineStr">
        <is>
          <t>実績</t>
        </is>
      </c>
      <c r="H5" s="59" t="inlineStr">
        <is>
          <t>実績</t>
        </is>
      </c>
      <c r="I5" s="59" t="inlineStr">
        <is>
          <t>実績</t>
        </is>
      </c>
      <c r="J5" s="60" t="inlineStr">
        <is>
          <t>▼入力</t>
        </is>
      </c>
      <c r="K5" s="60" t="inlineStr">
        <is>
          <t>▼入力</t>
        </is>
      </c>
      <c r="L5" s="60" t="inlineStr">
        <is>
          <t>▼入力</t>
        </is>
      </c>
      <c r="M5" s="60" t="inlineStr">
        <is>
          <t>▼入力</t>
        </is>
      </c>
      <c r="N5" s="60" t="inlineStr">
        <is>
          <t>▼入力</t>
        </is>
      </c>
      <c r="O5" s="60" t="inlineStr">
        <is>
          <t>▼入力</t>
        </is>
      </c>
    </row>
    <row r="6" ht="18" customHeight="1" s="54">
      <c r="B6" s="61" t="inlineStr">
        <is>
          <t>RDS (Aurora MySQL)</t>
        </is>
      </c>
      <c r="C6" s="62">
        <f>IFERROR(AVERAGE(D6,E6,F6,G6,H6,I6),"")</f>
        <v/>
      </c>
      <c r="D6" s="63" t="n">
        <v>2204.35</v>
      </c>
      <c r="E6" s="63" t="n">
        <v>2277.51</v>
      </c>
      <c r="F6" s="63" t="n">
        <v>2204.53</v>
      </c>
      <c r="G6" s="63" t="n">
        <v>2278</v>
      </c>
      <c r="H6" s="63" t="n">
        <v>2280.3</v>
      </c>
      <c r="I6" s="63" t="n">
        <v>2061.07</v>
      </c>
      <c r="J6" s="64" t="n"/>
      <c r="K6" s="64" t="n"/>
      <c r="L6" s="64" t="n"/>
      <c r="M6" s="64" t="n"/>
      <c r="N6" s="64" t="n"/>
      <c r="O6" s="64" t="n"/>
    </row>
    <row r="7" ht="18" customHeight="1" s="54">
      <c r="B7" s="61" t="inlineStr">
        <is>
          <t>Transfer Family</t>
        </is>
      </c>
      <c r="C7" s="62">
        <f>IFERROR(AVERAGE(D7,E7,F7,G7,H7,I7),"")</f>
        <v/>
      </c>
      <c r="D7" s="63" t="n">
        <v>432.08</v>
      </c>
      <c r="E7" s="63" t="n">
        <v>446.48</v>
      </c>
      <c r="F7" s="63" t="n">
        <v>501.42</v>
      </c>
      <c r="G7" s="63" t="n">
        <v>669.67</v>
      </c>
      <c r="H7" s="63" t="n">
        <v>669.71</v>
      </c>
      <c r="I7" s="63" t="n">
        <v>604.95</v>
      </c>
      <c r="J7" s="64" t="n"/>
      <c r="K7" s="64" t="n"/>
      <c r="L7" s="64" t="n"/>
      <c r="M7" s="64" t="n"/>
      <c r="N7" s="64" t="n"/>
      <c r="O7" s="64" t="n"/>
    </row>
    <row r="8" ht="18" customHeight="1" s="54">
      <c r="B8" s="61" t="inlineStr">
        <is>
          <t>EC2 インスタンス</t>
        </is>
      </c>
      <c r="C8" s="62">
        <f>IFERROR(AVERAGE(D8,E8,F8,G8,H8,I8),"")</f>
        <v/>
      </c>
      <c r="D8" s="63" t="n">
        <v>133.31</v>
      </c>
      <c r="E8" s="63" t="n">
        <v>161.89</v>
      </c>
      <c r="F8" s="63" t="n">
        <v>173.09</v>
      </c>
      <c r="G8" s="63" t="n">
        <v>273.17</v>
      </c>
      <c r="H8" s="63" t="n">
        <v>272.97</v>
      </c>
      <c r="I8" s="63" t="n">
        <v>246.69</v>
      </c>
      <c r="J8" s="64" t="n"/>
      <c r="K8" s="64" t="n"/>
      <c r="L8" s="64" t="n"/>
      <c r="M8" s="64" t="n"/>
      <c r="N8" s="64" t="n"/>
      <c r="O8" s="64" t="n"/>
    </row>
    <row r="9" ht="18" customHeight="1" s="54">
      <c r="B9" s="61" t="inlineStr">
        <is>
          <t>VPC (NAT Gateway等)</t>
        </is>
      </c>
      <c r="C9" s="62">
        <f>IFERROR(AVERAGE(D9,E9,F9,G9,H9,I9),"")</f>
        <v/>
      </c>
      <c r="D9" s="63" t="n">
        <v>128.02</v>
      </c>
      <c r="E9" s="63" t="n">
        <v>132.41</v>
      </c>
      <c r="F9" s="63" t="n">
        <v>128.02</v>
      </c>
      <c r="G9" s="63" t="n">
        <v>132.41</v>
      </c>
      <c r="H9" s="63" t="n">
        <v>130.21</v>
      </c>
      <c r="I9" s="63" t="n">
        <v>151.66</v>
      </c>
      <c r="J9" s="64" t="n"/>
      <c r="K9" s="64" t="n"/>
      <c r="L9" s="64" t="n"/>
      <c r="M9" s="64" t="n"/>
      <c r="N9" s="64" t="n"/>
      <c r="O9" s="64" t="n"/>
    </row>
    <row r="10" ht="18" customHeight="1" s="54">
      <c r="B10" s="61" t="inlineStr">
        <is>
          <t>EC2 その他</t>
        </is>
      </c>
      <c r="C10" s="62">
        <f>IFERROR(AVERAGE(D10,E10,F10,G10,H10,I10),"")</f>
        <v/>
      </c>
      <c r="D10" s="63" t="n">
        <v>46.32</v>
      </c>
      <c r="E10" s="63" t="n">
        <v>47.8</v>
      </c>
      <c r="F10" s="63" t="n">
        <v>48.21</v>
      </c>
      <c r="G10" s="63" t="n">
        <v>59.88</v>
      </c>
      <c r="H10" s="63" t="n">
        <v>60.79</v>
      </c>
      <c r="I10" s="63" t="n">
        <v>56.16</v>
      </c>
      <c r="J10" s="64" t="n"/>
      <c r="K10" s="64" t="n"/>
      <c r="L10" s="64" t="n"/>
      <c r="M10" s="64" t="n"/>
      <c r="N10" s="64" t="n"/>
      <c r="O10" s="64" t="n"/>
    </row>
    <row r="11" ht="18" customHeight="1" s="54">
      <c r="B11" s="61" t="inlineStr">
        <is>
          <t>Config</t>
        </is>
      </c>
      <c r="C11" s="62">
        <f>IFERROR(AVERAGE(D11,E11,F11,G11,H11,I11),"")</f>
        <v/>
      </c>
      <c r="D11" s="63" t="n">
        <v>23.58</v>
      </c>
      <c r="E11" s="63" t="n">
        <v>12.31</v>
      </c>
      <c r="F11" s="63" t="n">
        <v>20.84</v>
      </c>
      <c r="G11" s="63" t="n">
        <v>27.49</v>
      </c>
      <c r="H11" s="63" t="n">
        <v>31.87</v>
      </c>
      <c r="I11" s="63" t="n">
        <v>30.22</v>
      </c>
      <c r="J11" s="64" t="n"/>
      <c r="K11" s="64" t="n"/>
      <c r="L11" s="64" t="n"/>
      <c r="M11" s="64" t="n"/>
      <c r="N11" s="64" t="n"/>
      <c r="O11" s="64" t="n"/>
    </row>
    <row r="12" ht="18" customHeight="1" s="54">
      <c r="B12" s="61" t="inlineStr">
        <is>
          <t>GuardDuty</t>
        </is>
      </c>
      <c r="C12" s="62">
        <f>IFERROR(AVERAGE(D12,E12,F12,G12,H12,I12),"")</f>
        <v/>
      </c>
      <c r="D12" s="63" t="n"/>
      <c r="E12" s="63" t="n">
        <v>4.55</v>
      </c>
      <c r="F12" s="63" t="n">
        <v>29.87</v>
      </c>
      <c r="G12" s="63" t="n">
        <v>30.86</v>
      </c>
      <c r="H12" s="63" t="n">
        <v>30.66</v>
      </c>
      <c r="I12" s="63" t="n">
        <v>30.58</v>
      </c>
      <c r="J12" s="64" t="n"/>
      <c r="K12" s="64" t="n"/>
      <c r="L12" s="64" t="n"/>
      <c r="M12" s="64" t="n"/>
      <c r="N12" s="64" t="n"/>
      <c r="O12" s="64" t="n"/>
    </row>
    <row r="13" ht="18" customHeight="1" s="54">
      <c r="B13" s="61" t="inlineStr">
        <is>
          <t>Security Hub</t>
        </is>
      </c>
      <c r="C13" s="62">
        <f>IFERROR(AVERAGE(D13,E13,F13,G13,H13,I13),"")</f>
        <v/>
      </c>
      <c r="D13" s="63" t="n">
        <v>15.36</v>
      </c>
      <c r="E13" s="63" t="n">
        <v>14.68</v>
      </c>
      <c r="F13" s="63" t="n">
        <v>17.01</v>
      </c>
      <c r="G13" s="63" t="n">
        <v>19.84</v>
      </c>
      <c r="H13" s="63" t="n">
        <v>20.64</v>
      </c>
      <c r="I13" s="63" t="n">
        <v>19.24</v>
      </c>
      <c r="J13" s="64" t="n"/>
      <c r="K13" s="64" t="n"/>
      <c r="L13" s="64" t="n"/>
      <c r="M13" s="64" t="n"/>
      <c r="N13" s="64" t="n"/>
      <c r="O13" s="64" t="n"/>
    </row>
    <row r="14" ht="18" customHeight="1" s="54">
      <c r="B14" s="61" t="inlineStr">
        <is>
          <t>Inspector</t>
        </is>
      </c>
      <c r="C14" s="62">
        <f>IFERROR(AVERAGE(D14,E14,F14,G14,H14,I14),"")</f>
        <v/>
      </c>
      <c r="D14" s="63" t="n">
        <v>8.9</v>
      </c>
      <c r="E14" s="63" t="n">
        <v>15.16</v>
      </c>
      <c r="F14" s="63" t="n">
        <v>20.44</v>
      </c>
      <c r="G14" s="63" t="n">
        <v>21.15</v>
      </c>
      <c r="H14" s="63" t="n">
        <v>20.56</v>
      </c>
      <c r="I14" s="63" t="n">
        <v>18.28</v>
      </c>
      <c r="J14" s="64" t="n"/>
      <c r="K14" s="64" t="n"/>
      <c r="L14" s="64" t="n"/>
      <c r="M14" s="64" t="n"/>
      <c r="N14" s="64" t="n"/>
      <c r="O14" s="64" t="n"/>
    </row>
    <row r="15" ht="18" customHeight="1" s="54">
      <c r="B15" s="61" t="inlineStr">
        <is>
          <t>ECS</t>
        </is>
      </c>
      <c r="C15" s="62">
        <f>IFERROR(AVERAGE(D15,E15,F15,G15,H15,I15),"")</f>
        <v/>
      </c>
      <c r="D15" s="63" t="n">
        <v>5.76</v>
      </c>
      <c r="E15" s="63" t="n">
        <v>5.91</v>
      </c>
      <c r="F15" s="63" t="n">
        <v>9.91</v>
      </c>
      <c r="G15" s="63" t="n">
        <v>10.66</v>
      </c>
      <c r="H15" s="63" t="n">
        <v>12.59</v>
      </c>
      <c r="I15" s="63" t="n">
        <v>11.98</v>
      </c>
      <c r="J15" s="64" t="n"/>
      <c r="K15" s="64" t="n"/>
      <c r="L15" s="64" t="n"/>
      <c r="M15" s="64" t="n"/>
      <c r="N15" s="64" t="n"/>
      <c r="O15" s="64" t="n"/>
    </row>
    <row r="16" ht="18" customHeight="1" s="54">
      <c r="B16" s="61" t="inlineStr">
        <is>
          <t>S3</t>
        </is>
      </c>
      <c r="C16" s="62">
        <f>IFERROR(AVERAGE(D16,E16,F16,G16,H16,I16),"")</f>
        <v/>
      </c>
      <c r="D16" s="63" t="n">
        <v>2.17</v>
      </c>
      <c r="E16" s="63" t="n">
        <v>4.61</v>
      </c>
      <c r="F16" s="63" t="n">
        <v>6.99</v>
      </c>
      <c r="G16" s="63" t="n">
        <v>4.54</v>
      </c>
      <c r="H16" s="63" t="n">
        <v>4.52</v>
      </c>
      <c r="I16" s="63" t="n">
        <v>4.93</v>
      </c>
      <c r="J16" s="64" t="n"/>
      <c r="K16" s="64" t="n"/>
      <c r="L16" s="64" t="n"/>
      <c r="M16" s="64" t="n"/>
      <c r="N16" s="64" t="n"/>
      <c r="O16" s="64" t="n"/>
    </row>
    <row r="17" ht="18" customHeight="1" s="54">
      <c r="B17" s="61" t="inlineStr">
        <is>
          <t>KMS</t>
        </is>
      </c>
      <c r="C17" s="62">
        <f>IFERROR(AVERAGE(D17,E17,F17,G17,H17,I17),"")</f>
        <v/>
      </c>
      <c r="D17" s="63" t="n">
        <v>4</v>
      </c>
      <c r="E17" s="63" t="n">
        <v>4</v>
      </c>
      <c r="F17" s="63" t="n">
        <v>4</v>
      </c>
      <c r="G17" s="63" t="n">
        <v>4</v>
      </c>
      <c r="H17" s="63" t="n">
        <v>4</v>
      </c>
      <c r="I17" s="63" t="n">
        <v>4</v>
      </c>
      <c r="J17" s="64" t="n"/>
      <c r="K17" s="64" t="n"/>
      <c r="L17" s="64" t="n"/>
      <c r="M17" s="64" t="n"/>
      <c r="N17" s="64" t="n"/>
      <c r="O17" s="64" t="n"/>
    </row>
    <row r="18" ht="18" customHeight="1" s="54">
      <c r="B18" s="61" t="inlineStr">
        <is>
          <t>Secrets Manager</t>
        </is>
      </c>
      <c r="C18" s="62">
        <f>IFERROR(AVERAGE(D18,E18,F18,G18,H18,I18),"")</f>
        <v/>
      </c>
      <c r="D18" s="63" t="n">
        <v>2.87</v>
      </c>
      <c r="E18" s="63" t="n">
        <v>2.88</v>
      </c>
      <c r="F18" s="63" t="n">
        <v>2.93</v>
      </c>
      <c r="G18" s="63" t="n">
        <v>2.96</v>
      </c>
      <c r="H18" s="63" t="n">
        <v>3.01</v>
      </c>
      <c r="I18" s="63" t="n">
        <v>3</v>
      </c>
      <c r="J18" s="64" t="n"/>
      <c r="K18" s="64" t="n"/>
      <c r="L18" s="64" t="n"/>
      <c r="M18" s="64" t="n"/>
      <c r="N18" s="64" t="n"/>
      <c r="O18" s="64" t="n"/>
    </row>
    <row r="19" ht="18" customHeight="1" s="54">
      <c r="B19" s="61" t="inlineStr">
        <is>
          <t>CloudWatch</t>
        </is>
      </c>
      <c r="C19" s="62">
        <f>IFERROR(AVERAGE(D19,E19,F19,G19,H19,I19),"")</f>
        <v/>
      </c>
      <c r="D19" s="63" t="n">
        <v>1.79</v>
      </c>
      <c r="E19" s="63" t="n">
        <v>1.84</v>
      </c>
      <c r="F19" s="63" t="n">
        <v>2.56</v>
      </c>
      <c r="G19" s="63" t="n">
        <v>2.93</v>
      </c>
      <c r="H19" s="63" t="n">
        <v>2.88</v>
      </c>
      <c r="I19" s="63" t="n">
        <v>3.21</v>
      </c>
      <c r="J19" s="64" t="n"/>
      <c r="K19" s="64" t="n"/>
      <c r="L19" s="64" t="n"/>
      <c r="M19" s="64" t="n"/>
      <c r="N19" s="64" t="n"/>
      <c r="O19" s="64" t="n"/>
    </row>
    <row r="20" ht="18" customHeight="1" s="54">
      <c r="B20" s="61" t="inlineStr">
        <is>
          <t>Step Functions</t>
        </is>
      </c>
      <c r="C20" s="62">
        <f>IFERROR(AVERAGE(D20,E20,F20,G20,H20,I20),"")</f>
        <v/>
      </c>
      <c r="D20" s="63" t="n">
        <v>1.11</v>
      </c>
      <c r="E20" s="63" t="n">
        <v>1.27</v>
      </c>
      <c r="F20" s="63" t="n">
        <v>2.06</v>
      </c>
      <c r="G20" s="63" t="n">
        <v>2.29</v>
      </c>
      <c r="H20" s="63" t="n">
        <v>3.03</v>
      </c>
      <c r="I20" s="63" t="n">
        <v>2.88</v>
      </c>
      <c r="J20" s="64" t="n"/>
      <c r="K20" s="64" t="n"/>
      <c r="L20" s="64" t="n"/>
      <c r="M20" s="64" t="n"/>
      <c r="N20" s="64" t="n"/>
      <c r="O20" s="64" t="n"/>
    </row>
    <row r="21" ht="18" customHeight="1" s="54">
      <c r="B21" s="61" t="inlineStr">
        <is>
          <t>Systems Manager</t>
        </is>
      </c>
      <c r="C21" s="62">
        <f>IFERROR(AVERAGE(D21,E21,F21,G21,H21,I21),"")</f>
        <v/>
      </c>
      <c r="D21" s="63" t="n">
        <v>1.26</v>
      </c>
      <c r="E21" s="63" t="n">
        <v>1.58</v>
      </c>
      <c r="F21" s="63" t="n">
        <v>1.52</v>
      </c>
      <c r="G21" s="63" t="n">
        <v>1.58</v>
      </c>
      <c r="H21" s="63" t="n">
        <v>1.58</v>
      </c>
      <c r="I21" s="63" t="n">
        <v>1.43</v>
      </c>
      <c r="J21" s="64" t="n"/>
      <c r="K21" s="64" t="n"/>
      <c r="L21" s="64" t="n"/>
      <c r="M21" s="64" t="n"/>
      <c r="N21" s="64" t="n"/>
      <c r="O21" s="64" t="n"/>
    </row>
    <row r="22" ht="18" customHeight="1" s="54">
      <c r="B22" s="61" t="inlineStr">
        <is>
          <t>その他</t>
        </is>
      </c>
      <c r="C22" s="62">
        <f>IFERROR(AVERAGE(D22,E22,F22,G22,H22,I22),"")</f>
        <v/>
      </c>
      <c r="D22" s="63" t="n">
        <v>3.76</v>
      </c>
      <c r="E22" s="63" t="n">
        <v>6.75</v>
      </c>
      <c r="F22" s="63" t="n">
        <v>7.38</v>
      </c>
      <c r="G22" s="63" t="n">
        <v>11.61</v>
      </c>
      <c r="H22" s="63" t="n">
        <v>11.61</v>
      </c>
      <c r="I22" s="63" t="n">
        <v>10.42</v>
      </c>
      <c r="J22" s="64" t="n"/>
      <c r="K22" s="64" t="n"/>
      <c r="L22" s="64" t="n"/>
      <c r="M22" s="64" t="n"/>
      <c r="N22" s="64" t="n"/>
      <c r="O22" s="64" t="n"/>
    </row>
    <row r="23" ht="20" customHeight="1" s="54">
      <c r="B23" s="65" t="inlineStr">
        <is>
          <t>サービス小計</t>
        </is>
      </c>
      <c r="C23" s="66">
        <f>IFERROR(SUM(C6:C22),"")</f>
        <v/>
      </c>
      <c r="D23" s="67">
        <f>IFERROR(SUM(D6:D22),"")</f>
        <v/>
      </c>
      <c r="E23" s="67">
        <f>IFERROR(SUM(E6:E22),"")</f>
        <v/>
      </c>
      <c r="F23" s="67">
        <f>IFERROR(SUM(F6:F22),"")</f>
        <v/>
      </c>
      <c r="G23" s="67">
        <f>IFERROR(SUM(G6:G22),"")</f>
        <v/>
      </c>
      <c r="H23" s="67">
        <f>IFERROR(SUM(H6:H22),"")</f>
        <v/>
      </c>
      <c r="I23" s="67">
        <f>IFERROR(SUM(I6:I22),"")</f>
        <v/>
      </c>
      <c r="J23" s="67">
        <f>IFERROR(SUM(J6:J22),"")</f>
        <v/>
      </c>
      <c r="K23" s="67">
        <f>IFERROR(SUM(K6:K22),"")</f>
        <v/>
      </c>
      <c r="L23" s="67">
        <f>IFERROR(SUM(L6:L22),"")</f>
        <v/>
      </c>
      <c r="M23" s="67">
        <f>IFERROR(SUM(M6:M22),"")</f>
        <v/>
      </c>
      <c r="N23" s="67">
        <f>IFERROR(SUM(N6:N22),"")</f>
        <v/>
      </c>
      <c r="O23" s="67">
        <f>IFERROR(SUM(O6:O22),"")</f>
        <v/>
      </c>
    </row>
    <row r="24" ht="18" customHeight="1" s="54">
      <c r="B24" s="68" t="inlineStr">
        <is>
          <t>Tax</t>
        </is>
      </c>
      <c r="C24" s="62">
        <f>IFERROR(AVERAGE(D24,E24,F24,G24,H24,I24),"")</f>
        <v/>
      </c>
      <c r="D24" s="63" t="n">
        <v>301.49</v>
      </c>
      <c r="E24" s="63" t="n">
        <v>314.18</v>
      </c>
      <c r="F24" s="63" t="n">
        <v>318.09</v>
      </c>
      <c r="G24" s="63" t="n">
        <v>355.29</v>
      </c>
      <c r="H24" s="63" t="n">
        <v>356.08</v>
      </c>
      <c r="I24" s="63" t="n">
        <v>326.08</v>
      </c>
      <c r="J24" s="69" t="n"/>
      <c r="K24" s="69" t="n"/>
      <c r="L24" s="69" t="n"/>
      <c r="M24" s="69" t="n"/>
      <c r="N24" s="69" t="n"/>
      <c r="O24" s="69" t="n"/>
    </row>
    <row r="25" ht="22" customHeight="1" s="54">
      <c r="B25" s="70" t="inlineStr">
        <is>
          <t>合計（税込）</t>
        </is>
      </c>
      <c r="C25" s="71">
        <f>IFERROR(C23+C24,"")</f>
        <v/>
      </c>
      <c r="D25" s="71">
        <f>IFERROR(D23+D24,"")</f>
        <v/>
      </c>
      <c r="E25" s="71">
        <f>IFERROR(E23+E24,"")</f>
        <v/>
      </c>
      <c r="F25" s="71">
        <f>IFERROR(F23+F24,"")</f>
        <v/>
      </c>
      <c r="G25" s="71">
        <f>IFERROR(G23+G24,"")</f>
        <v/>
      </c>
      <c r="H25" s="71">
        <f>IFERROR(H23+H24,"")</f>
        <v/>
      </c>
      <c r="I25" s="71">
        <f>IFERROR(I23+I24,"")</f>
        <v/>
      </c>
      <c r="J25" s="71">
        <f>IFERROR(J23+J24,"")</f>
        <v/>
      </c>
      <c r="K25" s="71">
        <f>IFERROR(K23+K24,"")</f>
        <v/>
      </c>
      <c r="L25" s="71">
        <f>IFERROR(L23+L24,"")</f>
        <v/>
      </c>
      <c r="M25" s="71">
        <f>IFERROR(M23+M24,"")</f>
        <v/>
      </c>
      <c r="N25" s="71">
        <f>IFERROR(N23+N24,"")</f>
        <v/>
      </c>
      <c r="O25" s="71">
        <f>IFERROR(O23+O24,"")</f>
        <v/>
      </c>
    </row>
    <row r="26" ht="16" customHeight="1" s="54">
      <c r="B26" s="72" t="inlineStr">
        <is>
          <t>前月比 ($)</t>
        </is>
      </c>
      <c r="C26" s="73" t="n"/>
      <c r="D26" s="74" t="inlineStr">
        <is>
          <t>-</t>
        </is>
      </c>
      <c r="E26" s="74">
        <f>IFERROR(E25-D25,"")</f>
        <v/>
      </c>
      <c r="F26" s="74">
        <f>IFERROR(F25-E25,"")</f>
        <v/>
      </c>
      <c r="G26" s="74">
        <f>IFERROR(G25-F25,"")</f>
        <v/>
      </c>
      <c r="H26" s="74">
        <f>IFERROR(H25-G25,"")</f>
        <v/>
      </c>
      <c r="I26" s="74">
        <f>IFERROR(I25-H25,"")</f>
        <v/>
      </c>
      <c r="J26" s="74">
        <f>IFERROR(J25-I25,"")</f>
        <v/>
      </c>
      <c r="K26" s="74">
        <f>IFERROR(K25-J25,"")</f>
        <v/>
      </c>
      <c r="L26" s="74">
        <f>IFERROR(L25-K25,"")</f>
        <v/>
      </c>
      <c r="M26" s="74">
        <f>IFERROR(M25-L25,"")</f>
        <v/>
      </c>
      <c r="N26" s="74">
        <f>IFERROR(N25-M25,"")</f>
        <v/>
      </c>
      <c r="O26" s="74">
        <f>IFERROR(O25-N25,"")</f>
        <v/>
      </c>
    </row>
    <row r="27" ht="16" customHeight="1" s="54">
      <c r="B27" s="72" t="inlineStr">
        <is>
          <t>前月比 (%)</t>
        </is>
      </c>
      <c r="C27" s="73" t="n"/>
      <c r="D27" s="75" t="inlineStr">
        <is>
          <t>-</t>
        </is>
      </c>
      <c r="E27" s="76">
        <f>IFERROR((E25-D25)/D25,"")</f>
        <v/>
      </c>
      <c r="F27" s="76">
        <f>IFERROR((F25-E25)/E25,"")</f>
        <v/>
      </c>
      <c r="G27" s="76">
        <f>IFERROR((G25-F25)/F25,"")</f>
        <v/>
      </c>
      <c r="H27" s="76">
        <f>IFERROR((H25-G25)/G25,"")</f>
        <v/>
      </c>
      <c r="I27" s="76">
        <f>IFERROR((I25-H25)/H25,"")</f>
        <v/>
      </c>
      <c r="J27" s="76">
        <f>IFERROR((J25-I25)/I25,"")</f>
        <v/>
      </c>
      <c r="K27" s="76">
        <f>IFERROR((K25-J25)/J25,"")</f>
        <v/>
      </c>
      <c r="L27" s="76">
        <f>IFERROR((L25-K25)/K25,"")</f>
        <v/>
      </c>
      <c r="M27" s="76">
        <f>IFERROR((M25-L25)/L25,"")</f>
        <v/>
      </c>
      <c r="N27" s="76">
        <f>IFERROR((N25-M25)/M25,"")</f>
        <v/>
      </c>
      <c r="O27" s="76">
        <f>IFERROR((O25-N25)/N25,"")</f>
        <v/>
      </c>
    </row>
    <row r="28" ht="16" customHeight="1" s="54">
      <c r="B28" s="72" t="inlineStr">
        <is>
          <t>RDS比率</t>
        </is>
      </c>
      <c r="C28" s="73" t="n"/>
      <c r="D28" s="74">
        <f>IFERROR(D6/D25,"")</f>
        <v/>
      </c>
      <c r="E28" s="74">
        <f>IFERROR(E6/E25,"")</f>
        <v/>
      </c>
      <c r="F28" s="74">
        <f>IFERROR(F6/F25,"")</f>
        <v/>
      </c>
      <c r="G28" s="74">
        <f>IFERROR(G6/G25,"")</f>
        <v/>
      </c>
      <c r="H28" s="74">
        <f>IFERROR(H6/H25,"")</f>
        <v/>
      </c>
      <c r="I28" s="74">
        <f>IFERROR(I6/I25,"")</f>
        <v/>
      </c>
      <c r="J28" s="74">
        <f>IFERROR(J6/J25,"")</f>
        <v/>
      </c>
      <c r="K28" s="74">
        <f>IFERROR(K6/K25,"")</f>
        <v/>
      </c>
      <c r="L28" s="74">
        <f>IFERROR(L6/L25,"")</f>
        <v/>
      </c>
      <c r="M28" s="74">
        <f>IFERROR(M6/M25,"")</f>
        <v/>
      </c>
      <c r="N28" s="74">
        <f>IFERROR(N6/N25,"")</f>
        <v/>
      </c>
      <c r="O28" s="74">
        <f>IFERROR(O6/O25,"")</f>
        <v/>
      </c>
    </row>
    <row r="29" ht="16" customHeight="1" s="54">
      <c r="B29" s="72" t="inlineStr">
        <is>
          <t>閾値チェック</t>
        </is>
      </c>
      <c r="C29" s="73" t="n"/>
      <c r="D29" s="77">
        <f>IFERROR(IF(D25&gt;2500,"⚠ 超過","✓ 正常"),"")</f>
        <v/>
      </c>
      <c r="E29" s="77">
        <f>IFERROR(IF(E25&gt;2500,"⚠ 超過","✓ 正常"),"")</f>
        <v/>
      </c>
      <c r="F29" s="77">
        <f>IFERROR(IF(F25&gt;2500,"⚠ 超過","✓ 正常"),"")</f>
        <v/>
      </c>
      <c r="G29" s="77">
        <f>IFERROR(IF(G25&gt;2500,"⚠ 超過","✓ 正常"),"")</f>
        <v/>
      </c>
      <c r="H29" s="77">
        <f>IFERROR(IF(H25&gt;2500,"⚠ 超過","✓ 正常"),"")</f>
        <v/>
      </c>
      <c r="I29" s="77">
        <f>IFERROR(IF(I25&gt;2500,"⚠ 超過","✓ 正常"),"")</f>
        <v/>
      </c>
      <c r="J29" s="77">
        <f>IFERROR(IF(J25&gt;2500,"⚠ 超過","✓ 正常"),"")</f>
        <v/>
      </c>
      <c r="K29" s="77">
        <f>IFERROR(IF(K25&gt;2500,"⚠ 超過","✓ 正常"),"")</f>
        <v/>
      </c>
      <c r="L29" s="77">
        <f>IFERROR(IF(L25&gt;2500,"⚠ 超過","✓ 正常"),"")</f>
        <v/>
      </c>
      <c r="M29" s="77">
        <f>IFERROR(IF(M25&gt;2500,"⚠ 超過","✓ 正常"),"")</f>
        <v/>
      </c>
      <c r="N29" s="77">
        <f>IFERROR(IF(N25&gt;2500,"⚠ 超過","✓ 正常"),"")</f>
        <v/>
      </c>
      <c r="O29" s="77">
        <f>IFERROR(IF(O25&gt;2500,"⚠ 超過","✓ 正常"),"")</f>
        <v/>
      </c>
    </row>
  </sheetData>
  <mergeCells count="2">
    <mergeCell ref="B3:O3"/>
    <mergeCell ref="B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AX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78" min="1" max="1"/>
    <col width="26" customWidth="1" style="78" min="2" max="2"/>
    <col width="9" customWidth="1" style="78" min="3" max="3"/>
    <col width="10.51" customWidth="1" style="78" min="4" max="15"/>
    <col width="11" customWidth="1" style="78" min="42" max="50"/>
  </cols>
  <sheetData>
    <row r="1" ht="7.5" customHeight="1" s="54">
      <c r="AP1" s="79" t="inlineStr">
        <is>
          <t>月</t>
        </is>
      </c>
      <c r="AQ1" s="79" t="inlineStr">
        <is>
          <t>合計（税込）</t>
        </is>
      </c>
      <c r="AR1" s="79" t="inlineStr">
        <is>
          <t>サービス小計</t>
        </is>
      </c>
      <c r="AS1" s="80" t="inlineStr">
        <is>
          <t>Tax</t>
        </is>
      </c>
      <c r="AT1" s="80" t="inlineStr">
        <is>
          <t>RDS</t>
        </is>
      </c>
      <c r="AU1" s="80" t="inlineStr">
        <is>
          <t>TF</t>
        </is>
      </c>
      <c r="AV1" s="80" t="inlineStr">
        <is>
          <t>EC2</t>
        </is>
      </c>
      <c r="AW1" s="80" t="inlineStr">
        <is>
          <t>VPC</t>
        </is>
      </c>
      <c r="AX1" s="80" t="inlineStr">
        <is>
          <t>EC2その他</t>
        </is>
      </c>
    </row>
    <row r="2" ht="36" customHeight="1" s="54">
      <c r="B2" s="81" t="inlineStr">
        <is>
          <t>カスミPOS  AWS コスト推移表</t>
        </is>
      </c>
      <c r="AP2" s="78" t="inlineStr">
        <is>
          <t>2025/09</t>
        </is>
      </c>
      <c r="AQ2" s="82" t="n">
        <v>3316.36</v>
      </c>
      <c r="AR2" s="82" t="n">
        <v>3014.87</v>
      </c>
      <c r="AS2" s="82" t="n">
        <v>301.49</v>
      </c>
      <c r="AT2" s="82" t="n">
        <v>2204.35</v>
      </c>
      <c r="AU2" s="82" t="n">
        <v>432.08</v>
      </c>
      <c r="AV2" s="82" t="n">
        <v>133.31</v>
      </c>
      <c r="AW2" s="82" t="n">
        <v>128.02</v>
      </c>
      <c r="AX2" s="82" t="n">
        <v>46.32</v>
      </c>
    </row>
    <row r="3" ht="13.5" customHeight="1" s="54">
      <c r="B3" s="83" t="inlineStr">
        <is>
          <t>単位: USD ($)　　■ 網掛け = 実績　　□ 黄地 = 未入力（monthly_cost_check.sh 実行後に転記）</t>
        </is>
      </c>
      <c r="AP3" s="78" t="inlineStr">
        <is>
          <t>2025/10</t>
        </is>
      </c>
      <c r="AQ3" s="82" t="n">
        <v>3455.32</v>
      </c>
      <c r="AR3" s="82" t="n">
        <v>3141.14</v>
      </c>
      <c r="AS3" s="82" t="n">
        <v>314.18</v>
      </c>
      <c r="AT3" s="82" t="n">
        <v>2277.51</v>
      </c>
      <c r="AU3" s="82" t="n">
        <v>446.48</v>
      </c>
      <c r="AV3" s="82" t="n">
        <v>161.89</v>
      </c>
      <c r="AW3" s="82" t="n">
        <v>132.41</v>
      </c>
      <c r="AX3" s="82" t="n">
        <v>47.8</v>
      </c>
    </row>
    <row r="4" ht="21.75" customHeight="1" s="54">
      <c r="B4" s="84" t="inlineStr">
        <is>
          <t>サービス</t>
        </is>
      </c>
      <c r="C4" s="85" t="inlineStr">
        <is>
          <t>6ヶ月平均</t>
        </is>
      </c>
      <c r="D4" s="85" t="inlineStr">
        <is>
          <t>2025/09</t>
        </is>
      </c>
      <c r="E4" s="85" t="inlineStr">
        <is>
          <t>2025/10</t>
        </is>
      </c>
      <c r="F4" s="85" t="inlineStr">
        <is>
          <t>2025/11</t>
        </is>
      </c>
      <c r="G4" s="85" t="inlineStr">
        <is>
          <t>2025/12</t>
        </is>
      </c>
      <c r="H4" s="85" t="inlineStr">
        <is>
          <t>2026/01</t>
        </is>
      </c>
      <c r="I4" s="85" t="inlineStr">
        <is>
          <t>2026/02</t>
        </is>
      </c>
      <c r="J4" s="86" t="inlineStr">
        <is>
          <t>2026/03</t>
        </is>
      </c>
      <c r="K4" s="86" t="inlineStr">
        <is>
          <t>2026/04</t>
        </is>
      </c>
      <c r="L4" s="86" t="inlineStr">
        <is>
          <t>2026/05</t>
        </is>
      </c>
      <c r="M4" s="86" t="inlineStr">
        <is>
          <t>2026/06</t>
        </is>
      </c>
      <c r="N4" s="86" t="inlineStr">
        <is>
          <t>2026/07</t>
        </is>
      </c>
      <c r="O4" s="86" t="inlineStr">
        <is>
          <t>2026/08</t>
        </is>
      </c>
      <c r="AP4" s="78" t="inlineStr">
        <is>
          <t>2025/11</t>
        </is>
      </c>
      <c r="AQ4" s="82" t="n">
        <v>3483.88</v>
      </c>
      <c r="AR4" s="82" t="n">
        <v>3165.79</v>
      </c>
      <c r="AS4" s="82" t="n">
        <v>318.09</v>
      </c>
      <c r="AT4" s="82" t="n">
        <v>2204.53</v>
      </c>
      <c r="AU4" s="82" t="n">
        <v>501.42</v>
      </c>
      <c r="AV4" s="82" t="n">
        <v>173.09</v>
      </c>
      <c r="AW4" s="82" t="n">
        <v>128.02</v>
      </c>
      <c r="AX4" s="82" t="n">
        <v>48.21</v>
      </c>
    </row>
    <row r="5" ht="12.75" customHeight="1" s="54">
      <c r="B5" s="87" t="n"/>
      <c r="C5" s="87" t="n"/>
      <c r="D5" s="88" t="inlineStr">
        <is>
          <t>実績</t>
        </is>
      </c>
      <c r="E5" s="88" t="inlineStr">
        <is>
          <t>実績</t>
        </is>
      </c>
      <c r="F5" s="88" t="inlineStr">
        <is>
          <t>実績</t>
        </is>
      </c>
      <c r="G5" s="88" t="inlineStr">
        <is>
          <t>実績</t>
        </is>
      </c>
      <c r="H5" s="88" t="inlineStr">
        <is>
          <t>実績</t>
        </is>
      </c>
      <c r="I5" s="88" t="inlineStr">
        <is>
          <t>実績</t>
        </is>
      </c>
      <c r="J5" s="89" t="inlineStr">
        <is>
          <t>▼入力</t>
        </is>
      </c>
      <c r="K5" s="89" t="inlineStr">
        <is>
          <t>▼入力</t>
        </is>
      </c>
      <c r="L5" s="89" t="inlineStr">
        <is>
          <t>▼入力</t>
        </is>
      </c>
      <c r="M5" s="89" t="inlineStr">
        <is>
          <t>▼入力</t>
        </is>
      </c>
      <c r="N5" s="89" t="inlineStr">
        <is>
          <t>▼入力</t>
        </is>
      </c>
      <c r="O5" s="89" t="inlineStr">
        <is>
          <t>▼入力</t>
        </is>
      </c>
      <c r="P5" s="87" t="n"/>
      <c r="AP5" s="78" t="inlineStr">
        <is>
          <t>2025/12</t>
        </is>
      </c>
      <c r="AQ5" s="82" t="n">
        <v>3904.08</v>
      </c>
      <c r="AR5" s="82" t="n">
        <v>3548.79</v>
      </c>
      <c r="AS5" s="82" t="n">
        <v>355.29</v>
      </c>
      <c r="AT5" s="82" t="n">
        <v>2277.99</v>
      </c>
      <c r="AU5" s="82" t="n">
        <v>669.67</v>
      </c>
      <c r="AV5" s="82" t="n">
        <v>273.17</v>
      </c>
      <c r="AW5" s="82" t="n">
        <v>132.41</v>
      </c>
      <c r="AX5" s="82" t="n">
        <v>59.88</v>
      </c>
    </row>
    <row r="6" ht="15.75" customHeight="1" s="54">
      <c r="B6" s="90" t="inlineStr">
        <is>
          <t>RDS (Aurora MySQL)</t>
        </is>
      </c>
      <c r="C6" s="91">
        <f>IFERROR(AVERAGE(D6,E6,F6,G6,H6,I6),"")</f>
        <v/>
      </c>
      <c r="D6" s="92" t="n">
        <v>2204.35</v>
      </c>
      <c r="E6" s="92" t="n">
        <v>2277.51</v>
      </c>
      <c r="F6" s="92" t="n">
        <v>2204.53</v>
      </c>
      <c r="G6" s="92" t="n">
        <v>2277.99</v>
      </c>
      <c r="H6" s="92" t="n">
        <v>2280.3</v>
      </c>
      <c r="I6" s="92" t="n">
        <v>2061.07</v>
      </c>
      <c r="J6" s="93" t="n"/>
      <c r="K6" s="93" t="n"/>
      <c r="L6" s="93" t="n"/>
      <c r="M6" s="93" t="n"/>
      <c r="N6" s="93" t="n"/>
      <c r="O6" s="93" t="n"/>
      <c r="AP6" s="78" t="inlineStr">
        <is>
          <t>2026/01</t>
        </is>
      </c>
      <c r="AQ6" s="82" t="n">
        <v>3910.71</v>
      </c>
      <c r="AR6" s="82" t="n">
        <v>3554.63</v>
      </c>
      <c r="AS6" s="82" t="n">
        <v>356.08</v>
      </c>
      <c r="AT6" s="82" t="n">
        <v>2280.3</v>
      </c>
      <c r="AU6" s="82" t="n">
        <v>669.71</v>
      </c>
      <c r="AV6" s="82" t="n">
        <v>272.97</v>
      </c>
      <c r="AW6" s="82" t="n">
        <v>130.21</v>
      </c>
      <c r="AX6" s="82" t="n">
        <v>60.79</v>
      </c>
    </row>
    <row r="7" ht="15.75" customHeight="1" s="54">
      <c r="B7" s="94" t="inlineStr">
        <is>
          <t>Transfer Family</t>
        </is>
      </c>
      <c r="C7" s="91">
        <f>IFERROR(AVERAGE(D7,E7,F7,G7,H7,I7),"")</f>
        <v/>
      </c>
      <c r="D7" s="92" t="n">
        <v>432.08</v>
      </c>
      <c r="E7" s="92" t="n">
        <v>446.48</v>
      </c>
      <c r="F7" s="92" t="n">
        <v>501.42</v>
      </c>
      <c r="G7" s="92" t="n">
        <v>669.67</v>
      </c>
      <c r="H7" s="92" t="n">
        <v>669.71</v>
      </c>
      <c r="I7" s="92" t="n">
        <v>604.95</v>
      </c>
      <c r="J7" s="93" t="n"/>
      <c r="K7" s="93" t="n"/>
      <c r="L7" s="93" t="n"/>
      <c r="M7" s="93" t="n"/>
      <c r="N7" s="93" t="n"/>
      <c r="O7" s="93" t="n"/>
      <c r="AP7" s="78" t="inlineStr">
        <is>
          <t>2026/02</t>
        </is>
      </c>
      <c r="AQ7" s="82" t="n">
        <v>3586.79</v>
      </c>
      <c r="AR7" s="82" t="n">
        <v>3260.71</v>
      </c>
      <c r="AS7" s="82" t="n">
        <v>326.08</v>
      </c>
      <c r="AT7" s="82" t="n">
        <v>2061.07</v>
      </c>
      <c r="AU7" s="82" t="n">
        <v>604.95</v>
      </c>
      <c r="AV7" s="82" t="n">
        <v>246.69</v>
      </c>
      <c r="AW7" s="82" t="n">
        <v>151.66</v>
      </c>
      <c r="AX7" s="82" t="n">
        <v>56.16</v>
      </c>
    </row>
    <row r="8" ht="15.75" customHeight="1" s="54">
      <c r="B8" s="94" t="inlineStr">
        <is>
          <t>EC2 インスタンス</t>
        </is>
      </c>
      <c r="C8" s="91">
        <f>IFERROR(AVERAGE(D8,E8,F8,G8,H8,I8),"")</f>
        <v/>
      </c>
      <c r="D8" s="92" t="n">
        <v>133.31</v>
      </c>
      <c r="E8" s="92" t="n">
        <v>161.89</v>
      </c>
      <c r="F8" s="92" t="n">
        <v>173.09</v>
      </c>
      <c r="G8" s="92" t="n">
        <v>273.17</v>
      </c>
      <c r="H8" s="92" t="n">
        <v>272.97</v>
      </c>
      <c r="I8" s="92" t="n">
        <v>246.69</v>
      </c>
      <c r="J8" s="93" t="n"/>
      <c r="K8" s="93" t="n"/>
      <c r="L8" s="93" t="n"/>
      <c r="M8" s="93" t="n"/>
      <c r="N8" s="93" t="n"/>
      <c r="O8" s="93" t="n"/>
    </row>
    <row r="9" ht="15.75" customHeight="1" s="54">
      <c r="B9" s="94" t="inlineStr">
        <is>
          <t>VPC (NAT Gateway等)</t>
        </is>
      </c>
      <c r="C9" s="91">
        <f>IFERROR(AVERAGE(D9,E9,F9,G9,H9,I9),"")</f>
        <v/>
      </c>
      <c r="D9" s="92" t="n">
        <v>128.02</v>
      </c>
      <c r="E9" s="92" t="n">
        <v>132.41</v>
      </c>
      <c r="F9" s="92" t="n">
        <v>128.02</v>
      </c>
      <c r="G9" s="92" t="n">
        <v>132.41</v>
      </c>
      <c r="H9" s="92" t="n">
        <v>130.21</v>
      </c>
      <c r="I9" s="92" t="n">
        <v>151.66</v>
      </c>
      <c r="J9" s="93" t="n"/>
      <c r="K9" s="93" t="n"/>
      <c r="L9" s="93" t="n"/>
      <c r="M9" s="93" t="n"/>
      <c r="N9" s="93" t="n"/>
      <c r="O9" s="93" t="n"/>
    </row>
    <row r="10" ht="15.75" customHeight="1" s="54">
      <c r="B10" s="94" t="inlineStr">
        <is>
          <t>EC2 その他</t>
        </is>
      </c>
      <c r="C10" s="91">
        <f>IFERROR(AVERAGE(D10,E10,F10,G10,H10,I10),"")</f>
        <v/>
      </c>
      <c r="D10" s="92" t="n">
        <v>46.32</v>
      </c>
      <c r="E10" s="92" t="n">
        <v>47.8</v>
      </c>
      <c r="F10" s="92" t="n">
        <v>48.21</v>
      </c>
      <c r="G10" s="92" t="n">
        <v>59.88</v>
      </c>
      <c r="H10" s="92" t="n">
        <v>60.79</v>
      </c>
      <c r="I10" s="92" t="n">
        <v>56.16</v>
      </c>
      <c r="J10" s="93" t="n"/>
      <c r="K10" s="93" t="n"/>
      <c r="L10" s="93" t="n"/>
      <c r="M10" s="93" t="n"/>
      <c r="N10" s="93" t="n"/>
      <c r="O10" s="93" t="n"/>
    </row>
    <row r="11" ht="15.75" customHeight="1" s="54">
      <c r="B11" s="94" t="inlineStr">
        <is>
          <t>Config</t>
        </is>
      </c>
      <c r="C11" s="91">
        <f>IFERROR(AVERAGE(D11,E11,F11,G11,H11,I11),"")</f>
        <v/>
      </c>
      <c r="D11" s="92" t="n">
        <v>23.58</v>
      </c>
      <c r="E11" s="92" t="n">
        <v>12.31</v>
      </c>
      <c r="F11" s="92" t="n">
        <v>20.84</v>
      </c>
      <c r="G11" s="92" t="n">
        <v>27.49</v>
      </c>
      <c r="H11" s="92" t="n">
        <v>31.87</v>
      </c>
      <c r="I11" s="92" t="n">
        <v>30.22</v>
      </c>
      <c r="J11" s="93" t="n"/>
      <c r="K11" s="93" t="n"/>
      <c r="L11" s="93" t="n"/>
      <c r="M11" s="93" t="n"/>
      <c r="N11" s="93" t="n"/>
      <c r="O11" s="93" t="n"/>
    </row>
    <row r="12" ht="15.75" customHeight="1" s="54">
      <c r="B12" s="94" t="inlineStr">
        <is>
          <t>GuardDuty</t>
        </is>
      </c>
      <c r="C12" s="91">
        <f>IFERROR(AVERAGE(D12,E12,F12,G12,H12,I12),"")</f>
        <v/>
      </c>
      <c r="D12" s="92" t="n">
        <v>0</v>
      </c>
      <c r="E12" s="92" t="n">
        <v>4.55</v>
      </c>
      <c r="F12" s="92" t="n">
        <v>29.87</v>
      </c>
      <c r="G12" s="92" t="n">
        <v>30.86</v>
      </c>
      <c r="H12" s="92" t="n">
        <v>30.66</v>
      </c>
      <c r="I12" s="92" t="n">
        <v>30.58</v>
      </c>
      <c r="J12" s="93" t="n"/>
      <c r="K12" s="93" t="n"/>
      <c r="L12" s="93" t="n"/>
      <c r="M12" s="93" t="n"/>
      <c r="N12" s="93" t="n"/>
      <c r="O12" s="93" t="n"/>
    </row>
    <row r="13" ht="15.75" customHeight="1" s="54">
      <c r="B13" s="94" t="inlineStr">
        <is>
          <t>Security Hub</t>
        </is>
      </c>
      <c r="C13" s="91">
        <f>IFERROR(AVERAGE(D13,E13,F13,G13,H13,I13),"")</f>
        <v/>
      </c>
      <c r="D13" s="92" t="n">
        <v>15.36</v>
      </c>
      <c r="E13" s="92" t="n">
        <v>14.68</v>
      </c>
      <c r="F13" s="92" t="n">
        <v>17.01</v>
      </c>
      <c r="G13" s="92" t="n">
        <v>19.84</v>
      </c>
      <c r="H13" s="92" t="n">
        <v>20.64</v>
      </c>
      <c r="I13" s="92" t="n">
        <v>19.24</v>
      </c>
      <c r="J13" s="93" t="n"/>
      <c r="K13" s="93" t="n"/>
      <c r="L13" s="93" t="n"/>
      <c r="M13" s="93" t="n"/>
      <c r="N13" s="93" t="n"/>
      <c r="O13" s="93" t="n"/>
    </row>
    <row r="14" ht="15.75" customHeight="1" s="54">
      <c r="B14" s="94" t="inlineStr">
        <is>
          <t>Inspector</t>
        </is>
      </c>
      <c r="C14" s="91">
        <f>IFERROR(AVERAGE(D14,E14,F14,G14,H14,I14),"")</f>
        <v/>
      </c>
      <c r="D14" s="92" t="n">
        <v>8.9</v>
      </c>
      <c r="E14" s="92" t="n">
        <v>15.16</v>
      </c>
      <c r="F14" s="92" t="n">
        <v>9.91</v>
      </c>
      <c r="G14" s="92" t="n">
        <v>21.15</v>
      </c>
      <c r="H14" s="92" t="n">
        <v>20.56</v>
      </c>
      <c r="I14" s="92" t="n">
        <v>18.28</v>
      </c>
      <c r="J14" s="93" t="n"/>
      <c r="K14" s="93" t="n"/>
      <c r="L14" s="93" t="n"/>
      <c r="M14" s="93" t="n"/>
      <c r="N14" s="93" t="n"/>
      <c r="O14" s="93" t="n"/>
    </row>
    <row r="15" ht="15.75" customHeight="1" s="54">
      <c r="B15" s="94" t="inlineStr">
        <is>
          <t>ECS</t>
        </is>
      </c>
      <c r="C15" s="91">
        <f>IFERROR(AVERAGE(D15,E15,F15,G15,H15,I15),"")</f>
        <v/>
      </c>
      <c r="D15" s="92" t="n">
        <v>2.8</v>
      </c>
      <c r="E15" s="92" t="n">
        <v>5.8</v>
      </c>
      <c r="F15" s="92" t="n">
        <v>6.4</v>
      </c>
      <c r="G15" s="92" t="n">
        <v>10.6</v>
      </c>
      <c r="H15" s="92" t="n">
        <v>10.6</v>
      </c>
      <c r="I15" s="92" t="n">
        <v>9.4</v>
      </c>
      <c r="J15" s="93" t="n"/>
      <c r="K15" s="93" t="n"/>
      <c r="L15" s="93" t="n"/>
      <c r="M15" s="93" t="n"/>
      <c r="N15" s="93" t="n"/>
      <c r="O15" s="93" t="n"/>
    </row>
    <row r="16" ht="15.75" customHeight="1" s="54">
      <c r="B16" s="94" t="inlineStr">
        <is>
          <t>S3</t>
        </is>
      </c>
      <c r="C16" s="91">
        <f>IFERROR(AVERAGE(D16,E16,F16,G16,H16,I16),"")</f>
        <v/>
      </c>
      <c r="D16" s="92" t="n">
        <v>2.17</v>
      </c>
      <c r="E16" s="92" t="n">
        <v>4.61</v>
      </c>
      <c r="F16" s="92" t="n">
        <v>6.99</v>
      </c>
      <c r="G16" s="92" t="n">
        <v>4.54</v>
      </c>
      <c r="H16" s="92" t="n">
        <v>4.52</v>
      </c>
      <c r="I16" s="92" t="n">
        <v>4.93</v>
      </c>
      <c r="J16" s="93" t="n"/>
      <c r="K16" s="93" t="n"/>
      <c r="L16" s="93" t="n"/>
      <c r="M16" s="93" t="n"/>
      <c r="N16" s="93" t="n"/>
      <c r="O16" s="93" t="n"/>
    </row>
    <row r="17" ht="15.75" customHeight="1" s="54">
      <c r="B17" s="94" t="inlineStr">
        <is>
          <t>KMS</t>
        </is>
      </c>
      <c r="C17" s="91">
        <f>IFERROR(AVERAGE(D17,E17,F17,G17,H17,I17),"")</f>
        <v/>
      </c>
      <c r="D17" s="92" t="n">
        <v>4</v>
      </c>
      <c r="E17" s="92" t="n">
        <v>4</v>
      </c>
      <c r="F17" s="92" t="n">
        <v>4</v>
      </c>
      <c r="G17" s="92" t="n">
        <v>4</v>
      </c>
      <c r="H17" s="92" t="n">
        <v>4</v>
      </c>
      <c r="I17" s="92" t="n">
        <v>4</v>
      </c>
      <c r="J17" s="93" t="n"/>
      <c r="K17" s="93" t="n"/>
      <c r="L17" s="93" t="n"/>
      <c r="M17" s="93" t="n"/>
      <c r="N17" s="93" t="n"/>
      <c r="O17" s="93" t="n"/>
    </row>
    <row r="18" ht="15.75" customHeight="1" s="54">
      <c r="B18" s="94" t="inlineStr">
        <is>
          <t>Secrets Manager</t>
        </is>
      </c>
      <c r="C18" s="91">
        <f>IFERROR(AVERAGE(D18,E18,F18,G18,H18,I18),"")</f>
        <v/>
      </c>
      <c r="D18" s="92" t="n">
        <v>2.87</v>
      </c>
      <c r="E18" s="92" t="n">
        <v>2.88</v>
      </c>
      <c r="F18" s="92" t="n">
        <v>2.93</v>
      </c>
      <c r="G18" s="92" t="n">
        <v>2.96</v>
      </c>
      <c r="H18" s="92" t="n">
        <v>3.01</v>
      </c>
      <c r="I18" s="92" t="n">
        <v>2.99</v>
      </c>
      <c r="J18" s="93" t="n"/>
      <c r="K18" s="93" t="n"/>
      <c r="L18" s="93" t="n"/>
      <c r="M18" s="93" t="n"/>
      <c r="N18" s="93" t="n"/>
      <c r="O18" s="93" t="n"/>
    </row>
    <row r="19" ht="15.75" customHeight="1" s="54">
      <c r="B19" s="94" t="inlineStr">
        <is>
          <t>CloudWatch</t>
        </is>
      </c>
      <c r="C19" s="91">
        <f>IFERROR(AVERAGE(D19,E19,F19,G19,H19,I19),"")</f>
        <v/>
      </c>
      <c r="D19" s="92" t="n">
        <v>1.79</v>
      </c>
      <c r="E19" s="92" t="n">
        <v>1.84</v>
      </c>
      <c r="F19" s="92" t="n">
        <v>2.56</v>
      </c>
      <c r="G19" s="92" t="n">
        <v>2.93</v>
      </c>
      <c r="H19" s="92" t="n">
        <v>2.88</v>
      </c>
      <c r="I19" s="92" t="n">
        <v>3.21</v>
      </c>
      <c r="J19" s="93" t="n"/>
      <c r="K19" s="93" t="n"/>
      <c r="L19" s="93" t="n"/>
      <c r="M19" s="93" t="n"/>
      <c r="N19" s="93" t="n"/>
      <c r="O19" s="93" t="n"/>
    </row>
    <row r="20" ht="15.75" customHeight="1" s="54">
      <c r="B20" s="94" t="inlineStr">
        <is>
          <t>Step Functions</t>
        </is>
      </c>
      <c r="C20" s="91">
        <f>IFERROR(AVERAGE(D20,E20,F20,G20,H20,I20),"")</f>
        <v/>
      </c>
      <c r="D20" s="92" t="n">
        <v>1.11</v>
      </c>
      <c r="E20" s="92" t="n">
        <v>1.27</v>
      </c>
      <c r="F20" s="92" t="n">
        <v>2.06</v>
      </c>
      <c r="G20" s="92" t="n">
        <v>2.29</v>
      </c>
      <c r="H20" s="92" t="n">
        <v>3.03</v>
      </c>
      <c r="I20" s="92" t="n">
        <v>2.88</v>
      </c>
      <c r="J20" s="93" t="n"/>
      <c r="K20" s="93" t="n"/>
      <c r="L20" s="93" t="n"/>
      <c r="M20" s="93" t="n"/>
      <c r="N20" s="93" t="n"/>
      <c r="O20" s="93" t="n"/>
    </row>
    <row r="21" ht="15.75" customHeight="1" s="54">
      <c r="B21" s="94" t="inlineStr">
        <is>
          <t>Systems Manager</t>
        </is>
      </c>
      <c r="C21" s="91">
        <f>IFERROR(AVERAGE(D21,E21,F21,G21,H21,I21),"")</f>
        <v/>
      </c>
      <c r="D21" s="92" t="n">
        <v>1.26</v>
      </c>
      <c r="E21" s="92" t="n">
        <v>1.58</v>
      </c>
      <c r="F21" s="92" t="n">
        <v>1.52</v>
      </c>
      <c r="G21" s="92" t="n">
        <v>1.58</v>
      </c>
      <c r="H21" s="92" t="n">
        <v>1.58</v>
      </c>
      <c r="I21" s="92" t="n">
        <v>1.43</v>
      </c>
      <c r="J21" s="93" t="n"/>
      <c r="K21" s="93" t="n"/>
      <c r="L21" s="93" t="n"/>
      <c r="M21" s="93" t="n"/>
      <c r="N21" s="93" t="n"/>
      <c r="O21" s="93" t="n"/>
    </row>
    <row r="22" ht="15.75" customHeight="1" s="54">
      <c r="B22" s="95" t="inlineStr">
        <is>
          <t>その他</t>
        </is>
      </c>
      <c r="C22" s="91">
        <f>IFERROR(AVERAGE(D22,E22,F22,G22,H22,I22),"")</f>
        <v/>
      </c>
      <c r="D22" s="92" t="n">
        <v>6.95</v>
      </c>
      <c r="E22" s="92" t="n">
        <v>6.37</v>
      </c>
      <c r="F22" s="92" t="n">
        <v>6.43</v>
      </c>
      <c r="G22" s="92" t="n">
        <v>7.43</v>
      </c>
      <c r="H22" s="92" t="n">
        <v>7.3</v>
      </c>
      <c r="I22" s="92" t="n">
        <v>6.62</v>
      </c>
      <c r="J22" s="93" t="n"/>
      <c r="K22" s="93" t="n"/>
      <c r="L22" s="93" t="n"/>
      <c r="M22" s="93" t="n"/>
      <c r="N22" s="93" t="n"/>
      <c r="O22" s="93" t="n"/>
    </row>
    <row r="23" ht="18" customHeight="1" s="54">
      <c r="B23" s="96" t="inlineStr">
        <is>
          <t>サービス小計</t>
        </is>
      </c>
      <c r="C23" s="97">
        <f>IFERROR(SUM(C6,C7,C8,C9,C10,C11,C12,C13,C14,C15,C16,C17,C18,C19,C20,C21,C22),"")</f>
        <v/>
      </c>
      <c r="D23" s="97">
        <f>IFERROR(SUM(D6:D22),"")</f>
        <v/>
      </c>
      <c r="E23" s="97">
        <f>IFERROR(SUM(E6:E22),"")</f>
        <v/>
      </c>
      <c r="F23" s="97">
        <f>IFERROR(SUM(F6:F22),"")</f>
        <v/>
      </c>
      <c r="G23" s="97">
        <f>IFERROR(SUM(G6:G22),"")</f>
        <v/>
      </c>
      <c r="H23" s="97">
        <f>IFERROR(SUM(H6:H22),"")</f>
        <v/>
      </c>
      <c r="I23" s="97">
        <f>IFERROR(SUM(I6:I22),"")</f>
        <v/>
      </c>
      <c r="J23" s="97">
        <f>IFERROR(SUM(J6:J22),"")</f>
        <v/>
      </c>
      <c r="K23" s="97">
        <f>IFERROR(SUM(K6:K22),"")</f>
        <v/>
      </c>
      <c r="L23" s="97">
        <f>IFERROR(SUM(L6:L22),"")</f>
        <v/>
      </c>
      <c r="M23" s="97">
        <f>IFERROR(SUM(M6:M22),"")</f>
        <v/>
      </c>
      <c r="N23" s="97">
        <f>IFERROR(SUM(N6:N22),"")</f>
        <v/>
      </c>
      <c r="O23" s="97">
        <f>IFERROR(SUM(O6:O22),"")</f>
        <v/>
      </c>
    </row>
    <row r="24" ht="15.75" customHeight="1" s="54">
      <c r="B24" s="98" t="inlineStr">
        <is>
          <t>Tax</t>
        </is>
      </c>
      <c r="C24" s="91">
        <f>IFERROR(AVERAGE(D24,E24,F24,G24,H24,I24),"")</f>
        <v/>
      </c>
      <c r="D24" s="99" t="n">
        <v>301.49</v>
      </c>
      <c r="E24" s="99" t="n">
        <v>314.18</v>
      </c>
      <c r="F24" s="99" t="n">
        <v>318.09</v>
      </c>
      <c r="G24" s="99" t="n">
        <v>355.29</v>
      </c>
      <c r="H24" s="99" t="n">
        <v>356.08</v>
      </c>
      <c r="I24" s="99" t="n">
        <v>326.08</v>
      </c>
      <c r="J24" s="93" t="n"/>
      <c r="K24" s="93" t="n"/>
      <c r="L24" s="93" t="n"/>
      <c r="M24" s="93" t="n"/>
      <c r="N24" s="93" t="n"/>
      <c r="O24" s="93" t="n"/>
    </row>
    <row r="25" ht="19.5" customHeight="1" s="54">
      <c r="B25" s="100" t="inlineStr">
        <is>
          <t>合計（税込）</t>
        </is>
      </c>
      <c r="C25" s="101">
        <f>IFERROR(C23+C24,"")</f>
        <v/>
      </c>
      <c r="D25" s="101">
        <f>IFERROR(D23+D24,"")</f>
        <v/>
      </c>
      <c r="E25" s="101">
        <f>IFERROR(E23+E24,"")</f>
        <v/>
      </c>
      <c r="F25" s="101">
        <f>IFERROR(F23+F24,"")</f>
        <v/>
      </c>
      <c r="G25" s="101">
        <f>IFERROR(G23+G24,"")</f>
        <v/>
      </c>
      <c r="H25" s="101">
        <f>IFERROR(H23+H24,"")</f>
        <v/>
      </c>
      <c r="I25" s="101">
        <f>IFERROR(I23+I24,"")</f>
        <v/>
      </c>
      <c r="J25" s="101">
        <f>IFERROR(J23+J24,"")</f>
        <v/>
      </c>
      <c r="K25" s="101">
        <f>IFERROR(K23+K24,"")</f>
        <v/>
      </c>
      <c r="L25" s="101">
        <f>IFERROR(L23+L24,"")</f>
        <v/>
      </c>
      <c r="M25" s="101">
        <f>IFERROR(M23+M24,"")</f>
        <v/>
      </c>
      <c r="N25" s="101">
        <f>IFERROR(N23+N24,"")</f>
        <v/>
      </c>
      <c r="O25" s="101">
        <f>IFERROR(O23+O24,"")</f>
        <v/>
      </c>
    </row>
    <row r="26" ht="15" customHeight="1" s="54">
      <c r="B26" s="102" t="inlineStr">
        <is>
          <t>前月比 ($)</t>
        </is>
      </c>
      <c r="C26" s="103" t="n"/>
      <c r="D26" s="104" t="inlineStr">
        <is>
          <t>-</t>
        </is>
      </c>
      <c r="E26" s="105">
        <f>IFERROR(E25-D25,"")</f>
        <v/>
      </c>
      <c r="F26" s="105">
        <f>IFERROR(F25-E25,"")</f>
        <v/>
      </c>
      <c r="G26" s="105">
        <f>IFERROR(G25-F25,"")</f>
        <v/>
      </c>
      <c r="H26" s="105">
        <f>IFERROR(H25-G25,"")</f>
        <v/>
      </c>
      <c r="I26" s="105">
        <f>IFERROR(I25-H25,"")</f>
        <v/>
      </c>
      <c r="J26" s="105">
        <f>IFERROR(J25-I25,"")</f>
        <v/>
      </c>
      <c r="K26" s="105">
        <f>IFERROR(K25-J25,"")</f>
        <v/>
      </c>
      <c r="L26" s="105">
        <f>IFERROR(L25-K25,"")</f>
        <v/>
      </c>
      <c r="M26" s="105">
        <f>IFERROR(M25-L25,"")</f>
        <v/>
      </c>
      <c r="N26" s="105">
        <f>IFERROR(N25-M25,"")</f>
        <v/>
      </c>
      <c r="O26" s="105">
        <f>IFERROR(O25-N25,"")</f>
        <v/>
      </c>
    </row>
    <row r="27" ht="15" customHeight="1" s="54">
      <c r="B27" s="102" t="inlineStr">
        <is>
          <t>前月比 (%)</t>
        </is>
      </c>
      <c r="C27" s="103" t="n"/>
      <c r="D27" s="104" t="inlineStr">
        <is>
          <t>-</t>
        </is>
      </c>
      <c r="E27" s="106">
        <f>IFERROR((E25-D25)/D25,"")</f>
        <v/>
      </c>
      <c r="F27" s="106">
        <f>IFERROR((F25-E25)/E25,"")</f>
        <v/>
      </c>
      <c r="G27" s="106">
        <f>IFERROR((G25-F25)/F25,"")</f>
        <v/>
      </c>
      <c r="H27" s="106">
        <f>IFERROR((H25-G25)/G25,"")</f>
        <v/>
      </c>
      <c r="I27" s="106">
        <f>IFERROR((I25-H25)/H25,"")</f>
        <v/>
      </c>
      <c r="J27" s="106">
        <f>IFERROR((J25-I25)/I25,"")</f>
        <v/>
      </c>
      <c r="K27" s="106">
        <f>IFERROR((K25-J25)/J25,"")</f>
        <v/>
      </c>
      <c r="L27" s="106">
        <f>IFERROR((L25-K25)/K25,"")</f>
        <v/>
      </c>
      <c r="M27" s="106">
        <f>IFERROR((M25-L25)/L25,"")</f>
        <v/>
      </c>
      <c r="N27" s="106">
        <f>IFERROR((N25-M25)/M25,"")</f>
        <v/>
      </c>
      <c r="O27" s="106">
        <f>IFERROR((O25-N25)/N25,"")</f>
        <v/>
      </c>
    </row>
    <row r="28" ht="15" customHeight="1" s="54">
      <c r="B28" s="107" t="inlineStr">
        <is>
          <t>RDS比率</t>
        </is>
      </c>
      <c r="C28" s="108" t="n"/>
      <c r="D28" s="109">
        <f>IFERROR(D6/D25,"")</f>
        <v/>
      </c>
      <c r="E28" s="109">
        <f>IFERROR(E6/E25,"")</f>
        <v/>
      </c>
      <c r="F28" s="109">
        <f>IFERROR(F6/F25,"")</f>
        <v/>
      </c>
      <c r="G28" s="109">
        <f>IFERROR(G6/G25,"")</f>
        <v/>
      </c>
      <c r="H28" s="109">
        <f>IFERROR(H6/H25,"")</f>
        <v/>
      </c>
      <c r="I28" s="109">
        <f>IFERROR(I6/I25,"")</f>
        <v/>
      </c>
      <c r="J28" s="109">
        <f>IFERROR(J6/J25,"")</f>
        <v/>
      </c>
      <c r="K28" s="109">
        <f>IFERROR(K6/K25,"")</f>
        <v/>
      </c>
      <c r="L28" s="109">
        <f>IFERROR(L6/L25,"")</f>
        <v/>
      </c>
      <c r="M28" s="109">
        <f>IFERROR(M6/M25,"")</f>
        <v/>
      </c>
      <c r="N28" s="109">
        <f>IFERROR(N6/N25,"")</f>
        <v/>
      </c>
      <c r="O28" s="109">
        <f>IFERROR(O6/O25,"")</f>
        <v/>
      </c>
    </row>
    <row r="29" ht="15" customHeight="1" s="54">
      <c r="B29" s="110" t="inlineStr">
        <is>
          <t>閾値チェック ($2,500)</t>
        </is>
      </c>
      <c r="C29" s="111" t="n"/>
      <c r="D29" s="112">
        <f>IFERROR(IF(D25&gt;2500,"⚠ 超過","✓ 正常"),"")</f>
        <v/>
      </c>
      <c r="E29" s="112">
        <f>IFERROR(IF(E25&gt;2500,"⚠ 超過","✓ 正常"),"")</f>
        <v/>
      </c>
      <c r="F29" s="112">
        <f>IFERROR(IF(F25&gt;2500,"⚠ 超過","✓ 正常"),"")</f>
        <v/>
      </c>
      <c r="G29" s="112">
        <f>IFERROR(IF(G25&gt;2500,"⚠ 超過","✓ 正常"),"")</f>
        <v/>
      </c>
      <c r="H29" s="112">
        <f>IFERROR(IF(H25&gt;2500,"⚠ 超過","✓ 正常"),"")</f>
        <v/>
      </c>
      <c r="I29" s="112">
        <f>IFERROR(IF(I25&gt;2500,"⚠ 超過","✓ 正常"),"")</f>
        <v/>
      </c>
      <c r="J29" s="112">
        <f>IFERROR(IF(J25&gt;2500,"⚠ 超過","✓ 正常"),"")</f>
        <v/>
      </c>
      <c r="K29" s="112">
        <f>IFERROR(IF(K25&gt;2500,"⚠ 超過","✓ 正常"),"")</f>
        <v/>
      </c>
      <c r="L29" s="112">
        <f>IFERROR(IF(L25&gt;2500,"⚠ 超過","✓ 正常"),"")</f>
        <v/>
      </c>
      <c r="M29" s="112">
        <f>IFERROR(IF(M25&gt;2500,"⚠ 超過","✓ 正常"),"")</f>
        <v/>
      </c>
      <c r="N29" s="112">
        <f>IFERROR(IF(N25&gt;2500,"⚠ 超過","✓ 正常"),"")</f>
        <v/>
      </c>
      <c r="O29" s="112">
        <f>IFERROR(IF(O25&gt;2500,"⚠ 超過","✓ 正常"),"")</f>
        <v/>
      </c>
    </row>
  </sheetData>
  <mergeCells count="2">
    <mergeCell ref="B3:P3"/>
    <mergeCell ref="B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F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8" min="1" max="1"/>
    <col width="30" customWidth="1" style="78" min="2" max="2"/>
    <col width="55" customWidth="1" style="78" min="3" max="3"/>
    <col width="16" customWidth="1" style="78" min="4" max="5"/>
    <col width="22" customWidth="1" style="78" min="6" max="6"/>
  </cols>
  <sheetData>
    <row r="1" ht="7.5" customHeight="1" s="54"/>
    <row r="2" ht="36" customHeight="1" s="54">
      <c r="B2" s="113" t="inlineStr">
        <is>
          <t>月次コスト入力ガイド  —  CloudShell 実行結果の転記手順</t>
        </is>
      </c>
    </row>
    <row r="3" ht="18" customHeight="1" s="54"/>
    <row r="4" ht="18" customHeight="1" s="54">
      <c r="B4" s="114" t="inlineStr">
        <is>
          <t>STEP 1</t>
        </is>
      </c>
      <c r="C4" s="115" t="inlineStr">
        <is>
          <t>CloudShell を開く</t>
        </is>
      </c>
      <c r="D4" s="116" t="inlineStr">
        <is>
          <t>https://ap-northeast-1.console.aws.amazon.com/cloudshell/home?region=ap-northeast-1</t>
        </is>
      </c>
    </row>
    <row r="5" ht="18" customHeight="1" s="54">
      <c r="B5" s="114" t="inlineStr">
        <is>
          <t>STEP 2</t>
        </is>
      </c>
      <c r="C5" s="117" t="inlineStr">
        <is>
          <t>スクリプトを実行</t>
        </is>
      </c>
      <c r="D5" s="116" t="inlineStr">
        <is>
          <t>40_AWS/06_コスト調査/monthly_cost_check.sh  をコピー&amp;ペーストして実行</t>
        </is>
      </c>
    </row>
    <row r="6" ht="18" customHeight="1" s="54">
      <c r="B6" s="114" t="inlineStr">
        <is>
          <t>STEP 3</t>
        </is>
      </c>
      <c r="C6" s="117" t="inlineStr">
        <is>
          <t>「コスト推移表」シートを開く</t>
        </is>
      </c>
      <c r="D6" s="118" t="inlineStr">
        <is>
          <t>該当月の列（例: 2026/03）を探す</t>
        </is>
      </c>
    </row>
    <row r="7" ht="18" customHeight="1" s="54">
      <c r="B7" s="114" t="inlineStr">
        <is>
          <t>STEP 4</t>
        </is>
      </c>
      <c r="C7" s="117" t="inlineStr">
        <is>
          <t>以下の対応表に従って値を入力</t>
        </is>
      </c>
      <c r="D7" s="118" t="inlineStr">
        <is>
          <t>黄色セル（▼入力）に数値を転記してください</t>
        </is>
      </c>
    </row>
    <row r="8" ht="18" customHeight="1" s="54"/>
    <row r="9" ht="19.5" customHeight="1" s="54">
      <c r="B9" s="119" t="inlineStr">
        <is>
          <t>スクリプト出力【項目】</t>
        </is>
      </c>
      <c r="C9" s="119" t="inlineStr">
        <is>
          <t>「コスト推移表」の行（サービス名）</t>
        </is>
      </c>
      <c r="D9" s="119" t="inlineStr">
        <is>
          <t>セクション</t>
        </is>
      </c>
      <c r="E9" s="119" t="inlineStr">
        <is>
          <t>単位</t>
        </is>
      </c>
      <c r="F9" s="119" t="inlineStr">
        <is>
          <t>備考</t>
        </is>
      </c>
    </row>
    <row r="10" ht="15.75" customHeight="1" s="54">
      <c r="B10" s="120" t="inlineStr">
        <is>
          <t>【2】Amazon Relational Database Service</t>
        </is>
      </c>
      <c r="C10" s="121" t="inlineStr">
        <is>
          <t>RDS (Aurora MySQL)</t>
        </is>
      </c>
      <c r="D10" s="122" t="inlineStr">
        <is>
          <t>上位10件</t>
        </is>
      </c>
      <c r="E10" s="123" t="inlineStr">
        <is>
          <t>$</t>
        </is>
      </c>
      <c r="F10" s="124" t="n"/>
    </row>
    <row r="11" ht="15.75" customHeight="1" s="54">
      <c r="B11" s="120" t="inlineStr">
        <is>
          <t>【2】AWS Transfer Family</t>
        </is>
      </c>
      <c r="C11" s="121" t="inlineStr">
        <is>
          <t>Transfer Family</t>
        </is>
      </c>
      <c r="D11" s="122" t="inlineStr">
        <is>
          <t>上位10件</t>
        </is>
      </c>
      <c r="E11" s="123" t="inlineStr">
        <is>
          <t>$</t>
        </is>
      </c>
      <c r="F11" s="124" t="n"/>
    </row>
    <row r="12" ht="15.75" customHeight="1" s="54">
      <c r="B12" s="120" t="inlineStr">
        <is>
          <t>【2】Tax</t>
        </is>
      </c>
      <c r="C12" s="121" t="inlineStr">
        <is>
          <t>Tax</t>
        </is>
      </c>
      <c r="D12" s="122" t="inlineStr">
        <is>
          <t>上位10件</t>
        </is>
      </c>
      <c r="E12" s="123" t="inlineStr">
        <is>
          <t>$</t>
        </is>
      </c>
      <c r="F12" s="124" t="n"/>
    </row>
    <row r="13" ht="15.75" customHeight="1" s="54">
      <c r="B13" s="120" t="inlineStr">
        <is>
          <t>【2】Amazon EC2 (インスタンス)</t>
        </is>
      </c>
      <c r="C13" s="121" t="inlineStr">
        <is>
          <t>EC2 インスタンス</t>
        </is>
      </c>
      <c r="D13" s="122" t="inlineStr">
        <is>
          <t>上位10件</t>
        </is>
      </c>
      <c r="E13" s="123" t="inlineStr">
        <is>
          <t>$</t>
        </is>
      </c>
      <c r="F13" s="124" t="inlineStr">
        <is>
          <t>EC2 Compute のみ</t>
        </is>
      </c>
    </row>
    <row r="14" ht="15.75" customHeight="1" s="54">
      <c r="B14" s="120" t="inlineStr">
        <is>
          <t>【2】Amazon VPC</t>
        </is>
      </c>
      <c r="C14" s="121" t="inlineStr">
        <is>
          <t>VPC (NAT Gateway等)</t>
        </is>
      </c>
      <c r="D14" s="122" t="inlineStr">
        <is>
          <t>上位10件</t>
        </is>
      </c>
      <c r="E14" s="123" t="inlineStr">
        <is>
          <t>$</t>
        </is>
      </c>
      <c r="F14" s="124" t="n"/>
    </row>
    <row r="15" ht="15.75" customHeight="1" s="54">
      <c r="B15" s="120" t="inlineStr">
        <is>
          <t>【2】EC2-Other</t>
        </is>
      </c>
      <c r="C15" s="121" t="inlineStr">
        <is>
          <t>EC2 その他</t>
        </is>
      </c>
      <c r="D15" s="122" t="inlineStr">
        <is>
          <t>上位10件</t>
        </is>
      </c>
      <c r="E15" s="123" t="inlineStr">
        <is>
          <t>$</t>
        </is>
      </c>
      <c r="F15" s="124" t="inlineStr">
        <is>
          <t>EBS等</t>
        </is>
      </c>
    </row>
    <row r="16" ht="15.75" customHeight="1" s="54">
      <c r="B16" s="120" t="inlineStr">
        <is>
          <t>【2】AWS Config</t>
        </is>
      </c>
      <c r="C16" s="121" t="inlineStr">
        <is>
          <t>Config</t>
        </is>
      </c>
      <c r="D16" s="122" t="inlineStr">
        <is>
          <t>上位10件</t>
        </is>
      </c>
      <c r="E16" s="123" t="inlineStr">
        <is>
          <t>$</t>
        </is>
      </c>
      <c r="F16" s="124" t="n"/>
    </row>
    <row r="17" ht="15.75" customHeight="1" s="54">
      <c r="B17" s="120" t="inlineStr">
        <is>
          <t>【2】Amazon GuardDuty</t>
        </is>
      </c>
      <c r="C17" s="121" t="inlineStr">
        <is>
          <t>GuardDuty</t>
        </is>
      </c>
      <c r="D17" s="122" t="inlineStr">
        <is>
          <t>上位10件</t>
        </is>
      </c>
      <c r="E17" s="123" t="inlineStr">
        <is>
          <t>$</t>
        </is>
      </c>
      <c r="F17" s="124" t="n"/>
    </row>
    <row r="18" ht="15.75" customHeight="1" s="54">
      <c r="B18" s="120" t="inlineStr">
        <is>
          <t>【2】AWS Security Hub</t>
        </is>
      </c>
      <c r="C18" s="121" t="inlineStr">
        <is>
          <t>Security Hub</t>
        </is>
      </c>
      <c r="D18" s="122" t="inlineStr">
        <is>
          <t>上位10件</t>
        </is>
      </c>
      <c r="E18" s="123" t="inlineStr">
        <is>
          <t>$</t>
        </is>
      </c>
      <c r="F18" s="124" t="n"/>
    </row>
    <row r="19" ht="15.75" customHeight="1" s="54">
      <c r="B19" s="120" t="inlineStr">
        <is>
          <t>【2】Amazon Inspector</t>
        </is>
      </c>
      <c r="C19" s="121" t="inlineStr">
        <is>
          <t>Inspector</t>
        </is>
      </c>
      <c r="D19" s="122" t="inlineStr">
        <is>
          <t>上位10件</t>
        </is>
      </c>
      <c r="E19" s="123" t="inlineStr">
        <is>
          <t>$</t>
        </is>
      </c>
      <c r="F19" s="124" t="n"/>
    </row>
    <row r="20" ht="15.75" customHeight="1" s="54">
      <c r="B20" s="120" t="inlineStr">
        <is>
          <t>【2】Amazon ECS</t>
        </is>
      </c>
      <c r="C20" s="121" t="inlineStr">
        <is>
          <t>ECS</t>
        </is>
      </c>
      <c r="D20" s="122" t="inlineStr">
        <is>
          <t>上位10件</t>
        </is>
      </c>
      <c r="E20" s="123" t="inlineStr">
        <is>
          <t>$</t>
        </is>
      </c>
      <c r="F20" s="124" t="n"/>
    </row>
    <row r="21" ht="15.75" customHeight="1" s="54">
      <c r="B21" s="120" t="inlineStr">
        <is>
          <t>【7】S3 StorageBytes合計</t>
        </is>
      </c>
      <c r="C21" s="121" t="inlineStr">
        <is>
          <t>S3</t>
        </is>
      </c>
      <c r="D21" s="122" t="inlineStr">
        <is>
          <t>バケット</t>
        </is>
      </c>
      <c r="E21" s="123" t="inlineStr">
        <is>
          <t>$</t>
        </is>
      </c>
      <c r="F21" s="125" t="inlineStr">
        <is>
          <t>【2】のS3コストを使用</t>
        </is>
      </c>
    </row>
    <row r="22" ht="15.75" customHeight="1" s="54">
      <c r="B22" s="120" t="inlineStr">
        <is>
          <t>【2】AWS KMS</t>
        </is>
      </c>
      <c r="C22" s="121" t="inlineStr">
        <is>
          <t>KMS</t>
        </is>
      </c>
      <c r="D22" s="122" t="inlineStr">
        <is>
          <t>上位10件</t>
        </is>
      </c>
      <c r="E22" s="123" t="inlineStr">
        <is>
          <t>$</t>
        </is>
      </c>
      <c r="F22" s="124" t="n"/>
    </row>
    <row r="23" ht="15.75" customHeight="1" s="54">
      <c r="B23" s="120" t="inlineStr">
        <is>
          <t>【2】AWS Secrets Manager</t>
        </is>
      </c>
      <c r="C23" s="121" t="inlineStr">
        <is>
          <t>Secrets Manager</t>
        </is>
      </c>
      <c r="D23" s="122" t="inlineStr">
        <is>
          <t>上位10件</t>
        </is>
      </c>
      <c r="E23" s="123" t="inlineStr">
        <is>
          <t>$</t>
        </is>
      </c>
      <c r="F23" s="124" t="n"/>
    </row>
    <row r="24" ht="15.75" customHeight="1" s="54">
      <c r="B24" s="120" t="inlineStr">
        <is>
          <t>【2】Amazon CloudWatch</t>
        </is>
      </c>
      <c r="C24" s="121" t="inlineStr">
        <is>
          <t>CloudWatch</t>
        </is>
      </c>
      <c r="D24" s="122" t="inlineStr">
        <is>
          <t>上位10件</t>
        </is>
      </c>
      <c r="E24" s="123" t="inlineStr">
        <is>
          <t>$</t>
        </is>
      </c>
      <c r="F24" s="124" t="n"/>
    </row>
    <row r="25" ht="15.75" customHeight="1" s="54">
      <c r="B25" s="120" t="inlineStr">
        <is>
          <t>【2】AWS Step Functions</t>
        </is>
      </c>
      <c r="C25" s="121" t="inlineStr">
        <is>
          <t>Step Functions</t>
        </is>
      </c>
      <c r="D25" s="122" t="inlineStr">
        <is>
          <t>上位10件</t>
        </is>
      </c>
      <c r="E25" s="123" t="inlineStr">
        <is>
          <t>$</t>
        </is>
      </c>
      <c r="F25" s="124" t="n"/>
    </row>
    <row r="26" ht="15.75" customHeight="1" s="54">
      <c r="B26" s="120" t="inlineStr">
        <is>
          <t>【2】AWS Systems Manager</t>
        </is>
      </c>
      <c r="C26" s="121" t="inlineStr">
        <is>
          <t>Systems Manager</t>
        </is>
      </c>
      <c r="D26" s="122" t="inlineStr">
        <is>
          <t>上位10件</t>
        </is>
      </c>
      <c r="E26" s="123" t="inlineStr">
        <is>
          <t>$</t>
        </is>
      </c>
      <c r="F26" s="124" t="n"/>
    </row>
    <row r="27" ht="15.75" customHeight="1" s="54">
      <c r="B27" s="120" t="inlineStr">
        <is>
          <t>残余サービス合計</t>
        </is>
      </c>
      <c r="C27" s="126" t="inlineStr">
        <is>
          <t>その他</t>
        </is>
      </c>
      <c r="D27" s="123" t="inlineStr">
        <is>
          <t>-</t>
        </is>
      </c>
      <c r="E27" s="123" t="inlineStr">
        <is>
          <t>$</t>
        </is>
      </c>
      <c r="F27" s="125" t="inlineStr">
        <is>
          <t>合計 - 上記合計</t>
        </is>
      </c>
    </row>
    <row r="29" ht="19.5" customHeight="1" s="54">
      <c r="B29" s="115" t="inlineStr">
        <is>
          <t>※ RDS CPU・接続数メモ欄（毎月更新）</t>
        </is>
      </c>
    </row>
    <row r="30" ht="19.5" customHeight="1" s="54">
      <c r="B30" s="119" t="inlineStr">
        <is>
          <t>月</t>
        </is>
      </c>
      <c r="C30" s="85" t="inlineStr">
        <is>
          <t>RDS CPU平均(inst-1)%</t>
        </is>
      </c>
      <c r="D30" s="85" t="inlineStr">
        <is>
          <t>RDS CPU最大(inst-1)%</t>
        </is>
      </c>
      <c r="E30" s="85" t="inlineStr">
        <is>
          <t>RDS CPU平均(inst-2)%</t>
        </is>
      </c>
      <c r="F30" s="119" t="inlineStr">
        <is>
          <t>最大接続数</t>
        </is>
      </c>
    </row>
    <row r="31" ht="15" customHeight="1" s="54">
      <c r="B31" s="127" t="inlineStr">
        <is>
          <t>2025/09</t>
        </is>
      </c>
      <c r="C31" s="127" t="inlineStr">
        <is>
          <t>≒0%</t>
        </is>
      </c>
      <c r="D31" s="127" t="inlineStr">
        <is>
          <t>0.015%</t>
        </is>
      </c>
      <c r="E31" s="127" t="inlineStr">
        <is>
          <t>1.69%</t>
        </is>
      </c>
      <c r="F31" s="128" t="inlineStr">
        <is>
          <t>調査前</t>
        </is>
      </c>
    </row>
    <row r="32" ht="15" customHeight="1" s="54">
      <c r="B32" s="127" t="inlineStr">
        <is>
          <t>2025/10</t>
        </is>
      </c>
      <c r="C32" s="127" t="inlineStr">
        <is>
          <t>≒0%</t>
        </is>
      </c>
      <c r="D32" s="127" t="inlineStr">
        <is>
          <t>-</t>
        </is>
      </c>
      <c r="E32" s="127" t="inlineStr">
        <is>
          <t>1.69%</t>
        </is>
      </c>
      <c r="F32" s="127" t="inlineStr">
        <is>
          <t>-</t>
        </is>
      </c>
    </row>
    <row r="33" ht="15" customHeight="1" s="54">
      <c r="B33" s="127" t="inlineStr">
        <is>
          <t>2025/11</t>
        </is>
      </c>
      <c r="C33" s="127" t="inlineStr">
        <is>
          <t>≒0%</t>
        </is>
      </c>
      <c r="D33" s="127" t="inlineStr">
        <is>
          <t>-</t>
        </is>
      </c>
      <c r="E33" s="127" t="inlineStr">
        <is>
          <t>1.69%</t>
        </is>
      </c>
      <c r="F33" s="127" t="inlineStr">
        <is>
          <t>-</t>
        </is>
      </c>
    </row>
    <row r="34" ht="15" customHeight="1" s="54">
      <c r="B34" s="127" t="inlineStr">
        <is>
          <t>2025/12</t>
        </is>
      </c>
      <c r="C34" s="127" t="inlineStr">
        <is>
          <t>≒0%</t>
        </is>
      </c>
      <c r="D34" s="127" t="inlineStr">
        <is>
          <t>-</t>
        </is>
      </c>
      <c r="E34" s="127" t="inlineStr">
        <is>
          <t>1.69%</t>
        </is>
      </c>
      <c r="F34" s="127" t="inlineStr">
        <is>
          <t>-</t>
        </is>
      </c>
    </row>
    <row r="35" ht="15" customHeight="1" s="54">
      <c r="B35" s="127" t="inlineStr">
        <is>
          <t>2026/01</t>
        </is>
      </c>
      <c r="C35" s="127" t="inlineStr">
        <is>
          <t>≒0%</t>
        </is>
      </c>
      <c r="D35" s="127" t="inlineStr">
        <is>
          <t>-</t>
        </is>
      </c>
      <c r="E35" s="127" t="inlineStr">
        <is>
          <t>1.69%</t>
        </is>
      </c>
      <c r="F35" s="127" t="inlineStr">
        <is>
          <t>-</t>
        </is>
      </c>
    </row>
    <row r="36" ht="15" customHeight="1" s="54">
      <c r="B36" s="127" t="inlineStr">
        <is>
          <t>2026/02</t>
        </is>
      </c>
      <c r="C36" s="127" t="inlineStr">
        <is>
          <t>≒0%</t>
        </is>
      </c>
      <c r="D36" s="127" t="inlineStr">
        <is>
          <t>-</t>
        </is>
      </c>
      <c r="E36" s="127" t="inlineStr">
        <is>
          <t>1.69%</t>
        </is>
      </c>
      <c r="F36" s="127" t="inlineStr">
        <is>
          <t>-</t>
        </is>
      </c>
    </row>
    <row r="37" ht="15" customHeight="1" s="54">
      <c r="B37" s="129" t="inlineStr">
        <is>
          <t>2026/03</t>
        </is>
      </c>
      <c r="C37" s="129" t="n"/>
      <c r="D37" s="129" t="n"/>
      <c r="E37" s="129" t="n"/>
      <c r="F37" s="129" t="n"/>
    </row>
    <row r="38" ht="15" customHeight="1" s="54">
      <c r="B38" s="129" t="inlineStr">
        <is>
          <t>2026/04</t>
        </is>
      </c>
      <c r="C38" s="129" t="n"/>
      <c r="D38" s="129" t="n"/>
      <c r="E38" s="129" t="n"/>
      <c r="F38" s="129" t="n"/>
    </row>
    <row r="39" ht="15" customHeight="1" s="54">
      <c r="B39" s="129" t="inlineStr">
        <is>
          <t>2026/05</t>
        </is>
      </c>
      <c r="C39" s="129" t="n"/>
      <c r="D39" s="129" t="n"/>
      <c r="E39" s="129" t="n"/>
      <c r="F39" s="129" t="n"/>
    </row>
    <row r="40" ht="15" customHeight="1" s="54">
      <c r="B40" s="129" t="inlineStr">
        <is>
          <t>2026/06</t>
        </is>
      </c>
      <c r="C40" s="129" t="n"/>
      <c r="D40" s="129" t="n"/>
      <c r="E40" s="129" t="n"/>
      <c r="F40" s="129" t="n"/>
    </row>
    <row r="41" ht="15" customHeight="1" s="54">
      <c r="B41" s="129" t="inlineStr">
        <is>
          <t>2026/07</t>
        </is>
      </c>
      <c r="C41" s="129" t="n"/>
      <c r="D41" s="129" t="n"/>
      <c r="E41" s="129" t="n"/>
      <c r="F41" s="129" t="n"/>
    </row>
    <row r="42" ht="15" customHeight="1" s="54">
      <c r="B42" s="129" t="inlineStr">
        <is>
          <t>2026/08</t>
        </is>
      </c>
      <c r="C42" s="129" t="n"/>
      <c r="D42" s="129" t="n"/>
      <c r="E42" s="129" t="n"/>
      <c r="F42" s="129" t="n"/>
    </row>
  </sheetData>
  <mergeCells count="6">
    <mergeCell ref="B29:F29"/>
    <mergeCell ref="D5:F5"/>
    <mergeCell ref="B2:F2"/>
    <mergeCell ref="D4:F4"/>
    <mergeCell ref="D7:F7"/>
    <mergeCell ref="D6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1" customWidth="1" style="54" min="1" max="1"/>
    <col width="26" customWidth="1" style="54" min="2" max="2"/>
    <col width="12" customWidth="1" style="54" min="3" max="3"/>
    <col width="11" customWidth="1" style="54" min="4" max="4"/>
    <col width="11" customWidth="1" style="54" min="5" max="5"/>
    <col width="11" customWidth="1" style="54" min="6" max="6"/>
    <col width="11" customWidth="1" style="54" min="7" max="7"/>
    <col width="11" customWidth="1" style="54" min="8" max="8"/>
    <col width="11" customWidth="1" style="54" min="9" max="9"/>
    <col width="11" customWidth="1" style="54" min="10" max="10"/>
    <col width="11" customWidth="1" style="54" min="11" max="11"/>
    <col width="11" customWidth="1" style="54" min="12" max="12"/>
    <col width="11" customWidth="1" style="54" min="13" max="13"/>
    <col width="11" customWidth="1" style="54" min="14" max="14"/>
    <col width="11" customWidth="1" style="54" min="15" max="15"/>
  </cols>
  <sheetData>
    <row r="1" ht="8" customHeight="1" s="54"/>
    <row r="2" ht="30" customHeight="1" s="54">
      <c r="B2" s="55" t="inlineStr">
        <is>
          <t>カスミPOS  AWS コスト推移表（ステージング環境）</t>
        </is>
      </c>
    </row>
    <row r="3">
      <c r="B3" s="56" t="inlineStr">
        <is>
          <t>単位: USD ($)　　■ 網掛け = 実績　　□ 黄地 = 未入力</t>
        </is>
      </c>
    </row>
    <row r="4" ht="20" customHeight="1" s="54">
      <c r="B4" s="57" t="inlineStr">
        <is>
          <t>サービス</t>
        </is>
      </c>
      <c r="C4" s="57" t="inlineStr">
        <is>
          <t>6ヶ月平均</t>
        </is>
      </c>
      <c r="D4" s="58" t="inlineStr">
        <is>
          <t>2025/09</t>
        </is>
      </c>
      <c r="E4" s="58" t="inlineStr">
        <is>
          <t>2025/10</t>
        </is>
      </c>
      <c r="F4" s="58" t="inlineStr">
        <is>
          <t>2025/11</t>
        </is>
      </c>
      <c r="G4" s="58" t="inlineStr">
        <is>
          <t>2025/12</t>
        </is>
      </c>
      <c r="H4" s="58" t="inlineStr">
        <is>
          <t>2026/01</t>
        </is>
      </c>
      <c r="I4" s="58" t="inlineStr">
        <is>
          <t>2026/02</t>
        </is>
      </c>
      <c r="J4" s="58" t="inlineStr">
        <is>
          <t>2026/03</t>
        </is>
      </c>
      <c r="K4" s="58" t="inlineStr">
        <is>
          <t>2026/04</t>
        </is>
      </c>
      <c r="L4" s="58" t="inlineStr">
        <is>
          <t>2026/05</t>
        </is>
      </c>
      <c r="M4" s="58" t="inlineStr">
        <is>
          <t>2026/06</t>
        </is>
      </c>
      <c r="N4" s="58" t="inlineStr">
        <is>
          <t>2026/07</t>
        </is>
      </c>
      <c r="O4" s="58" t="inlineStr">
        <is>
          <t>2026/08</t>
        </is>
      </c>
    </row>
    <row r="5" ht="16" customHeight="1" s="54">
      <c r="B5" t="inlineStr"/>
      <c r="C5" t="inlineStr"/>
      <c r="D5" s="59" t="inlineStr">
        <is>
          <t>実績</t>
        </is>
      </c>
      <c r="E5" s="59" t="inlineStr">
        <is>
          <t>実績</t>
        </is>
      </c>
      <c r="F5" s="59" t="inlineStr">
        <is>
          <t>実績</t>
        </is>
      </c>
      <c r="G5" s="59" t="inlineStr">
        <is>
          <t>実績</t>
        </is>
      </c>
      <c r="H5" s="59" t="inlineStr">
        <is>
          <t>実績</t>
        </is>
      </c>
      <c r="I5" s="59" t="inlineStr">
        <is>
          <t>実績</t>
        </is>
      </c>
      <c r="J5" s="60" t="inlineStr">
        <is>
          <t>▼入力</t>
        </is>
      </c>
      <c r="K5" s="60" t="inlineStr">
        <is>
          <t>▼入力</t>
        </is>
      </c>
      <c r="L5" s="60" t="inlineStr">
        <is>
          <t>▼入力</t>
        </is>
      </c>
      <c r="M5" s="60" t="inlineStr">
        <is>
          <t>▼入力</t>
        </is>
      </c>
      <c r="N5" s="60" t="inlineStr">
        <is>
          <t>▼入力</t>
        </is>
      </c>
      <c r="O5" s="60" t="inlineStr">
        <is>
          <t>▼入力</t>
        </is>
      </c>
    </row>
    <row r="6" ht="18" customHeight="1" s="54">
      <c r="B6" s="61" t="inlineStr">
        <is>
          <t>RDS (Aurora MySQL)</t>
        </is>
      </c>
      <c r="C6" s="62">
        <f>IFERROR(AVERAGE(D6,E6,F6,G6,H6,I6),"")</f>
        <v/>
      </c>
      <c r="D6" s="63" t="n">
        <v>2204.01</v>
      </c>
      <c r="E6" s="63" t="n">
        <v>2277.52</v>
      </c>
      <c r="F6" s="63" t="n">
        <v>2204.54</v>
      </c>
      <c r="G6" s="63" t="n">
        <v>2290.35</v>
      </c>
      <c r="H6" s="63" t="n">
        <v>2363.92</v>
      </c>
      <c r="I6" s="63" t="n">
        <v>2223.81</v>
      </c>
      <c r="J6" s="64" t="n"/>
      <c r="K6" s="64" t="n"/>
      <c r="L6" s="64" t="n"/>
      <c r="M6" s="64" t="n"/>
      <c r="N6" s="64" t="n"/>
      <c r="O6" s="64" t="n"/>
    </row>
    <row r="7" ht="18" customHeight="1" s="54">
      <c r="B7" s="61" t="inlineStr">
        <is>
          <t>Transfer Family</t>
        </is>
      </c>
      <c r="C7" s="62">
        <f>IFERROR(AVERAGE(D7,E7,F7,G7,H7,I7),"")</f>
        <v/>
      </c>
      <c r="D7" s="63" t="n">
        <v>432.09</v>
      </c>
      <c r="E7" s="63" t="n">
        <v>446.48</v>
      </c>
      <c r="F7" s="63" t="n">
        <v>501.97</v>
      </c>
      <c r="G7" s="63" t="n">
        <v>669.67</v>
      </c>
      <c r="H7" s="63" t="n">
        <v>669.72</v>
      </c>
      <c r="I7" s="63" t="n">
        <v>604.95</v>
      </c>
      <c r="J7" s="64" t="n"/>
      <c r="K7" s="64" t="n"/>
      <c r="L7" s="64" t="n"/>
      <c r="M7" s="64" t="n"/>
      <c r="N7" s="64" t="n"/>
      <c r="O7" s="64" t="n"/>
    </row>
    <row r="8" ht="18" customHeight="1" s="54">
      <c r="B8" s="61" t="inlineStr">
        <is>
          <t>EC2 インスタンス</t>
        </is>
      </c>
      <c r="C8" s="62">
        <f>IFERROR(AVERAGE(D8,E8,F8,G8,H8,I8),"")</f>
        <v/>
      </c>
      <c r="D8" s="63" t="n">
        <v>290.25</v>
      </c>
      <c r="E8" s="63" t="n">
        <v>263.14</v>
      </c>
      <c r="F8" s="63" t="n">
        <v>251.58</v>
      </c>
      <c r="G8" s="63" t="n">
        <v>354.07</v>
      </c>
      <c r="H8" s="63" t="n">
        <v>354.51</v>
      </c>
      <c r="I8" s="63" t="n">
        <v>321.26</v>
      </c>
      <c r="J8" s="64" t="n"/>
      <c r="K8" s="64" t="n"/>
      <c r="L8" s="64" t="n"/>
      <c r="M8" s="64" t="n"/>
      <c r="N8" s="64" t="n"/>
      <c r="O8" s="64" t="n"/>
    </row>
    <row r="9" ht="18" customHeight="1" s="54">
      <c r="B9" s="61" t="inlineStr">
        <is>
          <t>VPC (NAT Gateway等)</t>
        </is>
      </c>
      <c r="C9" s="62">
        <f>IFERROR(AVERAGE(D9,E9,F9,G9,H9,I9),"")</f>
        <v/>
      </c>
      <c r="D9" s="63" t="n">
        <v>158.18</v>
      </c>
      <c r="E9" s="63" t="n">
        <v>171.9</v>
      </c>
      <c r="F9" s="63" t="n">
        <v>166.23</v>
      </c>
      <c r="G9" s="63" t="n">
        <v>174.31</v>
      </c>
      <c r="H9" s="63" t="n">
        <v>210.5</v>
      </c>
      <c r="I9" s="63" t="n">
        <v>187.43</v>
      </c>
      <c r="J9" s="64" t="n"/>
      <c r="K9" s="64" t="n"/>
      <c r="L9" s="64" t="n"/>
      <c r="M9" s="64" t="n"/>
      <c r="N9" s="64" t="n"/>
      <c r="O9" s="64" t="n"/>
    </row>
    <row r="10" ht="18" customHeight="1" s="54">
      <c r="B10" s="61" t="inlineStr">
        <is>
          <t>EC2 その他</t>
        </is>
      </c>
      <c r="C10" s="62">
        <f>IFERROR(AVERAGE(D10,E10,F10,G10,H10,I10),"")</f>
        <v/>
      </c>
      <c r="D10" s="63" t="n">
        <v>67.01000000000001</v>
      </c>
      <c r="E10" s="63" t="n">
        <v>70.8</v>
      </c>
      <c r="F10" s="63" t="n">
        <v>71.16</v>
      </c>
      <c r="G10" s="63" t="n">
        <v>82.90000000000001</v>
      </c>
      <c r="H10" s="63" t="n">
        <v>83.8</v>
      </c>
      <c r="I10" s="63" t="n">
        <v>79.14</v>
      </c>
      <c r="J10" s="64" t="n"/>
      <c r="K10" s="64" t="n"/>
      <c r="L10" s="64" t="n"/>
      <c r="M10" s="64" t="n"/>
      <c r="N10" s="64" t="n"/>
      <c r="O10" s="64" t="n"/>
    </row>
    <row r="11" ht="18" customHeight="1" s="54">
      <c r="B11" s="61" t="inlineStr">
        <is>
          <t>Config</t>
        </is>
      </c>
      <c r="C11" s="62">
        <f>IFERROR(AVERAGE(D11,E11,F11,G11,H11,I11),"")</f>
        <v/>
      </c>
      <c r="D11" s="63" t="n">
        <v>4.02</v>
      </c>
      <c r="E11" s="63" t="n">
        <v>4.09</v>
      </c>
      <c r="F11" s="63" t="n">
        <v>5.97</v>
      </c>
      <c r="G11" s="63" t="n">
        <v>4.22</v>
      </c>
      <c r="H11" s="63" t="n">
        <v>3.97</v>
      </c>
      <c r="I11" s="63" t="n">
        <v>15.45</v>
      </c>
      <c r="J11" s="64" t="n"/>
      <c r="K11" s="64" t="n"/>
      <c r="L11" s="64" t="n"/>
      <c r="M11" s="64" t="n"/>
      <c r="N11" s="64" t="n"/>
      <c r="O11" s="64" t="n"/>
    </row>
    <row r="12" ht="18" customHeight="1" s="54">
      <c r="B12" s="61" t="inlineStr">
        <is>
          <t>ALB</t>
        </is>
      </c>
      <c r="C12" s="62">
        <f>IFERROR(AVERAGE(D12,E12,F12,G12,H12,I12),"")</f>
        <v/>
      </c>
      <c r="D12" s="63" t="n">
        <v>0.12</v>
      </c>
      <c r="E12" s="63" t="n">
        <v>17.99</v>
      </c>
      <c r="F12" s="63" t="n">
        <v>16.86</v>
      </c>
      <c r="G12" s="63" t="n">
        <v>17.94</v>
      </c>
      <c r="H12" s="63" t="n">
        <v>17.98</v>
      </c>
      <c r="I12" s="63" t="n">
        <v>14.59</v>
      </c>
      <c r="J12" s="64" t="n"/>
      <c r="K12" s="64" t="n"/>
      <c r="L12" s="64" t="n"/>
      <c r="M12" s="64" t="n"/>
      <c r="N12" s="64" t="n"/>
      <c r="O12" s="64" t="n"/>
    </row>
    <row r="13" ht="18" customHeight="1" s="54">
      <c r="B13" s="61" t="inlineStr">
        <is>
          <t>ECS</t>
        </is>
      </c>
      <c r="C13" s="62">
        <f>IFERROR(AVERAGE(D13,E13,F13,G13,H13,I13),"")</f>
        <v/>
      </c>
      <c r="D13" s="63" t="n">
        <v>0.88</v>
      </c>
      <c r="E13" s="63" t="n">
        <v>0.68</v>
      </c>
      <c r="F13" s="63" t="n">
        <v>1.82</v>
      </c>
      <c r="G13" s="63" t="n">
        <v>1.07</v>
      </c>
      <c r="H13" s="63" t="n">
        <v>0.85</v>
      </c>
      <c r="I13" s="63" t="n">
        <v>9.039999999999999</v>
      </c>
      <c r="J13" s="64" t="n"/>
      <c r="K13" s="64" t="n"/>
      <c r="L13" s="64" t="n"/>
      <c r="M13" s="64" t="n"/>
      <c r="N13" s="64" t="n"/>
      <c r="O13" s="64" t="n"/>
    </row>
    <row r="14" ht="18" customHeight="1" s="54">
      <c r="B14" s="61" t="inlineStr">
        <is>
          <t>ECR</t>
        </is>
      </c>
      <c r="C14" s="62">
        <f>IFERROR(AVERAGE(D14,E14,F14,G14,H14,I14),"")</f>
        <v/>
      </c>
      <c r="D14" s="63" t="n">
        <v>0.49</v>
      </c>
      <c r="E14" s="63" t="n">
        <v>0.49</v>
      </c>
      <c r="F14" s="63" t="n">
        <v>0.54</v>
      </c>
      <c r="G14" s="63" t="n">
        <v>0.57</v>
      </c>
      <c r="H14" s="63" t="n">
        <v>0.59</v>
      </c>
      <c r="I14" s="63" t="n">
        <v>0.59</v>
      </c>
      <c r="J14" s="64" t="n"/>
      <c r="K14" s="64" t="n"/>
      <c r="L14" s="64" t="n"/>
      <c r="M14" s="64" t="n"/>
      <c r="N14" s="64" t="n"/>
      <c r="O14" s="64" t="n"/>
    </row>
    <row r="15" ht="18" customHeight="1" s="54">
      <c r="B15" s="61" t="inlineStr">
        <is>
          <t>S3</t>
        </is>
      </c>
      <c r="C15" s="62">
        <f>IFERROR(AVERAGE(D15,E15,F15,G15,H15,I15),"")</f>
        <v/>
      </c>
      <c r="D15" s="63" t="n">
        <v>1.47</v>
      </c>
      <c r="E15" s="63" t="n">
        <v>1.78</v>
      </c>
      <c r="F15" s="63" t="n">
        <v>34.41</v>
      </c>
      <c r="G15" s="63" t="n">
        <v>3.43</v>
      </c>
      <c r="H15" s="63" t="n">
        <v>31.57</v>
      </c>
      <c r="I15" s="63" t="n">
        <v>72.73</v>
      </c>
      <c r="J15" s="64" t="n"/>
      <c r="K15" s="64" t="n"/>
      <c r="L15" s="64" t="n"/>
      <c r="M15" s="64" t="n"/>
      <c r="N15" s="64" t="n"/>
      <c r="O15" s="64" t="n"/>
    </row>
    <row r="16" ht="18" customHeight="1" s="54">
      <c r="B16" s="61" t="inlineStr">
        <is>
          <t>KMS</t>
        </is>
      </c>
      <c r="C16" s="62">
        <f>IFERROR(AVERAGE(D16,E16,F16,G16,H16,I16),"")</f>
        <v/>
      </c>
      <c r="D16" s="63" t="n">
        <v>3.99</v>
      </c>
      <c r="E16" s="63" t="n">
        <v>3.99</v>
      </c>
      <c r="F16" s="63" t="n">
        <v>4</v>
      </c>
      <c r="G16" s="63" t="n">
        <v>3.97</v>
      </c>
      <c r="H16" s="63" t="n">
        <v>4</v>
      </c>
      <c r="I16" s="63" t="n">
        <v>3.99</v>
      </c>
      <c r="J16" s="64" t="n"/>
      <c r="K16" s="64" t="n"/>
      <c r="L16" s="64" t="n"/>
      <c r="M16" s="64" t="n"/>
      <c r="N16" s="64" t="n"/>
      <c r="O16" s="64" t="n"/>
    </row>
    <row r="17" ht="18" customHeight="1" s="54">
      <c r="B17" s="61" t="inlineStr">
        <is>
          <t>Secrets Manager</t>
        </is>
      </c>
      <c r="C17" s="62">
        <f>IFERROR(AVERAGE(D17,E17,F17,G17,H17,I17),"")</f>
        <v/>
      </c>
      <c r="D17" s="63" t="n">
        <v>2.81</v>
      </c>
      <c r="E17" s="63" t="n">
        <v>2.81</v>
      </c>
      <c r="F17" s="63" t="n">
        <v>2.86</v>
      </c>
      <c r="G17" s="63" t="n">
        <v>2.82</v>
      </c>
      <c r="H17" s="63" t="n">
        <v>2.82</v>
      </c>
      <c r="I17" s="63" t="n">
        <v>2.94</v>
      </c>
      <c r="J17" s="64" t="n"/>
      <c r="K17" s="64" t="n"/>
      <c r="L17" s="64" t="n"/>
      <c r="M17" s="64" t="n"/>
      <c r="N17" s="64" t="n"/>
      <c r="O17" s="64" t="n"/>
    </row>
    <row r="18" ht="18" customHeight="1" s="54">
      <c r="B18" s="61" t="inlineStr">
        <is>
          <t>CloudWatch</t>
        </is>
      </c>
      <c r="C18" s="62">
        <f>IFERROR(AVERAGE(D18,E18,F18,G18,H18,I18),"")</f>
        <v/>
      </c>
      <c r="D18" s="63" t="n">
        <v>0.9</v>
      </c>
      <c r="E18" s="63" t="n">
        <v>1.25</v>
      </c>
      <c r="F18" s="63" t="n">
        <v>0.9</v>
      </c>
      <c r="G18" s="63" t="n">
        <v>0.9</v>
      </c>
      <c r="H18" s="63" t="n">
        <v>0.92</v>
      </c>
      <c r="I18" s="63" t="n">
        <v>1.76</v>
      </c>
      <c r="J18" s="64" t="n"/>
      <c r="K18" s="64" t="n"/>
      <c r="L18" s="64" t="n"/>
      <c r="M18" s="64" t="n"/>
      <c r="N18" s="64" t="n"/>
      <c r="O18" s="64" t="n"/>
    </row>
    <row r="19" ht="18" customHeight="1" s="54">
      <c r="B19" s="61" t="inlineStr">
        <is>
          <t>Step Functions</t>
        </is>
      </c>
      <c r="C19" s="62">
        <f>IFERROR(AVERAGE(D19,E19,F19,G19,H19,I19),"")</f>
        <v/>
      </c>
      <c r="D19" s="63" t="n">
        <v>0.17</v>
      </c>
      <c r="E19" s="63" t="n">
        <v>0.11</v>
      </c>
      <c r="F19" s="63" t="n">
        <v>1.09</v>
      </c>
      <c r="G19" s="63" t="n">
        <v>0.34</v>
      </c>
      <c r="H19" s="63" t="n">
        <v>0.33</v>
      </c>
      <c r="I19" s="63" t="n">
        <v>2.05</v>
      </c>
      <c r="J19" s="64" t="n"/>
      <c r="K19" s="64" t="n"/>
      <c r="L19" s="64" t="n"/>
      <c r="M19" s="64" t="n"/>
      <c r="N19" s="64" t="n"/>
      <c r="O19" s="64" t="n"/>
    </row>
    <row r="20" ht="18" customHeight="1" s="54">
      <c r="B20" s="61" t="inlineStr">
        <is>
          <t>Systems Manager</t>
        </is>
      </c>
      <c r="C20" s="62">
        <f>IFERROR(AVERAGE(D20,E20,F20,G20,H20,I20),"")</f>
        <v/>
      </c>
      <c r="D20" s="63" t="n">
        <v>1.53</v>
      </c>
      <c r="E20" s="63" t="n">
        <v>1.58</v>
      </c>
      <c r="F20" s="63" t="n">
        <v>1.52</v>
      </c>
      <c r="G20" s="63" t="n">
        <v>1.58</v>
      </c>
      <c r="H20" s="63" t="n">
        <v>1.58</v>
      </c>
      <c r="I20" s="63" t="n">
        <v>1.43</v>
      </c>
      <c r="J20" s="64" t="n"/>
      <c r="K20" s="64" t="n"/>
      <c r="L20" s="64" t="n"/>
      <c r="M20" s="64" t="n"/>
      <c r="N20" s="64" t="n"/>
      <c r="O20" s="64" t="n"/>
    </row>
    <row r="21" ht="18" customHeight="1" s="54">
      <c r="B21" s="61" t="inlineStr">
        <is>
          <t>その他</t>
        </is>
      </c>
      <c r="C21" s="62">
        <f>IFERROR(AVERAGE(D21,E21,F21,G21,H21,I21),"")</f>
        <v/>
      </c>
      <c r="D21" s="63" t="n">
        <v>0.5</v>
      </c>
      <c r="E21" s="63" t="n">
        <v>0</v>
      </c>
      <c r="F21" s="63" t="n">
        <v>0.02</v>
      </c>
      <c r="G21" s="63" t="n">
        <v>0.01</v>
      </c>
      <c r="H21" s="63" t="n">
        <v>0.01</v>
      </c>
      <c r="I21" s="63" t="n">
        <v>0.06</v>
      </c>
      <c r="J21" s="64" t="n"/>
      <c r="K21" s="64" t="n"/>
      <c r="L21" s="64" t="n"/>
      <c r="M21" s="64" t="n"/>
      <c r="N21" s="64" t="n"/>
      <c r="O21" s="64" t="n"/>
    </row>
    <row r="22" ht="20" customHeight="1" s="54">
      <c r="B22" s="65" t="inlineStr">
        <is>
          <t>サービス小計</t>
        </is>
      </c>
      <c r="C22" s="66">
        <f>IFERROR(SUM(C6:C21),"")</f>
        <v/>
      </c>
      <c r="D22" s="67">
        <f>IFERROR(SUM(D6:D21),"")</f>
        <v/>
      </c>
      <c r="E22" s="67">
        <f>IFERROR(SUM(E6:E21),"")</f>
        <v/>
      </c>
      <c r="F22" s="67">
        <f>IFERROR(SUM(F6:F21),"")</f>
        <v/>
      </c>
      <c r="G22" s="67">
        <f>IFERROR(SUM(G6:G21),"")</f>
        <v/>
      </c>
      <c r="H22" s="67">
        <f>IFERROR(SUM(H6:H21),"")</f>
        <v/>
      </c>
      <c r="I22" s="67">
        <f>IFERROR(SUM(I6:I21),"")</f>
        <v/>
      </c>
      <c r="J22" s="67">
        <f>IFERROR(SUM(J6:J21),"")</f>
        <v/>
      </c>
      <c r="K22" s="67">
        <f>IFERROR(SUM(K6:K21),"")</f>
        <v/>
      </c>
      <c r="L22" s="67">
        <f>IFERROR(SUM(L6:L21),"")</f>
        <v/>
      </c>
      <c r="M22" s="67">
        <f>IFERROR(SUM(M6:M21),"")</f>
        <v/>
      </c>
      <c r="N22" s="67">
        <f>IFERROR(SUM(N6:N21),"")</f>
        <v/>
      </c>
      <c r="O22" s="67">
        <f>IFERROR(SUM(O6:O21),"")</f>
        <v/>
      </c>
    </row>
    <row r="23" ht="18" customHeight="1" s="54">
      <c r="B23" s="68" t="inlineStr">
        <is>
          <t>Tax</t>
        </is>
      </c>
      <c r="C23" s="62">
        <f>IFERROR(AVERAGE(D23,E23,F23,G23,H23,I23),"")</f>
        <v/>
      </c>
      <c r="D23" s="63" t="n">
        <v>316.83</v>
      </c>
      <c r="E23" s="63" t="n">
        <v>326.46</v>
      </c>
      <c r="F23" s="63" t="n">
        <v>326.56</v>
      </c>
      <c r="G23" s="63" t="n">
        <v>360.82</v>
      </c>
      <c r="H23" s="63" t="n">
        <v>374.71</v>
      </c>
      <c r="I23" s="63" t="n">
        <v>354.11</v>
      </c>
      <c r="J23" s="69" t="n"/>
      <c r="K23" s="69" t="n"/>
      <c r="L23" s="69" t="n"/>
      <c r="M23" s="69" t="n"/>
      <c r="N23" s="69" t="n"/>
      <c r="O23" s="69" t="n"/>
    </row>
    <row r="24" ht="22" customHeight="1" s="54">
      <c r="B24" s="70" t="inlineStr">
        <is>
          <t>合計（税込）</t>
        </is>
      </c>
      <c r="C24" s="71">
        <f>IFERROR(C22+C23,"")</f>
        <v/>
      </c>
      <c r="D24" s="71">
        <f>IFERROR(D22+D23,"")</f>
        <v/>
      </c>
      <c r="E24" s="71">
        <f>IFERROR(E22+E23,"")</f>
        <v/>
      </c>
      <c r="F24" s="71">
        <f>IFERROR(F22+F23,"")</f>
        <v/>
      </c>
      <c r="G24" s="71">
        <f>IFERROR(G22+G23,"")</f>
        <v/>
      </c>
      <c r="H24" s="71">
        <f>IFERROR(H22+H23,"")</f>
        <v/>
      </c>
      <c r="I24" s="71">
        <f>IFERROR(I22+I23,"")</f>
        <v/>
      </c>
      <c r="J24" s="71">
        <f>IFERROR(J22+J23,"")</f>
        <v/>
      </c>
      <c r="K24" s="71">
        <f>IFERROR(K22+K23,"")</f>
        <v/>
      </c>
      <c r="L24" s="71">
        <f>IFERROR(L22+L23,"")</f>
        <v/>
      </c>
      <c r="M24" s="71">
        <f>IFERROR(M22+M23,"")</f>
        <v/>
      </c>
      <c r="N24" s="71">
        <f>IFERROR(N22+N23,"")</f>
        <v/>
      </c>
      <c r="O24" s="71">
        <f>IFERROR(O22+O23,"")</f>
        <v/>
      </c>
    </row>
    <row r="25" ht="16" customHeight="1" s="54">
      <c r="B25" s="72" t="inlineStr">
        <is>
          <t>前月比 ($)</t>
        </is>
      </c>
      <c r="C25" s="73" t="n"/>
      <c r="D25" s="74" t="inlineStr">
        <is>
          <t>-</t>
        </is>
      </c>
      <c r="E25" s="74">
        <f>IFERROR(E24-D24,"")</f>
        <v/>
      </c>
      <c r="F25" s="74">
        <f>IFERROR(F24-E24,"")</f>
        <v/>
      </c>
      <c r="G25" s="74">
        <f>IFERROR(G24-F24,"")</f>
        <v/>
      </c>
      <c r="H25" s="74">
        <f>IFERROR(H24-G24,"")</f>
        <v/>
      </c>
      <c r="I25" s="74">
        <f>IFERROR(I24-H24,"")</f>
        <v/>
      </c>
      <c r="J25" s="74">
        <f>IFERROR(J24-I24,"")</f>
        <v/>
      </c>
      <c r="K25" s="74">
        <f>IFERROR(K24-J24,"")</f>
        <v/>
      </c>
      <c r="L25" s="74">
        <f>IFERROR(L24-K24,"")</f>
        <v/>
      </c>
      <c r="M25" s="74">
        <f>IFERROR(M24-L24,"")</f>
        <v/>
      </c>
      <c r="N25" s="74">
        <f>IFERROR(N24-M24,"")</f>
        <v/>
      </c>
      <c r="O25" s="74">
        <f>IFERROR(O24-N24,"")</f>
        <v/>
      </c>
    </row>
    <row r="26" ht="16" customHeight="1" s="54">
      <c r="B26" s="72" t="inlineStr">
        <is>
          <t>前月比 (%)</t>
        </is>
      </c>
      <c r="C26" s="73" t="n"/>
      <c r="D26" s="75" t="inlineStr">
        <is>
          <t>-</t>
        </is>
      </c>
      <c r="E26" s="76">
        <f>IFERROR((E24-D24)/D24,"")</f>
        <v/>
      </c>
      <c r="F26" s="76">
        <f>IFERROR((F24-E24)/E24,"")</f>
        <v/>
      </c>
      <c r="G26" s="76">
        <f>IFERROR((G24-F24)/F24,"")</f>
        <v/>
      </c>
      <c r="H26" s="76">
        <f>IFERROR((H24-G24)/G24,"")</f>
        <v/>
      </c>
      <c r="I26" s="76">
        <f>IFERROR((I24-H24)/H24,"")</f>
        <v/>
      </c>
      <c r="J26" s="76">
        <f>IFERROR((J24-I24)/I24,"")</f>
        <v/>
      </c>
      <c r="K26" s="76">
        <f>IFERROR((K24-J24)/J24,"")</f>
        <v/>
      </c>
      <c r="L26" s="76">
        <f>IFERROR((L24-K24)/K24,"")</f>
        <v/>
      </c>
      <c r="M26" s="76">
        <f>IFERROR((M24-L24)/L24,"")</f>
        <v/>
      </c>
      <c r="N26" s="76">
        <f>IFERROR((N24-M24)/M24,"")</f>
        <v/>
      </c>
      <c r="O26" s="76">
        <f>IFERROR((O24-N24)/N24,"")</f>
        <v/>
      </c>
    </row>
    <row r="27" ht="16" customHeight="1" s="54">
      <c r="B27" s="72" t="inlineStr">
        <is>
          <t>RDS比率</t>
        </is>
      </c>
      <c r="C27" s="73" t="n"/>
      <c r="D27" s="74">
        <f>IFERROR(D6/D24,"")</f>
        <v/>
      </c>
      <c r="E27" s="74">
        <f>IFERROR(E6/E24,"")</f>
        <v/>
      </c>
      <c r="F27" s="74">
        <f>IFERROR(F6/F24,"")</f>
        <v/>
      </c>
      <c r="G27" s="74">
        <f>IFERROR(G6/G24,"")</f>
        <v/>
      </c>
      <c r="H27" s="74">
        <f>IFERROR(H6/H24,"")</f>
        <v/>
      </c>
      <c r="I27" s="74">
        <f>IFERROR(I6/I24,"")</f>
        <v/>
      </c>
      <c r="J27" s="74">
        <f>IFERROR(J6/J24,"")</f>
        <v/>
      </c>
      <c r="K27" s="74">
        <f>IFERROR(K6/K24,"")</f>
        <v/>
      </c>
      <c r="L27" s="74">
        <f>IFERROR(L6/L24,"")</f>
        <v/>
      </c>
      <c r="M27" s="74">
        <f>IFERROR(M6/M24,"")</f>
        <v/>
      </c>
      <c r="N27" s="74">
        <f>IFERROR(N6/N24,"")</f>
        <v/>
      </c>
      <c r="O27" s="74">
        <f>IFERROR(O6/O24,"")</f>
        <v/>
      </c>
    </row>
    <row r="28" ht="16" customHeight="1" s="54">
      <c r="B28" s="72" t="inlineStr">
        <is>
          <t>閾値チェック</t>
        </is>
      </c>
      <c r="C28" s="73" t="n"/>
      <c r="D28" s="77">
        <f>IFERROR(IF(D24&gt;2500,"⚠ 超過","✓ 正常"),"")</f>
        <v/>
      </c>
      <c r="E28" s="77">
        <f>IFERROR(IF(E24&gt;2500,"⚠ 超過","✓ 正常"),"")</f>
        <v/>
      </c>
      <c r="F28" s="77">
        <f>IFERROR(IF(F24&gt;2500,"⚠ 超過","✓ 正常"),"")</f>
        <v/>
      </c>
      <c r="G28" s="77">
        <f>IFERROR(IF(G24&gt;2500,"⚠ 超過","✓ 正常"),"")</f>
        <v/>
      </c>
      <c r="H28" s="77">
        <f>IFERROR(IF(H24&gt;2500,"⚠ 超過","✓ 正常"),"")</f>
        <v/>
      </c>
      <c r="I28" s="77">
        <f>IFERROR(IF(I24&gt;2500,"⚠ 超過","✓ 正常"),"")</f>
        <v/>
      </c>
      <c r="J28" s="77">
        <f>IFERROR(IF(J24&gt;2500,"⚠ 超過","✓ 正常"),"")</f>
        <v/>
      </c>
      <c r="K28" s="77">
        <f>IFERROR(IF(K24&gt;2500,"⚠ 超過","✓ 正常"),"")</f>
        <v/>
      </c>
      <c r="L28" s="77">
        <f>IFERROR(IF(L24&gt;2500,"⚠ 超過","✓ 正常"),"")</f>
        <v/>
      </c>
      <c r="M28" s="77">
        <f>IFERROR(IF(M24&gt;2500,"⚠ 超過","✓ 正常"),"")</f>
        <v/>
      </c>
      <c r="N28" s="77">
        <f>IFERROR(IF(N24&gt;2500,"⚠ 超過","✓ 正常"),"")</f>
        <v/>
      </c>
      <c r="O28" s="77">
        <f>IFERROR(IF(O24&gt;2500,"⚠ 超過","✓ 正常"),"")</f>
        <v/>
      </c>
    </row>
  </sheetData>
  <mergeCells count="2">
    <mergeCell ref="B3:O3"/>
    <mergeCell ref="B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2026-03-08T11:21:29Z</dcterms:created>
  <dcterms:modified xmlns:dcterms="http://purl.org/dc/terms/" xmlns:xsi="http://www.w3.org/2001/XMLSchema-instance" xsi:type="dcterms:W3CDTF">2026-03-09T20:35:29Z</dcterms:modified>
  <cp:revision>4</cp:revision>
</cp:coreProperties>
</file>