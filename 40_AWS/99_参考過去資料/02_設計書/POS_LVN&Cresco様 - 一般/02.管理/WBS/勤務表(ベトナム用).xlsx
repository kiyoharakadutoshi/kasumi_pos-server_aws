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C:\Users\hi-yamamoto\Downloads\"/>
    </mc:Choice>
  </mc:AlternateContent>
  <xr:revisionPtr revIDLastSave="53" documentId="13_ncr:1_{B7DE8F93-FAB5-4C16-848B-E2EE9CA68BDD}" xr6:coauthVersionLast="47" xr6:coauthVersionMax="47" xr10:uidLastSave="{149EF932-0514-432B-80F3-D3056A7F09ED}"/>
  <bookViews>
    <workbookView xWindow="-110" yWindow="-110" windowWidth="19420" windowHeight="10300" xr2:uid="{8164EA44-FF97-4C81-810B-D15225CDF1C6}"/>
  </bookViews>
  <sheets>
    <sheet name="2025年度勤務表" sheetId="3" r:id="rId1"/>
    <sheet name="2025年度祝日(日本)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C16" i="3"/>
  <c r="C15" i="3"/>
  <c r="F6" i="3"/>
  <c r="G6" i="3" s="1"/>
  <c r="C8" i="3"/>
  <c r="C9" i="3"/>
  <c r="C10" i="3"/>
  <c r="C11" i="3"/>
  <c r="C12" i="3"/>
  <c r="C13" i="3"/>
  <c r="C14" i="3"/>
  <c r="F7" i="3" l="1"/>
  <c r="G7" i="3"/>
  <c r="H6" i="3"/>
  <c r="H7" i="3" l="1"/>
  <c r="I6" i="3"/>
  <c r="I7" i="3" l="1"/>
  <c r="J6" i="3"/>
  <c r="J7" i="3" l="1"/>
  <c r="K6" i="3"/>
  <c r="K7" i="3" l="1"/>
  <c r="L6" i="3"/>
  <c r="L7" i="3" l="1"/>
  <c r="M6" i="3"/>
  <c r="N6" i="3" l="1"/>
  <c r="M7" i="3"/>
  <c r="O6" i="3" l="1"/>
  <c r="N7" i="3"/>
  <c r="O7" i="3" l="1"/>
  <c r="P6" i="3"/>
  <c r="P7" i="3" l="1"/>
  <c r="Q6" i="3"/>
  <c r="Q7" i="3" l="1"/>
  <c r="R6" i="3"/>
  <c r="R7" i="3" l="1"/>
  <c r="S6" i="3"/>
  <c r="S7" i="3" l="1"/>
  <c r="T6" i="3"/>
  <c r="T7" i="3" l="1"/>
  <c r="U6" i="3"/>
  <c r="V6" i="3" l="1"/>
  <c r="U7" i="3"/>
  <c r="W6" i="3" l="1"/>
  <c r="V7" i="3"/>
  <c r="W7" i="3" l="1"/>
  <c r="X6" i="3"/>
  <c r="X7" i="3" l="1"/>
  <c r="Y6" i="3"/>
  <c r="Z6" i="3" l="1"/>
  <c r="Y7" i="3"/>
  <c r="Z7" i="3" l="1"/>
  <c r="AA6" i="3"/>
  <c r="AA7" i="3" l="1"/>
  <c r="AB6" i="3"/>
  <c r="AB7" i="3" l="1"/>
  <c r="AC6" i="3"/>
  <c r="AD6" i="3" l="1"/>
  <c r="AC7" i="3"/>
  <c r="AE6" i="3" l="1"/>
  <c r="AD7" i="3"/>
  <c r="AE7" i="3" l="1"/>
  <c r="AF6" i="3"/>
  <c r="AF7" i="3" l="1"/>
  <c r="AG6" i="3"/>
  <c r="AH6" i="3" l="1"/>
  <c r="AG7" i="3"/>
  <c r="AH7" i="3" l="1"/>
  <c r="AI6" i="3"/>
  <c r="AJ6" i="3" l="1"/>
  <c r="AI7" i="3"/>
  <c r="AJ7" i="3" l="1"/>
  <c r="AK6" i="3"/>
  <c r="AL6" i="3" l="1"/>
  <c r="AK7" i="3"/>
  <c r="AL7" i="3" l="1"/>
  <c r="AM6" i="3"/>
  <c r="AN6" i="3" l="1"/>
  <c r="AM7" i="3"/>
  <c r="AN7" i="3" l="1"/>
  <c r="AO6" i="3"/>
  <c r="AO7" i="3" l="1"/>
  <c r="AP6" i="3"/>
  <c r="AQ6" i="3" l="1"/>
  <c r="AP7" i="3"/>
  <c r="AR6" i="3" l="1"/>
  <c r="AQ7" i="3"/>
  <c r="AS6" i="3" l="1"/>
  <c r="AR7" i="3"/>
  <c r="AS7" i="3" l="1"/>
  <c r="AT6" i="3"/>
  <c r="AU6" i="3" l="1"/>
  <c r="AT7" i="3"/>
  <c r="AV6" i="3" l="1"/>
  <c r="AU7" i="3"/>
  <c r="AW6" i="3" l="1"/>
  <c r="AV7" i="3"/>
  <c r="AX6" i="3" l="1"/>
  <c r="AW7" i="3"/>
  <c r="AX7" i="3" l="1"/>
  <c r="AY6" i="3"/>
  <c r="AZ6" i="3" l="1"/>
  <c r="AY7" i="3"/>
  <c r="BA6" i="3" l="1"/>
  <c r="AZ7" i="3"/>
  <c r="BB6" i="3" l="1"/>
  <c r="BA7" i="3"/>
  <c r="BC6" i="3" l="1"/>
  <c r="BB7" i="3"/>
  <c r="BD6" i="3" l="1"/>
  <c r="BC7" i="3"/>
  <c r="BD7" i="3" l="1"/>
  <c r="BE6" i="3"/>
  <c r="BF6" i="3" l="1"/>
  <c r="BE7" i="3"/>
  <c r="BG6" i="3" l="1"/>
  <c r="BF7" i="3"/>
  <c r="BH6" i="3" l="1"/>
  <c r="BG7" i="3"/>
  <c r="BI6" i="3" l="1"/>
  <c r="BH7" i="3"/>
  <c r="BJ6" i="3" l="1"/>
  <c r="BI7" i="3"/>
  <c r="BK6" i="3" l="1"/>
  <c r="BJ7" i="3"/>
  <c r="BL6" i="3" l="1"/>
  <c r="BK7" i="3"/>
  <c r="BM6" i="3" l="1"/>
  <c r="BL7" i="3"/>
  <c r="BN6" i="3" l="1"/>
  <c r="BM7" i="3"/>
  <c r="BN7" i="3" l="1"/>
  <c r="BO6" i="3"/>
  <c r="BO7" i="3" l="1"/>
  <c r="BP6" i="3"/>
  <c r="BQ6" i="3" l="1"/>
  <c r="BP7" i="3"/>
  <c r="BR6" i="3" l="1"/>
  <c r="BQ7" i="3"/>
  <c r="BR7" i="3" l="1"/>
  <c r="BS6" i="3"/>
  <c r="BT6" i="3" l="1"/>
  <c r="BS7" i="3"/>
  <c r="BU6" i="3" l="1"/>
  <c r="BT7" i="3"/>
  <c r="BV6" i="3" l="1"/>
  <c r="BU7" i="3"/>
  <c r="BW6" i="3" l="1"/>
  <c r="BV7" i="3"/>
  <c r="BX6" i="3" l="1"/>
  <c r="BW7" i="3"/>
  <c r="BY6" i="3" l="1"/>
  <c r="BX7" i="3"/>
  <c r="BZ6" i="3" l="1"/>
  <c r="BY7" i="3"/>
  <c r="CA6" i="3" l="1"/>
  <c r="BZ7" i="3"/>
  <c r="CB6" i="3" l="1"/>
  <c r="CA7" i="3"/>
  <c r="CC6" i="3" l="1"/>
  <c r="CB7" i="3"/>
  <c r="CD6" i="3" l="1"/>
  <c r="CC7" i="3"/>
  <c r="CE6" i="3" l="1"/>
  <c r="CD7" i="3"/>
  <c r="CF6" i="3" l="1"/>
  <c r="CE7" i="3"/>
  <c r="CG6" i="3" l="1"/>
  <c r="CF7" i="3"/>
  <c r="CH6" i="3" l="1"/>
  <c r="CG7" i="3"/>
  <c r="CI6" i="3" l="1"/>
  <c r="CH7" i="3"/>
  <c r="CJ6" i="3" l="1"/>
  <c r="CI7" i="3"/>
  <c r="CK6" i="3" l="1"/>
  <c r="CJ7" i="3"/>
  <c r="CL6" i="3" l="1"/>
  <c r="CK7" i="3"/>
  <c r="CM6" i="3" l="1"/>
  <c r="CL7" i="3"/>
  <c r="CN6" i="3" l="1"/>
  <c r="CM7" i="3"/>
  <c r="CN7" i="3" l="1"/>
  <c r="CO6" i="3"/>
  <c r="CP6" i="3" l="1"/>
  <c r="CO7" i="3"/>
  <c r="CQ6" i="3" l="1"/>
  <c r="CP7" i="3"/>
  <c r="CQ7" i="3" l="1"/>
  <c r="CR6" i="3"/>
  <c r="CS6" i="3" l="1"/>
  <c r="CR7" i="3"/>
  <c r="CS7" i="3" l="1"/>
  <c r="CT6" i="3"/>
  <c r="CU6" i="3" l="1"/>
  <c r="CT7" i="3"/>
  <c r="CV6" i="3" l="1"/>
  <c r="CU7" i="3"/>
  <c r="CW6" i="3" l="1"/>
  <c r="CV7" i="3"/>
  <c r="CX6" i="3" l="1"/>
  <c r="CW7" i="3"/>
  <c r="CY6" i="3" l="1"/>
  <c r="CX7" i="3"/>
  <c r="CZ6" i="3" l="1"/>
  <c r="CY7" i="3"/>
  <c r="DA6" i="3" l="1"/>
  <c r="CZ7" i="3"/>
  <c r="DB6" i="3" l="1"/>
  <c r="DA7" i="3"/>
  <c r="DC6" i="3" l="1"/>
  <c r="DB7" i="3"/>
  <c r="DC7" i="3" l="1"/>
  <c r="DD6" i="3"/>
  <c r="DE6" i="3" l="1"/>
  <c r="DD7" i="3"/>
  <c r="DF6" i="3" l="1"/>
  <c r="DE7" i="3"/>
  <c r="DG6" i="3" l="1"/>
  <c r="DF7" i="3"/>
  <c r="DH6" i="3" l="1"/>
  <c r="DG7" i="3"/>
  <c r="DI6" i="3" l="1"/>
  <c r="DH7" i="3"/>
  <c r="DJ6" i="3" l="1"/>
  <c r="DI7" i="3"/>
  <c r="DK6" i="3" l="1"/>
  <c r="DJ7" i="3"/>
  <c r="DL6" i="3" l="1"/>
  <c r="DK7" i="3"/>
  <c r="DM6" i="3" l="1"/>
  <c r="DL7" i="3"/>
  <c r="DM7" i="3" l="1"/>
  <c r="DN6" i="3"/>
  <c r="DO6" i="3" l="1"/>
  <c r="DN7" i="3"/>
  <c r="DP6" i="3" l="1"/>
  <c r="DO7" i="3"/>
  <c r="DQ6" i="3" l="1"/>
  <c r="DP7" i="3"/>
  <c r="DQ7" i="3" l="1"/>
  <c r="DR6" i="3"/>
  <c r="DS6" i="3" l="1"/>
  <c r="DR7" i="3"/>
  <c r="DT6" i="3" l="1"/>
  <c r="DS7" i="3"/>
  <c r="DT7" i="3" l="1"/>
  <c r="DU6" i="3"/>
  <c r="DV6" i="3" l="1"/>
  <c r="DU7" i="3"/>
  <c r="DW6" i="3" l="1"/>
  <c r="DV7" i="3"/>
  <c r="DW7" i="3" l="1"/>
  <c r="DX6" i="3"/>
  <c r="DY6" i="3" l="1"/>
  <c r="DX7" i="3"/>
  <c r="DZ6" i="3" l="1"/>
  <c r="DY7" i="3"/>
  <c r="EA6" i="3" l="1"/>
  <c r="DZ7" i="3"/>
  <c r="EB6" i="3" l="1"/>
  <c r="EA7" i="3"/>
  <c r="EC6" i="3" l="1"/>
  <c r="EB7" i="3"/>
  <c r="ED6" i="3" l="1"/>
  <c r="EC7" i="3"/>
  <c r="EE6" i="3" l="1"/>
  <c r="ED7" i="3"/>
  <c r="EF6" i="3" l="1"/>
  <c r="EE7" i="3"/>
  <c r="EG6" i="3" l="1"/>
  <c r="EF7" i="3"/>
  <c r="EH6" i="3" l="1"/>
  <c r="EG7" i="3"/>
  <c r="EI6" i="3" l="1"/>
  <c r="EH7" i="3"/>
  <c r="EJ6" i="3" l="1"/>
  <c r="EI7" i="3"/>
  <c r="EK6" i="3" l="1"/>
  <c r="EJ7" i="3"/>
  <c r="EL6" i="3" l="1"/>
  <c r="EK7" i="3"/>
  <c r="EM6" i="3" l="1"/>
  <c r="EL7" i="3"/>
  <c r="EM7" i="3" l="1"/>
</calcChain>
</file>

<file path=xl/sharedStrings.xml><?xml version="1.0" encoding="utf-8"?>
<sst xmlns="http://schemas.openxmlformats.org/spreadsheetml/2006/main" count="82" uniqueCount="56">
  <si>
    <t>開始日</t>
    <rPh sb="0" eb="3">
      <t>カイシビ</t>
    </rPh>
    <phoneticPr fontId="1"/>
  </si>
  <si>
    <t>終了日</t>
    <rPh sb="0" eb="2">
      <t>シュウリョウ</t>
    </rPh>
    <rPh sb="2" eb="3">
      <t>ビ</t>
    </rPh>
    <phoneticPr fontId="1"/>
  </si>
  <si>
    <t>2025/9/31</t>
    <phoneticPr fontId="1"/>
  </si>
  <si>
    <t>土曜</t>
    <rPh sb="0" eb="2">
      <t>ドヨウ</t>
    </rPh>
    <phoneticPr fontId="1"/>
  </si>
  <si>
    <t>日曜、祝日</t>
    <rPh sb="0" eb="2">
      <t>ニチヨウ</t>
    </rPh>
    <rPh sb="3" eb="5">
      <t>シュクジツ</t>
    </rPh>
    <phoneticPr fontId="1"/>
  </si>
  <si>
    <t>AWSサミット</t>
  </si>
  <si>
    <t>クレスコ休み</t>
  </si>
  <si>
    <t>No</t>
    <phoneticPr fontId="1"/>
  </si>
  <si>
    <t>氏名</t>
    <rPh sb="0" eb="2">
      <t>シメイ</t>
    </rPh>
    <phoneticPr fontId="1"/>
  </si>
  <si>
    <t>チーム</t>
    <phoneticPr fontId="1"/>
  </si>
  <si>
    <t>大谷</t>
    <rPh sb="0" eb="2">
      <t>オオタニ</t>
    </rPh>
    <phoneticPr fontId="1"/>
  </si>
  <si>
    <t>ルビナ</t>
  </si>
  <si>
    <t>午後不在</t>
  </si>
  <si>
    <t>遠藤</t>
    <rPh sb="0" eb="2">
      <t>エンドウ</t>
    </rPh>
    <phoneticPr fontId="1"/>
  </si>
  <si>
    <t>クレスコ</t>
  </si>
  <si>
    <t>武居</t>
    <rPh sb="0" eb="2">
      <t>タケイ</t>
    </rPh>
    <phoneticPr fontId="1"/>
  </si>
  <si>
    <t>午後不在</t>
    <rPh sb="0" eb="4">
      <t>ゴゴフザイ</t>
    </rPh>
    <phoneticPr fontId="1"/>
  </si>
  <si>
    <t>大生</t>
    <rPh sb="0" eb="2">
      <t>ダイナマ</t>
    </rPh>
    <phoneticPr fontId="1"/>
  </si>
  <si>
    <t>休み</t>
    <rPh sb="0" eb="1">
      <t>ヤス</t>
    </rPh>
    <phoneticPr fontId="1"/>
  </si>
  <si>
    <t>午後研修</t>
  </si>
  <si>
    <t>16時退社</t>
  </si>
  <si>
    <t>午後サミット</t>
  </si>
  <si>
    <t>毎田</t>
    <rPh sb="0" eb="2">
      <t>マイダ</t>
    </rPh>
    <phoneticPr fontId="1"/>
  </si>
  <si>
    <t>１５時以降不在</t>
  </si>
  <si>
    <t>午後検討会不在</t>
  </si>
  <si>
    <t>大浦</t>
  </si>
  <si>
    <t>休み</t>
  </si>
  <si>
    <t>午前不在</t>
  </si>
  <si>
    <t>16:30-17:00中抜け</t>
  </si>
  <si>
    <t>8時-16時勤務</t>
  </si>
  <si>
    <t>研修(不在)</t>
  </si>
  <si>
    <t>休みor午後休</t>
  </si>
  <si>
    <t>学会のため不在</t>
  </si>
  <si>
    <t>泰誠</t>
  </si>
  <si>
    <t>全休</t>
  </si>
  <si>
    <t>午後休</t>
  </si>
  <si>
    <t>No</t>
  </si>
  <si>
    <t>日付</t>
  </si>
  <si>
    <t>主日</t>
  </si>
  <si>
    <t>元日</t>
  </si>
  <si>
    <t>成人の日</t>
  </si>
  <si>
    <t>建国記念の日</t>
  </si>
  <si>
    <t>天皇誕生日</t>
  </si>
  <si>
    <t>振替休日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</si>
  <si>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</si>
  <si>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</si>
  <si>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</si>
  <si>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</si>
  <si>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</si>
  <si>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</si>
  <si>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</si>
  <si>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</si>
  <si>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</si>
  <si>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スポーツの日</t>
  </si>
  <si>
    <t>文化の日</t>
  </si>
  <si>
    <t>勤労感謝の日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</si>
</sst>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i/>
      <sz val="11"/>
      <color theme="1"/>
      <name val="游ゴシック"/>
      <family val="2"/>
      <charset val="128"/>
      <scheme val="minor"/>
    </font>
    <font>
      <sz val="8"/>
      <color rgb="FF1C1E21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right"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3" xfId="0" applyNumberFormat="1" applyBorder="1">
      <alignment vertical="center"/>
    </xf>
    <xf numFmtId="176" fontId="0" fillId="3" borderId="3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2" fillId="4" borderId="8" xfId="0" applyFont="1" applyFill="1" applyBorder="1">
      <alignment vertical="center"/>
    </xf>
    <xf numFmtId="0" fontId="2" fillId="4" borderId="1" xfId="0" applyFont="1" applyFill="1" applyBorder="1">
      <alignment vertical="center"/>
    </xf>
    <xf numFmtId="176" fontId="0" fillId="5" borderId="3" xfId="0" applyNumberFormat="1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0" fillId="7" borderId="3" xfId="0" applyNumberFormat="1" applyFill="1" applyBorder="1">
      <alignment vertical="center"/>
    </xf>
    <xf numFmtId="0" fontId="0" fillId="7" borderId="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6" borderId="8" xfId="0" applyFill="1" applyBorder="1" applyAlignment="1">
      <alignment horizontal="center" vertical="center"/>
    </xf>
    <xf numFmtId="0" fontId="0" fillId="6" borderId="8" xfId="0" applyFill="1" applyBorder="1">
      <alignment vertical="center"/>
    </xf>
    <xf numFmtId="0" fontId="0" fillId="6" borderId="1" xfId="0" applyFill="1" applyBorder="1">
      <alignment vertical="center"/>
    </xf>
    <xf numFmtId="176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4" borderId="17" xfId="0" applyFill="1" applyBorder="1">
      <alignment vertical="center"/>
    </xf>
    <xf numFmtId="0" fontId="0" fillId="0" borderId="17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標準" xfId="0" builtinId="0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1E21"/>
        <name val="Segoe U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1E21"/>
        <name val="Segoe UI"/>
        <family val="2"/>
        <scheme val="none"/>
      </font>
      <numFmt numFmtId="176" formatCode="m/d;@"/>
      <alignment horizontal="left" vertical="center" textRotation="0" wrapText="1" indent="0" justifyLastLine="0" shrinkToFit="0" readingOrder="0"/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94621A-B785-40B3-AB49-554273A33FCF}" name="テーブル22" displayName="テーブル22" ref="A4:C29" totalsRowShown="0">
  <autoFilter ref="A4:C29" xr:uid="{3E826643-0095-4252-AF01-DE5290CA821A}"/>
  <tableColumns count="3">
    <tableColumn id="1" xr3:uid="{767AF018-52D9-41CE-AA71-A29F88C9A339}" name="No"/>
    <tableColumn id="2" xr3:uid="{57B67DBF-B713-40AA-9E4C-8C2541F760B6}" name="日付" dataDxfId="1"/>
    <tableColumn id="3" xr3:uid="{1EB14BD0-66F5-44FB-8564-24CA09358559}" name="主日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9421-0715-4D48-9A3F-42A575C422C4}">
  <dimension ref="C2:EM17"/>
  <sheetViews>
    <sheetView tabSelected="1" workbookViewId="0">
      <pane xSplit="4" topLeftCell="CZ2" activePane="topRight" state="frozen"/>
      <selection pane="topRight" activeCell="DE16" sqref="DE16"/>
    </sheetView>
  </sheetViews>
  <sheetFormatPr defaultRowHeight="18"/>
  <cols>
    <col min="4" max="4" width="10" bestFit="1" customWidth="1"/>
    <col min="5" max="5" width="17.5" customWidth="1"/>
    <col min="6" max="15" width="8.625" hidden="1" customWidth="1"/>
    <col min="16" max="16" width="9.375" hidden="1" customWidth="1"/>
    <col min="17" max="22" width="8.625" hidden="1" customWidth="1"/>
    <col min="23" max="23" width="15.125" hidden="1" customWidth="1"/>
    <col min="24" max="36" width="8.625" hidden="1" customWidth="1"/>
    <col min="37" max="41" width="8.625" customWidth="1"/>
  </cols>
  <sheetData>
    <row r="2" spans="3:143">
      <c r="C2" s="1" t="s">
        <v>0</v>
      </c>
      <c r="D2" s="2">
        <v>45793</v>
      </c>
    </row>
    <row r="3" spans="3:143">
      <c r="C3" s="1" t="s">
        <v>1</v>
      </c>
      <c r="D3" s="2" t="s">
        <v>2</v>
      </c>
    </row>
    <row r="4" spans="3:143">
      <c r="D4" s="5" t="s">
        <v>3</v>
      </c>
    </row>
    <row r="5" spans="3:143" ht="18.600000000000001" thickBot="1">
      <c r="D5" s="4" t="s">
        <v>4</v>
      </c>
      <c r="AT5" s="36" t="s">
        <v>5</v>
      </c>
      <c r="AU5" s="36" t="s">
        <v>5</v>
      </c>
      <c r="BI5" t="s">
        <v>6</v>
      </c>
    </row>
    <row r="6" spans="3:143">
      <c r="C6" s="47" t="s">
        <v>7</v>
      </c>
      <c r="D6" s="49" t="s">
        <v>8</v>
      </c>
      <c r="E6" s="51" t="s">
        <v>9</v>
      </c>
      <c r="F6" s="6">
        <f>D2</f>
        <v>45793</v>
      </c>
      <c r="G6" s="6">
        <f t="shared" ref="G6:AM6" si="0">IF(F6+1&gt;$D$3,"",F6+1)</f>
        <v>45794</v>
      </c>
      <c r="H6" s="6">
        <f t="shared" si="0"/>
        <v>45795</v>
      </c>
      <c r="I6" s="6">
        <f t="shared" si="0"/>
        <v>45796</v>
      </c>
      <c r="J6" s="6">
        <f t="shared" si="0"/>
        <v>45797</v>
      </c>
      <c r="K6" s="6">
        <f t="shared" si="0"/>
        <v>45798</v>
      </c>
      <c r="L6" s="6">
        <f t="shared" si="0"/>
        <v>45799</v>
      </c>
      <c r="M6" s="6">
        <f t="shared" si="0"/>
        <v>45800</v>
      </c>
      <c r="N6" s="6">
        <f t="shared" si="0"/>
        <v>45801</v>
      </c>
      <c r="O6" s="6">
        <f t="shared" si="0"/>
        <v>45802</v>
      </c>
      <c r="P6" s="6">
        <f t="shared" si="0"/>
        <v>45803</v>
      </c>
      <c r="Q6" s="6">
        <f t="shared" si="0"/>
        <v>45804</v>
      </c>
      <c r="R6" s="6">
        <f t="shared" si="0"/>
        <v>45805</v>
      </c>
      <c r="S6" s="6">
        <f t="shared" si="0"/>
        <v>45806</v>
      </c>
      <c r="T6" s="6">
        <f t="shared" si="0"/>
        <v>45807</v>
      </c>
      <c r="U6" s="6">
        <f t="shared" si="0"/>
        <v>45808</v>
      </c>
      <c r="V6" s="6">
        <f t="shared" si="0"/>
        <v>45809</v>
      </c>
      <c r="W6" s="6">
        <f t="shared" si="0"/>
        <v>45810</v>
      </c>
      <c r="X6" s="6">
        <f t="shared" si="0"/>
        <v>45811</v>
      </c>
      <c r="Y6" s="6">
        <f t="shared" si="0"/>
        <v>45812</v>
      </c>
      <c r="Z6" s="6">
        <f t="shared" si="0"/>
        <v>45813</v>
      </c>
      <c r="AA6" s="6">
        <f t="shared" si="0"/>
        <v>45814</v>
      </c>
      <c r="AB6" s="6">
        <f t="shared" si="0"/>
        <v>45815</v>
      </c>
      <c r="AC6" s="6">
        <f t="shared" si="0"/>
        <v>45816</v>
      </c>
      <c r="AD6" s="6">
        <f t="shared" si="0"/>
        <v>45817</v>
      </c>
      <c r="AE6" s="6">
        <f t="shared" si="0"/>
        <v>45818</v>
      </c>
      <c r="AF6" s="6">
        <f t="shared" si="0"/>
        <v>45819</v>
      </c>
      <c r="AG6" s="6">
        <f t="shared" si="0"/>
        <v>45820</v>
      </c>
      <c r="AH6" s="6">
        <f t="shared" si="0"/>
        <v>45821</v>
      </c>
      <c r="AI6" s="7">
        <f t="shared" si="0"/>
        <v>45822</v>
      </c>
      <c r="AJ6" s="6">
        <f t="shared" si="0"/>
        <v>45823</v>
      </c>
      <c r="AK6" s="6">
        <f t="shared" si="0"/>
        <v>45824</v>
      </c>
      <c r="AL6" s="6">
        <f t="shared" si="0"/>
        <v>45825</v>
      </c>
      <c r="AM6" s="6">
        <f t="shared" si="0"/>
        <v>45826</v>
      </c>
      <c r="AN6" s="6">
        <f t="shared" ref="AN6:AO6" si="1">IF(AM6+1&gt;$D$3,"",AM6+1)</f>
        <v>45827</v>
      </c>
      <c r="AO6" s="6">
        <f t="shared" si="1"/>
        <v>45828</v>
      </c>
      <c r="AP6" s="6">
        <f t="shared" ref="AP6:DA6" si="2">IF(AO6+1&gt;$D$3,"",AO6+1)</f>
        <v>45829</v>
      </c>
      <c r="AQ6" s="6">
        <f t="shared" si="2"/>
        <v>45830</v>
      </c>
      <c r="AR6" s="6">
        <f t="shared" si="2"/>
        <v>45831</v>
      </c>
      <c r="AS6" s="6">
        <f t="shared" si="2"/>
        <v>45832</v>
      </c>
      <c r="AT6" s="6">
        <f t="shared" si="2"/>
        <v>45833</v>
      </c>
      <c r="AU6" s="6">
        <f t="shared" si="2"/>
        <v>45834</v>
      </c>
      <c r="AV6" s="6">
        <f t="shared" si="2"/>
        <v>45835</v>
      </c>
      <c r="AW6" s="6">
        <f t="shared" si="2"/>
        <v>45836</v>
      </c>
      <c r="AX6" s="6">
        <f t="shared" si="2"/>
        <v>45837</v>
      </c>
      <c r="AY6" s="6">
        <f t="shared" si="2"/>
        <v>45838</v>
      </c>
      <c r="AZ6" s="6">
        <f t="shared" si="2"/>
        <v>45839</v>
      </c>
      <c r="BA6" s="6">
        <f t="shared" si="2"/>
        <v>45840</v>
      </c>
      <c r="BB6" s="6">
        <f t="shared" si="2"/>
        <v>45841</v>
      </c>
      <c r="BC6" s="6">
        <f t="shared" si="2"/>
        <v>45842</v>
      </c>
      <c r="BD6" s="6">
        <f t="shared" si="2"/>
        <v>45843</v>
      </c>
      <c r="BE6" s="6">
        <f t="shared" si="2"/>
        <v>45844</v>
      </c>
      <c r="BF6" s="6">
        <f t="shared" si="2"/>
        <v>45845</v>
      </c>
      <c r="BG6" s="6">
        <f t="shared" si="2"/>
        <v>45846</v>
      </c>
      <c r="BH6" s="6">
        <f t="shared" si="2"/>
        <v>45847</v>
      </c>
      <c r="BI6" s="6">
        <f t="shared" si="2"/>
        <v>45848</v>
      </c>
      <c r="BJ6" s="6">
        <f t="shared" si="2"/>
        <v>45849</v>
      </c>
      <c r="BK6" s="6">
        <f t="shared" si="2"/>
        <v>45850</v>
      </c>
      <c r="BL6" s="6">
        <f t="shared" si="2"/>
        <v>45851</v>
      </c>
      <c r="BM6" s="6">
        <f t="shared" si="2"/>
        <v>45852</v>
      </c>
      <c r="BN6" s="6">
        <f t="shared" si="2"/>
        <v>45853</v>
      </c>
      <c r="BO6" s="6">
        <f t="shared" si="2"/>
        <v>45854</v>
      </c>
      <c r="BP6" s="6">
        <f t="shared" si="2"/>
        <v>45855</v>
      </c>
      <c r="BQ6" s="6">
        <f t="shared" si="2"/>
        <v>45856</v>
      </c>
      <c r="BR6" s="6">
        <f t="shared" si="2"/>
        <v>45857</v>
      </c>
      <c r="BS6" s="6">
        <f t="shared" si="2"/>
        <v>45858</v>
      </c>
      <c r="BT6" s="6">
        <f t="shared" si="2"/>
        <v>45859</v>
      </c>
      <c r="BU6" s="6">
        <f t="shared" si="2"/>
        <v>45860</v>
      </c>
      <c r="BV6" s="6">
        <f t="shared" si="2"/>
        <v>45861</v>
      </c>
      <c r="BW6" s="6">
        <f t="shared" si="2"/>
        <v>45862</v>
      </c>
      <c r="BX6" s="6">
        <f t="shared" si="2"/>
        <v>45863</v>
      </c>
      <c r="BY6" s="6">
        <f t="shared" si="2"/>
        <v>45864</v>
      </c>
      <c r="BZ6" s="6">
        <f t="shared" si="2"/>
        <v>45865</v>
      </c>
      <c r="CA6" s="6">
        <f t="shared" si="2"/>
        <v>45866</v>
      </c>
      <c r="CB6" s="6">
        <f t="shared" si="2"/>
        <v>45867</v>
      </c>
      <c r="CC6" s="6">
        <f t="shared" si="2"/>
        <v>45868</v>
      </c>
      <c r="CD6" s="6">
        <f t="shared" si="2"/>
        <v>45869</v>
      </c>
      <c r="CE6" s="6">
        <f t="shared" si="2"/>
        <v>45870</v>
      </c>
      <c r="CF6" s="6">
        <f t="shared" si="2"/>
        <v>45871</v>
      </c>
      <c r="CG6" s="6">
        <f t="shared" si="2"/>
        <v>45872</v>
      </c>
      <c r="CH6" s="6">
        <f t="shared" si="2"/>
        <v>45873</v>
      </c>
      <c r="CI6" s="6">
        <f t="shared" si="2"/>
        <v>45874</v>
      </c>
      <c r="CJ6" s="6">
        <f t="shared" si="2"/>
        <v>45875</v>
      </c>
      <c r="CK6" s="6">
        <f t="shared" si="2"/>
        <v>45876</v>
      </c>
      <c r="CL6" s="6">
        <f t="shared" si="2"/>
        <v>45877</v>
      </c>
      <c r="CM6" s="6">
        <f t="shared" si="2"/>
        <v>45878</v>
      </c>
      <c r="CN6" s="6">
        <f t="shared" si="2"/>
        <v>45879</v>
      </c>
      <c r="CO6" s="6">
        <f t="shared" si="2"/>
        <v>45880</v>
      </c>
      <c r="CP6" s="6">
        <f t="shared" si="2"/>
        <v>45881</v>
      </c>
      <c r="CQ6" s="6">
        <f t="shared" si="2"/>
        <v>45882</v>
      </c>
      <c r="CR6" s="6">
        <f t="shared" si="2"/>
        <v>45883</v>
      </c>
      <c r="CS6" s="6">
        <f t="shared" si="2"/>
        <v>45884</v>
      </c>
      <c r="CT6" s="6">
        <f t="shared" si="2"/>
        <v>45885</v>
      </c>
      <c r="CU6" s="6">
        <f t="shared" si="2"/>
        <v>45886</v>
      </c>
      <c r="CV6" s="6">
        <f t="shared" si="2"/>
        <v>45887</v>
      </c>
      <c r="CW6" s="6">
        <f t="shared" si="2"/>
        <v>45888</v>
      </c>
      <c r="CX6" s="6">
        <f t="shared" si="2"/>
        <v>45889</v>
      </c>
      <c r="CY6" s="6">
        <f t="shared" si="2"/>
        <v>45890</v>
      </c>
      <c r="CZ6" s="6">
        <f t="shared" si="2"/>
        <v>45891</v>
      </c>
      <c r="DA6" s="6">
        <f t="shared" si="2"/>
        <v>45892</v>
      </c>
      <c r="DB6" s="17">
        <f t="shared" ref="DB6:EM6" si="3">IF(DA6+1&gt;$D$3,"",DA6+1)</f>
        <v>45893</v>
      </c>
      <c r="DC6" s="6">
        <f t="shared" si="3"/>
        <v>45894</v>
      </c>
      <c r="DD6" s="6">
        <f t="shared" si="3"/>
        <v>45895</v>
      </c>
      <c r="DE6" s="6">
        <f t="shared" si="3"/>
        <v>45896</v>
      </c>
      <c r="DF6" s="6">
        <f t="shared" si="3"/>
        <v>45897</v>
      </c>
      <c r="DG6" s="6">
        <f t="shared" si="3"/>
        <v>45898</v>
      </c>
      <c r="DH6" s="20">
        <f t="shared" si="3"/>
        <v>45899</v>
      </c>
      <c r="DI6" s="6">
        <f t="shared" si="3"/>
        <v>45900</v>
      </c>
      <c r="DJ6" s="6">
        <f t="shared" si="3"/>
        <v>45901</v>
      </c>
      <c r="DK6" s="6">
        <f t="shared" si="3"/>
        <v>45902</v>
      </c>
      <c r="DL6" s="6">
        <f t="shared" si="3"/>
        <v>45903</v>
      </c>
      <c r="DM6" s="6">
        <f t="shared" si="3"/>
        <v>45904</v>
      </c>
      <c r="DN6" s="6">
        <f t="shared" si="3"/>
        <v>45905</v>
      </c>
      <c r="DO6" s="6">
        <f t="shared" si="3"/>
        <v>45906</v>
      </c>
      <c r="DP6" s="6">
        <f t="shared" si="3"/>
        <v>45907</v>
      </c>
      <c r="DQ6" s="6">
        <f t="shared" si="3"/>
        <v>45908</v>
      </c>
      <c r="DR6" s="6">
        <f t="shared" si="3"/>
        <v>45909</v>
      </c>
      <c r="DS6" s="6">
        <f t="shared" si="3"/>
        <v>45910</v>
      </c>
      <c r="DT6" s="6">
        <f t="shared" si="3"/>
        <v>45911</v>
      </c>
      <c r="DU6" s="6">
        <f t="shared" si="3"/>
        <v>45912</v>
      </c>
      <c r="DV6" s="6">
        <f t="shared" si="3"/>
        <v>45913</v>
      </c>
      <c r="DW6" s="6">
        <f t="shared" si="3"/>
        <v>45914</v>
      </c>
      <c r="DX6" s="6">
        <f t="shared" si="3"/>
        <v>45915</v>
      </c>
      <c r="DY6" s="6">
        <f t="shared" si="3"/>
        <v>45916</v>
      </c>
      <c r="DZ6" s="6">
        <f t="shared" si="3"/>
        <v>45917</v>
      </c>
      <c r="EA6" s="6">
        <f t="shared" si="3"/>
        <v>45918</v>
      </c>
      <c r="EB6" s="6">
        <f t="shared" si="3"/>
        <v>45919</v>
      </c>
      <c r="EC6" s="6">
        <f t="shared" si="3"/>
        <v>45920</v>
      </c>
      <c r="ED6" s="6">
        <f t="shared" si="3"/>
        <v>45921</v>
      </c>
      <c r="EE6" s="6">
        <f t="shared" si="3"/>
        <v>45922</v>
      </c>
      <c r="EF6" s="6">
        <f t="shared" si="3"/>
        <v>45923</v>
      </c>
      <c r="EG6" s="6">
        <f t="shared" si="3"/>
        <v>45924</v>
      </c>
      <c r="EH6" s="6">
        <f t="shared" si="3"/>
        <v>45925</v>
      </c>
      <c r="EI6" s="6">
        <f t="shared" si="3"/>
        <v>45926</v>
      </c>
      <c r="EJ6" s="6">
        <f t="shared" si="3"/>
        <v>45927</v>
      </c>
      <c r="EK6" s="6">
        <f t="shared" si="3"/>
        <v>45928</v>
      </c>
      <c r="EL6" s="6">
        <f t="shared" si="3"/>
        <v>45929</v>
      </c>
      <c r="EM6" s="6">
        <f t="shared" si="3"/>
        <v>45930</v>
      </c>
    </row>
    <row r="7" spans="3:143" ht="18.600000000000001" thickBot="1">
      <c r="C7" s="48"/>
      <c r="D7" s="50"/>
      <c r="E7" s="52"/>
      <c r="F7" s="12" t="str">
        <f t="shared" ref="F7:AM7" si="4">TEXT(F6,"aaa")</f>
        <v>金</v>
      </c>
      <c r="G7" s="12" t="str">
        <f t="shared" si="4"/>
        <v>土</v>
      </c>
      <c r="H7" s="12" t="str">
        <f t="shared" si="4"/>
        <v>日</v>
      </c>
      <c r="I7" s="12" t="str">
        <f t="shared" si="4"/>
        <v>月</v>
      </c>
      <c r="J7" s="12" t="str">
        <f t="shared" si="4"/>
        <v>火</v>
      </c>
      <c r="K7" s="12" t="str">
        <f t="shared" si="4"/>
        <v>水</v>
      </c>
      <c r="L7" s="12" t="str">
        <f t="shared" si="4"/>
        <v>木</v>
      </c>
      <c r="M7" s="12" t="str">
        <f t="shared" si="4"/>
        <v>金</v>
      </c>
      <c r="N7" s="12" t="str">
        <f t="shared" si="4"/>
        <v>土</v>
      </c>
      <c r="O7" s="12" t="str">
        <f t="shared" si="4"/>
        <v>日</v>
      </c>
      <c r="P7" s="12" t="str">
        <f t="shared" si="4"/>
        <v>月</v>
      </c>
      <c r="Q7" s="12" t="str">
        <f t="shared" si="4"/>
        <v>火</v>
      </c>
      <c r="R7" s="12" t="str">
        <f t="shared" si="4"/>
        <v>水</v>
      </c>
      <c r="S7" s="12" t="str">
        <f t="shared" si="4"/>
        <v>木</v>
      </c>
      <c r="T7" s="12" t="str">
        <f t="shared" si="4"/>
        <v>金</v>
      </c>
      <c r="U7" s="12" t="str">
        <f t="shared" si="4"/>
        <v>土</v>
      </c>
      <c r="V7" s="12" t="str">
        <f t="shared" si="4"/>
        <v>日</v>
      </c>
      <c r="W7" s="12" t="str">
        <f t="shared" si="4"/>
        <v>月</v>
      </c>
      <c r="X7" s="12" t="str">
        <f t="shared" si="4"/>
        <v>火</v>
      </c>
      <c r="Y7" s="12" t="str">
        <f t="shared" si="4"/>
        <v>水</v>
      </c>
      <c r="Z7" s="12" t="str">
        <f t="shared" si="4"/>
        <v>木</v>
      </c>
      <c r="AA7" s="12" t="str">
        <f t="shared" si="4"/>
        <v>金</v>
      </c>
      <c r="AB7" s="12" t="str">
        <f t="shared" si="4"/>
        <v>土</v>
      </c>
      <c r="AC7" s="12" t="str">
        <f t="shared" si="4"/>
        <v>日</v>
      </c>
      <c r="AD7" s="12" t="str">
        <f t="shared" si="4"/>
        <v>月</v>
      </c>
      <c r="AE7" s="12" t="str">
        <f t="shared" si="4"/>
        <v>火</v>
      </c>
      <c r="AF7" s="12" t="str">
        <f t="shared" si="4"/>
        <v>水</v>
      </c>
      <c r="AG7" s="12" t="str">
        <f t="shared" si="4"/>
        <v>木</v>
      </c>
      <c r="AH7" s="12" t="str">
        <f t="shared" si="4"/>
        <v>金</v>
      </c>
      <c r="AI7" s="13" t="str">
        <f t="shared" si="4"/>
        <v>土</v>
      </c>
      <c r="AJ7" s="12" t="str">
        <f t="shared" si="4"/>
        <v>日</v>
      </c>
      <c r="AK7" s="12" t="str">
        <f t="shared" si="4"/>
        <v>月</v>
      </c>
      <c r="AL7" s="12" t="str">
        <f t="shared" si="4"/>
        <v>火</v>
      </c>
      <c r="AM7" s="12" t="str">
        <f t="shared" si="4"/>
        <v>水</v>
      </c>
      <c r="AN7" s="12" t="str">
        <f t="shared" ref="AN7:AO7" si="5">TEXT(AN6,"aaa")</f>
        <v>木</v>
      </c>
      <c r="AO7" s="12" t="str">
        <f t="shared" si="5"/>
        <v>金</v>
      </c>
      <c r="AP7" s="12" t="str">
        <f t="shared" ref="AP7:DA7" si="6">TEXT(AP6,"aaa")</f>
        <v>土</v>
      </c>
      <c r="AQ7" s="12" t="str">
        <f t="shared" si="6"/>
        <v>日</v>
      </c>
      <c r="AR7" s="12" t="str">
        <f t="shared" si="6"/>
        <v>月</v>
      </c>
      <c r="AS7" s="12" t="str">
        <f t="shared" si="6"/>
        <v>火</v>
      </c>
      <c r="AT7" s="12" t="str">
        <f t="shared" si="6"/>
        <v>水</v>
      </c>
      <c r="AU7" s="12" t="str">
        <f t="shared" si="6"/>
        <v>木</v>
      </c>
      <c r="AV7" s="12" t="str">
        <f t="shared" si="6"/>
        <v>金</v>
      </c>
      <c r="AW7" s="12" t="str">
        <f t="shared" si="6"/>
        <v>土</v>
      </c>
      <c r="AX7" s="12" t="str">
        <f t="shared" si="6"/>
        <v>日</v>
      </c>
      <c r="AY7" s="12" t="str">
        <f t="shared" si="6"/>
        <v>月</v>
      </c>
      <c r="AZ7" s="12" t="str">
        <f t="shared" si="6"/>
        <v>火</v>
      </c>
      <c r="BA7" s="12" t="str">
        <f t="shared" si="6"/>
        <v>水</v>
      </c>
      <c r="BB7" s="12" t="str">
        <f t="shared" si="6"/>
        <v>木</v>
      </c>
      <c r="BC7" s="12" t="str">
        <f t="shared" si="6"/>
        <v>金</v>
      </c>
      <c r="BD7" s="12" t="str">
        <f t="shared" si="6"/>
        <v>土</v>
      </c>
      <c r="BE7" s="12" t="str">
        <f t="shared" si="6"/>
        <v>日</v>
      </c>
      <c r="BF7" s="12" t="str">
        <f t="shared" si="6"/>
        <v>月</v>
      </c>
      <c r="BG7" s="12" t="str">
        <f t="shared" si="6"/>
        <v>火</v>
      </c>
      <c r="BH7" s="12" t="str">
        <f t="shared" si="6"/>
        <v>水</v>
      </c>
      <c r="BI7" s="12" t="str">
        <f t="shared" si="6"/>
        <v>木</v>
      </c>
      <c r="BJ7" s="12" t="str">
        <f t="shared" si="6"/>
        <v>金</v>
      </c>
      <c r="BK7" s="12" t="str">
        <f t="shared" si="6"/>
        <v>土</v>
      </c>
      <c r="BL7" s="12" t="str">
        <f t="shared" si="6"/>
        <v>日</v>
      </c>
      <c r="BM7" s="12" t="str">
        <f t="shared" si="6"/>
        <v>月</v>
      </c>
      <c r="BN7" s="12" t="str">
        <f t="shared" si="6"/>
        <v>火</v>
      </c>
      <c r="BO7" s="12" t="str">
        <f t="shared" si="6"/>
        <v>水</v>
      </c>
      <c r="BP7" s="12" t="str">
        <f t="shared" si="6"/>
        <v>木</v>
      </c>
      <c r="BQ7" s="12" t="str">
        <f t="shared" si="6"/>
        <v>金</v>
      </c>
      <c r="BR7" s="12" t="str">
        <f t="shared" si="6"/>
        <v>土</v>
      </c>
      <c r="BS7" s="12" t="str">
        <f t="shared" si="6"/>
        <v>日</v>
      </c>
      <c r="BT7" s="12" t="str">
        <f t="shared" si="6"/>
        <v>月</v>
      </c>
      <c r="BU7" s="12" t="str">
        <f t="shared" si="6"/>
        <v>火</v>
      </c>
      <c r="BV7" s="12" t="str">
        <f t="shared" si="6"/>
        <v>水</v>
      </c>
      <c r="BW7" s="12" t="str">
        <f t="shared" si="6"/>
        <v>木</v>
      </c>
      <c r="BX7" s="12" t="str">
        <f t="shared" si="6"/>
        <v>金</v>
      </c>
      <c r="BY7" s="12" t="str">
        <f t="shared" si="6"/>
        <v>土</v>
      </c>
      <c r="BZ7" s="12" t="str">
        <f t="shared" si="6"/>
        <v>日</v>
      </c>
      <c r="CA7" s="12" t="str">
        <f t="shared" si="6"/>
        <v>月</v>
      </c>
      <c r="CB7" s="12" t="str">
        <f t="shared" si="6"/>
        <v>火</v>
      </c>
      <c r="CC7" s="12" t="str">
        <f t="shared" si="6"/>
        <v>水</v>
      </c>
      <c r="CD7" s="12" t="str">
        <f t="shared" si="6"/>
        <v>木</v>
      </c>
      <c r="CE7" s="12" t="str">
        <f t="shared" si="6"/>
        <v>金</v>
      </c>
      <c r="CF7" s="12" t="str">
        <f t="shared" si="6"/>
        <v>土</v>
      </c>
      <c r="CG7" s="12" t="str">
        <f t="shared" si="6"/>
        <v>日</v>
      </c>
      <c r="CH7" s="12" t="str">
        <f t="shared" si="6"/>
        <v>月</v>
      </c>
      <c r="CI7" s="12" t="str">
        <f t="shared" si="6"/>
        <v>火</v>
      </c>
      <c r="CJ7" s="12" t="str">
        <f t="shared" si="6"/>
        <v>水</v>
      </c>
      <c r="CK7" s="12" t="str">
        <f t="shared" si="6"/>
        <v>木</v>
      </c>
      <c r="CL7" s="12" t="str">
        <f t="shared" si="6"/>
        <v>金</v>
      </c>
      <c r="CM7" s="12" t="str">
        <f t="shared" si="6"/>
        <v>土</v>
      </c>
      <c r="CN7" s="12" t="str">
        <f t="shared" si="6"/>
        <v>日</v>
      </c>
      <c r="CO7" s="12" t="str">
        <f t="shared" si="6"/>
        <v>月</v>
      </c>
      <c r="CP7" s="12" t="str">
        <f t="shared" si="6"/>
        <v>火</v>
      </c>
      <c r="CQ7" s="12" t="str">
        <f t="shared" si="6"/>
        <v>水</v>
      </c>
      <c r="CR7" s="12" t="str">
        <f t="shared" si="6"/>
        <v>木</v>
      </c>
      <c r="CS7" s="12" t="str">
        <f t="shared" si="6"/>
        <v>金</v>
      </c>
      <c r="CT7" s="12" t="str">
        <f t="shared" si="6"/>
        <v>土</v>
      </c>
      <c r="CU7" s="12" t="str">
        <f t="shared" si="6"/>
        <v>日</v>
      </c>
      <c r="CV7" s="12" t="str">
        <f t="shared" si="6"/>
        <v>月</v>
      </c>
      <c r="CW7" s="12" t="str">
        <f t="shared" si="6"/>
        <v>火</v>
      </c>
      <c r="CX7" s="12" t="str">
        <f t="shared" si="6"/>
        <v>水</v>
      </c>
      <c r="CY7" s="12" t="str">
        <f t="shared" si="6"/>
        <v>木</v>
      </c>
      <c r="CZ7" s="12" t="str">
        <f t="shared" si="6"/>
        <v>金</v>
      </c>
      <c r="DA7" s="12" t="str">
        <f t="shared" si="6"/>
        <v>土</v>
      </c>
      <c r="DB7" s="18" t="str">
        <f t="shared" ref="DB7:EM7" si="7">TEXT(DB6,"aaa")</f>
        <v>日</v>
      </c>
      <c r="DC7" s="12" t="str">
        <f t="shared" si="7"/>
        <v>月</v>
      </c>
      <c r="DD7" s="12" t="str">
        <f t="shared" si="7"/>
        <v>火</v>
      </c>
      <c r="DE7" s="12" t="str">
        <f t="shared" si="7"/>
        <v>水</v>
      </c>
      <c r="DF7" s="12" t="str">
        <f t="shared" si="7"/>
        <v>木</v>
      </c>
      <c r="DG7" s="12" t="str">
        <f t="shared" si="7"/>
        <v>金</v>
      </c>
      <c r="DH7" s="21" t="str">
        <f t="shared" si="7"/>
        <v>土</v>
      </c>
      <c r="DI7" s="12" t="str">
        <f t="shared" si="7"/>
        <v>日</v>
      </c>
      <c r="DJ7" s="12" t="str">
        <f t="shared" si="7"/>
        <v>月</v>
      </c>
      <c r="DK7" s="12" t="str">
        <f t="shared" si="7"/>
        <v>火</v>
      </c>
      <c r="DL7" s="12" t="str">
        <f t="shared" si="7"/>
        <v>水</v>
      </c>
      <c r="DM7" s="12" t="str">
        <f t="shared" si="7"/>
        <v>木</v>
      </c>
      <c r="DN7" s="12" t="str">
        <f t="shared" si="7"/>
        <v>金</v>
      </c>
      <c r="DO7" s="12" t="str">
        <f t="shared" si="7"/>
        <v>土</v>
      </c>
      <c r="DP7" s="12" t="str">
        <f t="shared" si="7"/>
        <v>日</v>
      </c>
      <c r="DQ7" s="12" t="str">
        <f t="shared" si="7"/>
        <v>月</v>
      </c>
      <c r="DR7" s="12" t="str">
        <f t="shared" si="7"/>
        <v>火</v>
      </c>
      <c r="DS7" s="12" t="str">
        <f t="shared" si="7"/>
        <v>水</v>
      </c>
      <c r="DT7" s="12" t="str">
        <f t="shared" si="7"/>
        <v>木</v>
      </c>
      <c r="DU7" s="12" t="str">
        <f t="shared" si="7"/>
        <v>金</v>
      </c>
      <c r="DV7" s="12" t="str">
        <f t="shared" si="7"/>
        <v>土</v>
      </c>
      <c r="DW7" s="12" t="str">
        <f t="shared" si="7"/>
        <v>日</v>
      </c>
      <c r="DX7" s="12" t="str">
        <f t="shared" si="7"/>
        <v>月</v>
      </c>
      <c r="DY7" s="12" t="str">
        <f t="shared" si="7"/>
        <v>火</v>
      </c>
      <c r="DZ7" s="12" t="str">
        <f t="shared" si="7"/>
        <v>水</v>
      </c>
      <c r="EA7" s="12" t="str">
        <f t="shared" si="7"/>
        <v>木</v>
      </c>
      <c r="EB7" s="12" t="str">
        <f t="shared" si="7"/>
        <v>金</v>
      </c>
      <c r="EC7" s="12" t="str">
        <f t="shared" si="7"/>
        <v>土</v>
      </c>
      <c r="ED7" s="12" t="str">
        <f t="shared" si="7"/>
        <v>日</v>
      </c>
      <c r="EE7" s="12" t="str">
        <f t="shared" si="7"/>
        <v>月</v>
      </c>
      <c r="EF7" s="12" t="str">
        <f t="shared" si="7"/>
        <v>火</v>
      </c>
      <c r="EG7" s="12" t="str">
        <f t="shared" si="7"/>
        <v>水</v>
      </c>
      <c r="EH7" s="12" t="str">
        <f t="shared" si="7"/>
        <v>木</v>
      </c>
      <c r="EI7" s="12" t="str">
        <f t="shared" si="7"/>
        <v>金</v>
      </c>
      <c r="EJ7" s="12" t="str">
        <f t="shared" si="7"/>
        <v>土</v>
      </c>
      <c r="EK7" s="12" t="str">
        <f t="shared" si="7"/>
        <v>日</v>
      </c>
      <c r="EL7" s="12" t="str">
        <f t="shared" si="7"/>
        <v>月</v>
      </c>
      <c r="EM7" s="12" t="str">
        <f t="shared" si="7"/>
        <v>火</v>
      </c>
    </row>
    <row r="8" spans="3:143" ht="18.600000000000001" thickTop="1">
      <c r="C8" s="14">
        <f t="shared" ref="C8:C17" si="8">ROW()-7</f>
        <v>1</v>
      </c>
      <c r="D8" s="25" t="s">
        <v>10</v>
      </c>
      <c r="E8" s="15" t="s">
        <v>11</v>
      </c>
      <c r="F8" s="24"/>
      <c r="G8" s="24"/>
      <c r="H8" s="24"/>
      <c r="I8" s="24"/>
      <c r="J8" s="24"/>
      <c r="K8" s="24"/>
      <c r="L8" s="24" t="s">
        <v>12</v>
      </c>
      <c r="M8" s="24" t="s">
        <v>12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4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</row>
    <row r="9" spans="3:143" ht="15.75">
      <c r="C9" s="11">
        <f t="shared" si="8"/>
        <v>2</v>
      </c>
      <c r="D9" s="26" t="s">
        <v>13</v>
      </c>
      <c r="E9" s="16" t="s">
        <v>14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30"/>
      <c r="X9" s="30"/>
      <c r="Y9" s="30"/>
      <c r="Z9" s="30"/>
      <c r="AA9" s="30"/>
      <c r="AB9" s="30"/>
      <c r="AC9" s="30"/>
      <c r="AD9" s="8"/>
      <c r="AE9" s="8"/>
      <c r="AF9" s="8"/>
      <c r="AG9" s="8"/>
      <c r="AH9" s="8"/>
      <c r="AI9" s="9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12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19"/>
      <c r="DC9" s="8"/>
      <c r="DD9" s="8"/>
      <c r="DE9" s="8"/>
      <c r="DF9" s="8"/>
      <c r="DG9" s="8"/>
      <c r="DH9" s="22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</row>
    <row r="10" spans="3:143" ht="15.75">
      <c r="C10" s="11">
        <f t="shared" si="8"/>
        <v>3</v>
      </c>
      <c r="D10" s="26" t="s">
        <v>15</v>
      </c>
      <c r="E10" s="16" t="s">
        <v>14</v>
      </c>
      <c r="F10" s="8"/>
      <c r="G10" s="8"/>
      <c r="H10" s="8"/>
      <c r="I10" s="8"/>
      <c r="J10" s="8" t="s">
        <v>16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31"/>
      <c r="X10" s="31"/>
      <c r="Y10" s="31"/>
      <c r="Z10" s="31"/>
      <c r="AA10" s="31"/>
      <c r="AB10" s="31"/>
      <c r="AC10" s="31"/>
      <c r="AD10" s="8"/>
      <c r="AE10" s="8"/>
      <c r="AF10" s="8"/>
      <c r="AG10" s="8"/>
      <c r="AH10" s="8"/>
      <c r="AI10" s="9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33"/>
      <c r="AU10" s="32"/>
      <c r="AV10" s="34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19"/>
      <c r="DC10" s="8"/>
      <c r="DD10" s="8"/>
      <c r="DE10" s="8"/>
      <c r="DF10" s="8"/>
      <c r="DG10" s="8"/>
      <c r="DH10" s="22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</row>
    <row r="11" spans="3:143" ht="15.75">
      <c r="C11" s="11">
        <f t="shared" si="8"/>
        <v>4</v>
      </c>
      <c r="D11" s="26" t="s">
        <v>17</v>
      </c>
      <c r="E11" s="16" t="s">
        <v>14</v>
      </c>
      <c r="F11" s="8"/>
      <c r="G11" s="8"/>
      <c r="H11" s="8"/>
      <c r="I11" s="8"/>
      <c r="J11" s="8" t="s">
        <v>16</v>
      </c>
      <c r="K11" s="8" t="s">
        <v>16</v>
      </c>
      <c r="L11" s="8"/>
      <c r="M11" s="8"/>
      <c r="N11" s="8"/>
      <c r="O11" s="8"/>
      <c r="P11" s="8"/>
      <c r="Q11" s="8" t="s">
        <v>18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 t="s">
        <v>19</v>
      </c>
      <c r="AF11" s="8" t="s">
        <v>18</v>
      </c>
      <c r="AG11" s="8"/>
      <c r="AH11" s="8"/>
      <c r="AI11" s="9"/>
      <c r="AJ11" s="8"/>
      <c r="AK11" s="8"/>
      <c r="AL11" s="8" t="s">
        <v>20</v>
      </c>
      <c r="AM11" s="8"/>
      <c r="AN11" s="8"/>
      <c r="AO11" s="8"/>
      <c r="AP11" s="8"/>
      <c r="AQ11" s="8"/>
      <c r="AR11" s="8"/>
      <c r="AS11" s="8"/>
      <c r="AT11" s="8"/>
      <c r="AU11" s="36" t="s">
        <v>21</v>
      </c>
      <c r="AV11" s="8"/>
      <c r="AW11" s="8"/>
      <c r="AX11" s="8"/>
      <c r="AY11" s="8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6"/>
      <c r="CG11" s="46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</row>
    <row r="12" spans="3:143">
      <c r="C12" s="11">
        <f t="shared" si="8"/>
        <v>5</v>
      </c>
      <c r="D12" s="26" t="s">
        <v>22</v>
      </c>
      <c r="E12" s="16" t="s">
        <v>14</v>
      </c>
      <c r="F12" s="8"/>
      <c r="G12" s="8"/>
      <c r="H12" s="8"/>
      <c r="I12" s="8" t="s">
        <v>23</v>
      </c>
      <c r="J12" s="8" t="s">
        <v>16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 t="s">
        <v>24</v>
      </c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9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33"/>
      <c r="AU12" s="32"/>
      <c r="AV12" s="34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33"/>
      <c r="CF12" s="32"/>
      <c r="CG12" s="32"/>
      <c r="CH12" s="34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19"/>
      <c r="DC12" s="8"/>
      <c r="DD12" s="8"/>
      <c r="DE12" s="8"/>
      <c r="DF12" s="8"/>
      <c r="DG12" s="8"/>
      <c r="DH12" s="22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</row>
    <row r="13" spans="3:143">
      <c r="C13" s="11">
        <f t="shared" si="8"/>
        <v>6</v>
      </c>
      <c r="D13" s="10" t="s">
        <v>25</v>
      </c>
      <c r="E13" s="23" t="s">
        <v>14</v>
      </c>
      <c r="F13" s="8"/>
      <c r="G13" s="8"/>
      <c r="H13" s="8"/>
      <c r="I13" s="8"/>
      <c r="J13" s="8" t="s">
        <v>16</v>
      </c>
      <c r="K13" s="8"/>
      <c r="L13" s="8"/>
      <c r="M13" s="8"/>
      <c r="N13" s="8"/>
      <c r="O13" s="8"/>
      <c r="P13" s="8"/>
      <c r="Q13" s="8"/>
      <c r="R13" s="8"/>
      <c r="S13" s="8" t="s">
        <v>26</v>
      </c>
      <c r="T13" s="8"/>
      <c r="U13" s="8"/>
      <c r="V13" s="8"/>
      <c r="W13" s="8" t="s">
        <v>27</v>
      </c>
      <c r="X13" s="8" t="s">
        <v>27</v>
      </c>
      <c r="Y13" s="8" t="s">
        <v>27</v>
      </c>
      <c r="Z13" s="8" t="s">
        <v>27</v>
      </c>
      <c r="AA13" s="8" t="s">
        <v>27</v>
      </c>
      <c r="AB13" s="8"/>
      <c r="AC13" s="8"/>
      <c r="AD13" s="8"/>
      <c r="AE13" s="8"/>
      <c r="AF13" s="8"/>
      <c r="AG13" s="8" t="s">
        <v>26</v>
      </c>
      <c r="AH13" s="8"/>
      <c r="AI13" s="9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35" t="s">
        <v>21</v>
      </c>
      <c r="AV13" s="8"/>
      <c r="AW13" s="8"/>
      <c r="AX13" s="8"/>
      <c r="AY13" s="8"/>
      <c r="AZ13" s="8" t="s">
        <v>28</v>
      </c>
      <c r="BA13" s="8"/>
      <c r="BB13" s="8"/>
      <c r="BC13" s="8"/>
      <c r="BD13" s="8"/>
      <c r="BE13" s="8"/>
      <c r="BF13" s="8"/>
      <c r="BG13" s="8" t="s">
        <v>29</v>
      </c>
      <c r="BH13" s="8" t="s">
        <v>30</v>
      </c>
      <c r="BI13" s="8" t="s">
        <v>26</v>
      </c>
      <c r="BJ13" s="8" t="s">
        <v>26</v>
      </c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 t="s">
        <v>26</v>
      </c>
      <c r="CB13" s="8"/>
      <c r="CC13" s="8"/>
      <c r="CD13" s="8"/>
      <c r="CE13" s="8"/>
      <c r="CF13" s="35"/>
      <c r="CG13" s="35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19"/>
      <c r="DC13" s="8"/>
      <c r="DD13" s="8"/>
      <c r="DE13" s="53" t="s">
        <v>31</v>
      </c>
      <c r="DF13" s="1" t="s">
        <v>32</v>
      </c>
      <c r="DG13" s="1" t="s">
        <v>32</v>
      </c>
      <c r="DH13" s="22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</row>
    <row r="14" spans="3:143">
      <c r="C14" s="11">
        <f t="shared" si="8"/>
        <v>7</v>
      </c>
      <c r="D14" s="10" t="s">
        <v>33</v>
      </c>
      <c r="E14" s="23" t="s">
        <v>14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31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9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 t="s">
        <v>34</v>
      </c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 t="s">
        <v>35</v>
      </c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19"/>
      <c r="DC14" s="8"/>
      <c r="DD14" s="8"/>
      <c r="DE14" s="8"/>
      <c r="DF14" s="8"/>
      <c r="DG14" s="8"/>
      <c r="DH14" s="22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</row>
    <row r="15" spans="3:143">
      <c r="C15" s="11">
        <f t="shared" si="8"/>
        <v>8</v>
      </c>
      <c r="D15" s="10"/>
      <c r="E15" s="23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31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9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19"/>
      <c r="DC15" s="8"/>
      <c r="DD15" s="8"/>
      <c r="DE15" s="8"/>
      <c r="DF15" s="8"/>
      <c r="DG15" s="8"/>
      <c r="DH15" s="22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</row>
    <row r="16" spans="3:143">
      <c r="C16" s="11">
        <f t="shared" si="8"/>
        <v>9</v>
      </c>
      <c r="D16" s="10"/>
      <c r="E16" s="23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31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9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19"/>
      <c r="DC16" s="8"/>
      <c r="DD16" s="8"/>
      <c r="DE16" s="8"/>
      <c r="DF16" s="8"/>
      <c r="DG16" s="8"/>
      <c r="DH16" s="22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</row>
    <row r="17" spans="3:143" ht="18.600000000000001" thickBot="1">
      <c r="C17" s="37">
        <f t="shared" si="8"/>
        <v>10</v>
      </c>
      <c r="D17" s="38"/>
      <c r="E17" s="39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1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2"/>
      <c r="DC17" s="40"/>
      <c r="DD17" s="40"/>
      <c r="DE17" s="40"/>
      <c r="DF17" s="40"/>
      <c r="DG17" s="40"/>
      <c r="DH17" s="43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</row>
  </sheetData>
  <mergeCells count="3">
    <mergeCell ref="C6:C7"/>
    <mergeCell ref="D6:D7"/>
    <mergeCell ref="E6:E7"/>
  </mergeCells>
  <phoneticPr fontId="1"/>
  <conditionalFormatting sqref="F10:V10 X10:AA10 AC10:AK10 AM10:AO12 F11:I12 AP11:DL11 DN11:EG12 AP12:AT12 AV12:CE12 CH12:DL12 EH10:EH12 DN6:EM8 EI9:EM17 V12:AK12 K12:T12 J11:J13 K11:AK11 AP10:AT10">
    <cfRule type="expression" dxfId="68" priority="160">
      <formula>WEEKDAY(F$6)=7</formula>
    </cfRule>
  </conditionalFormatting>
  <conditionalFormatting sqref="V12:AA12 AC12:AK12 EH10:EM12 DN6:EM9 F14:EM17 F12:I13 K12:T12 K13:EM13">
    <cfRule type="expression" dxfId="67" priority="159">
      <formula>WEEKDAY(F$6)=1</formula>
    </cfRule>
  </conditionalFormatting>
  <conditionalFormatting sqref="F14:AG14">
    <cfRule type="expression" dxfId="66" priority="35">
      <formula>COUNTIF(OFFSET(#REF!,0,0,COUNTA(#REF!)-1,1),F$6)=1</formula>
    </cfRule>
    <cfRule type="expression" dxfId="65" priority="37">
      <formula>WEEKDAY(F$6)=7</formula>
    </cfRule>
  </conditionalFormatting>
  <conditionalFormatting sqref="F10:AK10 F11:I11 J11:J13 K11:AK11">
    <cfRule type="expression" dxfId="64" priority="54">
      <formula>WEEKDAY(F$6)=1</formula>
    </cfRule>
  </conditionalFormatting>
  <conditionalFormatting sqref="F6:DM9">
    <cfRule type="expression" dxfId="63" priority="75">
      <formula>WEEKDAY(F$6)=1</formula>
    </cfRule>
  </conditionalFormatting>
  <conditionalFormatting sqref="U12">
    <cfRule type="expression" dxfId="62" priority="163">
      <formula>COUNTIF(OFFSET(#REF!,0,0,COUNTA(#REF!)-1,1),AB$6)=1</formula>
    </cfRule>
  </conditionalFormatting>
  <conditionalFormatting sqref="W10">
    <cfRule type="expression" dxfId="61" priority="56">
      <formula>COUNTIF(OFFSET(#REF!,0,0,COUNTA(#REF!)-1,1),W$6)=1</formula>
    </cfRule>
    <cfRule type="expression" dxfId="60" priority="58">
      <formula>WEEKDAY(W$6)=7</formula>
    </cfRule>
  </conditionalFormatting>
  <conditionalFormatting sqref="AB10">
    <cfRule type="expression" dxfId="59" priority="53">
      <formula>COUNTIF(OFFSET(#REF!,0,0,COUNTA(#REF!)-1,1),AB$6)=1</formula>
    </cfRule>
    <cfRule type="expression" dxfId="58" priority="55">
      <formula>WEEKDAY(AB$6)=7</formula>
    </cfRule>
  </conditionalFormatting>
  <conditionalFormatting sqref="AG13">
    <cfRule type="expression" dxfId="57" priority="46">
      <formula>WEEKDAY(AG$6)=7</formula>
    </cfRule>
  </conditionalFormatting>
  <conditionalFormatting sqref="AH6:AH9">
    <cfRule type="expression" dxfId="56" priority="82">
      <formula>WEEKDAY(AH$6)=7</formula>
    </cfRule>
  </conditionalFormatting>
  <conditionalFormatting sqref="AH13:AH17">
    <cfRule type="expression" dxfId="55" priority="139">
      <formula>WEEKDAY(AH$6)=7</formula>
    </cfRule>
  </conditionalFormatting>
  <conditionalFormatting sqref="AJ13:AK13">
    <cfRule type="expression" dxfId="54" priority="40">
      <formula>WEEKDAY(AJ$6)=7</formula>
    </cfRule>
  </conditionalFormatting>
  <conditionalFormatting sqref="AL10:AL12">
    <cfRule type="expression" dxfId="53" priority="65">
      <formula>COUNTIF(OFFSET(#REF!,0,0,COUNTA(#REF!)-1,1),AL$6)=1</formula>
    </cfRule>
    <cfRule type="expression" dxfId="52" priority="67">
      <formula>WEEKDAY(AL$6)=7</formula>
    </cfRule>
  </conditionalFormatting>
  <conditionalFormatting sqref="AL10:AO12">
    <cfRule type="expression" dxfId="51" priority="66">
      <formula>WEEKDAY(AL$6)=1</formula>
    </cfRule>
  </conditionalFormatting>
  <conditionalFormatting sqref="AN6:AO9">
    <cfRule type="expression" dxfId="50" priority="76">
      <formula>WEEKDAY(AN$6)=7</formula>
    </cfRule>
  </conditionalFormatting>
  <conditionalFormatting sqref="AN13:AO14">
    <cfRule type="expression" dxfId="49" priority="127">
      <formula>WEEKDAY(AN$6)=7</formula>
    </cfRule>
  </conditionalFormatting>
  <conditionalFormatting sqref="AP10 AR10:BP10">
    <cfRule type="expression" dxfId="48" priority="48">
      <formula>WEEKDAY(AP$6)=1</formula>
    </cfRule>
  </conditionalFormatting>
  <conditionalFormatting sqref="AP11:EG12">
    <cfRule type="expression" dxfId="47" priority="25">
      <formula>WEEKDAY(AP$6)=1</formula>
    </cfRule>
  </conditionalFormatting>
  <conditionalFormatting sqref="AU10 DN6:EM8 EI9:EM10 EI13:EM17">
    <cfRule type="expression" dxfId="46" priority="47">
      <formula>COUNTIF(OFFSET(#REF!,0,0,COUNTA(#REF!)-1,1),AU$6)=1</formula>
    </cfRule>
  </conditionalFormatting>
  <conditionalFormatting sqref="AU12">
    <cfRule type="expression" dxfId="45" priority="30">
      <formula>COUNTIF(OFFSET(#REF!,0,0,COUNTA(#REF!)-1,1),AU$6)=1</formula>
    </cfRule>
    <cfRule type="expression" dxfId="44" priority="32">
      <formula>WEEKDAY(AU$6)=7</formula>
    </cfRule>
  </conditionalFormatting>
  <conditionalFormatting sqref="AU10:BP10">
    <cfRule type="expression" dxfId="43" priority="49">
      <formula>WEEKDAY(AU$6)=7</formula>
    </cfRule>
  </conditionalFormatting>
  <conditionalFormatting sqref="BQ10:BR10 U12">
    <cfRule type="expression" dxfId="42" priority="161">
      <formula>WEEKDAY(AB$6)=1</formula>
    </cfRule>
    <cfRule type="expression" dxfId="41" priority="162">
      <formula>WEEKDAY(AB$6)=7</formula>
    </cfRule>
  </conditionalFormatting>
  <conditionalFormatting sqref="BS10:CG10">
    <cfRule type="expression" dxfId="40" priority="33">
      <formula>WEEKDAY(BS$6)=1</formula>
    </cfRule>
    <cfRule type="expression" dxfId="39" priority="34">
      <formula>WEEKDAY(BS$6)=7</formula>
    </cfRule>
  </conditionalFormatting>
  <conditionalFormatting sqref="CF12:CG12">
    <cfRule type="expression" dxfId="38" priority="24">
      <formula>COUNTIF(OFFSET(#REF!,0,0,COUNTA(#REF!)-1,1),CF$6)=1</formula>
    </cfRule>
    <cfRule type="expression" dxfId="37" priority="26">
      <formula>WEEKDAY(CF$6)=7</formula>
    </cfRule>
  </conditionalFormatting>
  <conditionalFormatting sqref="CI10:EG10">
    <cfRule type="expression" dxfId="36" priority="156">
      <formula>WEEKDAY(CI$6)=1</formula>
    </cfRule>
  </conditionalFormatting>
  <conditionalFormatting sqref="CI10:EG10">
    <cfRule type="expression" dxfId="35" priority="157">
      <formula>WEEKDAY(CI$6)=7</formula>
    </cfRule>
  </conditionalFormatting>
  <conditionalFormatting sqref="CI10:EG10">
    <cfRule type="expression" dxfId="34" priority="155">
      <formula>COUNTIF(OFFSET(#REF!,0,0,COUNTA(#REF!)-1,1),CI$6)=1</formula>
    </cfRule>
  </conditionalFormatting>
  <conditionalFormatting sqref="DM11:DM12">
    <cfRule type="expression" dxfId="33" priority="59">
      <formula>COUNTIF(OFFSET(#REF!,0,0,COUNTA(#REF!)-1,1),DM$6)=1</formula>
    </cfRule>
    <cfRule type="expression" dxfId="32" priority="61">
      <formula>WEEKDAY(DM$6)=7</formula>
    </cfRule>
  </conditionalFormatting>
  <conditionalFormatting sqref="F6:AG9 AI6:AM9 AP6:DM9 DN9:EG9 F13:I13 AI13 AL13:AM13 AI14:AM14 K13:AF13 AP13:EG14">
    <cfRule type="expression" dxfId="31" priority="149">
      <formula>COUNTIF(OFFSET(#REF!,0,0,COUNTA(#REF!)-1,1),F$6)=1</formula>
    </cfRule>
  </conditionalFormatting>
  <conditionalFormatting sqref="F6:AG9 AI6:AM9 AP6:DM9 DN9:EG9 F13:I13 AI13 AL13:AM13 AI14:AM14 K13:AF13 AP13:EG14">
    <cfRule type="expression" dxfId="30" priority="151">
      <formula>WEEKDAY(F$6)=7</formula>
    </cfRule>
  </conditionalFormatting>
  <conditionalFormatting sqref="EH9">
    <cfRule type="expression" dxfId="29" priority="118">
      <formula>WEEKDAY(EH$6)=7</formula>
    </cfRule>
  </conditionalFormatting>
  <conditionalFormatting sqref="EH13:EH17">
    <cfRule type="expression" dxfId="28" priority="115">
      <formula>WEEKDAY(EH$6)=7</formula>
    </cfRule>
  </conditionalFormatting>
  <conditionalFormatting sqref="F15:AG16">
    <cfRule type="expression" dxfId="27" priority="15">
      <formula>COUNTIF(OFFSET(#REF!,0,0,COUNTA(#REF!)-1,1),F$6)=1</formula>
    </cfRule>
    <cfRule type="expression" dxfId="26" priority="17">
      <formula>WEEKDAY(F$6)=7</formula>
    </cfRule>
  </conditionalFormatting>
  <conditionalFormatting sqref="AN15:AO16">
    <cfRule type="expression" dxfId="25" priority="20">
      <formula>WEEKDAY(AN$6)=7</formula>
    </cfRule>
  </conditionalFormatting>
  <conditionalFormatting sqref="AP15:EG16 AI15:AM16">
    <cfRule type="expression" dxfId="24" priority="21">
      <formula>COUNTIF(OFFSET(#REF!,0,0,COUNTA(#REF!)-1,1),AI$6)=1</formula>
    </cfRule>
  </conditionalFormatting>
  <conditionalFormatting sqref="AP15:EG16 AI15:AM16">
    <cfRule type="expression" dxfId="23" priority="23">
      <formula>WEEKDAY(AI$6)=7</formula>
    </cfRule>
  </conditionalFormatting>
  <conditionalFormatting sqref="F17:AG17">
    <cfRule type="expression" dxfId="22" priority="6">
      <formula>COUNTIF(OFFSET(#REF!,0,0,COUNTA(#REF!)-1,1),F$6)=1</formula>
    </cfRule>
    <cfRule type="expression" dxfId="21" priority="8">
      <formula>WEEKDAY(F$6)=7</formula>
    </cfRule>
  </conditionalFormatting>
  <conditionalFormatting sqref="AN17:AO17">
    <cfRule type="expression" dxfId="20" priority="11">
      <formula>WEEKDAY(AN$6)=7</formula>
    </cfRule>
  </conditionalFormatting>
  <conditionalFormatting sqref="AP17:EG17 AI17:AM17">
    <cfRule type="expression" dxfId="19" priority="12">
      <formula>COUNTIF(OFFSET(#REF!,0,0,COUNTA(#REF!)-1,1),AI$6)=1</formula>
    </cfRule>
  </conditionalFormatting>
  <conditionalFormatting sqref="AP17:EG17 AI17:AM17">
    <cfRule type="expression" dxfId="18" priority="14">
      <formula>WEEKDAY(AI$6)=7</formula>
    </cfRule>
  </conditionalFormatting>
  <conditionalFormatting sqref="AB12">
    <cfRule type="expression" dxfId="17" priority="5">
      <formula>WEEKDAY(AB$6)=1</formula>
    </cfRule>
  </conditionalFormatting>
  <conditionalFormatting sqref="AT5:AU5">
    <cfRule type="expression" dxfId="16" priority="4">
      <formula>WEEKDAY(AT$6)=7</formula>
    </cfRule>
  </conditionalFormatting>
  <conditionalFormatting sqref="AT5:AU5">
    <cfRule type="expression" dxfId="15" priority="2">
      <formula>WEEKDAY(AT$6)=1</formula>
    </cfRule>
  </conditionalFormatting>
  <conditionalFormatting sqref="AQ10">
    <cfRule type="expression" dxfId="14" priority="1">
      <formula>WEEKDAY(AQ$6)=1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4" id="{9BF98214-9D0F-4118-9185-A4AAFCF8584C}">
            <xm:f>COUNTIF(OFFSET('2025年度祝日(日本)'!$B$5,0,0,COUNTA(#REF!)-1,1),AG$6)=1</xm:f>
            <x14:dxf>
              <fill>
                <patternFill>
                  <bgColor rgb="FFFFCCFF"/>
                </patternFill>
              </fill>
            </x14:dxf>
          </x14:cfRule>
          <xm:sqref>AG13</xm:sqref>
        </x14:conditionalFormatting>
        <x14:conditionalFormatting xmlns:xm="http://schemas.microsoft.com/office/excel/2006/main">
          <x14:cfRule type="expression" priority="80" id="{85D9BA5D-505D-4070-92CA-112AB097ADA6}">
            <xm:f>COUNTIF(OFFSET('2025年度祝日(日本)'!$B$5,0,0,COUNTA(#REF!)-1,1),AH$6)=1</xm:f>
            <x14:dxf>
              <fill>
                <patternFill>
                  <bgColor rgb="FFFFCCFF"/>
                </patternFill>
              </fill>
            </x14:dxf>
          </x14:cfRule>
          <xm:sqref>AH6:AH9</xm:sqref>
        </x14:conditionalFormatting>
        <x14:conditionalFormatting xmlns:xm="http://schemas.microsoft.com/office/excel/2006/main">
          <x14:cfRule type="expression" priority="137" id="{059545AC-293B-46B9-9C59-B8CAE9D77108}">
            <xm:f>COUNTIF(OFFSET('2025年度祝日(日本)'!$B$5,0,0,COUNTA(#REF!)-1,1),AH$6)=1</xm:f>
            <x14:dxf>
              <fill>
                <patternFill>
                  <bgColor rgb="FFFFCCFF"/>
                </patternFill>
              </fill>
            </x14:dxf>
          </x14:cfRule>
          <xm:sqref>AH13:AH17</xm:sqref>
        </x14:conditionalFormatting>
        <x14:conditionalFormatting xmlns:xm="http://schemas.microsoft.com/office/excel/2006/main">
          <x14:cfRule type="expression" priority="38" id="{560D5CF3-BF60-4A62-8908-977BD396234D}">
            <xm:f>COUNTIF(OFFSET('2025年度祝日(日本)'!$B$5,0,0,COUNTA(#REF!)-1,1),AJ$6)=1</xm:f>
            <x14:dxf>
              <fill>
                <patternFill>
                  <bgColor rgb="FFFFCCFF"/>
                </patternFill>
              </fill>
            </x14:dxf>
          </x14:cfRule>
          <xm:sqref>AJ13:AK13</xm:sqref>
        </x14:conditionalFormatting>
        <x14:conditionalFormatting xmlns:xm="http://schemas.microsoft.com/office/excel/2006/main">
          <x14:cfRule type="expression" priority="74" id="{2E257729-78D0-408C-B187-5D65D1703632}">
            <xm:f>COUNTIF(OFFSET('2025年度祝日(日本)'!$B$5,0,0,COUNTA(#REF!)-1,1),AN$6)=1</xm:f>
            <x14:dxf>
              <fill>
                <patternFill>
                  <bgColor rgb="FFFFCCFF"/>
                </patternFill>
              </fill>
            </x14:dxf>
          </x14:cfRule>
          <xm:sqref>AN6:AO9</xm:sqref>
        </x14:conditionalFormatting>
        <x14:conditionalFormatting xmlns:xm="http://schemas.microsoft.com/office/excel/2006/main">
          <x14:cfRule type="expression" priority="125" id="{5F5FA423-823F-4CDB-A62E-1BBC8FE46075}">
            <xm:f>COUNTIF(OFFSET('2025年度祝日(日本)'!$B$5,0,0,COUNTA(#REF!)-1,1),AN$6)=1</xm:f>
            <x14:dxf>
              <fill>
                <patternFill>
                  <bgColor rgb="FFFFCCFF"/>
                </patternFill>
              </fill>
            </x14:dxf>
          </x14:cfRule>
          <xm:sqref>AN13:AO14</xm:sqref>
        </x14:conditionalFormatting>
        <x14:conditionalFormatting xmlns:xm="http://schemas.microsoft.com/office/excel/2006/main">
          <x14:cfRule type="expression" priority="158" id="{183F28A6-B72B-4021-BE53-7BF964A29184}">
            <xm:f>COUNTIF(OFFSET('2025年度祝日(日本)'!$B$5,0,0,COUNTA(#REF!)-1,1),F$6)=1</xm:f>
            <x14:dxf>
              <fill>
                <patternFill>
                  <bgColor rgb="FFFFCCFF"/>
                </patternFill>
              </fill>
            </x14:dxf>
          </x14:cfRule>
          <xm:sqref>AV10:BP10 BS10:CG10 F10:V10 X10:AA10 AC10:AK10 AM10:AO12 AP11:DL11 DN11:EG12 F11:I12 AP12:AT12 AV12:CE12 CH12:DL12 EI11:EM12 V12:AK12 K12:T12 J11:J13 K11:AK11 AP10:AT10</xm:sqref>
        </x14:conditionalFormatting>
        <x14:conditionalFormatting xmlns:xm="http://schemas.microsoft.com/office/excel/2006/main">
          <x14:cfRule type="expression" priority="180" id="{183F28A6-B72B-4021-BE53-7BF964A29184}">
            <xm:f>COUNTIF(OFFSET('2025年度祝日(日本)'!$B$5,0,0,COUNTA(#REF!)-1,1),BX$6)=1</xm:f>
            <x14:dxf>
              <fill>
                <patternFill>
                  <bgColor rgb="FFFFCCFF"/>
                </patternFill>
              </fill>
            </x14:dxf>
          </x14:cfRule>
          <xm:sqref>BQ10:BR10</xm:sqref>
        </x14:conditionalFormatting>
        <x14:conditionalFormatting xmlns:xm="http://schemas.microsoft.com/office/excel/2006/main">
          <x14:cfRule type="expression" priority="113" id="{0320A230-8C5D-4B33-87FD-6E1729D01C33}">
            <xm:f>COUNTIF(OFFSET('2025年度祝日(日本)'!$B$5,0,0,COUNTA(#REF!)-1,1),EH$6)=1</xm:f>
            <x14:dxf>
              <fill>
                <patternFill>
                  <bgColor rgb="FFFFCCFF"/>
                </patternFill>
              </fill>
            </x14:dxf>
          </x14:cfRule>
          <xm:sqref>EH9:EH17</xm:sqref>
        </x14:conditionalFormatting>
        <x14:conditionalFormatting xmlns:xm="http://schemas.microsoft.com/office/excel/2006/main">
          <x14:cfRule type="expression" priority="19" id="{B6381A25-107C-46B9-9E1E-4F82732B9485}">
            <xm:f>COUNTIF(OFFSET('2025年度祝日(日本)'!$B$5,0,0,COUNTA(#REF!)-1,1),AN$6)=1</xm:f>
            <x14:dxf>
              <fill>
                <patternFill>
                  <bgColor rgb="FFFFCCFF"/>
                </patternFill>
              </fill>
            </x14:dxf>
          </x14:cfRule>
          <xm:sqref>AN15:AO16</xm:sqref>
        </x14:conditionalFormatting>
        <x14:conditionalFormatting xmlns:xm="http://schemas.microsoft.com/office/excel/2006/main">
          <x14:cfRule type="expression" priority="10" id="{73DAEB2E-4825-4849-A6BA-BC08DC68DAFF}">
            <xm:f>COUNTIF(OFFSET('2025年度祝日(日本)'!$B$5,0,0,COUNTA(#REF!)-1,1),AN$6)=1</xm:f>
            <x14:dxf>
              <fill>
                <patternFill>
                  <bgColor rgb="FFFFCCFF"/>
                </patternFill>
              </fill>
            </x14:dxf>
          </x14:cfRule>
          <xm:sqref>AN17:AO17</xm:sqref>
        </x14:conditionalFormatting>
        <x14:conditionalFormatting xmlns:xm="http://schemas.microsoft.com/office/excel/2006/main">
          <x14:cfRule type="expression" priority="3" id="{23934614-5F63-438C-A584-70901AAFB719}">
            <xm:f>COUNTIF(OFFSET('2025年度祝日(日本)'!$B$5,0,0,COUNTA(#REF!)-1,1),AT$6)=1</xm:f>
            <x14:dxf>
              <fill>
                <patternFill>
                  <bgColor rgb="FFFFCCFF"/>
                </patternFill>
              </fill>
            </x14:dxf>
          </x14:cfRule>
          <xm:sqref>AT5:AU5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DF2A-5821-4DAC-94D4-0A443BDD1DCB}">
  <dimension ref="A4:C29"/>
  <sheetViews>
    <sheetView workbookViewId="0">
      <selection activeCell="D1" sqref="D1"/>
    </sheetView>
  </sheetViews>
  <sheetFormatPr defaultRowHeight="18"/>
  <cols>
    <col min="2" max="2" width="10.875" bestFit="1" customWidth="1"/>
    <col min="3" max="3" width="10.5" bestFit="1" customWidth="1"/>
  </cols>
  <sheetData>
    <row r="4" spans="1:3">
      <c r="A4" t="s">
        <v>36</v>
      </c>
      <c r="B4" s="3" t="s">
        <v>37</v>
      </c>
      <c r="C4" t="s">
        <v>38</v>
      </c>
    </row>
    <row r="5" spans="1:3">
      <c r="A5">
        <v>1</v>
      </c>
      <c r="B5" s="29">
        <v>45658</v>
      </c>
      <c r="C5" s="28" t="s">
        <v>39</v>
      </c>
    </row>
    <row r="6" spans="1:3">
      <c r="A6">
        <v>2</v>
      </c>
      <c r="B6" s="29">
        <v>45670</v>
      </c>
      <c r="C6" s="28" t="s">
        <v>40</v>
      </c>
    </row>
    <row r="7" spans="1:3">
      <c r="A7">
        <v>3</v>
      </c>
      <c r="B7" s="29">
        <v>45699</v>
      </c>
      <c r="C7" s="28" t="s">
        <v>41</v>
      </c>
    </row>
    <row r="8" spans="1:3">
      <c r="A8">
        <v>4</v>
      </c>
      <c r="B8" s="29">
        <v>45711</v>
      </c>
      <c r="C8" s="28" t="s">
        <v>42</v>
      </c>
    </row>
    <row r="9" spans="1:3">
      <c r="A9">
        <v>5</v>
      </c>
      <c r="B9" s="29">
        <v>45712</v>
      </c>
      <c r="C9" s="28" t="s">
        <v>43</v>
      </c>
    </row>
    <row r="10" spans="1:3">
      <c r="A10">
        <v>6</v>
      </c>
      <c r="B10" s="29">
        <v>45736</v>
      </c>
      <c r="C10" s="28" t="s">
        <v>44</v>
      </c>
    </row>
    <row r="11" spans="1:3">
      <c r="A11">
        <v>7</v>
      </c>
      <c r="B11" s="29">
        <v>45776</v>
      </c>
      <c r="C11" s="28" t="s">
        <v>45</v>
      </c>
    </row>
    <row r="12" spans="1:3">
      <c r="A12">
        <v>8</v>
      </c>
      <c r="B12" s="29">
        <v>45780</v>
      </c>
      <c r="C12" s="28" t="s">
        <v>46</v>
      </c>
    </row>
    <row r="13" spans="1:3">
      <c r="A13">
        <v>9</v>
      </c>
      <c r="B13" s="29">
        <v>45781</v>
      </c>
      <c r="C13" s="28" t="s">
        <v>47</v>
      </c>
    </row>
    <row r="14" spans="1:3">
      <c r="A14">
        <v>10</v>
      </c>
      <c r="B14" s="29">
        <v>45782</v>
      </c>
      <c r="C14" s="28" t="s">
        <v>48</v>
      </c>
    </row>
    <row r="15" spans="1:3">
      <c r="A15">
        <v>11</v>
      </c>
      <c r="B15" s="29">
        <v>45783</v>
      </c>
      <c r="C15" s="28" t="s">
        <v>43</v>
      </c>
    </row>
    <row r="16" spans="1:3">
      <c r="A16">
        <v>12</v>
      </c>
      <c r="B16" s="29">
        <v>45859</v>
      </c>
      <c r="C16" s="28" t="s">
        <v>49</v>
      </c>
    </row>
    <row r="17" spans="1:3">
      <c r="A17">
        <v>13</v>
      </c>
      <c r="B17" s="29">
        <v>45880</v>
      </c>
      <c r="C17" s="28" t="s">
        <v>50</v>
      </c>
    </row>
    <row r="18" spans="1:3">
      <c r="A18">
        <v>14</v>
      </c>
      <c r="B18" s="29">
        <v>45915</v>
      </c>
      <c r="C18" s="28" t="s">
        <v>51</v>
      </c>
    </row>
    <row r="19" spans="1:3">
      <c r="A19">
        <v>15</v>
      </c>
      <c r="B19" s="29">
        <v>45923</v>
      </c>
      <c r="C19" s="28" t="s">
        <v>52</v>
      </c>
    </row>
    <row r="20" spans="1:3">
      <c r="A20">
        <v>16</v>
      </c>
      <c r="B20" s="29">
        <v>45943</v>
      </c>
      <c r="C20" s="28" t="s">
        <v>53</v>
      </c>
    </row>
    <row r="21" spans="1:3">
      <c r="A21">
        <v>17</v>
      </c>
      <c r="B21" s="29">
        <v>45964</v>
      </c>
      <c r="C21" s="28" t="s">
        <v>54</v>
      </c>
    </row>
    <row r="22" spans="1:3">
      <c r="A22">
        <v>18</v>
      </c>
      <c r="B22" s="29">
        <v>45984</v>
      </c>
      <c r="C22" s="28" t="s">
        <v>55</v>
      </c>
    </row>
    <row r="23" spans="1:3">
      <c r="A23">
        <v>19</v>
      </c>
      <c r="B23" s="29">
        <v>45985</v>
      </c>
      <c r="C23" s="28" t="s">
        <v>43</v>
      </c>
    </row>
    <row r="24" spans="1:3">
      <c r="A24">
        <v>20</v>
      </c>
      <c r="B24" s="27">
        <v>45600</v>
      </c>
      <c r="C24" s="28" t="s">
        <v>43</v>
      </c>
    </row>
    <row r="25" spans="1:3">
      <c r="A25">
        <v>21</v>
      </c>
      <c r="B25" s="27">
        <v>45619</v>
      </c>
      <c r="C25" s="28" t="s">
        <v>55</v>
      </c>
    </row>
    <row r="26" spans="1:3">
      <c r="B26" s="27"/>
      <c r="C26" s="28"/>
    </row>
    <row r="27" spans="1:3">
      <c r="B27" s="27"/>
      <c r="C27" s="28"/>
    </row>
    <row r="28" spans="1:3">
      <c r="B28" s="27"/>
      <c r="C28" s="28"/>
    </row>
    <row r="29" spans="1:3">
      <c r="B29" s="27"/>
      <c r="C29" s="28"/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Props1.xml><?xml version="1.0" encoding="utf-8"?>
<ds:datastoreItem xmlns:ds="http://schemas.openxmlformats.org/officeDocument/2006/customXml" ds:itemID="{641111F1-F13A-4172-8F6B-78B4FF23D73B}"/>
</file>

<file path=customXml/itemProps2.xml><?xml version="1.0" encoding="utf-8"?>
<ds:datastoreItem xmlns:ds="http://schemas.openxmlformats.org/officeDocument/2006/customXml" ds:itemID="{A58CE4B9-C7F8-4B50-84A8-13F21D47AD85}"/>
</file>

<file path=customXml/itemProps3.xml><?xml version="1.0" encoding="utf-8"?>
<ds:datastoreItem xmlns:ds="http://schemas.openxmlformats.org/officeDocument/2006/customXml" ds:itemID="{33B78873-5CC5-405A-9E81-1E8290245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CB-3 山本 大生</dc:creator>
  <cp:keywords/>
  <dc:description/>
  <cp:lastModifiedBy>CB-1 大浦 未優</cp:lastModifiedBy>
  <cp:revision/>
  <dcterms:created xsi:type="dcterms:W3CDTF">2024-04-15T05:20:33Z</dcterms:created>
  <dcterms:modified xsi:type="dcterms:W3CDTF">2025-07-25T01:33:34Z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