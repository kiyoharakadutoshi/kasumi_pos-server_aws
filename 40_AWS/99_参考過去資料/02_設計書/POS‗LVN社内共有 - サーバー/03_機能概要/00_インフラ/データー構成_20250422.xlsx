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smh.sharepoint.com/sites/AndroidPOS208/Shared Documents/General/Luvinaより/02_機能一覧/"/>
    </mc:Choice>
  </mc:AlternateContent>
  <xr:revisionPtr revIDLastSave="823" documentId="8_{993FD32C-C5BF-440D-9D90-706A8979190C}" xr6:coauthVersionLast="47" xr6:coauthVersionMax="47" xr10:uidLastSave="{1475C821-8A18-47B4-88B2-9C8177D67D0E}"/>
  <bookViews>
    <workbookView xWindow="38280" yWindow="-16320" windowWidth="29040" windowHeight="16440" activeTab="2" xr2:uid="{5D23891F-1F5F-4DAA-9C7A-410CA024B883}"/>
  </bookViews>
  <sheets>
    <sheet name="表紙" sheetId="4" r:id="rId1"/>
    <sheet name="改廃履歴" sheetId="3" r:id="rId2"/>
    <sheet name="概念図" sheetId="2" r:id="rId3"/>
    <sheet name="Sheet1" sheetId="1" r:id="rId4"/>
  </sheets>
  <definedNames>
    <definedName name="_xlnm.Print_Area" localSheetId="1">改廃履歴!$A$1:$BK$55</definedName>
    <definedName name="_xlnm.Print_Area" localSheetId="0">表紙!$A$1:$BK$55</definedName>
    <definedName name="_xlnm.Print_Titles" localSheetId="1">改廃履歴!$1:$5</definedName>
    <definedName name="_xlnm.Print_Titles" localSheetId="2">概念図!$1:$5</definedName>
    <definedName name="_xlnm.Print_Titles" localSheetId="0">表紙!$1:$5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P4" i="2" l="1" a="1"/>
  <c r="AP4" i="2" s="1"/>
  <c r="AP2" i="2"/>
  <c r="Z4" i="2"/>
  <c r="W1" i="2"/>
  <c r="K2" i="2"/>
  <c r="H4" i="2"/>
  <c r="A2" i="2"/>
  <c r="L24" i="4"/>
  <c r="AP4" i="4" a="1"/>
  <c r="AP4" i="4" s="1"/>
  <c r="BH2" i="4"/>
  <c r="BH2" i="3" s="1"/>
  <c r="BC2" i="4"/>
  <c r="BC2" i="3" s="1"/>
  <c r="AY2" i="4"/>
  <c r="AY2" i="3" s="1"/>
  <c r="AT2" i="4"/>
  <c r="AT2" i="3" s="1"/>
  <c r="AP2" i="4"/>
  <c r="AP2" i="3" s="1"/>
  <c r="AP4" i="3" a="1"/>
  <c r="AP4" i="3" s="1"/>
  <c r="Z4" i="3"/>
  <c r="W1" i="3"/>
  <c r="K2" i="3"/>
  <c r="H4" i="3"/>
  <c r="A2" i="3"/>
  <c r="BH2" i="2" l="1"/>
  <c r="AY2" i="2"/>
  <c r="AT2" i="2"/>
  <c r="BC2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<sst xmlns="http://schemas.openxmlformats.org/spreadsheetml/2006/main" count="42" uniqueCount="20">
  <si>
    <t>システム名</t>
  </si>
  <si>
    <t>機能カテゴリ</t>
  </si>
  <si>
    <t>システム種別</t>
  </si>
  <si>
    <t>作成者</t>
  </si>
  <si>
    <t>作成日</t>
  </si>
  <si>
    <t>更新者</t>
  </si>
  <si>
    <t>更新日</t>
  </si>
  <si>
    <t>版数</t>
  </si>
  <si>
    <t>項目</t>
  </si>
  <si>
    <t>■改廃履歴</t>
  </si>
  <si>
    <t>更新日付</t>
  </si>
  <si>
    <t>変更内容</t>
  </si>
  <si>
    <t>承認日付</t>
  </si>
  <si>
    <t>承認者</t>
  </si>
  <si>
    <t>現金専用簡易セルフPOS</t>
  </si>
  <si>
    <t>現金専用簡易セルフPOS 基本設計書</t>
  </si>
  <si>
    <t>承認日</t>
  </si>
  <si>
    <t>POSシステム全体概要</t>
    <rPh sb="7" eb="9">
      <t>ゼンタイ</t>
    </rPh>
    <rPh sb="9" eb="11">
      <t>ガイヨウ</t>
    </rPh>
    <phoneticPr fontId="2"/>
  </si>
  <si>
    <t>Thanh Nguyên</t>
    <phoneticPr fontId="2"/>
  </si>
  <si>
    <t>新規作成</t>
    <rPh sb="0" eb="2">
      <t>シンキ</t>
    </rPh>
    <rPh sb="2" eb="4">
      <t>サクセイ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</si>
</sst>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m/dd"/>
  </numFmts>
  <fonts count="6" x14ac:knownFonts="1">
    <font>
      <sz val="11"/>
      <name val="Meiryo UI"/>
      <family val="3"/>
      <charset val="128"/>
    </font>
    <font>
      <sz val="6"/>
      <name val="游ゴシック"/>
      <family val="2"/>
      <charset val="128"/>
      <scheme val="minor"/>
    </font>
    <font>
      <sz val="6"/>
      <name val="Meiryo UI"/>
      <family val="3"/>
      <charset val="128"/>
    </font>
    <font>
      <sz val="11"/>
      <color theme="0"/>
      <name val="Meiryo UI"/>
      <family val="3"/>
      <charset val="128"/>
    </font>
    <font>
      <sz val="18"/>
      <name val="Meiryo UI"/>
      <family val="3"/>
      <charset val="128"/>
    </font>
    <font>
      <b/>
      <sz val="24"/>
      <name val="Meiryo UI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rgb="FF333399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ck">
        <color rgb="FF000080"/>
      </left>
      <right/>
      <top/>
      <bottom/>
      <diagonal/>
    </border>
    <border>
      <left style="thick">
        <color rgb="FF000080"/>
      </left>
      <right/>
      <top style="thick">
        <color rgb="FF000080"/>
      </top>
      <bottom/>
      <diagonal/>
    </border>
    <border>
      <left/>
      <right/>
      <top style="thick">
        <color rgb="FF000080"/>
      </top>
      <bottom/>
      <diagonal/>
    </border>
    <border>
      <left style="thick">
        <color rgb="FF000080"/>
      </left>
      <right/>
      <top/>
      <bottom style="thick">
        <color rgb="FF000080"/>
      </bottom>
      <diagonal/>
    </border>
    <border>
      <left/>
      <right/>
      <top/>
      <bottom style="thick">
        <color rgb="FF000080"/>
      </bottom>
      <diagonal/>
    </border>
    <border>
      <left/>
      <right style="thick">
        <color rgb="FF000080"/>
      </right>
      <top style="thick">
        <color rgb="FF000080"/>
      </top>
      <bottom/>
      <diagonal/>
    </border>
    <border>
      <left/>
      <right style="thick">
        <color rgb="FF000080"/>
      </right>
      <top/>
      <bottom/>
      <diagonal/>
    </border>
    <border>
      <left/>
      <right style="thick">
        <color rgb="FF000080"/>
      </right>
      <top/>
      <bottom style="thick">
        <color rgb="FF000080"/>
      </bottom>
      <diagonal/>
    </border>
    <border>
      <left/>
      <right/>
      <top/>
      <bottom style="medium">
        <color rgb="FF000080"/>
      </bottom>
      <diagonal/>
    </border>
    <border>
      <left/>
      <right/>
      <top style="medium">
        <color rgb="FF000080"/>
      </top>
      <bottom/>
      <diagonal/>
    </border>
  </borders>
  <cellStyleXfs count="1">
    <xf numFmtId="0" fontId="0" fillId="0" borderId="0">
      <alignment vertical="center"/>
    </xf>
  </cellStyleXfs>
  <cellXfs count="73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18" xfId="0" applyBorder="1">
      <alignment vertical="center"/>
    </xf>
    <xf numFmtId="0" fontId="0" fillId="0" borderId="19" xfId="0" applyBorder="1">
      <alignment vertical="center"/>
    </xf>
    <xf numFmtId="0" fontId="0" fillId="0" borderId="20" xfId="0" applyBorder="1">
      <alignment vertical="center"/>
    </xf>
    <xf numFmtId="0" fontId="0" fillId="0" borderId="21" xfId="0" applyBorder="1">
      <alignment vertical="center"/>
    </xf>
    <xf numFmtId="0" fontId="0" fillId="0" borderId="22" xfId="0" applyBorder="1">
      <alignment vertical="center"/>
    </xf>
    <xf numFmtId="0" fontId="0" fillId="0" borderId="23" xfId="0" applyBorder="1">
      <alignment vertical="center"/>
    </xf>
    <xf numFmtId="0" fontId="0" fillId="0" borderId="24" xfId="0" applyBorder="1">
      <alignment vertical="center"/>
    </xf>
    <xf numFmtId="0" fontId="0" fillId="0" borderId="25" xfId="0" applyBorder="1">
      <alignment vertical="center"/>
    </xf>
    <xf numFmtId="0" fontId="0" fillId="0" borderId="26" xfId="0" applyBorder="1">
      <alignment vertical="center"/>
    </xf>
    <xf numFmtId="0" fontId="0" fillId="0" borderId="27" xfId="0" applyBorder="1">
      <alignment vertical="center"/>
    </xf>
    <xf numFmtId="0" fontId="5" fillId="0" borderId="0" xfId="0" applyFont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7" xfId="0" applyNumberFormat="1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2" fontId="0" fillId="0" borderId="9" xfId="0" applyNumberFormat="1" applyBorder="1" applyAlignment="1">
      <alignment horizontal="center" vertical="center"/>
    </xf>
    <xf numFmtId="176" fontId="0" fillId="0" borderId="2" xfId="0" applyNumberFormat="1" applyBorder="1" applyAlignment="1">
      <alignment horizontal="center" vertical="center"/>
    </xf>
    <xf numFmtId="176" fontId="0" fillId="0" borderId="3" xfId="0" applyNumberFormat="1" applyBorder="1" applyAlignment="1">
      <alignment horizontal="center" vertical="center"/>
    </xf>
    <xf numFmtId="176" fontId="0" fillId="0" borderId="7" xfId="0" applyNumberFormat="1" applyBorder="1" applyAlignment="1">
      <alignment horizontal="center" vertical="center"/>
    </xf>
    <xf numFmtId="176" fontId="0" fillId="0" borderId="5" xfId="0" applyNumberFormat="1" applyBorder="1" applyAlignment="1">
      <alignment horizontal="center" vertical="center"/>
    </xf>
    <xf numFmtId="176" fontId="0" fillId="0" borderId="6" xfId="0" applyNumberFormat="1" applyBorder="1" applyAlignment="1">
      <alignment horizontal="center" vertical="center"/>
    </xf>
    <xf numFmtId="176" fontId="0" fillId="0" borderId="9" xfId="0" applyNumberFormat="1" applyBorder="1" applyAlignment="1">
      <alignment horizontal="center" vertical="center"/>
    </xf>
    <xf numFmtId="0" fontId="0" fillId="0" borderId="12" xfId="0" applyBorder="1">
      <alignment vertical="center"/>
    </xf>
    <xf numFmtId="0" fontId="0" fillId="0" borderId="13" xfId="0" applyBorder="1">
      <alignment vertical="center"/>
    </xf>
    <xf numFmtId="0" fontId="0" fillId="0" borderId="14" xfId="0" applyBorder="1">
      <alignment vertical="center"/>
    </xf>
    <xf numFmtId="0" fontId="0" fillId="0" borderId="3" xfId="0" applyBorder="1">
      <alignment vertical="center"/>
    </xf>
    <xf numFmtId="0" fontId="0" fillId="0" borderId="7" xfId="0" applyBorder="1">
      <alignment vertical="center"/>
    </xf>
    <xf numFmtId="0" fontId="0" fillId="0" borderId="6" xfId="0" applyBorder="1">
      <alignment vertical="center"/>
    </xf>
    <xf numFmtId="0" fontId="0" fillId="0" borderId="9" xfId="0" applyBorder="1">
      <alignment vertical="center"/>
    </xf>
    <xf numFmtId="0" fontId="0" fillId="0" borderId="2" xfId="0" applyBorder="1">
      <alignment vertical="center"/>
    </xf>
    <xf numFmtId="0" fontId="0" fillId="0" borderId="5" xfId="0" applyBorder="1">
      <alignment vertical="center"/>
    </xf>
    <xf numFmtId="0" fontId="0" fillId="0" borderId="15" xfId="0" applyBorder="1">
      <alignment vertical="center"/>
    </xf>
    <xf numFmtId="0" fontId="0" fillId="0" borderId="16" xfId="0" applyBorder="1">
      <alignment vertical="center"/>
    </xf>
    <xf numFmtId="0" fontId="0" fillId="0" borderId="17" xfId="0" applyBorder="1">
      <alignment vertical="center"/>
    </xf>
    <xf numFmtId="14" fontId="0" fillId="0" borderId="2" xfId="0" applyNumberFormat="1" applyBorder="1" applyAlignment="1">
      <alignment horizontal="center" vertical="center"/>
    </xf>
    <xf numFmtId="0" fontId="3" fillId="2" borderId="0" xfId="0" applyFont="1" applyFill="1">
      <alignment vertical="center"/>
    </xf>
  </cellXfs>
  <cellStyles count="1">
    <cellStyle name="標準" xfId="0" builtinId="0" customBuiltin="1"/>
  </cellStyles>
  <dxfs count="0"/>
  <tableStyles count="0" defaultTableStyle="TableStyleMedium2" defaultPivotStyle="PivotStyleLight16"/>
  <colors>
    <mruColors>
      <color rgb="FFB8193F"/>
      <color rgb="FFC40757"/>
      <color rgb="FF275538"/>
      <color rgb="FF009B3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31</xdr:col>
      <xdr:colOff>1</xdr:colOff>
      <xdr:row>9</xdr:row>
      <xdr:rowOff>0</xdr:rowOff>
    </xdr:from>
    <xdr:to>
      <xdr:col>36</xdr:col>
      <xdr:colOff>1</xdr:colOff>
      <xdr:row>13</xdr:row>
      <xdr:rowOff>0</xdr:rowOff>
    </xdr:to>
    <xdr:sp macro="" textlink="">
      <xdr:nvSpPr>
        <xdr:cNvPr id="2" name="フローチャート: 磁気ディスク 1">
          <a:extLst>
            <a:ext uri="{FF2B5EF4-FFF2-40B4-BE49-F238E27FC236}">
              <a16:creationId xmlns:a16="http://schemas.microsoft.com/office/drawing/2014/main" id="{010CF2DC-963A-447E-BBAE-D50EC5316EC1}"/>
            </a:ext>
          </a:extLst>
        </xdr:cNvPr>
        <xdr:cNvSpPr/>
      </xdr:nvSpPr>
      <xdr:spPr>
        <a:xfrm>
          <a:off x="7480301" y="1841500"/>
          <a:ext cx="1206500" cy="762000"/>
        </a:xfrm>
        <a:prstGeom prst="flowChartMagneticDisk">
          <a:avLst/>
        </a:prstGeom>
        <a:solidFill>
          <a:schemeClr val="bg1"/>
        </a:solidFill>
        <a:ln w="9525">
          <a:solidFill>
            <a:srgbClr val="B8193F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overflow" horzOverflow="overflow" wrap="none" lIns="36000" tIns="0" rIns="36000" bIns="0" rtlCol="0" anchor="ctr"/>
        <a:lstStyle/>
        <a:p>
          <a:pPr marL="0" indent="0" algn="ctr"/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マスタ</a:t>
          </a:r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DB</a:t>
          </a:r>
        </a:p>
        <a:p>
          <a:pPr marL="0" indent="0" algn="ctr"/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(KSM)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</xdr:txBody>
    </xdr:sp>
    <xdr:clientData/>
  </xdr:twoCellAnchor>
  <xdr:twoCellAnchor>
    <xdr:from>
      <xdr:col>22</xdr:col>
      <xdr:colOff>0</xdr:colOff>
      <xdr:row>9</xdr:row>
      <xdr:rowOff>0</xdr:rowOff>
    </xdr:from>
    <xdr:to>
      <xdr:col>28</xdr:col>
      <xdr:colOff>0</xdr:colOff>
      <xdr:row>13</xdr:row>
      <xdr:rowOff>0</xdr:rowOff>
    </xdr:to>
    <xdr:sp macro="" textlink="">
      <xdr:nvSpPr>
        <xdr:cNvPr id="15" name="正方形/長方形 14">
          <a:extLst>
            <a:ext uri="{FF2B5EF4-FFF2-40B4-BE49-F238E27FC236}">
              <a16:creationId xmlns:a16="http://schemas.microsoft.com/office/drawing/2014/main" id="{1E1B8B42-5072-4E07-8649-840BD6251F98}"/>
            </a:ext>
          </a:extLst>
        </xdr:cNvPr>
        <xdr:cNvSpPr/>
      </xdr:nvSpPr>
      <xdr:spPr>
        <a:xfrm>
          <a:off x="5308600" y="1841500"/>
          <a:ext cx="1447800" cy="762000"/>
        </a:xfrm>
        <a:prstGeom prst="rect">
          <a:avLst/>
        </a:prstGeom>
        <a:solidFill>
          <a:schemeClr val="bg1"/>
        </a:solidFill>
        <a:ln w="28575">
          <a:solidFill>
            <a:srgbClr val="B8193F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lIns="36000" rIns="36000" rtlCol="0" anchor="ctr"/>
        <a:lstStyle/>
        <a:p>
          <a:pPr marL="0" indent="0" algn="ctr"/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POSServer(KSM)</a:t>
          </a:r>
          <a:b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</a:br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仮</a:t>
          </a:r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5</a:t>
          </a:r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台</a:t>
          </a:r>
        </a:p>
      </xdr:txBody>
    </xdr:sp>
    <xdr:clientData/>
  </xdr:twoCellAnchor>
  <xdr:twoCellAnchor>
    <xdr:from>
      <xdr:col>21</xdr:col>
      <xdr:colOff>225425</xdr:colOff>
      <xdr:row>19</xdr:row>
      <xdr:rowOff>0</xdr:rowOff>
    </xdr:from>
    <xdr:to>
      <xdr:col>28</xdr:col>
      <xdr:colOff>0</xdr:colOff>
      <xdr:row>23</xdr:row>
      <xdr:rowOff>0</xdr:rowOff>
    </xdr:to>
    <xdr:sp macro="" textlink="">
      <xdr:nvSpPr>
        <xdr:cNvPr id="16" name="正方形/長方形 15">
          <a:extLst>
            <a:ext uri="{FF2B5EF4-FFF2-40B4-BE49-F238E27FC236}">
              <a16:creationId xmlns:a16="http://schemas.microsoft.com/office/drawing/2014/main" id="{5112A435-FD9D-48D5-9BC7-1AC1EF8DD43E}"/>
            </a:ext>
          </a:extLst>
        </xdr:cNvPr>
        <xdr:cNvSpPr/>
      </xdr:nvSpPr>
      <xdr:spPr>
        <a:xfrm>
          <a:off x="5292725" y="3746500"/>
          <a:ext cx="1463675" cy="762000"/>
        </a:xfrm>
        <a:prstGeom prst="rect">
          <a:avLst/>
        </a:prstGeom>
        <a:solidFill>
          <a:schemeClr val="bg1"/>
        </a:solidFill>
        <a:ln w="28575">
          <a:solidFill>
            <a:srgbClr val="009B3F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lIns="36000" rIns="36000" rtlCol="0" anchor="ctr"/>
        <a:lstStyle/>
        <a:p>
          <a:pPr marL="0" indent="0" algn="ctr"/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POSServer(ING)</a:t>
          </a:r>
          <a:b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</a:br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仮</a:t>
          </a:r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3</a:t>
          </a:r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台</a:t>
          </a:r>
        </a:p>
      </xdr:txBody>
    </xdr:sp>
    <xdr:clientData/>
  </xdr:twoCellAnchor>
  <xdr:twoCellAnchor>
    <xdr:from>
      <xdr:col>22</xdr:col>
      <xdr:colOff>1</xdr:colOff>
      <xdr:row>29</xdr:row>
      <xdr:rowOff>0</xdr:rowOff>
    </xdr:from>
    <xdr:to>
      <xdr:col>28</xdr:col>
      <xdr:colOff>0</xdr:colOff>
      <xdr:row>33</xdr:row>
      <xdr:rowOff>0</xdr:rowOff>
    </xdr:to>
    <xdr:sp macro="" textlink="">
      <xdr:nvSpPr>
        <xdr:cNvPr id="17" name="正方形/長方形 16">
          <a:extLst>
            <a:ext uri="{FF2B5EF4-FFF2-40B4-BE49-F238E27FC236}">
              <a16:creationId xmlns:a16="http://schemas.microsoft.com/office/drawing/2014/main" id="{33364EAC-947A-4166-874B-B0E64F127015}"/>
            </a:ext>
          </a:extLst>
        </xdr:cNvPr>
        <xdr:cNvSpPr/>
      </xdr:nvSpPr>
      <xdr:spPr>
        <a:xfrm>
          <a:off x="5308601" y="5651500"/>
          <a:ext cx="1447799" cy="762000"/>
        </a:xfrm>
        <a:prstGeom prst="rect">
          <a:avLst/>
        </a:prstGeom>
        <a:solidFill>
          <a:schemeClr val="bg1"/>
        </a:solidFill>
        <a:ln w="28575">
          <a:solidFill>
            <a:srgbClr val="275538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lIns="36000" rIns="36000" rtlCol="0" anchor="ctr"/>
        <a:lstStyle/>
        <a:p>
          <a:pPr marL="0" indent="0" algn="ctr"/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POSServer(MRE)</a:t>
          </a:r>
          <a:b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</a:br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仮</a:t>
          </a:r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10</a:t>
          </a:r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台</a:t>
          </a:r>
        </a:p>
      </xdr:txBody>
    </xdr:sp>
    <xdr:clientData/>
  </xdr:twoCellAnchor>
  <xdr:twoCellAnchor>
    <xdr:from>
      <xdr:col>22</xdr:col>
      <xdr:colOff>0</xdr:colOff>
      <xdr:row>39</xdr:row>
      <xdr:rowOff>1</xdr:rowOff>
    </xdr:from>
    <xdr:to>
      <xdr:col>27</xdr:col>
      <xdr:colOff>241299</xdr:colOff>
      <xdr:row>43</xdr:row>
      <xdr:rowOff>1</xdr:rowOff>
    </xdr:to>
    <xdr:sp macro="" textlink="">
      <xdr:nvSpPr>
        <xdr:cNvPr id="18" name="正方形/長方形 17">
          <a:extLst>
            <a:ext uri="{FF2B5EF4-FFF2-40B4-BE49-F238E27FC236}">
              <a16:creationId xmlns:a16="http://schemas.microsoft.com/office/drawing/2014/main" id="{AB4E08A4-FC22-49F1-BF29-39B338963C10}"/>
            </a:ext>
          </a:extLst>
        </xdr:cNvPr>
        <xdr:cNvSpPr/>
      </xdr:nvSpPr>
      <xdr:spPr>
        <a:xfrm>
          <a:off x="5308600" y="7556501"/>
          <a:ext cx="1447799" cy="762000"/>
        </a:xfrm>
        <a:prstGeom prst="rect">
          <a:avLst/>
        </a:prstGeom>
        <a:solidFill>
          <a:schemeClr val="bg1"/>
        </a:solidFill>
        <a:ln w="28575">
          <a:solidFill>
            <a:srgbClr val="B8193F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lIns="36000" rIns="36000" rtlCol="0" anchor="ctr"/>
        <a:lstStyle/>
        <a:p>
          <a:pPr marL="0" indent="0" algn="ctr"/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POSServer(MVK)</a:t>
          </a:r>
          <a:b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</a:br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仮</a:t>
          </a:r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2</a:t>
          </a:r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台</a:t>
          </a:r>
        </a:p>
      </xdr:txBody>
    </xdr:sp>
    <xdr:clientData/>
  </xdr:twoCellAnchor>
  <xdr:twoCellAnchor>
    <xdr:from>
      <xdr:col>1</xdr:col>
      <xdr:colOff>0</xdr:colOff>
      <xdr:row>7</xdr:row>
      <xdr:rowOff>0</xdr:rowOff>
    </xdr:from>
    <xdr:to>
      <xdr:col>54</xdr:col>
      <xdr:colOff>0</xdr:colOff>
      <xdr:row>14</xdr:row>
      <xdr:rowOff>0</xdr:rowOff>
    </xdr:to>
    <xdr:sp macro="" textlink="">
      <xdr:nvSpPr>
        <xdr:cNvPr id="33" name="正方形/長方形 32">
          <a:extLst>
            <a:ext uri="{FF2B5EF4-FFF2-40B4-BE49-F238E27FC236}">
              <a16:creationId xmlns:a16="http://schemas.microsoft.com/office/drawing/2014/main" id="{229EE4B8-6D10-48B4-8FDA-715F43B39760}"/>
            </a:ext>
          </a:extLst>
        </xdr:cNvPr>
        <xdr:cNvSpPr/>
      </xdr:nvSpPr>
      <xdr:spPr>
        <a:xfrm>
          <a:off x="241300" y="1460500"/>
          <a:ext cx="12788900" cy="1333500"/>
        </a:xfrm>
        <a:prstGeom prst="rect">
          <a:avLst/>
        </a:prstGeom>
        <a:noFill/>
        <a:ln w="28575">
          <a:solidFill>
            <a:srgbClr val="B8193F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lIns="36000" rIns="36000" rtlCol="0" anchor="t"/>
        <a:lstStyle/>
        <a:p>
          <a:pPr algn="l"/>
          <a:endParaRPr kumimoji="1" lang="ja-JP" altLang="en-US" sz="1100"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2</xdr:col>
      <xdr:colOff>0</xdr:colOff>
      <xdr:row>9</xdr:row>
      <xdr:rowOff>0</xdr:rowOff>
    </xdr:from>
    <xdr:to>
      <xdr:col>7</xdr:col>
      <xdr:colOff>0</xdr:colOff>
      <xdr:row>13</xdr:row>
      <xdr:rowOff>0</xdr:rowOff>
    </xdr:to>
    <xdr:sp macro="" textlink="">
      <xdr:nvSpPr>
        <xdr:cNvPr id="34" name="フローチャート: 処理 33">
          <a:extLst>
            <a:ext uri="{FF2B5EF4-FFF2-40B4-BE49-F238E27FC236}">
              <a16:creationId xmlns:a16="http://schemas.microsoft.com/office/drawing/2014/main" id="{055F47A3-0CFC-4422-9D5B-1656A2A14902}"/>
            </a:ext>
          </a:extLst>
        </xdr:cNvPr>
        <xdr:cNvSpPr/>
      </xdr:nvSpPr>
      <xdr:spPr>
        <a:xfrm>
          <a:off x="482600" y="1841500"/>
          <a:ext cx="1206500" cy="762000"/>
        </a:xfrm>
        <a:prstGeom prst="flowChartProcess">
          <a:avLst/>
        </a:prstGeom>
        <a:solidFill>
          <a:schemeClr val="bg1"/>
        </a:solidFill>
        <a:ln w="28575">
          <a:solidFill>
            <a:srgbClr val="B8193F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lIns="36000" rIns="36000" rtlCol="0" anchor="ctr"/>
        <a:lstStyle/>
        <a:p>
          <a:pPr algn="ctr"/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WEB-PC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2</xdr:col>
      <xdr:colOff>0</xdr:colOff>
      <xdr:row>6</xdr:row>
      <xdr:rowOff>0</xdr:rowOff>
    </xdr:from>
    <xdr:to>
      <xdr:col>7</xdr:col>
      <xdr:colOff>0</xdr:colOff>
      <xdr:row>8</xdr:row>
      <xdr:rowOff>38099</xdr:rowOff>
    </xdr:to>
    <xdr:sp macro="" textlink="">
      <xdr:nvSpPr>
        <xdr:cNvPr id="45" name="フローチャート: 代替処理 44">
          <a:extLst>
            <a:ext uri="{FF2B5EF4-FFF2-40B4-BE49-F238E27FC236}">
              <a16:creationId xmlns:a16="http://schemas.microsoft.com/office/drawing/2014/main" id="{4C7AF4B5-0AD0-44C3-9BE6-87BB157E5D99}"/>
            </a:ext>
          </a:extLst>
        </xdr:cNvPr>
        <xdr:cNvSpPr/>
      </xdr:nvSpPr>
      <xdr:spPr>
        <a:xfrm>
          <a:off x="482600" y="1270000"/>
          <a:ext cx="1206500" cy="419099"/>
        </a:xfrm>
        <a:prstGeom prst="flowChartAlternateProcess">
          <a:avLst/>
        </a:prstGeom>
        <a:solidFill>
          <a:srgbClr val="B8193F"/>
        </a:solidFill>
        <a:ln w="28575">
          <a:solidFill>
            <a:srgbClr val="B8193F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lIns="36000" rIns="36000" rtlCol="0" anchor="ctr"/>
        <a:lstStyle/>
        <a:p>
          <a:pPr algn="ctr"/>
          <a:r>
            <a:rPr kumimoji="1" lang="ja-JP" altLang="en-US" sz="1200">
              <a:latin typeface="Meiryo UI" panose="020B0604030504040204" pitchFamily="50" charset="-128"/>
              <a:ea typeface="Meiryo UI" panose="020B0604030504040204" pitchFamily="50" charset="-128"/>
            </a:rPr>
            <a:t>カスミ様</a:t>
          </a:r>
        </a:p>
      </xdr:txBody>
    </xdr:sp>
    <xdr:clientData/>
  </xdr:twoCellAnchor>
  <xdr:twoCellAnchor>
    <xdr:from>
      <xdr:col>1</xdr:col>
      <xdr:colOff>0</xdr:colOff>
      <xdr:row>17</xdr:row>
      <xdr:rowOff>1</xdr:rowOff>
    </xdr:from>
    <xdr:to>
      <xdr:col>54</xdr:col>
      <xdr:colOff>0</xdr:colOff>
      <xdr:row>24</xdr:row>
      <xdr:rowOff>1</xdr:rowOff>
    </xdr:to>
    <xdr:sp macro="" textlink="">
      <xdr:nvSpPr>
        <xdr:cNvPr id="49" name="正方形/長方形 48">
          <a:extLst>
            <a:ext uri="{FF2B5EF4-FFF2-40B4-BE49-F238E27FC236}">
              <a16:creationId xmlns:a16="http://schemas.microsoft.com/office/drawing/2014/main" id="{C1CE2555-FEDA-4D92-8158-401D41634D31}"/>
            </a:ext>
          </a:extLst>
        </xdr:cNvPr>
        <xdr:cNvSpPr/>
      </xdr:nvSpPr>
      <xdr:spPr>
        <a:xfrm>
          <a:off x="241300" y="3365501"/>
          <a:ext cx="12788900" cy="1333500"/>
        </a:xfrm>
        <a:prstGeom prst="rect">
          <a:avLst/>
        </a:prstGeom>
        <a:noFill/>
        <a:ln w="28575">
          <a:solidFill>
            <a:srgbClr val="009B3F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lIns="36000" rIns="36000" rtlCol="0" anchor="t"/>
        <a:lstStyle/>
        <a:p>
          <a:pPr algn="l"/>
          <a:endParaRPr kumimoji="1" lang="ja-JP" altLang="en-US" sz="1100"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2</xdr:col>
      <xdr:colOff>0</xdr:colOff>
      <xdr:row>16</xdr:row>
      <xdr:rowOff>1</xdr:rowOff>
    </xdr:from>
    <xdr:to>
      <xdr:col>7</xdr:col>
      <xdr:colOff>0</xdr:colOff>
      <xdr:row>18</xdr:row>
      <xdr:rowOff>1</xdr:rowOff>
    </xdr:to>
    <xdr:sp macro="" textlink="">
      <xdr:nvSpPr>
        <xdr:cNvPr id="50" name="フローチャート: 代替処理 49">
          <a:extLst>
            <a:ext uri="{FF2B5EF4-FFF2-40B4-BE49-F238E27FC236}">
              <a16:creationId xmlns:a16="http://schemas.microsoft.com/office/drawing/2014/main" id="{44DB800A-A720-4CF2-B675-E08493A01DEB}"/>
            </a:ext>
          </a:extLst>
        </xdr:cNvPr>
        <xdr:cNvSpPr/>
      </xdr:nvSpPr>
      <xdr:spPr>
        <a:xfrm>
          <a:off x="482600" y="3175001"/>
          <a:ext cx="1206500" cy="381000"/>
        </a:xfrm>
        <a:prstGeom prst="flowChartAlternateProcess">
          <a:avLst/>
        </a:prstGeom>
        <a:solidFill>
          <a:srgbClr val="009B3F"/>
        </a:solidFill>
        <a:ln w="28575">
          <a:solidFill>
            <a:srgbClr val="009B3F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lIns="36000" rIns="36000" rtlCol="0" anchor="ctr"/>
        <a:lstStyle/>
        <a:p>
          <a:pPr algn="ctr"/>
          <a:r>
            <a:rPr kumimoji="1" lang="ja-JP" altLang="en-US" sz="1200">
              <a:latin typeface="Meiryo UI" panose="020B0604030504040204" pitchFamily="50" charset="-128"/>
              <a:ea typeface="Meiryo UI" panose="020B0604030504040204" pitchFamily="50" charset="-128"/>
            </a:rPr>
            <a:t>いなげや様</a:t>
          </a:r>
        </a:p>
      </xdr:txBody>
    </xdr:sp>
    <xdr:clientData/>
  </xdr:twoCellAnchor>
  <xdr:twoCellAnchor>
    <xdr:from>
      <xdr:col>1</xdr:col>
      <xdr:colOff>0</xdr:colOff>
      <xdr:row>27</xdr:row>
      <xdr:rowOff>1</xdr:rowOff>
    </xdr:from>
    <xdr:to>
      <xdr:col>54</xdr:col>
      <xdr:colOff>0</xdr:colOff>
      <xdr:row>34</xdr:row>
      <xdr:rowOff>1</xdr:rowOff>
    </xdr:to>
    <xdr:sp macro="" textlink="">
      <xdr:nvSpPr>
        <xdr:cNvPr id="51" name="正方形/長方形 50">
          <a:extLst>
            <a:ext uri="{FF2B5EF4-FFF2-40B4-BE49-F238E27FC236}">
              <a16:creationId xmlns:a16="http://schemas.microsoft.com/office/drawing/2014/main" id="{F3D63BEE-E392-4743-B402-62F7C51AF55F}"/>
            </a:ext>
          </a:extLst>
        </xdr:cNvPr>
        <xdr:cNvSpPr/>
      </xdr:nvSpPr>
      <xdr:spPr>
        <a:xfrm>
          <a:off x="241300" y="5270501"/>
          <a:ext cx="12788900" cy="1333500"/>
        </a:xfrm>
        <a:prstGeom prst="rect">
          <a:avLst/>
        </a:prstGeom>
        <a:noFill/>
        <a:ln w="28575">
          <a:solidFill>
            <a:srgbClr val="275538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lIns="36000" rIns="36000" rtlCol="0" anchor="t"/>
        <a:lstStyle/>
        <a:p>
          <a:pPr algn="l"/>
          <a:endParaRPr kumimoji="1" lang="ja-JP" altLang="en-US" sz="1100"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2</xdr:col>
      <xdr:colOff>0</xdr:colOff>
      <xdr:row>26</xdr:row>
      <xdr:rowOff>1</xdr:rowOff>
    </xdr:from>
    <xdr:to>
      <xdr:col>7</xdr:col>
      <xdr:colOff>0</xdr:colOff>
      <xdr:row>28</xdr:row>
      <xdr:rowOff>1</xdr:rowOff>
    </xdr:to>
    <xdr:sp macro="" textlink="">
      <xdr:nvSpPr>
        <xdr:cNvPr id="52" name="フローチャート: 代替処理 51">
          <a:extLst>
            <a:ext uri="{FF2B5EF4-FFF2-40B4-BE49-F238E27FC236}">
              <a16:creationId xmlns:a16="http://schemas.microsoft.com/office/drawing/2014/main" id="{222DBB73-9FCE-40E3-B85B-38A076908154}"/>
            </a:ext>
          </a:extLst>
        </xdr:cNvPr>
        <xdr:cNvSpPr/>
      </xdr:nvSpPr>
      <xdr:spPr>
        <a:xfrm>
          <a:off x="482600" y="5080001"/>
          <a:ext cx="1206500" cy="381000"/>
        </a:xfrm>
        <a:prstGeom prst="flowChartAlternateProcess">
          <a:avLst/>
        </a:prstGeom>
        <a:solidFill>
          <a:srgbClr val="275538"/>
        </a:solidFill>
        <a:ln w="28575">
          <a:solidFill>
            <a:srgbClr val="275538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lIns="36000" rIns="36000" rtlCol="0" anchor="ctr"/>
        <a:lstStyle/>
        <a:p>
          <a:pPr algn="ctr"/>
          <a:r>
            <a:rPr kumimoji="1" lang="ja-JP" altLang="en-US" sz="1200">
              <a:latin typeface="Meiryo UI" panose="020B0604030504040204" pitchFamily="50" charset="-128"/>
              <a:ea typeface="Meiryo UI" panose="020B0604030504040204" pitchFamily="50" charset="-128"/>
            </a:rPr>
            <a:t>マルエツ様</a:t>
          </a:r>
        </a:p>
      </xdr:txBody>
    </xdr:sp>
    <xdr:clientData/>
  </xdr:twoCellAnchor>
  <xdr:twoCellAnchor>
    <xdr:from>
      <xdr:col>1</xdr:col>
      <xdr:colOff>0</xdr:colOff>
      <xdr:row>37</xdr:row>
      <xdr:rowOff>0</xdr:rowOff>
    </xdr:from>
    <xdr:to>
      <xdr:col>54</xdr:col>
      <xdr:colOff>0</xdr:colOff>
      <xdr:row>44</xdr:row>
      <xdr:rowOff>1</xdr:rowOff>
    </xdr:to>
    <xdr:sp macro="" textlink="">
      <xdr:nvSpPr>
        <xdr:cNvPr id="53" name="正方形/長方形 52">
          <a:extLst>
            <a:ext uri="{FF2B5EF4-FFF2-40B4-BE49-F238E27FC236}">
              <a16:creationId xmlns:a16="http://schemas.microsoft.com/office/drawing/2014/main" id="{1981EED7-83B6-4896-B106-5C9E5A57E4A0}"/>
            </a:ext>
          </a:extLst>
        </xdr:cNvPr>
        <xdr:cNvSpPr/>
      </xdr:nvSpPr>
      <xdr:spPr>
        <a:xfrm>
          <a:off x="241300" y="7175500"/>
          <a:ext cx="12788900" cy="1333501"/>
        </a:xfrm>
        <a:prstGeom prst="rect">
          <a:avLst/>
        </a:prstGeom>
        <a:noFill/>
        <a:ln w="28575">
          <a:solidFill>
            <a:srgbClr val="C40757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lIns="36000" rIns="36000" rtlCol="0" anchor="t"/>
        <a:lstStyle/>
        <a:p>
          <a:pPr algn="l"/>
          <a:endParaRPr kumimoji="1" lang="ja-JP" altLang="en-US" sz="1100"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2</xdr:col>
      <xdr:colOff>0</xdr:colOff>
      <xdr:row>36</xdr:row>
      <xdr:rowOff>0</xdr:rowOff>
    </xdr:from>
    <xdr:to>
      <xdr:col>7</xdr:col>
      <xdr:colOff>0</xdr:colOff>
      <xdr:row>38</xdr:row>
      <xdr:rowOff>38099</xdr:rowOff>
    </xdr:to>
    <xdr:sp macro="" textlink="">
      <xdr:nvSpPr>
        <xdr:cNvPr id="54" name="フローチャート: 代替処理 53">
          <a:extLst>
            <a:ext uri="{FF2B5EF4-FFF2-40B4-BE49-F238E27FC236}">
              <a16:creationId xmlns:a16="http://schemas.microsoft.com/office/drawing/2014/main" id="{1D0ECB82-062D-41BE-B823-B9D78680A3B6}"/>
            </a:ext>
          </a:extLst>
        </xdr:cNvPr>
        <xdr:cNvSpPr/>
      </xdr:nvSpPr>
      <xdr:spPr>
        <a:xfrm>
          <a:off x="482600" y="6985000"/>
          <a:ext cx="1206500" cy="419099"/>
        </a:xfrm>
        <a:prstGeom prst="flowChartAlternateProcess">
          <a:avLst/>
        </a:prstGeom>
        <a:solidFill>
          <a:srgbClr val="C40757"/>
        </a:solidFill>
        <a:ln w="28575">
          <a:solidFill>
            <a:srgbClr val="C40757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lIns="36000" rIns="36000" rtlCol="0" anchor="ctr"/>
        <a:lstStyle/>
        <a:p>
          <a:pPr algn="ctr"/>
          <a:r>
            <a:rPr kumimoji="1" lang="en-US" altLang="ja-JP" sz="1200">
              <a:latin typeface="Meiryo UI" panose="020B0604030504040204" pitchFamily="50" charset="-128"/>
              <a:ea typeface="Meiryo UI" panose="020B0604030504040204" pitchFamily="50" charset="-128"/>
            </a:rPr>
            <a:t>MV</a:t>
          </a:r>
          <a:r>
            <a:rPr kumimoji="1" lang="ja-JP" altLang="en-US" sz="1200">
              <a:latin typeface="Meiryo UI" panose="020B0604030504040204" pitchFamily="50" charset="-128"/>
              <a:ea typeface="Meiryo UI" panose="020B0604030504040204" pitchFamily="50" charset="-128"/>
            </a:rPr>
            <a:t>関東様</a:t>
          </a:r>
        </a:p>
      </xdr:txBody>
    </xdr:sp>
    <xdr:clientData/>
  </xdr:twoCellAnchor>
  <xdr:twoCellAnchor>
    <xdr:from>
      <xdr:col>2</xdr:col>
      <xdr:colOff>0</xdr:colOff>
      <xdr:row>19</xdr:row>
      <xdr:rowOff>0</xdr:rowOff>
    </xdr:from>
    <xdr:to>
      <xdr:col>7</xdr:col>
      <xdr:colOff>0</xdr:colOff>
      <xdr:row>23</xdr:row>
      <xdr:rowOff>0</xdr:rowOff>
    </xdr:to>
    <xdr:sp macro="" textlink="">
      <xdr:nvSpPr>
        <xdr:cNvPr id="55" name="フローチャート: 処理 54">
          <a:extLst>
            <a:ext uri="{FF2B5EF4-FFF2-40B4-BE49-F238E27FC236}">
              <a16:creationId xmlns:a16="http://schemas.microsoft.com/office/drawing/2014/main" id="{48293866-285A-4340-9292-0472B20CD91D}"/>
            </a:ext>
          </a:extLst>
        </xdr:cNvPr>
        <xdr:cNvSpPr/>
      </xdr:nvSpPr>
      <xdr:spPr>
        <a:xfrm>
          <a:off x="482600" y="3746500"/>
          <a:ext cx="1206500" cy="762000"/>
        </a:xfrm>
        <a:prstGeom prst="flowChartProcess">
          <a:avLst/>
        </a:prstGeom>
        <a:solidFill>
          <a:schemeClr val="bg1"/>
        </a:solidFill>
        <a:ln w="28575">
          <a:solidFill>
            <a:srgbClr val="009B3F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lIns="36000" rIns="36000" rtlCol="0" anchor="ctr"/>
        <a:lstStyle/>
        <a:p>
          <a:pPr algn="ctr"/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WEB-PC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2</xdr:col>
      <xdr:colOff>0</xdr:colOff>
      <xdr:row>29</xdr:row>
      <xdr:rowOff>0</xdr:rowOff>
    </xdr:from>
    <xdr:to>
      <xdr:col>7</xdr:col>
      <xdr:colOff>0</xdr:colOff>
      <xdr:row>33</xdr:row>
      <xdr:rowOff>0</xdr:rowOff>
    </xdr:to>
    <xdr:sp macro="" textlink="">
      <xdr:nvSpPr>
        <xdr:cNvPr id="56" name="フローチャート: 処理 55">
          <a:extLst>
            <a:ext uri="{FF2B5EF4-FFF2-40B4-BE49-F238E27FC236}">
              <a16:creationId xmlns:a16="http://schemas.microsoft.com/office/drawing/2014/main" id="{F3377BD6-1854-492A-8E0F-E7C5C3547F10}"/>
            </a:ext>
          </a:extLst>
        </xdr:cNvPr>
        <xdr:cNvSpPr/>
      </xdr:nvSpPr>
      <xdr:spPr>
        <a:xfrm>
          <a:off x="482600" y="5651500"/>
          <a:ext cx="1206500" cy="762000"/>
        </a:xfrm>
        <a:prstGeom prst="flowChartProcess">
          <a:avLst/>
        </a:prstGeom>
        <a:solidFill>
          <a:schemeClr val="bg1"/>
        </a:solidFill>
        <a:ln w="28575">
          <a:solidFill>
            <a:srgbClr val="275538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lIns="36000" rIns="36000" rtlCol="0" anchor="ctr"/>
        <a:lstStyle/>
        <a:p>
          <a:pPr algn="ctr"/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WEB-PC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2</xdr:col>
      <xdr:colOff>0</xdr:colOff>
      <xdr:row>39</xdr:row>
      <xdr:rowOff>0</xdr:rowOff>
    </xdr:from>
    <xdr:to>
      <xdr:col>7</xdr:col>
      <xdr:colOff>0</xdr:colOff>
      <xdr:row>43</xdr:row>
      <xdr:rowOff>0</xdr:rowOff>
    </xdr:to>
    <xdr:sp macro="" textlink="">
      <xdr:nvSpPr>
        <xdr:cNvPr id="57" name="フローチャート: 処理 56">
          <a:extLst>
            <a:ext uri="{FF2B5EF4-FFF2-40B4-BE49-F238E27FC236}">
              <a16:creationId xmlns:a16="http://schemas.microsoft.com/office/drawing/2014/main" id="{B9E46FAC-3A93-40AC-B239-D65519BAE037}"/>
            </a:ext>
          </a:extLst>
        </xdr:cNvPr>
        <xdr:cNvSpPr/>
      </xdr:nvSpPr>
      <xdr:spPr>
        <a:xfrm>
          <a:off x="482600" y="7556500"/>
          <a:ext cx="1206500" cy="762000"/>
        </a:xfrm>
        <a:prstGeom prst="flowChartProcess">
          <a:avLst/>
        </a:prstGeom>
        <a:solidFill>
          <a:schemeClr val="bg1"/>
        </a:solidFill>
        <a:ln w="28575">
          <a:solidFill>
            <a:srgbClr val="B8193F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lIns="36000" rIns="36000" rtlCol="0" anchor="ctr"/>
        <a:lstStyle/>
        <a:p>
          <a:pPr algn="ctr"/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WEB-PC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11</xdr:col>
      <xdr:colOff>0</xdr:colOff>
      <xdr:row>23</xdr:row>
      <xdr:rowOff>1</xdr:rowOff>
    </xdr:from>
    <xdr:to>
      <xdr:col>18</xdr:col>
      <xdr:colOff>0</xdr:colOff>
      <xdr:row>36</xdr:row>
      <xdr:rowOff>0</xdr:rowOff>
    </xdr:to>
    <xdr:sp macro="" textlink="">
      <xdr:nvSpPr>
        <xdr:cNvPr id="59" name="正方形/長方形 58">
          <a:extLst>
            <a:ext uri="{FF2B5EF4-FFF2-40B4-BE49-F238E27FC236}">
              <a16:creationId xmlns:a16="http://schemas.microsoft.com/office/drawing/2014/main" id="{1314D0F5-B615-47FE-8481-425F331F6E3D}"/>
            </a:ext>
          </a:extLst>
        </xdr:cNvPr>
        <xdr:cNvSpPr/>
      </xdr:nvSpPr>
      <xdr:spPr>
        <a:xfrm>
          <a:off x="2654300" y="4508501"/>
          <a:ext cx="1689100" cy="2476499"/>
        </a:xfrm>
        <a:prstGeom prst="rect">
          <a:avLst/>
        </a:prstGeom>
        <a:solidFill>
          <a:schemeClr val="bg1"/>
        </a:solidFill>
        <a:ln w="28575">
          <a:solidFill>
            <a:schemeClr val="bg1">
              <a:lumMod val="5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lIns="36000" rIns="36000" rtlCol="0" anchor="t"/>
        <a:lstStyle/>
        <a:p>
          <a:pPr algn="l"/>
          <a:endParaRPr kumimoji="1" lang="ja-JP" altLang="en-US" sz="1100"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12</xdr:col>
      <xdr:colOff>0</xdr:colOff>
      <xdr:row>25</xdr:row>
      <xdr:rowOff>1</xdr:rowOff>
    </xdr:from>
    <xdr:to>
      <xdr:col>17</xdr:col>
      <xdr:colOff>0</xdr:colOff>
      <xdr:row>29</xdr:row>
      <xdr:rowOff>1</xdr:rowOff>
    </xdr:to>
    <xdr:sp macro="" textlink="">
      <xdr:nvSpPr>
        <xdr:cNvPr id="39" name="四角形: 角を丸くする 38">
          <a:extLst>
            <a:ext uri="{FF2B5EF4-FFF2-40B4-BE49-F238E27FC236}">
              <a16:creationId xmlns:a16="http://schemas.microsoft.com/office/drawing/2014/main" id="{32B3433B-BC0B-49F8-9413-538A14833A8A}"/>
            </a:ext>
          </a:extLst>
        </xdr:cNvPr>
        <xdr:cNvSpPr/>
      </xdr:nvSpPr>
      <xdr:spPr>
        <a:xfrm>
          <a:off x="2895600" y="4889501"/>
          <a:ext cx="1206500" cy="762000"/>
        </a:xfrm>
        <a:prstGeom prst="roundRect">
          <a:avLst/>
        </a:prstGeom>
        <a:solidFill>
          <a:schemeClr val="bg1"/>
        </a:solidFill>
        <a:ln w="28575">
          <a:solidFill>
            <a:schemeClr val="tx2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lIns="36000" rIns="36000" rtlCol="0" anchor="ctr"/>
        <a:lstStyle/>
        <a:p>
          <a:pPr algn="ctr"/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ログイン機能</a:t>
          </a:r>
        </a:p>
      </xdr:txBody>
    </xdr:sp>
    <xdr:clientData/>
  </xdr:twoCellAnchor>
  <xdr:twoCellAnchor>
    <xdr:from>
      <xdr:col>7</xdr:col>
      <xdr:colOff>0</xdr:colOff>
      <xdr:row>11</xdr:row>
      <xdr:rowOff>0</xdr:rowOff>
    </xdr:from>
    <xdr:to>
      <xdr:col>12</xdr:col>
      <xdr:colOff>0</xdr:colOff>
      <xdr:row>27</xdr:row>
      <xdr:rowOff>1</xdr:rowOff>
    </xdr:to>
    <xdr:cxnSp macro="">
      <xdr:nvCxnSpPr>
        <xdr:cNvPr id="35" name="直線コネクタ 34">
          <a:extLst>
            <a:ext uri="{FF2B5EF4-FFF2-40B4-BE49-F238E27FC236}">
              <a16:creationId xmlns:a16="http://schemas.microsoft.com/office/drawing/2014/main" id="{5756ADA5-954D-45E1-A845-5EBB9FA381F7}"/>
            </a:ext>
          </a:extLst>
        </xdr:cNvPr>
        <xdr:cNvCxnSpPr>
          <a:stCxn id="34" idx="3"/>
          <a:endCxn id="39" idx="1"/>
        </xdr:cNvCxnSpPr>
      </xdr:nvCxnSpPr>
      <xdr:spPr>
        <a:xfrm>
          <a:off x="1689100" y="2222500"/>
          <a:ext cx="1206500" cy="3048001"/>
        </a:xfrm>
        <a:prstGeom prst="line">
          <a:avLst/>
        </a:prstGeom>
        <a:ln/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0</xdr:colOff>
      <xdr:row>21</xdr:row>
      <xdr:rowOff>0</xdr:rowOff>
    </xdr:from>
    <xdr:to>
      <xdr:col>12</xdr:col>
      <xdr:colOff>0</xdr:colOff>
      <xdr:row>27</xdr:row>
      <xdr:rowOff>1</xdr:rowOff>
    </xdr:to>
    <xdr:cxnSp macro="">
      <xdr:nvCxnSpPr>
        <xdr:cNvPr id="78" name="直線コネクタ 77">
          <a:extLst>
            <a:ext uri="{FF2B5EF4-FFF2-40B4-BE49-F238E27FC236}">
              <a16:creationId xmlns:a16="http://schemas.microsoft.com/office/drawing/2014/main" id="{7A769177-19DA-4480-90C1-EF2E76F5E2C1}"/>
            </a:ext>
          </a:extLst>
        </xdr:cNvPr>
        <xdr:cNvCxnSpPr>
          <a:stCxn id="55" idx="3"/>
          <a:endCxn id="39" idx="1"/>
        </xdr:cNvCxnSpPr>
      </xdr:nvCxnSpPr>
      <xdr:spPr>
        <a:xfrm>
          <a:off x="1689100" y="4127500"/>
          <a:ext cx="1206500" cy="1143001"/>
        </a:xfrm>
        <a:prstGeom prst="line">
          <a:avLst/>
        </a:prstGeom>
        <a:ln/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0</xdr:colOff>
      <xdr:row>27</xdr:row>
      <xdr:rowOff>1</xdr:rowOff>
    </xdr:from>
    <xdr:to>
      <xdr:col>12</xdr:col>
      <xdr:colOff>0</xdr:colOff>
      <xdr:row>31</xdr:row>
      <xdr:rowOff>0</xdr:rowOff>
    </xdr:to>
    <xdr:cxnSp macro="">
      <xdr:nvCxnSpPr>
        <xdr:cNvPr id="81" name="直線コネクタ 80">
          <a:extLst>
            <a:ext uri="{FF2B5EF4-FFF2-40B4-BE49-F238E27FC236}">
              <a16:creationId xmlns:a16="http://schemas.microsoft.com/office/drawing/2014/main" id="{257DF021-1603-4DC6-870F-EFF97EFEEB43}"/>
            </a:ext>
          </a:extLst>
        </xdr:cNvPr>
        <xdr:cNvCxnSpPr>
          <a:stCxn id="56" idx="3"/>
          <a:endCxn id="39" idx="1"/>
        </xdr:cNvCxnSpPr>
      </xdr:nvCxnSpPr>
      <xdr:spPr>
        <a:xfrm flipV="1">
          <a:off x="1689100" y="5270501"/>
          <a:ext cx="1206500" cy="761999"/>
        </a:xfrm>
        <a:prstGeom prst="line">
          <a:avLst/>
        </a:prstGeom>
        <a:ln/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0</xdr:colOff>
      <xdr:row>27</xdr:row>
      <xdr:rowOff>1</xdr:rowOff>
    </xdr:from>
    <xdr:to>
      <xdr:col>12</xdr:col>
      <xdr:colOff>0</xdr:colOff>
      <xdr:row>41</xdr:row>
      <xdr:rowOff>0</xdr:rowOff>
    </xdr:to>
    <xdr:cxnSp macro="">
      <xdr:nvCxnSpPr>
        <xdr:cNvPr id="84" name="直線コネクタ 83">
          <a:extLst>
            <a:ext uri="{FF2B5EF4-FFF2-40B4-BE49-F238E27FC236}">
              <a16:creationId xmlns:a16="http://schemas.microsoft.com/office/drawing/2014/main" id="{1791FA53-5811-4065-9624-3431CFC18933}"/>
            </a:ext>
          </a:extLst>
        </xdr:cNvPr>
        <xdr:cNvCxnSpPr>
          <a:stCxn id="57" idx="3"/>
          <a:endCxn id="39" idx="1"/>
        </xdr:cNvCxnSpPr>
      </xdr:nvCxnSpPr>
      <xdr:spPr>
        <a:xfrm flipV="1">
          <a:off x="1689100" y="5270501"/>
          <a:ext cx="1206500" cy="2666999"/>
        </a:xfrm>
        <a:prstGeom prst="line">
          <a:avLst/>
        </a:prstGeom>
        <a:ln/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0</xdr:colOff>
      <xdr:row>31</xdr:row>
      <xdr:rowOff>1</xdr:rowOff>
    </xdr:from>
    <xdr:to>
      <xdr:col>17</xdr:col>
      <xdr:colOff>0</xdr:colOff>
      <xdr:row>35</xdr:row>
      <xdr:rowOff>1</xdr:rowOff>
    </xdr:to>
    <xdr:sp macro="" textlink="">
      <xdr:nvSpPr>
        <xdr:cNvPr id="40" name="フローチャート: 磁気ディスク 39">
          <a:extLst>
            <a:ext uri="{FF2B5EF4-FFF2-40B4-BE49-F238E27FC236}">
              <a16:creationId xmlns:a16="http://schemas.microsoft.com/office/drawing/2014/main" id="{3B831A14-C03D-40B5-B17D-A3486A169C92}"/>
            </a:ext>
          </a:extLst>
        </xdr:cNvPr>
        <xdr:cNvSpPr/>
      </xdr:nvSpPr>
      <xdr:spPr>
        <a:xfrm>
          <a:off x="2895600" y="6032501"/>
          <a:ext cx="1206500" cy="762000"/>
        </a:xfrm>
        <a:prstGeom prst="flowChartMagneticDisk">
          <a:avLst/>
        </a:prstGeom>
        <a:solidFill>
          <a:schemeClr val="bg1"/>
        </a:solidFill>
        <a:ln w="28575">
          <a:solidFill>
            <a:schemeClr val="tx2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overflow" horzOverflow="overflow" wrap="none" lIns="36000" rIns="36000" rtlCol="0" anchor="ctr"/>
        <a:lstStyle/>
        <a:p>
          <a:pPr marL="0" indent="0" algn="ctr"/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最近、流行っているのは</a:t>
          </a:r>
        </a:p>
        <a:p>
          <a:pPr marL="0" indent="0" algn="ctr"/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Auth0 </a:t>
          </a:r>
        </a:p>
      </xdr:txBody>
    </xdr:sp>
    <xdr:clientData/>
  </xdr:twoCellAnchor>
  <xdr:twoCellAnchor>
    <xdr:from>
      <xdr:col>13</xdr:col>
      <xdr:colOff>139700</xdr:colOff>
      <xdr:row>28</xdr:row>
      <xdr:rowOff>0</xdr:rowOff>
    </xdr:from>
    <xdr:to>
      <xdr:col>15</xdr:col>
      <xdr:colOff>101600</xdr:colOff>
      <xdr:row>31</xdr:row>
      <xdr:rowOff>0</xdr:rowOff>
    </xdr:to>
    <xdr:sp macro="" textlink="">
      <xdr:nvSpPr>
        <xdr:cNvPr id="87" name="矢印: 上下 86">
          <a:extLst>
            <a:ext uri="{FF2B5EF4-FFF2-40B4-BE49-F238E27FC236}">
              <a16:creationId xmlns:a16="http://schemas.microsoft.com/office/drawing/2014/main" id="{69FFC5C1-D862-C851-090B-F371E65767FD}"/>
            </a:ext>
          </a:extLst>
        </xdr:cNvPr>
        <xdr:cNvSpPr/>
      </xdr:nvSpPr>
      <xdr:spPr>
        <a:xfrm>
          <a:off x="3276600" y="5461000"/>
          <a:ext cx="444500" cy="571500"/>
        </a:xfrm>
        <a:prstGeom prst="upDownArrow">
          <a:avLst/>
        </a:prstGeom>
        <a:solidFill>
          <a:schemeClr val="tx2">
            <a:lumMod val="10000"/>
            <a:lumOff val="90000"/>
          </a:schemeClr>
        </a:solidFill>
        <a:ln w="3175">
          <a:solidFill>
            <a:schemeClr val="tx2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lIns="36000" rIns="36000" rtlCol="0" anchor="ctr"/>
        <a:lstStyle/>
        <a:p>
          <a:pPr marL="0" indent="0" algn="ctr"/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</xdr:txBody>
    </xdr:sp>
    <xdr:clientData/>
  </xdr:twoCellAnchor>
  <xdr:twoCellAnchor>
    <xdr:from>
      <xdr:col>12</xdr:col>
      <xdr:colOff>0</xdr:colOff>
      <xdr:row>22</xdr:row>
      <xdr:rowOff>1</xdr:rowOff>
    </xdr:from>
    <xdr:to>
      <xdr:col>17</xdr:col>
      <xdr:colOff>0</xdr:colOff>
      <xdr:row>24</xdr:row>
      <xdr:rowOff>1</xdr:rowOff>
    </xdr:to>
    <xdr:sp macro="" textlink="">
      <xdr:nvSpPr>
        <xdr:cNvPr id="88" name="フローチャート: 代替処理 87">
          <a:extLst>
            <a:ext uri="{FF2B5EF4-FFF2-40B4-BE49-F238E27FC236}">
              <a16:creationId xmlns:a16="http://schemas.microsoft.com/office/drawing/2014/main" id="{1CE42210-3C30-43D7-BE20-21A6E9223C27}"/>
            </a:ext>
          </a:extLst>
        </xdr:cNvPr>
        <xdr:cNvSpPr/>
      </xdr:nvSpPr>
      <xdr:spPr>
        <a:xfrm>
          <a:off x="2895600" y="4318001"/>
          <a:ext cx="1206500" cy="381000"/>
        </a:xfrm>
        <a:prstGeom prst="flowChartAlternateProcess">
          <a:avLst/>
        </a:prstGeom>
        <a:solidFill>
          <a:schemeClr val="tx1"/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lIns="36000" rIns="36000" rtlCol="0" anchor="ctr"/>
        <a:lstStyle/>
        <a:p>
          <a:pPr algn="ctr"/>
          <a:r>
            <a:rPr kumimoji="1" lang="ja-JP" altLang="en-US" sz="1200">
              <a:latin typeface="Meiryo UI" panose="020B0604030504040204" pitchFamily="50" charset="-128"/>
              <a:ea typeface="Meiryo UI" panose="020B0604030504040204" pitchFamily="50" charset="-128"/>
            </a:rPr>
            <a:t>ログイン機能</a:t>
          </a:r>
        </a:p>
      </xdr:txBody>
    </xdr:sp>
    <xdr:clientData/>
  </xdr:twoCellAnchor>
  <xdr:twoCellAnchor>
    <xdr:from>
      <xdr:col>1</xdr:col>
      <xdr:colOff>0</xdr:colOff>
      <xdr:row>46</xdr:row>
      <xdr:rowOff>152402</xdr:rowOff>
    </xdr:from>
    <xdr:to>
      <xdr:col>54</xdr:col>
      <xdr:colOff>0</xdr:colOff>
      <xdr:row>53</xdr:row>
      <xdr:rowOff>152402</xdr:rowOff>
    </xdr:to>
    <xdr:sp macro="" textlink="">
      <xdr:nvSpPr>
        <xdr:cNvPr id="89" name="正方形/長方形 88">
          <a:extLst>
            <a:ext uri="{FF2B5EF4-FFF2-40B4-BE49-F238E27FC236}">
              <a16:creationId xmlns:a16="http://schemas.microsoft.com/office/drawing/2014/main" id="{217A0FEF-ABD1-4B28-BA64-A531BCA47640}"/>
            </a:ext>
          </a:extLst>
        </xdr:cNvPr>
        <xdr:cNvSpPr/>
      </xdr:nvSpPr>
      <xdr:spPr>
        <a:xfrm>
          <a:off x="241300" y="9042402"/>
          <a:ext cx="12788900" cy="1333500"/>
        </a:xfrm>
        <a:prstGeom prst="rect">
          <a:avLst/>
        </a:prstGeom>
        <a:noFill/>
        <a:ln w="28575">
          <a:solidFill>
            <a:schemeClr val="bg1">
              <a:lumMod val="5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lIns="36000" rIns="36000" rtlCol="0" anchor="t"/>
        <a:lstStyle/>
        <a:p>
          <a:pPr algn="l"/>
          <a:endParaRPr kumimoji="1" lang="ja-JP" altLang="en-US" sz="1100"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2</xdr:col>
      <xdr:colOff>0</xdr:colOff>
      <xdr:row>46</xdr:row>
      <xdr:rowOff>0</xdr:rowOff>
    </xdr:from>
    <xdr:to>
      <xdr:col>7</xdr:col>
      <xdr:colOff>0</xdr:colOff>
      <xdr:row>48</xdr:row>
      <xdr:rowOff>0</xdr:rowOff>
    </xdr:to>
    <xdr:sp macro="" textlink="">
      <xdr:nvSpPr>
        <xdr:cNvPr id="90" name="フローチャート: 代替処理 89">
          <a:extLst>
            <a:ext uri="{FF2B5EF4-FFF2-40B4-BE49-F238E27FC236}">
              <a16:creationId xmlns:a16="http://schemas.microsoft.com/office/drawing/2014/main" id="{8A4A4B46-766A-418F-A797-3DFFBEC5AE7F}"/>
            </a:ext>
          </a:extLst>
        </xdr:cNvPr>
        <xdr:cNvSpPr/>
      </xdr:nvSpPr>
      <xdr:spPr>
        <a:xfrm>
          <a:off x="482600" y="8890000"/>
          <a:ext cx="1206500" cy="381000"/>
        </a:xfrm>
        <a:prstGeom prst="flowChartAlternateProcess">
          <a:avLst/>
        </a:prstGeom>
        <a:solidFill>
          <a:schemeClr val="bg1">
            <a:lumMod val="50000"/>
          </a:schemeClr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lIns="36000" rIns="36000" rtlCol="0" anchor="ctr"/>
        <a:lstStyle/>
        <a:p>
          <a:pPr algn="ctr"/>
          <a:r>
            <a:rPr kumimoji="1" lang="ja-JP" altLang="en-US" sz="1200">
              <a:solidFill>
                <a:schemeClr val="bg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その他 個社</a:t>
          </a:r>
        </a:p>
      </xdr:txBody>
    </xdr:sp>
    <xdr:clientData/>
  </xdr:twoCellAnchor>
  <xdr:twoCellAnchor>
    <xdr:from>
      <xdr:col>2</xdr:col>
      <xdr:colOff>0</xdr:colOff>
      <xdr:row>48</xdr:row>
      <xdr:rowOff>152401</xdr:rowOff>
    </xdr:from>
    <xdr:to>
      <xdr:col>7</xdr:col>
      <xdr:colOff>0</xdr:colOff>
      <xdr:row>52</xdr:row>
      <xdr:rowOff>152401</xdr:rowOff>
    </xdr:to>
    <xdr:sp macro="" textlink="">
      <xdr:nvSpPr>
        <xdr:cNvPr id="91" name="フローチャート: 処理 90">
          <a:extLst>
            <a:ext uri="{FF2B5EF4-FFF2-40B4-BE49-F238E27FC236}">
              <a16:creationId xmlns:a16="http://schemas.microsoft.com/office/drawing/2014/main" id="{A47AC30F-BDB0-4357-AAA9-94647A2619E0}"/>
            </a:ext>
          </a:extLst>
        </xdr:cNvPr>
        <xdr:cNvSpPr/>
      </xdr:nvSpPr>
      <xdr:spPr>
        <a:xfrm>
          <a:off x="482600" y="9423401"/>
          <a:ext cx="1206500" cy="762000"/>
        </a:xfrm>
        <a:prstGeom prst="flowChartProcess">
          <a:avLst/>
        </a:prstGeom>
        <a:solidFill>
          <a:schemeClr val="bg1"/>
        </a:solidFill>
        <a:ln w="28575">
          <a:solidFill>
            <a:schemeClr val="bg1">
              <a:lumMod val="5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lIns="36000" rIns="36000" rtlCol="0" anchor="ctr"/>
        <a:lstStyle/>
        <a:p>
          <a:pPr algn="ctr"/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WEB-PC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7</xdr:col>
      <xdr:colOff>0</xdr:colOff>
      <xdr:row>27</xdr:row>
      <xdr:rowOff>1</xdr:rowOff>
    </xdr:from>
    <xdr:to>
      <xdr:col>12</xdr:col>
      <xdr:colOff>0</xdr:colOff>
      <xdr:row>50</xdr:row>
      <xdr:rowOff>152401</xdr:rowOff>
    </xdr:to>
    <xdr:cxnSp macro="">
      <xdr:nvCxnSpPr>
        <xdr:cNvPr id="92" name="直線コネクタ 91">
          <a:extLst>
            <a:ext uri="{FF2B5EF4-FFF2-40B4-BE49-F238E27FC236}">
              <a16:creationId xmlns:a16="http://schemas.microsoft.com/office/drawing/2014/main" id="{71F17F49-DB5B-4CBD-B8AD-AF1586A613F7}"/>
            </a:ext>
          </a:extLst>
        </xdr:cNvPr>
        <xdr:cNvCxnSpPr>
          <a:stCxn id="91" idx="3"/>
          <a:endCxn id="39" idx="1"/>
        </xdr:cNvCxnSpPr>
      </xdr:nvCxnSpPr>
      <xdr:spPr>
        <a:xfrm flipV="1">
          <a:off x="1689100" y="5270501"/>
          <a:ext cx="1206500" cy="4533900"/>
        </a:xfrm>
        <a:prstGeom prst="line">
          <a:avLst/>
        </a:prstGeom>
        <a:ln/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0</xdr:colOff>
      <xdr:row>11</xdr:row>
      <xdr:rowOff>0</xdr:rowOff>
    </xdr:from>
    <xdr:to>
      <xdr:col>22</xdr:col>
      <xdr:colOff>0</xdr:colOff>
      <xdr:row>27</xdr:row>
      <xdr:rowOff>1</xdr:rowOff>
    </xdr:to>
    <xdr:cxnSp macro="">
      <xdr:nvCxnSpPr>
        <xdr:cNvPr id="41" name="直線コネクタ 40">
          <a:extLst>
            <a:ext uri="{FF2B5EF4-FFF2-40B4-BE49-F238E27FC236}">
              <a16:creationId xmlns:a16="http://schemas.microsoft.com/office/drawing/2014/main" id="{AEBDD5B1-3F73-4F0A-82FE-67E88C614DA5}"/>
            </a:ext>
          </a:extLst>
        </xdr:cNvPr>
        <xdr:cNvCxnSpPr>
          <a:stCxn id="39" idx="3"/>
          <a:endCxn id="15" idx="1"/>
        </xdr:cNvCxnSpPr>
      </xdr:nvCxnSpPr>
      <xdr:spPr>
        <a:xfrm flipV="1">
          <a:off x="4102100" y="2222500"/>
          <a:ext cx="1206500" cy="3048001"/>
        </a:xfrm>
        <a:prstGeom prst="line">
          <a:avLst/>
        </a:prstGeom>
        <a:ln/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0</xdr:colOff>
      <xdr:row>21</xdr:row>
      <xdr:rowOff>0</xdr:rowOff>
    </xdr:from>
    <xdr:to>
      <xdr:col>21</xdr:col>
      <xdr:colOff>225425</xdr:colOff>
      <xdr:row>27</xdr:row>
      <xdr:rowOff>1</xdr:rowOff>
    </xdr:to>
    <xdr:cxnSp macro="">
      <xdr:nvCxnSpPr>
        <xdr:cNvPr id="36" name="直線コネクタ 35">
          <a:extLst>
            <a:ext uri="{FF2B5EF4-FFF2-40B4-BE49-F238E27FC236}">
              <a16:creationId xmlns:a16="http://schemas.microsoft.com/office/drawing/2014/main" id="{1309775F-4F6F-4AAB-9068-B3C124A894F4}"/>
            </a:ext>
          </a:extLst>
        </xdr:cNvPr>
        <xdr:cNvCxnSpPr>
          <a:stCxn id="39" idx="3"/>
          <a:endCxn id="16" idx="1"/>
        </xdr:cNvCxnSpPr>
      </xdr:nvCxnSpPr>
      <xdr:spPr>
        <a:xfrm flipV="1">
          <a:off x="4102100" y="4127500"/>
          <a:ext cx="1190625" cy="1143001"/>
        </a:xfrm>
        <a:prstGeom prst="line">
          <a:avLst/>
        </a:prstGeom>
        <a:ln/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0</xdr:colOff>
      <xdr:row>27</xdr:row>
      <xdr:rowOff>1</xdr:rowOff>
    </xdr:from>
    <xdr:to>
      <xdr:col>22</xdr:col>
      <xdr:colOff>1</xdr:colOff>
      <xdr:row>31</xdr:row>
      <xdr:rowOff>0</xdr:rowOff>
    </xdr:to>
    <xdr:cxnSp macro="">
      <xdr:nvCxnSpPr>
        <xdr:cNvPr id="37" name="直線コネクタ 36">
          <a:extLst>
            <a:ext uri="{FF2B5EF4-FFF2-40B4-BE49-F238E27FC236}">
              <a16:creationId xmlns:a16="http://schemas.microsoft.com/office/drawing/2014/main" id="{89618C6D-AEB4-44EB-AF38-58BF4DB2642F}"/>
            </a:ext>
          </a:extLst>
        </xdr:cNvPr>
        <xdr:cNvCxnSpPr>
          <a:stCxn id="39" idx="3"/>
          <a:endCxn id="17" idx="1"/>
        </xdr:cNvCxnSpPr>
      </xdr:nvCxnSpPr>
      <xdr:spPr>
        <a:xfrm>
          <a:off x="4102100" y="5270501"/>
          <a:ext cx="1206501" cy="761999"/>
        </a:xfrm>
        <a:prstGeom prst="line">
          <a:avLst/>
        </a:prstGeom>
        <a:ln/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0</xdr:colOff>
      <xdr:row>27</xdr:row>
      <xdr:rowOff>1</xdr:rowOff>
    </xdr:from>
    <xdr:to>
      <xdr:col>22</xdr:col>
      <xdr:colOff>0</xdr:colOff>
      <xdr:row>41</xdr:row>
      <xdr:rowOff>1</xdr:rowOff>
    </xdr:to>
    <xdr:cxnSp macro="">
      <xdr:nvCxnSpPr>
        <xdr:cNvPr id="38" name="直線コネクタ 37">
          <a:extLst>
            <a:ext uri="{FF2B5EF4-FFF2-40B4-BE49-F238E27FC236}">
              <a16:creationId xmlns:a16="http://schemas.microsoft.com/office/drawing/2014/main" id="{2DD48716-8474-46C6-B0C9-CEC389C01C03}"/>
            </a:ext>
          </a:extLst>
        </xdr:cNvPr>
        <xdr:cNvCxnSpPr>
          <a:stCxn id="39" idx="3"/>
          <a:endCxn id="18" idx="1"/>
        </xdr:cNvCxnSpPr>
      </xdr:nvCxnSpPr>
      <xdr:spPr>
        <a:xfrm>
          <a:off x="4102100" y="5270501"/>
          <a:ext cx="1206500" cy="2667000"/>
        </a:xfrm>
        <a:prstGeom prst="line">
          <a:avLst/>
        </a:prstGeom>
        <a:ln/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22</xdr:col>
      <xdr:colOff>0</xdr:colOff>
      <xdr:row>49</xdr:row>
      <xdr:rowOff>0</xdr:rowOff>
    </xdr:from>
    <xdr:to>
      <xdr:col>28</xdr:col>
      <xdr:colOff>0</xdr:colOff>
      <xdr:row>53</xdr:row>
      <xdr:rowOff>0</xdr:rowOff>
    </xdr:to>
    <xdr:sp macro="" textlink="">
      <xdr:nvSpPr>
        <xdr:cNvPr id="112" name="正方形/長方形 111">
          <a:extLst>
            <a:ext uri="{FF2B5EF4-FFF2-40B4-BE49-F238E27FC236}">
              <a16:creationId xmlns:a16="http://schemas.microsoft.com/office/drawing/2014/main" id="{2CF22BF1-FFCD-4BFC-9A7F-97B6EE2700CA}"/>
            </a:ext>
          </a:extLst>
        </xdr:cNvPr>
        <xdr:cNvSpPr/>
      </xdr:nvSpPr>
      <xdr:spPr>
        <a:xfrm>
          <a:off x="5308600" y="9461500"/>
          <a:ext cx="1447800" cy="762000"/>
        </a:xfrm>
        <a:prstGeom prst="rect">
          <a:avLst/>
        </a:prstGeom>
        <a:solidFill>
          <a:schemeClr val="bg1"/>
        </a:solidFill>
        <a:ln w="28575">
          <a:solidFill>
            <a:schemeClr val="bg1">
              <a:lumMod val="5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lIns="36000" rIns="36000" rtlCol="0" anchor="ctr"/>
        <a:lstStyle/>
        <a:p>
          <a:pPr marL="0" indent="0" algn="ctr"/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POSServer(XYZ)</a:t>
          </a:r>
          <a:b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</a:br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仮</a:t>
          </a:r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X</a:t>
          </a:r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台</a:t>
          </a:r>
        </a:p>
      </xdr:txBody>
    </xdr:sp>
    <xdr:clientData/>
  </xdr:twoCellAnchor>
  <xdr:twoCellAnchor>
    <xdr:from>
      <xdr:col>17</xdr:col>
      <xdr:colOff>0</xdr:colOff>
      <xdr:row>27</xdr:row>
      <xdr:rowOff>1</xdr:rowOff>
    </xdr:from>
    <xdr:to>
      <xdr:col>22</xdr:col>
      <xdr:colOff>0</xdr:colOff>
      <xdr:row>51</xdr:row>
      <xdr:rowOff>0</xdr:rowOff>
    </xdr:to>
    <xdr:cxnSp macro="">
      <xdr:nvCxnSpPr>
        <xdr:cNvPr id="113" name="直線コネクタ 112">
          <a:extLst>
            <a:ext uri="{FF2B5EF4-FFF2-40B4-BE49-F238E27FC236}">
              <a16:creationId xmlns:a16="http://schemas.microsoft.com/office/drawing/2014/main" id="{1DC09280-5FBB-4C66-8991-EE3C18E29473}"/>
            </a:ext>
          </a:extLst>
        </xdr:cNvPr>
        <xdr:cNvCxnSpPr>
          <a:stCxn id="39" idx="3"/>
          <a:endCxn id="112" idx="1"/>
        </xdr:cNvCxnSpPr>
      </xdr:nvCxnSpPr>
      <xdr:spPr>
        <a:xfrm>
          <a:off x="4102100" y="5270501"/>
          <a:ext cx="1206500" cy="4571999"/>
        </a:xfrm>
        <a:prstGeom prst="line">
          <a:avLst/>
        </a:prstGeom>
        <a:ln/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31</xdr:col>
      <xdr:colOff>0</xdr:colOff>
      <xdr:row>18</xdr:row>
      <xdr:rowOff>190499</xdr:rowOff>
    </xdr:from>
    <xdr:to>
      <xdr:col>36</xdr:col>
      <xdr:colOff>0</xdr:colOff>
      <xdr:row>22</xdr:row>
      <xdr:rowOff>190499</xdr:rowOff>
    </xdr:to>
    <xdr:sp macro="" textlink="">
      <xdr:nvSpPr>
        <xdr:cNvPr id="116" name="フローチャート: 磁気ディスク 115">
          <a:extLst>
            <a:ext uri="{FF2B5EF4-FFF2-40B4-BE49-F238E27FC236}">
              <a16:creationId xmlns:a16="http://schemas.microsoft.com/office/drawing/2014/main" id="{E4C9FC5C-490A-448C-BCD1-AF9D5DC6F2F8}"/>
            </a:ext>
          </a:extLst>
        </xdr:cNvPr>
        <xdr:cNvSpPr/>
      </xdr:nvSpPr>
      <xdr:spPr>
        <a:xfrm>
          <a:off x="7480300" y="3746499"/>
          <a:ext cx="1206500" cy="762000"/>
        </a:xfrm>
        <a:prstGeom prst="flowChartMagneticDisk">
          <a:avLst/>
        </a:prstGeom>
        <a:solidFill>
          <a:schemeClr val="bg1"/>
        </a:solidFill>
        <a:ln w="9525">
          <a:solidFill>
            <a:srgbClr val="009B3F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overflow" horzOverflow="overflow" wrap="none" lIns="36000" tIns="0" rIns="36000" bIns="0" rtlCol="0" anchor="ctr"/>
        <a:lstStyle/>
        <a:p>
          <a:pPr marL="0" indent="0" algn="ctr"/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マスタ</a:t>
          </a:r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DB</a:t>
          </a:r>
        </a:p>
        <a:p>
          <a:pPr marL="0" indent="0" algn="ctr"/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(ING)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</xdr:txBody>
    </xdr:sp>
    <xdr:clientData/>
  </xdr:twoCellAnchor>
  <xdr:twoCellAnchor>
    <xdr:from>
      <xdr:col>31</xdr:col>
      <xdr:colOff>0</xdr:colOff>
      <xdr:row>28</xdr:row>
      <xdr:rowOff>190499</xdr:rowOff>
    </xdr:from>
    <xdr:to>
      <xdr:col>36</xdr:col>
      <xdr:colOff>0</xdr:colOff>
      <xdr:row>32</xdr:row>
      <xdr:rowOff>190499</xdr:rowOff>
    </xdr:to>
    <xdr:sp macro="" textlink="">
      <xdr:nvSpPr>
        <xdr:cNvPr id="117" name="フローチャート: 磁気ディスク 116">
          <a:extLst>
            <a:ext uri="{FF2B5EF4-FFF2-40B4-BE49-F238E27FC236}">
              <a16:creationId xmlns:a16="http://schemas.microsoft.com/office/drawing/2014/main" id="{3BA00E70-9782-4DC4-8741-1BA2B4B08FCA}"/>
            </a:ext>
          </a:extLst>
        </xdr:cNvPr>
        <xdr:cNvSpPr/>
      </xdr:nvSpPr>
      <xdr:spPr>
        <a:xfrm>
          <a:off x="7480300" y="5651499"/>
          <a:ext cx="1206500" cy="762000"/>
        </a:xfrm>
        <a:prstGeom prst="flowChartMagneticDisk">
          <a:avLst/>
        </a:prstGeom>
        <a:solidFill>
          <a:schemeClr val="bg1"/>
        </a:solidFill>
        <a:ln w="9525">
          <a:solidFill>
            <a:srgbClr val="275538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overflow" horzOverflow="overflow" wrap="none" lIns="36000" tIns="0" rIns="36000" bIns="0" rtlCol="0" anchor="ctr"/>
        <a:lstStyle/>
        <a:p>
          <a:pPr marL="0" indent="0" algn="ctr"/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マスタ</a:t>
          </a:r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DB</a:t>
          </a:r>
          <a:b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</a:br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(MRE)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</xdr:txBody>
    </xdr:sp>
    <xdr:clientData/>
  </xdr:twoCellAnchor>
  <xdr:twoCellAnchor>
    <xdr:from>
      <xdr:col>31</xdr:col>
      <xdr:colOff>0</xdr:colOff>
      <xdr:row>38</xdr:row>
      <xdr:rowOff>190499</xdr:rowOff>
    </xdr:from>
    <xdr:to>
      <xdr:col>36</xdr:col>
      <xdr:colOff>0</xdr:colOff>
      <xdr:row>42</xdr:row>
      <xdr:rowOff>190499</xdr:rowOff>
    </xdr:to>
    <xdr:sp macro="" textlink="">
      <xdr:nvSpPr>
        <xdr:cNvPr id="118" name="フローチャート: 磁気ディスク 117">
          <a:extLst>
            <a:ext uri="{FF2B5EF4-FFF2-40B4-BE49-F238E27FC236}">
              <a16:creationId xmlns:a16="http://schemas.microsoft.com/office/drawing/2014/main" id="{0AAC0CD4-9CE0-474D-8C4D-235404C2C5D0}"/>
            </a:ext>
          </a:extLst>
        </xdr:cNvPr>
        <xdr:cNvSpPr/>
      </xdr:nvSpPr>
      <xdr:spPr>
        <a:xfrm>
          <a:off x="7480300" y="7556499"/>
          <a:ext cx="1206500" cy="762000"/>
        </a:xfrm>
        <a:prstGeom prst="flowChartMagneticDisk">
          <a:avLst/>
        </a:prstGeom>
        <a:solidFill>
          <a:schemeClr val="bg1"/>
        </a:solidFill>
        <a:ln w="9525">
          <a:solidFill>
            <a:srgbClr val="B8193F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overflow" horzOverflow="overflow" wrap="none" lIns="36000" tIns="0" rIns="36000" bIns="0" rtlCol="0" anchor="ctr"/>
        <a:lstStyle/>
        <a:p>
          <a:pPr marL="0" indent="0" algn="ctr"/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マスタ</a:t>
          </a:r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DB</a:t>
          </a:r>
          <a:b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</a:br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(MVK)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</xdr:txBody>
    </xdr:sp>
    <xdr:clientData/>
  </xdr:twoCellAnchor>
  <xdr:twoCellAnchor>
    <xdr:from>
      <xdr:col>31</xdr:col>
      <xdr:colOff>0</xdr:colOff>
      <xdr:row>48</xdr:row>
      <xdr:rowOff>190499</xdr:rowOff>
    </xdr:from>
    <xdr:to>
      <xdr:col>36</xdr:col>
      <xdr:colOff>0</xdr:colOff>
      <xdr:row>52</xdr:row>
      <xdr:rowOff>190499</xdr:rowOff>
    </xdr:to>
    <xdr:sp macro="" textlink="">
      <xdr:nvSpPr>
        <xdr:cNvPr id="119" name="フローチャート: 磁気ディスク 118">
          <a:extLst>
            <a:ext uri="{FF2B5EF4-FFF2-40B4-BE49-F238E27FC236}">
              <a16:creationId xmlns:a16="http://schemas.microsoft.com/office/drawing/2014/main" id="{12B5E2B4-D342-4BB5-9022-FFA84FC96875}"/>
            </a:ext>
          </a:extLst>
        </xdr:cNvPr>
        <xdr:cNvSpPr/>
      </xdr:nvSpPr>
      <xdr:spPr>
        <a:xfrm>
          <a:off x="7480300" y="9461499"/>
          <a:ext cx="1206500" cy="762000"/>
        </a:xfrm>
        <a:prstGeom prst="flowChartMagneticDisk">
          <a:avLst/>
        </a:prstGeom>
        <a:solidFill>
          <a:schemeClr val="bg1"/>
        </a:solidFill>
        <a:ln w="9525">
          <a:solidFill>
            <a:schemeClr val="bg1">
              <a:lumMod val="5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overflow" horzOverflow="overflow" wrap="none" lIns="36000" tIns="0" rIns="36000" bIns="0" rtlCol="0" anchor="ctr"/>
        <a:lstStyle/>
        <a:p>
          <a:pPr marL="0" indent="0" algn="ctr"/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マスタ</a:t>
          </a:r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DB</a:t>
          </a:r>
          <a:b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</a:br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(XYZ)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</xdr:txBody>
    </xdr:sp>
    <xdr:clientData/>
  </xdr:twoCellAnchor>
  <xdr:twoCellAnchor>
    <xdr:from>
      <xdr:col>28</xdr:col>
      <xdr:colOff>0</xdr:colOff>
      <xdr:row>11</xdr:row>
      <xdr:rowOff>0</xdr:rowOff>
    </xdr:from>
    <xdr:to>
      <xdr:col>31</xdr:col>
      <xdr:colOff>1</xdr:colOff>
      <xdr:row>11</xdr:row>
      <xdr:rowOff>0</xdr:rowOff>
    </xdr:to>
    <xdr:cxnSp macro="">
      <xdr:nvCxnSpPr>
        <xdr:cNvPr id="120" name="直線コネクタ 119">
          <a:extLst>
            <a:ext uri="{FF2B5EF4-FFF2-40B4-BE49-F238E27FC236}">
              <a16:creationId xmlns:a16="http://schemas.microsoft.com/office/drawing/2014/main" id="{9D5C4F7C-DBDE-4094-AA15-0A22F19775D4}"/>
            </a:ext>
          </a:extLst>
        </xdr:cNvPr>
        <xdr:cNvCxnSpPr>
          <a:stCxn id="15" idx="3"/>
          <a:endCxn id="2" idx="2"/>
        </xdr:cNvCxnSpPr>
      </xdr:nvCxnSpPr>
      <xdr:spPr>
        <a:xfrm>
          <a:off x="6756400" y="2222500"/>
          <a:ext cx="723901" cy="0"/>
        </a:xfrm>
        <a:prstGeom prst="line">
          <a:avLst/>
        </a:prstGeom>
        <a:ln/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28</xdr:col>
      <xdr:colOff>0</xdr:colOff>
      <xdr:row>20</xdr:row>
      <xdr:rowOff>190499</xdr:rowOff>
    </xdr:from>
    <xdr:to>
      <xdr:col>31</xdr:col>
      <xdr:colOff>0</xdr:colOff>
      <xdr:row>21</xdr:row>
      <xdr:rowOff>0</xdr:rowOff>
    </xdr:to>
    <xdr:cxnSp macro="">
      <xdr:nvCxnSpPr>
        <xdr:cNvPr id="123" name="直線コネクタ 122">
          <a:extLst>
            <a:ext uri="{FF2B5EF4-FFF2-40B4-BE49-F238E27FC236}">
              <a16:creationId xmlns:a16="http://schemas.microsoft.com/office/drawing/2014/main" id="{892161A8-0CCD-4A10-9729-6049ED896AB5}"/>
            </a:ext>
          </a:extLst>
        </xdr:cNvPr>
        <xdr:cNvCxnSpPr>
          <a:stCxn id="16" idx="3"/>
          <a:endCxn id="116" idx="2"/>
        </xdr:cNvCxnSpPr>
      </xdr:nvCxnSpPr>
      <xdr:spPr>
        <a:xfrm flipV="1">
          <a:off x="6756400" y="4127499"/>
          <a:ext cx="723900" cy="1"/>
        </a:xfrm>
        <a:prstGeom prst="line">
          <a:avLst/>
        </a:prstGeom>
        <a:ln/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28</xdr:col>
      <xdr:colOff>0</xdr:colOff>
      <xdr:row>30</xdr:row>
      <xdr:rowOff>190499</xdr:rowOff>
    </xdr:from>
    <xdr:to>
      <xdr:col>31</xdr:col>
      <xdr:colOff>0</xdr:colOff>
      <xdr:row>31</xdr:row>
      <xdr:rowOff>0</xdr:rowOff>
    </xdr:to>
    <xdr:cxnSp macro="">
      <xdr:nvCxnSpPr>
        <xdr:cNvPr id="126" name="直線コネクタ 125">
          <a:extLst>
            <a:ext uri="{FF2B5EF4-FFF2-40B4-BE49-F238E27FC236}">
              <a16:creationId xmlns:a16="http://schemas.microsoft.com/office/drawing/2014/main" id="{C5F86C1C-315D-4C4A-92D2-44B08821A5E1}"/>
            </a:ext>
          </a:extLst>
        </xdr:cNvPr>
        <xdr:cNvCxnSpPr>
          <a:stCxn id="17" idx="3"/>
          <a:endCxn id="117" idx="2"/>
        </xdr:cNvCxnSpPr>
      </xdr:nvCxnSpPr>
      <xdr:spPr>
        <a:xfrm flipV="1">
          <a:off x="6756400" y="6032499"/>
          <a:ext cx="723900" cy="1"/>
        </a:xfrm>
        <a:prstGeom prst="line">
          <a:avLst/>
        </a:prstGeom>
        <a:ln/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27</xdr:col>
      <xdr:colOff>241299</xdr:colOff>
      <xdr:row>40</xdr:row>
      <xdr:rowOff>190499</xdr:rowOff>
    </xdr:from>
    <xdr:to>
      <xdr:col>31</xdr:col>
      <xdr:colOff>0</xdr:colOff>
      <xdr:row>41</xdr:row>
      <xdr:rowOff>1</xdr:rowOff>
    </xdr:to>
    <xdr:cxnSp macro="">
      <xdr:nvCxnSpPr>
        <xdr:cNvPr id="129" name="直線コネクタ 128">
          <a:extLst>
            <a:ext uri="{FF2B5EF4-FFF2-40B4-BE49-F238E27FC236}">
              <a16:creationId xmlns:a16="http://schemas.microsoft.com/office/drawing/2014/main" id="{B7E086C0-CF79-418C-BF88-5156B9833D4F}"/>
            </a:ext>
          </a:extLst>
        </xdr:cNvPr>
        <xdr:cNvCxnSpPr>
          <a:stCxn id="18" idx="3"/>
          <a:endCxn id="118" idx="2"/>
        </xdr:cNvCxnSpPr>
      </xdr:nvCxnSpPr>
      <xdr:spPr>
        <a:xfrm flipV="1">
          <a:off x="6756399" y="7937499"/>
          <a:ext cx="723901" cy="2"/>
        </a:xfrm>
        <a:prstGeom prst="line">
          <a:avLst/>
        </a:prstGeom>
        <a:ln/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28</xdr:col>
      <xdr:colOff>0</xdr:colOff>
      <xdr:row>50</xdr:row>
      <xdr:rowOff>190499</xdr:rowOff>
    </xdr:from>
    <xdr:to>
      <xdr:col>31</xdr:col>
      <xdr:colOff>0</xdr:colOff>
      <xdr:row>51</xdr:row>
      <xdr:rowOff>0</xdr:rowOff>
    </xdr:to>
    <xdr:cxnSp macro="">
      <xdr:nvCxnSpPr>
        <xdr:cNvPr id="132" name="直線コネクタ 131">
          <a:extLst>
            <a:ext uri="{FF2B5EF4-FFF2-40B4-BE49-F238E27FC236}">
              <a16:creationId xmlns:a16="http://schemas.microsoft.com/office/drawing/2014/main" id="{F5C7AA28-90A2-4410-BC3C-C5405065906E}"/>
            </a:ext>
          </a:extLst>
        </xdr:cNvPr>
        <xdr:cNvCxnSpPr>
          <a:stCxn id="112" idx="3"/>
          <a:endCxn id="119" idx="2"/>
        </xdr:cNvCxnSpPr>
      </xdr:nvCxnSpPr>
      <xdr:spPr>
        <a:xfrm flipV="1">
          <a:off x="6756400" y="9842499"/>
          <a:ext cx="723900" cy="1"/>
        </a:xfrm>
        <a:prstGeom prst="line">
          <a:avLst/>
        </a:prstGeom>
        <a:ln/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39</xdr:col>
      <xdr:colOff>0</xdr:colOff>
      <xdr:row>9</xdr:row>
      <xdr:rowOff>0</xdr:rowOff>
    </xdr:from>
    <xdr:to>
      <xdr:col>45</xdr:col>
      <xdr:colOff>0</xdr:colOff>
      <xdr:row>13</xdr:row>
      <xdr:rowOff>0</xdr:rowOff>
    </xdr:to>
    <xdr:sp macro="" textlink="">
      <xdr:nvSpPr>
        <xdr:cNvPr id="150" name="フローチャート: 代替処理 149">
          <a:extLst>
            <a:ext uri="{FF2B5EF4-FFF2-40B4-BE49-F238E27FC236}">
              <a16:creationId xmlns:a16="http://schemas.microsoft.com/office/drawing/2014/main" id="{D8C837DD-3435-DAB4-C42D-C5835738B847}"/>
            </a:ext>
          </a:extLst>
        </xdr:cNvPr>
        <xdr:cNvSpPr/>
      </xdr:nvSpPr>
      <xdr:spPr>
        <a:xfrm>
          <a:off x="9410700" y="1841500"/>
          <a:ext cx="1447800" cy="762000"/>
        </a:xfrm>
        <a:prstGeom prst="flowChartAlternateProcess">
          <a:avLst/>
        </a:prstGeom>
        <a:solidFill>
          <a:srgbClr val="B8193F"/>
        </a:solidFill>
        <a:ln w="28575">
          <a:solidFill>
            <a:srgbClr val="B8193F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lIns="36000" rIns="36000" rtlCol="0" anchor="ctr"/>
        <a:lstStyle/>
        <a:p>
          <a:pPr marL="0" indent="0" algn="ctr"/>
          <a:r>
            <a:rPr kumimoji="1" lang="en-US" altLang="ja-JP" sz="1100">
              <a:solidFill>
                <a:schemeClr val="bg1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POS</a:t>
          </a:r>
          <a:r>
            <a:rPr kumimoji="1" lang="ja-JP" altLang="en-US" sz="1100">
              <a:solidFill>
                <a:schemeClr val="bg1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アプリ</a:t>
          </a:r>
          <a:br>
            <a:rPr kumimoji="1" lang="en-US" altLang="ja-JP" sz="1100">
              <a:solidFill>
                <a:schemeClr val="bg1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</a:br>
          <a:r>
            <a:rPr kumimoji="1" lang="en-US" altLang="ja-JP" sz="1100">
              <a:solidFill>
                <a:schemeClr val="bg1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(KSM)</a:t>
          </a:r>
          <a:endParaRPr kumimoji="1" lang="ja-JP" altLang="en-US" sz="1100">
            <a:solidFill>
              <a:schemeClr val="bg1"/>
            </a:solidFill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</xdr:txBody>
    </xdr:sp>
    <xdr:clientData/>
  </xdr:twoCellAnchor>
  <xdr:twoCellAnchor>
    <xdr:from>
      <xdr:col>39</xdr:col>
      <xdr:colOff>0</xdr:colOff>
      <xdr:row>19</xdr:row>
      <xdr:rowOff>0</xdr:rowOff>
    </xdr:from>
    <xdr:to>
      <xdr:col>45</xdr:col>
      <xdr:colOff>0</xdr:colOff>
      <xdr:row>23</xdr:row>
      <xdr:rowOff>0</xdr:rowOff>
    </xdr:to>
    <xdr:sp macro="" textlink="">
      <xdr:nvSpPr>
        <xdr:cNvPr id="151" name="フローチャート: 代替処理 150">
          <a:extLst>
            <a:ext uri="{FF2B5EF4-FFF2-40B4-BE49-F238E27FC236}">
              <a16:creationId xmlns:a16="http://schemas.microsoft.com/office/drawing/2014/main" id="{B534ABCC-339A-4108-BF7D-50D98C4756A4}"/>
            </a:ext>
          </a:extLst>
        </xdr:cNvPr>
        <xdr:cNvSpPr/>
      </xdr:nvSpPr>
      <xdr:spPr>
        <a:xfrm>
          <a:off x="9410700" y="3746500"/>
          <a:ext cx="1447800" cy="762000"/>
        </a:xfrm>
        <a:prstGeom prst="flowChartAlternateProcess">
          <a:avLst/>
        </a:prstGeom>
        <a:solidFill>
          <a:srgbClr val="009B3F"/>
        </a:solidFill>
        <a:ln w="28575">
          <a:solidFill>
            <a:srgbClr val="009B3F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lIns="36000" rIns="36000" rtlCol="0" anchor="ctr"/>
        <a:lstStyle/>
        <a:p>
          <a:pPr marL="0" indent="0" algn="ctr"/>
          <a:r>
            <a:rPr kumimoji="1" lang="en-US" altLang="ja-JP" sz="1100">
              <a:solidFill>
                <a:schemeClr val="bg1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POS</a:t>
          </a:r>
          <a:r>
            <a:rPr kumimoji="1" lang="ja-JP" altLang="en-US" sz="1100">
              <a:solidFill>
                <a:schemeClr val="bg1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アプリ</a:t>
          </a:r>
          <a:br>
            <a:rPr kumimoji="1" lang="en-US" altLang="ja-JP" sz="1100">
              <a:solidFill>
                <a:schemeClr val="bg1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</a:br>
          <a:r>
            <a:rPr kumimoji="1" lang="en-US" altLang="ja-JP" sz="1100">
              <a:solidFill>
                <a:schemeClr val="bg1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(ING)</a:t>
          </a:r>
          <a:endParaRPr kumimoji="1" lang="ja-JP" altLang="en-US" sz="1100">
            <a:solidFill>
              <a:schemeClr val="bg1"/>
            </a:solidFill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</xdr:txBody>
    </xdr:sp>
    <xdr:clientData/>
  </xdr:twoCellAnchor>
  <xdr:twoCellAnchor>
    <xdr:from>
      <xdr:col>39</xdr:col>
      <xdr:colOff>0</xdr:colOff>
      <xdr:row>29</xdr:row>
      <xdr:rowOff>0</xdr:rowOff>
    </xdr:from>
    <xdr:to>
      <xdr:col>45</xdr:col>
      <xdr:colOff>0</xdr:colOff>
      <xdr:row>33</xdr:row>
      <xdr:rowOff>0</xdr:rowOff>
    </xdr:to>
    <xdr:sp macro="" textlink="">
      <xdr:nvSpPr>
        <xdr:cNvPr id="152" name="フローチャート: 代替処理 151">
          <a:extLst>
            <a:ext uri="{FF2B5EF4-FFF2-40B4-BE49-F238E27FC236}">
              <a16:creationId xmlns:a16="http://schemas.microsoft.com/office/drawing/2014/main" id="{634D0C45-11C8-44B2-81D4-848480BF53CB}"/>
            </a:ext>
          </a:extLst>
        </xdr:cNvPr>
        <xdr:cNvSpPr/>
      </xdr:nvSpPr>
      <xdr:spPr>
        <a:xfrm>
          <a:off x="9410700" y="5651500"/>
          <a:ext cx="1447800" cy="762000"/>
        </a:xfrm>
        <a:prstGeom prst="flowChartAlternateProcess">
          <a:avLst/>
        </a:prstGeom>
        <a:solidFill>
          <a:srgbClr val="275538"/>
        </a:solidFill>
        <a:ln w="28575">
          <a:solidFill>
            <a:srgbClr val="275538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lIns="36000" rIns="36000" rtlCol="0" anchor="ctr"/>
        <a:lstStyle/>
        <a:p>
          <a:pPr marL="0" indent="0" algn="ctr"/>
          <a:r>
            <a:rPr kumimoji="1" lang="en-US" altLang="ja-JP" sz="1100">
              <a:solidFill>
                <a:schemeClr val="bg1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POS</a:t>
          </a:r>
          <a:r>
            <a:rPr kumimoji="1" lang="ja-JP" altLang="en-US" sz="1100">
              <a:solidFill>
                <a:schemeClr val="bg1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アプリ</a:t>
          </a:r>
          <a:br>
            <a:rPr kumimoji="1" lang="en-US" altLang="ja-JP" sz="1100">
              <a:solidFill>
                <a:schemeClr val="bg1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</a:br>
          <a:r>
            <a:rPr kumimoji="1" lang="en-US" altLang="ja-JP" sz="1100">
              <a:solidFill>
                <a:schemeClr val="bg1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(MRE)</a:t>
          </a:r>
          <a:endParaRPr kumimoji="1" lang="ja-JP" altLang="en-US" sz="1100">
            <a:solidFill>
              <a:schemeClr val="bg1"/>
            </a:solidFill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</xdr:txBody>
    </xdr:sp>
    <xdr:clientData/>
  </xdr:twoCellAnchor>
  <xdr:twoCellAnchor>
    <xdr:from>
      <xdr:col>39</xdr:col>
      <xdr:colOff>0</xdr:colOff>
      <xdr:row>39</xdr:row>
      <xdr:rowOff>0</xdr:rowOff>
    </xdr:from>
    <xdr:to>
      <xdr:col>45</xdr:col>
      <xdr:colOff>0</xdr:colOff>
      <xdr:row>43</xdr:row>
      <xdr:rowOff>0</xdr:rowOff>
    </xdr:to>
    <xdr:sp macro="" textlink="">
      <xdr:nvSpPr>
        <xdr:cNvPr id="153" name="フローチャート: 代替処理 152">
          <a:extLst>
            <a:ext uri="{FF2B5EF4-FFF2-40B4-BE49-F238E27FC236}">
              <a16:creationId xmlns:a16="http://schemas.microsoft.com/office/drawing/2014/main" id="{4D53057F-C89F-4352-8F57-637FF000864C}"/>
            </a:ext>
          </a:extLst>
        </xdr:cNvPr>
        <xdr:cNvSpPr/>
      </xdr:nvSpPr>
      <xdr:spPr>
        <a:xfrm>
          <a:off x="9410700" y="7556500"/>
          <a:ext cx="1447800" cy="762000"/>
        </a:xfrm>
        <a:prstGeom prst="flowChartAlternateProcess">
          <a:avLst/>
        </a:prstGeom>
        <a:solidFill>
          <a:srgbClr val="B8193F"/>
        </a:solidFill>
        <a:ln w="28575">
          <a:solidFill>
            <a:srgbClr val="C40757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lIns="36000" rIns="36000" rtlCol="0" anchor="ctr"/>
        <a:lstStyle/>
        <a:p>
          <a:pPr marL="0" indent="0" algn="ctr"/>
          <a:r>
            <a:rPr kumimoji="1" lang="en-US" altLang="ja-JP" sz="1100">
              <a:solidFill>
                <a:schemeClr val="bg1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POS</a:t>
          </a:r>
          <a:r>
            <a:rPr kumimoji="1" lang="ja-JP" altLang="en-US" sz="1100">
              <a:solidFill>
                <a:schemeClr val="bg1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アプリ</a:t>
          </a:r>
          <a:br>
            <a:rPr kumimoji="1" lang="en-US" altLang="ja-JP" sz="1100">
              <a:solidFill>
                <a:schemeClr val="bg1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</a:br>
          <a:r>
            <a:rPr kumimoji="1" lang="en-US" altLang="ja-JP" sz="1100">
              <a:solidFill>
                <a:schemeClr val="bg1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(MVK)</a:t>
          </a:r>
          <a:endParaRPr kumimoji="1" lang="ja-JP" altLang="en-US" sz="1100">
            <a:solidFill>
              <a:schemeClr val="bg1"/>
            </a:solidFill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</xdr:txBody>
    </xdr:sp>
    <xdr:clientData/>
  </xdr:twoCellAnchor>
  <xdr:twoCellAnchor>
    <xdr:from>
      <xdr:col>39</xdr:col>
      <xdr:colOff>0</xdr:colOff>
      <xdr:row>49</xdr:row>
      <xdr:rowOff>0</xdr:rowOff>
    </xdr:from>
    <xdr:to>
      <xdr:col>45</xdr:col>
      <xdr:colOff>0</xdr:colOff>
      <xdr:row>53</xdr:row>
      <xdr:rowOff>0</xdr:rowOff>
    </xdr:to>
    <xdr:sp macro="" textlink="">
      <xdr:nvSpPr>
        <xdr:cNvPr id="154" name="フローチャート: 代替処理 153">
          <a:extLst>
            <a:ext uri="{FF2B5EF4-FFF2-40B4-BE49-F238E27FC236}">
              <a16:creationId xmlns:a16="http://schemas.microsoft.com/office/drawing/2014/main" id="{9C38A744-070E-40E3-97C1-AEF09310F7F2}"/>
            </a:ext>
          </a:extLst>
        </xdr:cNvPr>
        <xdr:cNvSpPr/>
      </xdr:nvSpPr>
      <xdr:spPr>
        <a:xfrm>
          <a:off x="9410700" y="9461500"/>
          <a:ext cx="1447800" cy="762000"/>
        </a:xfrm>
        <a:prstGeom prst="flowChartAlternateProcess">
          <a:avLst/>
        </a:prstGeom>
        <a:solidFill>
          <a:schemeClr val="bg1">
            <a:lumMod val="50000"/>
          </a:schemeClr>
        </a:solidFill>
        <a:ln w="9525">
          <a:solidFill>
            <a:schemeClr val="bg1">
              <a:lumMod val="5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overflow" horzOverflow="overflow" wrap="none" lIns="36000" tIns="0" rIns="36000" bIns="0" rtlCol="0" anchor="ctr"/>
        <a:lstStyle/>
        <a:p>
          <a:pPr marL="0" indent="0" algn="ctr"/>
          <a:r>
            <a:rPr kumimoji="1" lang="en-US" altLang="ja-JP" sz="1100">
              <a:solidFill>
                <a:schemeClr val="bg1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POS</a:t>
          </a:r>
          <a:r>
            <a:rPr kumimoji="1" lang="ja-JP" altLang="en-US" sz="1100">
              <a:solidFill>
                <a:schemeClr val="bg1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アプリ</a:t>
          </a:r>
          <a:br>
            <a:rPr kumimoji="1" lang="en-US" altLang="ja-JP" sz="1100">
              <a:solidFill>
                <a:schemeClr val="bg1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</a:br>
          <a:r>
            <a:rPr kumimoji="1" lang="en-US" altLang="ja-JP" sz="1100">
              <a:solidFill>
                <a:schemeClr val="bg1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(XYZ)</a:t>
          </a:r>
          <a:endParaRPr kumimoji="1" lang="ja-JP" altLang="en-US" sz="1100">
            <a:solidFill>
              <a:schemeClr val="bg1"/>
            </a:solidFill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</xdr:txBody>
    </xdr:sp>
    <xdr:clientData/>
  </xdr:twoCellAnchor>
  <xdr:twoCellAnchor>
    <xdr:from>
      <xdr:col>36</xdr:col>
      <xdr:colOff>1</xdr:colOff>
      <xdr:row>11</xdr:row>
      <xdr:rowOff>0</xdr:rowOff>
    </xdr:from>
    <xdr:to>
      <xdr:col>39</xdr:col>
      <xdr:colOff>0</xdr:colOff>
      <xdr:row>11</xdr:row>
      <xdr:rowOff>0</xdr:rowOff>
    </xdr:to>
    <xdr:cxnSp macro="">
      <xdr:nvCxnSpPr>
        <xdr:cNvPr id="155" name="直線コネクタ 154">
          <a:extLst>
            <a:ext uri="{FF2B5EF4-FFF2-40B4-BE49-F238E27FC236}">
              <a16:creationId xmlns:a16="http://schemas.microsoft.com/office/drawing/2014/main" id="{89C083CA-A2CF-4D92-99C8-114ACCD4A1CC}"/>
            </a:ext>
          </a:extLst>
        </xdr:cNvPr>
        <xdr:cNvCxnSpPr>
          <a:stCxn id="2" idx="4"/>
          <a:endCxn id="150" idx="1"/>
        </xdr:cNvCxnSpPr>
      </xdr:nvCxnSpPr>
      <xdr:spPr>
        <a:xfrm>
          <a:off x="8686801" y="2222500"/>
          <a:ext cx="723899" cy="0"/>
        </a:xfrm>
        <a:prstGeom prst="line">
          <a:avLst/>
        </a:prstGeom>
        <a:ln/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36</xdr:col>
      <xdr:colOff>0</xdr:colOff>
      <xdr:row>20</xdr:row>
      <xdr:rowOff>190499</xdr:rowOff>
    </xdr:from>
    <xdr:to>
      <xdr:col>39</xdr:col>
      <xdr:colOff>0</xdr:colOff>
      <xdr:row>21</xdr:row>
      <xdr:rowOff>0</xdr:rowOff>
    </xdr:to>
    <xdr:cxnSp macro="">
      <xdr:nvCxnSpPr>
        <xdr:cNvPr id="158" name="直線コネクタ 157">
          <a:extLst>
            <a:ext uri="{FF2B5EF4-FFF2-40B4-BE49-F238E27FC236}">
              <a16:creationId xmlns:a16="http://schemas.microsoft.com/office/drawing/2014/main" id="{492A4C48-EC29-415A-8C52-31A02B95F034}"/>
            </a:ext>
          </a:extLst>
        </xdr:cNvPr>
        <xdr:cNvCxnSpPr>
          <a:stCxn id="116" idx="4"/>
          <a:endCxn id="151" idx="1"/>
        </xdr:cNvCxnSpPr>
      </xdr:nvCxnSpPr>
      <xdr:spPr>
        <a:xfrm>
          <a:off x="8686800" y="4127499"/>
          <a:ext cx="723900" cy="1"/>
        </a:xfrm>
        <a:prstGeom prst="line">
          <a:avLst/>
        </a:prstGeom>
        <a:ln/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36</xdr:col>
      <xdr:colOff>0</xdr:colOff>
      <xdr:row>30</xdr:row>
      <xdr:rowOff>190499</xdr:rowOff>
    </xdr:from>
    <xdr:to>
      <xdr:col>39</xdr:col>
      <xdr:colOff>0</xdr:colOff>
      <xdr:row>31</xdr:row>
      <xdr:rowOff>0</xdr:rowOff>
    </xdr:to>
    <xdr:cxnSp macro="">
      <xdr:nvCxnSpPr>
        <xdr:cNvPr id="161" name="直線コネクタ 160">
          <a:extLst>
            <a:ext uri="{FF2B5EF4-FFF2-40B4-BE49-F238E27FC236}">
              <a16:creationId xmlns:a16="http://schemas.microsoft.com/office/drawing/2014/main" id="{1158D0FD-041C-4C31-B0F8-F8B7C30A76DB}"/>
            </a:ext>
          </a:extLst>
        </xdr:cNvPr>
        <xdr:cNvCxnSpPr>
          <a:stCxn id="117" idx="4"/>
          <a:endCxn id="152" idx="1"/>
        </xdr:cNvCxnSpPr>
      </xdr:nvCxnSpPr>
      <xdr:spPr>
        <a:xfrm>
          <a:off x="8686800" y="6032499"/>
          <a:ext cx="723900" cy="1"/>
        </a:xfrm>
        <a:prstGeom prst="line">
          <a:avLst/>
        </a:prstGeom>
        <a:ln/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36</xdr:col>
      <xdr:colOff>0</xdr:colOff>
      <xdr:row>40</xdr:row>
      <xdr:rowOff>190499</xdr:rowOff>
    </xdr:from>
    <xdr:to>
      <xdr:col>39</xdr:col>
      <xdr:colOff>0</xdr:colOff>
      <xdr:row>41</xdr:row>
      <xdr:rowOff>0</xdr:rowOff>
    </xdr:to>
    <xdr:cxnSp macro="">
      <xdr:nvCxnSpPr>
        <xdr:cNvPr id="164" name="直線コネクタ 163">
          <a:extLst>
            <a:ext uri="{FF2B5EF4-FFF2-40B4-BE49-F238E27FC236}">
              <a16:creationId xmlns:a16="http://schemas.microsoft.com/office/drawing/2014/main" id="{1B95960E-79BE-4FAF-8F47-EC07C699A71B}"/>
            </a:ext>
          </a:extLst>
        </xdr:cNvPr>
        <xdr:cNvCxnSpPr>
          <a:stCxn id="118" idx="4"/>
          <a:endCxn id="153" idx="1"/>
        </xdr:cNvCxnSpPr>
      </xdr:nvCxnSpPr>
      <xdr:spPr>
        <a:xfrm>
          <a:off x="8686800" y="7937499"/>
          <a:ext cx="723900" cy="1"/>
        </a:xfrm>
        <a:prstGeom prst="line">
          <a:avLst/>
        </a:prstGeom>
        <a:ln/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36</xdr:col>
      <xdr:colOff>0</xdr:colOff>
      <xdr:row>50</xdr:row>
      <xdr:rowOff>190499</xdr:rowOff>
    </xdr:from>
    <xdr:to>
      <xdr:col>39</xdr:col>
      <xdr:colOff>0</xdr:colOff>
      <xdr:row>51</xdr:row>
      <xdr:rowOff>0</xdr:rowOff>
    </xdr:to>
    <xdr:cxnSp macro="">
      <xdr:nvCxnSpPr>
        <xdr:cNvPr id="167" name="直線コネクタ 166">
          <a:extLst>
            <a:ext uri="{FF2B5EF4-FFF2-40B4-BE49-F238E27FC236}">
              <a16:creationId xmlns:a16="http://schemas.microsoft.com/office/drawing/2014/main" id="{953539ED-E872-497F-AEC2-EF79987CE735}"/>
            </a:ext>
          </a:extLst>
        </xdr:cNvPr>
        <xdr:cNvCxnSpPr>
          <a:stCxn id="119" idx="4"/>
          <a:endCxn id="154" idx="1"/>
        </xdr:cNvCxnSpPr>
      </xdr:nvCxnSpPr>
      <xdr:spPr>
        <a:xfrm>
          <a:off x="8686800" y="9842499"/>
          <a:ext cx="723900" cy="1"/>
        </a:xfrm>
        <a:prstGeom prst="line">
          <a:avLst/>
        </a:prstGeom>
        <a:ln/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48</xdr:col>
      <xdr:colOff>1</xdr:colOff>
      <xdr:row>9</xdr:row>
      <xdr:rowOff>0</xdr:rowOff>
    </xdr:from>
    <xdr:to>
      <xdr:col>53</xdr:col>
      <xdr:colOff>1</xdr:colOff>
      <xdr:row>13</xdr:row>
      <xdr:rowOff>0</xdr:rowOff>
    </xdr:to>
    <xdr:sp macro="" textlink="">
      <xdr:nvSpPr>
        <xdr:cNvPr id="171" name="フローチャート: 磁気ディスク 170">
          <a:extLst>
            <a:ext uri="{FF2B5EF4-FFF2-40B4-BE49-F238E27FC236}">
              <a16:creationId xmlns:a16="http://schemas.microsoft.com/office/drawing/2014/main" id="{1993CE07-4387-408F-B033-55598A6DD46E}"/>
            </a:ext>
          </a:extLst>
        </xdr:cNvPr>
        <xdr:cNvSpPr/>
      </xdr:nvSpPr>
      <xdr:spPr>
        <a:xfrm>
          <a:off x="11582401" y="1841500"/>
          <a:ext cx="1206500" cy="762000"/>
        </a:xfrm>
        <a:prstGeom prst="flowChartMagneticDisk">
          <a:avLst/>
        </a:prstGeom>
        <a:solidFill>
          <a:schemeClr val="bg1"/>
        </a:solidFill>
        <a:ln w="9525">
          <a:solidFill>
            <a:srgbClr val="B8193F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overflow" horzOverflow="overflow" wrap="none" lIns="36000" tIns="0" rIns="36000" bIns="0" rtlCol="0" anchor="ctr"/>
        <a:lstStyle/>
        <a:p>
          <a:pPr marL="0" indent="0" algn="ctr"/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トラン</a:t>
          </a:r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DB</a:t>
          </a:r>
        </a:p>
        <a:p>
          <a:pPr marL="0" indent="0" algn="ctr"/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(KSM)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</xdr:txBody>
    </xdr:sp>
    <xdr:clientData/>
  </xdr:twoCellAnchor>
  <xdr:twoCellAnchor>
    <xdr:from>
      <xdr:col>48</xdr:col>
      <xdr:colOff>0</xdr:colOff>
      <xdr:row>18</xdr:row>
      <xdr:rowOff>190499</xdr:rowOff>
    </xdr:from>
    <xdr:to>
      <xdr:col>53</xdr:col>
      <xdr:colOff>0</xdr:colOff>
      <xdr:row>22</xdr:row>
      <xdr:rowOff>190499</xdr:rowOff>
    </xdr:to>
    <xdr:sp macro="" textlink="">
      <xdr:nvSpPr>
        <xdr:cNvPr id="172" name="フローチャート: 磁気ディスク 171">
          <a:extLst>
            <a:ext uri="{FF2B5EF4-FFF2-40B4-BE49-F238E27FC236}">
              <a16:creationId xmlns:a16="http://schemas.microsoft.com/office/drawing/2014/main" id="{A7C5298A-301C-4B14-BBEB-658B996B0801}"/>
            </a:ext>
          </a:extLst>
        </xdr:cNvPr>
        <xdr:cNvSpPr/>
      </xdr:nvSpPr>
      <xdr:spPr>
        <a:xfrm>
          <a:off x="11582400" y="3746499"/>
          <a:ext cx="1206500" cy="762000"/>
        </a:xfrm>
        <a:prstGeom prst="flowChartMagneticDisk">
          <a:avLst/>
        </a:prstGeom>
        <a:solidFill>
          <a:schemeClr val="bg1"/>
        </a:solidFill>
        <a:ln w="9525">
          <a:solidFill>
            <a:srgbClr val="009B3F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overflow" horzOverflow="overflow" wrap="none" lIns="36000" tIns="0" rIns="36000" bIns="0" rtlCol="0" anchor="ctr"/>
        <a:lstStyle/>
        <a:p>
          <a:pPr marL="0" indent="0" algn="ctr"/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トラン</a:t>
          </a:r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DB</a:t>
          </a:r>
        </a:p>
        <a:p>
          <a:pPr marL="0" indent="0" algn="ctr"/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(ING)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</xdr:txBody>
    </xdr:sp>
    <xdr:clientData/>
  </xdr:twoCellAnchor>
  <xdr:twoCellAnchor>
    <xdr:from>
      <xdr:col>48</xdr:col>
      <xdr:colOff>0</xdr:colOff>
      <xdr:row>28</xdr:row>
      <xdr:rowOff>190499</xdr:rowOff>
    </xdr:from>
    <xdr:to>
      <xdr:col>53</xdr:col>
      <xdr:colOff>0</xdr:colOff>
      <xdr:row>32</xdr:row>
      <xdr:rowOff>190499</xdr:rowOff>
    </xdr:to>
    <xdr:sp macro="" textlink="">
      <xdr:nvSpPr>
        <xdr:cNvPr id="173" name="フローチャート: 磁気ディスク 172">
          <a:extLst>
            <a:ext uri="{FF2B5EF4-FFF2-40B4-BE49-F238E27FC236}">
              <a16:creationId xmlns:a16="http://schemas.microsoft.com/office/drawing/2014/main" id="{A8FB384D-D4C4-4BD4-BC0B-525BCE8D0391}"/>
            </a:ext>
          </a:extLst>
        </xdr:cNvPr>
        <xdr:cNvSpPr/>
      </xdr:nvSpPr>
      <xdr:spPr>
        <a:xfrm>
          <a:off x="11582400" y="5651499"/>
          <a:ext cx="1206500" cy="762000"/>
        </a:xfrm>
        <a:prstGeom prst="flowChartMagneticDisk">
          <a:avLst/>
        </a:prstGeom>
        <a:solidFill>
          <a:schemeClr val="bg1"/>
        </a:solidFill>
        <a:ln w="9525">
          <a:solidFill>
            <a:srgbClr val="275538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overflow" horzOverflow="overflow" wrap="none" lIns="36000" tIns="0" rIns="36000" bIns="0" rtlCol="0" anchor="ctr"/>
        <a:lstStyle/>
        <a:p>
          <a:pPr marL="0" indent="0" algn="ctr"/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トラン</a:t>
          </a:r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DB</a:t>
          </a:r>
          <a:b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</a:br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(MRE)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</xdr:txBody>
    </xdr:sp>
    <xdr:clientData/>
  </xdr:twoCellAnchor>
  <xdr:twoCellAnchor>
    <xdr:from>
      <xdr:col>48</xdr:col>
      <xdr:colOff>0</xdr:colOff>
      <xdr:row>38</xdr:row>
      <xdr:rowOff>190499</xdr:rowOff>
    </xdr:from>
    <xdr:to>
      <xdr:col>53</xdr:col>
      <xdr:colOff>0</xdr:colOff>
      <xdr:row>42</xdr:row>
      <xdr:rowOff>190499</xdr:rowOff>
    </xdr:to>
    <xdr:sp macro="" textlink="">
      <xdr:nvSpPr>
        <xdr:cNvPr id="174" name="フローチャート: 磁気ディスク 173">
          <a:extLst>
            <a:ext uri="{FF2B5EF4-FFF2-40B4-BE49-F238E27FC236}">
              <a16:creationId xmlns:a16="http://schemas.microsoft.com/office/drawing/2014/main" id="{6CBFD3DE-00AC-4157-8FFC-F87F61260F90}"/>
            </a:ext>
          </a:extLst>
        </xdr:cNvPr>
        <xdr:cNvSpPr/>
      </xdr:nvSpPr>
      <xdr:spPr>
        <a:xfrm>
          <a:off x="11582400" y="7556499"/>
          <a:ext cx="1206500" cy="762000"/>
        </a:xfrm>
        <a:prstGeom prst="flowChartMagneticDisk">
          <a:avLst/>
        </a:prstGeom>
        <a:solidFill>
          <a:schemeClr val="bg1"/>
        </a:solidFill>
        <a:ln w="9525">
          <a:solidFill>
            <a:srgbClr val="B8193F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overflow" horzOverflow="overflow" wrap="none" lIns="36000" tIns="0" rIns="36000" bIns="0" rtlCol="0" anchor="ctr"/>
        <a:lstStyle/>
        <a:p>
          <a:pPr marL="0" indent="0" algn="ctr"/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トラン</a:t>
          </a:r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DB</a:t>
          </a:r>
          <a:b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</a:br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(MVK)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</xdr:txBody>
    </xdr:sp>
    <xdr:clientData/>
  </xdr:twoCellAnchor>
  <xdr:twoCellAnchor>
    <xdr:from>
      <xdr:col>48</xdr:col>
      <xdr:colOff>0</xdr:colOff>
      <xdr:row>48</xdr:row>
      <xdr:rowOff>190499</xdr:rowOff>
    </xdr:from>
    <xdr:to>
      <xdr:col>53</xdr:col>
      <xdr:colOff>0</xdr:colOff>
      <xdr:row>52</xdr:row>
      <xdr:rowOff>190499</xdr:rowOff>
    </xdr:to>
    <xdr:sp macro="" textlink="">
      <xdr:nvSpPr>
        <xdr:cNvPr id="175" name="フローチャート: 磁気ディスク 174">
          <a:extLst>
            <a:ext uri="{FF2B5EF4-FFF2-40B4-BE49-F238E27FC236}">
              <a16:creationId xmlns:a16="http://schemas.microsoft.com/office/drawing/2014/main" id="{05CF4F40-91AE-4A7E-956A-27880283E001}"/>
            </a:ext>
          </a:extLst>
        </xdr:cNvPr>
        <xdr:cNvSpPr/>
      </xdr:nvSpPr>
      <xdr:spPr>
        <a:xfrm>
          <a:off x="11582400" y="9461499"/>
          <a:ext cx="1206500" cy="762000"/>
        </a:xfrm>
        <a:prstGeom prst="flowChartMagneticDisk">
          <a:avLst/>
        </a:prstGeom>
        <a:solidFill>
          <a:schemeClr val="bg1"/>
        </a:solidFill>
        <a:ln w="9525">
          <a:solidFill>
            <a:schemeClr val="bg1">
              <a:lumMod val="5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overflow" horzOverflow="overflow" wrap="none" lIns="36000" tIns="0" rIns="36000" bIns="0" rtlCol="0" anchor="ctr"/>
        <a:lstStyle/>
        <a:p>
          <a:pPr marL="0" indent="0" algn="ctr"/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トラン</a:t>
          </a:r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DB</a:t>
          </a:r>
          <a:b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</a:br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(XYZ)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</xdr:txBody>
    </xdr:sp>
    <xdr:clientData/>
  </xdr:twoCellAnchor>
  <xdr:twoCellAnchor>
    <xdr:from>
      <xdr:col>45</xdr:col>
      <xdr:colOff>0</xdr:colOff>
      <xdr:row>11</xdr:row>
      <xdr:rowOff>0</xdr:rowOff>
    </xdr:from>
    <xdr:to>
      <xdr:col>48</xdr:col>
      <xdr:colOff>1</xdr:colOff>
      <xdr:row>11</xdr:row>
      <xdr:rowOff>0</xdr:rowOff>
    </xdr:to>
    <xdr:cxnSp macro="">
      <xdr:nvCxnSpPr>
        <xdr:cNvPr id="176" name="直線コネクタ 175">
          <a:extLst>
            <a:ext uri="{FF2B5EF4-FFF2-40B4-BE49-F238E27FC236}">
              <a16:creationId xmlns:a16="http://schemas.microsoft.com/office/drawing/2014/main" id="{57DA9B15-1218-4424-B5BD-938B6594B57F}"/>
            </a:ext>
          </a:extLst>
        </xdr:cNvPr>
        <xdr:cNvCxnSpPr>
          <a:stCxn id="150" idx="3"/>
          <a:endCxn id="171" idx="2"/>
        </xdr:cNvCxnSpPr>
      </xdr:nvCxnSpPr>
      <xdr:spPr>
        <a:xfrm>
          <a:off x="10858500" y="2222500"/>
          <a:ext cx="723901" cy="0"/>
        </a:xfrm>
        <a:prstGeom prst="line">
          <a:avLst/>
        </a:prstGeom>
        <a:ln/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45</xdr:col>
      <xdr:colOff>0</xdr:colOff>
      <xdr:row>20</xdr:row>
      <xdr:rowOff>190499</xdr:rowOff>
    </xdr:from>
    <xdr:to>
      <xdr:col>48</xdr:col>
      <xdr:colOff>0</xdr:colOff>
      <xdr:row>21</xdr:row>
      <xdr:rowOff>0</xdr:rowOff>
    </xdr:to>
    <xdr:cxnSp macro="">
      <xdr:nvCxnSpPr>
        <xdr:cNvPr id="180" name="直線コネクタ 179">
          <a:extLst>
            <a:ext uri="{FF2B5EF4-FFF2-40B4-BE49-F238E27FC236}">
              <a16:creationId xmlns:a16="http://schemas.microsoft.com/office/drawing/2014/main" id="{8CA7D4FA-DA47-4B57-9CB1-17DAD71E9ADF}"/>
            </a:ext>
          </a:extLst>
        </xdr:cNvPr>
        <xdr:cNvCxnSpPr>
          <a:stCxn id="151" idx="3"/>
          <a:endCxn id="172" idx="2"/>
        </xdr:cNvCxnSpPr>
      </xdr:nvCxnSpPr>
      <xdr:spPr>
        <a:xfrm flipV="1">
          <a:off x="10858500" y="4127499"/>
          <a:ext cx="723900" cy="1"/>
        </a:xfrm>
        <a:prstGeom prst="line">
          <a:avLst/>
        </a:prstGeom>
        <a:ln/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45</xdr:col>
      <xdr:colOff>0</xdr:colOff>
      <xdr:row>30</xdr:row>
      <xdr:rowOff>190499</xdr:rowOff>
    </xdr:from>
    <xdr:to>
      <xdr:col>48</xdr:col>
      <xdr:colOff>0</xdr:colOff>
      <xdr:row>31</xdr:row>
      <xdr:rowOff>0</xdr:rowOff>
    </xdr:to>
    <xdr:cxnSp macro="">
      <xdr:nvCxnSpPr>
        <xdr:cNvPr id="183" name="直線コネクタ 182">
          <a:extLst>
            <a:ext uri="{FF2B5EF4-FFF2-40B4-BE49-F238E27FC236}">
              <a16:creationId xmlns:a16="http://schemas.microsoft.com/office/drawing/2014/main" id="{C943BF98-265A-4F8D-BDAF-50358CC8AD79}"/>
            </a:ext>
          </a:extLst>
        </xdr:cNvPr>
        <xdr:cNvCxnSpPr>
          <a:stCxn id="152" idx="3"/>
          <a:endCxn id="173" idx="2"/>
        </xdr:cNvCxnSpPr>
      </xdr:nvCxnSpPr>
      <xdr:spPr>
        <a:xfrm flipV="1">
          <a:off x="10858500" y="6032499"/>
          <a:ext cx="723900" cy="1"/>
        </a:xfrm>
        <a:prstGeom prst="line">
          <a:avLst/>
        </a:prstGeom>
        <a:ln/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45</xdr:col>
      <xdr:colOff>0</xdr:colOff>
      <xdr:row>40</xdr:row>
      <xdr:rowOff>190499</xdr:rowOff>
    </xdr:from>
    <xdr:to>
      <xdr:col>48</xdr:col>
      <xdr:colOff>0</xdr:colOff>
      <xdr:row>41</xdr:row>
      <xdr:rowOff>0</xdr:rowOff>
    </xdr:to>
    <xdr:cxnSp macro="">
      <xdr:nvCxnSpPr>
        <xdr:cNvPr id="186" name="直線コネクタ 185">
          <a:extLst>
            <a:ext uri="{FF2B5EF4-FFF2-40B4-BE49-F238E27FC236}">
              <a16:creationId xmlns:a16="http://schemas.microsoft.com/office/drawing/2014/main" id="{F7C25C72-77C4-4858-B976-EADB4FB435DB}"/>
            </a:ext>
          </a:extLst>
        </xdr:cNvPr>
        <xdr:cNvCxnSpPr>
          <a:stCxn id="153" idx="3"/>
          <a:endCxn id="174" idx="2"/>
        </xdr:cNvCxnSpPr>
      </xdr:nvCxnSpPr>
      <xdr:spPr>
        <a:xfrm flipV="1">
          <a:off x="10858500" y="7937499"/>
          <a:ext cx="723900" cy="1"/>
        </a:xfrm>
        <a:prstGeom prst="line">
          <a:avLst/>
        </a:prstGeom>
        <a:ln/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45</xdr:col>
      <xdr:colOff>0</xdr:colOff>
      <xdr:row>50</xdr:row>
      <xdr:rowOff>190499</xdr:rowOff>
    </xdr:from>
    <xdr:to>
      <xdr:col>48</xdr:col>
      <xdr:colOff>0</xdr:colOff>
      <xdr:row>51</xdr:row>
      <xdr:rowOff>0</xdr:rowOff>
    </xdr:to>
    <xdr:cxnSp macro="">
      <xdr:nvCxnSpPr>
        <xdr:cNvPr id="189" name="直線コネクタ 188">
          <a:extLst>
            <a:ext uri="{FF2B5EF4-FFF2-40B4-BE49-F238E27FC236}">
              <a16:creationId xmlns:a16="http://schemas.microsoft.com/office/drawing/2014/main" id="{D5DEDC73-28FA-4DF4-90CD-5D30169988C9}"/>
            </a:ext>
          </a:extLst>
        </xdr:cNvPr>
        <xdr:cNvCxnSpPr>
          <a:stCxn id="154" idx="3"/>
          <a:endCxn id="175" idx="2"/>
        </xdr:cNvCxnSpPr>
      </xdr:nvCxnSpPr>
      <xdr:spPr>
        <a:xfrm flipV="1">
          <a:off x="10858500" y="9842499"/>
          <a:ext cx="723900" cy="1"/>
        </a:xfrm>
        <a:prstGeom prst="line">
          <a:avLst/>
        </a:prstGeom>
        <a:ln/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56</xdr:col>
      <xdr:colOff>1</xdr:colOff>
      <xdr:row>9</xdr:row>
      <xdr:rowOff>0</xdr:rowOff>
    </xdr:from>
    <xdr:to>
      <xdr:col>61</xdr:col>
      <xdr:colOff>1</xdr:colOff>
      <xdr:row>13</xdr:row>
      <xdr:rowOff>0</xdr:rowOff>
    </xdr:to>
    <xdr:sp macro="" textlink="">
      <xdr:nvSpPr>
        <xdr:cNvPr id="192" name="フローチャート: 磁気ディスク 191">
          <a:extLst>
            <a:ext uri="{FF2B5EF4-FFF2-40B4-BE49-F238E27FC236}">
              <a16:creationId xmlns:a16="http://schemas.microsoft.com/office/drawing/2014/main" id="{A5B041EC-4D18-476F-A2A2-E3EF47F82A96}"/>
            </a:ext>
          </a:extLst>
        </xdr:cNvPr>
        <xdr:cNvSpPr/>
      </xdr:nvSpPr>
      <xdr:spPr>
        <a:xfrm>
          <a:off x="13512801" y="1841500"/>
          <a:ext cx="1206500" cy="762000"/>
        </a:xfrm>
        <a:prstGeom prst="flowChartMagneticDisk">
          <a:avLst/>
        </a:prstGeom>
        <a:solidFill>
          <a:schemeClr val="bg1"/>
        </a:solidFill>
        <a:ln w="9525">
          <a:solidFill>
            <a:srgbClr val="B8193F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overflow" horzOverflow="overflow" wrap="none" lIns="36000" tIns="0" rIns="36000" bIns="0" rtlCol="0" anchor="ctr"/>
        <a:lstStyle/>
        <a:p>
          <a:pPr marL="0" indent="0" algn="ctr"/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基幹</a:t>
          </a:r>
        </a:p>
      </xdr:txBody>
    </xdr:sp>
    <xdr:clientData/>
  </xdr:twoCellAnchor>
  <xdr:twoCellAnchor>
    <xdr:from>
      <xdr:col>56</xdr:col>
      <xdr:colOff>0</xdr:colOff>
      <xdr:row>18</xdr:row>
      <xdr:rowOff>190499</xdr:rowOff>
    </xdr:from>
    <xdr:to>
      <xdr:col>61</xdr:col>
      <xdr:colOff>0</xdr:colOff>
      <xdr:row>22</xdr:row>
      <xdr:rowOff>190499</xdr:rowOff>
    </xdr:to>
    <xdr:sp macro="" textlink="">
      <xdr:nvSpPr>
        <xdr:cNvPr id="193" name="フローチャート: 磁気ディスク 192">
          <a:extLst>
            <a:ext uri="{FF2B5EF4-FFF2-40B4-BE49-F238E27FC236}">
              <a16:creationId xmlns:a16="http://schemas.microsoft.com/office/drawing/2014/main" id="{02218D63-DAB1-4AC0-9D98-F56E8CF74B21}"/>
            </a:ext>
          </a:extLst>
        </xdr:cNvPr>
        <xdr:cNvSpPr/>
      </xdr:nvSpPr>
      <xdr:spPr>
        <a:xfrm>
          <a:off x="13512800" y="3746499"/>
          <a:ext cx="1206500" cy="762000"/>
        </a:xfrm>
        <a:prstGeom prst="flowChartMagneticDisk">
          <a:avLst/>
        </a:prstGeom>
        <a:solidFill>
          <a:schemeClr val="bg1"/>
        </a:solidFill>
        <a:ln w="9525">
          <a:solidFill>
            <a:srgbClr val="009B3F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overflow" horzOverflow="overflow" wrap="none" lIns="36000" tIns="0" rIns="36000" bIns="0" rtlCol="0" anchor="ctr"/>
        <a:lstStyle/>
        <a:p>
          <a:pPr marL="0" indent="0" algn="ctr"/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Scan</a:t>
          </a:r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＆</a:t>
          </a:r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Go</a:t>
          </a:r>
        </a:p>
        <a:p>
          <a:pPr marL="0" indent="0" algn="ctr"/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(ING)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</xdr:txBody>
    </xdr:sp>
    <xdr:clientData/>
  </xdr:twoCellAnchor>
  <xdr:twoCellAnchor>
    <xdr:from>
      <xdr:col>56</xdr:col>
      <xdr:colOff>0</xdr:colOff>
      <xdr:row>28</xdr:row>
      <xdr:rowOff>190499</xdr:rowOff>
    </xdr:from>
    <xdr:to>
      <xdr:col>61</xdr:col>
      <xdr:colOff>0</xdr:colOff>
      <xdr:row>32</xdr:row>
      <xdr:rowOff>190499</xdr:rowOff>
    </xdr:to>
    <xdr:sp macro="" textlink="">
      <xdr:nvSpPr>
        <xdr:cNvPr id="194" name="フローチャート: 磁気ディスク 193">
          <a:extLst>
            <a:ext uri="{FF2B5EF4-FFF2-40B4-BE49-F238E27FC236}">
              <a16:creationId xmlns:a16="http://schemas.microsoft.com/office/drawing/2014/main" id="{8185F310-EABA-4A54-871C-5A595159C9AC}"/>
            </a:ext>
          </a:extLst>
        </xdr:cNvPr>
        <xdr:cNvSpPr/>
      </xdr:nvSpPr>
      <xdr:spPr>
        <a:xfrm>
          <a:off x="13512800" y="5651499"/>
          <a:ext cx="1206500" cy="762000"/>
        </a:xfrm>
        <a:prstGeom prst="flowChartMagneticDisk">
          <a:avLst/>
        </a:prstGeom>
        <a:solidFill>
          <a:schemeClr val="bg1"/>
        </a:solidFill>
        <a:ln w="9525">
          <a:solidFill>
            <a:srgbClr val="275538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overflow" horzOverflow="overflow" wrap="none" lIns="36000" tIns="0" rIns="36000" bIns="0" rtlCol="0" anchor="ctr"/>
        <a:lstStyle/>
        <a:p>
          <a:pPr marL="0" indent="0" algn="ctr"/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？？？</a:t>
          </a:r>
          <a:b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</a:br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(MRE)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</xdr:txBody>
    </xdr:sp>
    <xdr:clientData/>
  </xdr:twoCellAnchor>
  <xdr:twoCellAnchor>
    <xdr:from>
      <xdr:col>56</xdr:col>
      <xdr:colOff>0</xdr:colOff>
      <xdr:row>38</xdr:row>
      <xdr:rowOff>190499</xdr:rowOff>
    </xdr:from>
    <xdr:to>
      <xdr:col>61</xdr:col>
      <xdr:colOff>0</xdr:colOff>
      <xdr:row>42</xdr:row>
      <xdr:rowOff>190499</xdr:rowOff>
    </xdr:to>
    <xdr:sp macro="" textlink="">
      <xdr:nvSpPr>
        <xdr:cNvPr id="195" name="フローチャート: 磁気ディスク 194">
          <a:extLst>
            <a:ext uri="{FF2B5EF4-FFF2-40B4-BE49-F238E27FC236}">
              <a16:creationId xmlns:a16="http://schemas.microsoft.com/office/drawing/2014/main" id="{AE5D4EE9-6F41-4389-A7FA-D57EF8006CD6}"/>
            </a:ext>
          </a:extLst>
        </xdr:cNvPr>
        <xdr:cNvSpPr/>
      </xdr:nvSpPr>
      <xdr:spPr>
        <a:xfrm>
          <a:off x="13512800" y="7556499"/>
          <a:ext cx="1206500" cy="762000"/>
        </a:xfrm>
        <a:prstGeom prst="flowChartMagneticDisk">
          <a:avLst/>
        </a:prstGeom>
        <a:solidFill>
          <a:schemeClr val="bg1"/>
        </a:solidFill>
        <a:ln w="9525">
          <a:solidFill>
            <a:srgbClr val="B8193F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overflow" horzOverflow="overflow" wrap="none" lIns="36000" tIns="0" rIns="36000" bIns="0" rtlCol="0" anchor="ctr"/>
        <a:lstStyle/>
        <a:p>
          <a:pPr marL="0" indent="0" algn="ctr"/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？？？</a:t>
          </a:r>
          <a:b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</a:br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(MVK)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</xdr:txBody>
    </xdr:sp>
    <xdr:clientData/>
  </xdr:twoCellAnchor>
  <xdr:twoCellAnchor>
    <xdr:from>
      <xdr:col>56</xdr:col>
      <xdr:colOff>0</xdr:colOff>
      <xdr:row>48</xdr:row>
      <xdr:rowOff>190499</xdr:rowOff>
    </xdr:from>
    <xdr:to>
      <xdr:col>61</xdr:col>
      <xdr:colOff>0</xdr:colOff>
      <xdr:row>52</xdr:row>
      <xdr:rowOff>190499</xdr:rowOff>
    </xdr:to>
    <xdr:sp macro="" textlink="">
      <xdr:nvSpPr>
        <xdr:cNvPr id="196" name="フローチャート: 磁気ディスク 195">
          <a:extLst>
            <a:ext uri="{FF2B5EF4-FFF2-40B4-BE49-F238E27FC236}">
              <a16:creationId xmlns:a16="http://schemas.microsoft.com/office/drawing/2014/main" id="{202C775E-B43D-4A95-B53A-AB13D72D3D68}"/>
            </a:ext>
          </a:extLst>
        </xdr:cNvPr>
        <xdr:cNvSpPr/>
      </xdr:nvSpPr>
      <xdr:spPr>
        <a:xfrm>
          <a:off x="13512800" y="9461499"/>
          <a:ext cx="1206500" cy="762000"/>
        </a:xfrm>
        <a:prstGeom prst="flowChartMagneticDisk">
          <a:avLst/>
        </a:prstGeom>
        <a:solidFill>
          <a:schemeClr val="bg1"/>
        </a:solidFill>
        <a:ln w="9525">
          <a:solidFill>
            <a:schemeClr val="bg1">
              <a:lumMod val="5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overflow" horzOverflow="overflow" wrap="none" lIns="36000" tIns="0" rIns="36000" bIns="0" rtlCol="0" anchor="ctr"/>
        <a:lstStyle/>
        <a:p>
          <a:pPr marL="0" indent="0" algn="ctr"/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？？？</a:t>
          </a:r>
          <a:b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</a:br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(XYZ)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</xdr:txBody>
    </xdr:sp>
    <xdr:clientData/>
  </xdr:twoCellAnchor>
  <xdr:twoCellAnchor>
    <xdr:from>
      <xdr:col>53</xdr:col>
      <xdr:colOff>1</xdr:colOff>
      <xdr:row>11</xdr:row>
      <xdr:rowOff>0</xdr:rowOff>
    </xdr:from>
    <xdr:to>
      <xdr:col>56</xdr:col>
      <xdr:colOff>1</xdr:colOff>
      <xdr:row>11</xdr:row>
      <xdr:rowOff>0</xdr:rowOff>
    </xdr:to>
    <xdr:cxnSp macro="">
      <xdr:nvCxnSpPr>
        <xdr:cNvPr id="197" name="直線コネクタ 196">
          <a:extLst>
            <a:ext uri="{FF2B5EF4-FFF2-40B4-BE49-F238E27FC236}">
              <a16:creationId xmlns:a16="http://schemas.microsoft.com/office/drawing/2014/main" id="{C96B03AE-9EEF-4AD7-BF37-6FE3A5857A03}"/>
            </a:ext>
          </a:extLst>
        </xdr:cNvPr>
        <xdr:cNvCxnSpPr>
          <a:stCxn id="171" idx="4"/>
          <a:endCxn id="192" idx="2"/>
        </xdr:cNvCxnSpPr>
      </xdr:nvCxnSpPr>
      <xdr:spPr>
        <a:xfrm>
          <a:off x="12788901" y="2222500"/>
          <a:ext cx="723900" cy="0"/>
        </a:xfrm>
        <a:prstGeom prst="line">
          <a:avLst/>
        </a:prstGeom>
        <a:ln/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53</xdr:col>
      <xdr:colOff>0</xdr:colOff>
      <xdr:row>20</xdr:row>
      <xdr:rowOff>190499</xdr:rowOff>
    </xdr:from>
    <xdr:to>
      <xdr:col>56</xdr:col>
      <xdr:colOff>0</xdr:colOff>
      <xdr:row>20</xdr:row>
      <xdr:rowOff>190499</xdr:rowOff>
    </xdr:to>
    <xdr:cxnSp macro="">
      <xdr:nvCxnSpPr>
        <xdr:cNvPr id="200" name="直線コネクタ 199">
          <a:extLst>
            <a:ext uri="{FF2B5EF4-FFF2-40B4-BE49-F238E27FC236}">
              <a16:creationId xmlns:a16="http://schemas.microsoft.com/office/drawing/2014/main" id="{4389DA95-2679-4FD2-9F8E-8C813E760269}"/>
            </a:ext>
          </a:extLst>
        </xdr:cNvPr>
        <xdr:cNvCxnSpPr>
          <a:stCxn id="172" idx="4"/>
          <a:endCxn id="193" idx="2"/>
        </xdr:cNvCxnSpPr>
      </xdr:nvCxnSpPr>
      <xdr:spPr>
        <a:xfrm>
          <a:off x="12788900" y="4127499"/>
          <a:ext cx="723900" cy="0"/>
        </a:xfrm>
        <a:prstGeom prst="line">
          <a:avLst/>
        </a:prstGeom>
        <a:ln/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9C4912-41FA-4182-8CFF-0D95CE5294B5}">
  <sheetPr>
    <pageSetUpPr fitToPage="1"/>
  </sheetPr>
  <dimension ref="A1:BK55"/>
  <sheetViews>
    <sheetView view="pageBreakPreview" zoomScale="75" zoomScaleNormal="75" zoomScaleSheetLayoutView="75" workbookViewId="0">
      <selection activeCell="W1" sqref="W1:AO3"/>
    </sheetView>
  </sheetViews>
  <sheetFormatPr defaultColWidth="2.77734375" defaultRowHeight="15" customHeight="1" x14ac:dyDescent="0.25"/>
  <sheetData>
    <row r="1" spans="1:63" ht="24.95" customHeight="1" x14ac:dyDescent="0.25">
      <c r="A1" s="32" t="s">
        <v>0</v>
      </c>
      <c r="B1" s="33"/>
      <c r="C1" s="33"/>
      <c r="D1" s="33"/>
      <c r="E1" s="33"/>
      <c r="F1" s="33"/>
      <c r="G1" s="33"/>
      <c r="H1" s="33"/>
      <c r="I1" s="33"/>
      <c r="J1" s="34"/>
      <c r="K1" s="32" t="s">
        <v>2</v>
      </c>
      <c r="L1" s="33"/>
      <c r="M1" s="33"/>
      <c r="N1" s="33"/>
      <c r="O1" s="33"/>
      <c r="P1" s="33"/>
      <c r="Q1" s="33"/>
      <c r="R1" s="33"/>
      <c r="S1" s="33"/>
      <c r="T1" s="33"/>
      <c r="U1" s="33"/>
      <c r="V1" s="34"/>
      <c r="W1" s="35" t="s">
        <v>17</v>
      </c>
      <c r="X1" s="36"/>
      <c r="Y1" s="36"/>
      <c r="Z1" s="3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7"/>
      <c r="AP1" s="32" t="s">
        <v>3</v>
      </c>
      <c r="AQ1" s="33"/>
      <c r="AR1" s="33"/>
      <c r="AS1" s="34"/>
      <c r="AT1" s="32" t="s">
        <v>4</v>
      </c>
      <c r="AU1" s="33"/>
      <c r="AV1" s="33"/>
      <c r="AW1" s="33"/>
      <c r="AX1" s="34"/>
      <c r="AY1" s="32" t="s">
        <v>5</v>
      </c>
      <c r="AZ1" s="33"/>
      <c r="BA1" s="33"/>
      <c r="BB1" s="34"/>
      <c r="BC1" s="32" t="s">
        <v>6</v>
      </c>
      <c r="BD1" s="33"/>
      <c r="BE1" s="33"/>
      <c r="BF1" s="33"/>
      <c r="BG1" s="34"/>
      <c r="BH1" s="32" t="s">
        <v>7</v>
      </c>
      <c r="BI1" s="33"/>
      <c r="BJ1" s="33"/>
      <c r="BK1" s="34"/>
    </row>
    <row r="2" spans="1:63" ht="15" customHeight="1" x14ac:dyDescent="0.25">
      <c r="A2" s="17" t="s">
        <v>14</v>
      </c>
      <c r="B2" s="18"/>
      <c r="C2" s="18"/>
      <c r="D2" s="18"/>
      <c r="E2" s="18"/>
      <c r="F2" s="18"/>
      <c r="G2" s="18"/>
      <c r="H2" s="18"/>
      <c r="I2" s="18"/>
      <c r="J2" s="19"/>
      <c r="K2" s="17"/>
      <c r="L2" s="18"/>
      <c r="M2" s="18"/>
      <c r="N2" s="18"/>
      <c r="O2" s="18"/>
      <c r="P2" s="18"/>
      <c r="Q2" s="18"/>
      <c r="R2" s="18"/>
      <c r="S2" s="18"/>
      <c r="T2" s="18"/>
      <c r="U2" s="18"/>
      <c r="V2" s="19"/>
      <c r="W2" s="38"/>
      <c r="X2" s="39"/>
      <c r="Y2" s="39"/>
      <c r="Z2" s="39"/>
      <c r="AA2" s="39"/>
      <c r="AB2" s="39"/>
      <c r="AC2" s="39"/>
      <c r="AD2" s="39"/>
      <c r="AE2" s="39"/>
      <c r="AF2" s="39"/>
      <c r="AG2" s="39"/>
      <c r="AH2" s="39"/>
      <c r="AI2" s="39"/>
      <c r="AJ2" s="39"/>
      <c r="AK2" s="39"/>
      <c r="AL2" s="39"/>
      <c r="AM2" s="39"/>
      <c r="AN2" s="39"/>
      <c r="AO2" s="40"/>
      <c r="AP2" s="17" t="str">
        <f>改廃履歴!$H$11</f>
        <v>Thanh Nguyên</v>
      </c>
      <c r="AQ2" s="18"/>
      <c r="AR2" s="18"/>
      <c r="AS2" s="19"/>
      <c r="AT2" s="53">
        <f>改廃履歴!$B$11</f>
        <v>45769</v>
      </c>
      <c r="AU2" s="54"/>
      <c r="AV2" s="54"/>
      <c r="AW2" s="54"/>
      <c r="AX2" s="55"/>
      <c r="AY2" s="17" t="str">
        <f>LOOKUP(2,1/(改廃履歴!H11:H30000&lt;&gt;""),改廃履歴!H11:H30000)</f>
        <v>Thanh Nguyên</v>
      </c>
      <c r="AZ2" s="18"/>
      <c r="BA2" s="18"/>
      <c r="BB2" s="19"/>
      <c r="BC2" s="53">
        <f>LOOKUP(2,1/(改廃履歴!B11:B30000&lt;&gt;""),改廃履歴!B11:B30000)</f>
        <v>45769</v>
      </c>
      <c r="BD2" s="54"/>
      <c r="BE2" s="54"/>
      <c r="BF2" s="54"/>
      <c r="BG2" s="55"/>
      <c r="BH2" s="47">
        <f>LOOKUP(2,1/(改廃履歴!O11:O30000&lt;&gt;""),改廃履歴!O11:O30000)</f>
        <v>1</v>
      </c>
      <c r="BI2" s="48"/>
      <c r="BJ2" s="48"/>
      <c r="BK2" s="49"/>
    </row>
    <row r="3" spans="1:63" ht="15" customHeight="1" x14ac:dyDescent="0.25">
      <c r="A3" s="23"/>
      <c r="B3" s="24"/>
      <c r="C3" s="24"/>
      <c r="D3" s="24"/>
      <c r="E3" s="24"/>
      <c r="F3" s="24"/>
      <c r="G3" s="24"/>
      <c r="H3" s="24"/>
      <c r="I3" s="24"/>
      <c r="J3" s="25"/>
      <c r="K3" s="23"/>
      <c r="L3" s="24"/>
      <c r="M3" s="24"/>
      <c r="N3" s="24"/>
      <c r="O3" s="24"/>
      <c r="P3" s="24"/>
      <c r="Q3" s="24"/>
      <c r="R3" s="24"/>
      <c r="S3" s="24"/>
      <c r="T3" s="24"/>
      <c r="U3" s="24"/>
      <c r="V3" s="25"/>
      <c r="W3" s="41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  <c r="AO3" s="43"/>
      <c r="AP3" s="23"/>
      <c r="AQ3" s="24"/>
      <c r="AR3" s="24"/>
      <c r="AS3" s="25"/>
      <c r="AT3" s="56"/>
      <c r="AU3" s="57"/>
      <c r="AV3" s="57"/>
      <c r="AW3" s="57"/>
      <c r="AX3" s="58"/>
      <c r="AY3" s="23"/>
      <c r="AZ3" s="24"/>
      <c r="BA3" s="24"/>
      <c r="BB3" s="25"/>
      <c r="BC3" s="56"/>
      <c r="BD3" s="57"/>
      <c r="BE3" s="57"/>
      <c r="BF3" s="57"/>
      <c r="BG3" s="58"/>
      <c r="BH3" s="50"/>
      <c r="BI3" s="51"/>
      <c r="BJ3" s="51"/>
      <c r="BK3" s="52"/>
    </row>
    <row r="4" spans="1:63" ht="24.95" customHeight="1" x14ac:dyDescent="0.25">
      <c r="A4" s="32" t="s">
        <v>1</v>
      </c>
      <c r="B4" s="33"/>
      <c r="C4" s="33"/>
      <c r="D4" s="33"/>
      <c r="E4" s="33"/>
      <c r="F4" s="33"/>
      <c r="G4" s="34"/>
      <c r="H4" s="44"/>
      <c r="I4" s="45"/>
      <c r="J4" s="45"/>
      <c r="K4" s="45"/>
      <c r="L4" s="45"/>
      <c r="M4" s="45"/>
      <c r="N4" s="45"/>
      <c r="O4" s="45"/>
      <c r="P4" s="45"/>
      <c r="Q4" s="45"/>
      <c r="R4" s="45"/>
      <c r="S4" s="45"/>
      <c r="T4" s="46"/>
      <c r="U4" s="32" t="s">
        <v>8</v>
      </c>
      <c r="V4" s="33"/>
      <c r="W4" s="33"/>
      <c r="X4" s="33"/>
      <c r="Y4" s="34"/>
      <c r="Z4" s="44"/>
      <c r="AA4" s="45"/>
      <c r="AB4" s="45"/>
      <c r="AC4" s="45"/>
      <c r="AD4" s="45"/>
      <c r="AE4" s="45"/>
      <c r="AF4" s="45"/>
      <c r="AG4" s="45"/>
      <c r="AH4" s="45"/>
      <c r="AI4" s="45"/>
      <c r="AJ4" s="45"/>
      <c r="AK4" s="45"/>
      <c r="AL4" s="45"/>
      <c r="AM4" s="45"/>
      <c r="AN4" s="45"/>
      <c r="AO4" s="46"/>
      <c r="AP4" s="44" t="str" cm="1">
        <f t="array" aca="1" ref="AP4" ca="1">RIGHT(CELL("filename",$A$1),LEN(CELL("filename",$A$1))-FIND("]",CELL("filename",$A$1)))</f>
        <v>表紙</v>
      </c>
      <c r="AQ4" s="45"/>
      <c r="AR4" s="45"/>
      <c r="AS4" s="45"/>
      <c r="AT4" s="45"/>
      <c r="AU4" s="45"/>
      <c r="AV4" s="45"/>
      <c r="AW4" s="45"/>
      <c r="AX4" s="45"/>
      <c r="AY4" s="45"/>
      <c r="AZ4" s="45"/>
      <c r="BA4" s="45"/>
      <c r="BB4" s="45"/>
      <c r="BC4" s="45"/>
      <c r="BD4" s="45"/>
      <c r="BE4" s="45"/>
      <c r="BF4" s="45"/>
      <c r="BG4" s="45"/>
      <c r="BH4" s="45"/>
      <c r="BI4" s="45"/>
      <c r="BJ4" s="45"/>
      <c r="BK4" s="46"/>
    </row>
    <row r="5" spans="1:63" ht="5.0999999999999996" customHeight="1" x14ac:dyDescent="0.25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5"/>
    </row>
    <row r="6" spans="1:63" ht="15" customHeight="1" x14ac:dyDescent="0.25">
      <c r="A6" s="1"/>
      <c r="BK6" s="4"/>
    </row>
    <row r="7" spans="1:63" ht="15" customHeight="1" x14ac:dyDescent="0.25">
      <c r="A7" s="1"/>
      <c r="BK7" s="4"/>
    </row>
    <row r="8" spans="1:63" ht="15" customHeight="1" x14ac:dyDescent="0.25">
      <c r="A8" s="1"/>
      <c r="BK8" s="4"/>
    </row>
    <row r="9" spans="1:63" ht="15" customHeight="1" x14ac:dyDescent="0.25">
      <c r="A9" s="1"/>
      <c r="BK9" s="4"/>
    </row>
    <row r="10" spans="1:63" ht="15" customHeight="1" x14ac:dyDescent="0.25">
      <c r="A10" s="1"/>
      <c r="BK10" s="4"/>
    </row>
    <row r="11" spans="1:63" ht="15" customHeight="1" x14ac:dyDescent="0.25">
      <c r="A11" s="1"/>
      <c r="BK11" s="4"/>
    </row>
    <row r="12" spans="1:63" ht="15" customHeight="1" x14ac:dyDescent="0.25">
      <c r="A12" s="1"/>
      <c r="BK12" s="4"/>
    </row>
    <row r="13" spans="1:63" ht="15" customHeight="1" x14ac:dyDescent="0.25">
      <c r="A13" s="1"/>
      <c r="BK13" s="4"/>
    </row>
    <row r="14" spans="1:63" ht="15" customHeight="1" thickBot="1" x14ac:dyDescent="0.3">
      <c r="A14" s="1"/>
      <c r="BK14" s="4"/>
    </row>
    <row r="15" spans="1:63" ht="15" customHeight="1" thickTop="1" x14ac:dyDescent="0.25">
      <c r="A15" s="1"/>
      <c r="K15" s="7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  <c r="AS15" s="8"/>
      <c r="AT15" s="8"/>
      <c r="AU15" s="8"/>
      <c r="AV15" s="8"/>
      <c r="AW15" s="8"/>
      <c r="AX15" s="8"/>
      <c r="AY15" s="8"/>
      <c r="AZ15" s="8"/>
      <c r="BA15" s="11"/>
      <c r="BK15" s="4"/>
    </row>
    <row r="16" spans="1:63" ht="15" customHeight="1" x14ac:dyDescent="0.25">
      <c r="A16" s="1"/>
      <c r="K16" s="6"/>
      <c r="L16" s="16" t="s">
        <v>15</v>
      </c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2"/>
      <c r="BK16" s="4"/>
    </row>
    <row r="17" spans="1:63" ht="15" customHeight="1" x14ac:dyDescent="0.25">
      <c r="A17" s="1"/>
      <c r="K17" s="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2"/>
      <c r="BK17" s="4"/>
    </row>
    <row r="18" spans="1:63" ht="15" customHeight="1" x14ac:dyDescent="0.25">
      <c r="A18" s="1"/>
      <c r="K18" s="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2"/>
      <c r="BK18" s="4"/>
    </row>
    <row r="19" spans="1:63" ht="15" customHeight="1" x14ac:dyDescent="0.25">
      <c r="A19" s="1"/>
      <c r="K19" s="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2"/>
      <c r="BK19" s="4"/>
    </row>
    <row r="20" spans="1:63" ht="15" customHeight="1" x14ac:dyDescent="0.25">
      <c r="A20" s="1"/>
      <c r="K20" s="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2"/>
      <c r="BK20" s="4"/>
    </row>
    <row r="21" spans="1:63" ht="15" customHeight="1" x14ac:dyDescent="0.25">
      <c r="A21" s="1"/>
      <c r="K21" s="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2"/>
      <c r="BK21" s="4"/>
    </row>
    <row r="22" spans="1:63" ht="15" customHeight="1" thickBot="1" x14ac:dyDescent="0.3">
      <c r="A22" s="1"/>
      <c r="K22" s="6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2"/>
      <c r="BK22" s="4"/>
    </row>
    <row r="23" spans="1:63" ht="15" customHeight="1" x14ac:dyDescent="0.25">
      <c r="A23" s="1"/>
      <c r="K23" s="6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15"/>
      <c r="AM23" s="15"/>
      <c r="AN23" s="15"/>
      <c r="AO23" s="15"/>
      <c r="AP23" s="15"/>
      <c r="AQ23" s="15"/>
      <c r="AR23" s="15"/>
      <c r="AS23" s="15"/>
      <c r="AT23" s="15"/>
      <c r="AU23" s="15"/>
      <c r="AV23" s="15"/>
      <c r="AW23" s="15"/>
      <c r="AX23" s="15"/>
      <c r="AY23" s="15"/>
      <c r="AZ23" s="15"/>
      <c r="BA23" s="12"/>
      <c r="BK23" s="4"/>
    </row>
    <row r="24" spans="1:63" ht="15" customHeight="1" x14ac:dyDescent="0.25">
      <c r="A24" s="1"/>
      <c r="K24" s="6"/>
      <c r="L24" s="16" t="str">
        <f>K2&amp;"/"&amp;H4&amp;"/"&amp;Z4</f>
        <v>//</v>
      </c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6"/>
      <c r="Y24" s="16"/>
      <c r="Z24" s="16"/>
      <c r="AA24" s="16"/>
      <c r="AB24" s="16"/>
      <c r="AC24" s="16"/>
      <c r="AD24" s="16"/>
      <c r="AE24" s="16"/>
      <c r="AF24" s="16"/>
      <c r="AG24" s="16"/>
      <c r="AH24" s="16"/>
      <c r="AI24" s="16"/>
      <c r="AJ24" s="16"/>
      <c r="AK24" s="16"/>
      <c r="AL24" s="16"/>
      <c r="AM24" s="16"/>
      <c r="AN24" s="16"/>
      <c r="AO24" s="16"/>
      <c r="AP24" s="16"/>
      <c r="AQ24" s="16"/>
      <c r="AR24" s="16"/>
      <c r="AS24" s="16"/>
      <c r="AT24" s="16"/>
      <c r="AU24" s="16"/>
      <c r="AV24" s="16"/>
      <c r="AW24" s="16"/>
      <c r="AX24" s="16"/>
      <c r="AY24" s="16"/>
      <c r="AZ24" s="16"/>
      <c r="BA24" s="12"/>
      <c r="BK24" s="4"/>
    </row>
    <row r="25" spans="1:63" ht="15" customHeight="1" x14ac:dyDescent="0.25">
      <c r="A25" s="1"/>
      <c r="K25" s="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  <c r="AT25" s="16"/>
      <c r="AU25" s="16"/>
      <c r="AV25" s="16"/>
      <c r="AW25" s="16"/>
      <c r="AX25" s="16"/>
      <c r="AY25" s="16"/>
      <c r="AZ25" s="16"/>
      <c r="BA25" s="12"/>
      <c r="BK25" s="4"/>
    </row>
    <row r="26" spans="1:63" ht="15" customHeight="1" x14ac:dyDescent="0.25">
      <c r="A26" s="1"/>
      <c r="K26" s="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2"/>
      <c r="BK26" s="4"/>
    </row>
    <row r="27" spans="1:63" ht="15" customHeight="1" x14ac:dyDescent="0.25">
      <c r="A27" s="1"/>
      <c r="K27" s="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2"/>
      <c r="BK27" s="4"/>
    </row>
    <row r="28" spans="1:63" ht="15" customHeight="1" x14ac:dyDescent="0.25">
      <c r="A28" s="1"/>
      <c r="K28" s="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2"/>
      <c r="BK28" s="4"/>
    </row>
    <row r="29" spans="1:63" ht="15" customHeight="1" x14ac:dyDescent="0.25">
      <c r="A29" s="1"/>
      <c r="K29" s="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2"/>
      <c r="BK29" s="4"/>
    </row>
    <row r="30" spans="1:63" ht="15" customHeight="1" x14ac:dyDescent="0.25">
      <c r="A30" s="1"/>
      <c r="K30" s="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2"/>
      <c r="BK30" s="4"/>
    </row>
    <row r="31" spans="1:63" ht="15" customHeight="1" x14ac:dyDescent="0.25">
      <c r="A31" s="1"/>
      <c r="K31" s="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2"/>
      <c r="BK31" s="4"/>
    </row>
    <row r="32" spans="1:63" ht="15" customHeight="1" x14ac:dyDescent="0.25">
      <c r="A32" s="1"/>
      <c r="K32" s="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2"/>
      <c r="BK32" s="4"/>
    </row>
    <row r="33" spans="1:63" ht="15" customHeight="1" x14ac:dyDescent="0.25">
      <c r="A33" s="1"/>
      <c r="K33" s="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2"/>
      <c r="BK33" s="4"/>
    </row>
    <row r="34" spans="1:63" ht="15" customHeight="1" x14ac:dyDescent="0.25">
      <c r="A34" s="1"/>
      <c r="K34" s="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2"/>
      <c r="BK34" s="4"/>
    </row>
    <row r="35" spans="1:63" ht="15" customHeight="1" x14ac:dyDescent="0.25">
      <c r="A35" s="1"/>
      <c r="K35" s="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2"/>
      <c r="BK35" s="4"/>
    </row>
    <row r="36" spans="1:63" ht="15" customHeight="1" x14ac:dyDescent="0.25">
      <c r="A36" s="1"/>
      <c r="K36" s="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2"/>
      <c r="BK36" s="4"/>
    </row>
    <row r="37" spans="1:63" ht="15" customHeight="1" thickBot="1" x14ac:dyDescent="0.3">
      <c r="A37" s="1"/>
      <c r="K37" s="9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  <c r="AQ37" s="10"/>
      <c r="AR37" s="10"/>
      <c r="AS37" s="10"/>
      <c r="AT37" s="10"/>
      <c r="AU37" s="10"/>
      <c r="AV37" s="10"/>
      <c r="AW37" s="10"/>
      <c r="AX37" s="10"/>
      <c r="AY37" s="10"/>
      <c r="AZ37" s="10"/>
      <c r="BA37" s="13"/>
      <c r="BK37" s="4"/>
    </row>
    <row r="38" spans="1:63" ht="15" customHeight="1" thickTop="1" x14ac:dyDescent="0.25">
      <c r="A38" s="1"/>
      <c r="BK38" s="4"/>
    </row>
    <row r="39" spans="1:63" ht="15" customHeight="1" x14ac:dyDescent="0.25">
      <c r="A39" s="1"/>
      <c r="BK39" s="4"/>
    </row>
    <row r="40" spans="1:63" ht="15" customHeight="1" x14ac:dyDescent="0.25">
      <c r="A40" s="1"/>
      <c r="BK40" s="4"/>
    </row>
    <row r="41" spans="1:63" ht="15" customHeight="1" x14ac:dyDescent="0.25">
      <c r="A41" s="1"/>
      <c r="BK41" s="4"/>
    </row>
    <row r="42" spans="1:63" ht="15" customHeight="1" x14ac:dyDescent="0.25">
      <c r="A42" s="1"/>
      <c r="BK42" s="4"/>
    </row>
    <row r="43" spans="1:63" ht="15" customHeight="1" x14ac:dyDescent="0.25">
      <c r="A43" s="1"/>
      <c r="BK43" s="4"/>
    </row>
    <row r="44" spans="1:63" ht="15" customHeight="1" x14ac:dyDescent="0.25">
      <c r="A44" s="1"/>
      <c r="Q44" s="26" t="s">
        <v>16</v>
      </c>
      <c r="R44" s="27"/>
      <c r="S44" s="27"/>
      <c r="T44" s="27"/>
      <c r="U44" s="27"/>
      <c r="V44" s="27"/>
      <c r="W44" s="27"/>
      <c r="X44" s="27"/>
      <c r="Y44" s="27"/>
      <c r="Z44" s="28"/>
      <c r="AA44" s="26" t="s">
        <v>13</v>
      </c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8"/>
      <c r="AQ44" s="26" t="s">
        <v>7</v>
      </c>
      <c r="AR44" s="27"/>
      <c r="AS44" s="27"/>
      <c r="AT44" s="27"/>
      <c r="AU44" s="28"/>
      <c r="BK44" s="4"/>
    </row>
    <row r="45" spans="1:63" ht="15" customHeight="1" x14ac:dyDescent="0.25">
      <c r="A45" s="1"/>
      <c r="Q45" s="29"/>
      <c r="R45" s="30"/>
      <c r="S45" s="30"/>
      <c r="T45" s="30"/>
      <c r="U45" s="30"/>
      <c r="V45" s="30"/>
      <c r="W45" s="30"/>
      <c r="X45" s="30"/>
      <c r="Y45" s="30"/>
      <c r="Z45" s="31"/>
      <c r="AA45" s="29"/>
      <c r="AB45" s="30"/>
      <c r="AC45" s="30"/>
      <c r="AD45" s="30"/>
      <c r="AE45" s="30"/>
      <c r="AF45" s="30"/>
      <c r="AG45" s="30"/>
      <c r="AH45" s="30"/>
      <c r="AI45" s="30"/>
      <c r="AJ45" s="30"/>
      <c r="AK45" s="30"/>
      <c r="AL45" s="30"/>
      <c r="AM45" s="30"/>
      <c r="AN45" s="30"/>
      <c r="AO45" s="30"/>
      <c r="AP45" s="31"/>
      <c r="AQ45" s="29"/>
      <c r="AR45" s="30"/>
      <c r="AS45" s="30"/>
      <c r="AT45" s="30"/>
      <c r="AU45" s="31"/>
      <c r="BK45" s="4"/>
    </row>
    <row r="46" spans="1:63" ht="15" customHeight="1" x14ac:dyDescent="0.25">
      <c r="A46" s="1"/>
      <c r="Q46" s="17"/>
      <c r="R46" s="18"/>
      <c r="S46" s="18"/>
      <c r="T46" s="18"/>
      <c r="U46" s="18"/>
      <c r="V46" s="18"/>
      <c r="W46" s="18"/>
      <c r="X46" s="18"/>
      <c r="Y46" s="18"/>
      <c r="Z46" s="19"/>
      <c r="AA46" s="17"/>
      <c r="AB46" s="18"/>
      <c r="AC46" s="18"/>
      <c r="AD46" s="18"/>
      <c r="AE46" s="18"/>
      <c r="AF46" s="18"/>
      <c r="AG46" s="18"/>
      <c r="AH46" s="18"/>
      <c r="AI46" s="18"/>
      <c r="AJ46" s="18"/>
      <c r="AK46" s="18"/>
      <c r="AL46" s="18"/>
      <c r="AM46" s="18"/>
      <c r="AN46" s="18"/>
      <c r="AO46" s="18"/>
      <c r="AP46" s="19"/>
      <c r="AQ46" s="17"/>
      <c r="AR46" s="18"/>
      <c r="AS46" s="18"/>
      <c r="AT46" s="18"/>
      <c r="AU46" s="19"/>
      <c r="BK46" s="4"/>
    </row>
    <row r="47" spans="1:63" ht="15" customHeight="1" x14ac:dyDescent="0.25">
      <c r="A47" s="1"/>
      <c r="Q47" s="20"/>
      <c r="R47" s="21"/>
      <c r="S47" s="21"/>
      <c r="T47" s="21"/>
      <c r="U47" s="21"/>
      <c r="V47" s="21"/>
      <c r="W47" s="21"/>
      <c r="X47" s="21"/>
      <c r="Y47" s="21"/>
      <c r="Z47" s="22"/>
      <c r="AA47" s="20"/>
      <c r="AB47" s="21"/>
      <c r="AC47" s="21"/>
      <c r="AD47" s="21"/>
      <c r="AE47" s="21"/>
      <c r="AF47" s="21"/>
      <c r="AG47" s="21"/>
      <c r="AH47" s="21"/>
      <c r="AI47" s="21"/>
      <c r="AJ47" s="21"/>
      <c r="AK47" s="21"/>
      <c r="AL47" s="21"/>
      <c r="AM47" s="21"/>
      <c r="AN47" s="21"/>
      <c r="AO47" s="21"/>
      <c r="AP47" s="22"/>
      <c r="AQ47" s="20"/>
      <c r="AR47" s="21"/>
      <c r="AS47" s="21"/>
      <c r="AT47" s="21"/>
      <c r="AU47" s="22"/>
      <c r="BK47" s="4"/>
    </row>
    <row r="48" spans="1:63" ht="15" customHeight="1" x14ac:dyDescent="0.25">
      <c r="A48" s="1"/>
      <c r="Q48" s="20"/>
      <c r="R48" s="21"/>
      <c r="S48" s="21"/>
      <c r="T48" s="21"/>
      <c r="U48" s="21"/>
      <c r="V48" s="21"/>
      <c r="W48" s="21"/>
      <c r="X48" s="21"/>
      <c r="Y48" s="21"/>
      <c r="Z48" s="22"/>
      <c r="AA48" s="20"/>
      <c r="AB48" s="21"/>
      <c r="AC48" s="21"/>
      <c r="AD48" s="21"/>
      <c r="AE48" s="21"/>
      <c r="AF48" s="21"/>
      <c r="AG48" s="21"/>
      <c r="AH48" s="21"/>
      <c r="AI48" s="21"/>
      <c r="AJ48" s="21"/>
      <c r="AK48" s="21"/>
      <c r="AL48" s="21"/>
      <c r="AM48" s="21"/>
      <c r="AN48" s="21"/>
      <c r="AO48" s="21"/>
      <c r="AP48" s="22"/>
      <c r="AQ48" s="20"/>
      <c r="AR48" s="21"/>
      <c r="AS48" s="21"/>
      <c r="AT48" s="21"/>
      <c r="AU48" s="22"/>
      <c r="BK48" s="4"/>
    </row>
    <row r="49" spans="1:63" ht="15" customHeight="1" x14ac:dyDescent="0.25">
      <c r="A49" s="1"/>
      <c r="Q49" s="23"/>
      <c r="R49" s="24"/>
      <c r="S49" s="24"/>
      <c r="T49" s="24"/>
      <c r="U49" s="24"/>
      <c r="V49" s="24"/>
      <c r="W49" s="24"/>
      <c r="X49" s="24"/>
      <c r="Y49" s="24"/>
      <c r="Z49" s="25"/>
      <c r="AA49" s="23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5"/>
      <c r="AQ49" s="23"/>
      <c r="AR49" s="24"/>
      <c r="AS49" s="24"/>
      <c r="AT49" s="24"/>
      <c r="AU49" s="25"/>
      <c r="BK49" s="4"/>
    </row>
    <row r="50" spans="1:63" ht="15" customHeight="1" x14ac:dyDescent="0.25">
      <c r="A50" s="1"/>
      <c r="BK50" s="4"/>
    </row>
    <row r="51" spans="1:63" ht="15" customHeight="1" x14ac:dyDescent="0.25">
      <c r="A51" s="1"/>
      <c r="BK51" s="4"/>
    </row>
    <row r="52" spans="1:63" ht="15" customHeight="1" x14ac:dyDescent="0.25">
      <c r="A52" s="1"/>
      <c r="BK52" s="4"/>
    </row>
    <row r="53" spans="1:63" ht="15" customHeight="1" x14ac:dyDescent="0.25">
      <c r="A53" s="1"/>
      <c r="BK53" s="4"/>
    </row>
    <row r="54" spans="1:63" ht="15" customHeight="1" x14ac:dyDescent="0.25">
      <c r="A54" s="1"/>
      <c r="BK54" s="4"/>
    </row>
    <row r="55" spans="1:63" ht="15" customHeight="1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5"/>
    </row>
  </sheetData>
  <mergeCells count="28">
    <mergeCell ref="AP4:BK4"/>
    <mergeCell ref="Z4:AO4"/>
    <mergeCell ref="U4:Y4"/>
    <mergeCell ref="H4:T4"/>
    <mergeCell ref="A4:G4"/>
    <mergeCell ref="K2:V3"/>
    <mergeCell ref="A2:J3"/>
    <mergeCell ref="BH1:BK1"/>
    <mergeCell ref="BC1:BG1"/>
    <mergeCell ref="AY1:BB1"/>
    <mergeCell ref="AT1:AX1"/>
    <mergeCell ref="AP1:AS1"/>
    <mergeCell ref="W1:AO3"/>
    <mergeCell ref="K1:V1"/>
    <mergeCell ref="A1:J1"/>
    <mergeCell ref="BH2:BK3"/>
    <mergeCell ref="BC2:BG3"/>
    <mergeCell ref="AY2:BB3"/>
    <mergeCell ref="AT2:AX3"/>
    <mergeCell ref="AP2:AS3"/>
    <mergeCell ref="L16:AZ21"/>
    <mergeCell ref="L24:AZ36"/>
    <mergeCell ref="AQ46:AU49"/>
    <mergeCell ref="AA46:AP49"/>
    <mergeCell ref="Q46:Z49"/>
    <mergeCell ref="AQ44:AU45"/>
    <mergeCell ref="AA44:AP45"/>
    <mergeCell ref="Q44:Z45"/>
  </mergeCells>
  <phoneticPr fontId="2"/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B66B94-022A-4C62-ACB2-67CC1ED4334D}">
  <sheetPr>
    <pageSetUpPr fitToPage="1"/>
  </sheetPr>
  <dimension ref="A1:BK55"/>
  <sheetViews>
    <sheetView view="pageBreakPreview" zoomScale="75" zoomScaleNormal="75" zoomScaleSheetLayoutView="75" workbookViewId="0">
      <selection activeCell="S17" sqref="S17:AW17"/>
    </sheetView>
  </sheetViews>
  <sheetFormatPr defaultColWidth="2.77734375" defaultRowHeight="15.75" customHeight="1" x14ac:dyDescent="0.25"/>
  <sheetData>
    <row r="1" spans="1:63" ht="24.95" customHeight="1" x14ac:dyDescent="0.25">
      <c r="A1" s="32" t="s">
        <v>0</v>
      </c>
      <c r="B1" s="33"/>
      <c r="C1" s="33"/>
      <c r="D1" s="33"/>
      <c r="E1" s="33"/>
      <c r="F1" s="33"/>
      <c r="G1" s="33"/>
      <c r="H1" s="33"/>
      <c r="I1" s="33"/>
      <c r="J1" s="34"/>
      <c r="K1" s="32" t="s">
        <v>2</v>
      </c>
      <c r="L1" s="33"/>
      <c r="M1" s="33"/>
      <c r="N1" s="33"/>
      <c r="O1" s="33"/>
      <c r="P1" s="33"/>
      <c r="Q1" s="33"/>
      <c r="R1" s="33"/>
      <c r="S1" s="33"/>
      <c r="T1" s="33"/>
      <c r="U1" s="33"/>
      <c r="V1" s="34"/>
      <c r="W1" s="35" t="str">
        <f>IF(表紙!W1="","",表紙!W1)</f>
        <v>POSシステム全体概要</v>
      </c>
      <c r="X1" s="36"/>
      <c r="Y1" s="36"/>
      <c r="Z1" s="3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7"/>
      <c r="AP1" s="32" t="s">
        <v>3</v>
      </c>
      <c r="AQ1" s="33"/>
      <c r="AR1" s="33"/>
      <c r="AS1" s="34"/>
      <c r="AT1" s="32" t="s">
        <v>4</v>
      </c>
      <c r="AU1" s="33"/>
      <c r="AV1" s="33"/>
      <c r="AW1" s="33"/>
      <c r="AX1" s="34"/>
      <c r="AY1" s="32" t="s">
        <v>5</v>
      </c>
      <c r="AZ1" s="33"/>
      <c r="BA1" s="33"/>
      <c r="BB1" s="34"/>
      <c r="BC1" s="32" t="s">
        <v>6</v>
      </c>
      <c r="BD1" s="33"/>
      <c r="BE1" s="33"/>
      <c r="BF1" s="33"/>
      <c r="BG1" s="34"/>
      <c r="BH1" s="32" t="s">
        <v>7</v>
      </c>
      <c r="BI1" s="33"/>
      <c r="BJ1" s="33"/>
      <c r="BK1" s="34"/>
    </row>
    <row r="2" spans="1:63" ht="15" customHeight="1" x14ac:dyDescent="0.25">
      <c r="A2" s="17" t="str">
        <f>IF(表紙!A2="","",表紙!A2)</f>
        <v>現金専用簡易セルフPOS</v>
      </c>
      <c r="B2" s="18"/>
      <c r="C2" s="18"/>
      <c r="D2" s="18"/>
      <c r="E2" s="18"/>
      <c r="F2" s="18"/>
      <c r="G2" s="18"/>
      <c r="H2" s="18"/>
      <c r="I2" s="18"/>
      <c r="J2" s="19"/>
      <c r="K2" s="17" t="str">
        <f>IF(表紙!K2="","",表紙!K2)</f>
        <v/>
      </c>
      <c r="L2" s="18"/>
      <c r="M2" s="18"/>
      <c r="N2" s="18"/>
      <c r="O2" s="18"/>
      <c r="P2" s="18"/>
      <c r="Q2" s="18"/>
      <c r="R2" s="18"/>
      <c r="S2" s="18"/>
      <c r="T2" s="18"/>
      <c r="U2" s="18"/>
      <c r="V2" s="19"/>
      <c r="W2" s="38"/>
      <c r="X2" s="39"/>
      <c r="Y2" s="39"/>
      <c r="Z2" s="39"/>
      <c r="AA2" s="39"/>
      <c r="AB2" s="39"/>
      <c r="AC2" s="39"/>
      <c r="AD2" s="39"/>
      <c r="AE2" s="39"/>
      <c r="AF2" s="39"/>
      <c r="AG2" s="39"/>
      <c r="AH2" s="39"/>
      <c r="AI2" s="39"/>
      <c r="AJ2" s="39"/>
      <c r="AK2" s="39"/>
      <c r="AL2" s="39"/>
      <c r="AM2" s="39"/>
      <c r="AN2" s="39"/>
      <c r="AO2" s="40"/>
      <c r="AP2" s="17" t="str">
        <f>IF(表紙!AP2="","",表紙!AP2)</f>
        <v>Thanh Nguyên</v>
      </c>
      <c r="AQ2" s="18"/>
      <c r="AR2" s="18"/>
      <c r="AS2" s="19"/>
      <c r="AT2" s="53">
        <f>IF(表紙!AT2="","",表紙!AT2)</f>
        <v>45769</v>
      </c>
      <c r="AU2" s="54"/>
      <c r="AV2" s="54"/>
      <c r="AW2" s="54"/>
      <c r="AX2" s="55"/>
      <c r="AY2" s="17" t="str">
        <f>IF(表紙!AY2="","",表紙!AY2)</f>
        <v>Thanh Nguyên</v>
      </c>
      <c r="AZ2" s="18"/>
      <c r="BA2" s="18"/>
      <c r="BB2" s="19"/>
      <c r="BC2" s="53">
        <f>IF(表紙!BC2="","",表紙!BC2)</f>
        <v>45769</v>
      </c>
      <c r="BD2" s="54"/>
      <c r="BE2" s="54"/>
      <c r="BF2" s="54"/>
      <c r="BG2" s="55"/>
      <c r="BH2" s="17">
        <f>IF(表紙!BH2="","",表紙!BH2)</f>
        <v>1</v>
      </c>
      <c r="BI2" s="18"/>
      <c r="BJ2" s="18"/>
      <c r="BK2" s="19"/>
    </row>
    <row r="3" spans="1:63" ht="15" customHeight="1" x14ac:dyDescent="0.25">
      <c r="A3" s="23"/>
      <c r="B3" s="24"/>
      <c r="C3" s="24"/>
      <c r="D3" s="24"/>
      <c r="E3" s="24"/>
      <c r="F3" s="24"/>
      <c r="G3" s="24"/>
      <c r="H3" s="24"/>
      <c r="I3" s="24"/>
      <c r="J3" s="25"/>
      <c r="K3" s="23"/>
      <c r="L3" s="24"/>
      <c r="M3" s="24"/>
      <c r="N3" s="24"/>
      <c r="O3" s="24"/>
      <c r="P3" s="24"/>
      <c r="Q3" s="24"/>
      <c r="R3" s="24"/>
      <c r="S3" s="24"/>
      <c r="T3" s="24"/>
      <c r="U3" s="24"/>
      <c r="V3" s="25"/>
      <c r="W3" s="41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  <c r="AO3" s="43"/>
      <c r="AP3" s="23"/>
      <c r="AQ3" s="24"/>
      <c r="AR3" s="24"/>
      <c r="AS3" s="25"/>
      <c r="AT3" s="56"/>
      <c r="AU3" s="57"/>
      <c r="AV3" s="57"/>
      <c r="AW3" s="57"/>
      <c r="AX3" s="58"/>
      <c r="AY3" s="23"/>
      <c r="AZ3" s="24"/>
      <c r="BA3" s="24"/>
      <c r="BB3" s="25"/>
      <c r="BC3" s="56"/>
      <c r="BD3" s="57"/>
      <c r="BE3" s="57"/>
      <c r="BF3" s="57"/>
      <c r="BG3" s="58"/>
      <c r="BH3" s="23"/>
      <c r="BI3" s="24"/>
      <c r="BJ3" s="24"/>
      <c r="BK3" s="25"/>
    </row>
    <row r="4" spans="1:63" ht="24.95" customHeight="1" x14ac:dyDescent="0.25">
      <c r="A4" s="32" t="s">
        <v>1</v>
      </c>
      <c r="B4" s="33"/>
      <c r="C4" s="33"/>
      <c r="D4" s="33"/>
      <c r="E4" s="33"/>
      <c r="F4" s="33"/>
      <c r="G4" s="34"/>
      <c r="H4" s="44" t="str">
        <f>IF(表紙!H4="","",表紙!H4)</f>
        <v/>
      </c>
      <c r="I4" s="45"/>
      <c r="J4" s="45"/>
      <c r="K4" s="45"/>
      <c r="L4" s="45"/>
      <c r="M4" s="45"/>
      <c r="N4" s="45"/>
      <c r="O4" s="45"/>
      <c r="P4" s="45"/>
      <c r="Q4" s="45"/>
      <c r="R4" s="45"/>
      <c r="S4" s="45"/>
      <c r="T4" s="46"/>
      <c r="U4" s="32" t="s">
        <v>8</v>
      </c>
      <c r="V4" s="33"/>
      <c r="W4" s="33"/>
      <c r="X4" s="33"/>
      <c r="Y4" s="34"/>
      <c r="Z4" s="44" t="str">
        <f>IF(表紙!Z4="","",表紙!Z4)</f>
        <v/>
      </c>
      <c r="AA4" s="45"/>
      <c r="AB4" s="45"/>
      <c r="AC4" s="45"/>
      <c r="AD4" s="45"/>
      <c r="AE4" s="45"/>
      <c r="AF4" s="45"/>
      <c r="AG4" s="45"/>
      <c r="AH4" s="45"/>
      <c r="AI4" s="45"/>
      <c r="AJ4" s="45"/>
      <c r="AK4" s="45"/>
      <c r="AL4" s="45"/>
      <c r="AM4" s="45"/>
      <c r="AN4" s="45"/>
      <c r="AO4" s="46"/>
      <c r="AP4" s="44" t="str" cm="1">
        <f t="array" aca="1" ref="AP4" ca="1">RIGHT(CELL("filename",$A$1),LEN(CELL("filename",$A$1))-FIND("]",CELL("filename",$A$1)))</f>
        <v>改廃履歴</v>
      </c>
      <c r="AQ4" s="45"/>
      <c r="AR4" s="45"/>
      <c r="AS4" s="45"/>
      <c r="AT4" s="45"/>
      <c r="AU4" s="45"/>
      <c r="AV4" s="45"/>
      <c r="AW4" s="45"/>
      <c r="AX4" s="45"/>
      <c r="AY4" s="45"/>
      <c r="AZ4" s="45"/>
      <c r="BA4" s="45"/>
      <c r="BB4" s="45"/>
      <c r="BC4" s="45"/>
      <c r="BD4" s="45"/>
      <c r="BE4" s="45"/>
      <c r="BF4" s="45"/>
      <c r="BG4" s="45"/>
      <c r="BH4" s="45"/>
      <c r="BI4" s="45"/>
      <c r="BJ4" s="45"/>
      <c r="BK4" s="46"/>
    </row>
    <row r="5" spans="1:63" ht="5.0999999999999996" customHeight="1" x14ac:dyDescent="0.25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5"/>
    </row>
    <row r="6" spans="1:63" ht="15" customHeight="1" x14ac:dyDescent="0.25">
      <c r="A6" s="1"/>
      <c r="BK6" s="4"/>
    </row>
    <row r="7" spans="1:63" ht="15" customHeight="1" x14ac:dyDescent="0.25">
      <c r="A7" s="1"/>
      <c r="BK7" s="4"/>
    </row>
    <row r="8" spans="1:63" ht="15" customHeight="1" x14ac:dyDescent="0.25">
      <c r="A8" s="1"/>
      <c r="B8" t="s">
        <v>9</v>
      </c>
      <c r="BK8" s="4"/>
    </row>
    <row r="9" spans="1:63" ht="15" customHeight="1" x14ac:dyDescent="0.25">
      <c r="A9" s="1"/>
      <c r="BK9" s="4"/>
    </row>
    <row r="10" spans="1:63" ht="15" customHeight="1" x14ac:dyDescent="0.25">
      <c r="A10" s="1"/>
      <c r="B10" s="72" t="s">
        <v>10</v>
      </c>
      <c r="C10" s="72"/>
      <c r="D10" s="72"/>
      <c r="E10" s="72"/>
      <c r="F10" s="72"/>
      <c r="G10" s="72"/>
      <c r="H10" s="72" t="s">
        <v>5</v>
      </c>
      <c r="I10" s="72"/>
      <c r="J10" s="72"/>
      <c r="K10" s="72"/>
      <c r="L10" s="72"/>
      <c r="M10" s="72"/>
      <c r="N10" s="72"/>
      <c r="O10" s="72" t="s">
        <v>7</v>
      </c>
      <c r="P10" s="72"/>
      <c r="Q10" s="72"/>
      <c r="R10" s="72"/>
      <c r="S10" s="72" t="s">
        <v>11</v>
      </c>
      <c r="T10" s="72"/>
      <c r="U10" s="72"/>
      <c r="V10" s="72"/>
      <c r="W10" s="72"/>
      <c r="X10" s="72"/>
      <c r="Y10" s="72"/>
      <c r="Z10" s="72"/>
      <c r="AA10" s="72"/>
      <c r="AB10" s="72"/>
      <c r="AC10" s="72"/>
      <c r="AD10" s="72"/>
      <c r="AE10" s="72"/>
      <c r="AF10" s="72"/>
      <c r="AG10" s="72"/>
      <c r="AH10" s="72"/>
      <c r="AI10" s="72"/>
      <c r="AJ10" s="72"/>
      <c r="AK10" s="72"/>
      <c r="AL10" s="72"/>
      <c r="AM10" s="72"/>
      <c r="AN10" s="72"/>
      <c r="AO10" s="72"/>
      <c r="AP10" s="72"/>
      <c r="AQ10" s="72"/>
      <c r="AR10" s="72"/>
      <c r="AS10" s="72"/>
      <c r="AT10" s="72"/>
      <c r="AU10" s="72"/>
      <c r="AV10" s="72"/>
      <c r="AW10" s="72"/>
      <c r="AX10" s="72" t="s">
        <v>12</v>
      </c>
      <c r="AY10" s="72"/>
      <c r="AZ10" s="72"/>
      <c r="BA10" s="72"/>
      <c r="BB10" s="72"/>
      <c r="BC10" s="72"/>
      <c r="BD10" s="72" t="s">
        <v>13</v>
      </c>
      <c r="BE10" s="72"/>
      <c r="BF10" s="72"/>
      <c r="BG10" s="72"/>
      <c r="BH10" s="72"/>
      <c r="BI10" s="72"/>
      <c r="BJ10" s="72"/>
      <c r="BK10" s="4"/>
    </row>
    <row r="11" spans="1:63" ht="15" customHeight="1" x14ac:dyDescent="0.25">
      <c r="A11" s="1"/>
      <c r="B11" s="71">
        <v>45769</v>
      </c>
      <c r="C11" s="18"/>
      <c r="D11" s="18"/>
      <c r="E11" s="18"/>
      <c r="F11" s="18"/>
      <c r="G11" s="19"/>
      <c r="H11" s="17" t="s">
        <v>18</v>
      </c>
      <c r="I11" s="18"/>
      <c r="J11" s="18"/>
      <c r="K11" s="18"/>
      <c r="L11" s="18"/>
      <c r="M11" s="18"/>
      <c r="N11" s="19"/>
      <c r="O11" s="17">
        <v>1</v>
      </c>
      <c r="P11" s="18"/>
      <c r="Q11" s="18"/>
      <c r="R11" s="18"/>
      <c r="S11" s="59" t="s">
        <v>19</v>
      </c>
      <c r="T11" s="60"/>
      <c r="U11" s="60"/>
      <c r="V11" s="60"/>
      <c r="W11" s="60"/>
      <c r="X11" s="60"/>
      <c r="Y11" s="60"/>
      <c r="Z11" s="60"/>
      <c r="AA11" s="60"/>
      <c r="AB11" s="60"/>
      <c r="AC11" s="60"/>
      <c r="AD11" s="60"/>
      <c r="AE11" s="60"/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1"/>
      <c r="AX11" s="62"/>
      <c r="AY11" s="62"/>
      <c r="AZ11" s="62"/>
      <c r="BA11" s="62"/>
      <c r="BB11" s="62"/>
      <c r="BC11" s="63"/>
      <c r="BD11" s="66"/>
      <c r="BE11" s="62"/>
      <c r="BF11" s="62"/>
      <c r="BG11" s="62"/>
      <c r="BH11" s="62"/>
      <c r="BI11" s="62"/>
      <c r="BJ11" s="63"/>
      <c r="BK11" s="4"/>
    </row>
    <row r="12" spans="1:63" ht="15" customHeight="1" x14ac:dyDescent="0.25">
      <c r="A12" s="1"/>
      <c r="B12" s="23"/>
      <c r="C12" s="24"/>
      <c r="D12" s="24"/>
      <c r="E12" s="24"/>
      <c r="F12" s="24"/>
      <c r="G12" s="25"/>
      <c r="H12" s="23"/>
      <c r="I12" s="24"/>
      <c r="J12" s="24"/>
      <c r="K12" s="24"/>
      <c r="L12" s="24"/>
      <c r="M12" s="24"/>
      <c r="N12" s="25"/>
      <c r="O12" s="23"/>
      <c r="P12" s="24"/>
      <c r="Q12" s="24"/>
      <c r="R12" s="24"/>
      <c r="S12" s="68"/>
      <c r="T12" s="69"/>
      <c r="U12" s="69"/>
      <c r="V12" s="69"/>
      <c r="W12" s="69"/>
      <c r="X12" s="69"/>
      <c r="Y12" s="69"/>
      <c r="Z12" s="69"/>
      <c r="AA12" s="69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69"/>
      <c r="AQ12" s="69"/>
      <c r="AR12" s="69"/>
      <c r="AS12" s="69"/>
      <c r="AT12" s="69"/>
      <c r="AU12" s="69"/>
      <c r="AV12" s="69"/>
      <c r="AW12" s="70"/>
      <c r="AX12" s="64"/>
      <c r="AY12" s="64"/>
      <c r="AZ12" s="64"/>
      <c r="BA12" s="64"/>
      <c r="BB12" s="64"/>
      <c r="BC12" s="65"/>
      <c r="BD12" s="67"/>
      <c r="BE12" s="64"/>
      <c r="BF12" s="64"/>
      <c r="BG12" s="64"/>
      <c r="BH12" s="64"/>
      <c r="BI12" s="64"/>
      <c r="BJ12" s="65"/>
      <c r="BK12" s="4"/>
    </row>
    <row r="13" spans="1:63" ht="15" customHeight="1" x14ac:dyDescent="0.25">
      <c r="A13" s="1"/>
      <c r="B13" s="17"/>
      <c r="C13" s="18"/>
      <c r="D13" s="18"/>
      <c r="E13" s="18"/>
      <c r="F13" s="18"/>
      <c r="G13" s="19"/>
      <c r="H13" s="17"/>
      <c r="I13" s="18"/>
      <c r="J13" s="18"/>
      <c r="K13" s="18"/>
      <c r="L13" s="18"/>
      <c r="M13" s="18"/>
      <c r="N13" s="19"/>
      <c r="O13" s="17"/>
      <c r="P13" s="18"/>
      <c r="Q13" s="18"/>
      <c r="R13" s="18"/>
      <c r="S13" s="59"/>
      <c r="T13" s="60"/>
      <c r="U13" s="60"/>
      <c r="V13" s="60"/>
      <c r="W13" s="60"/>
      <c r="X13" s="60"/>
      <c r="Y13" s="60"/>
      <c r="Z13" s="60"/>
      <c r="AA13" s="60"/>
      <c r="AB13" s="60"/>
      <c r="AC13" s="60"/>
      <c r="AD13" s="60"/>
      <c r="AE13" s="60"/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1"/>
      <c r="AX13" s="62"/>
      <c r="AY13" s="62"/>
      <c r="AZ13" s="62"/>
      <c r="BA13" s="62"/>
      <c r="BB13" s="62"/>
      <c r="BC13" s="63"/>
      <c r="BD13" s="66"/>
      <c r="BE13" s="62"/>
      <c r="BF13" s="62"/>
      <c r="BG13" s="62"/>
      <c r="BH13" s="62"/>
      <c r="BI13" s="62"/>
      <c r="BJ13" s="63"/>
      <c r="BK13" s="4"/>
    </row>
    <row r="14" spans="1:63" ht="15" customHeight="1" x14ac:dyDescent="0.25">
      <c r="A14" s="1"/>
      <c r="B14" s="23"/>
      <c r="C14" s="24"/>
      <c r="D14" s="24"/>
      <c r="E14" s="24"/>
      <c r="F14" s="24"/>
      <c r="G14" s="25"/>
      <c r="H14" s="23"/>
      <c r="I14" s="24"/>
      <c r="J14" s="24"/>
      <c r="K14" s="24"/>
      <c r="L14" s="24"/>
      <c r="M14" s="24"/>
      <c r="N14" s="25"/>
      <c r="O14" s="23"/>
      <c r="P14" s="24"/>
      <c r="Q14" s="24"/>
      <c r="R14" s="24"/>
      <c r="S14" s="68"/>
      <c r="T14" s="69"/>
      <c r="U14" s="69"/>
      <c r="V14" s="69"/>
      <c r="W14" s="69"/>
      <c r="X14" s="69"/>
      <c r="Y14" s="69"/>
      <c r="Z14" s="69"/>
      <c r="AA14" s="69"/>
      <c r="AB14" s="69"/>
      <c r="AC14" s="69"/>
      <c r="AD14" s="69"/>
      <c r="AE14" s="69"/>
      <c r="AF14" s="69"/>
      <c r="AG14" s="69"/>
      <c r="AH14" s="69"/>
      <c r="AI14" s="69"/>
      <c r="AJ14" s="69"/>
      <c r="AK14" s="69"/>
      <c r="AL14" s="69"/>
      <c r="AM14" s="69"/>
      <c r="AN14" s="69"/>
      <c r="AO14" s="69"/>
      <c r="AP14" s="69"/>
      <c r="AQ14" s="69"/>
      <c r="AR14" s="69"/>
      <c r="AS14" s="69"/>
      <c r="AT14" s="69"/>
      <c r="AU14" s="69"/>
      <c r="AV14" s="69"/>
      <c r="AW14" s="70"/>
      <c r="AX14" s="64"/>
      <c r="AY14" s="64"/>
      <c r="AZ14" s="64"/>
      <c r="BA14" s="64"/>
      <c r="BB14" s="64"/>
      <c r="BC14" s="65"/>
      <c r="BD14" s="67"/>
      <c r="BE14" s="64"/>
      <c r="BF14" s="64"/>
      <c r="BG14" s="64"/>
      <c r="BH14" s="64"/>
      <c r="BI14" s="64"/>
      <c r="BJ14" s="65"/>
      <c r="BK14" s="4"/>
    </row>
    <row r="15" spans="1:63" ht="15" customHeight="1" x14ac:dyDescent="0.25">
      <c r="A15" s="1"/>
      <c r="B15" s="17"/>
      <c r="C15" s="18"/>
      <c r="D15" s="18"/>
      <c r="E15" s="18"/>
      <c r="F15" s="18"/>
      <c r="G15" s="19"/>
      <c r="H15" s="17"/>
      <c r="I15" s="18"/>
      <c r="J15" s="18"/>
      <c r="K15" s="18"/>
      <c r="L15" s="18"/>
      <c r="M15" s="18"/>
      <c r="N15" s="19"/>
      <c r="O15" s="17"/>
      <c r="P15" s="18"/>
      <c r="Q15" s="18"/>
      <c r="R15" s="18"/>
      <c r="S15" s="59"/>
      <c r="T15" s="60"/>
      <c r="U15" s="60"/>
      <c r="V15" s="60"/>
      <c r="W15" s="60"/>
      <c r="X15" s="60"/>
      <c r="Y15" s="60"/>
      <c r="Z15" s="60"/>
      <c r="AA15" s="60"/>
      <c r="AB15" s="60"/>
      <c r="AC15" s="60"/>
      <c r="AD15" s="60"/>
      <c r="AE15" s="60"/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1"/>
      <c r="AX15" s="62"/>
      <c r="AY15" s="62"/>
      <c r="AZ15" s="62"/>
      <c r="BA15" s="62"/>
      <c r="BB15" s="62"/>
      <c r="BC15" s="63"/>
      <c r="BD15" s="66"/>
      <c r="BE15" s="62"/>
      <c r="BF15" s="62"/>
      <c r="BG15" s="62"/>
      <c r="BH15" s="62"/>
      <c r="BI15" s="62"/>
      <c r="BJ15" s="63"/>
      <c r="BK15" s="4"/>
    </row>
    <row r="16" spans="1:63" ht="15" customHeight="1" x14ac:dyDescent="0.25">
      <c r="A16" s="1"/>
      <c r="B16" s="23"/>
      <c r="C16" s="24"/>
      <c r="D16" s="24"/>
      <c r="E16" s="24"/>
      <c r="F16" s="24"/>
      <c r="G16" s="25"/>
      <c r="H16" s="23"/>
      <c r="I16" s="24"/>
      <c r="J16" s="24"/>
      <c r="K16" s="24"/>
      <c r="L16" s="24"/>
      <c r="M16" s="24"/>
      <c r="N16" s="25"/>
      <c r="O16" s="23"/>
      <c r="P16" s="24"/>
      <c r="Q16" s="24"/>
      <c r="R16" s="24"/>
      <c r="S16" s="68"/>
      <c r="T16" s="69"/>
      <c r="U16" s="69"/>
      <c r="V16" s="69"/>
      <c r="W16" s="69"/>
      <c r="X16" s="69"/>
      <c r="Y16" s="69"/>
      <c r="Z16" s="69"/>
      <c r="AA16" s="69"/>
      <c r="AB16" s="69"/>
      <c r="AC16" s="69"/>
      <c r="AD16" s="69"/>
      <c r="AE16" s="69"/>
      <c r="AF16" s="69"/>
      <c r="AG16" s="69"/>
      <c r="AH16" s="69"/>
      <c r="AI16" s="69"/>
      <c r="AJ16" s="69"/>
      <c r="AK16" s="69"/>
      <c r="AL16" s="69"/>
      <c r="AM16" s="69"/>
      <c r="AN16" s="69"/>
      <c r="AO16" s="69"/>
      <c r="AP16" s="69"/>
      <c r="AQ16" s="69"/>
      <c r="AR16" s="69"/>
      <c r="AS16" s="69"/>
      <c r="AT16" s="69"/>
      <c r="AU16" s="69"/>
      <c r="AV16" s="69"/>
      <c r="AW16" s="70"/>
      <c r="AX16" s="64"/>
      <c r="AY16" s="64"/>
      <c r="AZ16" s="64"/>
      <c r="BA16" s="64"/>
      <c r="BB16" s="64"/>
      <c r="BC16" s="65"/>
      <c r="BD16" s="67"/>
      <c r="BE16" s="64"/>
      <c r="BF16" s="64"/>
      <c r="BG16" s="64"/>
      <c r="BH16" s="64"/>
      <c r="BI16" s="64"/>
      <c r="BJ16" s="65"/>
      <c r="BK16" s="4"/>
    </row>
    <row r="17" spans="1:63" ht="15" customHeight="1" x14ac:dyDescent="0.25">
      <c r="A17" s="1"/>
      <c r="B17" s="17"/>
      <c r="C17" s="18"/>
      <c r="D17" s="18"/>
      <c r="E17" s="18"/>
      <c r="F17" s="18"/>
      <c r="G17" s="19"/>
      <c r="H17" s="17"/>
      <c r="I17" s="18"/>
      <c r="J17" s="18"/>
      <c r="K17" s="18"/>
      <c r="L17" s="18"/>
      <c r="M17" s="18"/>
      <c r="N17" s="19"/>
      <c r="O17" s="17"/>
      <c r="P17" s="18"/>
      <c r="Q17" s="18"/>
      <c r="R17" s="18"/>
      <c r="S17" s="59"/>
      <c r="T17" s="60"/>
      <c r="U17" s="60"/>
      <c r="V17" s="60"/>
      <c r="W17" s="60"/>
      <c r="X17" s="60"/>
      <c r="Y17" s="60"/>
      <c r="Z17" s="60"/>
      <c r="AA17" s="60"/>
      <c r="AB17" s="60"/>
      <c r="AC17" s="60"/>
      <c r="AD17" s="60"/>
      <c r="AE17" s="60"/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1"/>
      <c r="AX17" s="62"/>
      <c r="AY17" s="62"/>
      <c r="AZ17" s="62"/>
      <c r="BA17" s="62"/>
      <c r="BB17" s="62"/>
      <c r="BC17" s="63"/>
      <c r="BD17" s="66"/>
      <c r="BE17" s="62"/>
      <c r="BF17" s="62"/>
      <c r="BG17" s="62"/>
      <c r="BH17" s="62"/>
      <c r="BI17" s="62"/>
      <c r="BJ17" s="63"/>
      <c r="BK17" s="4"/>
    </row>
    <row r="18" spans="1:63" ht="15" customHeight="1" x14ac:dyDescent="0.25">
      <c r="A18" s="1"/>
      <c r="B18" s="23"/>
      <c r="C18" s="24"/>
      <c r="D18" s="24"/>
      <c r="E18" s="24"/>
      <c r="F18" s="24"/>
      <c r="G18" s="25"/>
      <c r="H18" s="23"/>
      <c r="I18" s="24"/>
      <c r="J18" s="24"/>
      <c r="K18" s="24"/>
      <c r="L18" s="24"/>
      <c r="M18" s="24"/>
      <c r="N18" s="25"/>
      <c r="O18" s="23"/>
      <c r="P18" s="24"/>
      <c r="Q18" s="24"/>
      <c r="R18" s="24"/>
      <c r="S18" s="68"/>
      <c r="T18" s="69"/>
      <c r="U18" s="69"/>
      <c r="V18" s="69"/>
      <c r="W18" s="69"/>
      <c r="X18" s="69"/>
      <c r="Y18" s="69"/>
      <c r="Z18" s="69"/>
      <c r="AA18" s="69"/>
      <c r="AB18" s="69"/>
      <c r="AC18" s="69"/>
      <c r="AD18" s="69"/>
      <c r="AE18" s="69"/>
      <c r="AF18" s="69"/>
      <c r="AG18" s="69"/>
      <c r="AH18" s="69"/>
      <c r="AI18" s="69"/>
      <c r="AJ18" s="69"/>
      <c r="AK18" s="69"/>
      <c r="AL18" s="69"/>
      <c r="AM18" s="69"/>
      <c r="AN18" s="69"/>
      <c r="AO18" s="69"/>
      <c r="AP18" s="69"/>
      <c r="AQ18" s="69"/>
      <c r="AR18" s="69"/>
      <c r="AS18" s="69"/>
      <c r="AT18" s="69"/>
      <c r="AU18" s="69"/>
      <c r="AV18" s="69"/>
      <c r="AW18" s="70"/>
      <c r="AX18" s="64"/>
      <c r="AY18" s="64"/>
      <c r="AZ18" s="64"/>
      <c r="BA18" s="64"/>
      <c r="BB18" s="64"/>
      <c r="BC18" s="65"/>
      <c r="BD18" s="67"/>
      <c r="BE18" s="64"/>
      <c r="BF18" s="64"/>
      <c r="BG18" s="64"/>
      <c r="BH18" s="64"/>
      <c r="BI18" s="64"/>
      <c r="BJ18" s="65"/>
      <c r="BK18" s="4"/>
    </row>
    <row r="19" spans="1:63" ht="15" customHeight="1" x14ac:dyDescent="0.25">
      <c r="A19" s="1"/>
      <c r="B19" s="17"/>
      <c r="C19" s="18"/>
      <c r="D19" s="18"/>
      <c r="E19" s="18"/>
      <c r="F19" s="18"/>
      <c r="G19" s="19"/>
      <c r="H19" s="17"/>
      <c r="I19" s="18"/>
      <c r="J19" s="18"/>
      <c r="K19" s="18"/>
      <c r="L19" s="18"/>
      <c r="M19" s="18"/>
      <c r="N19" s="19"/>
      <c r="O19" s="17"/>
      <c r="P19" s="18"/>
      <c r="Q19" s="18"/>
      <c r="R19" s="18"/>
      <c r="S19" s="59"/>
      <c r="T19" s="60"/>
      <c r="U19" s="60"/>
      <c r="V19" s="60"/>
      <c r="W19" s="60"/>
      <c r="X19" s="60"/>
      <c r="Y19" s="60"/>
      <c r="Z19" s="60"/>
      <c r="AA19" s="60"/>
      <c r="AB19" s="60"/>
      <c r="AC19" s="60"/>
      <c r="AD19" s="60"/>
      <c r="AE19" s="60"/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1"/>
      <c r="AX19" s="62"/>
      <c r="AY19" s="62"/>
      <c r="AZ19" s="62"/>
      <c r="BA19" s="62"/>
      <c r="BB19" s="62"/>
      <c r="BC19" s="63"/>
      <c r="BD19" s="66"/>
      <c r="BE19" s="62"/>
      <c r="BF19" s="62"/>
      <c r="BG19" s="62"/>
      <c r="BH19" s="62"/>
      <c r="BI19" s="62"/>
      <c r="BJ19" s="63"/>
      <c r="BK19" s="4"/>
    </row>
    <row r="20" spans="1:63" ht="15" customHeight="1" x14ac:dyDescent="0.25">
      <c r="A20" s="1"/>
      <c r="B20" s="23"/>
      <c r="C20" s="24"/>
      <c r="D20" s="24"/>
      <c r="E20" s="24"/>
      <c r="F20" s="24"/>
      <c r="G20" s="25"/>
      <c r="H20" s="23"/>
      <c r="I20" s="24"/>
      <c r="J20" s="24"/>
      <c r="K20" s="24"/>
      <c r="L20" s="24"/>
      <c r="M20" s="24"/>
      <c r="N20" s="25"/>
      <c r="O20" s="23"/>
      <c r="P20" s="24"/>
      <c r="Q20" s="24"/>
      <c r="R20" s="24"/>
      <c r="S20" s="68"/>
      <c r="T20" s="69"/>
      <c r="U20" s="69"/>
      <c r="V20" s="69"/>
      <c r="W20" s="69"/>
      <c r="X20" s="69"/>
      <c r="Y20" s="69"/>
      <c r="Z20" s="69"/>
      <c r="AA20" s="69"/>
      <c r="AB20" s="69"/>
      <c r="AC20" s="69"/>
      <c r="AD20" s="69"/>
      <c r="AE20" s="69"/>
      <c r="AF20" s="69"/>
      <c r="AG20" s="69"/>
      <c r="AH20" s="69"/>
      <c r="AI20" s="69"/>
      <c r="AJ20" s="69"/>
      <c r="AK20" s="69"/>
      <c r="AL20" s="69"/>
      <c r="AM20" s="69"/>
      <c r="AN20" s="69"/>
      <c r="AO20" s="69"/>
      <c r="AP20" s="69"/>
      <c r="AQ20" s="69"/>
      <c r="AR20" s="69"/>
      <c r="AS20" s="69"/>
      <c r="AT20" s="69"/>
      <c r="AU20" s="69"/>
      <c r="AV20" s="69"/>
      <c r="AW20" s="70"/>
      <c r="AX20" s="64"/>
      <c r="AY20" s="64"/>
      <c r="AZ20" s="64"/>
      <c r="BA20" s="64"/>
      <c r="BB20" s="64"/>
      <c r="BC20" s="65"/>
      <c r="BD20" s="67"/>
      <c r="BE20" s="64"/>
      <c r="BF20" s="64"/>
      <c r="BG20" s="64"/>
      <c r="BH20" s="64"/>
      <c r="BI20" s="64"/>
      <c r="BJ20" s="65"/>
      <c r="BK20" s="4"/>
    </row>
    <row r="21" spans="1:63" ht="15" customHeight="1" x14ac:dyDescent="0.25">
      <c r="A21" s="1"/>
      <c r="B21" s="17"/>
      <c r="C21" s="18"/>
      <c r="D21" s="18"/>
      <c r="E21" s="18"/>
      <c r="F21" s="18"/>
      <c r="G21" s="19"/>
      <c r="H21" s="17"/>
      <c r="I21" s="18"/>
      <c r="J21" s="18"/>
      <c r="K21" s="18"/>
      <c r="L21" s="18"/>
      <c r="M21" s="18"/>
      <c r="N21" s="19"/>
      <c r="O21" s="17"/>
      <c r="P21" s="18"/>
      <c r="Q21" s="18"/>
      <c r="R21" s="18"/>
      <c r="S21" s="59"/>
      <c r="T21" s="60"/>
      <c r="U21" s="60"/>
      <c r="V21" s="60"/>
      <c r="W21" s="60"/>
      <c r="X21" s="60"/>
      <c r="Y21" s="60"/>
      <c r="Z21" s="60"/>
      <c r="AA21" s="60"/>
      <c r="AB21" s="60"/>
      <c r="AC21" s="60"/>
      <c r="AD21" s="60"/>
      <c r="AE21" s="60"/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1"/>
      <c r="AX21" s="62"/>
      <c r="AY21" s="62"/>
      <c r="AZ21" s="62"/>
      <c r="BA21" s="62"/>
      <c r="BB21" s="62"/>
      <c r="BC21" s="63"/>
      <c r="BD21" s="66"/>
      <c r="BE21" s="62"/>
      <c r="BF21" s="62"/>
      <c r="BG21" s="62"/>
      <c r="BH21" s="62"/>
      <c r="BI21" s="62"/>
      <c r="BJ21" s="63"/>
      <c r="BK21" s="4"/>
    </row>
    <row r="22" spans="1:63" ht="15" customHeight="1" x14ac:dyDescent="0.25">
      <c r="A22" s="1"/>
      <c r="B22" s="23"/>
      <c r="C22" s="24"/>
      <c r="D22" s="24"/>
      <c r="E22" s="24"/>
      <c r="F22" s="24"/>
      <c r="G22" s="25"/>
      <c r="H22" s="23"/>
      <c r="I22" s="24"/>
      <c r="J22" s="24"/>
      <c r="K22" s="24"/>
      <c r="L22" s="24"/>
      <c r="M22" s="24"/>
      <c r="N22" s="25"/>
      <c r="O22" s="23"/>
      <c r="P22" s="24"/>
      <c r="Q22" s="24"/>
      <c r="R22" s="24"/>
      <c r="S22" s="68"/>
      <c r="T22" s="69"/>
      <c r="U22" s="69"/>
      <c r="V22" s="69"/>
      <c r="W22" s="69"/>
      <c r="X22" s="69"/>
      <c r="Y22" s="69"/>
      <c r="Z22" s="69"/>
      <c r="AA22" s="69"/>
      <c r="AB22" s="69"/>
      <c r="AC22" s="69"/>
      <c r="AD22" s="69"/>
      <c r="AE22" s="69"/>
      <c r="AF22" s="69"/>
      <c r="AG22" s="69"/>
      <c r="AH22" s="69"/>
      <c r="AI22" s="69"/>
      <c r="AJ22" s="69"/>
      <c r="AK22" s="69"/>
      <c r="AL22" s="69"/>
      <c r="AM22" s="69"/>
      <c r="AN22" s="69"/>
      <c r="AO22" s="69"/>
      <c r="AP22" s="69"/>
      <c r="AQ22" s="69"/>
      <c r="AR22" s="69"/>
      <c r="AS22" s="69"/>
      <c r="AT22" s="69"/>
      <c r="AU22" s="69"/>
      <c r="AV22" s="69"/>
      <c r="AW22" s="70"/>
      <c r="AX22" s="64"/>
      <c r="AY22" s="64"/>
      <c r="AZ22" s="64"/>
      <c r="BA22" s="64"/>
      <c r="BB22" s="64"/>
      <c r="BC22" s="65"/>
      <c r="BD22" s="67"/>
      <c r="BE22" s="64"/>
      <c r="BF22" s="64"/>
      <c r="BG22" s="64"/>
      <c r="BH22" s="64"/>
      <c r="BI22" s="64"/>
      <c r="BJ22" s="65"/>
      <c r="BK22" s="4"/>
    </row>
    <row r="23" spans="1:63" ht="15" customHeight="1" x14ac:dyDescent="0.25">
      <c r="A23" s="1"/>
      <c r="B23" s="17"/>
      <c r="C23" s="18"/>
      <c r="D23" s="18"/>
      <c r="E23" s="18"/>
      <c r="F23" s="18"/>
      <c r="G23" s="19"/>
      <c r="H23" s="17"/>
      <c r="I23" s="18"/>
      <c r="J23" s="18"/>
      <c r="K23" s="18"/>
      <c r="L23" s="18"/>
      <c r="M23" s="18"/>
      <c r="N23" s="19"/>
      <c r="O23" s="17"/>
      <c r="P23" s="18"/>
      <c r="Q23" s="18"/>
      <c r="R23" s="18"/>
      <c r="S23" s="59"/>
      <c r="T23" s="60"/>
      <c r="U23" s="60"/>
      <c r="V23" s="60"/>
      <c r="W23" s="60"/>
      <c r="X23" s="60"/>
      <c r="Y23" s="60"/>
      <c r="Z23" s="60"/>
      <c r="AA23" s="60"/>
      <c r="AB23" s="60"/>
      <c r="AC23" s="60"/>
      <c r="AD23" s="60"/>
      <c r="AE23" s="60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1"/>
      <c r="AX23" s="62"/>
      <c r="AY23" s="62"/>
      <c r="AZ23" s="62"/>
      <c r="BA23" s="62"/>
      <c r="BB23" s="62"/>
      <c r="BC23" s="63"/>
      <c r="BD23" s="66"/>
      <c r="BE23" s="62"/>
      <c r="BF23" s="62"/>
      <c r="BG23" s="62"/>
      <c r="BH23" s="62"/>
      <c r="BI23" s="62"/>
      <c r="BJ23" s="63"/>
      <c r="BK23" s="4"/>
    </row>
    <row r="24" spans="1:63" ht="15" customHeight="1" x14ac:dyDescent="0.25">
      <c r="A24" s="1"/>
      <c r="B24" s="23"/>
      <c r="C24" s="24"/>
      <c r="D24" s="24"/>
      <c r="E24" s="24"/>
      <c r="F24" s="24"/>
      <c r="G24" s="25"/>
      <c r="H24" s="23"/>
      <c r="I24" s="24"/>
      <c r="J24" s="24"/>
      <c r="K24" s="24"/>
      <c r="L24" s="24"/>
      <c r="M24" s="24"/>
      <c r="N24" s="25"/>
      <c r="O24" s="23"/>
      <c r="P24" s="24"/>
      <c r="Q24" s="24"/>
      <c r="R24" s="24"/>
      <c r="S24" s="68"/>
      <c r="T24" s="69"/>
      <c r="U24" s="69"/>
      <c r="V24" s="69"/>
      <c r="W24" s="69"/>
      <c r="X24" s="69"/>
      <c r="Y24" s="69"/>
      <c r="Z24" s="69"/>
      <c r="AA24" s="69"/>
      <c r="AB24" s="69"/>
      <c r="AC24" s="69"/>
      <c r="AD24" s="69"/>
      <c r="AE24" s="69"/>
      <c r="AF24" s="69"/>
      <c r="AG24" s="69"/>
      <c r="AH24" s="69"/>
      <c r="AI24" s="69"/>
      <c r="AJ24" s="69"/>
      <c r="AK24" s="69"/>
      <c r="AL24" s="69"/>
      <c r="AM24" s="69"/>
      <c r="AN24" s="69"/>
      <c r="AO24" s="69"/>
      <c r="AP24" s="69"/>
      <c r="AQ24" s="69"/>
      <c r="AR24" s="69"/>
      <c r="AS24" s="69"/>
      <c r="AT24" s="69"/>
      <c r="AU24" s="69"/>
      <c r="AV24" s="69"/>
      <c r="AW24" s="70"/>
      <c r="AX24" s="64"/>
      <c r="AY24" s="64"/>
      <c r="AZ24" s="64"/>
      <c r="BA24" s="64"/>
      <c r="BB24" s="64"/>
      <c r="BC24" s="65"/>
      <c r="BD24" s="67"/>
      <c r="BE24" s="64"/>
      <c r="BF24" s="64"/>
      <c r="BG24" s="64"/>
      <c r="BH24" s="64"/>
      <c r="BI24" s="64"/>
      <c r="BJ24" s="65"/>
      <c r="BK24" s="4"/>
    </row>
    <row r="25" spans="1:63" ht="15" customHeight="1" x14ac:dyDescent="0.25">
      <c r="A25" s="1"/>
      <c r="B25" s="17"/>
      <c r="C25" s="18"/>
      <c r="D25" s="18"/>
      <c r="E25" s="18"/>
      <c r="F25" s="18"/>
      <c r="G25" s="19"/>
      <c r="H25" s="17"/>
      <c r="I25" s="18"/>
      <c r="J25" s="18"/>
      <c r="K25" s="18"/>
      <c r="L25" s="18"/>
      <c r="M25" s="18"/>
      <c r="N25" s="19"/>
      <c r="O25" s="17"/>
      <c r="P25" s="18"/>
      <c r="Q25" s="18"/>
      <c r="R25" s="18"/>
      <c r="S25" s="59"/>
      <c r="T25" s="60"/>
      <c r="U25" s="60"/>
      <c r="V25" s="60"/>
      <c r="W25" s="60"/>
      <c r="X25" s="60"/>
      <c r="Y25" s="60"/>
      <c r="Z25" s="60"/>
      <c r="AA25" s="60"/>
      <c r="AB25" s="60"/>
      <c r="AC25" s="60"/>
      <c r="AD25" s="60"/>
      <c r="AE25" s="60"/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1"/>
      <c r="AX25" s="62"/>
      <c r="AY25" s="62"/>
      <c r="AZ25" s="62"/>
      <c r="BA25" s="62"/>
      <c r="BB25" s="62"/>
      <c r="BC25" s="63"/>
      <c r="BD25" s="66"/>
      <c r="BE25" s="62"/>
      <c r="BF25" s="62"/>
      <c r="BG25" s="62"/>
      <c r="BH25" s="62"/>
      <c r="BI25" s="62"/>
      <c r="BJ25" s="63"/>
      <c r="BK25" s="4"/>
    </row>
    <row r="26" spans="1:63" ht="15" customHeight="1" x14ac:dyDescent="0.25">
      <c r="A26" s="1"/>
      <c r="B26" s="23"/>
      <c r="C26" s="24"/>
      <c r="D26" s="24"/>
      <c r="E26" s="24"/>
      <c r="F26" s="24"/>
      <c r="G26" s="25"/>
      <c r="H26" s="23"/>
      <c r="I26" s="24"/>
      <c r="J26" s="24"/>
      <c r="K26" s="24"/>
      <c r="L26" s="24"/>
      <c r="M26" s="24"/>
      <c r="N26" s="25"/>
      <c r="O26" s="23"/>
      <c r="P26" s="24"/>
      <c r="Q26" s="24"/>
      <c r="R26" s="24"/>
      <c r="S26" s="68"/>
      <c r="T26" s="69"/>
      <c r="U26" s="69"/>
      <c r="V26" s="69"/>
      <c r="W26" s="69"/>
      <c r="X26" s="69"/>
      <c r="Y26" s="69"/>
      <c r="Z26" s="69"/>
      <c r="AA26" s="69"/>
      <c r="AB26" s="69"/>
      <c r="AC26" s="69"/>
      <c r="AD26" s="69"/>
      <c r="AE26" s="69"/>
      <c r="AF26" s="69"/>
      <c r="AG26" s="69"/>
      <c r="AH26" s="69"/>
      <c r="AI26" s="69"/>
      <c r="AJ26" s="69"/>
      <c r="AK26" s="69"/>
      <c r="AL26" s="69"/>
      <c r="AM26" s="69"/>
      <c r="AN26" s="69"/>
      <c r="AO26" s="69"/>
      <c r="AP26" s="69"/>
      <c r="AQ26" s="69"/>
      <c r="AR26" s="69"/>
      <c r="AS26" s="69"/>
      <c r="AT26" s="69"/>
      <c r="AU26" s="69"/>
      <c r="AV26" s="69"/>
      <c r="AW26" s="70"/>
      <c r="AX26" s="64"/>
      <c r="AY26" s="64"/>
      <c r="AZ26" s="64"/>
      <c r="BA26" s="64"/>
      <c r="BB26" s="64"/>
      <c r="BC26" s="65"/>
      <c r="BD26" s="67"/>
      <c r="BE26" s="64"/>
      <c r="BF26" s="64"/>
      <c r="BG26" s="64"/>
      <c r="BH26" s="64"/>
      <c r="BI26" s="64"/>
      <c r="BJ26" s="65"/>
      <c r="BK26" s="4"/>
    </row>
    <row r="27" spans="1:63" ht="15" customHeight="1" x14ac:dyDescent="0.25">
      <c r="A27" s="1"/>
      <c r="B27" s="17"/>
      <c r="C27" s="18"/>
      <c r="D27" s="18"/>
      <c r="E27" s="18"/>
      <c r="F27" s="18"/>
      <c r="G27" s="19"/>
      <c r="H27" s="17"/>
      <c r="I27" s="18"/>
      <c r="J27" s="18"/>
      <c r="K27" s="18"/>
      <c r="L27" s="18"/>
      <c r="M27" s="18"/>
      <c r="N27" s="19"/>
      <c r="O27" s="17"/>
      <c r="P27" s="18"/>
      <c r="Q27" s="18"/>
      <c r="R27" s="18"/>
      <c r="S27" s="59"/>
      <c r="T27" s="60"/>
      <c r="U27" s="60"/>
      <c r="V27" s="60"/>
      <c r="W27" s="60"/>
      <c r="X27" s="60"/>
      <c r="Y27" s="60"/>
      <c r="Z27" s="60"/>
      <c r="AA27" s="60"/>
      <c r="AB27" s="60"/>
      <c r="AC27" s="60"/>
      <c r="AD27" s="60"/>
      <c r="AE27" s="60"/>
      <c r="AF27" s="60"/>
      <c r="AG27" s="60"/>
      <c r="AH27" s="60"/>
      <c r="AI27" s="60"/>
      <c r="AJ27" s="60"/>
      <c r="AK27" s="60"/>
      <c r="AL27" s="60"/>
      <c r="AM27" s="60"/>
      <c r="AN27" s="60"/>
      <c r="AO27" s="60"/>
      <c r="AP27" s="60"/>
      <c r="AQ27" s="60"/>
      <c r="AR27" s="60"/>
      <c r="AS27" s="60"/>
      <c r="AT27" s="60"/>
      <c r="AU27" s="60"/>
      <c r="AV27" s="60"/>
      <c r="AW27" s="61"/>
      <c r="AX27" s="62"/>
      <c r="AY27" s="62"/>
      <c r="AZ27" s="62"/>
      <c r="BA27" s="62"/>
      <c r="BB27" s="62"/>
      <c r="BC27" s="63"/>
      <c r="BD27" s="66"/>
      <c r="BE27" s="62"/>
      <c r="BF27" s="62"/>
      <c r="BG27" s="62"/>
      <c r="BH27" s="62"/>
      <c r="BI27" s="62"/>
      <c r="BJ27" s="63"/>
      <c r="BK27" s="4"/>
    </row>
    <row r="28" spans="1:63" ht="15" customHeight="1" x14ac:dyDescent="0.25">
      <c r="A28" s="1"/>
      <c r="B28" s="23"/>
      <c r="C28" s="24"/>
      <c r="D28" s="24"/>
      <c r="E28" s="24"/>
      <c r="F28" s="24"/>
      <c r="G28" s="25"/>
      <c r="H28" s="23"/>
      <c r="I28" s="24"/>
      <c r="J28" s="24"/>
      <c r="K28" s="24"/>
      <c r="L28" s="24"/>
      <c r="M28" s="24"/>
      <c r="N28" s="25"/>
      <c r="O28" s="23"/>
      <c r="P28" s="24"/>
      <c r="Q28" s="24"/>
      <c r="R28" s="24"/>
      <c r="S28" s="68"/>
      <c r="T28" s="69"/>
      <c r="U28" s="69"/>
      <c r="V28" s="69"/>
      <c r="W28" s="69"/>
      <c r="X28" s="69"/>
      <c r="Y28" s="69"/>
      <c r="Z28" s="69"/>
      <c r="AA28" s="69"/>
      <c r="AB28" s="69"/>
      <c r="AC28" s="69"/>
      <c r="AD28" s="69"/>
      <c r="AE28" s="69"/>
      <c r="AF28" s="69"/>
      <c r="AG28" s="69"/>
      <c r="AH28" s="69"/>
      <c r="AI28" s="69"/>
      <c r="AJ28" s="69"/>
      <c r="AK28" s="69"/>
      <c r="AL28" s="69"/>
      <c r="AM28" s="69"/>
      <c r="AN28" s="69"/>
      <c r="AO28" s="69"/>
      <c r="AP28" s="69"/>
      <c r="AQ28" s="69"/>
      <c r="AR28" s="69"/>
      <c r="AS28" s="69"/>
      <c r="AT28" s="69"/>
      <c r="AU28" s="69"/>
      <c r="AV28" s="69"/>
      <c r="AW28" s="70"/>
      <c r="AX28" s="64"/>
      <c r="AY28" s="64"/>
      <c r="AZ28" s="64"/>
      <c r="BA28" s="64"/>
      <c r="BB28" s="64"/>
      <c r="BC28" s="65"/>
      <c r="BD28" s="67"/>
      <c r="BE28" s="64"/>
      <c r="BF28" s="64"/>
      <c r="BG28" s="64"/>
      <c r="BH28" s="64"/>
      <c r="BI28" s="64"/>
      <c r="BJ28" s="65"/>
      <c r="BK28" s="4"/>
    </row>
    <row r="29" spans="1:63" ht="15" customHeight="1" x14ac:dyDescent="0.25">
      <c r="A29" s="1"/>
      <c r="B29" s="17"/>
      <c r="C29" s="18"/>
      <c r="D29" s="18"/>
      <c r="E29" s="18"/>
      <c r="F29" s="18"/>
      <c r="G29" s="19"/>
      <c r="H29" s="17"/>
      <c r="I29" s="18"/>
      <c r="J29" s="18"/>
      <c r="K29" s="18"/>
      <c r="L29" s="18"/>
      <c r="M29" s="18"/>
      <c r="N29" s="19"/>
      <c r="O29" s="17"/>
      <c r="P29" s="18"/>
      <c r="Q29" s="18"/>
      <c r="R29" s="18"/>
      <c r="S29" s="59"/>
      <c r="T29" s="60"/>
      <c r="U29" s="60"/>
      <c r="V29" s="60"/>
      <c r="W29" s="60"/>
      <c r="X29" s="60"/>
      <c r="Y29" s="60"/>
      <c r="Z29" s="60"/>
      <c r="AA29" s="60"/>
      <c r="AB29" s="60"/>
      <c r="AC29" s="60"/>
      <c r="AD29" s="60"/>
      <c r="AE29" s="60"/>
      <c r="AF29" s="60"/>
      <c r="AG29" s="60"/>
      <c r="AH29" s="60"/>
      <c r="AI29" s="60"/>
      <c r="AJ29" s="60"/>
      <c r="AK29" s="60"/>
      <c r="AL29" s="60"/>
      <c r="AM29" s="60"/>
      <c r="AN29" s="60"/>
      <c r="AO29" s="60"/>
      <c r="AP29" s="60"/>
      <c r="AQ29" s="60"/>
      <c r="AR29" s="60"/>
      <c r="AS29" s="60"/>
      <c r="AT29" s="60"/>
      <c r="AU29" s="60"/>
      <c r="AV29" s="60"/>
      <c r="AW29" s="61"/>
      <c r="AX29" s="62"/>
      <c r="AY29" s="62"/>
      <c r="AZ29" s="62"/>
      <c r="BA29" s="62"/>
      <c r="BB29" s="62"/>
      <c r="BC29" s="63"/>
      <c r="BD29" s="66"/>
      <c r="BE29" s="62"/>
      <c r="BF29" s="62"/>
      <c r="BG29" s="62"/>
      <c r="BH29" s="62"/>
      <c r="BI29" s="62"/>
      <c r="BJ29" s="63"/>
      <c r="BK29" s="4"/>
    </row>
    <row r="30" spans="1:63" ht="15" customHeight="1" x14ac:dyDescent="0.25">
      <c r="A30" s="1"/>
      <c r="B30" s="23"/>
      <c r="C30" s="24"/>
      <c r="D30" s="24"/>
      <c r="E30" s="24"/>
      <c r="F30" s="24"/>
      <c r="G30" s="25"/>
      <c r="H30" s="23"/>
      <c r="I30" s="24"/>
      <c r="J30" s="24"/>
      <c r="K30" s="24"/>
      <c r="L30" s="24"/>
      <c r="M30" s="24"/>
      <c r="N30" s="25"/>
      <c r="O30" s="23"/>
      <c r="P30" s="24"/>
      <c r="Q30" s="24"/>
      <c r="R30" s="24"/>
      <c r="S30" s="68"/>
      <c r="T30" s="69"/>
      <c r="U30" s="69"/>
      <c r="V30" s="69"/>
      <c r="W30" s="69"/>
      <c r="X30" s="69"/>
      <c r="Y30" s="69"/>
      <c r="Z30" s="69"/>
      <c r="AA30" s="69"/>
      <c r="AB30" s="69"/>
      <c r="AC30" s="69"/>
      <c r="AD30" s="69"/>
      <c r="AE30" s="69"/>
      <c r="AF30" s="69"/>
      <c r="AG30" s="69"/>
      <c r="AH30" s="69"/>
      <c r="AI30" s="69"/>
      <c r="AJ30" s="69"/>
      <c r="AK30" s="69"/>
      <c r="AL30" s="69"/>
      <c r="AM30" s="69"/>
      <c r="AN30" s="69"/>
      <c r="AO30" s="69"/>
      <c r="AP30" s="69"/>
      <c r="AQ30" s="69"/>
      <c r="AR30" s="69"/>
      <c r="AS30" s="69"/>
      <c r="AT30" s="69"/>
      <c r="AU30" s="69"/>
      <c r="AV30" s="69"/>
      <c r="AW30" s="70"/>
      <c r="AX30" s="64"/>
      <c r="AY30" s="64"/>
      <c r="AZ30" s="64"/>
      <c r="BA30" s="64"/>
      <c r="BB30" s="64"/>
      <c r="BC30" s="65"/>
      <c r="BD30" s="67"/>
      <c r="BE30" s="64"/>
      <c r="BF30" s="64"/>
      <c r="BG30" s="64"/>
      <c r="BH30" s="64"/>
      <c r="BI30" s="64"/>
      <c r="BJ30" s="65"/>
      <c r="BK30" s="4"/>
    </row>
    <row r="31" spans="1:63" ht="15" customHeight="1" x14ac:dyDescent="0.25">
      <c r="A31" s="1"/>
      <c r="B31" s="17"/>
      <c r="C31" s="18"/>
      <c r="D31" s="18"/>
      <c r="E31" s="18"/>
      <c r="F31" s="18"/>
      <c r="G31" s="19"/>
      <c r="H31" s="17"/>
      <c r="I31" s="18"/>
      <c r="J31" s="18"/>
      <c r="K31" s="18"/>
      <c r="L31" s="18"/>
      <c r="M31" s="18"/>
      <c r="N31" s="19"/>
      <c r="O31" s="17"/>
      <c r="P31" s="18"/>
      <c r="Q31" s="18"/>
      <c r="R31" s="18"/>
      <c r="S31" s="59"/>
      <c r="T31" s="60"/>
      <c r="U31" s="60"/>
      <c r="V31" s="60"/>
      <c r="W31" s="60"/>
      <c r="X31" s="60"/>
      <c r="Y31" s="60"/>
      <c r="Z31" s="60"/>
      <c r="AA31" s="60"/>
      <c r="AB31" s="60"/>
      <c r="AC31" s="60"/>
      <c r="AD31" s="60"/>
      <c r="AE31" s="60"/>
      <c r="AF31" s="60"/>
      <c r="AG31" s="60"/>
      <c r="AH31" s="60"/>
      <c r="AI31" s="60"/>
      <c r="AJ31" s="60"/>
      <c r="AK31" s="60"/>
      <c r="AL31" s="60"/>
      <c r="AM31" s="60"/>
      <c r="AN31" s="60"/>
      <c r="AO31" s="60"/>
      <c r="AP31" s="60"/>
      <c r="AQ31" s="60"/>
      <c r="AR31" s="60"/>
      <c r="AS31" s="60"/>
      <c r="AT31" s="60"/>
      <c r="AU31" s="60"/>
      <c r="AV31" s="60"/>
      <c r="AW31" s="61"/>
      <c r="AX31" s="62"/>
      <c r="AY31" s="62"/>
      <c r="AZ31" s="62"/>
      <c r="BA31" s="62"/>
      <c r="BB31" s="62"/>
      <c r="BC31" s="63"/>
      <c r="BD31" s="66"/>
      <c r="BE31" s="62"/>
      <c r="BF31" s="62"/>
      <c r="BG31" s="62"/>
      <c r="BH31" s="62"/>
      <c r="BI31" s="62"/>
      <c r="BJ31" s="63"/>
      <c r="BK31" s="4"/>
    </row>
    <row r="32" spans="1:63" ht="15" customHeight="1" x14ac:dyDescent="0.25">
      <c r="A32" s="1"/>
      <c r="B32" s="23"/>
      <c r="C32" s="24"/>
      <c r="D32" s="24"/>
      <c r="E32" s="24"/>
      <c r="F32" s="24"/>
      <c r="G32" s="25"/>
      <c r="H32" s="23"/>
      <c r="I32" s="24"/>
      <c r="J32" s="24"/>
      <c r="K32" s="24"/>
      <c r="L32" s="24"/>
      <c r="M32" s="24"/>
      <c r="N32" s="25"/>
      <c r="O32" s="23"/>
      <c r="P32" s="24"/>
      <c r="Q32" s="24"/>
      <c r="R32" s="24"/>
      <c r="S32" s="68"/>
      <c r="T32" s="69"/>
      <c r="U32" s="69"/>
      <c r="V32" s="69"/>
      <c r="W32" s="69"/>
      <c r="X32" s="69"/>
      <c r="Y32" s="69"/>
      <c r="Z32" s="69"/>
      <c r="AA32" s="69"/>
      <c r="AB32" s="69"/>
      <c r="AC32" s="69"/>
      <c r="AD32" s="69"/>
      <c r="AE32" s="69"/>
      <c r="AF32" s="69"/>
      <c r="AG32" s="69"/>
      <c r="AH32" s="69"/>
      <c r="AI32" s="69"/>
      <c r="AJ32" s="69"/>
      <c r="AK32" s="69"/>
      <c r="AL32" s="69"/>
      <c r="AM32" s="69"/>
      <c r="AN32" s="69"/>
      <c r="AO32" s="69"/>
      <c r="AP32" s="69"/>
      <c r="AQ32" s="69"/>
      <c r="AR32" s="69"/>
      <c r="AS32" s="69"/>
      <c r="AT32" s="69"/>
      <c r="AU32" s="69"/>
      <c r="AV32" s="69"/>
      <c r="AW32" s="70"/>
      <c r="AX32" s="64"/>
      <c r="AY32" s="64"/>
      <c r="AZ32" s="64"/>
      <c r="BA32" s="64"/>
      <c r="BB32" s="64"/>
      <c r="BC32" s="65"/>
      <c r="BD32" s="67"/>
      <c r="BE32" s="64"/>
      <c r="BF32" s="64"/>
      <c r="BG32" s="64"/>
      <c r="BH32" s="64"/>
      <c r="BI32" s="64"/>
      <c r="BJ32" s="65"/>
      <c r="BK32" s="4"/>
    </row>
    <row r="33" spans="1:63" ht="15" customHeight="1" x14ac:dyDescent="0.25">
      <c r="A33" s="1"/>
      <c r="B33" s="17"/>
      <c r="C33" s="18"/>
      <c r="D33" s="18"/>
      <c r="E33" s="18"/>
      <c r="F33" s="18"/>
      <c r="G33" s="19"/>
      <c r="H33" s="17"/>
      <c r="I33" s="18"/>
      <c r="J33" s="18"/>
      <c r="K33" s="18"/>
      <c r="L33" s="18"/>
      <c r="M33" s="18"/>
      <c r="N33" s="19"/>
      <c r="O33" s="17"/>
      <c r="P33" s="18"/>
      <c r="Q33" s="18"/>
      <c r="R33" s="18"/>
      <c r="S33" s="59"/>
      <c r="T33" s="60"/>
      <c r="U33" s="60"/>
      <c r="V33" s="60"/>
      <c r="W33" s="60"/>
      <c r="X33" s="60"/>
      <c r="Y33" s="60"/>
      <c r="Z33" s="60"/>
      <c r="AA33" s="60"/>
      <c r="AB33" s="60"/>
      <c r="AC33" s="60"/>
      <c r="AD33" s="60"/>
      <c r="AE33" s="60"/>
      <c r="AF33" s="60"/>
      <c r="AG33" s="60"/>
      <c r="AH33" s="60"/>
      <c r="AI33" s="60"/>
      <c r="AJ33" s="60"/>
      <c r="AK33" s="60"/>
      <c r="AL33" s="60"/>
      <c r="AM33" s="60"/>
      <c r="AN33" s="60"/>
      <c r="AO33" s="60"/>
      <c r="AP33" s="60"/>
      <c r="AQ33" s="60"/>
      <c r="AR33" s="60"/>
      <c r="AS33" s="60"/>
      <c r="AT33" s="60"/>
      <c r="AU33" s="60"/>
      <c r="AV33" s="60"/>
      <c r="AW33" s="61"/>
      <c r="AX33" s="62"/>
      <c r="AY33" s="62"/>
      <c r="AZ33" s="62"/>
      <c r="BA33" s="62"/>
      <c r="BB33" s="62"/>
      <c r="BC33" s="63"/>
      <c r="BD33" s="66"/>
      <c r="BE33" s="62"/>
      <c r="BF33" s="62"/>
      <c r="BG33" s="62"/>
      <c r="BH33" s="62"/>
      <c r="BI33" s="62"/>
      <c r="BJ33" s="63"/>
      <c r="BK33" s="4"/>
    </row>
    <row r="34" spans="1:63" ht="15" customHeight="1" x14ac:dyDescent="0.25">
      <c r="A34" s="1"/>
      <c r="B34" s="23"/>
      <c r="C34" s="24"/>
      <c r="D34" s="24"/>
      <c r="E34" s="24"/>
      <c r="F34" s="24"/>
      <c r="G34" s="25"/>
      <c r="H34" s="23"/>
      <c r="I34" s="24"/>
      <c r="J34" s="24"/>
      <c r="K34" s="24"/>
      <c r="L34" s="24"/>
      <c r="M34" s="24"/>
      <c r="N34" s="25"/>
      <c r="O34" s="23"/>
      <c r="P34" s="24"/>
      <c r="Q34" s="24"/>
      <c r="R34" s="24"/>
      <c r="S34" s="68"/>
      <c r="T34" s="69"/>
      <c r="U34" s="69"/>
      <c r="V34" s="69"/>
      <c r="W34" s="69"/>
      <c r="X34" s="69"/>
      <c r="Y34" s="69"/>
      <c r="Z34" s="69"/>
      <c r="AA34" s="69"/>
      <c r="AB34" s="69"/>
      <c r="AC34" s="69"/>
      <c r="AD34" s="69"/>
      <c r="AE34" s="69"/>
      <c r="AF34" s="69"/>
      <c r="AG34" s="69"/>
      <c r="AH34" s="69"/>
      <c r="AI34" s="69"/>
      <c r="AJ34" s="69"/>
      <c r="AK34" s="69"/>
      <c r="AL34" s="69"/>
      <c r="AM34" s="69"/>
      <c r="AN34" s="69"/>
      <c r="AO34" s="69"/>
      <c r="AP34" s="69"/>
      <c r="AQ34" s="69"/>
      <c r="AR34" s="69"/>
      <c r="AS34" s="69"/>
      <c r="AT34" s="69"/>
      <c r="AU34" s="69"/>
      <c r="AV34" s="69"/>
      <c r="AW34" s="70"/>
      <c r="AX34" s="64"/>
      <c r="AY34" s="64"/>
      <c r="AZ34" s="64"/>
      <c r="BA34" s="64"/>
      <c r="BB34" s="64"/>
      <c r="BC34" s="65"/>
      <c r="BD34" s="67"/>
      <c r="BE34" s="64"/>
      <c r="BF34" s="64"/>
      <c r="BG34" s="64"/>
      <c r="BH34" s="64"/>
      <c r="BI34" s="64"/>
      <c r="BJ34" s="65"/>
      <c r="BK34" s="4"/>
    </row>
    <row r="35" spans="1:63" ht="15" customHeight="1" x14ac:dyDescent="0.25">
      <c r="A35" s="1"/>
      <c r="B35" s="17"/>
      <c r="C35" s="18"/>
      <c r="D35" s="18"/>
      <c r="E35" s="18"/>
      <c r="F35" s="18"/>
      <c r="G35" s="19"/>
      <c r="H35" s="17"/>
      <c r="I35" s="18"/>
      <c r="J35" s="18"/>
      <c r="K35" s="18"/>
      <c r="L35" s="18"/>
      <c r="M35" s="18"/>
      <c r="N35" s="19"/>
      <c r="O35" s="17"/>
      <c r="P35" s="18"/>
      <c r="Q35" s="18"/>
      <c r="R35" s="18"/>
      <c r="S35" s="59"/>
      <c r="T35" s="60"/>
      <c r="U35" s="60"/>
      <c r="V35" s="60"/>
      <c r="W35" s="60"/>
      <c r="X35" s="60"/>
      <c r="Y35" s="60"/>
      <c r="Z35" s="60"/>
      <c r="AA35" s="60"/>
      <c r="AB35" s="60"/>
      <c r="AC35" s="60"/>
      <c r="AD35" s="60"/>
      <c r="AE35" s="60"/>
      <c r="AF35" s="60"/>
      <c r="AG35" s="60"/>
      <c r="AH35" s="60"/>
      <c r="AI35" s="60"/>
      <c r="AJ35" s="60"/>
      <c r="AK35" s="60"/>
      <c r="AL35" s="60"/>
      <c r="AM35" s="60"/>
      <c r="AN35" s="60"/>
      <c r="AO35" s="60"/>
      <c r="AP35" s="60"/>
      <c r="AQ35" s="60"/>
      <c r="AR35" s="60"/>
      <c r="AS35" s="60"/>
      <c r="AT35" s="60"/>
      <c r="AU35" s="60"/>
      <c r="AV35" s="60"/>
      <c r="AW35" s="61"/>
      <c r="AX35" s="62"/>
      <c r="AY35" s="62"/>
      <c r="AZ35" s="62"/>
      <c r="BA35" s="62"/>
      <c r="BB35" s="62"/>
      <c r="BC35" s="63"/>
      <c r="BD35" s="66"/>
      <c r="BE35" s="62"/>
      <c r="BF35" s="62"/>
      <c r="BG35" s="62"/>
      <c r="BH35" s="62"/>
      <c r="BI35" s="62"/>
      <c r="BJ35" s="63"/>
      <c r="BK35" s="4"/>
    </row>
    <row r="36" spans="1:63" ht="15" customHeight="1" x14ac:dyDescent="0.25">
      <c r="A36" s="1"/>
      <c r="B36" s="23"/>
      <c r="C36" s="24"/>
      <c r="D36" s="24"/>
      <c r="E36" s="24"/>
      <c r="F36" s="24"/>
      <c r="G36" s="25"/>
      <c r="H36" s="23"/>
      <c r="I36" s="24"/>
      <c r="J36" s="24"/>
      <c r="K36" s="24"/>
      <c r="L36" s="24"/>
      <c r="M36" s="24"/>
      <c r="N36" s="25"/>
      <c r="O36" s="23"/>
      <c r="P36" s="24"/>
      <c r="Q36" s="24"/>
      <c r="R36" s="24"/>
      <c r="S36" s="68"/>
      <c r="T36" s="69"/>
      <c r="U36" s="69"/>
      <c r="V36" s="69"/>
      <c r="W36" s="69"/>
      <c r="X36" s="69"/>
      <c r="Y36" s="69"/>
      <c r="Z36" s="69"/>
      <c r="AA36" s="69"/>
      <c r="AB36" s="69"/>
      <c r="AC36" s="69"/>
      <c r="AD36" s="69"/>
      <c r="AE36" s="69"/>
      <c r="AF36" s="69"/>
      <c r="AG36" s="69"/>
      <c r="AH36" s="69"/>
      <c r="AI36" s="69"/>
      <c r="AJ36" s="69"/>
      <c r="AK36" s="69"/>
      <c r="AL36" s="69"/>
      <c r="AM36" s="69"/>
      <c r="AN36" s="69"/>
      <c r="AO36" s="69"/>
      <c r="AP36" s="69"/>
      <c r="AQ36" s="69"/>
      <c r="AR36" s="69"/>
      <c r="AS36" s="69"/>
      <c r="AT36" s="69"/>
      <c r="AU36" s="69"/>
      <c r="AV36" s="69"/>
      <c r="AW36" s="70"/>
      <c r="AX36" s="64"/>
      <c r="AY36" s="64"/>
      <c r="AZ36" s="64"/>
      <c r="BA36" s="64"/>
      <c r="BB36" s="64"/>
      <c r="BC36" s="65"/>
      <c r="BD36" s="67"/>
      <c r="BE36" s="64"/>
      <c r="BF36" s="64"/>
      <c r="BG36" s="64"/>
      <c r="BH36" s="64"/>
      <c r="BI36" s="64"/>
      <c r="BJ36" s="65"/>
      <c r="BK36" s="4"/>
    </row>
    <row r="37" spans="1:63" ht="15" customHeight="1" x14ac:dyDescent="0.25">
      <c r="A37" s="1"/>
      <c r="B37" s="17"/>
      <c r="C37" s="18"/>
      <c r="D37" s="18"/>
      <c r="E37" s="18"/>
      <c r="F37" s="18"/>
      <c r="G37" s="19"/>
      <c r="H37" s="17"/>
      <c r="I37" s="18"/>
      <c r="J37" s="18"/>
      <c r="K37" s="18"/>
      <c r="L37" s="18"/>
      <c r="M37" s="18"/>
      <c r="N37" s="19"/>
      <c r="O37" s="17"/>
      <c r="P37" s="18"/>
      <c r="Q37" s="18"/>
      <c r="R37" s="18"/>
      <c r="S37" s="59"/>
      <c r="T37" s="60"/>
      <c r="U37" s="60"/>
      <c r="V37" s="60"/>
      <c r="W37" s="60"/>
      <c r="X37" s="60"/>
      <c r="Y37" s="60"/>
      <c r="Z37" s="60"/>
      <c r="AA37" s="60"/>
      <c r="AB37" s="60"/>
      <c r="AC37" s="60"/>
      <c r="AD37" s="60"/>
      <c r="AE37" s="60"/>
      <c r="AF37" s="60"/>
      <c r="AG37" s="60"/>
      <c r="AH37" s="60"/>
      <c r="AI37" s="60"/>
      <c r="AJ37" s="60"/>
      <c r="AK37" s="60"/>
      <c r="AL37" s="60"/>
      <c r="AM37" s="60"/>
      <c r="AN37" s="60"/>
      <c r="AO37" s="60"/>
      <c r="AP37" s="60"/>
      <c r="AQ37" s="60"/>
      <c r="AR37" s="60"/>
      <c r="AS37" s="60"/>
      <c r="AT37" s="60"/>
      <c r="AU37" s="60"/>
      <c r="AV37" s="60"/>
      <c r="AW37" s="61"/>
      <c r="AX37" s="62"/>
      <c r="AY37" s="62"/>
      <c r="AZ37" s="62"/>
      <c r="BA37" s="62"/>
      <c r="BB37" s="62"/>
      <c r="BC37" s="63"/>
      <c r="BD37" s="66"/>
      <c r="BE37" s="62"/>
      <c r="BF37" s="62"/>
      <c r="BG37" s="62"/>
      <c r="BH37" s="62"/>
      <c r="BI37" s="62"/>
      <c r="BJ37" s="63"/>
      <c r="BK37" s="4"/>
    </row>
    <row r="38" spans="1:63" ht="15" customHeight="1" x14ac:dyDescent="0.25">
      <c r="A38" s="1"/>
      <c r="B38" s="23"/>
      <c r="C38" s="24"/>
      <c r="D38" s="24"/>
      <c r="E38" s="24"/>
      <c r="F38" s="24"/>
      <c r="G38" s="25"/>
      <c r="H38" s="23"/>
      <c r="I38" s="24"/>
      <c r="J38" s="24"/>
      <c r="K38" s="24"/>
      <c r="L38" s="24"/>
      <c r="M38" s="24"/>
      <c r="N38" s="25"/>
      <c r="O38" s="23"/>
      <c r="P38" s="24"/>
      <c r="Q38" s="24"/>
      <c r="R38" s="24"/>
      <c r="S38" s="68"/>
      <c r="T38" s="69"/>
      <c r="U38" s="69"/>
      <c r="V38" s="69"/>
      <c r="W38" s="69"/>
      <c r="X38" s="69"/>
      <c r="Y38" s="69"/>
      <c r="Z38" s="69"/>
      <c r="AA38" s="69"/>
      <c r="AB38" s="69"/>
      <c r="AC38" s="69"/>
      <c r="AD38" s="69"/>
      <c r="AE38" s="69"/>
      <c r="AF38" s="69"/>
      <c r="AG38" s="69"/>
      <c r="AH38" s="69"/>
      <c r="AI38" s="69"/>
      <c r="AJ38" s="69"/>
      <c r="AK38" s="69"/>
      <c r="AL38" s="69"/>
      <c r="AM38" s="69"/>
      <c r="AN38" s="69"/>
      <c r="AO38" s="69"/>
      <c r="AP38" s="69"/>
      <c r="AQ38" s="69"/>
      <c r="AR38" s="69"/>
      <c r="AS38" s="69"/>
      <c r="AT38" s="69"/>
      <c r="AU38" s="69"/>
      <c r="AV38" s="69"/>
      <c r="AW38" s="70"/>
      <c r="AX38" s="64"/>
      <c r="AY38" s="64"/>
      <c r="AZ38" s="64"/>
      <c r="BA38" s="64"/>
      <c r="BB38" s="64"/>
      <c r="BC38" s="65"/>
      <c r="BD38" s="67"/>
      <c r="BE38" s="64"/>
      <c r="BF38" s="64"/>
      <c r="BG38" s="64"/>
      <c r="BH38" s="64"/>
      <c r="BI38" s="64"/>
      <c r="BJ38" s="65"/>
      <c r="BK38" s="4"/>
    </row>
    <row r="39" spans="1:63" ht="15" customHeight="1" x14ac:dyDescent="0.25">
      <c r="A39" s="1"/>
      <c r="B39" s="17"/>
      <c r="C39" s="18"/>
      <c r="D39" s="18"/>
      <c r="E39" s="18"/>
      <c r="F39" s="18"/>
      <c r="G39" s="19"/>
      <c r="H39" s="17"/>
      <c r="I39" s="18"/>
      <c r="J39" s="18"/>
      <c r="K39" s="18"/>
      <c r="L39" s="18"/>
      <c r="M39" s="18"/>
      <c r="N39" s="19"/>
      <c r="O39" s="17"/>
      <c r="P39" s="18"/>
      <c r="Q39" s="18"/>
      <c r="R39" s="18"/>
      <c r="S39" s="59"/>
      <c r="T39" s="60"/>
      <c r="U39" s="60"/>
      <c r="V39" s="60"/>
      <c r="W39" s="60"/>
      <c r="X39" s="60"/>
      <c r="Y39" s="60"/>
      <c r="Z39" s="60"/>
      <c r="AA39" s="60"/>
      <c r="AB39" s="60"/>
      <c r="AC39" s="60"/>
      <c r="AD39" s="60"/>
      <c r="AE39" s="60"/>
      <c r="AF39" s="60"/>
      <c r="AG39" s="60"/>
      <c r="AH39" s="60"/>
      <c r="AI39" s="60"/>
      <c r="AJ39" s="60"/>
      <c r="AK39" s="60"/>
      <c r="AL39" s="60"/>
      <c r="AM39" s="60"/>
      <c r="AN39" s="60"/>
      <c r="AO39" s="60"/>
      <c r="AP39" s="60"/>
      <c r="AQ39" s="60"/>
      <c r="AR39" s="60"/>
      <c r="AS39" s="60"/>
      <c r="AT39" s="60"/>
      <c r="AU39" s="60"/>
      <c r="AV39" s="60"/>
      <c r="AW39" s="61"/>
      <c r="AX39" s="62"/>
      <c r="AY39" s="62"/>
      <c r="AZ39" s="62"/>
      <c r="BA39" s="62"/>
      <c r="BB39" s="62"/>
      <c r="BC39" s="63"/>
      <c r="BD39" s="66"/>
      <c r="BE39" s="62"/>
      <c r="BF39" s="62"/>
      <c r="BG39" s="62"/>
      <c r="BH39" s="62"/>
      <c r="BI39" s="62"/>
      <c r="BJ39" s="63"/>
      <c r="BK39" s="4"/>
    </row>
    <row r="40" spans="1:63" ht="15" customHeight="1" x14ac:dyDescent="0.25">
      <c r="A40" s="1"/>
      <c r="B40" s="23"/>
      <c r="C40" s="24"/>
      <c r="D40" s="24"/>
      <c r="E40" s="24"/>
      <c r="F40" s="24"/>
      <c r="G40" s="25"/>
      <c r="H40" s="23"/>
      <c r="I40" s="24"/>
      <c r="J40" s="24"/>
      <c r="K40" s="24"/>
      <c r="L40" s="24"/>
      <c r="M40" s="24"/>
      <c r="N40" s="25"/>
      <c r="O40" s="23"/>
      <c r="P40" s="24"/>
      <c r="Q40" s="24"/>
      <c r="R40" s="24"/>
      <c r="S40" s="68"/>
      <c r="T40" s="69"/>
      <c r="U40" s="69"/>
      <c r="V40" s="69"/>
      <c r="W40" s="69"/>
      <c r="X40" s="69"/>
      <c r="Y40" s="69"/>
      <c r="Z40" s="69"/>
      <c r="AA40" s="69"/>
      <c r="AB40" s="69"/>
      <c r="AC40" s="69"/>
      <c r="AD40" s="69"/>
      <c r="AE40" s="69"/>
      <c r="AF40" s="69"/>
      <c r="AG40" s="69"/>
      <c r="AH40" s="69"/>
      <c r="AI40" s="69"/>
      <c r="AJ40" s="69"/>
      <c r="AK40" s="69"/>
      <c r="AL40" s="69"/>
      <c r="AM40" s="69"/>
      <c r="AN40" s="69"/>
      <c r="AO40" s="69"/>
      <c r="AP40" s="69"/>
      <c r="AQ40" s="69"/>
      <c r="AR40" s="69"/>
      <c r="AS40" s="69"/>
      <c r="AT40" s="69"/>
      <c r="AU40" s="69"/>
      <c r="AV40" s="69"/>
      <c r="AW40" s="70"/>
      <c r="AX40" s="64"/>
      <c r="AY40" s="64"/>
      <c r="AZ40" s="64"/>
      <c r="BA40" s="64"/>
      <c r="BB40" s="64"/>
      <c r="BC40" s="65"/>
      <c r="BD40" s="67"/>
      <c r="BE40" s="64"/>
      <c r="BF40" s="64"/>
      <c r="BG40" s="64"/>
      <c r="BH40" s="64"/>
      <c r="BI40" s="64"/>
      <c r="BJ40" s="65"/>
      <c r="BK40" s="4"/>
    </row>
    <row r="41" spans="1:63" ht="15" customHeight="1" x14ac:dyDescent="0.25">
      <c r="A41" s="1"/>
      <c r="B41" s="17"/>
      <c r="C41" s="18"/>
      <c r="D41" s="18"/>
      <c r="E41" s="18"/>
      <c r="F41" s="18"/>
      <c r="G41" s="19"/>
      <c r="H41" s="17"/>
      <c r="I41" s="18"/>
      <c r="J41" s="18"/>
      <c r="K41" s="18"/>
      <c r="L41" s="18"/>
      <c r="M41" s="18"/>
      <c r="N41" s="19"/>
      <c r="O41" s="17"/>
      <c r="P41" s="18"/>
      <c r="Q41" s="18"/>
      <c r="R41" s="18"/>
      <c r="S41" s="59"/>
      <c r="T41" s="60"/>
      <c r="U41" s="60"/>
      <c r="V41" s="60"/>
      <c r="W41" s="60"/>
      <c r="X41" s="60"/>
      <c r="Y41" s="60"/>
      <c r="Z41" s="60"/>
      <c r="AA41" s="60"/>
      <c r="AB41" s="60"/>
      <c r="AC41" s="60"/>
      <c r="AD41" s="60"/>
      <c r="AE41" s="60"/>
      <c r="AF41" s="60"/>
      <c r="AG41" s="60"/>
      <c r="AH41" s="60"/>
      <c r="AI41" s="60"/>
      <c r="AJ41" s="60"/>
      <c r="AK41" s="60"/>
      <c r="AL41" s="60"/>
      <c r="AM41" s="60"/>
      <c r="AN41" s="60"/>
      <c r="AO41" s="60"/>
      <c r="AP41" s="60"/>
      <c r="AQ41" s="60"/>
      <c r="AR41" s="60"/>
      <c r="AS41" s="60"/>
      <c r="AT41" s="60"/>
      <c r="AU41" s="60"/>
      <c r="AV41" s="60"/>
      <c r="AW41" s="61"/>
      <c r="AX41" s="62"/>
      <c r="AY41" s="62"/>
      <c r="AZ41" s="62"/>
      <c r="BA41" s="62"/>
      <c r="BB41" s="62"/>
      <c r="BC41" s="63"/>
      <c r="BD41" s="66"/>
      <c r="BE41" s="62"/>
      <c r="BF41" s="62"/>
      <c r="BG41" s="62"/>
      <c r="BH41" s="62"/>
      <c r="BI41" s="62"/>
      <c r="BJ41" s="63"/>
      <c r="BK41" s="4"/>
    </row>
    <row r="42" spans="1:63" ht="15" customHeight="1" x14ac:dyDescent="0.25">
      <c r="A42" s="1"/>
      <c r="B42" s="23"/>
      <c r="C42" s="24"/>
      <c r="D42" s="24"/>
      <c r="E42" s="24"/>
      <c r="F42" s="24"/>
      <c r="G42" s="25"/>
      <c r="H42" s="23"/>
      <c r="I42" s="24"/>
      <c r="J42" s="24"/>
      <c r="K42" s="24"/>
      <c r="L42" s="24"/>
      <c r="M42" s="24"/>
      <c r="N42" s="25"/>
      <c r="O42" s="23"/>
      <c r="P42" s="24"/>
      <c r="Q42" s="24"/>
      <c r="R42" s="24"/>
      <c r="S42" s="68"/>
      <c r="T42" s="69"/>
      <c r="U42" s="69"/>
      <c r="V42" s="69"/>
      <c r="W42" s="69"/>
      <c r="X42" s="69"/>
      <c r="Y42" s="69"/>
      <c r="Z42" s="69"/>
      <c r="AA42" s="69"/>
      <c r="AB42" s="69"/>
      <c r="AC42" s="69"/>
      <c r="AD42" s="69"/>
      <c r="AE42" s="69"/>
      <c r="AF42" s="69"/>
      <c r="AG42" s="69"/>
      <c r="AH42" s="69"/>
      <c r="AI42" s="69"/>
      <c r="AJ42" s="69"/>
      <c r="AK42" s="69"/>
      <c r="AL42" s="69"/>
      <c r="AM42" s="69"/>
      <c r="AN42" s="69"/>
      <c r="AO42" s="69"/>
      <c r="AP42" s="69"/>
      <c r="AQ42" s="69"/>
      <c r="AR42" s="69"/>
      <c r="AS42" s="69"/>
      <c r="AT42" s="69"/>
      <c r="AU42" s="69"/>
      <c r="AV42" s="69"/>
      <c r="AW42" s="70"/>
      <c r="AX42" s="64"/>
      <c r="AY42" s="64"/>
      <c r="AZ42" s="64"/>
      <c r="BA42" s="64"/>
      <c r="BB42" s="64"/>
      <c r="BC42" s="65"/>
      <c r="BD42" s="67"/>
      <c r="BE42" s="64"/>
      <c r="BF42" s="64"/>
      <c r="BG42" s="64"/>
      <c r="BH42" s="64"/>
      <c r="BI42" s="64"/>
      <c r="BJ42" s="65"/>
      <c r="BK42" s="4"/>
    </row>
    <row r="43" spans="1:63" ht="15" customHeight="1" x14ac:dyDescent="0.25">
      <c r="A43" s="1"/>
      <c r="B43" s="17"/>
      <c r="C43" s="18"/>
      <c r="D43" s="18"/>
      <c r="E43" s="18"/>
      <c r="F43" s="18"/>
      <c r="G43" s="19"/>
      <c r="H43" s="17"/>
      <c r="I43" s="18"/>
      <c r="J43" s="18"/>
      <c r="K43" s="18"/>
      <c r="L43" s="18"/>
      <c r="M43" s="18"/>
      <c r="N43" s="19"/>
      <c r="O43" s="17"/>
      <c r="P43" s="18"/>
      <c r="Q43" s="18"/>
      <c r="R43" s="18"/>
      <c r="S43" s="59"/>
      <c r="T43" s="60"/>
      <c r="U43" s="60"/>
      <c r="V43" s="60"/>
      <c r="W43" s="60"/>
      <c r="X43" s="60"/>
      <c r="Y43" s="60"/>
      <c r="Z43" s="60"/>
      <c r="AA43" s="60"/>
      <c r="AB43" s="60"/>
      <c r="AC43" s="60"/>
      <c r="AD43" s="60"/>
      <c r="AE43" s="60"/>
      <c r="AF43" s="60"/>
      <c r="AG43" s="60"/>
      <c r="AH43" s="60"/>
      <c r="AI43" s="60"/>
      <c r="AJ43" s="60"/>
      <c r="AK43" s="60"/>
      <c r="AL43" s="60"/>
      <c r="AM43" s="60"/>
      <c r="AN43" s="60"/>
      <c r="AO43" s="60"/>
      <c r="AP43" s="60"/>
      <c r="AQ43" s="60"/>
      <c r="AR43" s="60"/>
      <c r="AS43" s="60"/>
      <c r="AT43" s="60"/>
      <c r="AU43" s="60"/>
      <c r="AV43" s="60"/>
      <c r="AW43" s="61"/>
      <c r="AX43" s="62"/>
      <c r="AY43" s="62"/>
      <c r="AZ43" s="62"/>
      <c r="BA43" s="62"/>
      <c r="BB43" s="62"/>
      <c r="BC43" s="63"/>
      <c r="BD43" s="66"/>
      <c r="BE43" s="62"/>
      <c r="BF43" s="62"/>
      <c r="BG43" s="62"/>
      <c r="BH43" s="62"/>
      <c r="BI43" s="62"/>
      <c r="BJ43" s="63"/>
      <c r="BK43" s="4"/>
    </row>
    <row r="44" spans="1:63" ht="15" customHeight="1" x14ac:dyDescent="0.25">
      <c r="A44" s="1"/>
      <c r="B44" s="23"/>
      <c r="C44" s="24"/>
      <c r="D44" s="24"/>
      <c r="E44" s="24"/>
      <c r="F44" s="24"/>
      <c r="G44" s="25"/>
      <c r="H44" s="23"/>
      <c r="I44" s="24"/>
      <c r="J44" s="24"/>
      <c r="K44" s="24"/>
      <c r="L44" s="24"/>
      <c r="M44" s="24"/>
      <c r="N44" s="25"/>
      <c r="O44" s="23"/>
      <c r="P44" s="24"/>
      <c r="Q44" s="24"/>
      <c r="R44" s="24"/>
      <c r="S44" s="68"/>
      <c r="T44" s="69"/>
      <c r="U44" s="69"/>
      <c r="V44" s="69"/>
      <c r="W44" s="69"/>
      <c r="X44" s="69"/>
      <c r="Y44" s="69"/>
      <c r="Z44" s="69"/>
      <c r="AA44" s="69"/>
      <c r="AB44" s="69"/>
      <c r="AC44" s="69"/>
      <c r="AD44" s="69"/>
      <c r="AE44" s="69"/>
      <c r="AF44" s="69"/>
      <c r="AG44" s="69"/>
      <c r="AH44" s="69"/>
      <c r="AI44" s="69"/>
      <c r="AJ44" s="69"/>
      <c r="AK44" s="69"/>
      <c r="AL44" s="69"/>
      <c r="AM44" s="69"/>
      <c r="AN44" s="69"/>
      <c r="AO44" s="69"/>
      <c r="AP44" s="69"/>
      <c r="AQ44" s="69"/>
      <c r="AR44" s="69"/>
      <c r="AS44" s="69"/>
      <c r="AT44" s="69"/>
      <c r="AU44" s="69"/>
      <c r="AV44" s="69"/>
      <c r="AW44" s="70"/>
      <c r="AX44" s="64"/>
      <c r="AY44" s="64"/>
      <c r="AZ44" s="64"/>
      <c r="BA44" s="64"/>
      <c r="BB44" s="64"/>
      <c r="BC44" s="65"/>
      <c r="BD44" s="67"/>
      <c r="BE44" s="64"/>
      <c r="BF44" s="64"/>
      <c r="BG44" s="64"/>
      <c r="BH44" s="64"/>
      <c r="BI44" s="64"/>
      <c r="BJ44" s="65"/>
      <c r="BK44" s="4"/>
    </row>
    <row r="45" spans="1:63" ht="15" customHeight="1" x14ac:dyDescent="0.25">
      <c r="A45" s="1"/>
      <c r="B45" s="17"/>
      <c r="C45" s="18"/>
      <c r="D45" s="18"/>
      <c r="E45" s="18"/>
      <c r="F45" s="18"/>
      <c r="G45" s="19"/>
      <c r="H45" s="17"/>
      <c r="I45" s="18"/>
      <c r="J45" s="18"/>
      <c r="K45" s="18"/>
      <c r="L45" s="18"/>
      <c r="M45" s="18"/>
      <c r="N45" s="19"/>
      <c r="O45" s="17"/>
      <c r="P45" s="18"/>
      <c r="Q45" s="18"/>
      <c r="R45" s="18"/>
      <c r="S45" s="59"/>
      <c r="T45" s="60"/>
      <c r="U45" s="60"/>
      <c r="V45" s="60"/>
      <c r="W45" s="60"/>
      <c r="X45" s="60"/>
      <c r="Y45" s="60"/>
      <c r="Z45" s="60"/>
      <c r="AA45" s="60"/>
      <c r="AB45" s="60"/>
      <c r="AC45" s="60"/>
      <c r="AD45" s="60"/>
      <c r="AE45" s="60"/>
      <c r="AF45" s="60"/>
      <c r="AG45" s="60"/>
      <c r="AH45" s="60"/>
      <c r="AI45" s="60"/>
      <c r="AJ45" s="60"/>
      <c r="AK45" s="60"/>
      <c r="AL45" s="60"/>
      <c r="AM45" s="60"/>
      <c r="AN45" s="60"/>
      <c r="AO45" s="60"/>
      <c r="AP45" s="60"/>
      <c r="AQ45" s="60"/>
      <c r="AR45" s="60"/>
      <c r="AS45" s="60"/>
      <c r="AT45" s="60"/>
      <c r="AU45" s="60"/>
      <c r="AV45" s="60"/>
      <c r="AW45" s="61"/>
      <c r="AX45" s="62"/>
      <c r="AY45" s="62"/>
      <c r="AZ45" s="62"/>
      <c r="BA45" s="62"/>
      <c r="BB45" s="62"/>
      <c r="BC45" s="63"/>
      <c r="BD45" s="66"/>
      <c r="BE45" s="62"/>
      <c r="BF45" s="62"/>
      <c r="BG45" s="62"/>
      <c r="BH45" s="62"/>
      <c r="BI45" s="62"/>
      <c r="BJ45" s="63"/>
      <c r="BK45" s="4"/>
    </row>
    <row r="46" spans="1:63" ht="15" customHeight="1" x14ac:dyDescent="0.25">
      <c r="A46" s="1"/>
      <c r="B46" s="23"/>
      <c r="C46" s="24"/>
      <c r="D46" s="24"/>
      <c r="E46" s="24"/>
      <c r="F46" s="24"/>
      <c r="G46" s="25"/>
      <c r="H46" s="23"/>
      <c r="I46" s="24"/>
      <c r="J46" s="24"/>
      <c r="K46" s="24"/>
      <c r="L46" s="24"/>
      <c r="M46" s="24"/>
      <c r="N46" s="25"/>
      <c r="O46" s="23"/>
      <c r="P46" s="24"/>
      <c r="Q46" s="24"/>
      <c r="R46" s="24"/>
      <c r="S46" s="68"/>
      <c r="T46" s="69"/>
      <c r="U46" s="69"/>
      <c r="V46" s="69"/>
      <c r="W46" s="69"/>
      <c r="X46" s="69"/>
      <c r="Y46" s="69"/>
      <c r="Z46" s="69"/>
      <c r="AA46" s="69"/>
      <c r="AB46" s="69"/>
      <c r="AC46" s="69"/>
      <c r="AD46" s="69"/>
      <c r="AE46" s="69"/>
      <c r="AF46" s="69"/>
      <c r="AG46" s="69"/>
      <c r="AH46" s="69"/>
      <c r="AI46" s="69"/>
      <c r="AJ46" s="69"/>
      <c r="AK46" s="69"/>
      <c r="AL46" s="69"/>
      <c r="AM46" s="69"/>
      <c r="AN46" s="69"/>
      <c r="AO46" s="69"/>
      <c r="AP46" s="69"/>
      <c r="AQ46" s="69"/>
      <c r="AR46" s="69"/>
      <c r="AS46" s="69"/>
      <c r="AT46" s="69"/>
      <c r="AU46" s="69"/>
      <c r="AV46" s="69"/>
      <c r="AW46" s="70"/>
      <c r="AX46" s="64"/>
      <c r="AY46" s="64"/>
      <c r="AZ46" s="64"/>
      <c r="BA46" s="64"/>
      <c r="BB46" s="64"/>
      <c r="BC46" s="65"/>
      <c r="BD46" s="67"/>
      <c r="BE46" s="64"/>
      <c r="BF46" s="64"/>
      <c r="BG46" s="64"/>
      <c r="BH46" s="64"/>
      <c r="BI46" s="64"/>
      <c r="BJ46" s="65"/>
      <c r="BK46" s="4"/>
    </row>
    <row r="47" spans="1:63" ht="15" customHeight="1" x14ac:dyDescent="0.25">
      <c r="A47" s="1"/>
      <c r="B47" s="17"/>
      <c r="C47" s="18"/>
      <c r="D47" s="18"/>
      <c r="E47" s="18"/>
      <c r="F47" s="18"/>
      <c r="G47" s="19"/>
      <c r="H47" s="17"/>
      <c r="I47" s="18"/>
      <c r="J47" s="18"/>
      <c r="K47" s="18"/>
      <c r="L47" s="18"/>
      <c r="M47" s="18"/>
      <c r="N47" s="19"/>
      <c r="O47" s="17"/>
      <c r="P47" s="18"/>
      <c r="Q47" s="18"/>
      <c r="R47" s="18"/>
      <c r="S47" s="59"/>
      <c r="T47" s="60"/>
      <c r="U47" s="60"/>
      <c r="V47" s="60"/>
      <c r="W47" s="60"/>
      <c r="X47" s="60"/>
      <c r="Y47" s="60"/>
      <c r="Z47" s="60"/>
      <c r="AA47" s="60"/>
      <c r="AB47" s="60"/>
      <c r="AC47" s="60"/>
      <c r="AD47" s="60"/>
      <c r="AE47" s="60"/>
      <c r="AF47" s="60"/>
      <c r="AG47" s="60"/>
      <c r="AH47" s="60"/>
      <c r="AI47" s="60"/>
      <c r="AJ47" s="60"/>
      <c r="AK47" s="60"/>
      <c r="AL47" s="60"/>
      <c r="AM47" s="60"/>
      <c r="AN47" s="60"/>
      <c r="AO47" s="60"/>
      <c r="AP47" s="60"/>
      <c r="AQ47" s="60"/>
      <c r="AR47" s="60"/>
      <c r="AS47" s="60"/>
      <c r="AT47" s="60"/>
      <c r="AU47" s="60"/>
      <c r="AV47" s="60"/>
      <c r="AW47" s="61"/>
      <c r="AX47" s="62"/>
      <c r="AY47" s="62"/>
      <c r="AZ47" s="62"/>
      <c r="BA47" s="62"/>
      <c r="BB47" s="62"/>
      <c r="BC47" s="63"/>
      <c r="BD47" s="66"/>
      <c r="BE47" s="62"/>
      <c r="BF47" s="62"/>
      <c r="BG47" s="62"/>
      <c r="BH47" s="62"/>
      <c r="BI47" s="62"/>
      <c r="BJ47" s="63"/>
      <c r="BK47" s="4"/>
    </row>
    <row r="48" spans="1:63" ht="15" customHeight="1" x14ac:dyDescent="0.25">
      <c r="A48" s="1"/>
      <c r="B48" s="23"/>
      <c r="C48" s="24"/>
      <c r="D48" s="24"/>
      <c r="E48" s="24"/>
      <c r="F48" s="24"/>
      <c r="G48" s="25"/>
      <c r="H48" s="23"/>
      <c r="I48" s="24"/>
      <c r="J48" s="24"/>
      <c r="K48" s="24"/>
      <c r="L48" s="24"/>
      <c r="M48" s="24"/>
      <c r="N48" s="25"/>
      <c r="O48" s="23"/>
      <c r="P48" s="24"/>
      <c r="Q48" s="24"/>
      <c r="R48" s="24"/>
      <c r="S48" s="68"/>
      <c r="T48" s="69"/>
      <c r="U48" s="69"/>
      <c r="V48" s="69"/>
      <c r="W48" s="69"/>
      <c r="X48" s="69"/>
      <c r="Y48" s="69"/>
      <c r="Z48" s="69"/>
      <c r="AA48" s="69"/>
      <c r="AB48" s="69"/>
      <c r="AC48" s="69"/>
      <c r="AD48" s="69"/>
      <c r="AE48" s="69"/>
      <c r="AF48" s="69"/>
      <c r="AG48" s="69"/>
      <c r="AH48" s="69"/>
      <c r="AI48" s="69"/>
      <c r="AJ48" s="69"/>
      <c r="AK48" s="69"/>
      <c r="AL48" s="69"/>
      <c r="AM48" s="69"/>
      <c r="AN48" s="69"/>
      <c r="AO48" s="69"/>
      <c r="AP48" s="69"/>
      <c r="AQ48" s="69"/>
      <c r="AR48" s="69"/>
      <c r="AS48" s="69"/>
      <c r="AT48" s="69"/>
      <c r="AU48" s="69"/>
      <c r="AV48" s="69"/>
      <c r="AW48" s="70"/>
      <c r="AX48" s="64"/>
      <c r="AY48" s="64"/>
      <c r="AZ48" s="64"/>
      <c r="BA48" s="64"/>
      <c r="BB48" s="64"/>
      <c r="BC48" s="65"/>
      <c r="BD48" s="67"/>
      <c r="BE48" s="64"/>
      <c r="BF48" s="64"/>
      <c r="BG48" s="64"/>
      <c r="BH48" s="64"/>
      <c r="BI48" s="64"/>
      <c r="BJ48" s="65"/>
      <c r="BK48" s="4"/>
    </row>
    <row r="49" spans="1:63" ht="15" customHeight="1" x14ac:dyDescent="0.25">
      <c r="A49" s="1"/>
      <c r="B49" s="17"/>
      <c r="C49" s="18"/>
      <c r="D49" s="18"/>
      <c r="E49" s="18"/>
      <c r="F49" s="18"/>
      <c r="G49" s="19"/>
      <c r="H49" s="17"/>
      <c r="I49" s="18"/>
      <c r="J49" s="18"/>
      <c r="K49" s="18"/>
      <c r="L49" s="18"/>
      <c r="M49" s="18"/>
      <c r="N49" s="19"/>
      <c r="O49" s="17"/>
      <c r="P49" s="18"/>
      <c r="Q49" s="18"/>
      <c r="R49" s="18"/>
      <c r="S49" s="59"/>
      <c r="T49" s="60"/>
      <c r="U49" s="60"/>
      <c r="V49" s="60"/>
      <c r="W49" s="60"/>
      <c r="X49" s="60"/>
      <c r="Y49" s="60"/>
      <c r="Z49" s="60"/>
      <c r="AA49" s="60"/>
      <c r="AB49" s="60"/>
      <c r="AC49" s="60"/>
      <c r="AD49" s="60"/>
      <c r="AE49" s="60"/>
      <c r="AF49" s="60"/>
      <c r="AG49" s="60"/>
      <c r="AH49" s="60"/>
      <c r="AI49" s="60"/>
      <c r="AJ49" s="60"/>
      <c r="AK49" s="60"/>
      <c r="AL49" s="60"/>
      <c r="AM49" s="60"/>
      <c r="AN49" s="60"/>
      <c r="AO49" s="60"/>
      <c r="AP49" s="60"/>
      <c r="AQ49" s="60"/>
      <c r="AR49" s="60"/>
      <c r="AS49" s="60"/>
      <c r="AT49" s="60"/>
      <c r="AU49" s="60"/>
      <c r="AV49" s="60"/>
      <c r="AW49" s="61"/>
      <c r="AX49" s="62"/>
      <c r="AY49" s="62"/>
      <c r="AZ49" s="62"/>
      <c r="BA49" s="62"/>
      <c r="BB49" s="62"/>
      <c r="BC49" s="63"/>
      <c r="BD49" s="66"/>
      <c r="BE49" s="62"/>
      <c r="BF49" s="62"/>
      <c r="BG49" s="62"/>
      <c r="BH49" s="62"/>
      <c r="BI49" s="62"/>
      <c r="BJ49" s="63"/>
      <c r="BK49" s="4"/>
    </row>
    <row r="50" spans="1:63" ht="15" customHeight="1" x14ac:dyDescent="0.25">
      <c r="A50" s="1"/>
      <c r="B50" s="23"/>
      <c r="C50" s="24"/>
      <c r="D50" s="24"/>
      <c r="E50" s="24"/>
      <c r="F50" s="24"/>
      <c r="G50" s="25"/>
      <c r="H50" s="23"/>
      <c r="I50" s="24"/>
      <c r="J50" s="24"/>
      <c r="K50" s="24"/>
      <c r="L50" s="24"/>
      <c r="M50" s="24"/>
      <c r="N50" s="25"/>
      <c r="O50" s="23"/>
      <c r="P50" s="24"/>
      <c r="Q50" s="24"/>
      <c r="R50" s="24"/>
      <c r="S50" s="68"/>
      <c r="T50" s="69"/>
      <c r="U50" s="69"/>
      <c r="V50" s="69"/>
      <c r="W50" s="69"/>
      <c r="X50" s="69"/>
      <c r="Y50" s="69"/>
      <c r="Z50" s="69"/>
      <c r="AA50" s="69"/>
      <c r="AB50" s="69"/>
      <c r="AC50" s="69"/>
      <c r="AD50" s="69"/>
      <c r="AE50" s="69"/>
      <c r="AF50" s="69"/>
      <c r="AG50" s="69"/>
      <c r="AH50" s="69"/>
      <c r="AI50" s="69"/>
      <c r="AJ50" s="69"/>
      <c r="AK50" s="69"/>
      <c r="AL50" s="69"/>
      <c r="AM50" s="69"/>
      <c r="AN50" s="69"/>
      <c r="AO50" s="69"/>
      <c r="AP50" s="69"/>
      <c r="AQ50" s="69"/>
      <c r="AR50" s="69"/>
      <c r="AS50" s="69"/>
      <c r="AT50" s="69"/>
      <c r="AU50" s="69"/>
      <c r="AV50" s="69"/>
      <c r="AW50" s="70"/>
      <c r="AX50" s="64"/>
      <c r="AY50" s="64"/>
      <c r="AZ50" s="64"/>
      <c r="BA50" s="64"/>
      <c r="BB50" s="64"/>
      <c r="BC50" s="65"/>
      <c r="BD50" s="67"/>
      <c r="BE50" s="64"/>
      <c r="BF50" s="64"/>
      <c r="BG50" s="64"/>
      <c r="BH50" s="64"/>
      <c r="BI50" s="64"/>
      <c r="BJ50" s="65"/>
      <c r="BK50" s="4"/>
    </row>
    <row r="51" spans="1:63" ht="15" customHeight="1" x14ac:dyDescent="0.25">
      <c r="A51" s="1"/>
      <c r="B51" s="17"/>
      <c r="C51" s="18"/>
      <c r="D51" s="18"/>
      <c r="E51" s="18"/>
      <c r="F51" s="18"/>
      <c r="G51" s="19"/>
      <c r="H51" s="17"/>
      <c r="I51" s="18"/>
      <c r="J51" s="18"/>
      <c r="K51" s="18"/>
      <c r="L51" s="18"/>
      <c r="M51" s="18"/>
      <c r="N51" s="19"/>
      <c r="O51" s="17"/>
      <c r="P51" s="18"/>
      <c r="Q51" s="18"/>
      <c r="R51" s="18"/>
      <c r="S51" s="59"/>
      <c r="T51" s="60"/>
      <c r="U51" s="60"/>
      <c r="V51" s="60"/>
      <c r="W51" s="60"/>
      <c r="X51" s="60"/>
      <c r="Y51" s="60"/>
      <c r="Z51" s="60"/>
      <c r="AA51" s="60"/>
      <c r="AB51" s="60"/>
      <c r="AC51" s="60"/>
      <c r="AD51" s="60"/>
      <c r="AE51" s="60"/>
      <c r="AF51" s="60"/>
      <c r="AG51" s="60"/>
      <c r="AH51" s="60"/>
      <c r="AI51" s="60"/>
      <c r="AJ51" s="60"/>
      <c r="AK51" s="60"/>
      <c r="AL51" s="60"/>
      <c r="AM51" s="60"/>
      <c r="AN51" s="60"/>
      <c r="AO51" s="60"/>
      <c r="AP51" s="60"/>
      <c r="AQ51" s="60"/>
      <c r="AR51" s="60"/>
      <c r="AS51" s="60"/>
      <c r="AT51" s="60"/>
      <c r="AU51" s="60"/>
      <c r="AV51" s="60"/>
      <c r="AW51" s="61"/>
      <c r="AX51" s="62"/>
      <c r="AY51" s="62"/>
      <c r="AZ51" s="62"/>
      <c r="BA51" s="62"/>
      <c r="BB51" s="62"/>
      <c r="BC51" s="63"/>
      <c r="BD51" s="66"/>
      <c r="BE51" s="62"/>
      <c r="BF51" s="62"/>
      <c r="BG51" s="62"/>
      <c r="BH51" s="62"/>
      <c r="BI51" s="62"/>
      <c r="BJ51" s="63"/>
      <c r="BK51" s="4"/>
    </row>
    <row r="52" spans="1:63" ht="15" customHeight="1" x14ac:dyDescent="0.25">
      <c r="A52" s="1"/>
      <c r="B52" s="23"/>
      <c r="C52" s="24"/>
      <c r="D52" s="24"/>
      <c r="E52" s="24"/>
      <c r="F52" s="24"/>
      <c r="G52" s="25"/>
      <c r="H52" s="23"/>
      <c r="I52" s="24"/>
      <c r="J52" s="24"/>
      <c r="K52" s="24"/>
      <c r="L52" s="24"/>
      <c r="M52" s="24"/>
      <c r="N52" s="25"/>
      <c r="O52" s="23"/>
      <c r="P52" s="24"/>
      <c r="Q52" s="24"/>
      <c r="R52" s="24"/>
      <c r="S52" s="68"/>
      <c r="T52" s="69"/>
      <c r="U52" s="69"/>
      <c r="V52" s="69"/>
      <c r="W52" s="69"/>
      <c r="X52" s="69"/>
      <c r="Y52" s="69"/>
      <c r="Z52" s="69"/>
      <c r="AA52" s="69"/>
      <c r="AB52" s="69"/>
      <c r="AC52" s="69"/>
      <c r="AD52" s="69"/>
      <c r="AE52" s="69"/>
      <c r="AF52" s="69"/>
      <c r="AG52" s="69"/>
      <c r="AH52" s="69"/>
      <c r="AI52" s="69"/>
      <c r="AJ52" s="69"/>
      <c r="AK52" s="69"/>
      <c r="AL52" s="69"/>
      <c r="AM52" s="69"/>
      <c r="AN52" s="69"/>
      <c r="AO52" s="69"/>
      <c r="AP52" s="69"/>
      <c r="AQ52" s="69"/>
      <c r="AR52" s="69"/>
      <c r="AS52" s="69"/>
      <c r="AT52" s="69"/>
      <c r="AU52" s="69"/>
      <c r="AV52" s="69"/>
      <c r="AW52" s="70"/>
      <c r="AX52" s="64"/>
      <c r="AY52" s="64"/>
      <c r="AZ52" s="64"/>
      <c r="BA52" s="64"/>
      <c r="BB52" s="64"/>
      <c r="BC52" s="65"/>
      <c r="BD52" s="67"/>
      <c r="BE52" s="64"/>
      <c r="BF52" s="64"/>
      <c r="BG52" s="64"/>
      <c r="BH52" s="64"/>
      <c r="BI52" s="64"/>
      <c r="BJ52" s="65"/>
      <c r="BK52" s="4"/>
    </row>
    <row r="53" spans="1:63" ht="15" customHeight="1" x14ac:dyDescent="0.25">
      <c r="A53" s="1"/>
      <c r="B53" s="17"/>
      <c r="C53" s="18"/>
      <c r="D53" s="18"/>
      <c r="E53" s="18"/>
      <c r="F53" s="18"/>
      <c r="G53" s="19"/>
      <c r="H53" s="17"/>
      <c r="I53" s="18"/>
      <c r="J53" s="18"/>
      <c r="K53" s="18"/>
      <c r="L53" s="18"/>
      <c r="M53" s="18"/>
      <c r="N53" s="19"/>
      <c r="O53" s="17"/>
      <c r="P53" s="18"/>
      <c r="Q53" s="18"/>
      <c r="R53" s="18"/>
      <c r="S53" s="59"/>
      <c r="T53" s="60"/>
      <c r="U53" s="60"/>
      <c r="V53" s="60"/>
      <c r="W53" s="60"/>
      <c r="X53" s="60"/>
      <c r="Y53" s="60"/>
      <c r="Z53" s="60"/>
      <c r="AA53" s="60"/>
      <c r="AB53" s="60"/>
      <c r="AC53" s="60"/>
      <c r="AD53" s="60"/>
      <c r="AE53" s="60"/>
      <c r="AF53" s="60"/>
      <c r="AG53" s="60"/>
      <c r="AH53" s="60"/>
      <c r="AI53" s="60"/>
      <c r="AJ53" s="60"/>
      <c r="AK53" s="60"/>
      <c r="AL53" s="60"/>
      <c r="AM53" s="60"/>
      <c r="AN53" s="60"/>
      <c r="AO53" s="60"/>
      <c r="AP53" s="60"/>
      <c r="AQ53" s="60"/>
      <c r="AR53" s="60"/>
      <c r="AS53" s="60"/>
      <c r="AT53" s="60"/>
      <c r="AU53" s="60"/>
      <c r="AV53" s="60"/>
      <c r="AW53" s="61"/>
      <c r="AX53" s="62"/>
      <c r="AY53" s="62"/>
      <c r="AZ53" s="62"/>
      <c r="BA53" s="62"/>
      <c r="BB53" s="62"/>
      <c r="BC53" s="63"/>
      <c r="BD53" s="66"/>
      <c r="BE53" s="62"/>
      <c r="BF53" s="62"/>
      <c r="BG53" s="62"/>
      <c r="BH53" s="62"/>
      <c r="BI53" s="62"/>
      <c r="BJ53" s="63"/>
      <c r="BK53" s="4"/>
    </row>
    <row r="54" spans="1:63" ht="15" customHeight="1" x14ac:dyDescent="0.25">
      <c r="A54" s="1"/>
      <c r="B54" s="23"/>
      <c r="C54" s="24"/>
      <c r="D54" s="24"/>
      <c r="E54" s="24"/>
      <c r="F54" s="24"/>
      <c r="G54" s="25"/>
      <c r="H54" s="23"/>
      <c r="I54" s="24"/>
      <c r="J54" s="24"/>
      <c r="K54" s="24"/>
      <c r="L54" s="24"/>
      <c r="M54" s="24"/>
      <c r="N54" s="25"/>
      <c r="O54" s="23"/>
      <c r="P54" s="24"/>
      <c r="Q54" s="24"/>
      <c r="R54" s="24"/>
      <c r="S54" s="68"/>
      <c r="T54" s="69"/>
      <c r="U54" s="69"/>
      <c r="V54" s="69"/>
      <c r="W54" s="69"/>
      <c r="X54" s="69"/>
      <c r="Y54" s="69"/>
      <c r="Z54" s="69"/>
      <c r="AA54" s="69"/>
      <c r="AB54" s="69"/>
      <c r="AC54" s="69"/>
      <c r="AD54" s="69"/>
      <c r="AE54" s="69"/>
      <c r="AF54" s="69"/>
      <c r="AG54" s="69"/>
      <c r="AH54" s="69"/>
      <c r="AI54" s="69"/>
      <c r="AJ54" s="69"/>
      <c r="AK54" s="69"/>
      <c r="AL54" s="69"/>
      <c r="AM54" s="69"/>
      <c r="AN54" s="69"/>
      <c r="AO54" s="69"/>
      <c r="AP54" s="69"/>
      <c r="AQ54" s="69"/>
      <c r="AR54" s="69"/>
      <c r="AS54" s="69"/>
      <c r="AT54" s="69"/>
      <c r="AU54" s="69"/>
      <c r="AV54" s="69"/>
      <c r="AW54" s="70"/>
      <c r="AX54" s="64"/>
      <c r="AY54" s="64"/>
      <c r="AZ54" s="64"/>
      <c r="BA54" s="64"/>
      <c r="BB54" s="64"/>
      <c r="BC54" s="65"/>
      <c r="BD54" s="67"/>
      <c r="BE54" s="64"/>
      <c r="BF54" s="64"/>
      <c r="BG54" s="64"/>
      <c r="BH54" s="64"/>
      <c r="BI54" s="64"/>
      <c r="BJ54" s="65"/>
      <c r="BK54" s="4"/>
    </row>
    <row r="55" spans="1:63" ht="15" customHeight="1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5"/>
    </row>
  </sheetData>
  <mergeCells count="180">
    <mergeCell ref="AT2:AX3"/>
    <mergeCell ref="AP2:AS3"/>
    <mergeCell ref="BD10:BJ10"/>
    <mergeCell ref="AX10:BC10"/>
    <mergeCell ref="S10:AW10"/>
    <mergeCell ref="O10:R10"/>
    <mergeCell ref="H10:N10"/>
    <mergeCell ref="B10:G10"/>
    <mergeCell ref="K2:V3"/>
    <mergeCell ref="A2:J3"/>
    <mergeCell ref="BH1:BK1"/>
    <mergeCell ref="BC1:BG1"/>
    <mergeCell ref="AY1:BB1"/>
    <mergeCell ref="AT1:AX1"/>
    <mergeCell ref="AP1:AS1"/>
    <mergeCell ref="W1:AO3"/>
    <mergeCell ref="K1:V1"/>
    <mergeCell ref="A1:J1"/>
    <mergeCell ref="AP4:BK4"/>
    <mergeCell ref="Z4:AO4"/>
    <mergeCell ref="U4:Y4"/>
    <mergeCell ref="H4:T4"/>
    <mergeCell ref="A4:G4"/>
    <mergeCell ref="BH2:BK3"/>
    <mergeCell ref="BC2:BG3"/>
    <mergeCell ref="AY2:BB3"/>
    <mergeCell ref="B11:G12"/>
    <mergeCell ref="B13:G14"/>
    <mergeCell ref="H13:N14"/>
    <mergeCell ref="O13:R14"/>
    <mergeCell ref="S13:AW13"/>
    <mergeCell ref="AX13:BC14"/>
    <mergeCell ref="BD11:BJ12"/>
    <mergeCell ref="AX11:BC12"/>
    <mergeCell ref="S12:AW12"/>
    <mergeCell ref="S11:AW11"/>
    <mergeCell ref="O11:R12"/>
    <mergeCell ref="H11:N12"/>
    <mergeCell ref="B17:G18"/>
    <mergeCell ref="H17:N18"/>
    <mergeCell ref="O17:R18"/>
    <mergeCell ref="S17:AW17"/>
    <mergeCell ref="AX17:BC18"/>
    <mergeCell ref="BD17:BJ18"/>
    <mergeCell ref="S18:AW18"/>
    <mergeCell ref="BD13:BJ14"/>
    <mergeCell ref="S14:AW14"/>
    <mergeCell ref="B15:G16"/>
    <mergeCell ref="H15:N16"/>
    <mergeCell ref="O15:R16"/>
    <mergeCell ref="S15:AW15"/>
    <mergeCell ref="AX15:BC16"/>
    <mergeCell ref="BD15:BJ16"/>
    <mergeCell ref="S16:AW16"/>
    <mergeCell ref="B21:G22"/>
    <mergeCell ref="H21:N22"/>
    <mergeCell ref="O21:R22"/>
    <mergeCell ref="S21:AW21"/>
    <mergeCell ref="AX21:BC22"/>
    <mergeCell ref="BD21:BJ22"/>
    <mergeCell ref="S22:AW22"/>
    <mergeCell ref="B19:G20"/>
    <mergeCell ref="H19:N20"/>
    <mergeCell ref="O19:R20"/>
    <mergeCell ref="S19:AW19"/>
    <mergeCell ref="AX19:BC20"/>
    <mergeCell ref="BD19:BJ20"/>
    <mergeCell ref="S20:AW20"/>
    <mergeCell ref="B25:G26"/>
    <mergeCell ref="H25:N26"/>
    <mergeCell ref="O25:R26"/>
    <mergeCell ref="S25:AW25"/>
    <mergeCell ref="AX25:BC26"/>
    <mergeCell ref="BD25:BJ26"/>
    <mergeCell ref="S26:AW26"/>
    <mergeCell ref="B23:G24"/>
    <mergeCell ref="H23:N24"/>
    <mergeCell ref="O23:R24"/>
    <mergeCell ref="S23:AW23"/>
    <mergeCell ref="AX23:BC24"/>
    <mergeCell ref="BD23:BJ24"/>
    <mergeCell ref="S24:AW24"/>
    <mergeCell ref="B29:G30"/>
    <mergeCell ref="H29:N30"/>
    <mergeCell ref="O29:R30"/>
    <mergeCell ref="S29:AW29"/>
    <mergeCell ref="AX29:BC30"/>
    <mergeCell ref="BD29:BJ30"/>
    <mergeCell ref="S30:AW30"/>
    <mergeCell ref="B27:G28"/>
    <mergeCell ref="H27:N28"/>
    <mergeCell ref="O27:R28"/>
    <mergeCell ref="S27:AW27"/>
    <mergeCell ref="AX27:BC28"/>
    <mergeCell ref="BD27:BJ28"/>
    <mergeCell ref="S28:AW28"/>
    <mergeCell ref="B33:G34"/>
    <mergeCell ref="H33:N34"/>
    <mergeCell ref="O33:R34"/>
    <mergeCell ref="S33:AW33"/>
    <mergeCell ref="AX33:BC34"/>
    <mergeCell ref="BD33:BJ34"/>
    <mergeCell ref="S34:AW34"/>
    <mergeCell ref="B31:G32"/>
    <mergeCell ref="H31:N32"/>
    <mergeCell ref="O31:R32"/>
    <mergeCell ref="S31:AW31"/>
    <mergeCell ref="AX31:BC32"/>
    <mergeCell ref="BD31:BJ32"/>
    <mergeCell ref="S32:AW32"/>
    <mergeCell ref="B37:G38"/>
    <mergeCell ref="H37:N38"/>
    <mergeCell ref="O37:R38"/>
    <mergeCell ref="S37:AW37"/>
    <mergeCell ref="AX37:BC38"/>
    <mergeCell ref="BD37:BJ38"/>
    <mergeCell ref="S38:AW38"/>
    <mergeCell ref="B35:G36"/>
    <mergeCell ref="H35:N36"/>
    <mergeCell ref="O35:R36"/>
    <mergeCell ref="S35:AW35"/>
    <mergeCell ref="AX35:BC36"/>
    <mergeCell ref="BD35:BJ36"/>
    <mergeCell ref="S36:AW36"/>
    <mergeCell ref="B41:G42"/>
    <mergeCell ref="H41:N42"/>
    <mergeCell ref="O41:R42"/>
    <mergeCell ref="S41:AW41"/>
    <mergeCell ref="AX41:BC42"/>
    <mergeCell ref="BD41:BJ42"/>
    <mergeCell ref="S42:AW42"/>
    <mergeCell ref="B39:G40"/>
    <mergeCell ref="H39:N40"/>
    <mergeCell ref="O39:R40"/>
    <mergeCell ref="S39:AW39"/>
    <mergeCell ref="AX39:BC40"/>
    <mergeCell ref="BD39:BJ40"/>
    <mergeCell ref="S40:AW40"/>
    <mergeCell ref="B45:G46"/>
    <mergeCell ref="H45:N46"/>
    <mergeCell ref="O45:R46"/>
    <mergeCell ref="S45:AW45"/>
    <mergeCell ref="AX45:BC46"/>
    <mergeCell ref="BD45:BJ46"/>
    <mergeCell ref="S46:AW46"/>
    <mergeCell ref="B43:G44"/>
    <mergeCell ref="H43:N44"/>
    <mergeCell ref="O43:R44"/>
    <mergeCell ref="S43:AW43"/>
    <mergeCell ref="AX43:BC44"/>
    <mergeCell ref="BD43:BJ44"/>
    <mergeCell ref="S44:AW44"/>
    <mergeCell ref="B49:G50"/>
    <mergeCell ref="H49:N50"/>
    <mergeCell ref="O49:R50"/>
    <mergeCell ref="S49:AW49"/>
    <mergeCell ref="AX49:BC50"/>
    <mergeCell ref="BD49:BJ50"/>
    <mergeCell ref="S50:AW50"/>
    <mergeCell ref="B47:G48"/>
    <mergeCell ref="H47:N48"/>
    <mergeCell ref="O47:R48"/>
    <mergeCell ref="S47:AW47"/>
    <mergeCell ref="AX47:BC48"/>
    <mergeCell ref="BD47:BJ48"/>
    <mergeCell ref="S48:AW48"/>
    <mergeCell ref="B53:G54"/>
    <mergeCell ref="H53:N54"/>
    <mergeCell ref="O53:R54"/>
    <mergeCell ref="S53:AW53"/>
    <mergeCell ref="AX53:BC54"/>
    <mergeCell ref="BD53:BJ54"/>
    <mergeCell ref="S54:AW54"/>
    <mergeCell ref="B51:G52"/>
    <mergeCell ref="H51:N52"/>
    <mergeCell ref="O51:R52"/>
    <mergeCell ref="S51:AW51"/>
    <mergeCell ref="AX51:BC52"/>
    <mergeCell ref="BD51:BJ52"/>
    <mergeCell ref="S52:AW52"/>
  </mergeCells>
  <phoneticPr fontId="2"/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291810-C63F-40D4-B60B-3C1446D1AA7E}">
  <sheetPr>
    <pageSetUpPr fitToPage="1"/>
  </sheetPr>
  <dimension ref="A1:BK55"/>
  <sheetViews>
    <sheetView tabSelected="1" view="pageBreakPreview" zoomScale="80" zoomScaleNormal="75" zoomScaleSheetLayoutView="80" workbookViewId="0">
      <selection activeCell="BL39" sqref="BL39"/>
    </sheetView>
  </sheetViews>
  <sheetFormatPr defaultColWidth="2.77734375" defaultRowHeight="15" customHeight="1" x14ac:dyDescent="0.25"/>
  <sheetData>
    <row r="1" spans="1:63" ht="24.95" customHeight="1" x14ac:dyDescent="0.25">
      <c r="A1" s="32" t="s">
        <v>0</v>
      </c>
      <c r="B1" s="33"/>
      <c r="C1" s="33"/>
      <c r="D1" s="33"/>
      <c r="E1" s="33"/>
      <c r="F1" s="33"/>
      <c r="G1" s="33"/>
      <c r="H1" s="33"/>
      <c r="I1" s="33"/>
      <c r="J1" s="34"/>
      <c r="K1" s="32" t="s">
        <v>2</v>
      </c>
      <c r="L1" s="33"/>
      <c r="M1" s="33"/>
      <c r="N1" s="33"/>
      <c r="O1" s="33"/>
      <c r="P1" s="33"/>
      <c r="Q1" s="33"/>
      <c r="R1" s="33"/>
      <c r="S1" s="33"/>
      <c r="T1" s="33"/>
      <c r="U1" s="33"/>
      <c r="V1" s="34"/>
      <c r="W1" s="35" t="str">
        <f>IF(表紙!W1="","",表紙!W1)</f>
        <v>POSシステム全体概要</v>
      </c>
      <c r="X1" s="36"/>
      <c r="Y1" s="36"/>
      <c r="Z1" s="3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7"/>
      <c r="AP1" s="32" t="s">
        <v>3</v>
      </c>
      <c r="AQ1" s="33"/>
      <c r="AR1" s="33"/>
      <c r="AS1" s="34"/>
      <c r="AT1" s="32" t="s">
        <v>4</v>
      </c>
      <c r="AU1" s="33"/>
      <c r="AV1" s="33"/>
      <c r="AW1" s="33"/>
      <c r="AX1" s="34"/>
      <c r="AY1" s="32" t="s">
        <v>5</v>
      </c>
      <c r="AZ1" s="33"/>
      <c r="BA1" s="33"/>
      <c r="BB1" s="34"/>
      <c r="BC1" s="32" t="s">
        <v>6</v>
      </c>
      <c r="BD1" s="33"/>
      <c r="BE1" s="33"/>
      <c r="BF1" s="33"/>
      <c r="BG1" s="34"/>
      <c r="BH1" s="32" t="s">
        <v>7</v>
      </c>
      <c r="BI1" s="33"/>
      <c r="BJ1" s="33"/>
      <c r="BK1" s="34"/>
    </row>
    <row r="2" spans="1:63" ht="15" customHeight="1" x14ac:dyDescent="0.25">
      <c r="A2" s="17" t="str">
        <f>IF(表紙!A2="","",表紙!A2)</f>
        <v>現金専用簡易セルフPOS</v>
      </c>
      <c r="B2" s="18"/>
      <c r="C2" s="18"/>
      <c r="D2" s="18"/>
      <c r="E2" s="18"/>
      <c r="F2" s="18"/>
      <c r="G2" s="18"/>
      <c r="H2" s="18"/>
      <c r="I2" s="18"/>
      <c r="J2" s="19"/>
      <c r="K2" s="17" t="str">
        <f>IF(表紙!K2="","",表紙!K2)</f>
        <v/>
      </c>
      <c r="L2" s="18"/>
      <c r="M2" s="18"/>
      <c r="N2" s="18"/>
      <c r="O2" s="18"/>
      <c r="P2" s="18"/>
      <c r="Q2" s="18"/>
      <c r="R2" s="18"/>
      <c r="S2" s="18"/>
      <c r="T2" s="18"/>
      <c r="U2" s="18"/>
      <c r="V2" s="19"/>
      <c r="W2" s="38"/>
      <c r="X2" s="39"/>
      <c r="Y2" s="39"/>
      <c r="Z2" s="39"/>
      <c r="AA2" s="39"/>
      <c r="AB2" s="39"/>
      <c r="AC2" s="39"/>
      <c r="AD2" s="39"/>
      <c r="AE2" s="39"/>
      <c r="AF2" s="39"/>
      <c r="AG2" s="39"/>
      <c r="AH2" s="39"/>
      <c r="AI2" s="39"/>
      <c r="AJ2" s="39"/>
      <c r="AK2" s="39"/>
      <c r="AL2" s="39"/>
      <c r="AM2" s="39"/>
      <c r="AN2" s="39"/>
      <c r="AO2" s="40"/>
      <c r="AP2" s="17" t="str">
        <f>IF(表紙!AP2="","",表紙!AP2)</f>
        <v>Thanh Nguyên</v>
      </c>
      <c r="AQ2" s="18"/>
      <c r="AR2" s="18"/>
      <c r="AS2" s="19"/>
      <c r="AT2" s="53">
        <f>IF(表紙!AT2="","",表紙!AT2)</f>
        <v>45769</v>
      </c>
      <c r="AU2" s="54"/>
      <c r="AV2" s="54"/>
      <c r="AW2" s="54"/>
      <c r="AX2" s="55"/>
      <c r="AY2" s="17" t="str">
        <f>IF(表紙!AY2="","",表紙!AY2)</f>
        <v>Thanh Nguyên</v>
      </c>
      <c r="AZ2" s="18"/>
      <c r="BA2" s="18"/>
      <c r="BB2" s="19"/>
      <c r="BC2" s="53">
        <f>IF(表紙!BC2="","",表紙!BC2)</f>
        <v>45769</v>
      </c>
      <c r="BD2" s="54"/>
      <c r="BE2" s="54"/>
      <c r="BF2" s="54"/>
      <c r="BG2" s="55"/>
      <c r="BH2" s="17">
        <f>IF(表紙!BH2="","",表紙!BH2)</f>
        <v>1</v>
      </c>
      <c r="BI2" s="18"/>
      <c r="BJ2" s="18"/>
      <c r="BK2" s="19"/>
    </row>
    <row r="3" spans="1:63" ht="15" customHeight="1" x14ac:dyDescent="0.25">
      <c r="A3" s="23"/>
      <c r="B3" s="24"/>
      <c r="C3" s="24"/>
      <c r="D3" s="24"/>
      <c r="E3" s="24"/>
      <c r="F3" s="24"/>
      <c r="G3" s="24"/>
      <c r="H3" s="24"/>
      <c r="I3" s="24"/>
      <c r="J3" s="25"/>
      <c r="K3" s="23"/>
      <c r="L3" s="24"/>
      <c r="M3" s="24"/>
      <c r="N3" s="24"/>
      <c r="O3" s="24"/>
      <c r="P3" s="24"/>
      <c r="Q3" s="24"/>
      <c r="R3" s="24"/>
      <c r="S3" s="24"/>
      <c r="T3" s="24"/>
      <c r="U3" s="24"/>
      <c r="V3" s="25"/>
      <c r="W3" s="41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  <c r="AO3" s="43"/>
      <c r="AP3" s="23"/>
      <c r="AQ3" s="24"/>
      <c r="AR3" s="24"/>
      <c r="AS3" s="25"/>
      <c r="AT3" s="56"/>
      <c r="AU3" s="57"/>
      <c r="AV3" s="57"/>
      <c r="AW3" s="57"/>
      <c r="AX3" s="58"/>
      <c r="AY3" s="23"/>
      <c r="AZ3" s="24"/>
      <c r="BA3" s="24"/>
      <c r="BB3" s="25"/>
      <c r="BC3" s="56"/>
      <c r="BD3" s="57"/>
      <c r="BE3" s="57"/>
      <c r="BF3" s="57"/>
      <c r="BG3" s="58"/>
      <c r="BH3" s="23"/>
      <c r="BI3" s="24"/>
      <c r="BJ3" s="24"/>
      <c r="BK3" s="25"/>
    </row>
    <row r="4" spans="1:63" ht="24.95" customHeight="1" x14ac:dyDescent="0.25">
      <c r="A4" s="32" t="s">
        <v>1</v>
      </c>
      <c r="B4" s="33"/>
      <c r="C4" s="33"/>
      <c r="D4" s="33"/>
      <c r="E4" s="33"/>
      <c r="F4" s="33"/>
      <c r="G4" s="34"/>
      <c r="H4" s="44" t="str">
        <f>IF(表紙!H4="","",表紙!H4)</f>
        <v/>
      </c>
      <c r="I4" s="45"/>
      <c r="J4" s="45"/>
      <c r="K4" s="45"/>
      <c r="L4" s="45"/>
      <c r="M4" s="45"/>
      <c r="N4" s="45"/>
      <c r="O4" s="45"/>
      <c r="P4" s="45"/>
      <c r="Q4" s="45"/>
      <c r="R4" s="45"/>
      <c r="S4" s="45"/>
      <c r="T4" s="46"/>
      <c r="U4" s="32" t="s">
        <v>8</v>
      </c>
      <c r="V4" s="33"/>
      <c r="W4" s="33"/>
      <c r="X4" s="33"/>
      <c r="Y4" s="34"/>
      <c r="Z4" s="44" t="str">
        <f>IF(表紙!Z4="","",表紙!Z4)</f>
        <v/>
      </c>
      <c r="AA4" s="45"/>
      <c r="AB4" s="45"/>
      <c r="AC4" s="45"/>
      <c r="AD4" s="45"/>
      <c r="AE4" s="45"/>
      <c r="AF4" s="45"/>
      <c r="AG4" s="45"/>
      <c r="AH4" s="45"/>
      <c r="AI4" s="45"/>
      <c r="AJ4" s="45"/>
      <c r="AK4" s="45"/>
      <c r="AL4" s="45"/>
      <c r="AM4" s="45"/>
      <c r="AN4" s="45"/>
      <c r="AO4" s="46"/>
      <c r="AP4" s="44" t="str" cm="1">
        <f t="array" aca="1" ref="AP4" ca="1">RIGHT(CELL("filename",$A$1),LEN(CELL("filename",$A$1))-FIND("]",CELL("filename",$A$1)))</f>
        <v>概念図</v>
      </c>
      <c r="AQ4" s="45"/>
      <c r="AR4" s="45"/>
      <c r="AS4" s="45"/>
      <c r="AT4" s="45"/>
      <c r="AU4" s="45"/>
      <c r="AV4" s="45"/>
      <c r="AW4" s="45"/>
      <c r="AX4" s="45"/>
      <c r="AY4" s="45"/>
      <c r="AZ4" s="45"/>
      <c r="BA4" s="45"/>
      <c r="BB4" s="45"/>
      <c r="BC4" s="45"/>
      <c r="BD4" s="45"/>
      <c r="BE4" s="45"/>
      <c r="BF4" s="45"/>
      <c r="BG4" s="45"/>
      <c r="BH4" s="45"/>
      <c r="BI4" s="45"/>
      <c r="BJ4" s="45"/>
      <c r="BK4" s="46"/>
    </row>
    <row r="5" spans="1:63" ht="5.0999999999999996" customHeight="1" x14ac:dyDescent="0.25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5"/>
    </row>
    <row r="6" spans="1:63" ht="15" customHeight="1" x14ac:dyDescent="0.25">
      <c r="A6" s="1"/>
      <c r="BK6" s="4"/>
    </row>
    <row r="7" spans="1:63" ht="15" customHeight="1" x14ac:dyDescent="0.25">
      <c r="A7" s="1"/>
      <c r="BK7" s="4"/>
    </row>
    <row r="8" spans="1:63" ht="15" customHeight="1" x14ac:dyDescent="0.25">
      <c r="A8" s="1"/>
      <c r="BK8" s="4"/>
    </row>
    <row r="9" spans="1:63" ht="15" customHeight="1" x14ac:dyDescent="0.25">
      <c r="A9" s="1"/>
      <c r="BK9" s="4"/>
    </row>
    <row r="10" spans="1:63" ht="15" customHeight="1" x14ac:dyDescent="0.25">
      <c r="A10" s="1"/>
      <c r="BK10" s="4"/>
    </row>
    <row r="11" spans="1:63" ht="15" customHeight="1" x14ac:dyDescent="0.25">
      <c r="A11" s="1"/>
      <c r="BK11" s="4"/>
    </row>
    <row r="12" spans="1:63" ht="15" customHeight="1" x14ac:dyDescent="0.25">
      <c r="A12" s="1"/>
      <c r="BK12" s="4"/>
    </row>
    <row r="13" spans="1:63" ht="15" customHeight="1" x14ac:dyDescent="0.25">
      <c r="A13" s="1"/>
      <c r="BK13" s="4"/>
    </row>
    <row r="14" spans="1:63" ht="15" customHeight="1" x14ac:dyDescent="0.25">
      <c r="A14" s="1"/>
      <c r="BK14" s="4"/>
    </row>
    <row r="15" spans="1:63" ht="15" customHeight="1" x14ac:dyDescent="0.25">
      <c r="A15" s="1"/>
      <c r="BK15" s="4"/>
    </row>
    <row r="16" spans="1:63" ht="15" customHeight="1" x14ac:dyDescent="0.25">
      <c r="A16" s="1"/>
      <c r="BK16" s="4"/>
    </row>
    <row r="17" spans="1:63" ht="15" customHeight="1" x14ac:dyDescent="0.25">
      <c r="A17" s="1"/>
      <c r="BK17" s="4"/>
    </row>
    <row r="18" spans="1:63" ht="15" customHeight="1" x14ac:dyDescent="0.25">
      <c r="A18" s="1"/>
      <c r="BK18" s="4"/>
    </row>
    <row r="19" spans="1:63" ht="15" customHeight="1" x14ac:dyDescent="0.25">
      <c r="A19" s="1"/>
      <c r="BK19" s="4"/>
    </row>
    <row r="20" spans="1:63" ht="15" customHeight="1" x14ac:dyDescent="0.25">
      <c r="A20" s="1"/>
      <c r="BK20" s="4"/>
    </row>
    <row r="21" spans="1:63" ht="15" customHeight="1" x14ac:dyDescent="0.25">
      <c r="A21" s="1"/>
      <c r="BK21" s="4"/>
    </row>
    <row r="22" spans="1:63" ht="15" customHeight="1" x14ac:dyDescent="0.25">
      <c r="A22" s="1"/>
      <c r="BK22" s="4"/>
    </row>
    <row r="23" spans="1:63" ht="15" customHeight="1" x14ac:dyDescent="0.25">
      <c r="A23" s="1"/>
      <c r="BK23" s="4"/>
    </row>
    <row r="24" spans="1:63" ht="15" customHeight="1" x14ac:dyDescent="0.25">
      <c r="A24" s="1"/>
      <c r="BK24" s="4"/>
    </row>
    <row r="25" spans="1:63" ht="15" customHeight="1" x14ac:dyDescent="0.25">
      <c r="A25" s="1"/>
      <c r="BK25" s="4"/>
    </row>
    <row r="26" spans="1:63" ht="15" customHeight="1" x14ac:dyDescent="0.25">
      <c r="A26" s="1"/>
      <c r="BK26" s="4"/>
    </row>
    <row r="27" spans="1:63" ht="15" customHeight="1" x14ac:dyDescent="0.25">
      <c r="A27" s="1"/>
      <c r="BK27" s="4"/>
    </row>
    <row r="28" spans="1:63" ht="15" customHeight="1" x14ac:dyDescent="0.25">
      <c r="A28" s="1"/>
      <c r="BK28" s="4"/>
    </row>
    <row r="29" spans="1:63" ht="15" customHeight="1" x14ac:dyDescent="0.25">
      <c r="A29" s="1"/>
      <c r="BK29" s="4"/>
    </row>
    <row r="30" spans="1:63" ht="15" customHeight="1" x14ac:dyDescent="0.25">
      <c r="A30" s="1"/>
      <c r="BK30" s="4"/>
    </row>
    <row r="31" spans="1:63" ht="15" customHeight="1" x14ac:dyDescent="0.25">
      <c r="A31" s="1"/>
      <c r="BK31" s="4"/>
    </row>
    <row r="32" spans="1:63" ht="15" customHeight="1" x14ac:dyDescent="0.25">
      <c r="A32" s="1"/>
      <c r="BK32" s="4"/>
    </row>
    <row r="33" spans="1:63" ht="15" customHeight="1" x14ac:dyDescent="0.25">
      <c r="A33" s="1"/>
      <c r="BK33" s="4"/>
    </row>
    <row r="34" spans="1:63" ht="15" customHeight="1" x14ac:dyDescent="0.25">
      <c r="A34" s="1"/>
      <c r="BK34" s="4"/>
    </row>
    <row r="35" spans="1:63" ht="15" customHeight="1" x14ac:dyDescent="0.25">
      <c r="A35" s="1"/>
      <c r="BK35" s="4"/>
    </row>
    <row r="36" spans="1:63" ht="15" customHeight="1" x14ac:dyDescent="0.25">
      <c r="A36" s="1"/>
      <c r="BK36" s="4"/>
    </row>
    <row r="37" spans="1:63" ht="15" customHeight="1" x14ac:dyDescent="0.25">
      <c r="A37" s="1"/>
      <c r="BK37" s="4"/>
    </row>
    <row r="38" spans="1:63" ht="15" customHeight="1" x14ac:dyDescent="0.25">
      <c r="A38" s="1"/>
      <c r="BK38" s="4"/>
    </row>
    <row r="39" spans="1:63" ht="15" customHeight="1" x14ac:dyDescent="0.25">
      <c r="A39" s="1"/>
      <c r="BK39" s="4"/>
    </row>
    <row r="40" spans="1:63" ht="15" customHeight="1" x14ac:dyDescent="0.25">
      <c r="A40" s="1"/>
      <c r="BK40" s="4"/>
    </row>
    <row r="41" spans="1:63" ht="15" customHeight="1" x14ac:dyDescent="0.25">
      <c r="A41" s="1"/>
      <c r="BK41" s="4"/>
    </row>
    <row r="42" spans="1:63" ht="15" customHeight="1" x14ac:dyDescent="0.25">
      <c r="A42" s="1"/>
      <c r="BK42" s="4"/>
    </row>
    <row r="43" spans="1:63" ht="15" customHeight="1" x14ac:dyDescent="0.25">
      <c r="A43" s="1"/>
      <c r="BK43" s="4"/>
    </row>
    <row r="44" spans="1:63" ht="15" customHeight="1" x14ac:dyDescent="0.25">
      <c r="A44" s="1"/>
      <c r="BK44" s="4"/>
    </row>
    <row r="45" spans="1:63" ht="15" customHeight="1" x14ac:dyDescent="0.25">
      <c r="A45" s="1"/>
      <c r="BK45" s="4"/>
    </row>
    <row r="46" spans="1:63" ht="15" customHeight="1" x14ac:dyDescent="0.25">
      <c r="A46" s="1"/>
      <c r="BK46" s="4"/>
    </row>
    <row r="47" spans="1:63" ht="15" customHeight="1" x14ac:dyDescent="0.25">
      <c r="A47" s="1"/>
      <c r="BK47" s="4"/>
    </row>
    <row r="48" spans="1:63" ht="15" customHeight="1" x14ac:dyDescent="0.25">
      <c r="A48" s="1"/>
      <c r="BK48" s="4"/>
    </row>
    <row r="49" spans="1:63" ht="15" customHeight="1" x14ac:dyDescent="0.25">
      <c r="A49" s="1"/>
      <c r="BK49" s="4"/>
    </row>
    <row r="50" spans="1:63" ht="15" customHeight="1" x14ac:dyDescent="0.25">
      <c r="A50" s="1"/>
      <c r="BK50" s="4"/>
    </row>
    <row r="51" spans="1:63" ht="15" customHeight="1" x14ac:dyDescent="0.25">
      <c r="A51" s="1"/>
      <c r="BK51" s="4"/>
    </row>
    <row r="52" spans="1:63" ht="15" customHeight="1" x14ac:dyDescent="0.25">
      <c r="A52" s="1"/>
      <c r="BK52" s="4"/>
    </row>
    <row r="53" spans="1:63" ht="15" customHeight="1" x14ac:dyDescent="0.25">
      <c r="A53" s="1"/>
      <c r="BK53" s="4"/>
    </row>
    <row r="54" spans="1:63" ht="15" customHeight="1" x14ac:dyDescent="0.25">
      <c r="A54" s="1"/>
      <c r="BK54" s="4"/>
    </row>
    <row r="55" spans="1:63" ht="15" customHeight="1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5"/>
    </row>
  </sheetData>
  <mergeCells count="20">
    <mergeCell ref="AP4:BK4"/>
    <mergeCell ref="Z4:AO4"/>
    <mergeCell ref="U4:Y4"/>
    <mergeCell ref="H4:T4"/>
    <mergeCell ref="A4:G4"/>
    <mergeCell ref="K2:V3"/>
    <mergeCell ref="A2:J3"/>
    <mergeCell ref="BH1:BK1"/>
    <mergeCell ref="BC1:BG1"/>
    <mergeCell ref="AY1:BB1"/>
    <mergeCell ref="AT1:AX1"/>
    <mergeCell ref="AP1:AS1"/>
    <mergeCell ref="W1:AO3"/>
    <mergeCell ref="K1:V1"/>
    <mergeCell ref="A1:J1"/>
    <mergeCell ref="BH2:BK3"/>
    <mergeCell ref="BC2:BG3"/>
    <mergeCell ref="AY2:BB3"/>
    <mergeCell ref="AT2:AX3"/>
    <mergeCell ref="AP2:AS3"/>
  </mergeCells>
  <phoneticPr fontId="2"/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5E15E-BBAE-42C2-97E9-CD436BF37293}">
  <dimension ref="A1"/>
  <sheetViews>
    <sheetView zoomScale="55" zoomScaleNormal="55" workbookViewId="0">
      <selection activeCell="D5" sqref="D5"/>
    </sheetView>
  </sheetViews>
  <sheetFormatPr defaultRowHeight="15.75" x14ac:dyDescent="0.25"/>
  <sheetData/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4a0992f-8328-4daf-870b-3d2b13d3e940">
      <Terms xmlns="http://schemas.microsoft.com/office/infopath/2007/PartnerControls"/>
    </lcf76f155ced4ddcb4097134ff3c332f>
    <TaxCatchAll xmlns="4a37abda-15dd-4e37-8275-3b7fb2897b65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8AB003DB5A4D644C9FB3BD19B5C7E000" ma:contentTypeVersion="11" ma:contentTypeDescription="新しいドキュメントを作成します。" ma:contentTypeScope="" ma:versionID="14213891138059eb724b9e737fafccea">
  <xsd:schema xmlns:xsd="http://www.w3.org/2001/XMLSchema" xmlns:xs="http://www.w3.org/2001/XMLSchema" xmlns:p="http://schemas.microsoft.com/office/2006/metadata/properties" xmlns:ns2="74a0992f-8328-4daf-870b-3d2b13d3e940" xmlns:ns3="4a37abda-15dd-4e37-8275-3b7fb2897b65" targetNamespace="http://schemas.microsoft.com/office/2006/metadata/properties" ma:root="true" ma:fieldsID="c0714e9ec9c019f03b39320eca5a0ecc" ns2:_="" ns3:_="">
    <xsd:import namespace="74a0992f-8328-4daf-870b-3d2b13d3e940"/>
    <xsd:import namespace="4a37abda-15dd-4e37-8275-3b7fb2897b6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a0992f-8328-4daf-870b-3d2b13d3e94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画像タグ" ma:readOnly="false" ma:fieldId="{5cf76f15-5ced-4ddc-b409-7134ff3c332f}" ma:taxonomyMulti="true" ma:sspId="e6619b5c-6674-40b7-9c01-33e12ba1bd7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37abda-15dd-4e37-8275-3b7fb2897b65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f2a2e70a-4904-448e-b588-7989bbdb9dd5}" ma:internalName="TaxCatchAll" ma:showField="CatchAllData" ma:web="4a37abda-15dd-4e37-8275-3b7fb2897b6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EC80C49-B5C2-4EB5-8736-DC9C618BB9C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86C1DCF-3AB0-4169-8EC3-7EDC71D985E4}">
  <ds:schemaRefs>
    <ds:schemaRef ds:uri="http://schemas.microsoft.com/office/2006/metadata/properties"/>
    <ds:schemaRef ds:uri="http://schemas.microsoft.com/office/infopath/2007/PartnerControls"/>
    <ds:schemaRef ds:uri="c25985f6-738a-4fbb-ade1-fdbe81c9268b"/>
    <ds:schemaRef ds:uri="2dd5972e-fc8f-47aa-916d-ced3529f73a8"/>
  </ds:schemaRefs>
</ds:datastoreItem>
</file>

<file path=customXml/itemProps3.xml><?xml version="1.0" encoding="utf-8"?>
<ds:datastoreItem xmlns:ds="http://schemas.openxmlformats.org/officeDocument/2006/customXml" ds:itemID="{696ABCC9-486D-458A-BF45-301680321C5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4</vt:i4>
      </vt:variant>
      <vt:variant>
        <vt:lpstr>名前付き一覧</vt:lpstr>
      </vt:variant>
      <vt:variant>
        <vt:i4>5</vt:i4>
      </vt:variant>
    </vt:vector>
  </HeadingPairs>
  <TitlesOfParts>
    <vt:vector size="9" baseType="lpstr">
      <vt:lpstr>表紙</vt:lpstr>
      <vt:lpstr>改廃履歴</vt:lpstr>
      <vt:lpstr>概念図</vt:lpstr>
      <vt:lpstr>Sheet1</vt:lpstr>
      <vt:lpstr>改廃履歴!Print_Area</vt:lpstr>
      <vt:lpstr>表紙!Print_Area</vt:lpstr>
      <vt:lpstr>改廃履歴!Print_Titles</vt:lpstr>
      <vt:lpstr>概念図!Print_Titles</vt:lpstr>
      <vt:lpstr>表紙!Print_Titles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Thanh Nguyên</dc:creator>
  <cp:lastModifiedBy>Thanh Nguyên</cp:lastModifiedBy>
  <cp:lastPrinted>2025-04-22T07:14:36Z</cp:lastPrinted>
  <dcterms:created xsi:type="dcterms:W3CDTF">2025-04-22T01:34:47Z</dcterms:created>
  <dcterms:modified xsi:type="dcterms:W3CDTF">2025-04-22T08:14:32Z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0x0101008AB003DB5A4D644C9FB3BD19B5C7E000</vt:lpwstr>
  </property>
  <property fmtid="{D5CDD505-2E9C-101B-9397-08002B2CF9AE}" pid="3" name="MediaServiceImageTags">
    <vt:lpwstr/>
  </property>
</Properties>
</file>