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366" documentId="13_ncr:1_{C2E95D8F-2348-46EC-B932-2897A8B6AAEC}" xr6:coauthVersionLast="47" xr6:coauthVersionMax="47" xr10:uidLastSave="{1B9B8049-7DA5-4EE7-94B1-E087FA5E4E2E}"/>
  <bookViews>
    <workbookView xWindow="18990" yWindow="12945" windowWidth="27015" windowHeight="16350" activeTab="1" xr2:uid="{839C4A3C-7964-4DAB-A179-965EB10D823D}"/>
  </bookViews>
  <sheets>
    <sheet name="改版履歴" sheetId="1" r:id="rId1"/>
    <sheet name="特売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特売マスタ!$B$1:$R$68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<sst xmlns="http://schemas.openxmlformats.org/spreadsheetml/2006/main" count="367" uniqueCount="212">
  <si>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</si>
  <si>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</si>
  <si>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</si>
  <si>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</si>
  <si>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</si>
  <si>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</si>
  <si>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</si>
  <si>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</si>
  <si>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</si>
  <si>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</si>
  <si>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</si>
  <si>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特売マスタ連携</t>
    <rPh sb="0" eb="2">
      <t>トクバイ</t>
    </rPh>
    <rPh sb="5" eb="7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</si>
  <si>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</si>
  <si>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</si>
  <si>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</si>
  <si>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</si>
  <si>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</si>
  <si>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</si>
  <si>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</si>
  <si>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</si>
  <si>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</si>
  <si>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</si>
  <si>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</si>
  <si>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特売マスタ</t>
    <rPh sb="0" eb="2">
      <t>トクバイ</t>
    </rPh>
    <phoneticPr fontId="3"/>
  </si>
  <si>
    <t>＜2024/5/22 打合せ内容の反映＞
・未使用項目セルをグレーにする
（視認性をよくするため。連携項目としては残る）
・以下の項目を修正
　No.2 店舗コード(STR_ID)：備考に"※先頭ゼロ埋めなし"を記載
　No.3 企画No.(EVNT_NBR)：桁数をMAX 10桁に変更、備考に"現状は
　　　　　9桁コードを使用"を記載
　No.5 自社商品コード(PLU_ID)：項目名を"自社商品コード"に変更、
　　　　　備考に単品の桁数を記載
　No.19 特売原価(PROMO_COST)：備考に原価率の説明を追加
　No.21 特売価格(DISC_VALUE)：備考に"※マークダウンの場合はマークダウン
　　　　　価格"を追加
　No.35 原価率フラグ(SUB_ID)：備考に"２．原価率"を追加
　No.52 緊急登録日時(EMERGENCY_TM)：項目を追加
＜内部指摘を反映＞
・型がStringの項目について、桁数が可変の場合は"MAX"を記載
・PKの記載方法を他のマスタレイアウトに合わせて"〇"から番号に変更
・以下の項目を修正
　No.3 企画No.(EVNT_NBR)：備考のマークダウンの説明を"Nullを設定"に変更
　No.19 特売原価(PROMO_COST)：備考に"※マークダウンの場合は、0を設定"を追加
　No.35 原価率フラグ(SUB_ID)：備考に"※マークダウンの場合は、6を設定"を追加
　No.51 内部イベントコード(EVNT_ID)：備考の"左詰めで"を削除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131" eb="133">
      <t>ケタスウ</t>
    </rPh>
    <rPh sb="140" eb="141">
      <t>ケタ</t>
    </rPh>
    <rPh sb="142" eb="144">
      <t>ヘンコウ</t>
    </rPh>
    <rPh sb="145" eb="147">
      <t>ビコウ</t>
    </rPh>
    <rPh sb="168" eb="170">
      <t>キサイ</t>
    </rPh>
    <rPh sb="177" eb="179">
      <t>ジシャ</t>
    </rPh>
    <rPh sb="179" eb="181">
      <t>ショウヒン</t>
    </rPh>
    <rPh sb="289" eb="291">
      <t>ビコウ</t>
    </rPh>
    <rPh sb="320" eb="322">
      <t>ツイカ</t>
    </rPh>
    <rPh sb="387" eb="389">
      <t>コウモク</t>
    </rPh>
    <rPh sb="390" eb="392">
      <t>ツイカ</t>
    </rPh>
    <rPh sb="505" eb="507">
      <t>ビコウ</t>
    </rPh>
    <rPh sb="515" eb="517">
      <t>セツメイ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</si>
  <si>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</si>
  <si>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</si>
  <si>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＜2024/5/28 打合せ内容の反映＞
・以下の項目を修正
　No.8 特売削除日数(EVNT_HLDL_DY)：備考にマークダウンの場合の説明を追記
　No.9 特売優先区分(EVNT_SRC)：備考にマークダウンの場合の説明を追記
　No.10 特売保留フラグ(EVNT_EXCL_FG)：備考にマークダウンの場合の説明を追記
　No.11 タイムサービスフラグ(TIME_SERVICE_FG)：備考にマークダウンの場合の
　　　　　　説明を追記
　No.12 月曜日除外フラグ(MON_EXCL_FG)：備考にマークダウンの場合の説明を追記
　No.13 火曜日除外フラグ(TUES_EXCL_FG)：備考にマークダウンの場合の説明を追記
　No.14 水曜日除外フラグ(WED_EXCL_FG)：備考にマークダウンの場合の説明を追記
　No.15 木曜日除外フラグ(THUS_EXCL_FG)：備考にマークダウンの場合の説明を追記
　No.16 金曜日除外フラグ(FRI_EXCL_FG)：備考にマークダウンの場合の説明を追記
　No.17 土曜日除外フラグ(SAT_EXCL_FG)：備考にマークダウンの場合の説明を追記
　No.18 日曜日除外フラグ(SUN_RXCL_FG)：備考にマークダウンの場合の説明を追記
　No.23 特売開始時間(PROMO_BGN_TM)：備考にマークダウンの場合の説明を追記
　No.24 特売終了時間(PROMO_END_TM)：備考にマークダウンの場合の説明を追記
＜内部指摘を反映＞
・改版履歴：1.1版の変更箇所の誤記を修正</t>
    <rPh sb="58" eb="60">
      <t>ビコウ</t>
    </rPh>
    <rPh sb="68" eb="70">
      <t>バアイ</t>
    </rPh>
    <rPh sb="74" eb="76">
      <t>ツイキ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</si>
  <si>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</si>
  <si>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</si>
  <si>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</si>
  <si>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</si>
  <si>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</si>
  <si>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</si>
  <si>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</si>
  <si>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特売マスタ連携</t>
    <rPh sb="0" eb="2">
      <t>トクバイ</t>
    </rPh>
    <rPh sb="5" eb="7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</si>
  <si>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</si>
  <si>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</si>
  <si>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</si>
  <si>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</si>
  <si>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IG_DISCOUNTM_yyyymmddhhmmss.CSV
IG_MNT_DISCOUNTM_yyyymmddhhmmss.CSV</t>
    <phoneticPr fontId="2"/>
  </si>
  <si>
    <t>ファイル名</t>
    <phoneticPr fontId="8"/>
  </si>
  <si>
    <t>特売マスタ</t>
    <rPh sb="0" eb="2">
      <t>トクバイ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</si>
  <si>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</si>
  <si>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</si>
  <si>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</si>
  <si>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</si>
  <si>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</si>
  <si>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</si>
  <si>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</si>
  <si>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</si>
  <si>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</si>
  <si>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</si>
  <si>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</si>
  <si>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</si>
  <si>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</si>
  <si>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</si>
  <si>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>String</t>
  </si>
  <si>
    <t>○</t>
  </si>
  <si>
    <t>Ａ：登録　Ｕ：更新　Ｄ：削除　※全件一括の場合は「A」を設定する</t>
    <phoneticPr fontId="2"/>
  </si>
  <si>
    <t>店舗コード</t>
  </si>
  <si>
    <t>STR_ID</t>
  </si>
  <si>
    <t>Long</t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</si>
  <si>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</si>
  <si>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>*1.1</t>
    <phoneticPr fontId="2"/>
  </si>
  <si>
    <t>企画No.</t>
  </si>
  <si>
    <t>EVNT_NBR</t>
  </si>
  <si>
    <t>MAX 10</t>
    <phoneticPr fontId="2"/>
  </si>
  <si>
    <r>
      <t>数字</t>
    </r>
    <r>
      <rPr>
        <sz val="9"/>
        <color rgb="FFFF0000"/>
        <rFont val="ＭＳ Ｐゴシック"/>
        <family val="3"/>
        <charset val="128"/>
      </rPr>
      <t>10</t>
    </r>
    <r>
      <rPr>
        <sz val="9"/>
        <rFont val="ＭＳ Ｐゴシック"/>
        <family val="3"/>
        <charset val="128"/>
      </rPr>
      <t>桁以内　＊親企画の企画No.を設定</t>
    </r>
    <r>
      <rPr>
        <sz val="9"/>
        <color rgb="FFFF0000"/>
        <rFont val="ＭＳ Ｐゴシック"/>
        <family val="3"/>
        <charset val="128"/>
      </rPr>
      <t>、現状は9桁コードを使用</t>
    </r>
    <r>
      <rPr>
        <sz val="9"/>
        <rFont val="ＭＳ Ｐゴシック"/>
        <family val="3"/>
        <charset val="128"/>
      </rPr>
      <t xml:space="preserve">
※マークダウンの場合は、</t>
    </r>
    <r>
      <rPr>
        <sz val="9"/>
        <color rgb="FFFF0000"/>
        <rFont val="ＭＳ Ｐゴシック"/>
        <family val="3"/>
        <charset val="128"/>
      </rPr>
      <t>Nullを設定</t>
    </r>
    <rPh sb="42" eb="44">
      <t>バアイ</t>
    </rPh>
    <rPh sb="51" eb="53">
      <t>セッテイ</t>
    </rPh>
    <phoneticPr fontId="2"/>
  </si>
  <si>
    <t>会員フラグ</t>
  </si>
  <si>
    <t>MBR_FG</t>
  </si>
  <si>
    <t>Integer</t>
  </si>
  <si>
    <t/>
  </si>
  <si>
    <t>0:一般特売　1:会員特売</t>
    <phoneticPr fontId="2"/>
  </si>
  <si>
    <t>自社商品コード</t>
    <rPh sb="0" eb="2">
      <t>ジシャ</t>
    </rPh>
    <rPh sb="2" eb="4">
      <t>ショウヒン</t>
    </rPh>
    <phoneticPr fontId="2"/>
  </si>
  <si>
    <t>PLU_ID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</si>
  <si>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</si>
  <si>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自社商品コード
・単品の場合：13桁 "00000"＋自社商品コード(8桁)</t>
    <phoneticPr fontId="2"/>
  </si>
  <si>
    <t>特売開始日</t>
  </si>
  <si>
    <t>EVNT_BGN_TM</t>
  </si>
  <si>
    <t>YYYYMMDD形式で８桁フルに設定</t>
    <phoneticPr fontId="2"/>
  </si>
  <si>
    <t>特売終了日</t>
  </si>
  <si>
    <t>EVNT_END_TM</t>
  </si>
  <si>
    <t>YYYYMMDD形式で８桁フルに設定　＊エンドレスの場合は99999999を設定</t>
    <phoneticPr fontId="2"/>
  </si>
  <si>
    <t>特売削除日数</t>
  </si>
  <si>
    <t>EVNT_HLDL_DY</t>
  </si>
  <si>
    <t>MAX 3</t>
    <phoneticPr fontId="2"/>
  </si>
  <si>
    <r>
      <t xml:space="preserve">特売削除日数を設定　＊未使用時はNullを設定
</t>
    </r>
    <r>
      <rPr>
        <sz val="9"/>
        <color rgb="FFFF0000"/>
        <rFont val="ＭＳ Ｐゴシック"/>
        <family val="3"/>
        <charset val="128"/>
      </rPr>
      <t>※マークダウンの場合は、Nullを設定</t>
    </r>
    <rPh sb="0" eb="2">
      <t>トクバイ</t>
    </rPh>
    <phoneticPr fontId="2"/>
  </si>
  <si>
    <t>*1.1,1.2</t>
    <phoneticPr fontId="2"/>
  </si>
  <si>
    <t>特売優先区分</t>
  </si>
  <si>
    <t>EVNT_SRC</t>
  </si>
  <si>
    <r>
      <t xml:space="preserve">０：店舗優先　１：本部優先
</t>
    </r>
    <r>
      <rPr>
        <sz val="9"/>
        <color rgb="FFFF0000"/>
        <rFont val="ＭＳ Ｐゴシック"/>
        <family val="3"/>
        <charset val="128"/>
      </rPr>
      <t>※マークダウンの場合は、0(店舗優先)のみ</t>
    </r>
    <phoneticPr fontId="2"/>
  </si>
  <si>
    <t>*1.2</t>
    <phoneticPr fontId="2"/>
  </si>
  <si>
    <t>特売保留フラグ</t>
  </si>
  <si>
    <t>EVNT_EXCL_FG</t>
  </si>
  <si>
    <r>
      <t xml:space="preserve">0:保留しない　1:保留する
</t>
    </r>
    <r>
      <rPr>
        <sz val="9"/>
        <color rgb="FFFF0000"/>
        <rFont val="ＭＳ Ｐゴシック"/>
        <family val="3"/>
        <charset val="128"/>
      </rPr>
      <t>※マークダウンの場合は、0(保留しない)のみ</t>
    </r>
    <rPh sb="29" eb="31">
      <t>ホリュウ</t>
    </rPh>
    <phoneticPr fontId="2"/>
  </si>
  <si>
    <t>タイムサービスフラグ</t>
  </si>
  <si>
    <t>TIME_SERVICE_FG</t>
  </si>
  <si>
    <r>
      <t xml:space="preserve">0:期間　1:期間＆曜日　2:期間＆時間　3:期間＆時間＆曜日
</t>
    </r>
    <r>
      <rPr>
        <sz val="8"/>
        <rFont val="ＭＳ Ｐゴシック"/>
        <family val="3"/>
        <charset val="128"/>
      </rPr>
      <t>※タイムサービスフラグと各曜日除外フラグ 、特売開始・終了時間の設定について
 　①タイムサービスフラグが0:各曜日除外フラグ →必ず全ての曜日に０を設定
　　　　　　　　　　　　　　　特売開始・終了時間→未設定
 　②タイムサービスフラグが1:各曜日除外フラグ →必ずいずれかの曜日に０を設定
　　　　　　　　　（特売開始日～終了日の間に設定した曜日が 存在する場合）
　　　　　　　　　　　　　　　特売開始・終了時間→未設定
 　③タイムサービスフラグが2:各曜日除外フラグ →必ず全ての曜日に０を設定
　　　　　　　　　　　　　　　特売開始・終了時間→必ず設定
 　④タイムサービスフラグが3:各曜日除外フラグ →必ずいずれかの曜日に０を設定
　　　　　　　　　（特売開始日～終了日の間に設定した曜日が 存在する場合）
　　　　　　　　　　　　　　　特売開始・終了時間→必ず設定</t>
    </r>
    <r>
      <rPr>
        <sz val="9"/>
        <rFont val="ＭＳ Ｐゴシック"/>
        <family val="3"/>
        <charset val="128"/>
      </rPr>
      <t xml:space="preserve">
</t>
    </r>
    <r>
      <rPr>
        <sz val="9"/>
        <color rgb="FFFF0000"/>
        <rFont val="ＭＳ Ｐゴシック"/>
        <family val="3"/>
        <charset val="128"/>
      </rPr>
      <t>※マークダウンの場合は、0(期間)のみ</t>
    </r>
    <rPh sb="214" eb="216">
      <t>バアイ</t>
    </rPh>
    <rPh sb="391" eb="393">
      <t>バアイ</t>
    </rPh>
    <phoneticPr fontId="2"/>
  </si>
  <si>
    <t>月曜日除外フラグ</t>
    <phoneticPr fontId="2"/>
  </si>
  <si>
    <t>MON_EXCL_FG</t>
  </si>
  <si>
    <r>
      <t xml:space="preserve">0:除外しない　1:除外する
</t>
    </r>
    <r>
      <rPr>
        <sz val="9"/>
        <color rgb="FFFF0000"/>
        <rFont val="ＭＳ Ｐゴシック"/>
        <family val="3"/>
        <charset val="128"/>
      </rPr>
      <t>※マークダウンの場合は、0(除外しない)のみ</t>
    </r>
    <phoneticPr fontId="2"/>
  </si>
  <si>
    <t>火曜日除外フラグ</t>
  </si>
  <si>
    <t>TUES_EXCL_FG</t>
  </si>
  <si>
    <t>水曜日除外フラグ</t>
  </si>
  <si>
    <t>WED_EXCL_FG</t>
  </si>
  <si>
    <t>木曜日除外フラグ</t>
  </si>
  <si>
    <t>THUS_EXCL_FG</t>
  </si>
  <si>
    <t>金曜日除外フラグ</t>
  </si>
  <si>
    <t>FRI_EXCL_FG</t>
  </si>
  <si>
    <t>土曜日除外フラグ</t>
  </si>
  <si>
    <t>SAT_EXCL_FG</t>
  </si>
  <si>
    <t>日曜日除外フラグ</t>
  </si>
  <si>
    <t>SUN_RXCL_FG</t>
  </si>
  <si>
    <t>特売原価</t>
  </si>
  <si>
    <t>PROMO_COST</t>
  </si>
  <si>
    <t>Currency</t>
  </si>
  <si>
    <t>No35が２（原価率）の場合は、原価率(小数点以下がある場合は、小数点も含む）、６（原価金額）の場合は原価金額を設定
※マークダウンの場合は、0を設定</t>
    <rPh sb="67" eb="69">
      <t>バアイ</t>
    </rPh>
    <rPh sb="73" eb="75">
      <t>セッテイ</t>
    </rPh>
    <phoneticPr fontId="2"/>
  </si>
  <si>
    <t>割引タイプ</t>
  </si>
  <si>
    <t>DISC_MTHD</t>
  </si>
  <si>
    <t>1:差額　2:％（率）　6:金額</t>
    <phoneticPr fontId="2"/>
  </si>
  <si>
    <t>特売価格</t>
  </si>
  <si>
    <t>DISC_VALUE</t>
  </si>
  <si>
    <t>Double</t>
  </si>
  <si>
    <r>
      <t xml:space="preserve">割引タイプ が１の時は割引額、２の時は割引率（１～１００）、６の時は特売金額
</t>
    </r>
    <r>
      <rPr>
        <sz val="9"/>
        <color rgb="FFFF0000"/>
        <rFont val="ＭＳ Ｐゴシック"/>
        <family val="3"/>
        <charset val="128"/>
      </rPr>
      <t>※マークダウンの場合はマークダウン価格</t>
    </r>
    <rPh sb="47" eb="49">
      <t>バアイ</t>
    </rPh>
    <rPh sb="56" eb="58">
      <t>カカク</t>
    </rPh>
    <phoneticPr fontId="2"/>
  </si>
  <si>
    <t>個数制限</t>
  </si>
  <si>
    <t>DISC_ITM_LMT</t>
  </si>
  <si>
    <t>特売開始時間</t>
  </si>
  <si>
    <t>PROMO_BGN_TM</t>
  </si>
  <si>
    <r>
      <t xml:space="preserve">HHMM形式で４桁フルに設定（２４時間制）　＊未設定時はNullを設定
</t>
    </r>
    <r>
      <rPr>
        <sz val="9"/>
        <color rgb="FFFF0000"/>
        <rFont val="ＭＳ Ｐゴシック"/>
        <family val="3"/>
        <charset val="128"/>
      </rPr>
      <t>※マークダウンの場合は、Nullを設定</t>
    </r>
    <phoneticPr fontId="2"/>
  </si>
  <si>
    <t>特売終了時間</t>
  </si>
  <si>
    <t>PROMO_END_TM</t>
  </si>
  <si>
    <t>事前特売開始日</t>
  </si>
  <si>
    <t>BFR_EVNT_BGN_TM</t>
  </si>
  <si>
    <t>MAX 8</t>
    <phoneticPr fontId="2"/>
  </si>
  <si>
    <t>現在未使用　Null固定</t>
    <phoneticPr fontId="2"/>
  </si>
  <si>
    <t>事前割引タイプ</t>
  </si>
  <si>
    <t>BFR_DISC_MTHD</t>
  </si>
  <si>
    <t>現在未使用　０固定</t>
    <phoneticPr fontId="2"/>
  </si>
  <si>
    <t>事前特売価格</t>
  </si>
  <si>
    <t>BFR_DISC_VALUE</t>
  </si>
  <si>
    <t>現在未使用　０固定</t>
  </si>
  <si>
    <t>継続特売終了日</t>
  </si>
  <si>
    <t>AFT_DISC_END_TM</t>
  </si>
  <si>
    <t>現在未使用　Null固定</t>
  </si>
  <si>
    <t>継続割引タイプ</t>
  </si>
  <si>
    <t>AFT_DISC_MTHD</t>
  </si>
  <si>
    <t>継続特売価格</t>
  </si>
  <si>
    <t>AFT_DISC_VALUE</t>
  </si>
  <si>
    <t>価格グループＩＤ</t>
  </si>
  <si>
    <t>PRC_GRP_ID</t>
  </si>
  <si>
    <t>商品階層コード</t>
  </si>
  <si>
    <t>MDSE_XREF_NO</t>
  </si>
  <si>
    <t>ＰＬＵ属性</t>
  </si>
  <si>
    <t>PLU_QUAL_TYP</t>
  </si>
  <si>
    <t>ＡＬＴコード</t>
  </si>
  <si>
    <t>ALT_NO</t>
  </si>
  <si>
    <t>原価率フラグ</t>
    <rPh sb="0" eb="2">
      <t>ゲンカ</t>
    </rPh>
    <rPh sb="2" eb="3">
      <t>リツ</t>
    </rPh>
    <phoneticPr fontId="1"/>
  </si>
  <si>
    <t>SUB_ID</t>
  </si>
  <si>
    <r>
      <rPr>
        <sz val="9"/>
        <color rgb="FFFF0000"/>
        <rFont val="ＭＳ Ｐゴシック"/>
        <family val="3"/>
        <charset val="128"/>
      </rPr>
      <t>２：原価率、</t>
    </r>
    <r>
      <rPr>
        <sz val="9"/>
        <rFont val="ＭＳ Ｐゴシック"/>
        <family val="3"/>
        <charset val="128"/>
      </rPr>
      <t>６：原価金額　</t>
    </r>
    <r>
      <rPr>
        <sz val="9"/>
        <color rgb="FFFF0000"/>
        <rFont val="ＭＳ Ｐゴシック"/>
        <family val="3"/>
        <charset val="128"/>
      </rPr>
      <t>※マークダウンの場合は、6を設定</t>
    </r>
    <phoneticPr fontId="1"/>
  </si>
  <si>
    <t>割引グループＩＤ</t>
  </si>
  <si>
    <t>DG_ID</t>
  </si>
  <si>
    <t>MAX 12</t>
    <phoneticPr fontId="2"/>
  </si>
  <si>
    <t>ＡＵＸコード</t>
  </si>
  <si>
    <t>AUX_CD</t>
  </si>
  <si>
    <t>0:一般　1:会員　※会員フラグと同じ値を設定</t>
    <phoneticPr fontId="2"/>
  </si>
  <si>
    <t>割引アカウント</t>
  </si>
  <si>
    <t>DISC_ACCT</t>
  </si>
  <si>
    <t>MAX 24</t>
    <phoneticPr fontId="2"/>
  </si>
  <si>
    <t>割引クラスＩＤ</t>
  </si>
  <si>
    <t>DISC_CLASS_ID</t>
  </si>
  <si>
    <t>特売最大値引額</t>
  </si>
  <si>
    <t>MAX_DISC_AMT</t>
  </si>
  <si>
    <t>割引トラン数</t>
  </si>
  <si>
    <t>DISC_TRAN_CNT</t>
  </si>
  <si>
    <t>バッチNo.</t>
  </si>
  <si>
    <t>BATCH_NBR</t>
  </si>
  <si>
    <t>シーケンス番号</t>
  </si>
  <si>
    <t>SEQ_ID</t>
  </si>
  <si>
    <t>成立数量</t>
  </si>
  <si>
    <t>MIN_QTY</t>
  </si>
  <si>
    <t>成立価格</t>
  </si>
  <si>
    <t>MIN_AMT</t>
  </si>
  <si>
    <t>ＡＵＸコード２</t>
  </si>
  <si>
    <t>AUX_CD2</t>
  </si>
  <si>
    <t>テナントコード</t>
  </si>
  <si>
    <t>TNT_ID</t>
  </si>
  <si>
    <t>ＰＬＵ属性２</t>
  </si>
  <si>
    <t>PLU_QUAL_TYP2</t>
  </si>
  <si>
    <t>内部ディスカウントクラスID</t>
    <rPh sb="0" eb="2">
      <t>ナイブ</t>
    </rPh>
    <phoneticPr fontId="2"/>
  </si>
  <si>
    <t>DISC_CLASS_ID</t>
    <phoneticPr fontId="2"/>
  </si>
  <si>
    <t>Long</t>
    <phoneticPr fontId="2"/>
  </si>
  <si>
    <t>値引種別　※トランに設定する内部識別子
９１１１０：マークダウン（会員）
９１１１１：マークダウン（一般）
９１１２０：タイムサービス（会員）
９１１２１：タイムサービス（一般）
９１１４０：特売（会員）
９１１４１：特売（一般）</t>
    <rPh sb="0" eb="2">
      <t>ネビキ</t>
    </rPh>
    <rPh sb="2" eb="4">
      <t>シュベツ</t>
    </rPh>
    <phoneticPr fontId="2"/>
  </si>
  <si>
    <t>内部ディスカウントID</t>
    <rPh sb="0" eb="2">
      <t>ナイブ</t>
    </rPh>
    <phoneticPr fontId="2"/>
  </si>
  <si>
    <t>DISC_ID</t>
    <phoneticPr fontId="2"/>
  </si>
  <si>
    <t>内部ディスカウント識別子　※トランに設定する内部識別子</t>
    <rPh sb="0" eb="2">
      <t>ナイブ</t>
    </rPh>
    <rPh sb="18" eb="20">
      <t>セッテイ</t>
    </rPh>
    <rPh sb="22" eb="24">
      <t>ナイブ</t>
    </rPh>
    <rPh sb="24" eb="27">
      <t>シキベツシ</t>
    </rPh>
    <phoneticPr fontId="2"/>
  </si>
  <si>
    <t>内部イベントコード</t>
    <rPh sb="0" eb="2">
      <t>ナイブ</t>
    </rPh>
    <phoneticPr fontId="2"/>
  </si>
  <si>
    <t>EVNT_ID</t>
    <phoneticPr fontId="2"/>
  </si>
  <si>
    <t>String</t>
    <phoneticPr fontId="2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</si>
  <si>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</si>
  <si>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r>
      <t>内部識別コード。</t>
    </r>
    <r>
      <rPr>
        <strike/>
        <sz val="9"/>
        <color rgb="FFFF0000"/>
        <rFont val="ＭＳ Ｐゴシック"/>
        <family val="3"/>
        <charset val="128"/>
      </rPr>
      <t>左詰めで</t>
    </r>
    <r>
      <rPr>
        <sz val="9"/>
        <rFont val="ＭＳ Ｐゴシック"/>
        <family val="3"/>
        <charset val="128"/>
      </rPr>
      <t>数字6桁以内　※トランに設定する内部識別子</t>
    </r>
    <phoneticPr fontId="2"/>
  </si>
  <si>
    <t>緊急登録日時</t>
    <rPh sb="0" eb="2">
      <t>キンキュウ</t>
    </rPh>
    <rPh sb="2" eb="4">
      <t>トウロク</t>
    </rPh>
    <rPh sb="4" eb="6">
      <t>ニチジ</t>
    </rPh>
    <phoneticPr fontId="2"/>
  </si>
  <si>
    <t>EMERGENCY_TM</t>
    <phoneticPr fontId="2"/>
  </si>
  <si>
    <t>MAX 18</t>
    <phoneticPr fontId="2"/>
  </si>
  <si>
    <t>緊急登録日時をYYYYMMDDHHMMSS.SSS形式[年(4桁)月(2桁)日(2桁)時(2桁)分(2桁)秒(整数部2桁＋ピリオド1桁＋小数点以下3桁)]で18桁で設定
※未登録時はNullを設定
※同一の値引種別のデータが複数存在し、かつ、緊急登録日付が営業日と一致する場合は、緊急登録日時が最新のデータが優先される</t>
    <rPh sb="0" eb="2">
      <t>キンキュウ</t>
    </rPh>
    <rPh sb="2" eb="4">
      <t>トウロク</t>
    </rPh>
    <rPh sb="4" eb="6">
      <t>ニチジ</t>
    </rPh>
    <rPh sb="28" eb="29">
      <t>ネン</t>
    </rPh>
    <rPh sb="31" eb="32">
      <t>ケタ</t>
    </rPh>
    <rPh sb="33" eb="34">
      <t>ツキ</t>
    </rPh>
    <rPh sb="36" eb="37">
      <t>ケタ</t>
    </rPh>
    <rPh sb="38" eb="39">
      <t>ヒ</t>
    </rPh>
    <rPh sb="41" eb="42">
      <t>ケタ</t>
    </rPh>
    <rPh sb="43" eb="44">
      <t>ジ</t>
    </rPh>
    <rPh sb="46" eb="47">
      <t>ケタ</t>
    </rPh>
    <rPh sb="48" eb="49">
      <t>フン</t>
    </rPh>
    <rPh sb="51" eb="52">
      <t>ケタ</t>
    </rPh>
    <rPh sb="53" eb="54">
      <t>ビョウ</t>
    </rPh>
    <rPh sb="55" eb="57">
      <t>セイスウ</t>
    </rPh>
    <rPh sb="57" eb="58">
      <t>ブ</t>
    </rPh>
    <rPh sb="59" eb="60">
      <t>ケタ</t>
    </rPh>
    <rPh sb="66" eb="67">
      <t>ケタ</t>
    </rPh>
    <rPh sb="68" eb="70">
      <t>ショウスウ</t>
    </rPh>
    <rPh sb="70" eb="71">
      <t>テン</t>
    </rPh>
    <rPh sb="71" eb="73">
      <t>イカ</t>
    </rPh>
    <rPh sb="74" eb="75">
      <t>ケタ</t>
    </rPh>
    <rPh sb="80" eb="81">
      <t>ケタ</t>
    </rPh>
    <rPh sb="82" eb="84">
      <t>セッテイ</t>
    </rPh>
    <rPh sb="86" eb="87">
      <t>ミ</t>
    </rPh>
    <rPh sb="87" eb="89">
      <t>トウロク</t>
    </rPh>
    <rPh sb="89" eb="90">
      <t>ジ</t>
    </rPh>
    <rPh sb="90" eb="91">
      <t>テイジ</t>
    </rPh>
    <rPh sb="96" eb="98">
      <t>セッテイ</t>
    </rPh>
    <rPh sb="100" eb="102">
      <t>ドウイツ</t>
    </rPh>
    <rPh sb="112" eb="114">
      <t>フクスウ</t>
    </rPh>
    <rPh sb="114" eb="116">
      <t>ソンザイ</t>
    </rPh>
    <rPh sb="121" eb="123">
      <t>キンキュウ</t>
    </rPh>
    <rPh sb="123" eb="125">
      <t>トウロク</t>
    </rPh>
    <rPh sb="125" eb="127">
      <t>ヒヅケ</t>
    </rPh>
    <rPh sb="128" eb="131">
      <t>エイギョウビ</t>
    </rPh>
    <rPh sb="132" eb="134">
      <t>イッチ</t>
    </rPh>
    <rPh sb="136" eb="138">
      <t>バアイ</t>
    </rPh>
    <rPh sb="144" eb="146">
      <t>ニチジ</t>
    </rPh>
    <rPh sb="147" eb="149">
      <t>サイシン</t>
    </rPh>
    <rPh sb="154" eb="156">
      <t>ユウセン</t>
    </rPh>
    <phoneticPr fontId="2"/>
  </si>
  <si>
    <t>CRT_DT</t>
  </si>
  <si>
    <r>
      <t>現在未使用</t>
    </r>
    <r>
      <rPr>
        <sz val="9"/>
        <color rgb="FFFF0000"/>
        <rFont val="ＭＳ Ｐゴシック"/>
        <family val="3"/>
        <charset val="128"/>
      </rPr>
      <t>　０固定</t>
    </r>
    <r>
      <rPr>
        <sz val="9"/>
        <rFont val="ＭＳ Ｐゴシック"/>
        <family val="3"/>
        <charset val="128"/>
      </rPr>
      <t>（限定販売の限定数量の設定項目ではありません）</t>
    </r>
    <rPh sb="0" eb="2">
      <t>ゲンザイ</t>
    </rPh>
    <rPh sb="2" eb="3">
      <t>ミ</t>
    </rPh>
    <rPh sb="3" eb="5">
      <t>シヨウ</t>
    </rPh>
    <rPh sb="10" eb="12">
      <t>ゲンテイ</t>
    </rPh>
    <rPh sb="12" eb="14">
      <t>ハンバイ</t>
    </rPh>
    <rPh sb="15" eb="17">
      <t>ゲンテイ</t>
    </rPh>
    <rPh sb="17" eb="19">
      <t>スウリョウ</t>
    </rPh>
    <rPh sb="20" eb="22">
      <t>セッテイ</t>
    </rPh>
    <rPh sb="22" eb="24">
      <t>コウモク</t>
    </rPh>
    <phoneticPr fontId="1"/>
  </si>
  <si>
    <t>*1.1,1.3</t>
    <phoneticPr fontId="2"/>
  </si>
  <si>
    <t>＜内部指摘を反映＞
・以下の項目を修正
　No.22 個数制限(DISC_ITM_LMT)：備考の説明に"０固定"を追記
・レイアウト項目一覧表の下部に補足説明を追加</t>
    <rPh sb="58" eb="60">
      <t>ツイキ</t>
    </rPh>
    <phoneticPr fontId="3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</si>
  <si>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</si>
  <si>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</si>
  <si>
    <t>*1.3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</si>
</sst>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9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7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9" fillId="0" borderId="0" xfId="9" applyFont="1">
      <alignment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8" fillId="0" borderId="49" xfId="9" applyFont="1" applyBorder="1" applyAlignment="1">
      <alignment horizontal="right" vertical="center"/>
    </xf>
    <xf numFmtId="0" fontId="28" fillId="0" borderId="7" xfId="9" applyFont="1" applyBorder="1" applyAlignment="1">
      <alignment horizontal="left" vertical="center"/>
    </xf>
    <xf numFmtId="0" fontId="28" fillId="5" borderId="49" xfId="9" applyFont="1" applyFill="1" applyBorder="1" applyAlignment="1">
      <alignment horizontal="right" vertical="center"/>
    </xf>
    <xf numFmtId="0" fontId="31" fillId="0" borderId="49" xfId="9" applyFont="1" applyBorder="1" applyAlignment="1">
      <alignment horizontal="center" vertical="center"/>
    </xf>
    <xf numFmtId="0" fontId="28" fillId="0" borderId="49" xfId="9" applyFont="1" applyBorder="1" applyAlignment="1">
      <alignment horizontal="center" vertical="center"/>
    </xf>
    <xf numFmtId="0" fontId="34" fillId="0" borderId="0" xfId="2" applyFont="1" applyAlignme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3" fillId="0" borderId="28" xfId="7" applyFont="1" applyBorder="1" applyAlignment="1">
      <alignment horizontal="left" vertical="top" wrapText="1"/>
    </xf>
    <xf numFmtId="0" fontId="33" fillId="0" borderId="23" xfId="7" applyFont="1" applyBorder="1" applyAlignment="1">
      <alignment horizontal="left" vertical="top" wrapText="1"/>
    </xf>
    <xf numFmtId="0" fontId="33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 shrinkToFit="1"/>
    </xf>
    <xf numFmtId="14" fontId="10" fillId="0" borderId="6" xfId="6" applyNumberFormat="1" applyFont="1" applyBorder="1" applyAlignment="1">
      <alignment horizontal="center" vertical="center" shrinkToFit="1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30" fillId="0" borderId="8" xfId="9" applyFont="1" applyBorder="1" applyAlignment="1">
      <alignment vertical="center"/>
    </xf>
    <xf numFmtId="0" fontId="30" fillId="0" borderId="7" xfId="9" applyFont="1" applyBorder="1" applyAlignment="1">
      <alignment vertical="center"/>
    </xf>
    <xf numFmtId="0" fontId="25" fillId="0" borderId="8" xfId="9" applyFont="1" applyBorder="1" applyAlignment="1">
      <alignment horizontal="left" vertical="center" wrapText="1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8" fillId="0" borderId="8" xfId="9" applyFont="1" applyBorder="1" applyAlignment="1">
      <alignment horizontal="left" vertical="center" wrapText="1" shrinkToFit="1"/>
    </xf>
    <xf numFmtId="0" fontId="28" fillId="0" borderId="6" xfId="9" applyFont="1" applyBorder="1" applyAlignment="1">
      <alignment horizontal="left" vertical="center" shrinkToFit="1"/>
    </xf>
    <xf numFmtId="0" fontId="28" fillId="0" borderId="7" xfId="9" applyFont="1" applyBorder="1" applyAlignment="1">
      <alignment horizontal="left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 applyAlignment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8" fillId="0" borderId="8" xfId="9" applyFont="1" applyBorder="1" applyAlignment="1">
      <alignment horizontal="left" vertical="center" wrapText="1"/>
    </xf>
    <xf numFmtId="0" fontId="28" fillId="0" borderId="6" xfId="9" applyFont="1" applyBorder="1" applyAlignment="1">
      <alignment horizontal="left" vertical="center"/>
    </xf>
    <xf numFmtId="0" fontId="28" fillId="0" borderId="7" xfId="9" applyFont="1" applyBorder="1" applyAlignment="1">
      <alignment horizontal="left" vertical="center"/>
    </xf>
    <xf numFmtId="0" fontId="28" fillId="0" borderId="6" xfId="9" applyFont="1" applyBorder="1" applyAlignment="1">
      <alignment horizontal="left" vertical="center" wrapText="1"/>
    </xf>
    <xf numFmtId="0" fontId="28" fillId="0" borderId="7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5" fillId="0" borderId="6" xfId="9" applyFont="1" applyBorder="1" applyAlignment="1">
      <alignment horizontal="left" vertical="center" wrapText="1"/>
    </xf>
    <xf numFmtId="0" fontId="25" fillId="0" borderId="7" xfId="9" applyFont="1" applyBorder="1" applyAlignment="1">
      <alignment horizontal="left" vertical="center" wrapText="1"/>
    </xf>
    <xf numFmtId="0" fontId="28" fillId="0" borderId="0" xfId="9" applyFo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opLeftCell="A8" zoomScale="120" zoomScaleNormal="120" zoomScaleSheetLayoutView="100" workbookViewId="0">
      <selection activeCell="U11" sqref="U11:AR11"/>
    </sheetView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2" t="s">
        <v>1</v>
      </c>
      <c r="P3" s="114"/>
      <c r="Q3" s="114"/>
      <c r="R3" s="114"/>
      <c r="S3" s="114"/>
      <c r="T3" s="115"/>
      <c r="U3" s="113" t="s">
        <v>2</v>
      </c>
      <c r="V3" s="114"/>
      <c r="W3" s="114"/>
      <c r="X3" s="114"/>
      <c r="Y3" s="114"/>
      <c r="Z3" s="114"/>
      <c r="AA3" s="115"/>
      <c r="AB3" s="133" t="s">
        <v>3</v>
      </c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5"/>
      <c r="AO3" s="113" t="s">
        <v>4</v>
      </c>
      <c r="AP3" s="115"/>
      <c r="AQ3" s="110" t="s">
        <v>5</v>
      </c>
      <c r="AR3" s="111"/>
      <c r="AS3" s="112"/>
      <c r="AT3" s="113" t="s">
        <v>6</v>
      </c>
      <c r="AU3" s="114"/>
      <c r="AV3" s="114"/>
      <c r="AW3" s="115"/>
      <c r="AX3" s="110" t="s">
        <v>7</v>
      </c>
      <c r="AY3" s="111"/>
      <c r="AZ3" s="112"/>
      <c r="BA3" s="113" t="s">
        <v>8</v>
      </c>
      <c r="BB3" s="114"/>
      <c r="BC3" s="114"/>
      <c r="BD3" s="115"/>
    </row>
    <row r="4" spans="1:57" ht="15" thickBot="1" x14ac:dyDescent="0.3">
      <c r="B4" s="116" t="s">
        <v>9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19" t="s">
        <v>10</v>
      </c>
      <c r="P4" s="120"/>
      <c r="Q4" s="120"/>
      <c r="R4" s="120"/>
      <c r="S4" s="120"/>
      <c r="T4" s="121"/>
      <c r="U4" s="139" t="s">
        <v>11</v>
      </c>
      <c r="V4" s="140"/>
      <c r="W4" s="140"/>
      <c r="X4" s="140"/>
      <c r="Y4" s="140"/>
      <c r="Z4" s="140"/>
      <c r="AA4" s="141"/>
      <c r="AB4" s="136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8"/>
      <c r="AO4" s="122">
        <f>MAX(I7:K22)</f>
        <v>1.3</v>
      </c>
      <c r="AP4" s="123"/>
      <c r="AQ4" s="124" t="s">
        <v>12</v>
      </c>
      <c r="AR4" s="125"/>
      <c r="AS4" s="126"/>
      <c r="AT4" s="127">
        <f>MAX(D7:H22)</f>
        <v>45681</v>
      </c>
      <c r="AU4" s="128"/>
      <c r="AV4" s="128"/>
      <c r="AW4" s="128"/>
      <c r="AX4" s="124" t="s">
        <v>13</v>
      </c>
      <c r="AY4" s="125"/>
      <c r="AZ4" s="126"/>
      <c r="BA4" s="129">
        <v>45434</v>
      </c>
      <c r="BB4" s="130"/>
      <c r="BC4" s="130"/>
      <c r="BD4" s="131"/>
    </row>
    <row r="5" spans="1:57" ht="15" thickTop="1" x14ac:dyDescent="0.25"/>
    <row r="6" spans="1:57" x14ac:dyDescent="0.25">
      <c r="B6" s="100" t="s">
        <v>14</v>
      </c>
      <c r="C6" s="93"/>
      <c r="D6" s="101" t="s">
        <v>15</v>
      </c>
      <c r="E6" s="102"/>
      <c r="F6" s="102"/>
      <c r="G6" s="102"/>
      <c r="H6" s="103"/>
      <c r="I6" s="104" t="s">
        <v>16</v>
      </c>
      <c r="J6" s="104"/>
      <c r="K6" s="104"/>
      <c r="L6" s="105" t="s">
        <v>17</v>
      </c>
      <c r="M6" s="93"/>
      <c r="N6" s="93"/>
      <c r="O6" s="93"/>
      <c r="P6" s="93"/>
      <c r="Q6" s="93"/>
      <c r="R6" s="93"/>
      <c r="S6" s="93"/>
      <c r="T6" s="106"/>
      <c r="U6" s="105" t="s">
        <v>18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106"/>
      <c r="AS6" s="105" t="s">
        <v>19</v>
      </c>
      <c r="AT6" s="93"/>
      <c r="AU6" s="93"/>
      <c r="AV6" s="93"/>
      <c r="AW6" s="106"/>
      <c r="AX6" s="93" t="s">
        <v>20</v>
      </c>
      <c r="AY6" s="93"/>
      <c r="AZ6" s="93"/>
      <c r="BA6" s="93"/>
      <c r="BB6" s="93"/>
      <c r="BC6" s="93"/>
      <c r="BD6" s="94"/>
    </row>
    <row r="7" spans="1:57" ht="24.95" customHeight="1" x14ac:dyDescent="0.25">
      <c r="B7" s="84">
        <f t="shared" ref="B7:B22" si="0">ROW()-6</f>
        <v>1</v>
      </c>
      <c r="C7" s="85"/>
      <c r="D7" s="95">
        <v>45434</v>
      </c>
      <c r="E7" s="96"/>
      <c r="F7" s="96"/>
      <c r="G7" s="96"/>
      <c r="H7" s="97"/>
      <c r="I7" s="89">
        <v>1</v>
      </c>
      <c r="J7" s="89"/>
      <c r="K7" s="89"/>
      <c r="L7" s="107" t="s">
        <v>21</v>
      </c>
      <c r="M7" s="108"/>
      <c r="N7" s="108"/>
      <c r="O7" s="108"/>
      <c r="P7" s="108"/>
      <c r="Q7" s="108"/>
      <c r="R7" s="108"/>
      <c r="S7" s="108"/>
      <c r="T7" s="109"/>
      <c r="U7" s="107" t="s">
        <v>22</v>
      </c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9"/>
      <c r="AS7" s="79"/>
      <c r="AT7" s="80"/>
      <c r="AU7" s="80"/>
      <c r="AV7" s="80"/>
      <c r="AW7" s="81"/>
      <c r="AX7" s="98"/>
      <c r="AY7" s="98"/>
      <c r="AZ7" s="98"/>
      <c r="BA7" s="98"/>
      <c r="BB7" s="98"/>
      <c r="BC7" s="98"/>
      <c r="BD7" s="99"/>
    </row>
    <row r="8" spans="1:57" ht="269.25" customHeight="1" x14ac:dyDescent="0.25">
      <c r="B8" s="71">
        <f t="shared" si="0"/>
        <v>2</v>
      </c>
      <c r="C8" s="72"/>
      <c r="D8" s="73">
        <v>45439</v>
      </c>
      <c r="E8" s="74"/>
      <c r="F8" s="74"/>
      <c r="G8" s="74"/>
      <c r="H8" s="75"/>
      <c r="I8" s="89">
        <v>1.1000000000000001</v>
      </c>
      <c r="J8" s="89"/>
      <c r="K8" s="89"/>
      <c r="L8" s="90" t="s">
        <v>23</v>
      </c>
      <c r="M8" s="91"/>
      <c r="N8" s="91"/>
      <c r="O8" s="91"/>
      <c r="P8" s="91"/>
      <c r="Q8" s="91"/>
      <c r="R8" s="91"/>
      <c r="S8" s="91"/>
      <c r="T8" s="92"/>
      <c r="U8" s="45" t="s">
        <v>24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7"/>
      <c r="AS8" s="79" t="s">
        <v>25</v>
      </c>
      <c r="AT8" s="80"/>
      <c r="AU8" s="80"/>
      <c r="AV8" s="80"/>
      <c r="AW8" s="81"/>
      <c r="AX8" s="82"/>
      <c r="AY8" s="82"/>
      <c r="AZ8" s="82"/>
      <c r="BA8" s="82"/>
      <c r="BB8" s="82"/>
      <c r="BC8" s="82"/>
      <c r="BD8" s="83"/>
      <c r="BE8" s="44" t="s">
        <v>26</v>
      </c>
    </row>
    <row r="9" spans="1:57" ht="217.5" customHeight="1" x14ac:dyDescent="0.25">
      <c r="B9" s="84">
        <f t="shared" si="0"/>
        <v>3</v>
      </c>
      <c r="C9" s="85"/>
      <c r="D9" s="73">
        <v>45441</v>
      </c>
      <c r="E9" s="74"/>
      <c r="F9" s="74"/>
      <c r="G9" s="74"/>
      <c r="H9" s="75"/>
      <c r="I9" s="89">
        <v>1.2</v>
      </c>
      <c r="J9" s="89"/>
      <c r="K9" s="89"/>
      <c r="L9" s="45" t="s">
        <v>23</v>
      </c>
      <c r="M9" s="46"/>
      <c r="N9" s="46"/>
      <c r="O9" s="46"/>
      <c r="P9" s="46"/>
      <c r="Q9" s="46"/>
      <c r="R9" s="46"/>
      <c r="S9" s="46"/>
      <c r="T9" s="47"/>
      <c r="U9" s="45" t="s">
        <v>27</v>
      </c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7"/>
      <c r="AS9" s="79" t="s">
        <v>25</v>
      </c>
      <c r="AT9" s="80"/>
      <c r="AU9" s="80"/>
      <c r="AV9" s="80"/>
      <c r="AW9" s="81"/>
      <c r="AX9" s="82"/>
      <c r="AY9" s="82"/>
      <c r="AZ9" s="82"/>
      <c r="BA9" s="82"/>
      <c r="BB9" s="82"/>
      <c r="BC9" s="82"/>
      <c r="BD9" s="83"/>
    </row>
    <row r="10" spans="1:57" ht="50.25" customHeight="1" x14ac:dyDescent="0.25">
      <c r="A10" s="9"/>
      <c r="B10" s="71">
        <f t="shared" si="0"/>
        <v>4</v>
      </c>
      <c r="C10" s="72"/>
      <c r="D10" s="73">
        <v>45681</v>
      </c>
      <c r="E10" s="74"/>
      <c r="F10" s="74"/>
      <c r="G10" s="74"/>
      <c r="H10" s="75"/>
      <c r="I10" s="89">
        <v>1.3</v>
      </c>
      <c r="J10" s="89"/>
      <c r="K10" s="89"/>
      <c r="L10" s="45" t="s">
        <v>23</v>
      </c>
      <c r="M10" s="46"/>
      <c r="N10" s="46"/>
      <c r="O10" s="46"/>
      <c r="P10" s="46"/>
      <c r="Q10" s="46"/>
      <c r="R10" s="46"/>
      <c r="S10" s="46"/>
      <c r="T10" s="47"/>
      <c r="U10" s="45" t="s">
        <v>208</v>
      </c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7"/>
      <c r="AS10" s="79"/>
      <c r="AT10" s="80"/>
      <c r="AU10" s="80"/>
      <c r="AV10" s="80"/>
      <c r="AW10" s="81"/>
      <c r="AX10" s="82"/>
      <c r="AY10" s="82"/>
      <c r="AZ10" s="82"/>
      <c r="BA10" s="82"/>
      <c r="BB10" s="82"/>
      <c r="BC10" s="82"/>
      <c r="BD10" s="83"/>
    </row>
    <row r="11" spans="1:57" ht="24.95" customHeight="1" x14ac:dyDescent="0.25">
      <c r="A11" s="9"/>
      <c r="B11" s="84">
        <f t="shared" si="0"/>
        <v>5</v>
      </c>
      <c r="C11" s="85"/>
      <c r="D11" s="73"/>
      <c r="E11" s="74"/>
      <c r="F11" s="74"/>
      <c r="G11" s="74"/>
      <c r="H11" s="75"/>
      <c r="I11" s="89"/>
      <c r="J11" s="89"/>
      <c r="K11" s="89"/>
      <c r="L11" s="45"/>
      <c r="M11" s="46"/>
      <c r="N11" s="46"/>
      <c r="O11" s="46"/>
      <c r="P11" s="46"/>
      <c r="Q11" s="46"/>
      <c r="R11" s="46"/>
      <c r="S11" s="46"/>
      <c r="T11" s="47"/>
      <c r="U11" s="45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7"/>
      <c r="AS11" s="79"/>
      <c r="AT11" s="80"/>
      <c r="AU11" s="80"/>
      <c r="AV11" s="80"/>
      <c r="AW11" s="81"/>
      <c r="AX11" s="82"/>
      <c r="AY11" s="82"/>
      <c r="AZ11" s="82"/>
      <c r="BA11" s="82"/>
      <c r="BB11" s="82"/>
      <c r="BC11" s="82"/>
      <c r="BD11" s="83"/>
    </row>
    <row r="12" spans="1:57" ht="24.95" customHeight="1" x14ac:dyDescent="0.25">
      <c r="A12" s="9"/>
      <c r="B12" s="71">
        <f t="shared" si="0"/>
        <v>6</v>
      </c>
      <c r="C12" s="72"/>
      <c r="D12" s="73"/>
      <c r="E12" s="74"/>
      <c r="F12" s="74"/>
      <c r="G12" s="74"/>
      <c r="H12" s="75"/>
      <c r="I12" s="87"/>
      <c r="J12" s="87"/>
      <c r="K12" s="87"/>
      <c r="L12" s="45"/>
      <c r="M12" s="46"/>
      <c r="N12" s="46"/>
      <c r="O12" s="46"/>
      <c r="P12" s="46"/>
      <c r="Q12" s="46"/>
      <c r="R12" s="46"/>
      <c r="S12" s="46"/>
      <c r="T12" s="47"/>
      <c r="U12" s="45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7"/>
      <c r="AS12" s="88"/>
      <c r="AT12" s="88"/>
      <c r="AU12" s="88"/>
      <c r="AV12" s="88"/>
      <c r="AW12" s="88"/>
      <c r="AX12" s="82"/>
      <c r="AY12" s="82"/>
      <c r="AZ12" s="82"/>
      <c r="BA12" s="82"/>
      <c r="BB12" s="82"/>
      <c r="BC12" s="82"/>
      <c r="BD12" s="83"/>
    </row>
    <row r="13" spans="1:57" ht="24.95" customHeight="1" x14ac:dyDescent="0.25">
      <c r="A13" s="9"/>
      <c r="B13" s="84">
        <f t="shared" si="0"/>
        <v>7</v>
      </c>
      <c r="C13" s="85"/>
      <c r="D13" s="73"/>
      <c r="E13" s="74"/>
      <c r="F13" s="74"/>
      <c r="G13" s="74"/>
      <c r="H13" s="75"/>
      <c r="I13" s="86"/>
      <c r="J13" s="86"/>
      <c r="K13" s="86"/>
      <c r="L13" s="45"/>
      <c r="M13" s="46"/>
      <c r="N13" s="46"/>
      <c r="O13" s="46"/>
      <c r="P13" s="46"/>
      <c r="Q13" s="46"/>
      <c r="R13" s="46"/>
      <c r="S13" s="46"/>
      <c r="T13" s="47"/>
      <c r="U13" s="45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7"/>
      <c r="AS13" s="79"/>
      <c r="AT13" s="80"/>
      <c r="AU13" s="80"/>
      <c r="AV13" s="80"/>
      <c r="AW13" s="81"/>
      <c r="AX13" s="82"/>
      <c r="AY13" s="82"/>
      <c r="AZ13" s="82"/>
      <c r="BA13" s="82"/>
      <c r="BB13" s="82"/>
      <c r="BC13" s="82"/>
      <c r="BD13" s="83"/>
    </row>
    <row r="14" spans="1:57" ht="24.95" customHeight="1" x14ac:dyDescent="0.25">
      <c r="A14" s="9"/>
      <c r="B14" s="71">
        <f t="shared" si="0"/>
        <v>8</v>
      </c>
      <c r="C14" s="72"/>
      <c r="D14" s="73"/>
      <c r="E14" s="74"/>
      <c r="F14" s="74"/>
      <c r="G14" s="74"/>
      <c r="H14" s="75"/>
      <c r="I14" s="86"/>
      <c r="J14" s="86"/>
      <c r="K14" s="86"/>
      <c r="L14" s="45"/>
      <c r="M14" s="46"/>
      <c r="N14" s="46"/>
      <c r="O14" s="46"/>
      <c r="P14" s="46"/>
      <c r="Q14" s="46"/>
      <c r="R14" s="46"/>
      <c r="S14" s="46"/>
      <c r="T14" s="47"/>
      <c r="U14" s="45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7"/>
      <c r="AS14" s="79"/>
      <c r="AT14" s="80"/>
      <c r="AU14" s="80"/>
      <c r="AV14" s="80"/>
      <c r="AW14" s="81"/>
      <c r="AX14" s="82"/>
      <c r="AY14" s="82"/>
      <c r="AZ14" s="82"/>
      <c r="BA14" s="82"/>
      <c r="BB14" s="82"/>
      <c r="BC14" s="82"/>
      <c r="BD14" s="83"/>
    </row>
    <row r="15" spans="1:57" ht="24.95" customHeight="1" x14ac:dyDescent="0.25">
      <c r="A15" s="9"/>
      <c r="B15" s="84">
        <f t="shared" si="0"/>
        <v>9</v>
      </c>
      <c r="C15" s="85"/>
      <c r="D15" s="73"/>
      <c r="E15" s="74"/>
      <c r="F15" s="74"/>
      <c r="G15" s="74"/>
      <c r="H15" s="75"/>
      <c r="I15" s="86"/>
      <c r="J15" s="86"/>
      <c r="K15" s="86"/>
      <c r="L15" s="45"/>
      <c r="M15" s="46"/>
      <c r="N15" s="46"/>
      <c r="O15" s="46"/>
      <c r="P15" s="46"/>
      <c r="Q15" s="46"/>
      <c r="R15" s="46"/>
      <c r="S15" s="46"/>
      <c r="T15" s="47"/>
      <c r="U15" s="45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7"/>
      <c r="AS15" s="79"/>
      <c r="AT15" s="80"/>
      <c r="AU15" s="80"/>
      <c r="AV15" s="80"/>
      <c r="AW15" s="81"/>
      <c r="AX15" s="82"/>
      <c r="AY15" s="82"/>
      <c r="AZ15" s="82"/>
      <c r="BA15" s="82"/>
      <c r="BB15" s="82"/>
      <c r="BC15" s="82"/>
      <c r="BD15" s="83"/>
    </row>
    <row r="16" spans="1:57" ht="24.95" customHeight="1" x14ac:dyDescent="0.25">
      <c r="A16" s="9"/>
      <c r="B16" s="71">
        <f t="shared" si="0"/>
        <v>10</v>
      </c>
      <c r="C16" s="72"/>
      <c r="D16" s="73"/>
      <c r="E16" s="74"/>
      <c r="F16" s="74"/>
      <c r="G16" s="74"/>
      <c r="H16" s="75"/>
      <c r="I16" s="86"/>
      <c r="J16" s="86"/>
      <c r="K16" s="86"/>
      <c r="L16" s="45"/>
      <c r="M16" s="46"/>
      <c r="N16" s="46"/>
      <c r="O16" s="46"/>
      <c r="P16" s="46"/>
      <c r="Q16" s="46"/>
      <c r="R16" s="46"/>
      <c r="S16" s="46"/>
      <c r="T16" s="47"/>
      <c r="U16" s="45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7"/>
      <c r="AS16" s="79"/>
      <c r="AT16" s="80"/>
      <c r="AU16" s="80"/>
      <c r="AV16" s="80"/>
      <c r="AW16" s="81"/>
      <c r="AX16" s="82"/>
      <c r="AY16" s="82"/>
      <c r="AZ16" s="82"/>
      <c r="BA16" s="82"/>
      <c r="BB16" s="82"/>
      <c r="BC16" s="82"/>
      <c r="BD16" s="83"/>
    </row>
    <row r="17" spans="1:56" ht="24.95" customHeight="1" x14ac:dyDescent="0.25">
      <c r="A17" s="9"/>
      <c r="B17" s="84">
        <f t="shared" si="0"/>
        <v>11</v>
      </c>
      <c r="C17" s="85"/>
      <c r="D17" s="73"/>
      <c r="E17" s="74"/>
      <c r="F17" s="74"/>
      <c r="G17" s="74"/>
      <c r="H17" s="75"/>
      <c r="I17" s="86"/>
      <c r="J17" s="86"/>
      <c r="K17" s="86"/>
      <c r="L17" s="45"/>
      <c r="M17" s="46"/>
      <c r="N17" s="46"/>
      <c r="O17" s="46"/>
      <c r="P17" s="46"/>
      <c r="Q17" s="46"/>
      <c r="R17" s="46"/>
      <c r="S17" s="46"/>
      <c r="T17" s="47"/>
      <c r="U17" s="45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7"/>
      <c r="AS17" s="79"/>
      <c r="AT17" s="80"/>
      <c r="AU17" s="80"/>
      <c r="AV17" s="80"/>
      <c r="AW17" s="81"/>
      <c r="AX17" s="82"/>
      <c r="AY17" s="82"/>
      <c r="AZ17" s="82"/>
      <c r="BA17" s="82"/>
      <c r="BB17" s="82"/>
      <c r="BC17" s="82"/>
      <c r="BD17" s="83"/>
    </row>
    <row r="18" spans="1:56" ht="24.95" customHeight="1" x14ac:dyDescent="0.25">
      <c r="A18" s="9"/>
      <c r="B18" s="71">
        <f t="shared" si="0"/>
        <v>12</v>
      </c>
      <c r="C18" s="72"/>
      <c r="D18" s="73"/>
      <c r="E18" s="74"/>
      <c r="F18" s="74"/>
      <c r="G18" s="74"/>
      <c r="H18" s="75"/>
      <c r="I18" s="76"/>
      <c r="J18" s="77"/>
      <c r="K18" s="78"/>
      <c r="L18" s="45"/>
      <c r="M18" s="46"/>
      <c r="N18" s="46"/>
      <c r="O18" s="46"/>
      <c r="P18" s="46"/>
      <c r="Q18" s="46"/>
      <c r="R18" s="46"/>
      <c r="S18" s="46"/>
      <c r="T18" s="47"/>
      <c r="U18" s="45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7"/>
      <c r="AS18" s="79"/>
      <c r="AT18" s="80"/>
      <c r="AU18" s="80"/>
      <c r="AV18" s="80"/>
      <c r="AW18" s="81"/>
      <c r="AX18" s="82"/>
      <c r="AY18" s="82"/>
      <c r="AZ18" s="82"/>
      <c r="BA18" s="82"/>
      <c r="BB18" s="82"/>
      <c r="BC18" s="82"/>
      <c r="BD18" s="83"/>
    </row>
    <row r="19" spans="1:56" ht="24.95" customHeight="1" x14ac:dyDescent="0.25">
      <c r="A19" s="9"/>
      <c r="B19" s="84">
        <f t="shared" si="0"/>
        <v>13</v>
      </c>
      <c r="C19" s="85"/>
      <c r="D19" s="73"/>
      <c r="E19" s="74"/>
      <c r="F19" s="74"/>
      <c r="G19" s="74"/>
      <c r="H19" s="75"/>
      <c r="I19" s="76"/>
      <c r="J19" s="77"/>
      <c r="K19" s="78"/>
      <c r="L19" s="45"/>
      <c r="M19" s="46"/>
      <c r="N19" s="46"/>
      <c r="O19" s="46"/>
      <c r="P19" s="46"/>
      <c r="Q19" s="46"/>
      <c r="R19" s="46"/>
      <c r="S19" s="46"/>
      <c r="T19" s="47"/>
      <c r="U19" s="45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7"/>
      <c r="AS19" s="79"/>
      <c r="AT19" s="80"/>
      <c r="AU19" s="80"/>
      <c r="AV19" s="80"/>
      <c r="AW19" s="81"/>
      <c r="AX19" s="82"/>
      <c r="AY19" s="82"/>
      <c r="AZ19" s="82"/>
      <c r="BA19" s="82"/>
      <c r="BB19" s="82"/>
      <c r="BC19" s="82"/>
      <c r="BD19" s="83"/>
    </row>
    <row r="20" spans="1:56" ht="24.95" customHeight="1" x14ac:dyDescent="0.25">
      <c r="A20" s="9"/>
      <c r="B20" s="71">
        <f t="shared" si="0"/>
        <v>14</v>
      </c>
      <c r="C20" s="72"/>
      <c r="D20" s="73"/>
      <c r="E20" s="74"/>
      <c r="F20" s="74"/>
      <c r="G20" s="74"/>
      <c r="H20" s="75"/>
      <c r="I20" s="76"/>
      <c r="J20" s="77"/>
      <c r="K20" s="78"/>
      <c r="L20" s="45"/>
      <c r="M20" s="46"/>
      <c r="N20" s="46"/>
      <c r="O20" s="46"/>
      <c r="P20" s="46"/>
      <c r="Q20" s="46"/>
      <c r="R20" s="46"/>
      <c r="S20" s="46"/>
      <c r="T20" s="47"/>
      <c r="U20" s="45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7"/>
      <c r="AS20" s="79"/>
      <c r="AT20" s="80"/>
      <c r="AU20" s="80"/>
      <c r="AV20" s="80"/>
      <c r="AW20" s="81"/>
      <c r="AX20" s="82"/>
      <c r="AY20" s="82"/>
      <c r="AZ20" s="82"/>
      <c r="BA20" s="82"/>
      <c r="BB20" s="82"/>
      <c r="BC20" s="82"/>
      <c r="BD20" s="83"/>
    </row>
    <row r="21" spans="1:56" ht="24.95" customHeight="1" x14ac:dyDescent="0.25">
      <c r="A21" s="9"/>
      <c r="B21" s="71">
        <f t="shared" si="0"/>
        <v>15</v>
      </c>
      <c r="C21" s="72"/>
      <c r="D21" s="73"/>
      <c r="E21" s="74"/>
      <c r="F21" s="74"/>
      <c r="G21" s="74"/>
      <c r="H21" s="75"/>
      <c r="I21" s="76"/>
      <c r="J21" s="77"/>
      <c r="K21" s="78"/>
      <c r="L21" s="45"/>
      <c r="M21" s="46"/>
      <c r="N21" s="46"/>
      <c r="O21" s="46"/>
      <c r="P21" s="46"/>
      <c r="Q21" s="46"/>
      <c r="R21" s="46"/>
      <c r="S21" s="46"/>
      <c r="T21" s="47"/>
      <c r="U21" s="45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7"/>
      <c r="AS21" s="79"/>
      <c r="AT21" s="80"/>
      <c r="AU21" s="80"/>
      <c r="AV21" s="80"/>
      <c r="AW21" s="81"/>
      <c r="AX21" s="54"/>
      <c r="AY21" s="55"/>
      <c r="AZ21" s="55"/>
      <c r="BA21" s="55"/>
      <c r="BB21" s="55"/>
      <c r="BC21" s="55"/>
      <c r="BD21" s="56"/>
    </row>
    <row r="22" spans="1:56" ht="24.95" customHeight="1" x14ac:dyDescent="0.25">
      <c r="A22" s="9"/>
      <c r="B22" s="57">
        <f t="shared" si="0"/>
        <v>16</v>
      </c>
      <c r="C22" s="58"/>
      <c r="D22" s="59"/>
      <c r="E22" s="60"/>
      <c r="F22" s="60"/>
      <c r="G22" s="60"/>
      <c r="H22" s="61"/>
      <c r="I22" s="62"/>
      <c r="J22" s="63"/>
      <c r="K22" s="64"/>
      <c r="L22" s="48"/>
      <c r="M22" s="49"/>
      <c r="N22" s="49"/>
      <c r="O22" s="49"/>
      <c r="P22" s="49"/>
      <c r="Q22" s="49"/>
      <c r="R22" s="49"/>
      <c r="S22" s="49"/>
      <c r="T22" s="50"/>
      <c r="U22" s="51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3"/>
      <c r="AS22" s="65"/>
      <c r="AT22" s="66"/>
      <c r="AU22" s="66"/>
      <c r="AV22" s="66"/>
      <c r="AW22" s="67"/>
      <c r="AX22" s="68"/>
      <c r="AY22" s="69"/>
      <c r="AZ22" s="69"/>
      <c r="BA22" s="69"/>
      <c r="BB22" s="69"/>
      <c r="BC22" s="69"/>
      <c r="BD22" s="70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107"/>
  <sheetViews>
    <sheetView showGridLines="0" tabSelected="1" topLeftCell="A31" zoomScale="120" zoomScaleNormal="120" zoomScaleSheetLayoutView="80" workbookViewId="0">
      <selection activeCell="R69" sqref="R69"/>
    </sheetView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74" t="s">
        <v>28</v>
      </c>
      <c r="C1" s="175"/>
      <c r="D1" s="13"/>
      <c r="E1" s="14"/>
      <c r="F1" s="180"/>
      <c r="G1" s="180"/>
      <c r="H1" s="181"/>
      <c r="I1" s="181"/>
      <c r="J1" s="182"/>
      <c r="K1" s="183"/>
      <c r="L1" s="184"/>
      <c r="M1" s="185" t="s">
        <v>29</v>
      </c>
      <c r="N1" s="185"/>
      <c r="O1" s="15" t="s">
        <v>30</v>
      </c>
      <c r="P1" s="185" t="s">
        <v>31</v>
      </c>
      <c r="Q1" s="186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60"/>
      <c r="AX1" s="160"/>
      <c r="AY1" s="160"/>
      <c r="AZ1" s="160"/>
      <c r="BA1" s="160"/>
      <c r="BB1" s="160"/>
      <c r="BC1" s="173"/>
      <c r="BD1" s="173"/>
      <c r="BE1" s="173"/>
      <c r="BF1" s="173"/>
      <c r="BG1" s="173"/>
      <c r="BH1" s="173"/>
      <c r="BI1" s="160"/>
      <c r="BJ1" s="160"/>
      <c r="BK1" s="160"/>
      <c r="BL1" s="160"/>
      <c r="BM1" s="160"/>
      <c r="BN1" s="160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176"/>
      <c r="C2" s="177"/>
      <c r="D2" s="21" t="s">
        <v>32</v>
      </c>
      <c r="E2" s="22" t="s">
        <v>33</v>
      </c>
      <c r="F2" s="161" t="s">
        <v>34</v>
      </c>
      <c r="G2" s="161"/>
      <c r="H2" s="162"/>
      <c r="I2" s="162"/>
      <c r="J2" s="163" t="s">
        <v>35</v>
      </c>
      <c r="K2" s="164"/>
      <c r="L2" s="165"/>
      <c r="M2" s="166">
        <f>改版履歴!AO4</f>
        <v>1.3</v>
      </c>
      <c r="N2" s="167"/>
      <c r="O2" s="168">
        <f>改版履歴!AT4</f>
        <v>45681</v>
      </c>
      <c r="P2" s="170" t="s">
        <v>12</v>
      </c>
      <c r="Q2" s="171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178"/>
      <c r="C3" s="179"/>
      <c r="D3" s="23"/>
      <c r="E3" s="24" t="s">
        <v>36</v>
      </c>
      <c r="F3" s="187" t="s">
        <v>37</v>
      </c>
      <c r="G3" s="187"/>
      <c r="H3" s="188"/>
      <c r="I3" s="188"/>
      <c r="J3" s="189" t="s">
        <v>38</v>
      </c>
      <c r="K3" s="190"/>
      <c r="L3" s="191"/>
      <c r="M3" s="167"/>
      <c r="N3" s="167"/>
      <c r="O3" s="169"/>
      <c r="P3" s="172"/>
      <c r="Q3" s="171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7.6" customHeight="1" thickBot="1" x14ac:dyDescent="0.2">
      <c r="B4" s="192" t="s">
        <v>39</v>
      </c>
      <c r="C4" s="193"/>
      <c r="D4" s="194" t="s">
        <v>40</v>
      </c>
      <c r="E4" s="195"/>
      <c r="F4" s="196" t="s">
        <v>41</v>
      </c>
      <c r="G4" s="197"/>
      <c r="H4" s="198"/>
      <c r="I4" s="199"/>
      <c r="J4" s="200" t="s">
        <v>42</v>
      </c>
      <c r="K4" s="201"/>
      <c r="L4" s="201"/>
      <c r="M4" s="201"/>
      <c r="N4" s="202"/>
      <c r="O4" s="32" t="s">
        <v>43</v>
      </c>
      <c r="P4" s="203" t="s">
        <v>44</v>
      </c>
      <c r="Q4" s="204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155" t="s">
        <v>45</v>
      </c>
      <c r="C6" s="205" t="s">
        <v>46</v>
      </c>
      <c r="D6" s="207" t="s">
        <v>47</v>
      </c>
      <c r="E6" s="208"/>
      <c r="F6" s="155" t="s">
        <v>48</v>
      </c>
      <c r="G6" s="155" t="s">
        <v>49</v>
      </c>
      <c r="H6" s="155" t="s">
        <v>50</v>
      </c>
      <c r="I6" s="222" t="s">
        <v>51</v>
      </c>
      <c r="J6" s="223"/>
      <c r="K6" s="211" t="s">
        <v>52</v>
      </c>
      <c r="L6" s="212"/>
      <c r="M6" s="212"/>
      <c r="N6" s="212"/>
      <c r="O6" s="212"/>
      <c r="P6" s="212"/>
      <c r="Q6" s="213"/>
    </row>
    <row r="7" spans="2:96" ht="12.75" customHeight="1" x14ac:dyDescent="0.4">
      <c r="B7" s="156"/>
      <c r="C7" s="206"/>
      <c r="D7" s="209"/>
      <c r="E7" s="210"/>
      <c r="F7" s="156"/>
      <c r="G7" s="156"/>
      <c r="H7" s="156"/>
      <c r="I7" s="27" t="s">
        <v>53</v>
      </c>
      <c r="J7" s="27" t="s">
        <v>54</v>
      </c>
      <c r="K7" s="214"/>
      <c r="L7" s="215"/>
      <c r="M7" s="215"/>
      <c r="N7" s="215"/>
      <c r="O7" s="215"/>
      <c r="P7" s="215"/>
      <c r="Q7" s="216"/>
    </row>
    <row r="8" spans="2:96" ht="12.75" customHeight="1" x14ac:dyDescent="0.4">
      <c r="B8" s="28">
        <v>1</v>
      </c>
      <c r="C8" s="29" t="s">
        <v>55</v>
      </c>
      <c r="D8" s="142" t="s">
        <v>56</v>
      </c>
      <c r="E8" s="143"/>
      <c r="F8" s="33" t="s">
        <v>57</v>
      </c>
      <c r="G8" s="33"/>
      <c r="H8" s="30" t="s">
        <v>58</v>
      </c>
      <c r="I8" s="28">
        <v>1</v>
      </c>
      <c r="J8" s="28"/>
      <c r="K8" s="144" t="s">
        <v>59</v>
      </c>
      <c r="L8" s="145"/>
      <c r="M8" s="145"/>
      <c r="N8" s="145"/>
      <c r="O8" s="145"/>
      <c r="P8" s="145"/>
      <c r="Q8" s="146"/>
    </row>
    <row r="9" spans="2:96" ht="12.75" customHeight="1" x14ac:dyDescent="0.4">
      <c r="B9" s="28">
        <v>2</v>
      </c>
      <c r="C9" s="29" t="s">
        <v>60</v>
      </c>
      <c r="D9" s="142" t="s">
        <v>61</v>
      </c>
      <c r="E9" s="143"/>
      <c r="F9" s="33" t="s">
        <v>62</v>
      </c>
      <c r="G9" s="42">
        <v>1</v>
      </c>
      <c r="H9" s="30" t="s">
        <v>58</v>
      </c>
      <c r="I9" s="28"/>
      <c r="J9" s="28"/>
      <c r="K9" s="144" t="s">
        <v>63</v>
      </c>
      <c r="L9" s="145"/>
      <c r="M9" s="145"/>
      <c r="N9" s="145"/>
      <c r="O9" s="145"/>
      <c r="P9" s="145"/>
      <c r="Q9" s="146"/>
      <c r="R9" s="34" t="s">
        <v>64</v>
      </c>
    </row>
    <row r="10" spans="2:96" ht="25.5" customHeight="1" x14ac:dyDescent="0.4">
      <c r="B10" s="28">
        <v>3</v>
      </c>
      <c r="C10" s="29" t="s">
        <v>65</v>
      </c>
      <c r="D10" s="142" t="s">
        <v>66</v>
      </c>
      <c r="E10" s="143"/>
      <c r="F10" s="33" t="s">
        <v>57</v>
      </c>
      <c r="G10" s="33"/>
      <c r="H10" s="30"/>
      <c r="I10" s="39" t="s">
        <v>67</v>
      </c>
      <c r="J10" s="28"/>
      <c r="K10" s="154" t="s">
        <v>68</v>
      </c>
      <c r="L10" s="145"/>
      <c r="M10" s="145"/>
      <c r="N10" s="145"/>
      <c r="O10" s="145"/>
      <c r="P10" s="145"/>
      <c r="Q10" s="146"/>
      <c r="R10" s="34" t="s">
        <v>64</v>
      </c>
    </row>
    <row r="11" spans="2:96" ht="12.75" customHeight="1" x14ac:dyDescent="0.4">
      <c r="B11" s="28">
        <v>4</v>
      </c>
      <c r="C11" s="29" t="s">
        <v>69</v>
      </c>
      <c r="D11" s="142" t="s">
        <v>70</v>
      </c>
      <c r="E11" s="143"/>
      <c r="F11" s="33" t="s">
        <v>71</v>
      </c>
      <c r="G11" s="33"/>
      <c r="H11" s="30"/>
      <c r="I11" s="28" t="s">
        <v>72</v>
      </c>
      <c r="J11" s="28"/>
      <c r="K11" s="144" t="s">
        <v>73</v>
      </c>
      <c r="L11" s="145"/>
      <c r="M11" s="145"/>
      <c r="N11" s="145"/>
      <c r="O11" s="145"/>
      <c r="P11" s="145"/>
      <c r="Q11" s="146"/>
    </row>
    <row r="12" spans="2:96" ht="25.5" customHeight="1" x14ac:dyDescent="0.4">
      <c r="B12" s="28">
        <v>5</v>
      </c>
      <c r="C12" s="40" t="s">
        <v>74</v>
      </c>
      <c r="D12" s="142" t="s">
        <v>75</v>
      </c>
      <c r="E12" s="143"/>
      <c r="F12" s="33" t="s">
        <v>57</v>
      </c>
      <c r="G12" s="33"/>
      <c r="H12" s="30"/>
      <c r="I12" s="28" t="s">
        <v>76</v>
      </c>
      <c r="J12" s="28"/>
      <c r="K12" s="157" t="s">
        <v>77</v>
      </c>
      <c r="L12" s="158"/>
      <c r="M12" s="158"/>
      <c r="N12" s="158"/>
      <c r="O12" s="158"/>
      <c r="P12" s="158"/>
      <c r="Q12" s="159"/>
      <c r="R12" s="34" t="s">
        <v>64</v>
      </c>
    </row>
    <row r="13" spans="2:96" ht="12.75" customHeight="1" x14ac:dyDescent="0.4">
      <c r="B13" s="28">
        <v>6</v>
      </c>
      <c r="C13" s="29" t="s">
        <v>78</v>
      </c>
      <c r="D13" s="142" t="s">
        <v>79</v>
      </c>
      <c r="E13" s="143"/>
      <c r="F13" s="33" t="s">
        <v>57</v>
      </c>
      <c r="G13" s="33"/>
      <c r="H13" s="30"/>
      <c r="I13" s="28">
        <v>8</v>
      </c>
      <c r="J13" s="28"/>
      <c r="K13" s="144" t="s">
        <v>80</v>
      </c>
      <c r="L13" s="145"/>
      <c r="M13" s="145"/>
      <c r="N13" s="145"/>
      <c r="O13" s="145"/>
      <c r="P13" s="145"/>
      <c r="Q13" s="146"/>
    </row>
    <row r="14" spans="2:96" ht="12.75" customHeight="1" x14ac:dyDescent="0.4">
      <c r="B14" s="28">
        <v>7</v>
      </c>
      <c r="C14" s="29" t="s">
        <v>81</v>
      </c>
      <c r="D14" s="142" t="s">
        <v>82</v>
      </c>
      <c r="E14" s="143"/>
      <c r="F14" s="33" t="s">
        <v>57</v>
      </c>
      <c r="G14" s="33"/>
      <c r="H14" s="30"/>
      <c r="I14" s="28">
        <v>8</v>
      </c>
      <c r="J14" s="28"/>
      <c r="K14" s="144" t="s">
        <v>83</v>
      </c>
      <c r="L14" s="145"/>
      <c r="M14" s="145"/>
      <c r="N14" s="145"/>
      <c r="O14" s="145"/>
      <c r="P14" s="145"/>
      <c r="Q14" s="146"/>
    </row>
    <row r="15" spans="2:96" ht="24" customHeight="1" x14ac:dyDescent="0.4">
      <c r="B15" s="28">
        <v>8</v>
      </c>
      <c r="C15" s="29" t="s">
        <v>84</v>
      </c>
      <c r="D15" s="142" t="s">
        <v>85</v>
      </c>
      <c r="E15" s="143"/>
      <c r="F15" s="33" t="s">
        <v>57</v>
      </c>
      <c r="G15" s="33"/>
      <c r="H15" s="30"/>
      <c r="I15" s="39" t="s">
        <v>86</v>
      </c>
      <c r="J15" s="28"/>
      <c r="K15" s="154" t="s">
        <v>87</v>
      </c>
      <c r="L15" s="145"/>
      <c r="M15" s="145"/>
      <c r="N15" s="145"/>
      <c r="O15" s="145"/>
      <c r="P15" s="145"/>
      <c r="Q15" s="146"/>
      <c r="R15" s="34" t="s">
        <v>88</v>
      </c>
    </row>
    <row r="16" spans="2:96" ht="24" customHeight="1" x14ac:dyDescent="0.4">
      <c r="B16" s="28">
        <v>9</v>
      </c>
      <c r="C16" s="29" t="s">
        <v>89</v>
      </c>
      <c r="D16" s="142" t="s">
        <v>90</v>
      </c>
      <c r="E16" s="143"/>
      <c r="F16" s="33" t="s">
        <v>71</v>
      </c>
      <c r="G16" s="33"/>
      <c r="H16" s="30"/>
      <c r="I16" s="28" t="s">
        <v>72</v>
      </c>
      <c r="J16" s="28"/>
      <c r="K16" s="154" t="s">
        <v>91</v>
      </c>
      <c r="L16" s="145"/>
      <c r="M16" s="145"/>
      <c r="N16" s="145"/>
      <c r="O16" s="145"/>
      <c r="P16" s="145"/>
      <c r="Q16" s="146"/>
      <c r="R16" s="34" t="s">
        <v>92</v>
      </c>
    </row>
    <row r="17" spans="2:18" ht="24" customHeight="1" x14ac:dyDescent="0.4">
      <c r="B17" s="28">
        <v>10</v>
      </c>
      <c r="C17" s="29" t="s">
        <v>93</v>
      </c>
      <c r="D17" s="142" t="s">
        <v>94</v>
      </c>
      <c r="E17" s="143"/>
      <c r="F17" s="33" t="s">
        <v>71</v>
      </c>
      <c r="G17" s="33"/>
      <c r="H17" s="30"/>
      <c r="I17" s="28" t="s">
        <v>72</v>
      </c>
      <c r="J17" s="28"/>
      <c r="K17" s="154" t="s">
        <v>95</v>
      </c>
      <c r="L17" s="145"/>
      <c r="M17" s="145"/>
      <c r="N17" s="145"/>
      <c r="O17" s="145"/>
      <c r="P17" s="145"/>
      <c r="Q17" s="146"/>
      <c r="R17" s="34" t="s">
        <v>92</v>
      </c>
    </row>
    <row r="18" spans="2:18" ht="145.5" customHeight="1" x14ac:dyDescent="0.4">
      <c r="B18" s="28">
        <v>11</v>
      </c>
      <c r="C18" s="29" t="s">
        <v>96</v>
      </c>
      <c r="D18" s="142" t="s">
        <v>97</v>
      </c>
      <c r="E18" s="143"/>
      <c r="F18" s="33" t="s">
        <v>71</v>
      </c>
      <c r="G18" s="33"/>
      <c r="H18" s="30"/>
      <c r="I18" s="28" t="s">
        <v>72</v>
      </c>
      <c r="J18" s="28"/>
      <c r="K18" s="154" t="s">
        <v>98</v>
      </c>
      <c r="L18" s="145"/>
      <c r="M18" s="145"/>
      <c r="N18" s="145"/>
      <c r="O18" s="145"/>
      <c r="P18" s="145"/>
      <c r="Q18" s="146"/>
      <c r="R18" s="34" t="s">
        <v>92</v>
      </c>
    </row>
    <row r="19" spans="2:18" ht="24" customHeight="1" x14ac:dyDescent="0.4">
      <c r="B19" s="28">
        <v>12</v>
      </c>
      <c r="C19" s="29" t="s">
        <v>99</v>
      </c>
      <c r="D19" s="142" t="s">
        <v>100</v>
      </c>
      <c r="E19" s="143"/>
      <c r="F19" s="33" t="s">
        <v>71</v>
      </c>
      <c r="G19" s="33"/>
      <c r="H19" s="30"/>
      <c r="I19" s="28" t="s">
        <v>72</v>
      </c>
      <c r="J19" s="28"/>
      <c r="K19" s="154" t="s">
        <v>101</v>
      </c>
      <c r="L19" s="145"/>
      <c r="M19" s="145"/>
      <c r="N19" s="145"/>
      <c r="O19" s="145"/>
      <c r="P19" s="145"/>
      <c r="Q19" s="146"/>
      <c r="R19" s="34" t="s">
        <v>92</v>
      </c>
    </row>
    <row r="20" spans="2:18" ht="24" customHeight="1" x14ac:dyDescent="0.4">
      <c r="B20" s="28">
        <v>13</v>
      </c>
      <c r="C20" s="29" t="s">
        <v>102</v>
      </c>
      <c r="D20" s="142" t="s">
        <v>103</v>
      </c>
      <c r="E20" s="143"/>
      <c r="F20" s="33" t="s">
        <v>71</v>
      </c>
      <c r="G20" s="33"/>
      <c r="H20" s="30"/>
      <c r="I20" s="28" t="s">
        <v>72</v>
      </c>
      <c r="J20" s="28"/>
      <c r="K20" s="154" t="s">
        <v>101</v>
      </c>
      <c r="L20" s="145"/>
      <c r="M20" s="145"/>
      <c r="N20" s="145"/>
      <c r="O20" s="145"/>
      <c r="P20" s="145"/>
      <c r="Q20" s="146"/>
      <c r="R20" s="34" t="s">
        <v>92</v>
      </c>
    </row>
    <row r="21" spans="2:18" ht="24" customHeight="1" x14ac:dyDescent="0.4">
      <c r="B21" s="28">
        <v>14</v>
      </c>
      <c r="C21" s="29" t="s">
        <v>104</v>
      </c>
      <c r="D21" s="142" t="s">
        <v>105</v>
      </c>
      <c r="E21" s="143"/>
      <c r="F21" s="33" t="s">
        <v>71</v>
      </c>
      <c r="G21" s="33"/>
      <c r="H21" s="30"/>
      <c r="I21" s="28" t="s">
        <v>72</v>
      </c>
      <c r="J21" s="28"/>
      <c r="K21" s="154" t="s">
        <v>101</v>
      </c>
      <c r="L21" s="145"/>
      <c r="M21" s="145"/>
      <c r="N21" s="145"/>
      <c r="O21" s="145"/>
      <c r="P21" s="145"/>
      <c r="Q21" s="146"/>
      <c r="R21" s="34" t="s">
        <v>92</v>
      </c>
    </row>
    <row r="22" spans="2:18" ht="24" customHeight="1" x14ac:dyDescent="0.4">
      <c r="B22" s="28">
        <v>15</v>
      </c>
      <c r="C22" s="29" t="s">
        <v>106</v>
      </c>
      <c r="D22" s="142" t="s">
        <v>107</v>
      </c>
      <c r="E22" s="143"/>
      <c r="F22" s="33" t="s">
        <v>71</v>
      </c>
      <c r="G22" s="33"/>
      <c r="H22" s="30"/>
      <c r="I22" s="28" t="s">
        <v>72</v>
      </c>
      <c r="J22" s="28"/>
      <c r="K22" s="154" t="s">
        <v>101</v>
      </c>
      <c r="L22" s="145"/>
      <c r="M22" s="145"/>
      <c r="N22" s="145"/>
      <c r="O22" s="145"/>
      <c r="P22" s="145"/>
      <c r="Q22" s="146"/>
      <c r="R22" s="34" t="s">
        <v>92</v>
      </c>
    </row>
    <row r="23" spans="2:18" ht="24" customHeight="1" x14ac:dyDescent="0.4">
      <c r="B23" s="28">
        <v>16</v>
      </c>
      <c r="C23" s="29" t="s">
        <v>108</v>
      </c>
      <c r="D23" s="142" t="s">
        <v>109</v>
      </c>
      <c r="E23" s="143"/>
      <c r="F23" s="33" t="s">
        <v>71</v>
      </c>
      <c r="G23" s="33"/>
      <c r="H23" s="30"/>
      <c r="I23" s="28" t="s">
        <v>72</v>
      </c>
      <c r="J23" s="28"/>
      <c r="K23" s="154" t="s">
        <v>101</v>
      </c>
      <c r="L23" s="145"/>
      <c r="M23" s="145"/>
      <c r="N23" s="145"/>
      <c r="O23" s="145"/>
      <c r="P23" s="145"/>
      <c r="Q23" s="146"/>
      <c r="R23" s="34" t="s">
        <v>92</v>
      </c>
    </row>
    <row r="24" spans="2:18" ht="24" customHeight="1" x14ac:dyDescent="0.4">
      <c r="B24" s="28">
        <v>17</v>
      </c>
      <c r="C24" s="29" t="s">
        <v>110</v>
      </c>
      <c r="D24" s="142" t="s">
        <v>111</v>
      </c>
      <c r="E24" s="143"/>
      <c r="F24" s="33" t="s">
        <v>71</v>
      </c>
      <c r="G24" s="33"/>
      <c r="H24" s="30"/>
      <c r="I24" s="28" t="s">
        <v>72</v>
      </c>
      <c r="J24" s="28"/>
      <c r="K24" s="154" t="s">
        <v>101</v>
      </c>
      <c r="L24" s="145"/>
      <c r="M24" s="145"/>
      <c r="N24" s="145"/>
      <c r="O24" s="145"/>
      <c r="P24" s="145"/>
      <c r="Q24" s="146"/>
      <c r="R24" s="34" t="s">
        <v>92</v>
      </c>
    </row>
    <row r="25" spans="2:18" ht="24" customHeight="1" x14ac:dyDescent="0.4">
      <c r="B25" s="28">
        <v>18</v>
      </c>
      <c r="C25" s="29" t="s">
        <v>112</v>
      </c>
      <c r="D25" s="142" t="s">
        <v>113</v>
      </c>
      <c r="E25" s="143"/>
      <c r="F25" s="33" t="s">
        <v>71</v>
      </c>
      <c r="G25" s="33"/>
      <c r="H25" s="30"/>
      <c r="I25" s="28" t="s">
        <v>72</v>
      </c>
      <c r="J25" s="28"/>
      <c r="K25" s="154" t="s">
        <v>101</v>
      </c>
      <c r="L25" s="145"/>
      <c r="M25" s="145"/>
      <c r="N25" s="145"/>
      <c r="O25" s="145"/>
      <c r="P25" s="145"/>
      <c r="Q25" s="146"/>
      <c r="R25" s="34" t="s">
        <v>92</v>
      </c>
    </row>
    <row r="26" spans="2:18" ht="36" customHeight="1" x14ac:dyDescent="0.4">
      <c r="B26" s="28">
        <v>19</v>
      </c>
      <c r="C26" s="29" t="s">
        <v>114</v>
      </c>
      <c r="D26" s="142" t="s">
        <v>115</v>
      </c>
      <c r="E26" s="143"/>
      <c r="F26" s="33" t="s">
        <v>116</v>
      </c>
      <c r="G26" s="33"/>
      <c r="H26" s="30"/>
      <c r="I26" s="28" t="s">
        <v>72</v>
      </c>
      <c r="J26" s="28"/>
      <c r="K26" s="217" t="s">
        <v>117</v>
      </c>
      <c r="L26" s="220"/>
      <c r="M26" s="220"/>
      <c r="N26" s="220"/>
      <c r="O26" s="220"/>
      <c r="P26" s="220"/>
      <c r="Q26" s="221"/>
      <c r="R26" s="34" t="s">
        <v>64</v>
      </c>
    </row>
    <row r="27" spans="2:18" ht="12.75" customHeight="1" x14ac:dyDescent="0.4">
      <c r="B27" s="28">
        <v>20</v>
      </c>
      <c r="C27" s="29" t="s">
        <v>118</v>
      </c>
      <c r="D27" s="142" t="s">
        <v>119</v>
      </c>
      <c r="E27" s="143"/>
      <c r="F27" s="33" t="s">
        <v>71</v>
      </c>
      <c r="G27" s="33"/>
      <c r="H27" s="30"/>
      <c r="I27" s="28" t="s">
        <v>72</v>
      </c>
      <c r="J27" s="28"/>
      <c r="K27" s="144" t="s">
        <v>120</v>
      </c>
      <c r="L27" s="145"/>
      <c r="M27" s="145"/>
      <c r="N27" s="145"/>
      <c r="O27" s="145"/>
      <c r="P27" s="145"/>
      <c r="Q27" s="146"/>
    </row>
    <row r="28" spans="2:18" ht="25.5" customHeight="1" x14ac:dyDescent="0.4">
      <c r="B28" s="28">
        <v>21</v>
      </c>
      <c r="C28" s="29" t="s">
        <v>121</v>
      </c>
      <c r="D28" s="142" t="s">
        <v>122</v>
      </c>
      <c r="E28" s="143"/>
      <c r="F28" s="33" t="s">
        <v>123</v>
      </c>
      <c r="G28" s="33"/>
      <c r="H28" s="30"/>
      <c r="I28" s="28" t="s">
        <v>72</v>
      </c>
      <c r="J28" s="28"/>
      <c r="K28" s="154" t="s">
        <v>124</v>
      </c>
      <c r="L28" s="145"/>
      <c r="M28" s="145"/>
      <c r="N28" s="145"/>
      <c r="O28" s="145"/>
      <c r="P28" s="145"/>
      <c r="Q28" s="146"/>
      <c r="R28" s="34" t="s">
        <v>64</v>
      </c>
    </row>
    <row r="29" spans="2:18" ht="12.75" customHeight="1" x14ac:dyDescent="0.4">
      <c r="B29" s="35">
        <v>22</v>
      </c>
      <c r="C29" s="36" t="s">
        <v>125</v>
      </c>
      <c r="D29" s="147" t="s">
        <v>126</v>
      </c>
      <c r="E29" s="148"/>
      <c r="F29" s="37" t="s">
        <v>123</v>
      </c>
      <c r="G29" s="37"/>
      <c r="H29" s="38"/>
      <c r="I29" s="35" t="s">
        <v>72</v>
      </c>
      <c r="J29" s="35"/>
      <c r="K29" s="149" t="s">
        <v>206</v>
      </c>
      <c r="L29" s="150"/>
      <c r="M29" s="150"/>
      <c r="N29" s="150"/>
      <c r="O29" s="150"/>
      <c r="P29" s="150"/>
      <c r="Q29" s="151"/>
      <c r="R29" s="34" t="s">
        <v>207</v>
      </c>
    </row>
    <row r="30" spans="2:18" ht="24" customHeight="1" x14ac:dyDescent="0.4">
      <c r="B30" s="28">
        <v>23</v>
      </c>
      <c r="C30" s="29" t="s">
        <v>127</v>
      </c>
      <c r="D30" s="142" t="s">
        <v>128</v>
      </c>
      <c r="E30" s="143"/>
      <c r="F30" s="33" t="s">
        <v>57</v>
      </c>
      <c r="G30" s="33"/>
      <c r="H30" s="30"/>
      <c r="I30" s="28">
        <v>4</v>
      </c>
      <c r="J30" s="28"/>
      <c r="K30" s="154" t="s">
        <v>129</v>
      </c>
      <c r="L30" s="145"/>
      <c r="M30" s="145"/>
      <c r="N30" s="145"/>
      <c r="O30" s="145"/>
      <c r="P30" s="145"/>
      <c r="Q30" s="146"/>
      <c r="R30" s="34" t="s">
        <v>92</v>
      </c>
    </row>
    <row r="31" spans="2:18" ht="24" customHeight="1" x14ac:dyDescent="0.4">
      <c r="B31" s="28">
        <v>24</v>
      </c>
      <c r="C31" s="29" t="s">
        <v>130</v>
      </c>
      <c r="D31" s="142" t="s">
        <v>131</v>
      </c>
      <c r="E31" s="143"/>
      <c r="F31" s="33" t="s">
        <v>57</v>
      </c>
      <c r="G31" s="33"/>
      <c r="H31" s="30"/>
      <c r="I31" s="28">
        <v>4</v>
      </c>
      <c r="J31" s="28"/>
      <c r="K31" s="154" t="s">
        <v>129</v>
      </c>
      <c r="L31" s="145"/>
      <c r="M31" s="145"/>
      <c r="N31" s="145"/>
      <c r="O31" s="145"/>
      <c r="P31" s="145"/>
      <c r="Q31" s="146"/>
      <c r="R31" s="34" t="s">
        <v>92</v>
      </c>
    </row>
    <row r="32" spans="2:18" ht="12.75" customHeight="1" x14ac:dyDescent="0.4">
      <c r="B32" s="35">
        <v>25</v>
      </c>
      <c r="C32" s="36" t="s">
        <v>132</v>
      </c>
      <c r="D32" s="147" t="s">
        <v>133</v>
      </c>
      <c r="E32" s="148"/>
      <c r="F32" s="37" t="s">
        <v>57</v>
      </c>
      <c r="G32" s="37"/>
      <c r="H32" s="38"/>
      <c r="I32" s="41" t="s">
        <v>134</v>
      </c>
      <c r="J32" s="35"/>
      <c r="K32" s="149" t="s">
        <v>135</v>
      </c>
      <c r="L32" s="150"/>
      <c r="M32" s="150"/>
      <c r="N32" s="150"/>
      <c r="O32" s="150"/>
      <c r="P32" s="150"/>
      <c r="Q32" s="151"/>
      <c r="R32" s="34" t="s">
        <v>64</v>
      </c>
    </row>
    <row r="33" spans="2:18" ht="12.75" customHeight="1" x14ac:dyDescent="0.4">
      <c r="B33" s="35">
        <v>26</v>
      </c>
      <c r="C33" s="36" t="s">
        <v>136</v>
      </c>
      <c r="D33" s="147" t="s">
        <v>137</v>
      </c>
      <c r="E33" s="148"/>
      <c r="F33" s="37" t="s">
        <v>71</v>
      </c>
      <c r="G33" s="37"/>
      <c r="H33" s="38"/>
      <c r="I33" s="35" t="s">
        <v>72</v>
      </c>
      <c r="J33" s="35"/>
      <c r="K33" s="149" t="s">
        <v>138</v>
      </c>
      <c r="L33" s="150"/>
      <c r="M33" s="150"/>
      <c r="N33" s="150"/>
      <c r="O33" s="150"/>
      <c r="P33" s="150"/>
      <c r="Q33" s="151"/>
      <c r="R33" s="34" t="s">
        <v>64</v>
      </c>
    </row>
    <row r="34" spans="2:18" ht="12.75" customHeight="1" x14ac:dyDescent="0.4">
      <c r="B34" s="35">
        <v>27</v>
      </c>
      <c r="C34" s="36" t="s">
        <v>139</v>
      </c>
      <c r="D34" s="147" t="s">
        <v>140</v>
      </c>
      <c r="E34" s="148"/>
      <c r="F34" s="37" t="s">
        <v>123</v>
      </c>
      <c r="G34" s="37"/>
      <c r="H34" s="38"/>
      <c r="I34" s="35" t="s">
        <v>72</v>
      </c>
      <c r="J34" s="35"/>
      <c r="K34" s="149" t="s">
        <v>141</v>
      </c>
      <c r="L34" s="150"/>
      <c r="M34" s="150"/>
      <c r="N34" s="150"/>
      <c r="O34" s="150"/>
      <c r="P34" s="150"/>
      <c r="Q34" s="151"/>
      <c r="R34" s="34" t="s">
        <v>64</v>
      </c>
    </row>
    <row r="35" spans="2:18" ht="12.75" customHeight="1" x14ac:dyDescent="0.4">
      <c r="B35" s="35">
        <v>28</v>
      </c>
      <c r="C35" s="36" t="s">
        <v>142</v>
      </c>
      <c r="D35" s="147" t="s">
        <v>143</v>
      </c>
      <c r="E35" s="148"/>
      <c r="F35" s="37" t="s">
        <v>57</v>
      </c>
      <c r="G35" s="37"/>
      <c r="H35" s="38"/>
      <c r="I35" s="41" t="s">
        <v>134</v>
      </c>
      <c r="J35" s="35"/>
      <c r="K35" s="149" t="s">
        <v>144</v>
      </c>
      <c r="L35" s="150"/>
      <c r="M35" s="150"/>
      <c r="N35" s="150"/>
      <c r="O35" s="150"/>
      <c r="P35" s="150"/>
      <c r="Q35" s="151"/>
      <c r="R35" s="34" t="s">
        <v>64</v>
      </c>
    </row>
    <row r="36" spans="2:18" ht="12.75" customHeight="1" x14ac:dyDescent="0.4">
      <c r="B36" s="35">
        <v>29</v>
      </c>
      <c r="C36" s="36" t="s">
        <v>145</v>
      </c>
      <c r="D36" s="147" t="s">
        <v>146</v>
      </c>
      <c r="E36" s="148"/>
      <c r="F36" s="37" t="s">
        <v>71</v>
      </c>
      <c r="G36" s="37"/>
      <c r="H36" s="38"/>
      <c r="I36" s="35" t="s">
        <v>72</v>
      </c>
      <c r="J36" s="35"/>
      <c r="K36" s="149" t="s">
        <v>141</v>
      </c>
      <c r="L36" s="150"/>
      <c r="M36" s="150"/>
      <c r="N36" s="150"/>
      <c r="O36" s="150"/>
      <c r="P36" s="150"/>
      <c r="Q36" s="151"/>
      <c r="R36" s="34" t="s">
        <v>64</v>
      </c>
    </row>
    <row r="37" spans="2:18" ht="12.75" customHeight="1" x14ac:dyDescent="0.4">
      <c r="B37" s="35">
        <v>30</v>
      </c>
      <c r="C37" s="36" t="s">
        <v>147</v>
      </c>
      <c r="D37" s="147" t="s">
        <v>148</v>
      </c>
      <c r="E37" s="148"/>
      <c r="F37" s="37" t="s">
        <v>123</v>
      </c>
      <c r="G37" s="37"/>
      <c r="H37" s="38"/>
      <c r="I37" s="35" t="s">
        <v>72</v>
      </c>
      <c r="J37" s="35"/>
      <c r="K37" s="149" t="s">
        <v>141</v>
      </c>
      <c r="L37" s="150"/>
      <c r="M37" s="150"/>
      <c r="N37" s="150"/>
      <c r="O37" s="150"/>
      <c r="P37" s="150"/>
      <c r="Q37" s="151"/>
      <c r="R37" s="34" t="s">
        <v>64</v>
      </c>
    </row>
    <row r="38" spans="2:18" ht="12.75" customHeight="1" x14ac:dyDescent="0.4">
      <c r="B38" s="35">
        <v>31</v>
      </c>
      <c r="C38" s="36" t="s">
        <v>149</v>
      </c>
      <c r="D38" s="147" t="s">
        <v>150</v>
      </c>
      <c r="E38" s="148"/>
      <c r="F38" s="37" t="s">
        <v>71</v>
      </c>
      <c r="G38" s="37"/>
      <c r="H38" s="38"/>
      <c r="I38" s="35" t="s">
        <v>72</v>
      </c>
      <c r="J38" s="35"/>
      <c r="K38" s="149" t="s">
        <v>141</v>
      </c>
      <c r="L38" s="150"/>
      <c r="M38" s="150"/>
      <c r="N38" s="150"/>
      <c r="O38" s="150"/>
      <c r="P38" s="150"/>
      <c r="Q38" s="151"/>
      <c r="R38" s="34" t="s">
        <v>64</v>
      </c>
    </row>
    <row r="39" spans="2:18" ht="12.75" customHeight="1" x14ac:dyDescent="0.4">
      <c r="B39" s="35">
        <v>32</v>
      </c>
      <c r="C39" s="36" t="s">
        <v>151</v>
      </c>
      <c r="D39" s="147" t="s">
        <v>152</v>
      </c>
      <c r="E39" s="148"/>
      <c r="F39" s="37" t="s">
        <v>62</v>
      </c>
      <c r="G39" s="37"/>
      <c r="H39" s="38"/>
      <c r="I39" s="35" t="s">
        <v>72</v>
      </c>
      <c r="J39" s="35"/>
      <c r="K39" s="149" t="s">
        <v>141</v>
      </c>
      <c r="L39" s="150"/>
      <c r="M39" s="150"/>
      <c r="N39" s="150"/>
      <c r="O39" s="150"/>
      <c r="P39" s="150"/>
      <c r="Q39" s="151"/>
      <c r="R39" s="34" t="s">
        <v>64</v>
      </c>
    </row>
    <row r="40" spans="2:18" ht="12.75" customHeight="1" x14ac:dyDescent="0.4">
      <c r="B40" s="35">
        <v>33</v>
      </c>
      <c r="C40" s="36" t="s">
        <v>153</v>
      </c>
      <c r="D40" s="147" t="s">
        <v>154</v>
      </c>
      <c r="E40" s="148"/>
      <c r="F40" s="37" t="s">
        <v>62</v>
      </c>
      <c r="G40" s="37"/>
      <c r="H40" s="38"/>
      <c r="I40" s="35" t="s">
        <v>72</v>
      </c>
      <c r="J40" s="35"/>
      <c r="K40" s="149" t="s">
        <v>141</v>
      </c>
      <c r="L40" s="150"/>
      <c r="M40" s="150"/>
      <c r="N40" s="150"/>
      <c r="O40" s="150"/>
      <c r="P40" s="150"/>
      <c r="Q40" s="151"/>
      <c r="R40" s="34" t="s">
        <v>64</v>
      </c>
    </row>
    <row r="41" spans="2:18" ht="12.75" customHeight="1" x14ac:dyDescent="0.4">
      <c r="B41" s="35">
        <v>34</v>
      </c>
      <c r="C41" s="36" t="s">
        <v>155</v>
      </c>
      <c r="D41" s="147" t="s">
        <v>156</v>
      </c>
      <c r="E41" s="148"/>
      <c r="F41" s="37" t="s">
        <v>71</v>
      </c>
      <c r="G41" s="37"/>
      <c r="H41" s="38"/>
      <c r="I41" s="35" t="s">
        <v>72</v>
      </c>
      <c r="J41" s="35"/>
      <c r="K41" s="149" t="s">
        <v>141</v>
      </c>
      <c r="L41" s="150"/>
      <c r="M41" s="150"/>
      <c r="N41" s="150"/>
      <c r="O41" s="150"/>
      <c r="P41" s="150"/>
      <c r="Q41" s="151"/>
      <c r="R41" s="34" t="s">
        <v>64</v>
      </c>
    </row>
    <row r="42" spans="2:18" ht="13.5" x14ac:dyDescent="0.4">
      <c r="B42" s="28">
        <v>35</v>
      </c>
      <c r="C42" s="29" t="s">
        <v>157</v>
      </c>
      <c r="D42" s="142" t="s">
        <v>158</v>
      </c>
      <c r="E42" s="143"/>
      <c r="F42" s="33" t="s">
        <v>57</v>
      </c>
      <c r="G42" s="33"/>
      <c r="H42" s="30"/>
      <c r="I42" s="39">
        <v>1</v>
      </c>
      <c r="J42" s="28"/>
      <c r="K42" s="154" t="s">
        <v>159</v>
      </c>
      <c r="L42" s="224"/>
      <c r="M42" s="224"/>
      <c r="N42" s="224"/>
      <c r="O42" s="224"/>
      <c r="P42" s="224"/>
      <c r="Q42" s="225"/>
      <c r="R42" s="34" t="s">
        <v>64</v>
      </c>
    </row>
    <row r="43" spans="2:18" ht="12.75" customHeight="1" x14ac:dyDescent="0.4">
      <c r="B43" s="35">
        <v>36</v>
      </c>
      <c r="C43" s="36" t="s">
        <v>160</v>
      </c>
      <c r="D43" s="147" t="s">
        <v>161</v>
      </c>
      <c r="E43" s="148"/>
      <c r="F43" s="37" t="s">
        <v>57</v>
      </c>
      <c r="G43" s="37"/>
      <c r="H43" s="38"/>
      <c r="I43" s="41" t="s">
        <v>162</v>
      </c>
      <c r="J43" s="35"/>
      <c r="K43" s="149" t="s">
        <v>144</v>
      </c>
      <c r="L43" s="150"/>
      <c r="M43" s="150"/>
      <c r="N43" s="150"/>
      <c r="O43" s="150"/>
      <c r="P43" s="150"/>
      <c r="Q43" s="151"/>
      <c r="R43" s="34" t="s">
        <v>64</v>
      </c>
    </row>
    <row r="44" spans="2:18" ht="12.75" customHeight="1" x14ac:dyDescent="0.4">
      <c r="B44" s="28">
        <v>37</v>
      </c>
      <c r="C44" s="29" t="s">
        <v>163</v>
      </c>
      <c r="D44" s="142" t="s">
        <v>164</v>
      </c>
      <c r="E44" s="143"/>
      <c r="F44" s="33" t="s">
        <v>71</v>
      </c>
      <c r="G44" s="33"/>
      <c r="H44" s="30"/>
      <c r="I44" s="28" t="s">
        <v>72</v>
      </c>
      <c r="J44" s="28"/>
      <c r="K44" s="144" t="s">
        <v>165</v>
      </c>
      <c r="L44" s="145"/>
      <c r="M44" s="145"/>
      <c r="N44" s="145"/>
      <c r="O44" s="145"/>
      <c r="P44" s="145"/>
      <c r="Q44" s="146"/>
    </row>
    <row r="45" spans="2:18" ht="12.75" customHeight="1" x14ac:dyDescent="0.4">
      <c r="B45" s="35">
        <v>38</v>
      </c>
      <c r="C45" s="36" t="s">
        <v>166</v>
      </c>
      <c r="D45" s="147" t="s">
        <v>167</v>
      </c>
      <c r="E45" s="148"/>
      <c r="F45" s="37" t="s">
        <v>57</v>
      </c>
      <c r="G45" s="37"/>
      <c r="H45" s="38"/>
      <c r="I45" s="41" t="s">
        <v>168</v>
      </c>
      <c r="J45" s="35"/>
      <c r="K45" s="149" t="s">
        <v>144</v>
      </c>
      <c r="L45" s="150"/>
      <c r="M45" s="150"/>
      <c r="N45" s="150"/>
      <c r="O45" s="150"/>
      <c r="P45" s="150"/>
      <c r="Q45" s="151"/>
      <c r="R45" s="34" t="s">
        <v>64</v>
      </c>
    </row>
    <row r="46" spans="2:18" ht="12.75" customHeight="1" x14ac:dyDescent="0.4">
      <c r="B46" s="35">
        <v>39</v>
      </c>
      <c r="C46" s="36" t="s">
        <v>169</v>
      </c>
      <c r="D46" s="147" t="s">
        <v>170</v>
      </c>
      <c r="E46" s="148"/>
      <c r="F46" s="37" t="s">
        <v>62</v>
      </c>
      <c r="G46" s="37"/>
      <c r="H46" s="38"/>
      <c r="I46" s="35" t="s">
        <v>72</v>
      </c>
      <c r="J46" s="35"/>
      <c r="K46" s="149" t="s">
        <v>141</v>
      </c>
      <c r="L46" s="150"/>
      <c r="M46" s="150"/>
      <c r="N46" s="150"/>
      <c r="O46" s="150"/>
      <c r="P46" s="150"/>
      <c r="Q46" s="151"/>
      <c r="R46" s="34" t="s">
        <v>64</v>
      </c>
    </row>
    <row r="47" spans="2:18" ht="12.75" customHeight="1" x14ac:dyDescent="0.4">
      <c r="B47" s="35">
        <v>40</v>
      </c>
      <c r="C47" s="36" t="s">
        <v>171</v>
      </c>
      <c r="D47" s="147" t="s">
        <v>172</v>
      </c>
      <c r="E47" s="148"/>
      <c r="F47" s="37" t="s">
        <v>116</v>
      </c>
      <c r="G47" s="37"/>
      <c r="H47" s="38"/>
      <c r="I47" s="35" t="s">
        <v>72</v>
      </c>
      <c r="J47" s="35"/>
      <c r="K47" s="149" t="s">
        <v>141</v>
      </c>
      <c r="L47" s="150"/>
      <c r="M47" s="150"/>
      <c r="N47" s="150"/>
      <c r="O47" s="150"/>
      <c r="P47" s="150"/>
      <c r="Q47" s="151"/>
      <c r="R47" s="34" t="s">
        <v>64</v>
      </c>
    </row>
    <row r="48" spans="2:18" ht="12.75" customHeight="1" x14ac:dyDescent="0.4">
      <c r="B48" s="35">
        <v>41</v>
      </c>
      <c r="C48" s="36" t="s">
        <v>173</v>
      </c>
      <c r="D48" s="147" t="s">
        <v>174</v>
      </c>
      <c r="E48" s="148"/>
      <c r="F48" s="37" t="s">
        <v>71</v>
      </c>
      <c r="G48" s="37"/>
      <c r="H48" s="38"/>
      <c r="I48" s="35" t="s">
        <v>72</v>
      </c>
      <c r="J48" s="35"/>
      <c r="K48" s="149" t="s">
        <v>141</v>
      </c>
      <c r="L48" s="150"/>
      <c r="M48" s="150"/>
      <c r="N48" s="150"/>
      <c r="O48" s="150"/>
      <c r="P48" s="150"/>
      <c r="Q48" s="151"/>
      <c r="R48" s="34" t="s">
        <v>64</v>
      </c>
    </row>
    <row r="49" spans="2:18" ht="12.75" customHeight="1" x14ac:dyDescent="0.4">
      <c r="B49" s="35">
        <v>42</v>
      </c>
      <c r="C49" s="36" t="s">
        <v>175</v>
      </c>
      <c r="D49" s="147" t="s">
        <v>176</v>
      </c>
      <c r="E49" s="148"/>
      <c r="F49" s="37" t="s">
        <v>62</v>
      </c>
      <c r="G49" s="37"/>
      <c r="H49" s="38"/>
      <c r="I49" s="35" t="s">
        <v>72</v>
      </c>
      <c r="J49" s="35"/>
      <c r="K49" s="149" t="s">
        <v>141</v>
      </c>
      <c r="L49" s="150"/>
      <c r="M49" s="150"/>
      <c r="N49" s="150"/>
      <c r="O49" s="150"/>
      <c r="P49" s="150"/>
      <c r="Q49" s="151"/>
      <c r="R49" s="34" t="s">
        <v>64</v>
      </c>
    </row>
    <row r="50" spans="2:18" ht="12.75" customHeight="1" x14ac:dyDescent="0.4">
      <c r="B50" s="35">
        <v>43</v>
      </c>
      <c r="C50" s="36" t="s">
        <v>177</v>
      </c>
      <c r="D50" s="147" t="s">
        <v>178</v>
      </c>
      <c r="E50" s="148"/>
      <c r="F50" s="37" t="s">
        <v>71</v>
      </c>
      <c r="G50" s="37"/>
      <c r="H50" s="38"/>
      <c r="I50" s="35" t="s">
        <v>72</v>
      </c>
      <c r="J50" s="35"/>
      <c r="K50" s="149" t="s">
        <v>141</v>
      </c>
      <c r="L50" s="150"/>
      <c r="M50" s="150"/>
      <c r="N50" s="150"/>
      <c r="O50" s="150"/>
      <c r="P50" s="150"/>
      <c r="Q50" s="151"/>
      <c r="R50" s="34" t="s">
        <v>64</v>
      </c>
    </row>
    <row r="51" spans="2:18" ht="12.75" customHeight="1" x14ac:dyDescent="0.4">
      <c r="B51" s="35">
        <v>44</v>
      </c>
      <c r="C51" s="36" t="s">
        <v>179</v>
      </c>
      <c r="D51" s="147" t="s">
        <v>180</v>
      </c>
      <c r="E51" s="148"/>
      <c r="F51" s="37" t="s">
        <v>123</v>
      </c>
      <c r="G51" s="37"/>
      <c r="H51" s="38"/>
      <c r="I51" s="35" t="s">
        <v>72</v>
      </c>
      <c r="J51" s="35"/>
      <c r="K51" s="149" t="s">
        <v>141</v>
      </c>
      <c r="L51" s="150"/>
      <c r="M51" s="150"/>
      <c r="N51" s="150"/>
      <c r="O51" s="150"/>
      <c r="P51" s="150"/>
      <c r="Q51" s="151"/>
      <c r="R51" s="34" t="s">
        <v>64</v>
      </c>
    </row>
    <row r="52" spans="2:18" ht="12.75" customHeight="1" x14ac:dyDescent="0.4">
      <c r="B52" s="35">
        <v>45</v>
      </c>
      <c r="C52" s="36" t="s">
        <v>181</v>
      </c>
      <c r="D52" s="147" t="s">
        <v>182</v>
      </c>
      <c r="E52" s="148"/>
      <c r="F52" s="37" t="s">
        <v>116</v>
      </c>
      <c r="G52" s="37"/>
      <c r="H52" s="38"/>
      <c r="I52" s="35" t="s">
        <v>72</v>
      </c>
      <c r="J52" s="35"/>
      <c r="K52" s="149" t="s">
        <v>141</v>
      </c>
      <c r="L52" s="150"/>
      <c r="M52" s="150"/>
      <c r="N52" s="150"/>
      <c r="O52" s="150"/>
      <c r="P52" s="150"/>
      <c r="Q52" s="151"/>
      <c r="R52" s="34" t="s">
        <v>64</v>
      </c>
    </row>
    <row r="53" spans="2:18" ht="12.75" customHeight="1" x14ac:dyDescent="0.4">
      <c r="B53" s="35">
        <v>46</v>
      </c>
      <c r="C53" s="36" t="s">
        <v>183</v>
      </c>
      <c r="D53" s="147" t="s">
        <v>184</v>
      </c>
      <c r="E53" s="148"/>
      <c r="F53" s="37" t="s">
        <v>71</v>
      </c>
      <c r="G53" s="37"/>
      <c r="H53" s="38"/>
      <c r="I53" s="35" t="s">
        <v>72</v>
      </c>
      <c r="J53" s="35"/>
      <c r="K53" s="149" t="s">
        <v>141</v>
      </c>
      <c r="L53" s="150"/>
      <c r="M53" s="150"/>
      <c r="N53" s="150"/>
      <c r="O53" s="150"/>
      <c r="P53" s="150"/>
      <c r="Q53" s="151"/>
      <c r="R53" s="34" t="s">
        <v>64</v>
      </c>
    </row>
    <row r="54" spans="2:18" ht="12.75" customHeight="1" x14ac:dyDescent="0.4">
      <c r="B54" s="35">
        <v>47</v>
      </c>
      <c r="C54" s="36" t="s">
        <v>185</v>
      </c>
      <c r="D54" s="147" t="s">
        <v>186</v>
      </c>
      <c r="E54" s="148"/>
      <c r="F54" s="37" t="s">
        <v>62</v>
      </c>
      <c r="G54" s="37"/>
      <c r="H54" s="38"/>
      <c r="I54" s="35" t="s">
        <v>72</v>
      </c>
      <c r="J54" s="35"/>
      <c r="K54" s="149" t="s">
        <v>141</v>
      </c>
      <c r="L54" s="150"/>
      <c r="M54" s="150"/>
      <c r="N54" s="150"/>
      <c r="O54" s="150"/>
      <c r="P54" s="150"/>
      <c r="Q54" s="151"/>
      <c r="R54" s="34" t="s">
        <v>64</v>
      </c>
    </row>
    <row r="55" spans="2:18" ht="12.75" customHeight="1" x14ac:dyDescent="0.4">
      <c r="B55" s="35">
        <v>48</v>
      </c>
      <c r="C55" s="36" t="s">
        <v>187</v>
      </c>
      <c r="D55" s="147" t="s">
        <v>188</v>
      </c>
      <c r="E55" s="148"/>
      <c r="F55" s="37" t="s">
        <v>62</v>
      </c>
      <c r="G55" s="37"/>
      <c r="H55" s="38"/>
      <c r="I55" s="35" t="s">
        <v>72</v>
      </c>
      <c r="J55" s="35"/>
      <c r="K55" s="149" t="s">
        <v>141</v>
      </c>
      <c r="L55" s="150"/>
      <c r="M55" s="150"/>
      <c r="N55" s="150"/>
      <c r="O55" s="150"/>
      <c r="P55" s="150"/>
      <c r="Q55" s="151"/>
      <c r="R55" s="34" t="s">
        <v>64</v>
      </c>
    </row>
    <row r="56" spans="2:18" ht="83.25" customHeight="1" x14ac:dyDescent="0.4">
      <c r="B56" s="28">
        <v>49</v>
      </c>
      <c r="C56" s="29" t="s">
        <v>189</v>
      </c>
      <c r="D56" s="142" t="s">
        <v>190</v>
      </c>
      <c r="E56" s="143"/>
      <c r="F56" s="33" t="s">
        <v>191</v>
      </c>
      <c r="G56" s="33"/>
      <c r="H56" s="30"/>
      <c r="I56" s="28"/>
      <c r="J56" s="28"/>
      <c r="K56" s="154" t="s">
        <v>192</v>
      </c>
      <c r="L56" s="145"/>
      <c r="M56" s="145"/>
      <c r="N56" s="145"/>
      <c r="O56" s="145"/>
      <c r="P56" s="145"/>
      <c r="Q56" s="146"/>
    </row>
    <row r="57" spans="2:18" ht="12.75" customHeight="1" x14ac:dyDescent="0.4">
      <c r="B57" s="28">
        <v>50</v>
      </c>
      <c r="C57" s="29" t="s">
        <v>193</v>
      </c>
      <c r="D57" s="142" t="s">
        <v>194</v>
      </c>
      <c r="E57" s="143"/>
      <c r="F57" s="33" t="s">
        <v>191</v>
      </c>
      <c r="G57" s="42">
        <v>2</v>
      </c>
      <c r="H57" s="30" t="s">
        <v>58</v>
      </c>
      <c r="I57" s="28"/>
      <c r="J57" s="28"/>
      <c r="K57" s="144" t="s">
        <v>195</v>
      </c>
      <c r="L57" s="145"/>
      <c r="M57" s="145"/>
      <c r="N57" s="145"/>
      <c r="O57" s="145"/>
      <c r="P57" s="145"/>
      <c r="Q57" s="146"/>
      <c r="R57" s="34" t="s">
        <v>64</v>
      </c>
    </row>
    <row r="58" spans="2:18" ht="12.75" customHeight="1" x14ac:dyDescent="0.4">
      <c r="B58" s="28">
        <v>51</v>
      </c>
      <c r="C58" s="29" t="s">
        <v>196</v>
      </c>
      <c r="D58" s="142" t="s">
        <v>197</v>
      </c>
      <c r="E58" s="143"/>
      <c r="F58" s="33" t="s">
        <v>198</v>
      </c>
      <c r="G58" s="33"/>
      <c r="H58" s="30"/>
      <c r="I58" s="28" t="s">
        <v>199</v>
      </c>
      <c r="J58" s="28"/>
      <c r="K58" s="144" t="s">
        <v>200</v>
      </c>
      <c r="L58" s="145"/>
      <c r="M58" s="145"/>
      <c r="N58" s="145"/>
      <c r="O58" s="145"/>
      <c r="P58" s="145"/>
      <c r="Q58" s="146"/>
      <c r="R58" s="34" t="s">
        <v>64</v>
      </c>
    </row>
    <row r="59" spans="2:18" ht="57.75" customHeight="1" x14ac:dyDescent="0.4">
      <c r="B59" s="39">
        <v>52</v>
      </c>
      <c r="C59" s="40" t="s">
        <v>201</v>
      </c>
      <c r="D59" s="152" t="s">
        <v>202</v>
      </c>
      <c r="E59" s="153"/>
      <c r="F59" s="42" t="s">
        <v>198</v>
      </c>
      <c r="G59" s="42"/>
      <c r="H59" s="43"/>
      <c r="I59" s="39" t="s">
        <v>203</v>
      </c>
      <c r="J59" s="39"/>
      <c r="K59" s="217" t="s">
        <v>204</v>
      </c>
      <c r="L59" s="218"/>
      <c r="M59" s="218"/>
      <c r="N59" s="218"/>
      <c r="O59" s="218"/>
      <c r="P59" s="218"/>
      <c r="Q59" s="219"/>
      <c r="R59" s="34" t="s">
        <v>64</v>
      </c>
    </row>
    <row r="60" spans="2:18" ht="12.75" customHeight="1" x14ac:dyDescent="0.4">
      <c r="B60" s="28">
        <v>53</v>
      </c>
      <c r="C60" s="29" t="s">
        <v>8</v>
      </c>
      <c r="D60" s="142" t="s">
        <v>205</v>
      </c>
      <c r="E60" s="143"/>
      <c r="F60" s="33" t="s">
        <v>57</v>
      </c>
      <c r="G60" s="33"/>
      <c r="H60" s="30"/>
      <c r="I60" s="28">
        <v>8</v>
      </c>
      <c r="J60" s="28"/>
      <c r="K60" s="144" t="s">
        <v>80</v>
      </c>
      <c r="L60" s="145"/>
      <c r="M60" s="145"/>
      <c r="N60" s="145"/>
      <c r="O60" s="145"/>
      <c r="P60" s="145"/>
      <c r="Q60" s="146"/>
    </row>
    <row r="61" spans="2:18" ht="12.75" customHeight="1" x14ac:dyDescent="0.4">
      <c r="B61" s="28"/>
      <c r="C61" s="29"/>
      <c r="D61" s="142"/>
      <c r="E61" s="143"/>
      <c r="F61" s="33"/>
      <c r="G61" s="33"/>
      <c r="H61" s="30"/>
      <c r="I61" s="28"/>
      <c r="J61" s="28"/>
      <c r="K61" s="144"/>
      <c r="L61" s="145"/>
      <c r="M61" s="145"/>
      <c r="N61" s="145"/>
      <c r="O61" s="145"/>
      <c r="P61" s="145"/>
      <c r="Q61" s="146"/>
    </row>
    <row r="62" spans="2:18" ht="12.75" customHeight="1" x14ac:dyDescent="0.4">
      <c r="B62" s="28"/>
      <c r="C62" s="29"/>
      <c r="D62" s="142"/>
      <c r="E62" s="143"/>
      <c r="F62" s="33"/>
      <c r="G62" s="33"/>
      <c r="H62" s="30"/>
      <c r="I62" s="28"/>
      <c r="J62" s="28"/>
      <c r="K62" s="144"/>
      <c r="L62" s="145"/>
      <c r="M62" s="145"/>
      <c r="N62" s="145"/>
      <c r="O62" s="145"/>
      <c r="P62" s="145"/>
      <c r="Q62" s="146"/>
    </row>
    <row r="63" spans="2:18" ht="12.75" customHeight="1" x14ac:dyDescent="0.4">
      <c r="B63" s="28"/>
      <c r="C63" s="29"/>
      <c r="D63" s="142"/>
      <c r="E63" s="143"/>
      <c r="F63" s="33"/>
      <c r="G63" s="33"/>
      <c r="H63" s="30"/>
      <c r="I63" s="28"/>
      <c r="J63" s="28"/>
      <c r="K63" s="144"/>
      <c r="L63" s="145"/>
      <c r="M63" s="145"/>
      <c r="N63" s="145"/>
      <c r="O63" s="145"/>
      <c r="P63" s="145"/>
      <c r="Q63" s="146"/>
    </row>
    <row r="64" spans="2:18" ht="12.75" customHeight="1" x14ac:dyDescent="0.4">
      <c r="B64" s="28"/>
      <c r="C64" s="29"/>
      <c r="D64" s="142"/>
      <c r="E64" s="143"/>
      <c r="F64" s="33"/>
      <c r="G64" s="33"/>
      <c r="H64" s="30"/>
      <c r="I64" s="28"/>
      <c r="J64" s="28"/>
      <c r="K64" s="144"/>
      <c r="L64" s="145"/>
      <c r="M64" s="145"/>
      <c r="N64" s="145"/>
      <c r="O64" s="145"/>
      <c r="P64" s="145"/>
      <c r="Q64" s="146"/>
    </row>
    <row r="65" spans="2:18" ht="12.75" customHeight="1" x14ac:dyDescent="0.4">
      <c r="B65" s="28"/>
      <c r="C65" s="29"/>
      <c r="D65" s="142"/>
      <c r="E65" s="143"/>
      <c r="F65" s="33"/>
      <c r="G65" s="33"/>
      <c r="H65" s="30"/>
      <c r="I65" s="28"/>
      <c r="J65" s="28"/>
      <c r="K65" s="144"/>
      <c r="L65" s="145"/>
      <c r="M65" s="145"/>
      <c r="N65" s="145"/>
      <c r="O65" s="145"/>
      <c r="P65" s="145"/>
      <c r="Q65" s="146"/>
    </row>
    <row r="66" spans="2:18" ht="12.75" customHeight="1" x14ac:dyDescent="0.4">
      <c r="B66" s="28"/>
      <c r="C66" s="29"/>
      <c r="D66" s="142"/>
      <c r="E66" s="143"/>
      <c r="F66" s="33"/>
      <c r="G66" s="33"/>
      <c r="H66" s="30"/>
      <c r="I66" s="28"/>
      <c r="J66" s="28"/>
      <c r="K66" s="144"/>
      <c r="L66" s="145"/>
      <c r="M66" s="145"/>
      <c r="N66" s="145"/>
      <c r="O66" s="145"/>
      <c r="P66" s="145"/>
      <c r="Q66" s="146"/>
    </row>
    <row r="67" spans="2:18" ht="12.75" customHeight="1" x14ac:dyDescent="0.4">
      <c r="B67" s="226" t="s">
        <v>209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4" t="s">
        <v>211</v>
      </c>
    </row>
    <row r="68" spans="2:18" ht="12.75" customHeight="1" x14ac:dyDescent="0.4">
      <c r="B68" s="226" t="s">
        <v>210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4" t="s">
        <v>211</v>
      </c>
    </row>
    <row r="69" spans="2:18" ht="12.75" customHeight="1" x14ac:dyDescent="0.4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8" ht="12.75" customHeight="1" x14ac:dyDescent="0.4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8" ht="12.75" customHeight="1" x14ac:dyDescent="0.4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8" ht="12.75" customHeight="1" x14ac:dyDescent="0.4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8" ht="12.75" customHeight="1" x14ac:dyDescent="0.4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8" ht="12.75" customHeight="1" x14ac:dyDescent="0.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8" ht="12.75" customHeight="1" x14ac:dyDescent="0.4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8" ht="12.75" customHeight="1" x14ac:dyDescent="0.4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8" ht="12.75" customHeight="1" x14ac:dyDescent="0.4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8" ht="12.75" customHeight="1" x14ac:dyDescent="0.4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8" ht="12.75" customHeight="1" x14ac:dyDescent="0.4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8" ht="12.75" customHeight="1" x14ac:dyDescent="0.4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 x14ac:dyDescent="0.4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 x14ac:dyDescent="0.4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 x14ac:dyDescent="0.4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 x14ac:dyDescent="0.4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 x14ac:dyDescent="0.4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 x14ac:dyDescent="0.4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 x14ac:dyDescent="0.4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 ht="12.75" customHeight="1" x14ac:dyDescent="0.4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 ht="12.75" customHeight="1" x14ac:dyDescent="0.4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 ht="12.75" customHeight="1" x14ac:dyDescent="0.4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 ht="12.75" customHeight="1" x14ac:dyDescent="0.4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 ht="12.75" customHeight="1" x14ac:dyDescent="0.4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 ht="12.75" customHeight="1" x14ac:dyDescent="0.4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2:17" ht="12.75" customHeight="1" x14ac:dyDescent="0.4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2:17" ht="12.75" customHeight="1" x14ac:dyDescent="0.4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2:17" ht="12.75" customHeight="1" x14ac:dyDescent="0.4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2:17" ht="12.75" customHeight="1" x14ac:dyDescent="0.4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2:17" ht="12.75" customHeight="1" x14ac:dyDescent="0.4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2:17" ht="12.75" customHeight="1" x14ac:dyDescent="0.4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spans="2:17" ht="12.75" customHeight="1" x14ac:dyDescent="0.4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2:17" ht="12.75" customHeight="1" x14ac:dyDescent="0.4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spans="2:17" ht="12.75" customHeight="1" x14ac:dyDescent="0.4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spans="2:17" ht="12.75" customHeight="1" x14ac:dyDescent="0.4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spans="2:17" ht="12.75" customHeight="1" x14ac:dyDescent="0.4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spans="2:17" ht="12.75" customHeight="1" x14ac:dyDescent="0.4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spans="2:17" ht="12.75" customHeight="1" x14ac:dyDescent="0.4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spans="2:17" ht="12.75" customHeight="1" x14ac:dyDescent="0.4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</sheetData>
  <mergeCells count="149">
    <mergeCell ref="D64:E64"/>
    <mergeCell ref="K64:Q64"/>
    <mergeCell ref="K34:Q34"/>
    <mergeCell ref="K35:Q35"/>
    <mergeCell ref="K36:Q36"/>
    <mergeCell ref="K31:Q31"/>
    <mergeCell ref="K32:Q32"/>
    <mergeCell ref="K57:Q57"/>
    <mergeCell ref="K44:Q44"/>
    <mergeCell ref="K45:Q45"/>
    <mergeCell ref="K46:Q46"/>
    <mergeCell ref="K47:Q47"/>
    <mergeCell ref="K48:Q48"/>
    <mergeCell ref="K53:Q53"/>
    <mergeCell ref="K54:Q54"/>
    <mergeCell ref="K33:Q33"/>
    <mergeCell ref="K40:Q40"/>
    <mergeCell ref="K41:Q41"/>
    <mergeCell ref="K42:Q42"/>
    <mergeCell ref="K37:Q37"/>
    <mergeCell ref="K38:Q38"/>
    <mergeCell ref="K39:Q39"/>
    <mergeCell ref="K43:Q43"/>
    <mergeCell ref="K56:Q56"/>
    <mergeCell ref="B6:B7"/>
    <mergeCell ref="C6:C7"/>
    <mergeCell ref="D6:E7"/>
    <mergeCell ref="F6:F7"/>
    <mergeCell ref="H6:H7"/>
    <mergeCell ref="K6:Q7"/>
    <mergeCell ref="K55:Q55"/>
    <mergeCell ref="K60:Q60"/>
    <mergeCell ref="D63:E63"/>
    <mergeCell ref="K63:Q63"/>
    <mergeCell ref="K59:Q59"/>
    <mergeCell ref="D61:E61"/>
    <mergeCell ref="K61:Q61"/>
    <mergeCell ref="D62:E62"/>
    <mergeCell ref="K62:Q62"/>
    <mergeCell ref="K26:Q26"/>
    <mergeCell ref="K27:Q27"/>
    <mergeCell ref="K28:Q28"/>
    <mergeCell ref="K29:Q29"/>
    <mergeCell ref="K30:Q30"/>
    <mergeCell ref="K10:Q10"/>
    <mergeCell ref="K8:Q8"/>
    <mergeCell ref="K9:Q9"/>
    <mergeCell ref="I6:J6"/>
    <mergeCell ref="B1:C3"/>
    <mergeCell ref="F1:I1"/>
    <mergeCell ref="J1:L1"/>
    <mergeCell ref="M1:N1"/>
    <mergeCell ref="P1:Q1"/>
    <mergeCell ref="F3:I3"/>
    <mergeCell ref="J3:L3"/>
    <mergeCell ref="B4:C4"/>
    <mergeCell ref="D4:E4"/>
    <mergeCell ref="F4:I4"/>
    <mergeCell ref="J4:N4"/>
    <mergeCell ref="P4:Q4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G6:G7"/>
    <mergeCell ref="K25:Q25"/>
    <mergeCell ref="K16:Q16"/>
    <mergeCell ref="K17:Q17"/>
    <mergeCell ref="K18:Q18"/>
    <mergeCell ref="K19:Q19"/>
    <mergeCell ref="K20:Q20"/>
    <mergeCell ref="K11:Q11"/>
    <mergeCell ref="K12:Q12"/>
    <mergeCell ref="K13:Q13"/>
    <mergeCell ref="K14:Q14"/>
    <mergeCell ref="K15:Q15"/>
    <mergeCell ref="D8:E8"/>
    <mergeCell ref="D9:E9"/>
    <mergeCell ref="D10:E10"/>
    <mergeCell ref="D11:E11"/>
    <mergeCell ref="D12:E12"/>
    <mergeCell ref="D66:E66"/>
    <mergeCell ref="D65:E65"/>
    <mergeCell ref="K65:Q65"/>
    <mergeCell ref="K66:Q66"/>
    <mergeCell ref="K49:Q49"/>
    <mergeCell ref="K50:Q50"/>
    <mergeCell ref="K51:Q51"/>
    <mergeCell ref="K52:Q52"/>
    <mergeCell ref="D53:E53"/>
    <mergeCell ref="D54:E54"/>
    <mergeCell ref="D55:E55"/>
    <mergeCell ref="D60:E60"/>
    <mergeCell ref="D56:E56"/>
    <mergeCell ref="D57:E57"/>
    <mergeCell ref="D59:E59"/>
    <mergeCell ref="K21:Q21"/>
    <mergeCell ref="K22:Q22"/>
    <mergeCell ref="K23:Q23"/>
    <mergeCell ref="K24:Q24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58:E58"/>
    <mergeCell ref="K58:Q58"/>
    <mergeCell ref="D48:E48"/>
    <mergeCell ref="D49:E49"/>
    <mergeCell ref="D50:E50"/>
    <mergeCell ref="D51:E51"/>
    <mergeCell ref="D52:E52"/>
    <mergeCell ref="D43:E43"/>
    <mergeCell ref="D44:E44"/>
    <mergeCell ref="D45:E45"/>
    <mergeCell ref="D46:E46"/>
    <mergeCell ref="D47:E47"/>
  </mergeCells>
  <phoneticPr fontId="2"/>
  <dataValidations count="2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66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A0B936-D5FA-417D-8070-37BBA5440F18}"/>
</file>

<file path=customXml/itemProps2.xml><?xml version="1.0" encoding="utf-8"?>
<ds:datastoreItem xmlns:ds="http://schemas.openxmlformats.org/officeDocument/2006/customXml" ds:itemID="{482AE00A-5AD7-40A9-A349-6D00F8B69673}"/>
</file>

<file path=customXml/itemProps3.xml><?xml version="1.0" encoding="utf-8"?>
<ds:datastoreItem xmlns:ds="http://schemas.openxmlformats.org/officeDocument/2006/customXml" ds:itemID="{60DFB6E5-FBA1-413F-81A2-C81335A622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特売マスタ</vt:lpstr>
      <vt:lpstr>改版履歴!Print_Area</vt:lpstr>
      <vt:lpstr>特売マスタ!Print_Area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Kobayashi, Ryo/小林 亮</cp:lastModifiedBy>
  <cp:revision/>
  <dcterms:created xsi:type="dcterms:W3CDTF">2024-03-28T08:59:33Z</dcterms:created>
  <dcterms:modified xsi:type="dcterms:W3CDTF">2025-01-24T11:21:04Z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