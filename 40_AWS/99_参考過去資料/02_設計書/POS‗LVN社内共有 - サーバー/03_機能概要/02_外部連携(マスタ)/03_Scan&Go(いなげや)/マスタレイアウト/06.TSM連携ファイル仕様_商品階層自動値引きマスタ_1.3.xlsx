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1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ujitsu.sharepoint.com/sites/jp-FujitsuDP-59338/Shared Documents/FUJITSU-RESTRICTED/01.IgnicaPOS連携対応/500.開発/001.UI/001_設計書/01_マスタファイルレイアウト/"/>
    </mc:Choice>
  </mc:AlternateContent>
  <xr:revisionPtr revIDLastSave="417" documentId="13_ncr:1_{7B4B3278-01E9-4B28-87FF-D560FB31B12E}" xr6:coauthVersionLast="47" xr6:coauthVersionMax="47" xr10:uidLastSave="{544F96A1-7AF9-4A51-BDE8-D16CE76351BF}"/>
  <bookViews>
    <workbookView xWindow="19200" yWindow="9120" windowWidth="27015" windowHeight="16350" xr2:uid="{839C4A3C-7964-4DAB-A179-965EB10D823D}"/>
  </bookViews>
  <sheets>
    <sheet name="改版履歴" sheetId="1" r:id="rId1"/>
    <sheet name="商品階層自動値引きマスタ" sheetId="2" r:id="rId2"/>
  </sheets>
  <definedNames>
    <definedName name="_Fill" hidden="1">#REF!</definedName>
    <definedName name="_Key1" hidden="1">#REF!</definedName>
    <definedName name="_Order1" hidden="1">1</definedName>
    <definedName name="_Parse_In" hidden="1">#REF!</definedName>
    <definedName name="_Parse_Out" hidden="1">#REF!</definedName>
    <definedName name="_Sort" hidden="1">#REF!</definedName>
    <definedName name="_Table2_In1" hidden="1">#REF!</definedName>
    <definedName name="_Table2_In2" hidden="1">#REF!</definedName>
    <definedName name="_Table2_Out" hidden="1">#REF!</definedName>
    <definedName name="a" localSheetId="0" hidden="1">{"'フローチャート'!$A$1:$AO$191"}</definedName>
    <definedName name="a" localSheetId="1" hidden="1">{"'フローチャート'!$A$1:$AO$191"}</definedName>
    <definedName name="a" hidden="1">{"'フローチャート'!$A$1:$AO$191"}</definedName>
    <definedName name="aaaa" localSheetId="0" hidden="1">{"'表紙'!$A$1:$W$39"}</definedName>
    <definedName name="aaaa" localSheetId="1" hidden="1">{"'表紙'!$A$1:$W$39"}</definedName>
    <definedName name="aaaa" hidden="1">{"'表紙'!$A$1:$W$39"}</definedName>
    <definedName name="Access_Button" hidden="1">"WANNET_Sheet1_List"</definedName>
    <definedName name="AccessDatabase" hidden="1">"C:\Documents and Settings\kawana.OHSAKI\My Documents\作業中\ＤＢらいぶらり.mdb"</definedName>
    <definedName name="assss" localSheetId="0" hidden="1">{"'機能一覧 Master'!$A$1:$I$56"}</definedName>
    <definedName name="assss" localSheetId="1" hidden="1">{"'機能一覧 Master'!$A$1:$I$56"}</definedName>
    <definedName name="assss" hidden="1">{"'機能一覧 Master'!$A$1:$I$56"}</definedName>
    <definedName name="b" localSheetId="0" hidden="1">{"'機能一覧 Master'!$A$1:$I$56"}</definedName>
    <definedName name="b" localSheetId="1" hidden="1">{"'機能一覧 Master'!$A$1:$I$56"}</definedName>
    <definedName name="b" hidden="1">{"'機能一覧 Master'!$A$1:$I$56"}</definedName>
    <definedName name="h" localSheetId="0" hidden="1">{"'フローチャート'!$A$1:$AO$191"}</definedName>
    <definedName name="h" localSheetId="1" hidden="1">{"'フローチャート'!$A$1:$AO$191"}</definedName>
    <definedName name="h" hidden="1">{"'フローチャート'!$A$1:$AO$191"}</definedName>
    <definedName name="HTML_CodePage" hidden="1">932</definedName>
    <definedName name="HTML_Control" localSheetId="0" hidden="1">{"'フローチャート'!$A$1:$AO$191"}</definedName>
    <definedName name="HTML_Control" localSheetId="1" hidden="1">{"'フローチャート'!$A$1:$AO$191"}</definedName>
    <definedName name="HTML_Control" hidden="1">{"'フローチャート'!$A$1:$AO$191"}</definedName>
    <definedName name="HTML_Description" hidden="1">""</definedName>
    <definedName name="HTML_Email" hidden="1">""</definedName>
    <definedName name="HTML_Header" hidden="1">"フローチャート"</definedName>
    <definedName name="HTML_LastUpdate" hidden="1">"00/07/22"</definedName>
    <definedName name="HTML_LineAfter" hidden="1">FALSE</definedName>
    <definedName name="HTML_LineBefore" hidden="1">FALSE</definedName>
    <definedName name="HTML_Name" hidden="1">"三井貴司"</definedName>
    <definedName name="HTML_OBDlg2" hidden="1">TRUE</definedName>
    <definedName name="HTML_OBDlg4" hidden="1">TRUE</definedName>
    <definedName name="HTML_OS" hidden="1">0</definedName>
    <definedName name="HTML_PathFile" hidden="1">"G:\PROJECT\BlueShark\システムデザインシート\三井作成中\ｈｔｍｌ\MyHTML.htm"</definedName>
    <definedName name="HTML_Title" hidden="1">"フローチャート"</definedName>
    <definedName name="HTML1_1" hidden="1">"'[ﾌﾟﾗｯﾄﾌｫﾑ.XLS]プラットフォーム 変更分'!$A$1:$G$16"</definedName>
    <definedName name="HTML1_10" hidden="1">""</definedName>
    <definedName name="HTML1_11" hidden="1">1</definedName>
    <definedName name="HTML1_12" hidden="1">"C:\My Documents\変更h_w.htm"</definedName>
    <definedName name="HTML1_2" hidden="1">1</definedName>
    <definedName name="HTML1_3" hidden="1">""</definedName>
    <definedName name="HTML1_4" hidden="1">""</definedName>
    <definedName name="HTML1_5" hidden="1">""</definedName>
    <definedName name="HTML1_6" hidden="1">-4146</definedName>
    <definedName name="HTML1_7" hidden="1">-4146</definedName>
    <definedName name="HTML1_8" hidden="1">""</definedName>
    <definedName name="HTML1_9" hidden="1">""</definedName>
    <definedName name="HTML2_1" hidden="1">"'[ﾌﾟﾗｯﾄﾌｫﾑ.XLS]プラットフォーム 変更分'!$A$1:$G$19"</definedName>
    <definedName name="HTML2_10" hidden="1">""</definedName>
    <definedName name="HTML2_11" hidden="1">1</definedName>
    <definedName name="HTML2_12" hidden="1">"C:\My Documents\変更h_w.htm"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-4146</definedName>
    <definedName name="HTML2_8" hidden="1">""</definedName>
    <definedName name="HTML2_9" hidden="1">""</definedName>
    <definedName name="HTML3_1" hidden="1">"[ﾌﾟﾗｯﾄﾌｫﾑ.XLS]プラットフォーム!$A$1:$G$1656"</definedName>
    <definedName name="HTML3_10" hidden="1">""</definedName>
    <definedName name="HTML3_11" hidden="1">1</definedName>
    <definedName name="HTML3_12" hidden="1">"C:\My Documents\h_wMIN.htm"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-4146</definedName>
    <definedName name="HTML3_7" hidden="1">-4146</definedName>
    <definedName name="HTML3_8" hidden="1">""</definedName>
    <definedName name="HTML3_9" hidden="1">""</definedName>
    <definedName name="HTMLCount" hidden="1">3</definedName>
    <definedName name="_xlnm.Print_Area" localSheetId="0">改版履歴!$A$1:$BD$24</definedName>
    <definedName name="_xlnm.Print_Area" localSheetId="1">商品階層自動値引きマスタ!$B$1:$R$48</definedName>
    <definedName name="q" localSheetId="0" hidden="1">{"'フローチャート'!$A$1:$AO$191"}</definedName>
    <definedName name="q" localSheetId="1" hidden="1">{"'フローチャート'!$A$1:$AO$191"}</definedName>
    <definedName name="q" hidden="1">{"'フローチャート'!$A$1:$AO$191"}</definedName>
    <definedName name="qq" localSheetId="0" hidden="1">{"'機能一覧 Master'!$A$1:$I$56"}</definedName>
    <definedName name="qq" localSheetId="1" hidden="1">{"'機能一覧 Master'!$A$1:$I$56"}</definedName>
    <definedName name="qq" hidden="1">{"'機能一覧 Master'!$A$1:$I$56"}</definedName>
    <definedName name="qqqqq" localSheetId="0" hidden="1">{"'機能一覧 Master'!$A$1:$I$56"}</definedName>
    <definedName name="qqqqq" localSheetId="1" hidden="1">{"'機能一覧 Master'!$A$1:$I$56"}</definedName>
    <definedName name="qqqqq" hidden="1">{"'機能一覧 Master'!$A$1:$I$56"}</definedName>
    <definedName name="ssss" hidden="1">#REF!</definedName>
    <definedName name="zz" localSheetId="0" hidden="1">{"'フローチャート'!$A$1:$AO$191"}</definedName>
    <definedName name="zz" localSheetId="1" hidden="1">{"'フローチャート'!$A$1:$AO$191"}</definedName>
    <definedName name="zz" hidden="1">{"'フローチャート'!$A$1:$AO$191"}</definedName>
    <definedName name="あああああ" localSheetId="0" hidden="1">{"'フローチャート'!$A$1:$AO$191"}</definedName>
    <definedName name="あああああ" localSheetId="1" hidden="1">{"'フローチャート'!$A$1:$AO$191"}</definedName>
    <definedName name="あああああ" hidden="1">{"'フローチャート'!$A$1:$AO$191"}</definedName>
    <definedName name="スケジュール" localSheetId="0" hidden="1">{"'表紙'!$A$1:$W$39"}</definedName>
    <definedName name="スケジュール" localSheetId="1" hidden="1">{"'表紙'!$A$1:$W$39"}</definedName>
    <definedName name="スケジュール" hidden="1">{"'表紙'!$A$1:$W$39"}</definedName>
    <definedName name="新見積条件共通" localSheetId="0" hidden="1">{"'フローチャート'!$A$1:$AO$191"}</definedName>
    <definedName name="新見積条件共通" localSheetId="1" hidden="1">{"'フローチャート'!$A$1:$AO$191"}</definedName>
    <definedName name="新見積条件共通" hidden="1">{"'フローチャート'!$A$1:$AO$191"}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4" i="1" l="1"/>
  <c r="O2" i="2" s="1"/>
  <c r="AO4" i="1"/>
  <c r="M2" i="2" s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</calcChain>
</file>

<file path=xl/sharedStrings.xml><?xml version="1.0" encoding="utf-8"?>
<sst xmlns="http://schemas.openxmlformats.org/spreadsheetml/2006/main" count="251" uniqueCount="180">
  <si>
    <t>TeamStore/M　POSシステム</t>
    <phoneticPr fontId="7"/>
  </si>
  <si>
    <t>システム名</t>
    <phoneticPr fontId="7"/>
  </si>
  <si>
    <t>機能</t>
    <rPh sb="0" eb="2">
      <t>キノウ</t>
    </rPh>
    <phoneticPr fontId="3"/>
  </si>
  <si>
    <t>改版履歴</t>
    <rPh sb="0" eb="2">
      <t>カイハン</t>
    </rPh>
    <rPh sb="2" eb="4">
      <t>リレキ</t>
    </rPh>
    <phoneticPr fontId="7"/>
  </si>
  <si>
    <t>履歴</t>
  </si>
  <si>
    <t>改訂者</t>
  </si>
  <si>
    <t>最新更新日</t>
  </si>
  <si>
    <t>作成者</t>
  </si>
  <si>
    <t>作成日</t>
  </si>
  <si>
    <t>ファイル仕様</t>
    <rPh sb="4" eb="6">
      <t>シヨウ</t>
    </rPh>
    <phoneticPr fontId="7"/>
  </si>
  <si>
    <t>TeamStore/M</t>
    <phoneticPr fontId="8"/>
  </si>
  <si>
    <t>商品階層自動値引きマスタ連携</t>
    <rPh sb="0" eb="8">
      <t>ショウヒンカイソウジドウネビ</t>
    </rPh>
    <rPh sb="12" eb="14">
      <t>レンケイ</t>
    </rPh>
    <phoneticPr fontId="3"/>
  </si>
  <si>
    <t>富士通</t>
    <rPh sb="0" eb="3">
      <t>フジツウ</t>
    </rPh>
    <phoneticPr fontId="8"/>
  </si>
  <si>
    <t>富士通</t>
    <rPh sb="0" eb="3">
      <t>フジツウ</t>
    </rPh>
    <phoneticPr fontId="7"/>
  </si>
  <si>
    <t>No.</t>
    <phoneticPr fontId="11"/>
  </si>
  <si>
    <t>変更年月日</t>
    <rPh sb="0" eb="2">
      <t>ヘンコウ</t>
    </rPh>
    <rPh sb="2" eb="5">
      <t>ネンガッピ</t>
    </rPh>
    <phoneticPr fontId="11"/>
  </si>
  <si>
    <t>版数</t>
    <rPh sb="0" eb="2">
      <t>ハンスウ</t>
    </rPh>
    <phoneticPr fontId="11"/>
  </si>
  <si>
    <t>変更箇所</t>
    <rPh sb="0" eb="2">
      <t>ヘンコウ</t>
    </rPh>
    <rPh sb="2" eb="4">
      <t>カショ</t>
    </rPh>
    <phoneticPr fontId="11"/>
  </si>
  <si>
    <t>変更内容</t>
    <rPh sb="0" eb="2">
      <t>ヘンコウ</t>
    </rPh>
    <rPh sb="2" eb="4">
      <t>ナイヨウ</t>
    </rPh>
    <phoneticPr fontId="11"/>
  </si>
  <si>
    <t>担当者</t>
    <rPh sb="0" eb="3">
      <t>タントウシャ</t>
    </rPh>
    <phoneticPr fontId="11"/>
  </si>
  <si>
    <t>備考</t>
    <rPh sb="0" eb="2">
      <t>ビコウ</t>
    </rPh>
    <phoneticPr fontId="11"/>
  </si>
  <si>
    <t xml:space="preserve">新規作成
</t>
    <rPh sb="0" eb="2">
      <t>シンキ</t>
    </rPh>
    <rPh sb="2" eb="4">
      <t>サクセイ</t>
    </rPh>
    <phoneticPr fontId="8"/>
  </si>
  <si>
    <t>－</t>
    <phoneticPr fontId="8"/>
  </si>
  <si>
    <t>商品階層自動値引きマスタ</t>
    <phoneticPr fontId="3"/>
  </si>
  <si>
    <t>＜2024/5/22 打合せ内容の反映＞
・未使用項目セルをグレーにする
（視認性をよくするため。連携項目としては残る）
・以下の項目を修正
　No.2 店舗コード(STR_ID)：項目名/項目ID/備考を他のマスタに合わせて変更
　No.35 緊急登録日時(EMERGENCY_TM)：項目を追加
＜内部指摘を反映＞
・型の表記を他のマスタレイアウトに合わせて変更
・備考に一部の項目だけ記載されていた"(固定)"、"(可変)"を削除
・型がStringの項目について、桁数が可変の場合は"MAX"を記載
・PKの記載方法を他のマスタレイアウトに合わせて"〇"から番号に変更
・以下の項目を修正
　No.6 内部ディスカウントクラスID(DISC_CLSS_ID)：項目名/項目ID/を他の
　　　　　マスタに合わせて変更
　No.21 メーカーコード(SUB_ID)：備考に"未使用"を追加
　No.23 開始時間(PROMO_BGN_TM)：他のマスタに合わせて4桁形式に変更
　No.24 終了時間(PROMO_END_TM)：他のマスタに合わせて4桁形式に変更
　No.26 月曜日除外フラグ(MON_EXCL_FG)
　～No.32 日曜日除外フラグ(SUN_EXCL_FG)：項目名/備考を他のマスタに
　　　　　　合わせて変更</t>
    <rPh sb="11" eb="13">
      <t>ウチアワ</t>
    </rPh>
    <rPh sb="14" eb="16">
      <t>ナイヨウ</t>
    </rPh>
    <rPh sb="17" eb="19">
      <t>ハンエイ</t>
    </rPh>
    <rPh sb="22" eb="25">
      <t>ミシヨウ</t>
    </rPh>
    <rPh sb="25" eb="27">
      <t>コウモク</t>
    </rPh>
    <rPh sb="49" eb="51">
      <t>レンケイ</t>
    </rPh>
    <rPh sb="51" eb="53">
      <t>コウモク</t>
    </rPh>
    <rPh sb="57" eb="58">
      <t>ノコ</t>
    </rPh>
    <rPh sb="62" eb="64">
      <t>イカ</t>
    </rPh>
    <rPh sb="65" eb="67">
      <t>コウモク</t>
    </rPh>
    <rPh sb="68" eb="70">
      <t>シュウセイ</t>
    </rPh>
    <rPh sb="91" eb="93">
      <t>コウモク</t>
    </rPh>
    <rPh sb="93" eb="94">
      <t>メイ</t>
    </rPh>
    <rPh sb="95" eb="97">
      <t>コウモク</t>
    </rPh>
    <rPh sb="100" eb="102">
      <t>ビコウ</t>
    </rPh>
    <rPh sb="103" eb="104">
      <t>タ</t>
    </rPh>
    <rPh sb="109" eb="110">
      <t>ア</t>
    </rPh>
    <rPh sb="113" eb="115">
      <t>ヘンコウ</t>
    </rPh>
    <phoneticPr fontId="3"/>
  </si>
  <si>
    <t>FJ)小林(亮)</t>
    <rPh sb="3" eb="5">
      <t>コバヤシ</t>
    </rPh>
    <rPh sb="6" eb="7">
      <t>リョウ</t>
    </rPh>
    <phoneticPr fontId="3"/>
  </si>
  <si>
    <t>*1.2</t>
    <phoneticPr fontId="3"/>
  </si>
  <si>
    <t>＜内部指摘を反映＞
・改版履歴：1.1版の変更箇所の誤記を修正</t>
    <rPh sb="11" eb="13">
      <t>カイハン</t>
    </rPh>
    <rPh sb="13" eb="15">
      <t>リレキ</t>
    </rPh>
    <rPh sb="21" eb="23">
      <t>ヘンコウ</t>
    </rPh>
    <rPh sb="23" eb="25">
      <t>カショ</t>
    </rPh>
    <rPh sb="26" eb="28">
      <t>ゴキ</t>
    </rPh>
    <rPh sb="29" eb="31">
      <t>シュウセイ</t>
    </rPh>
    <phoneticPr fontId="3"/>
  </si>
  <si>
    <t>＜内部指摘を反映＞
・以下の項目を追加
 No.35 内部イベントコード(EVNT_ID)	
 ※項目追加に伴い、追加項目以降の既存項目(緊急登録日時/作成日)の番号が1増加
・レイアウト項目一覧表の下部に補足説明を追加</t>
    <rPh sb="17" eb="19">
      <t>ツイカ</t>
    </rPh>
    <rPh sb="49" eb="51">
      <t>コウモク</t>
    </rPh>
    <rPh sb="51" eb="53">
      <t>ツイカ</t>
    </rPh>
    <rPh sb="54" eb="55">
      <t>トモナ</t>
    </rPh>
    <rPh sb="57" eb="59">
      <t>ツイカ</t>
    </rPh>
    <rPh sb="59" eb="61">
      <t>コウモク</t>
    </rPh>
    <rPh sb="61" eb="63">
      <t>イコウ</t>
    </rPh>
    <rPh sb="64" eb="66">
      <t>キゾン</t>
    </rPh>
    <rPh sb="66" eb="68">
      <t>コウモク</t>
    </rPh>
    <rPh sb="81" eb="83">
      <t>バンゴウ</t>
    </rPh>
    <rPh sb="85" eb="87">
      <t>ゾウカ</t>
    </rPh>
    <phoneticPr fontId="3"/>
  </si>
  <si>
    <t>ファイル仕様</t>
    <rPh sb="4" eb="6">
      <t>シヨウ</t>
    </rPh>
    <phoneticPr fontId="8"/>
  </si>
  <si>
    <t>版数</t>
    <phoneticPr fontId="8"/>
  </si>
  <si>
    <t>日付</t>
    <rPh sb="0" eb="2">
      <t>ヒヅケ</t>
    </rPh>
    <phoneticPr fontId="8"/>
  </si>
  <si>
    <t>作成者</t>
    <rPh sb="0" eb="3">
      <t>サクセイシャ</t>
    </rPh>
    <phoneticPr fontId="8"/>
  </si>
  <si>
    <t>SS17</t>
    <phoneticPr fontId="8"/>
  </si>
  <si>
    <t>インターフェース</t>
    <phoneticPr fontId="8"/>
  </si>
  <si>
    <t>マスタ連携</t>
    <rPh sb="3" eb="5">
      <t>レンケイ</t>
    </rPh>
    <phoneticPr fontId="8"/>
  </si>
  <si>
    <t>商品階層自動値引きマスタ連携</t>
    <rPh sb="0" eb="2">
      <t>ショウヒン</t>
    </rPh>
    <rPh sb="2" eb="8">
      <t>カイソウジドウネビ</t>
    </rPh>
    <rPh sb="12" eb="14">
      <t>レンケイ</t>
    </rPh>
    <phoneticPr fontId="8"/>
  </si>
  <si>
    <t>業務機能</t>
    <rPh sb="0" eb="2">
      <t>ギョウム</t>
    </rPh>
    <rPh sb="2" eb="4">
      <t>キノウ</t>
    </rPh>
    <phoneticPr fontId="8"/>
  </si>
  <si>
    <t>業務プロセス</t>
    <rPh sb="0" eb="2">
      <t>ギョウム</t>
    </rPh>
    <phoneticPr fontId="8"/>
  </si>
  <si>
    <t>システム機能</t>
    <rPh sb="4" eb="6">
      <t>キノウ</t>
    </rPh>
    <phoneticPr fontId="8"/>
  </si>
  <si>
    <t>ファイルID</t>
    <phoneticPr fontId="22"/>
  </si>
  <si>
    <t>IG_AUTODISC_yyyymmddhhmmss.CSV
IG_MNT_AUTODISC_yyyymmddhhmmss.CSV</t>
    <phoneticPr fontId="2"/>
  </si>
  <si>
    <t>ファイル名</t>
    <phoneticPr fontId="8"/>
  </si>
  <si>
    <t>商品階層自動値引きマスタ</t>
    <rPh sb="0" eb="8">
      <t>ショウヒンカイソウジドウネビ</t>
    </rPh>
    <phoneticPr fontId="8"/>
  </si>
  <si>
    <t>種別</t>
    <rPh sb="0" eb="2">
      <t>シュベツ</t>
    </rPh>
    <phoneticPr fontId="8"/>
  </si>
  <si>
    <t>CSV</t>
  </si>
  <si>
    <t>No</t>
    <phoneticPr fontId="8"/>
  </si>
  <si>
    <t>項目名</t>
    <rPh sb="0" eb="2">
      <t>コウモク</t>
    </rPh>
    <rPh sb="2" eb="3">
      <t>メイ</t>
    </rPh>
    <phoneticPr fontId="8"/>
  </si>
  <si>
    <t>項目ID</t>
    <rPh sb="0" eb="2">
      <t>コウモク</t>
    </rPh>
    <phoneticPr fontId="8"/>
  </si>
  <si>
    <t>型</t>
    <rPh sb="0" eb="1">
      <t>カタ</t>
    </rPh>
    <phoneticPr fontId="8"/>
  </si>
  <si>
    <t>PK</t>
    <phoneticPr fontId="8"/>
  </si>
  <si>
    <t>必須</t>
    <rPh sb="0" eb="2">
      <t>ヒッス</t>
    </rPh>
    <phoneticPr fontId="8"/>
  </si>
  <si>
    <t>項目長</t>
    <rPh sb="0" eb="2">
      <t>コウモク</t>
    </rPh>
    <rPh sb="2" eb="3">
      <t>チョウ</t>
    </rPh>
    <phoneticPr fontId="8"/>
  </si>
  <si>
    <t>備考</t>
    <rPh sb="0" eb="2">
      <t>ビコウ</t>
    </rPh>
    <phoneticPr fontId="8"/>
  </si>
  <si>
    <t>全体</t>
    <rPh sb="0" eb="2">
      <t>ゼンタイ</t>
    </rPh>
    <phoneticPr fontId="8"/>
  </si>
  <si>
    <t>小数</t>
    <rPh sb="0" eb="2">
      <t>ショウスウ</t>
    </rPh>
    <phoneticPr fontId="8"/>
  </si>
  <si>
    <t>処理区分</t>
    <rPh sb="0" eb="2">
      <t>ショリ</t>
    </rPh>
    <rPh sb="2" eb="4">
      <t>クブン</t>
    </rPh>
    <phoneticPr fontId="3"/>
  </si>
  <si>
    <t>PRCS_TYP</t>
  </si>
  <si>
    <t>String</t>
    <phoneticPr fontId="3"/>
  </si>
  <si>
    <t>○</t>
  </si>
  <si>
    <t>処理区分（A：追加、U：更新、D：削除）　※全件一括の場合は「A」を設定する</t>
    <phoneticPr fontId="3"/>
  </si>
  <si>
    <t>店舗コード</t>
  </si>
  <si>
    <t>STR_ID</t>
  </si>
  <si>
    <t>Long</t>
  </si>
  <si>
    <t>店舗番号×10000　※先頭ゼロ埋めなし</t>
    <phoneticPr fontId="2"/>
  </si>
  <si>
    <t>*1.1</t>
    <phoneticPr fontId="3"/>
  </si>
  <si>
    <t>開始日</t>
    <rPh sb="0" eb="3">
      <t>カイシビ</t>
    </rPh>
    <phoneticPr fontId="3"/>
  </si>
  <si>
    <t>EVNT_BGN_TM</t>
  </si>
  <si>
    <t>開始日 ※ＹＹＹＹＭＭＤＤ形式で８桁フル設定</t>
    <phoneticPr fontId="3"/>
  </si>
  <si>
    <t>終了日</t>
    <rPh sb="0" eb="3">
      <t>シュウリョウビ</t>
    </rPh>
    <phoneticPr fontId="3"/>
  </si>
  <si>
    <t>EVNT_END_TM</t>
  </si>
  <si>
    <t>終了日 ※ＹＹＹＹＭＭＤＤ形式で８桁フル設定</t>
    <phoneticPr fontId="3"/>
  </si>
  <si>
    <t>終了後自動削除日</t>
    <rPh sb="0" eb="3">
      <t>シュウリョウゴ</t>
    </rPh>
    <rPh sb="3" eb="5">
      <t>ジドウ</t>
    </rPh>
    <rPh sb="5" eb="8">
      <t>サクジョビ</t>
    </rPh>
    <phoneticPr fontId="3"/>
  </si>
  <si>
    <t>EVNT_DEL_DT</t>
  </si>
  <si>
    <r>
      <rPr>
        <sz val="9"/>
        <color rgb="FFFF0000"/>
        <rFont val="ＭＳ Ｐゴシック"/>
        <family val="3"/>
        <charset val="128"/>
      </rPr>
      <t xml:space="preserve">MAX </t>
    </r>
    <r>
      <rPr>
        <sz val="9"/>
        <rFont val="ＭＳ Ｐゴシック"/>
        <family val="3"/>
        <charset val="128"/>
      </rPr>
      <t>3</t>
    </r>
    <phoneticPr fontId="3"/>
  </si>
  <si>
    <r>
      <t>終了後自動削除日　※</t>
    </r>
    <r>
      <rPr>
        <sz val="9"/>
        <color rgb="FFFF0000"/>
        <rFont val="ＭＳ Ｐゴシック"/>
        <family val="3"/>
        <charset val="128"/>
      </rPr>
      <t>未使用時はNullを設定</t>
    </r>
    <phoneticPr fontId="3"/>
  </si>
  <si>
    <t>内部ディスカウントクラスID</t>
    <rPh sb="0" eb="2">
      <t>ナイブ</t>
    </rPh>
    <phoneticPr fontId="2"/>
  </si>
  <si>
    <t>DISC_CLSS_ID</t>
  </si>
  <si>
    <t>Long</t>
    <phoneticPr fontId="3"/>
  </si>
  <si>
    <r>
      <rPr>
        <sz val="9"/>
        <color rgb="FFFF0000"/>
        <rFont val="ＭＳ Ｐゴシック"/>
        <family val="3"/>
        <charset val="128"/>
      </rPr>
      <t>値引種別　※トランに設定する内部識別子</t>
    </r>
    <r>
      <rPr>
        <sz val="9"/>
        <rFont val="ＭＳ Ｐゴシック"/>
        <family val="3"/>
        <charset val="128"/>
      </rPr>
      <t xml:space="preserve">
91323：中分類自動値引除外
91324：中分類自動値引
91325：大分類自動値引除外
91326：大分類自動値引</t>
    </r>
    <rPh sb="29" eb="31">
      <t>ジドウ</t>
    </rPh>
    <rPh sb="31" eb="33">
      <t>ネビキ</t>
    </rPh>
    <rPh sb="33" eb="35">
      <t>ジョガイ</t>
    </rPh>
    <rPh sb="63" eb="65">
      <t>ジョガイ</t>
    </rPh>
    <rPh sb="75" eb="77">
      <t>ジドウ</t>
    </rPh>
    <rPh sb="77" eb="79">
      <t>ネビキ</t>
    </rPh>
    <phoneticPr fontId="3"/>
  </si>
  <si>
    <t>分類コード</t>
    <rPh sb="0" eb="2">
      <t>ブンルイ</t>
    </rPh>
    <phoneticPr fontId="3"/>
  </si>
  <si>
    <t>EVNT_NBR</t>
  </si>
  <si>
    <t>分類コード※先頭ゼロ埋め7桁</t>
    <rPh sb="6" eb="8">
      <t>セントウ</t>
    </rPh>
    <phoneticPr fontId="3"/>
  </si>
  <si>
    <t>補助コード</t>
    <phoneticPr fontId="3"/>
  </si>
  <si>
    <t>AUX_CD</t>
  </si>
  <si>
    <t>Integer</t>
  </si>
  <si>
    <t>未使用　※NULL固定</t>
    <phoneticPr fontId="3"/>
  </si>
  <si>
    <t>*1.1</t>
    <phoneticPr fontId="2"/>
  </si>
  <si>
    <t>ディスカウント方法</t>
    <phoneticPr fontId="3"/>
  </si>
  <si>
    <t>DISC_MTHD</t>
  </si>
  <si>
    <t>ディスカウント方法（１：額引、２：率引）</t>
  </si>
  <si>
    <t>保留指示フラグ</t>
    <rPh sb="0" eb="2">
      <t>ホリュウ</t>
    </rPh>
    <rPh sb="2" eb="4">
      <t>シジ</t>
    </rPh>
    <phoneticPr fontId="3"/>
  </si>
  <si>
    <t>EVNT_EXCL_FG</t>
  </si>
  <si>
    <t>保留指示フラグ（０：保留なし　１：保留）</t>
  </si>
  <si>
    <t>ディスカウント値</t>
    <rPh sb="7" eb="8">
      <t>チ</t>
    </rPh>
    <phoneticPr fontId="3"/>
  </si>
  <si>
    <t>DISC_VALUE</t>
  </si>
  <si>
    <t>Double</t>
  </si>
  <si>
    <t>値引額/割引率
※値引の時は値引額，割引の時は割引率（1～100），値引除外の時は０固定</t>
    <phoneticPr fontId="3"/>
  </si>
  <si>
    <t>商品階層コード・レベル１</t>
    <phoneticPr fontId="3"/>
  </si>
  <si>
    <t>MDSE_STRC_NBR_1</t>
  </si>
  <si>
    <t>String</t>
  </si>
  <si>
    <t>商品階層コード・レベル１ ※部門コード右詰め2桁、　頭ゼロ埋め</t>
    <rPh sb="0" eb="2">
      <t>ショウヒン</t>
    </rPh>
    <rPh sb="2" eb="4">
      <t>カイソウ</t>
    </rPh>
    <rPh sb="19" eb="20">
      <t>ミギ</t>
    </rPh>
    <rPh sb="20" eb="21">
      <t>ヅ</t>
    </rPh>
    <rPh sb="26" eb="27">
      <t>アタマ</t>
    </rPh>
    <phoneticPr fontId="14"/>
  </si>
  <si>
    <t>商品階層コード・レベル２</t>
  </si>
  <si>
    <t>MDSE_STRC_NBR_2</t>
  </si>
  <si>
    <t>商品階層コード・レベル２ ※大分類コード右詰め4桁、頭ゼロ埋め</t>
    <rPh sb="0" eb="2">
      <t>ショウヒン</t>
    </rPh>
    <rPh sb="2" eb="4">
      <t>カイソウ</t>
    </rPh>
    <phoneticPr fontId="14"/>
  </si>
  <si>
    <t>商品階層コード・レベル３</t>
  </si>
  <si>
    <t>MDSE_STRC_NBR_3</t>
  </si>
  <si>
    <t>商品階層コード・レベル３ ※中分類コード右詰め6桁、頭ゼロ埋め
※大分類コードの自動値引/自動値引除外の場合は未使用ゼロ埋め</t>
    <rPh sb="0" eb="2">
      <t>ショウヒン</t>
    </rPh>
    <rPh sb="2" eb="4">
      <t>カイソウ</t>
    </rPh>
    <rPh sb="33" eb="36">
      <t>ダイブンルイ</t>
    </rPh>
    <rPh sb="40" eb="42">
      <t>ジドウ</t>
    </rPh>
    <rPh sb="42" eb="44">
      <t>ネビキ</t>
    </rPh>
    <rPh sb="45" eb="47">
      <t>ジドウ</t>
    </rPh>
    <rPh sb="47" eb="49">
      <t>ネビキ</t>
    </rPh>
    <rPh sb="49" eb="51">
      <t>ジョガイ</t>
    </rPh>
    <rPh sb="52" eb="54">
      <t>バアイ</t>
    </rPh>
    <rPh sb="55" eb="58">
      <t>ミシヨウ</t>
    </rPh>
    <rPh sb="60" eb="61">
      <t>ウ</t>
    </rPh>
    <phoneticPr fontId="14"/>
  </si>
  <si>
    <t>商品階層コード・レベル４</t>
  </si>
  <si>
    <t>MDSE_STRC_NBR_4</t>
  </si>
  <si>
    <t>商品階層コード・レベル４ ※未使用ゼロ埋め</t>
    <rPh sb="0" eb="2">
      <t>ショウヒン</t>
    </rPh>
    <rPh sb="2" eb="4">
      <t>カイソウ</t>
    </rPh>
    <rPh sb="14" eb="17">
      <t>ミシヨウ</t>
    </rPh>
    <phoneticPr fontId="14"/>
  </si>
  <si>
    <t>商品階層コード・レベル５</t>
  </si>
  <si>
    <t>MDSE_STRC_NBR_5</t>
  </si>
  <si>
    <t>商品階層コード・レベル５ ※未使用ゼロ埋め</t>
    <rPh sb="0" eb="2">
      <t>ショウヒン</t>
    </rPh>
    <rPh sb="2" eb="4">
      <t>カイソウ</t>
    </rPh>
    <rPh sb="14" eb="17">
      <t>ミシヨウ</t>
    </rPh>
    <phoneticPr fontId="14"/>
  </si>
  <si>
    <t>商品階層コード・レベル６</t>
  </si>
  <si>
    <t>MDSE_STRC_NBR_6</t>
  </si>
  <si>
    <t>商品階層コード・レベル６ ※未使用ゼロ埋め</t>
    <rPh sb="0" eb="2">
      <t>ショウヒン</t>
    </rPh>
    <rPh sb="2" eb="4">
      <t>カイソウ</t>
    </rPh>
    <rPh sb="14" eb="17">
      <t>ミシヨウ</t>
    </rPh>
    <phoneticPr fontId="14"/>
  </si>
  <si>
    <t>商品階層コード・レベル７</t>
  </si>
  <si>
    <t>MDSE_STRC_NBR_7</t>
  </si>
  <si>
    <t>商品階層コード・レベル７ ※未使用ゼロ埋め</t>
    <rPh sb="0" eb="2">
      <t>ショウヒン</t>
    </rPh>
    <rPh sb="2" eb="4">
      <t>カイソウ</t>
    </rPh>
    <rPh sb="14" eb="17">
      <t>ミシヨウ</t>
    </rPh>
    <phoneticPr fontId="14"/>
  </si>
  <si>
    <t>商品階層コード・レベル８</t>
  </si>
  <si>
    <t>MDSE_STRC_NBR_8</t>
  </si>
  <si>
    <t>商品階層コード・レベル８ ※未使用ゼロ埋め</t>
    <rPh sb="0" eb="2">
      <t>ショウヒン</t>
    </rPh>
    <rPh sb="2" eb="4">
      <t>カイソウ</t>
    </rPh>
    <rPh sb="14" eb="17">
      <t>ミシヨウ</t>
    </rPh>
    <phoneticPr fontId="14"/>
  </si>
  <si>
    <t>商品階層コード・レベル９</t>
  </si>
  <si>
    <t>MDSE_STRC_NBR_9</t>
  </si>
  <si>
    <t>商品階層コード・レベル９ 未使用ゼロ埋め</t>
    <rPh sb="0" eb="2">
      <t>ショウヒン</t>
    </rPh>
    <rPh sb="2" eb="4">
      <t>カイソウ</t>
    </rPh>
    <rPh sb="13" eb="16">
      <t>ミシヨウ</t>
    </rPh>
    <phoneticPr fontId="14"/>
  </si>
  <si>
    <t>メーカーコード</t>
    <phoneticPr fontId="3"/>
  </si>
  <si>
    <t>SUB_ID</t>
  </si>
  <si>
    <r>
      <rPr>
        <sz val="9"/>
        <color rgb="FFFF0000"/>
        <rFont val="ＭＳ Ｐゴシック"/>
        <family val="3"/>
        <charset val="128"/>
      </rPr>
      <t xml:space="preserve">MAX </t>
    </r>
    <r>
      <rPr>
        <sz val="9"/>
        <rFont val="ＭＳ Ｐゴシック"/>
        <family val="3"/>
        <charset val="128"/>
      </rPr>
      <t>10</t>
    </r>
    <phoneticPr fontId="3"/>
  </si>
  <si>
    <r>
      <t>メーカーコード　※</t>
    </r>
    <r>
      <rPr>
        <sz val="9"/>
        <color rgb="FFFF0000"/>
        <rFont val="ＭＳ Ｐゴシック"/>
        <family val="3"/>
        <charset val="128"/>
      </rPr>
      <t>未使用、</t>
    </r>
    <r>
      <rPr>
        <sz val="9"/>
        <rFont val="ＭＳ Ｐゴシック"/>
        <family val="3"/>
        <charset val="128"/>
      </rPr>
      <t>NULL固定</t>
    </r>
    <rPh sb="9" eb="12">
      <t>ミシヨウ</t>
    </rPh>
    <phoneticPr fontId="3"/>
  </si>
  <si>
    <t>自動値引対象最低金額</t>
    <phoneticPr fontId="3"/>
  </si>
  <si>
    <t>MIN_AMT</t>
  </si>
  <si>
    <t>Currency</t>
  </si>
  <si>
    <t>自動値引対象最低金額 ※設定しない場合0固定</t>
    <rPh sb="0" eb="2">
      <t>ジドウ</t>
    </rPh>
    <rPh sb="2" eb="4">
      <t>ネビキ</t>
    </rPh>
    <rPh sb="4" eb="6">
      <t>タイショウ</t>
    </rPh>
    <rPh sb="6" eb="8">
      <t>サイテイ</t>
    </rPh>
    <rPh sb="8" eb="10">
      <t>キンガク</t>
    </rPh>
    <rPh sb="12" eb="14">
      <t>セッテイ</t>
    </rPh>
    <rPh sb="17" eb="19">
      <t>バアイ</t>
    </rPh>
    <rPh sb="20" eb="22">
      <t>コテイ</t>
    </rPh>
    <phoneticPr fontId="14"/>
  </si>
  <si>
    <t>開始時間</t>
    <rPh sb="0" eb="4">
      <t>カイシジカン</t>
    </rPh>
    <phoneticPr fontId="3"/>
  </si>
  <si>
    <t>PROMO_BGN_TM</t>
  </si>
  <si>
    <t>HHMM形式で４桁フルに設定（２４時間制）　＊未設定時はNullを設定</t>
  </si>
  <si>
    <t>終了時間</t>
    <rPh sb="0" eb="2">
      <t>シュウリョウ</t>
    </rPh>
    <rPh sb="2" eb="4">
      <t>ジカン</t>
    </rPh>
    <phoneticPr fontId="3"/>
  </si>
  <si>
    <t>PROMO_END_TM</t>
  </si>
  <si>
    <t>期間フラグ</t>
    <rPh sb="0" eb="2">
      <t>キカン</t>
    </rPh>
    <phoneticPr fontId="3"/>
  </si>
  <si>
    <t>TIME_SERVICE_FG</t>
  </si>
  <si>
    <t>0：期間、１：曜日、2：期間＋時間、3：期間＋曜日＋時間　※値引除外の時は０固定</t>
    <rPh sb="2" eb="4">
      <t>キカン</t>
    </rPh>
    <rPh sb="7" eb="9">
      <t>ヨウビ</t>
    </rPh>
    <rPh sb="12" eb="14">
      <t>キカン</t>
    </rPh>
    <rPh sb="15" eb="17">
      <t>ジカン</t>
    </rPh>
    <rPh sb="20" eb="22">
      <t>キカン</t>
    </rPh>
    <rPh sb="23" eb="25">
      <t>ヨウビ</t>
    </rPh>
    <rPh sb="26" eb="28">
      <t>ジカン</t>
    </rPh>
    <phoneticPr fontId="14"/>
  </si>
  <si>
    <r>
      <t>月曜日</t>
    </r>
    <r>
      <rPr>
        <sz val="9"/>
        <color rgb="FFFF0000"/>
        <rFont val="ＭＳ Ｐゴシック"/>
        <family val="3"/>
        <charset val="128"/>
      </rPr>
      <t>除外フラグ</t>
    </r>
    <phoneticPr fontId="3"/>
  </si>
  <si>
    <t>MON_EXCL_FG</t>
  </si>
  <si>
    <t>0:除外しない　1:除外する</t>
  </si>
  <si>
    <r>
      <t>火曜日</t>
    </r>
    <r>
      <rPr>
        <sz val="9"/>
        <color rgb="FFFF0000"/>
        <rFont val="ＭＳ Ｐゴシック"/>
        <family val="3"/>
        <charset val="128"/>
      </rPr>
      <t>除外フラグ</t>
    </r>
    <phoneticPr fontId="3"/>
  </si>
  <si>
    <t>TUES_EXCL_FG</t>
  </si>
  <si>
    <r>
      <t>水曜日</t>
    </r>
    <r>
      <rPr>
        <sz val="9"/>
        <color rgb="FFFF0000"/>
        <rFont val="ＭＳ Ｐゴシック"/>
        <family val="3"/>
        <charset val="128"/>
      </rPr>
      <t>除外フラグ</t>
    </r>
    <phoneticPr fontId="3"/>
  </si>
  <si>
    <t>WED_EXCL_FG</t>
  </si>
  <si>
    <r>
      <t>木曜日</t>
    </r>
    <r>
      <rPr>
        <sz val="9"/>
        <color rgb="FFFF0000"/>
        <rFont val="ＭＳ Ｐゴシック"/>
        <family val="3"/>
        <charset val="128"/>
      </rPr>
      <t>除外フラグ</t>
    </r>
    <phoneticPr fontId="3"/>
  </si>
  <si>
    <t>THURS_EXCL_FG</t>
  </si>
  <si>
    <r>
      <t>金曜日</t>
    </r>
    <r>
      <rPr>
        <sz val="9"/>
        <color rgb="FFFF0000"/>
        <rFont val="ＭＳ Ｐゴシック"/>
        <family val="3"/>
        <charset val="128"/>
      </rPr>
      <t>除外フラグ</t>
    </r>
    <phoneticPr fontId="3"/>
  </si>
  <si>
    <t>FRI_EXCL_FG</t>
  </si>
  <si>
    <r>
      <t>土曜日</t>
    </r>
    <r>
      <rPr>
        <sz val="9"/>
        <color rgb="FFFF0000"/>
        <rFont val="ＭＳ Ｐゴシック"/>
        <family val="3"/>
        <charset val="128"/>
      </rPr>
      <t>除外フラグ</t>
    </r>
    <phoneticPr fontId="3"/>
  </si>
  <si>
    <t>SAT_EXCEL_FG</t>
  </si>
  <si>
    <r>
      <t>日曜日</t>
    </r>
    <r>
      <rPr>
        <sz val="9"/>
        <color rgb="FFFF0000"/>
        <rFont val="ＭＳ Ｐゴシック"/>
        <family val="3"/>
        <charset val="128"/>
      </rPr>
      <t>除外フラグ</t>
    </r>
    <phoneticPr fontId="3"/>
  </si>
  <si>
    <t>SUN_EXCL_FG</t>
  </si>
  <si>
    <t>内部ディスカウントID</t>
    <rPh sb="0" eb="2">
      <t>ナイブ</t>
    </rPh>
    <phoneticPr fontId="2"/>
  </si>
  <si>
    <t>DISC_ID</t>
    <phoneticPr fontId="2"/>
  </si>
  <si>
    <t>Long</t>
    <phoneticPr fontId="2"/>
  </si>
  <si>
    <t>内部ディスカウント識別子　※トランに設定する内部識別子</t>
    <rPh sb="0" eb="2">
      <t>ナイブ</t>
    </rPh>
    <rPh sb="18" eb="20">
      <t>セッテイ</t>
    </rPh>
    <rPh sb="22" eb="24">
      <t>ナイブ</t>
    </rPh>
    <rPh sb="24" eb="27">
      <t>シキベツシ</t>
    </rPh>
    <phoneticPr fontId="2"/>
  </si>
  <si>
    <t>内部商品分類番号</t>
    <rPh sb="0" eb="2">
      <t>ナイブ</t>
    </rPh>
    <phoneticPr fontId="3"/>
  </si>
  <si>
    <t>MDSE_XREF_NO</t>
  </si>
  <si>
    <t>内部識別用の商品分類コード　※トランに設定する内部識別子</t>
    <rPh sb="4" eb="5">
      <t>ヨウ</t>
    </rPh>
    <phoneticPr fontId="3"/>
  </si>
  <si>
    <t>内部イベントコード</t>
    <rPh sb="0" eb="2">
      <t>ナイブ</t>
    </rPh>
    <phoneticPr fontId="2"/>
  </si>
  <si>
    <t>EVNT_ID</t>
    <phoneticPr fontId="2"/>
  </si>
  <si>
    <t>String</t>
    <phoneticPr fontId="2"/>
  </si>
  <si>
    <t>MAX 6</t>
    <phoneticPr fontId="2"/>
  </si>
  <si>
    <t>内部識別コード。数字6桁以内　※トランに設定する内部識別子</t>
    <phoneticPr fontId="2"/>
  </si>
  <si>
    <t>*1.3</t>
    <phoneticPr fontId="2"/>
  </si>
  <si>
    <t>緊急登録日時</t>
    <rPh sb="0" eb="2">
      <t>キンキュウ</t>
    </rPh>
    <rPh sb="2" eb="4">
      <t>トウロク</t>
    </rPh>
    <rPh sb="4" eb="6">
      <t>ニチジ</t>
    </rPh>
    <phoneticPr fontId="2"/>
  </si>
  <si>
    <t>EMERGENCY_TM</t>
    <phoneticPr fontId="2"/>
  </si>
  <si>
    <t>MAX 18</t>
    <phoneticPr fontId="2"/>
  </si>
  <si>
    <t>緊急登録日時をYYYYMMDDHHMMSS.SSS形式[年(4桁)月(2桁)日(2桁)時(2桁)分(2桁)秒(整数部2桁＋ピリオド1桁＋小数点以下3桁)]で18桁で設定
※未登録時はNullを設定
※同一の値引種別のデータが複数存在し、かつ、緊急登録日付が営業日と一致する場合は、緊急登録日時が最新のデータが優先される</t>
    <rPh sb="0" eb="2">
      <t>キンキュウ</t>
    </rPh>
    <rPh sb="2" eb="4">
      <t>トウロク</t>
    </rPh>
    <rPh sb="4" eb="6">
      <t>ニチジ</t>
    </rPh>
    <rPh sb="28" eb="29">
      <t>ネン</t>
    </rPh>
    <rPh sb="31" eb="32">
      <t>ケタ</t>
    </rPh>
    <rPh sb="33" eb="34">
      <t>ツキ</t>
    </rPh>
    <rPh sb="36" eb="37">
      <t>ケタ</t>
    </rPh>
    <rPh sb="38" eb="39">
      <t>ヒ</t>
    </rPh>
    <rPh sb="41" eb="42">
      <t>ケタ</t>
    </rPh>
    <rPh sb="43" eb="44">
      <t>ジ</t>
    </rPh>
    <rPh sb="46" eb="47">
      <t>ケタ</t>
    </rPh>
    <rPh sb="48" eb="49">
      <t>フン</t>
    </rPh>
    <rPh sb="51" eb="52">
      <t>ケタ</t>
    </rPh>
    <rPh sb="53" eb="54">
      <t>ビョウ</t>
    </rPh>
    <rPh sb="55" eb="57">
      <t>セイスウ</t>
    </rPh>
    <rPh sb="57" eb="58">
      <t>ブ</t>
    </rPh>
    <rPh sb="59" eb="60">
      <t>ケタ</t>
    </rPh>
    <rPh sb="66" eb="67">
      <t>ケタ</t>
    </rPh>
    <rPh sb="68" eb="70">
      <t>ショウスウ</t>
    </rPh>
    <rPh sb="70" eb="71">
      <t>テン</t>
    </rPh>
    <rPh sb="71" eb="73">
      <t>イカ</t>
    </rPh>
    <rPh sb="74" eb="75">
      <t>ケタ</t>
    </rPh>
    <rPh sb="80" eb="81">
      <t>ケタ</t>
    </rPh>
    <rPh sb="82" eb="84">
      <t>セッテイ</t>
    </rPh>
    <rPh sb="86" eb="87">
      <t>ミ</t>
    </rPh>
    <rPh sb="87" eb="89">
      <t>トウロク</t>
    </rPh>
    <rPh sb="89" eb="90">
      <t>ジ</t>
    </rPh>
    <rPh sb="90" eb="91">
      <t>テイジ</t>
    </rPh>
    <rPh sb="96" eb="98">
      <t>セッテイ</t>
    </rPh>
    <rPh sb="100" eb="102">
      <t>ドウイツ</t>
    </rPh>
    <rPh sb="112" eb="114">
      <t>フクスウ</t>
    </rPh>
    <rPh sb="114" eb="116">
      <t>ソンザイ</t>
    </rPh>
    <rPh sb="121" eb="123">
      <t>キンキュウ</t>
    </rPh>
    <rPh sb="123" eb="125">
      <t>トウロク</t>
    </rPh>
    <rPh sb="125" eb="127">
      <t>ヒヅケ</t>
    </rPh>
    <rPh sb="128" eb="131">
      <t>エイギョウビ</t>
    </rPh>
    <rPh sb="132" eb="134">
      <t>イッチ</t>
    </rPh>
    <rPh sb="136" eb="138">
      <t>バアイ</t>
    </rPh>
    <rPh sb="144" eb="146">
      <t>ニチジ</t>
    </rPh>
    <rPh sb="147" eb="149">
      <t>サイシン</t>
    </rPh>
    <rPh sb="154" eb="156">
      <t>ユウセン</t>
    </rPh>
    <phoneticPr fontId="2"/>
  </si>
  <si>
    <t>*1.1,*1.3</t>
    <phoneticPr fontId="2"/>
  </si>
  <si>
    <t>CRT_DT</t>
  </si>
  <si>
    <t>YYYYMMDD形式で８桁フルに設定</t>
    <phoneticPr fontId="2"/>
  </si>
  <si>
    <t>*1.3</t>
    <phoneticPr fontId="3"/>
  </si>
  <si>
    <t>※補足説明</t>
    <rPh sb="1" eb="3">
      <t>ホソク</t>
    </rPh>
    <rPh sb="3" eb="5">
      <t>セツメイ</t>
    </rPh>
    <phoneticPr fontId="2"/>
  </si>
  <si>
    <t>　・型が「Currency」の項目については、小数点以下第4桁まで出力する。(例： 98.0000)</t>
    <rPh sb="15" eb="17">
      <t>コウモク</t>
    </rPh>
    <rPh sb="23" eb="26">
      <t>ショウスウテン</t>
    </rPh>
    <rPh sb="26" eb="28">
      <t>イカ</t>
    </rPh>
    <rPh sb="28" eb="29">
      <t>ダイ</t>
    </rPh>
    <rPh sb="30" eb="31">
      <t>ケタ</t>
    </rPh>
    <rPh sb="33" eb="35">
      <t>シュツリョク</t>
    </rPh>
    <rPh sb="39" eb="40">
      <t>レイ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</si>
</sst>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yyyy&quot;年&quot;m&quot;月&quot;d&quot;日&quot;;@"/>
    <numFmt numFmtId="177" formatCode="0.0_ ;[Red]\-0.0\ "/>
    <numFmt numFmtId="178" formatCode="yyyy/m/d;@"/>
    <numFmt numFmtId="179" formatCode="0.0_ "/>
    <numFmt numFmtId="180" formatCode="&quot;第&quot;0.0&quot;版&quot;"/>
  </numFmts>
  <fonts count="33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9"/>
      <name val="Meiryo UI"/>
      <family val="3"/>
      <charset val="128"/>
    </font>
    <font>
      <sz val="6"/>
      <name val="游ゴシック"/>
      <family val="2"/>
      <charset val="128"/>
      <scheme val="minor"/>
    </font>
    <font>
      <b/>
      <sz val="9"/>
      <name val="Meiryo UI"/>
      <family val="3"/>
      <charset val="128"/>
    </font>
    <font>
      <sz val="10"/>
      <name val="ＭＳ ゴシック"/>
      <family val="3"/>
      <charset val="128"/>
    </font>
    <font>
      <sz val="10"/>
      <name val="Meiryo UI"/>
      <family val="3"/>
      <charset val="128"/>
    </font>
    <font>
      <sz val="9"/>
      <name val="Arial"/>
      <family val="2"/>
    </font>
    <font>
      <sz val="6"/>
      <name val="ＭＳ Ｐゴシック"/>
      <family val="3"/>
      <charset val="128"/>
    </font>
    <font>
      <sz val="8"/>
      <color indexed="8"/>
      <name val="Meiryo UI"/>
      <family val="3"/>
      <charset val="128"/>
    </font>
    <font>
      <sz val="9"/>
      <color indexed="8"/>
      <name val="Meiryo UI"/>
      <family val="3"/>
      <charset val="128"/>
    </font>
    <font>
      <sz val="11"/>
      <name val="Arial"/>
      <family val="2"/>
    </font>
    <font>
      <u/>
      <sz val="9"/>
      <name val="Meiryo UI"/>
      <family val="3"/>
      <charset val="128"/>
    </font>
    <font>
      <b/>
      <sz val="14"/>
      <color indexed="8"/>
      <name val="ＭＳ Ｐゴシック"/>
      <family val="3"/>
      <charset val="128"/>
    </font>
    <font>
      <sz val="12"/>
      <name val="ＭＳ ゴシック"/>
      <family val="3"/>
      <charset val="128"/>
    </font>
    <font>
      <sz val="12"/>
      <color indexed="8"/>
      <name val="ＭＳ ゴシック"/>
      <family val="3"/>
      <charset val="128"/>
    </font>
    <font>
      <sz val="10"/>
      <color indexed="8"/>
      <name val="ＭＳ ゴシック"/>
      <family val="3"/>
      <charset val="128"/>
    </font>
    <font>
      <sz val="12"/>
      <color indexed="8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16"/>
      <name val="ＭＳ Ｐゴシック"/>
      <family val="3"/>
      <charset val="128"/>
    </font>
    <font>
      <b/>
      <sz val="14"/>
      <color indexed="10"/>
      <name val="ＭＳ Ｐゴシック"/>
      <family val="3"/>
      <charset val="128"/>
    </font>
    <font>
      <sz val="10"/>
      <color indexed="8"/>
      <name val="Arial"/>
      <family val="2"/>
    </font>
    <font>
      <sz val="12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Ｐゴシック"/>
      <family val="3"/>
      <charset val="128"/>
    </font>
    <font>
      <sz val="9"/>
      <name val="ＭＳ ゴシック"/>
      <family val="3"/>
      <charset val="128"/>
    </font>
    <font>
      <sz val="11"/>
      <color rgb="FFFF0000"/>
      <name val="ＭＳ Ｐゴシック"/>
      <family val="3"/>
      <charset val="128"/>
    </font>
    <font>
      <sz val="9"/>
      <color rgb="FFFF0000"/>
      <name val="ＭＳ Ｐゴシック"/>
      <family val="3"/>
      <charset val="128"/>
    </font>
    <font>
      <sz val="9"/>
      <color rgb="FFFF0000"/>
      <name val="ＭＳ ゴシック"/>
      <family val="3"/>
      <charset val="128"/>
    </font>
    <font>
      <sz val="10"/>
      <color rgb="FFFF0000"/>
      <name val="ＭＳ Ｐゴシック"/>
      <family val="3"/>
      <charset val="128"/>
    </font>
    <font>
      <sz val="10"/>
      <color rgb="FFFF0000"/>
      <name val="Meiryo UI"/>
      <family val="3"/>
      <charset val="128"/>
    </font>
    <font>
      <sz val="9"/>
      <color rgb="FFFF0000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7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dotted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tted">
        <color indexed="64"/>
      </right>
      <top style="medium">
        <color indexed="64"/>
      </top>
      <bottom/>
      <diagonal/>
    </border>
    <border>
      <left style="dotted">
        <color indexed="64"/>
      </left>
      <right style="dotted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dotted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dotted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dotted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dashed">
        <color indexed="64"/>
      </right>
      <top/>
      <bottom style="medium">
        <color indexed="64"/>
      </bottom>
      <diagonal/>
    </border>
    <border>
      <left style="dotted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ashed">
        <color indexed="64"/>
      </right>
      <top style="thin">
        <color indexed="64"/>
      </top>
      <bottom style="medium">
        <color indexed="64"/>
      </bottom>
      <diagonal/>
    </border>
    <border>
      <left style="dashed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</borders>
  <cellStyleXfs count="10">
    <xf numFmtId="0" fontId="0" fillId="0" borderId="0">
      <alignment vertical="center"/>
    </xf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</cellStyleXfs>
  <cellXfs count="225">
    <xf numFmtId="0" fontId="0" fillId="0" borderId="0" xfId="0">
      <alignment vertical="center"/>
    </xf>
    <xf numFmtId="0" fontId="2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0" fontId="2" fillId="0" borderId="1" xfId="1" applyFont="1" applyBorder="1" applyAlignment="1">
      <alignment vertical="center"/>
    </xf>
    <xf numFmtId="0" fontId="4" fillId="0" borderId="1" xfId="1" applyFont="1" applyBorder="1" applyAlignment="1">
      <alignment vertical="center"/>
    </xf>
    <xf numFmtId="0" fontId="6" fillId="0" borderId="0" xfId="2" applyFont="1"/>
    <xf numFmtId="0" fontId="4" fillId="2" borderId="2" xfId="3" applyFont="1" applyFill="1" applyBorder="1" applyAlignment="1">
      <alignment horizontal="left" vertical="center"/>
    </xf>
    <xf numFmtId="0" fontId="4" fillId="2" borderId="3" xfId="4" applyFont="1" applyFill="1" applyBorder="1" applyAlignment="1">
      <alignment horizontal="center" vertical="center"/>
    </xf>
    <xf numFmtId="0" fontId="4" fillId="2" borderId="4" xfId="4" applyFont="1" applyFill="1" applyBorder="1" applyAlignment="1">
      <alignment horizontal="center" vertical="center"/>
    </xf>
    <xf numFmtId="0" fontId="2" fillId="0" borderId="0" xfId="1" applyFont="1" applyAlignment="1">
      <alignment horizontal="left" vertical="center"/>
    </xf>
    <xf numFmtId="20" fontId="2" fillId="0" borderId="0" xfId="1" applyNumberFormat="1" applyFont="1" applyAlignment="1">
      <alignment vertical="center"/>
    </xf>
    <xf numFmtId="0" fontId="2" fillId="0" borderId="0" xfId="1" applyFont="1" applyAlignment="1">
      <alignment horizontal="centerContinuous" vertical="center"/>
    </xf>
    <xf numFmtId="0" fontId="12" fillId="0" borderId="0" xfId="1" applyFont="1" applyAlignment="1">
      <alignment horizontal="left" vertical="center"/>
    </xf>
    <xf numFmtId="0" fontId="13" fillId="3" borderId="37" xfId="9" applyFont="1" applyFill="1" applyBorder="1" applyAlignment="1">
      <alignment horizontal="center" vertical="center"/>
    </xf>
    <xf numFmtId="0" fontId="14" fillId="4" borderId="38" xfId="9" applyFont="1" applyFill="1" applyBorder="1" applyAlignment="1">
      <alignment horizontal="left" vertical="center"/>
    </xf>
    <xf numFmtId="0" fontId="16" fillId="3" borderId="41" xfId="9" applyFont="1" applyFill="1" applyBorder="1" applyAlignment="1">
      <alignment horizontal="center" vertical="center"/>
    </xf>
    <xf numFmtId="0" fontId="13" fillId="0" borderId="0" xfId="9" applyFont="1">
      <alignment vertical="center"/>
    </xf>
    <xf numFmtId="0" fontId="16" fillId="4" borderId="0" xfId="9" applyFont="1" applyFill="1" applyAlignment="1"/>
    <xf numFmtId="0" fontId="17" fillId="4" borderId="0" xfId="9" applyFont="1" applyFill="1" applyAlignment="1"/>
    <xf numFmtId="0" fontId="19" fillId="0" borderId="0" xfId="9" applyFont="1">
      <alignment vertical="center"/>
    </xf>
    <xf numFmtId="0" fontId="20" fillId="0" borderId="0" xfId="8" applyFont="1" applyAlignment="1">
      <alignment horizontal="left" vertical="center"/>
    </xf>
    <xf numFmtId="0" fontId="21" fillId="3" borderId="44" xfId="9" applyFont="1" applyFill="1" applyBorder="1" applyAlignment="1">
      <alignment horizontal="center" vertical="center"/>
    </xf>
    <xf numFmtId="0" fontId="14" fillId="4" borderId="45" xfId="9" applyFont="1" applyFill="1" applyBorder="1" applyAlignment="1">
      <alignment horizontal="left" vertical="center"/>
    </xf>
    <xf numFmtId="0" fontId="13" fillId="3" borderId="53" xfId="9" applyFont="1" applyFill="1" applyBorder="1" applyAlignment="1">
      <alignment horizontal="center" vertical="center"/>
    </xf>
    <xf numFmtId="0" fontId="14" fillId="4" borderId="54" xfId="9" applyFont="1" applyFill="1" applyBorder="1" applyAlignment="1">
      <alignment horizontal="right" vertical="center"/>
    </xf>
    <xf numFmtId="0" fontId="15" fillId="4" borderId="0" xfId="9" applyFont="1" applyFill="1" applyAlignment="1"/>
    <xf numFmtId="0" fontId="1" fillId="0" borderId="0" xfId="9">
      <alignment vertical="center"/>
    </xf>
    <xf numFmtId="0" fontId="24" fillId="3" borderId="56" xfId="9" applyFont="1" applyFill="1" applyBorder="1" applyAlignment="1">
      <alignment horizontal="center" vertical="center" shrinkToFit="1"/>
    </xf>
    <xf numFmtId="0" fontId="25" fillId="0" borderId="49" xfId="9" applyFont="1" applyBorder="1" applyAlignment="1">
      <alignment horizontal="right" vertical="center"/>
    </xf>
    <xf numFmtId="0" fontId="25" fillId="0" borderId="7" xfId="9" applyFont="1" applyBorder="1" applyAlignment="1">
      <alignment horizontal="left" vertical="center"/>
    </xf>
    <xf numFmtId="0" fontId="25" fillId="0" borderId="49" xfId="9" applyFont="1" applyBorder="1" applyAlignment="1">
      <alignment horizontal="center" vertical="center"/>
    </xf>
    <xf numFmtId="0" fontId="25" fillId="0" borderId="0" xfId="9" applyFont="1">
      <alignment vertical="center"/>
    </xf>
    <xf numFmtId="0" fontId="23" fillId="2" borderId="66" xfId="9" applyFont="1" applyFill="1" applyBorder="1" applyAlignment="1">
      <alignment horizontal="center" vertical="center"/>
    </xf>
    <xf numFmtId="0" fontId="24" fillId="0" borderId="49" xfId="9" applyFont="1" applyBorder="1" applyAlignment="1">
      <alignment horizontal="center" vertical="center"/>
    </xf>
    <xf numFmtId="0" fontId="25" fillId="5" borderId="49" xfId="9" applyFont="1" applyFill="1" applyBorder="1" applyAlignment="1">
      <alignment horizontal="right" vertical="center"/>
    </xf>
    <xf numFmtId="0" fontId="25" fillId="5" borderId="7" xfId="9" applyFont="1" applyFill="1" applyBorder="1" applyAlignment="1">
      <alignment horizontal="left" vertical="center"/>
    </xf>
    <xf numFmtId="0" fontId="24" fillId="5" borderId="49" xfId="9" applyFont="1" applyFill="1" applyBorder="1" applyAlignment="1">
      <alignment horizontal="center" vertical="center"/>
    </xf>
    <xf numFmtId="0" fontId="25" fillId="5" borderId="49" xfId="9" applyFont="1" applyFill="1" applyBorder="1" applyAlignment="1">
      <alignment horizontal="center" vertical="center"/>
    </xf>
    <xf numFmtId="0" fontId="27" fillId="0" borderId="0" xfId="9" applyFont="1">
      <alignment vertical="center"/>
    </xf>
    <xf numFmtId="0" fontId="28" fillId="0" borderId="49" xfId="9" applyFont="1" applyBorder="1" applyAlignment="1">
      <alignment horizontal="right" vertical="center"/>
    </xf>
    <xf numFmtId="0" fontId="28" fillId="0" borderId="7" xfId="9" applyFont="1" applyBorder="1" applyAlignment="1">
      <alignment horizontal="left" vertical="center"/>
    </xf>
    <xf numFmtId="0" fontId="30" fillId="0" borderId="49" xfId="9" applyFont="1" applyBorder="1" applyAlignment="1">
      <alignment horizontal="center" vertical="center"/>
    </xf>
    <xf numFmtId="0" fontId="28" fillId="0" borderId="49" xfId="9" applyFont="1" applyBorder="1" applyAlignment="1">
      <alignment horizontal="center" vertical="center"/>
    </xf>
    <xf numFmtId="0" fontId="30" fillId="5" borderId="49" xfId="9" applyFont="1" applyFill="1" applyBorder="1" applyAlignment="1">
      <alignment horizontal="center" vertical="center"/>
    </xf>
    <xf numFmtId="0" fontId="31" fillId="0" borderId="0" xfId="2" applyFont="1" applyAlignment="1">
      <alignment vertical="center"/>
    </xf>
    <xf numFmtId="0" fontId="28" fillId="0" borderId="0" xfId="9" applyFont="1">
      <alignment vertical="center"/>
    </xf>
    <xf numFmtId="0" fontId="2" fillId="0" borderId="28" xfId="7" applyFont="1" applyBorder="1" applyAlignment="1">
      <alignment horizontal="left" vertical="top" wrapText="1"/>
    </xf>
    <xf numFmtId="0" fontId="2" fillId="0" borderId="23" xfId="7" applyFont="1" applyBorder="1" applyAlignment="1">
      <alignment horizontal="left" vertical="top" wrapText="1"/>
    </xf>
    <xf numFmtId="0" fontId="2" fillId="0" borderId="29" xfId="7" applyFont="1" applyBorder="1" applyAlignment="1">
      <alignment horizontal="left" vertical="top" wrapText="1"/>
    </xf>
    <xf numFmtId="0" fontId="2" fillId="0" borderId="32" xfId="7" applyFont="1" applyBorder="1" applyAlignment="1">
      <alignment horizontal="left" vertical="top" shrinkToFit="1"/>
    </xf>
    <xf numFmtId="0" fontId="2" fillId="0" borderId="31" xfId="7" applyFont="1" applyBorder="1" applyAlignment="1">
      <alignment horizontal="left" vertical="top" shrinkToFit="1"/>
    </xf>
    <xf numFmtId="0" fontId="2" fillId="0" borderId="33" xfId="7" applyFont="1" applyBorder="1" applyAlignment="1">
      <alignment horizontal="left" vertical="top" shrinkToFit="1"/>
    </xf>
    <xf numFmtId="0" fontId="2" fillId="0" borderId="32" xfId="7" applyFont="1" applyBorder="1" applyAlignment="1">
      <alignment horizontal="left" vertical="top" wrapText="1" shrinkToFit="1"/>
    </xf>
    <xf numFmtId="0" fontId="2" fillId="0" borderId="31" xfId="7" applyFont="1" applyBorder="1" applyAlignment="1">
      <alignment horizontal="left" vertical="top" wrapText="1" shrinkToFit="1"/>
    </xf>
    <xf numFmtId="0" fontId="2" fillId="0" borderId="33" xfId="7" applyFont="1" applyBorder="1" applyAlignment="1">
      <alignment horizontal="left" vertical="top" wrapText="1" shrinkToFit="1"/>
    </xf>
    <xf numFmtId="0" fontId="2" fillId="0" borderId="28" xfId="7" applyFont="1" applyBorder="1" applyAlignment="1">
      <alignment vertical="top"/>
    </xf>
    <xf numFmtId="0" fontId="2" fillId="0" borderId="23" xfId="7" applyFont="1" applyBorder="1" applyAlignment="1">
      <alignment vertical="top"/>
    </xf>
    <xf numFmtId="0" fontId="2" fillId="0" borderId="26" xfId="7" applyFont="1" applyBorder="1" applyAlignment="1">
      <alignment vertical="top"/>
    </xf>
    <xf numFmtId="0" fontId="2" fillId="0" borderId="30" xfId="7" applyFont="1" applyBorder="1" applyAlignment="1">
      <alignment vertical="center"/>
    </xf>
    <xf numFmtId="0" fontId="2" fillId="0" borderId="31" xfId="7" applyFont="1" applyBorder="1" applyAlignment="1">
      <alignment vertical="center"/>
    </xf>
    <xf numFmtId="178" fontId="2" fillId="0" borderId="32" xfId="7" quotePrefix="1" applyNumberFormat="1" applyFont="1" applyBorder="1" applyAlignment="1">
      <alignment horizontal="center" vertical="top"/>
    </xf>
    <xf numFmtId="178" fontId="2" fillId="0" borderId="31" xfId="7" applyNumberFormat="1" applyFont="1" applyBorder="1" applyAlignment="1">
      <alignment horizontal="center" vertical="top"/>
    </xf>
    <xf numFmtId="178" fontId="2" fillId="0" borderId="33" xfId="7" applyNumberFormat="1" applyFont="1" applyBorder="1" applyAlignment="1">
      <alignment horizontal="center" vertical="top"/>
    </xf>
    <xf numFmtId="177" fontId="2" fillId="0" borderId="32" xfId="7" applyNumberFormat="1" applyFont="1" applyBorder="1" applyAlignment="1">
      <alignment horizontal="center" vertical="top" shrinkToFit="1"/>
    </xf>
    <xf numFmtId="177" fontId="2" fillId="0" borderId="31" xfId="7" applyNumberFormat="1" applyFont="1" applyBorder="1" applyAlignment="1">
      <alignment horizontal="center" vertical="top" shrinkToFit="1"/>
    </xf>
    <xf numFmtId="177" fontId="2" fillId="0" borderId="33" xfId="7" applyNumberFormat="1" applyFont="1" applyBorder="1" applyAlignment="1">
      <alignment horizontal="center" vertical="top" shrinkToFit="1"/>
    </xf>
    <xf numFmtId="0" fontId="2" fillId="0" borderId="32" xfId="7" applyFont="1" applyBorder="1" applyAlignment="1">
      <alignment horizontal="center" vertical="top" shrinkToFit="1"/>
    </xf>
    <xf numFmtId="0" fontId="2" fillId="0" borderId="31" xfId="7" applyFont="1" applyBorder="1" applyAlignment="1">
      <alignment horizontal="center" vertical="top" shrinkToFit="1"/>
    </xf>
    <xf numFmtId="0" fontId="2" fillId="0" borderId="33" xfId="7" applyFont="1" applyBorder="1" applyAlignment="1">
      <alignment horizontal="center" vertical="top" shrinkToFit="1"/>
    </xf>
    <xf numFmtId="0" fontId="2" fillId="0" borderId="32" xfId="7" applyFont="1" applyBorder="1" applyAlignment="1">
      <alignment vertical="top"/>
    </xf>
    <xf numFmtId="0" fontId="2" fillId="0" borderId="31" xfId="7" applyFont="1" applyBorder="1" applyAlignment="1">
      <alignment vertical="top"/>
    </xf>
    <xf numFmtId="0" fontId="2" fillId="0" borderId="34" xfId="7" applyFont="1" applyBorder="1" applyAlignment="1">
      <alignment vertical="top"/>
    </xf>
    <xf numFmtId="0" fontId="2" fillId="0" borderId="25" xfId="7" applyFont="1" applyBorder="1" applyAlignment="1">
      <alignment vertical="center"/>
    </xf>
    <xf numFmtId="0" fontId="2" fillId="0" borderId="23" xfId="7" applyFont="1" applyBorder="1" applyAlignment="1">
      <alignment vertical="center"/>
    </xf>
    <xf numFmtId="178" fontId="2" fillId="0" borderId="21" xfId="7" quotePrefix="1" applyNumberFormat="1" applyFont="1" applyBorder="1" applyAlignment="1">
      <alignment horizontal="center" vertical="top"/>
    </xf>
    <xf numFmtId="178" fontId="2" fillId="0" borderId="20" xfId="7" applyNumberFormat="1" applyFont="1" applyBorder="1" applyAlignment="1">
      <alignment horizontal="center" vertical="top"/>
    </xf>
    <xf numFmtId="178" fontId="2" fillId="0" borderId="22" xfId="7" applyNumberFormat="1" applyFont="1" applyBorder="1" applyAlignment="1">
      <alignment horizontal="center" vertical="top"/>
    </xf>
    <xf numFmtId="177" fontId="2" fillId="0" borderId="28" xfId="7" applyNumberFormat="1" applyFont="1" applyBorder="1" applyAlignment="1">
      <alignment horizontal="center" vertical="top" shrinkToFit="1"/>
    </xf>
    <xf numFmtId="177" fontId="2" fillId="0" borderId="23" xfId="7" applyNumberFormat="1" applyFont="1" applyBorder="1" applyAlignment="1">
      <alignment horizontal="center" vertical="top" shrinkToFit="1"/>
    </xf>
    <xf numFmtId="177" fontId="2" fillId="0" borderId="29" xfId="7" applyNumberFormat="1" applyFont="1" applyBorder="1" applyAlignment="1">
      <alignment horizontal="center" vertical="top" shrinkToFit="1"/>
    </xf>
    <xf numFmtId="0" fontId="2" fillId="0" borderId="21" xfId="7" applyFont="1" applyBorder="1" applyAlignment="1">
      <alignment horizontal="center" vertical="top" shrinkToFit="1"/>
    </xf>
    <xf numFmtId="0" fontId="2" fillId="0" borderId="20" xfId="7" applyFont="1" applyBorder="1" applyAlignment="1">
      <alignment horizontal="center" vertical="top" shrinkToFit="1"/>
    </xf>
    <xf numFmtId="0" fontId="2" fillId="0" borderId="22" xfId="7" applyFont="1" applyBorder="1" applyAlignment="1">
      <alignment horizontal="center" vertical="top" shrinkToFit="1"/>
    </xf>
    <xf numFmtId="0" fontId="2" fillId="0" borderId="23" xfId="7" applyFont="1" applyBorder="1" applyAlignment="1">
      <alignment vertical="top" wrapText="1" shrinkToFit="1"/>
    </xf>
    <xf numFmtId="0" fontId="2" fillId="0" borderId="26" xfId="7" applyFont="1" applyBorder="1" applyAlignment="1">
      <alignment vertical="top" wrapText="1" shrinkToFit="1"/>
    </xf>
    <xf numFmtId="0" fontId="2" fillId="0" borderId="19" xfId="7" applyFont="1" applyBorder="1" applyAlignment="1">
      <alignment vertical="center"/>
    </xf>
    <xf numFmtId="0" fontId="2" fillId="0" borderId="20" xfId="7" applyFont="1" applyBorder="1" applyAlignment="1">
      <alignment vertical="center"/>
    </xf>
    <xf numFmtId="177" fontId="2" fillId="0" borderId="23" xfId="7" applyNumberFormat="1" applyFont="1" applyBorder="1" applyAlignment="1">
      <alignment horizontal="center" vertical="top"/>
    </xf>
    <xf numFmtId="177" fontId="2" fillId="0" borderId="27" xfId="8" applyNumberFormat="1" applyFont="1" applyBorder="1" applyAlignment="1">
      <alignment horizontal="center" vertical="top"/>
    </xf>
    <xf numFmtId="0" fontId="2" fillId="0" borderId="27" xfId="8" applyFont="1" applyBorder="1" applyAlignment="1">
      <alignment horizontal="center" vertical="top" shrinkToFit="1"/>
    </xf>
    <xf numFmtId="177" fontId="2" fillId="0" borderId="20" xfId="7" applyNumberFormat="1" applyFont="1" applyBorder="1" applyAlignment="1">
      <alignment horizontal="center" vertical="top"/>
    </xf>
    <xf numFmtId="0" fontId="32" fillId="0" borderId="28" xfId="7" applyFont="1" applyBorder="1" applyAlignment="1">
      <alignment horizontal="left" vertical="top" wrapText="1"/>
    </xf>
    <xf numFmtId="0" fontId="32" fillId="0" borderId="23" xfId="7" applyFont="1" applyBorder="1" applyAlignment="1">
      <alignment horizontal="left" vertical="top" wrapText="1"/>
    </xf>
    <xf numFmtId="0" fontId="32" fillId="0" borderId="29" xfId="7" applyFont="1" applyBorder="1" applyAlignment="1">
      <alignment horizontal="left" vertical="top" wrapText="1"/>
    </xf>
    <xf numFmtId="0" fontId="2" fillId="2" borderId="6" xfId="7" applyFont="1" applyFill="1" applyBorder="1" applyAlignment="1">
      <alignment horizontal="center" vertical="center"/>
    </xf>
    <xf numFmtId="0" fontId="2" fillId="2" borderId="7" xfId="7" applyFont="1" applyFill="1" applyBorder="1" applyAlignment="1">
      <alignment horizontal="center" vertical="center"/>
    </xf>
    <xf numFmtId="178" fontId="2" fillId="0" borderId="21" xfId="7" quotePrefix="1" applyNumberFormat="1" applyFont="1" applyBorder="1" applyAlignment="1">
      <alignment horizontal="center" vertical="top" shrinkToFit="1"/>
    </xf>
    <xf numFmtId="178" fontId="2" fillId="0" borderId="20" xfId="7" applyNumberFormat="1" applyFont="1" applyBorder="1" applyAlignment="1">
      <alignment horizontal="center" vertical="top" shrinkToFit="1"/>
    </xf>
    <xf numFmtId="178" fontId="2" fillId="0" borderId="22" xfId="7" applyNumberFormat="1" applyFont="1" applyBorder="1" applyAlignment="1">
      <alignment horizontal="center" vertical="top" shrinkToFit="1"/>
    </xf>
    <xf numFmtId="0" fontId="2" fillId="0" borderId="20" xfId="7" applyFont="1" applyBorder="1" applyAlignment="1">
      <alignment vertical="center" wrapText="1" shrinkToFit="1"/>
    </xf>
    <xf numFmtId="0" fontId="2" fillId="0" borderId="24" xfId="7" applyFont="1" applyBorder="1" applyAlignment="1">
      <alignment vertical="center" wrapText="1" shrinkToFit="1"/>
    </xf>
    <xf numFmtId="0" fontId="2" fillId="2" borderId="8" xfId="7" applyFont="1" applyFill="1" applyBorder="1" applyAlignment="1">
      <alignment horizontal="center" vertical="center"/>
    </xf>
    <xf numFmtId="176" fontId="2" fillId="2" borderId="17" xfId="7" applyNumberFormat="1" applyFont="1" applyFill="1" applyBorder="1" applyAlignment="1">
      <alignment horizontal="center" vertical="center"/>
    </xf>
    <xf numFmtId="176" fontId="2" fillId="2" borderId="6" xfId="7" applyNumberFormat="1" applyFont="1" applyFill="1" applyBorder="1" applyAlignment="1">
      <alignment horizontal="center" vertical="center"/>
    </xf>
    <xf numFmtId="176" fontId="2" fillId="2" borderId="18" xfId="7" applyNumberFormat="1" applyFont="1" applyFill="1" applyBorder="1" applyAlignment="1">
      <alignment horizontal="center" vertical="center"/>
    </xf>
    <xf numFmtId="177" fontId="2" fillId="2" borderId="6" xfId="7" applyNumberFormat="1" applyFont="1" applyFill="1" applyBorder="1" applyAlignment="1">
      <alignment horizontal="center" vertical="center"/>
    </xf>
    <xf numFmtId="0" fontId="2" fillId="2" borderId="17" xfId="7" applyFont="1" applyFill="1" applyBorder="1" applyAlignment="1">
      <alignment horizontal="center" vertical="center"/>
    </xf>
    <xf numFmtId="0" fontId="2" fillId="2" borderId="18" xfId="7" applyFont="1" applyFill="1" applyBorder="1" applyAlignment="1">
      <alignment horizontal="center" vertical="center"/>
    </xf>
    <xf numFmtId="0" fontId="2" fillId="0" borderId="69" xfId="7" applyFont="1" applyBorder="1" applyAlignment="1">
      <alignment horizontal="left" vertical="top" wrapText="1"/>
    </xf>
    <xf numFmtId="0" fontId="2" fillId="0" borderId="70" xfId="7" applyFont="1" applyBorder="1" applyAlignment="1">
      <alignment horizontal="left" vertical="top" wrapText="1"/>
    </xf>
    <xf numFmtId="0" fontId="2" fillId="0" borderId="71" xfId="7" applyFont="1" applyBorder="1" applyAlignment="1">
      <alignment horizontal="left" vertical="top" wrapText="1"/>
    </xf>
    <xf numFmtId="0" fontId="2" fillId="2" borderId="9" xfId="4" applyFont="1" applyFill="1" applyBorder="1" applyAlignment="1">
      <alignment horizontal="center" vertical="center"/>
    </xf>
    <xf numFmtId="0" fontId="2" fillId="2" borderId="10" xfId="4" applyFont="1" applyFill="1" applyBorder="1" applyAlignment="1">
      <alignment horizontal="center" vertical="center"/>
    </xf>
    <xf numFmtId="0" fontId="2" fillId="2" borderId="11" xfId="4" applyFont="1" applyFill="1" applyBorder="1" applyAlignment="1">
      <alignment horizontal="center" vertical="center"/>
    </xf>
    <xf numFmtId="0" fontId="2" fillId="2" borderId="8" xfId="4" applyFont="1" applyFill="1" applyBorder="1" applyAlignment="1">
      <alignment horizontal="center" vertical="center"/>
    </xf>
    <xf numFmtId="0" fontId="2" fillId="2" borderId="6" xfId="4" applyFont="1" applyFill="1" applyBorder="1" applyAlignment="1">
      <alignment horizontal="center" vertical="center"/>
    </xf>
    <xf numFmtId="0" fontId="2" fillId="2" borderId="7" xfId="4" applyFont="1" applyFill="1" applyBorder="1" applyAlignment="1">
      <alignment horizontal="center" vertical="center"/>
    </xf>
    <xf numFmtId="0" fontId="4" fillId="2" borderId="12" xfId="4" applyFont="1" applyFill="1" applyBorder="1" applyAlignment="1">
      <alignment horizontal="center" vertical="center"/>
    </xf>
    <xf numFmtId="0" fontId="4" fillId="2" borderId="13" xfId="4" applyFont="1" applyFill="1" applyBorder="1" applyAlignment="1">
      <alignment horizontal="center" vertical="center"/>
    </xf>
    <xf numFmtId="0" fontId="4" fillId="2" borderId="14" xfId="4" applyFont="1" applyFill="1" applyBorder="1" applyAlignment="1">
      <alignment horizontal="center" vertical="center"/>
    </xf>
    <xf numFmtId="0" fontId="2" fillId="0" borderId="5" xfId="5" applyFont="1" applyBorder="1" applyAlignment="1">
      <alignment horizontal="center" vertical="center"/>
    </xf>
    <xf numFmtId="0" fontId="2" fillId="0" borderId="6" xfId="5" applyFont="1" applyBorder="1" applyAlignment="1">
      <alignment horizontal="center" vertical="center"/>
    </xf>
    <xf numFmtId="0" fontId="2" fillId="0" borderId="7" xfId="5" applyFont="1" applyBorder="1" applyAlignment="1">
      <alignment horizontal="center" vertical="center"/>
    </xf>
    <xf numFmtId="180" fontId="9" fillId="0" borderId="8" xfId="6" applyNumberFormat="1" applyFont="1" applyBorder="1" applyAlignment="1">
      <alignment horizontal="center" vertical="center" shrinkToFit="1"/>
    </xf>
    <xf numFmtId="180" fontId="9" fillId="0" borderId="7" xfId="6" applyNumberFormat="1" applyFont="1" applyBorder="1" applyAlignment="1">
      <alignment horizontal="center" vertical="center" shrinkToFit="1"/>
    </xf>
    <xf numFmtId="0" fontId="2" fillId="0" borderId="8" xfId="6" applyFont="1" applyBorder="1" applyAlignment="1">
      <alignment horizontal="center" vertical="center"/>
    </xf>
    <xf numFmtId="0" fontId="2" fillId="0" borderId="6" xfId="6" applyFont="1" applyBorder="1" applyAlignment="1">
      <alignment horizontal="center" vertical="center"/>
    </xf>
    <xf numFmtId="0" fontId="2" fillId="0" borderId="7" xfId="6" applyFont="1" applyBorder="1" applyAlignment="1">
      <alignment horizontal="center" vertical="center"/>
    </xf>
    <xf numFmtId="14" fontId="10" fillId="0" borderId="8" xfId="6" applyNumberFormat="1" applyFont="1" applyBorder="1" applyAlignment="1">
      <alignment horizontal="center" vertical="center"/>
    </xf>
    <xf numFmtId="14" fontId="10" fillId="0" borderId="6" xfId="6" applyNumberFormat="1" applyFont="1" applyBorder="1" applyAlignment="1">
      <alignment horizontal="center" vertical="center"/>
    </xf>
    <xf numFmtId="14" fontId="10" fillId="0" borderId="7" xfId="6" applyNumberFormat="1" applyFont="1" applyBorder="1" applyAlignment="1">
      <alignment horizontal="center" vertical="center"/>
    </xf>
    <xf numFmtId="0" fontId="2" fillId="2" borderId="5" xfId="4" applyFont="1" applyFill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" fillId="0" borderId="10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15" xfId="4" applyFont="1" applyBorder="1" applyAlignment="1">
      <alignment horizontal="center" vertical="center"/>
    </xf>
    <xf numFmtId="0" fontId="2" fillId="0" borderId="1" xfId="4" applyFont="1" applyBorder="1" applyAlignment="1">
      <alignment horizontal="center" vertical="center"/>
    </xf>
    <xf numFmtId="0" fontId="2" fillId="0" borderId="16" xfId="4" applyFont="1" applyBorder="1" applyAlignment="1">
      <alignment horizontal="center" vertical="center"/>
    </xf>
    <xf numFmtId="0" fontId="2" fillId="0" borderId="8" xfId="4" applyFont="1" applyBorder="1" applyAlignment="1">
      <alignment horizontal="center" vertical="center" shrinkToFit="1"/>
    </xf>
    <xf numFmtId="0" fontId="2" fillId="0" borderId="6" xfId="4" applyFont="1" applyBorder="1" applyAlignment="1">
      <alignment horizontal="center" vertical="center" shrinkToFit="1"/>
    </xf>
    <xf numFmtId="0" fontId="2" fillId="0" borderId="7" xfId="4" applyFont="1" applyBorder="1" applyAlignment="1">
      <alignment horizontal="center" vertical="center" shrinkToFit="1"/>
    </xf>
    <xf numFmtId="0" fontId="25" fillId="0" borderId="8" xfId="9" applyFont="1" applyBorder="1" applyAlignment="1">
      <alignment vertical="center" shrinkToFit="1"/>
    </xf>
    <xf numFmtId="0" fontId="25" fillId="0" borderId="6" xfId="9" applyFont="1" applyBorder="1" applyAlignment="1">
      <alignment vertical="center" shrinkToFit="1"/>
    </xf>
    <xf numFmtId="0" fontId="25" fillId="0" borderId="7" xfId="9" applyFont="1" applyBorder="1" applyAlignment="1">
      <alignment vertical="center" shrinkToFit="1"/>
    </xf>
    <xf numFmtId="0" fontId="28" fillId="0" borderId="8" xfId="9" applyFont="1" applyBorder="1" applyAlignment="1">
      <alignment vertical="center" shrinkToFit="1"/>
    </xf>
    <xf numFmtId="0" fontId="28" fillId="0" borderId="6" xfId="9" applyFont="1" applyBorder="1" applyAlignment="1">
      <alignment vertical="center" shrinkToFit="1"/>
    </xf>
    <xf numFmtId="0" fontId="28" fillId="0" borderId="7" xfId="9" applyFont="1" applyBorder="1" applyAlignment="1">
      <alignment vertical="center" shrinkToFit="1"/>
    </xf>
    <xf numFmtId="0" fontId="25" fillId="0" borderId="8" xfId="9" applyFont="1" applyBorder="1" applyAlignment="1">
      <alignment horizontal="left" vertical="center"/>
    </xf>
    <xf numFmtId="0" fontId="25" fillId="0" borderId="6" xfId="9" applyFont="1" applyBorder="1" applyAlignment="1">
      <alignment horizontal="left" vertical="center"/>
    </xf>
    <xf numFmtId="0" fontId="25" fillId="0" borderId="7" xfId="9" applyFont="1" applyBorder="1" applyAlignment="1">
      <alignment horizontal="left" vertical="center"/>
    </xf>
    <xf numFmtId="0" fontId="28" fillId="0" borderId="8" xfId="9" applyFont="1" applyBorder="1" applyAlignment="1">
      <alignment horizontal="left" vertical="center" wrapText="1"/>
    </xf>
    <xf numFmtId="0" fontId="28" fillId="0" borderId="6" xfId="9" applyFont="1" applyBorder="1" applyAlignment="1">
      <alignment horizontal="left" vertical="center"/>
    </xf>
    <xf numFmtId="0" fontId="28" fillId="0" borderId="7" xfId="9" applyFont="1" applyBorder="1" applyAlignment="1">
      <alignment horizontal="left" vertical="center"/>
    </xf>
    <xf numFmtId="0" fontId="28" fillId="0" borderId="8" xfId="9" applyFont="1" applyBorder="1" applyAlignment="1">
      <alignment horizontal="left" vertical="center"/>
    </xf>
    <xf numFmtId="0" fontId="25" fillId="5" borderId="8" xfId="9" applyFont="1" applyFill="1" applyBorder="1" applyAlignment="1">
      <alignment vertical="center" shrinkToFit="1"/>
    </xf>
    <xf numFmtId="0" fontId="25" fillId="5" borderId="6" xfId="9" applyFont="1" applyFill="1" applyBorder="1" applyAlignment="1">
      <alignment vertical="center" shrinkToFit="1"/>
    </xf>
    <xf numFmtId="0" fontId="25" fillId="5" borderId="7" xfId="9" applyFont="1" applyFill="1" applyBorder="1" applyAlignment="1">
      <alignment vertical="center" shrinkToFit="1"/>
    </xf>
    <xf numFmtId="0" fontId="25" fillId="0" borderId="8" xfId="9" applyFont="1" applyBorder="1" applyAlignment="1">
      <alignment vertical="center" wrapText="1" shrinkToFit="1"/>
    </xf>
    <xf numFmtId="0" fontId="24" fillId="3" borderId="8" xfId="9" applyFont="1" applyFill="1" applyBorder="1" applyAlignment="1">
      <alignment horizontal="center" vertical="center" shrinkToFit="1"/>
    </xf>
    <xf numFmtId="0" fontId="24" fillId="3" borderId="7" xfId="9" applyFont="1" applyFill="1" applyBorder="1" applyAlignment="1">
      <alignment horizontal="center" vertical="center" shrinkToFit="1"/>
    </xf>
    <xf numFmtId="0" fontId="24" fillId="3" borderId="9" xfId="9" applyFont="1" applyFill="1" applyBorder="1" applyAlignment="1">
      <alignment horizontal="center" vertical="center"/>
    </xf>
    <xf numFmtId="0" fontId="24" fillId="3" borderId="10" xfId="9" applyFont="1" applyFill="1" applyBorder="1" applyAlignment="1">
      <alignment horizontal="center" vertical="center"/>
    </xf>
    <xf numFmtId="0" fontId="24" fillId="3" borderId="11" xfId="9" applyFont="1" applyFill="1" applyBorder="1" applyAlignment="1">
      <alignment horizontal="center" vertical="center"/>
    </xf>
    <xf numFmtId="0" fontId="24" fillId="3" borderId="15" xfId="9" applyFont="1" applyFill="1" applyBorder="1" applyAlignment="1">
      <alignment horizontal="center" vertical="center"/>
    </xf>
    <xf numFmtId="0" fontId="24" fillId="3" borderId="1" xfId="9" applyFont="1" applyFill="1" applyBorder="1" applyAlignment="1">
      <alignment horizontal="center" vertical="center"/>
    </xf>
    <xf numFmtId="0" fontId="24" fillId="3" borderId="16" xfId="9" applyFont="1" applyFill="1" applyBorder="1" applyAlignment="1">
      <alignment horizontal="center" vertical="center"/>
    </xf>
    <xf numFmtId="0" fontId="17" fillId="2" borderId="57" xfId="9" applyFont="1" applyFill="1" applyBorder="1" applyAlignment="1">
      <alignment horizontal="center" vertical="center"/>
    </xf>
    <xf numFmtId="0" fontId="17" fillId="2" borderId="58" xfId="9" applyFont="1" applyFill="1" applyBorder="1" applyAlignment="1">
      <alignment horizontal="center" vertical="center"/>
    </xf>
    <xf numFmtId="49" fontId="25" fillId="0" borderId="59" xfId="9" applyNumberFormat="1" applyFont="1" applyBorder="1" applyAlignment="1">
      <alignment horizontal="left" vertical="center" wrapText="1"/>
    </xf>
    <xf numFmtId="49" fontId="25" fillId="0" borderId="60" xfId="9" applyNumberFormat="1" applyFont="1" applyBorder="1" applyAlignment="1">
      <alignment horizontal="left" vertical="center"/>
    </xf>
    <xf numFmtId="0" fontId="17" fillId="2" borderId="61" xfId="9" applyFont="1" applyFill="1" applyBorder="1" applyAlignment="1">
      <alignment horizontal="center" vertical="center"/>
    </xf>
    <xf numFmtId="0" fontId="17" fillId="2" borderId="62" xfId="9" applyFont="1" applyFill="1" applyBorder="1" applyAlignment="1">
      <alignment horizontal="center" vertical="center"/>
    </xf>
    <xf numFmtId="0" fontId="1" fillId="2" borderId="62" xfId="9" applyFill="1" applyBorder="1" applyAlignment="1">
      <alignment horizontal="center" vertical="center"/>
    </xf>
    <xf numFmtId="0" fontId="1" fillId="2" borderId="63" xfId="9" applyFill="1" applyBorder="1" applyAlignment="1">
      <alignment horizontal="center" vertical="center"/>
    </xf>
    <xf numFmtId="0" fontId="15" fillId="0" borderId="64" xfId="9" applyFont="1" applyBorder="1" applyAlignment="1">
      <alignment horizontal="left" vertical="center"/>
    </xf>
    <xf numFmtId="0" fontId="1" fillId="0" borderId="62" xfId="9" applyBorder="1" applyAlignment="1">
      <alignment horizontal="left" vertical="center"/>
    </xf>
    <xf numFmtId="0" fontId="1" fillId="0" borderId="65" xfId="9" applyBorder="1" applyAlignment="1">
      <alignment horizontal="left" vertical="center"/>
    </xf>
    <xf numFmtId="0" fontId="15" fillId="0" borderId="67" xfId="9" applyFont="1" applyBorder="1" applyAlignment="1">
      <alignment horizontal="left" vertical="center"/>
    </xf>
    <xf numFmtId="0" fontId="24" fillId="3" borderId="50" xfId="9" applyFont="1" applyFill="1" applyBorder="1" applyAlignment="1">
      <alignment horizontal="center" vertical="center" shrinkToFit="1"/>
    </xf>
    <xf numFmtId="0" fontId="24" fillId="3" borderId="56" xfId="9" applyFont="1" applyFill="1" applyBorder="1" applyAlignment="1">
      <alignment horizontal="center" vertical="center" shrinkToFit="1"/>
    </xf>
    <xf numFmtId="0" fontId="24" fillId="2" borderId="50" xfId="9" applyFont="1" applyFill="1" applyBorder="1" applyAlignment="1">
      <alignment horizontal="center" vertical="center" shrinkToFit="1"/>
    </xf>
    <xf numFmtId="0" fontId="24" fillId="2" borderId="56" xfId="9" applyFont="1" applyFill="1" applyBorder="1" applyAlignment="1">
      <alignment horizontal="center" vertical="center" shrinkToFit="1"/>
    </xf>
    <xf numFmtId="0" fontId="24" fillId="3" borderId="9" xfId="9" applyFont="1" applyFill="1" applyBorder="1" applyAlignment="1">
      <alignment horizontal="center" vertical="center" shrinkToFit="1"/>
    </xf>
    <xf numFmtId="0" fontId="24" fillId="3" borderId="11" xfId="9" applyFont="1" applyFill="1" applyBorder="1" applyAlignment="1">
      <alignment horizontal="center" vertical="center" shrinkToFit="1"/>
    </xf>
    <xf numFmtId="0" fontId="24" fillId="3" borderId="15" xfId="9" applyFont="1" applyFill="1" applyBorder="1" applyAlignment="1">
      <alignment horizontal="center" vertical="center" shrinkToFit="1"/>
    </xf>
    <xf numFmtId="0" fontId="24" fillId="3" borderId="16" xfId="9" applyFont="1" applyFill="1" applyBorder="1" applyAlignment="1">
      <alignment horizontal="center" vertical="center" shrinkToFit="1"/>
    </xf>
    <xf numFmtId="0" fontId="13" fillId="3" borderId="35" xfId="9" applyFont="1" applyFill="1" applyBorder="1" applyAlignment="1">
      <alignment horizontal="center" vertical="center"/>
    </xf>
    <xf numFmtId="0" fontId="1" fillId="0" borderId="36" xfId="9" applyBorder="1" applyAlignment="1">
      <alignment horizontal="center" vertical="center"/>
    </xf>
    <xf numFmtId="0" fontId="1" fillId="0" borderId="43" xfId="9" applyBorder="1" applyAlignment="1">
      <alignment horizontal="center" vertical="center"/>
    </xf>
    <xf numFmtId="0" fontId="1" fillId="0" borderId="0" xfId="9" applyAlignment="1">
      <alignment horizontal="center" vertical="center"/>
    </xf>
    <xf numFmtId="0" fontId="1" fillId="0" borderId="52" xfId="9" applyBorder="1" applyAlignment="1">
      <alignment horizontal="center" vertical="center"/>
    </xf>
    <xf numFmtId="0" fontId="1" fillId="0" borderId="1" xfId="9" applyBorder="1" applyAlignment="1">
      <alignment horizontal="center" vertical="center"/>
    </xf>
    <xf numFmtId="0" fontId="15" fillId="0" borderId="39" xfId="9" applyFont="1" applyBorder="1" applyAlignment="1">
      <alignment horizontal="left" vertical="center"/>
    </xf>
    <xf numFmtId="0" fontId="1" fillId="0" borderId="39" xfId="9" applyBorder="1" applyAlignment="1">
      <alignment horizontal="left" vertical="center"/>
    </xf>
    <xf numFmtId="0" fontId="15" fillId="0" borderId="36" xfId="9" applyFont="1" applyBorder="1" applyAlignment="1">
      <alignment horizontal="left" vertical="center"/>
    </xf>
    <xf numFmtId="0" fontId="1" fillId="0" borderId="36" xfId="9" applyBorder="1" applyAlignment="1">
      <alignment horizontal="left" vertical="center"/>
    </xf>
    <xf numFmtId="0" fontId="1" fillId="0" borderId="40" xfId="9" applyBorder="1" applyAlignment="1">
      <alignment horizontal="left" vertical="center"/>
    </xf>
    <xf numFmtId="0" fontId="16" fillId="3" borderId="41" xfId="9" applyFont="1" applyFill="1" applyBorder="1" applyAlignment="1">
      <alignment horizontal="center" vertical="center"/>
    </xf>
    <xf numFmtId="0" fontId="1" fillId="0" borderId="42" xfId="9" applyBorder="1" applyAlignment="1">
      <alignment horizontal="center" vertical="center"/>
    </xf>
    <xf numFmtId="0" fontId="15" fillId="0" borderId="55" xfId="9" applyFont="1" applyBorder="1" applyAlignment="1">
      <alignment horizontal="right" vertical="center"/>
    </xf>
    <xf numFmtId="0" fontId="1" fillId="0" borderId="55" xfId="9" applyBorder="1" applyAlignment="1">
      <alignment horizontal="right" vertical="center"/>
    </xf>
    <xf numFmtId="0" fontId="15" fillId="0" borderId="1" xfId="9" applyFont="1" applyBorder="1" applyAlignment="1">
      <alignment horizontal="right" vertical="center"/>
    </xf>
    <xf numFmtId="0" fontId="1" fillId="0" borderId="1" xfId="9" applyBorder="1" applyAlignment="1">
      <alignment horizontal="right" vertical="center"/>
    </xf>
    <xf numFmtId="0" fontId="1" fillId="0" borderId="16" xfId="9" applyBorder="1" applyAlignment="1">
      <alignment horizontal="right" vertical="center"/>
    </xf>
    <xf numFmtId="0" fontId="18" fillId="4" borderId="0" xfId="9" applyFont="1" applyFill="1" applyAlignment="1">
      <alignment horizontal="center" vertical="center"/>
    </xf>
    <xf numFmtId="0" fontId="15" fillId="0" borderId="46" xfId="9" applyFont="1" applyBorder="1" applyAlignment="1">
      <alignment horizontal="left" vertical="center"/>
    </xf>
    <xf numFmtId="0" fontId="1" fillId="0" borderId="46" xfId="9" applyBorder="1" applyAlignment="1">
      <alignment horizontal="left" vertical="center"/>
    </xf>
    <xf numFmtId="0" fontId="15" fillId="0" borderId="47" xfId="9" applyFont="1" applyBorder="1" applyAlignment="1">
      <alignment horizontal="left" vertical="center" shrinkToFit="1"/>
    </xf>
    <xf numFmtId="0" fontId="1" fillId="0" borderId="0" xfId="9" applyAlignment="1">
      <alignment horizontal="left" vertical="center" shrinkToFit="1"/>
    </xf>
    <xf numFmtId="0" fontId="1" fillId="0" borderId="48" xfId="9" applyBorder="1" applyAlignment="1">
      <alignment horizontal="left" vertical="center" shrinkToFit="1"/>
    </xf>
    <xf numFmtId="179" fontId="16" fillId="0" borderId="49" xfId="9" applyNumberFormat="1" applyFont="1" applyBorder="1" applyAlignment="1">
      <alignment horizontal="center" vertical="center"/>
    </xf>
    <xf numFmtId="179" fontId="1" fillId="0" borderId="49" xfId="9" applyNumberFormat="1" applyBorder="1" applyAlignment="1">
      <alignment horizontal="center" vertical="center"/>
    </xf>
    <xf numFmtId="14" fontId="16" fillId="0" borderId="50" xfId="9" applyNumberFormat="1" applyFont="1" applyBorder="1" applyAlignment="1">
      <alignment horizontal="center" vertical="center"/>
    </xf>
    <xf numFmtId="0" fontId="16" fillId="0" borderId="56" xfId="9" applyFont="1" applyBorder="1" applyAlignment="1">
      <alignment horizontal="center" vertical="center"/>
    </xf>
    <xf numFmtId="0" fontId="16" fillId="0" borderId="49" xfId="9" applyFont="1" applyBorder="1" applyAlignment="1">
      <alignment horizontal="center" vertical="center"/>
    </xf>
    <xf numFmtId="0" fontId="1" fillId="0" borderId="51" xfId="9" applyBorder="1" applyAlignment="1">
      <alignment horizontal="center" vertical="center"/>
    </xf>
    <xf numFmtId="0" fontId="1" fillId="0" borderId="49" xfId="9" applyBorder="1" applyAlignment="1">
      <alignment horizontal="center" vertical="center"/>
    </xf>
    <xf numFmtId="0" fontId="19" fillId="4" borderId="0" xfId="9" applyFont="1" applyFill="1" applyAlignment="1">
      <alignment horizontal="center" vertical="center"/>
    </xf>
    <xf numFmtId="0" fontId="1" fillId="0" borderId="68" xfId="9" applyBorder="1" applyAlignment="1">
      <alignment vertical="center"/>
    </xf>
    <xf numFmtId="0" fontId="26" fillId="0" borderId="8" xfId="9" applyFont="1" applyBorder="1" applyAlignment="1">
      <alignment vertical="center"/>
    </xf>
    <xf numFmtId="0" fontId="26" fillId="0" borderId="7" xfId="9" applyFont="1" applyBorder="1" applyAlignment="1">
      <alignment vertical="center"/>
    </xf>
    <xf numFmtId="0" fontId="29" fillId="0" borderId="8" xfId="9" applyFont="1" applyBorder="1" applyAlignment="1">
      <alignment vertical="center"/>
    </xf>
    <xf numFmtId="0" fontId="29" fillId="0" borderId="7" xfId="9" applyFont="1" applyBorder="1" applyAlignment="1">
      <alignment vertical="center"/>
    </xf>
    <xf numFmtId="0" fontId="26" fillId="5" borderId="8" xfId="9" applyFont="1" applyFill="1" applyBorder="1" applyAlignment="1">
      <alignment vertical="center"/>
    </xf>
    <xf numFmtId="0" fontId="26" fillId="5" borderId="7" xfId="9" applyFont="1" applyFill="1" applyBorder="1" applyAlignment="1">
      <alignment vertical="center"/>
    </xf>
  </cellXfs>
  <cellStyles count="10">
    <cellStyle name="Normal" xfId="0" builtinId="0"/>
    <cellStyle name="標準 2" xfId="8" xr:uid="{B0D2A301-4991-46E6-B4FB-9E3F9627215C}"/>
    <cellStyle name="標準 2_A-UI-05 全体テスト計画書 第0.1版(更新)_20090122134610" xfId="7" xr:uid="{332889AE-DE88-4C8C-B639-A81AFA278287}"/>
    <cellStyle name="標準 26" xfId="2" xr:uid="{6B1A267C-0FF2-4781-9BD5-540B927AAD78}"/>
    <cellStyle name="標準 3" xfId="9" xr:uid="{66AFB765-CB15-4833-BCBC-409E0FA0FDEC}"/>
    <cellStyle name="標準_松阪屋実施計画" xfId="6" xr:uid="{3289420C-6B79-4181-B283-6C764580773B}"/>
    <cellStyle name="標準_松阪屋実施計画_Ⅱ-02-02 画面設計書(第1.6版)_A-UI-03 プロセス関連図 第1.0版_A-UI-05 全体テスト計画書 第0.1版(更新)_20090122134610" xfId="1" xr:uid="{54D04993-D55C-4E08-9ECB-960B828DA147}"/>
    <cellStyle name="標準_松阪屋実施計画_A-UI-03 プロセス関連図 第1.0版_A-UI-05 全体テスト計画書 第0.1版(更新)_20090122134610" xfId="4" xr:uid="{DB2717D9-43A0-4579-A624-C34DC9AA30E3}"/>
    <cellStyle name="標準_松阪屋実施計画_C-UI-04 論理テーブル仕様 第1.0版(更新)_20090121160459_A-UI-05 全体テスト計画書 第0.1版(更新)_20090122134610" xfId="5" xr:uid="{F041313C-5EBD-425D-8898-8566CEBA346B}"/>
    <cellStyle name="標準_松阪屋実施計画_SA-02-01 サブシステム一覧_A-UI-03 プロセス関連図 第1.0版_A-UI-05 全体テスト計画書 第0.1版(更新)_20090122134610" xfId="3" xr:uid="{459C86FC-D265-407A-9DA6-8E6A0CDA2EEE}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2C04D-0A65-4761-9446-3DC4BBBD4334}">
  <sheetPr codeName="Sheet1">
    <pageSetUpPr fitToPage="1"/>
  </sheetPr>
  <dimension ref="A2:BE34"/>
  <sheetViews>
    <sheetView showGridLines="0" tabSelected="1" topLeftCell="A8" zoomScale="120" zoomScaleNormal="120" zoomScaleSheetLayoutView="100" workbookViewId="0">
      <selection activeCell="A10" sqref="A10"/>
    </sheetView>
  </sheetViews>
  <sheetFormatPr defaultColWidth="7.375" defaultRowHeight="14.25"/>
  <cols>
    <col min="1" max="56" width="2.25" style="1" customWidth="1"/>
    <col min="57" max="16384" width="7.375" style="5"/>
  </cols>
  <sheetData>
    <row r="2" spans="1:57" ht="15" thickBot="1">
      <c r="AV2" s="2"/>
      <c r="AX2" s="2"/>
      <c r="AY2" s="3"/>
      <c r="AZ2" s="3"/>
      <c r="BA2" s="4"/>
      <c r="BB2" s="4"/>
      <c r="BC2" s="4"/>
      <c r="BD2" s="4"/>
    </row>
    <row r="3" spans="1:57" ht="15" thickTop="1">
      <c r="B3" s="6" t="s">
        <v>0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8"/>
      <c r="O3" s="131" t="s">
        <v>1</v>
      </c>
      <c r="P3" s="115"/>
      <c r="Q3" s="115"/>
      <c r="R3" s="115"/>
      <c r="S3" s="115"/>
      <c r="T3" s="116"/>
      <c r="U3" s="114" t="s">
        <v>2</v>
      </c>
      <c r="V3" s="115"/>
      <c r="W3" s="115"/>
      <c r="X3" s="115"/>
      <c r="Y3" s="115"/>
      <c r="Z3" s="115"/>
      <c r="AA3" s="116"/>
      <c r="AB3" s="132" t="s">
        <v>3</v>
      </c>
      <c r="AC3" s="133"/>
      <c r="AD3" s="133"/>
      <c r="AE3" s="133"/>
      <c r="AF3" s="133"/>
      <c r="AG3" s="133"/>
      <c r="AH3" s="133"/>
      <c r="AI3" s="133"/>
      <c r="AJ3" s="133"/>
      <c r="AK3" s="133"/>
      <c r="AL3" s="133"/>
      <c r="AM3" s="133"/>
      <c r="AN3" s="134"/>
      <c r="AO3" s="114" t="s">
        <v>4</v>
      </c>
      <c r="AP3" s="116"/>
      <c r="AQ3" s="111" t="s">
        <v>5</v>
      </c>
      <c r="AR3" s="112"/>
      <c r="AS3" s="113"/>
      <c r="AT3" s="114" t="s">
        <v>6</v>
      </c>
      <c r="AU3" s="115"/>
      <c r="AV3" s="115"/>
      <c r="AW3" s="116"/>
      <c r="AX3" s="111" t="s">
        <v>7</v>
      </c>
      <c r="AY3" s="112"/>
      <c r="AZ3" s="113"/>
      <c r="BA3" s="114" t="s">
        <v>8</v>
      </c>
      <c r="BB3" s="115"/>
      <c r="BC3" s="115"/>
      <c r="BD3" s="116"/>
    </row>
    <row r="4" spans="1:57" ht="15" thickBot="1">
      <c r="B4" s="117" t="s">
        <v>9</v>
      </c>
      <c r="C4" s="118"/>
      <c r="D4" s="118"/>
      <c r="E4" s="118"/>
      <c r="F4" s="118"/>
      <c r="G4" s="118"/>
      <c r="H4" s="118"/>
      <c r="I4" s="118"/>
      <c r="J4" s="118"/>
      <c r="K4" s="118"/>
      <c r="L4" s="118"/>
      <c r="M4" s="118"/>
      <c r="N4" s="119"/>
      <c r="O4" s="120" t="s">
        <v>10</v>
      </c>
      <c r="P4" s="121"/>
      <c r="Q4" s="121"/>
      <c r="R4" s="121"/>
      <c r="S4" s="121"/>
      <c r="T4" s="122"/>
      <c r="U4" s="138" t="s">
        <v>11</v>
      </c>
      <c r="V4" s="139"/>
      <c r="W4" s="139"/>
      <c r="X4" s="139"/>
      <c r="Y4" s="139"/>
      <c r="Z4" s="139"/>
      <c r="AA4" s="140"/>
      <c r="AB4" s="135"/>
      <c r="AC4" s="136"/>
      <c r="AD4" s="136"/>
      <c r="AE4" s="136"/>
      <c r="AF4" s="136"/>
      <c r="AG4" s="136"/>
      <c r="AH4" s="136"/>
      <c r="AI4" s="136"/>
      <c r="AJ4" s="136"/>
      <c r="AK4" s="136"/>
      <c r="AL4" s="136"/>
      <c r="AM4" s="136"/>
      <c r="AN4" s="137"/>
      <c r="AO4" s="123">
        <f>MAX(I7:K22)</f>
        <v>1.3</v>
      </c>
      <c r="AP4" s="124"/>
      <c r="AQ4" s="125" t="s">
        <v>12</v>
      </c>
      <c r="AR4" s="126"/>
      <c r="AS4" s="127"/>
      <c r="AT4" s="128">
        <f>MAX(D7:H22)</f>
        <v>45681</v>
      </c>
      <c r="AU4" s="129"/>
      <c r="AV4" s="129"/>
      <c r="AW4" s="129"/>
      <c r="AX4" s="125" t="s">
        <v>13</v>
      </c>
      <c r="AY4" s="126"/>
      <c r="AZ4" s="127"/>
      <c r="BA4" s="128">
        <v>45434</v>
      </c>
      <c r="BB4" s="129"/>
      <c r="BC4" s="129"/>
      <c r="BD4" s="130"/>
    </row>
    <row r="5" spans="1:57" ht="15" thickTop="1"/>
    <row r="6" spans="1:57">
      <c r="B6" s="101" t="s">
        <v>14</v>
      </c>
      <c r="C6" s="94"/>
      <c r="D6" s="102" t="s">
        <v>15</v>
      </c>
      <c r="E6" s="103"/>
      <c r="F6" s="103"/>
      <c r="G6" s="103"/>
      <c r="H6" s="104"/>
      <c r="I6" s="105" t="s">
        <v>16</v>
      </c>
      <c r="J6" s="105"/>
      <c r="K6" s="105"/>
      <c r="L6" s="106" t="s">
        <v>17</v>
      </c>
      <c r="M6" s="94"/>
      <c r="N6" s="94"/>
      <c r="O6" s="94"/>
      <c r="P6" s="94"/>
      <c r="Q6" s="94"/>
      <c r="R6" s="94"/>
      <c r="S6" s="94"/>
      <c r="T6" s="107"/>
      <c r="U6" s="106" t="s">
        <v>18</v>
      </c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4"/>
      <c r="AQ6" s="94"/>
      <c r="AR6" s="107"/>
      <c r="AS6" s="106" t="s">
        <v>19</v>
      </c>
      <c r="AT6" s="94"/>
      <c r="AU6" s="94"/>
      <c r="AV6" s="94"/>
      <c r="AW6" s="107"/>
      <c r="AX6" s="94" t="s">
        <v>20</v>
      </c>
      <c r="AY6" s="94"/>
      <c r="AZ6" s="94"/>
      <c r="BA6" s="94"/>
      <c r="BB6" s="94"/>
      <c r="BC6" s="94"/>
      <c r="BD6" s="95"/>
    </row>
    <row r="7" spans="1:57" ht="24.95" customHeight="1">
      <c r="B7" s="85">
        <f t="shared" ref="B7:B22" si="0">ROW()-6</f>
        <v>1</v>
      </c>
      <c r="C7" s="86"/>
      <c r="D7" s="96">
        <v>45434</v>
      </c>
      <c r="E7" s="97"/>
      <c r="F7" s="97"/>
      <c r="G7" s="97"/>
      <c r="H7" s="98"/>
      <c r="I7" s="90">
        <v>1</v>
      </c>
      <c r="J7" s="90"/>
      <c r="K7" s="90"/>
      <c r="L7" s="108" t="s">
        <v>21</v>
      </c>
      <c r="M7" s="109"/>
      <c r="N7" s="109"/>
      <c r="O7" s="109"/>
      <c r="P7" s="109"/>
      <c r="Q7" s="109"/>
      <c r="R7" s="109"/>
      <c r="S7" s="109"/>
      <c r="T7" s="110"/>
      <c r="U7" s="108" t="s">
        <v>22</v>
      </c>
      <c r="V7" s="109"/>
      <c r="W7" s="109"/>
      <c r="X7" s="109"/>
      <c r="Y7" s="109"/>
      <c r="Z7" s="109"/>
      <c r="AA7" s="109"/>
      <c r="AB7" s="109"/>
      <c r="AC7" s="109"/>
      <c r="AD7" s="109"/>
      <c r="AE7" s="109"/>
      <c r="AF7" s="109"/>
      <c r="AG7" s="109"/>
      <c r="AH7" s="109"/>
      <c r="AI7" s="109"/>
      <c r="AJ7" s="109"/>
      <c r="AK7" s="109"/>
      <c r="AL7" s="109"/>
      <c r="AM7" s="109"/>
      <c r="AN7" s="109"/>
      <c r="AO7" s="109"/>
      <c r="AP7" s="109"/>
      <c r="AQ7" s="109"/>
      <c r="AR7" s="110"/>
      <c r="AS7" s="80"/>
      <c r="AT7" s="81"/>
      <c r="AU7" s="81"/>
      <c r="AV7" s="81"/>
      <c r="AW7" s="82"/>
      <c r="AX7" s="99"/>
      <c r="AY7" s="99"/>
      <c r="AZ7" s="99"/>
      <c r="BA7" s="99"/>
      <c r="BB7" s="99"/>
      <c r="BC7" s="99"/>
      <c r="BD7" s="100"/>
    </row>
    <row r="8" spans="1:57" ht="251.25" customHeight="1">
      <c r="B8" s="72">
        <f t="shared" si="0"/>
        <v>2</v>
      </c>
      <c r="C8" s="73"/>
      <c r="D8" s="74">
        <v>45439</v>
      </c>
      <c r="E8" s="75"/>
      <c r="F8" s="75"/>
      <c r="G8" s="75"/>
      <c r="H8" s="76"/>
      <c r="I8" s="90">
        <v>1.1000000000000001</v>
      </c>
      <c r="J8" s="90"/>
      <c r="K8" s="90"/>
      <c r="L8" s="91" t="s">
        <v>23</v>
      </c>
      <c r="M8" s="92"/>
      <c r="N8" s="92"/>
      <c r="O8" s="92"/>
      <c r="P8" s="92"/>
      <c r="Q8" s="92"/>
      <c r="R8" s="92"/>
      <c r="S8" s="92"/>
      <c r="T8" s="93"/>
      <c r="U8" s="46" t="s">
        <v>24</v>
      </c>
      <c r="V8" s="47"/>
      <c r="W8" s="47"/>
      <c r="X8" s="47"/>
      <c r="Y8" s="47"/>
      <c r="Z8" s="47"/>
      <c r="AA8" s="47"/>
      <c r="AB8" s="47"/>
      <c r="AC8" s="47"/>
      <c r="AD8" s="47"/>
      <c r="AE8" s="47"/>
      <c r="AF8" s="47"/>
      <c r="AG8" s="47"/>
      <c r="AH8" s="47"/>
      <c r="AI8" s="47"/>
      <c r="AJ8" s="47"/>
      <c r="AK8" s="47"/>
      <c r="AL8" s="47"/>
      <c r="AM8" s="47"/>
      <c r="AN8" s="47"/>
      <c r="AO8" s="47"/>
      <c r="AP8" s="47"/>
      <c r="AQ8" s="47"/>
      <c r="AR8" s="48"/>
      <c r="AS8" s="80" t="s">
        <v>25</v>
      </c>
      <c r="AT8" s="81"/>
      <c r="AU8" s="81"/>
      <c r="AV8" s="81"/>
      <c r="AW8" s="82"/>
      <c r="AX8" s="83"/>
      <c r="AY8" s="83"/>
      <c r="AZ8" s="83"/>
      <c r="BA8" s="83"/>
      <c r="BB8" s="83"/>
      <c r="BC8" s="83"/>
      <c r="BD8" s="84"/>
      <c r="BE8" s="44" t="s">
        <v>26</v>
      </c>
    </row>
    <row r="9" spans="1:57" ht="24.95" customHeight="1">
      <c r="B9" s="85">
        <f t="shared" si="0"/>
        <v>3</v>
      </c>
      <c r="C9" s="86"/>
      <c r="D9" s="74">
        <v>45441</v>
      </c>
      <c r="E9" s="75"/>
      <c r="F9" s="75"/>
      <c r="G9" s="75"/>
      <c r="H9" s="76"/>
      <c r="I9" s="90">
        <v>1.2</v>
      </c>
      <c r="J9" s="90"/>
      <c r="K9" s="90"/>
      <c r="L9" s="46" t="s">
        <v>23</v>
      </c>
      <c r="M9" s="47"/>
      <c r="N9" s="47"/>
      <c r="O9" s="47"/>
      <c r="P9" s="47"/>
      <c r="Q9" s="47"/>
      <c r="R9" s="47"/>
      <c r="S9" s="47"/>
      <c r="T9" s="48"/>
      <c r="U9" s="46" t="s">
        <v>27</v>
      </c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  <c r="AO9" s="47"/>
      <c r="AP9" s="47"/>
      <c r="AQ9" s="47"/>
      <c r="AR9" s="48"/>
      <c r="AS9" s="80" t="s">
        <v>25</v>
      </c>
      <c r="AT9" s="81"/>
      <c r="AU9" s="81"/>
      <c r="AV9" s="81"/>
      <c r="AW9" s="82"/>
      <c r="AX9" s="83"/>
      <c r="AY9" s="83"/>
      <c r="AZ9" s="83"/>
      <c r="BA9" s="83"/>
      <c r="BB9" s="83"/>
      <c r="BC9" s="83"/>
      <c r="BD9" s="84"/>
    </row>
    <row r="10" spans="1:57" ht="63.75" customHeight="1">
      <c r="A10" s="9"/>
      <c r="B10" s="72">
        <f t="shared" si="0"/>
        <v>4</v>
      </c>
      <c r="C10" s="73"/>
      <c r="D10" s="74">
        <v>45681</v>
      </c>
      <c r="E10" s="75"/>
      <c r="F10" s="75"/>
      <c r="G10" s="75"/>
      <c r="H10" s="76"/>
      <c r="I10" s="90">
        <v>1.3</v>
      </c>
      <c r="J10" s="90"/>
      <c r="K10" s="90"/>
      <c r="L10" s="46" t="s">
        <v>23</v>
      </c>
      <c r="M10" s="47"/>
      <c r="N10" s="47"/>
      <c r="O10" s="47"/>
      <c r="P10" s="47"/>
      <c r="Q10" s="47"/>
      <c r="R10" s="47"/>
      <c r="S10" s="47"/>
      <c r="T10" s="48"/>
      <c r="U10" s="46" t="s">
        <v>28</v>
      </c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47"/>
      <c r="AH10" s="47"/>
      <c r="AI10" s="47"/>
      <c r="AJ10" s="47"/>
      <c r="AK10" s="47"/>
      <c r="AL10" s="47"/>
      <c r="AM10" s="47"/>
      <c r="AN10" s="47"/>
      <c r="AO10" s="47"/>
      <c r="AP10" s="47"/>
      <c r="AQ10" s="47"/>
      <c r="AR10" s="48"/>
      <c r="AS10" s="80" t="s">
        <v>25</v>
      </c>
      <c r="AT10" s="81"/>
      <c r="AU10" s="81"/>
      <c r="AV10" s="81"/>
      <c r="AW10" s="82"/>
      <c r="AX10" s="83"/>
      <c r="AY10" s="83"/>
      <c r="AZ10" s="83"/>
      <c r="BA10" s="83"/>
      <c r="BB10" s="83"/>
      <c r="BC10" s="83"/>
      <c r="BD10" s="84"/>
    </row>
    <row r="11" spans="1:57" ht="24.95" customHeight="1">
      <c r="A11" s="9"/>
      <c r="B11" s="85">
        <f t="shared" si="0"/>
        <v>5</v>
      </c>
      <c r="C11" s="86"/>
      <c r="D11" s="74"/>
      <c r="E11" s="75"/>
      <c r="F11" s="75"/>
      <c r="G11" s="75"/>
      <c r="H11" s="76"/>
      <c r="I11" s="90"/>
      <c r="J11" s="90"/>
      <c r="K11" s="90"/>
      <c r="L11" s="46"/>
      <c r="M11" s="47"/>
      <c r="N11" s="47"/>
      <c r="O11" s="47"/>
      <c r="P11" s="47"/>
      <c r="Q11" s="47"/>
      <c r="R11" s="47"/>
      <c r="S11" s="47"/>
      <c r="T11" s="48"/>
      <c r="U11" s="46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7"/>
      <c r="AP11" s="47"/>
      <c r="AQ11" s="47"/>
      <c r="AR11" s="48"/>
      <c r="AS11" s="80"/>
      <c r="AT11" s="81"/>
      <c r="AU11" s="81"/>
      <c r="AV11" s="81"/>
      <c r="AW11" s="82"/>
      <c r="AX11" s="83"/>
      <c r="AY11" s="83"/>
      <c r="AZ11" s="83"/>
      <c r="BA11" s="83"/>
      <c r="BB11" s="83"/>
      <c r="BC11" s="83"/>
      <c r="BD11" s="84"/>
    </row>
    <row r="12" spans="1:57" ht="24.95" customHeight="1">
      <c r="A12" s="9"/>
      <c r="B12" s="72">
        <f t="shared" si="0"/>
        <v>6</v>
      </c>
      <c r="C12" s="73"/>
      <c r="D12" s="74"/>
      <c r="E12" s="75"/>
      <c r="F12" s="75"/>
      <c r="G12" s="75"/>
      <c r="H12" s="76"/>
      <c r="I12" s="88"/>
      <c r="J12" s="88"/>
      <c r="K12" s="88"/>
      <c r="L12" s="46"/>
      <c r="M12" s="47"/>
      <c r="N12" s="47"/>
      <c r="O12" s="47"/>
      <c r="P12" s="47"/>
      <c r="Q12" s="47"/>
      <c r="R12" s="47"/>
      <c r="S12" s="47"/>
      <c r="T12" s="48"/>
      <c r="U12" s="46"/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47"/>
      <c r="AM12" s="47"/>
      <c r="AN12" s="47"/>
      <c r="AO12" s="47"/>
      <c r="AP12" s="47"/>
      <c r="AQ12" s="47"/>
      <c r="AR12" s="48"/>
      <c r="AS12" s="89"/>
      <c r="AT12" s="89"/>
      <c r="AU12" s="89"/>
      <c r="AV12" s="89"/>
      <c r="AW12" s="89"/>
      <c r="AX12" s="83"/>
      <c r="AY12" s="83"/>
      <c r="AZ12" s="83"/>
      <c r="BA12" s="83"/>
      <c r="BB12" s="83"/>
      <c r="BC12" s="83"/>
      <c r="BD12" s="84"/>
    </row>
    <row r="13" spans="1:57" ht="24.95" customHeight="1">
      <c r="A13" s="9"/>
      <c r="B13" s="85">
        <f t="shared" si="0"/>
        <v>7</v>
      </c>
      <c r="C13" s="86"/>
      <c r="D13" s="74"/>
      <c r="E13" s="75"/>
      <c r="F13" s="75"/>
      <c r="G13" s="75"/>
      <c r="H13" s="76"/>
      <c r="I13" s="87"/>
      <c r="J13" s="87"/>
      <c r="K13" s="87"/>
      <c r="L13" s="46"/>
      <c r="M13" s="47"/>
      <c r="N13" s="47"/>
      <c r="O13" s="47"/>
      <c r="P13" s="47"/>
      <c r="Q13" s="47"/>
      <c r="R13" s="47"/>
      <c r="S13" s="47"/>
      <c r="T13" s="48"/>
      <c r="U13" s="46"/>
      <c r="V13" s="47"/>
      <c r="W13" s="47"/>
      <c r="X13" s="47"/>
      <c r="Y13" s="47"/>
      <c r="Z13" s="47"/>
      <c r="AA13" s="47"/>
      <c r="AB13" s="47"/>
      <c r="AC13" s="47"/>
      <c r="AD13" s="47"/>
      <c r="AE13" s="47"/>
      <c r="AF13" s="47"/>
      <c r="AG13" s="47"/>
      <c r="AH13" s="47"/>
      <c r="AI13" s="47"/>
      <c r="AJ13" s="47"/>
      <c r="AK13" s="47"/>
      <c r="AL13" s="47"/>
      <c r="AM13" s="47"/>
      <c r="AN13" s="47"/>
      <c r="AO13" s="47"/>
      <c r="AP13" s="47"/>
      <c r="AQ13" s="47"/>
      <c r="AR13" s="48"/>
      <c r="AS13" s="80"/>
      <c r="AT13" s="81"/>
      <c r="AU13" s="81"/>
      <c r="AV13" s="81"/>
      <c r="AW13" s="82"/>
      <c r="AX13" s="83"/>
      <c r="AY13" s="83"/>
      <c r="AZ13" s="83"/>
      <c r="BA13" s="83"/>
      <c r="BB13" s="83"/>
      <c r="BC13" s="83"/>
      <c r="BD13" s="84"/>
    </row>
    <row r="14" spans="1:57" ht="24.95" customHeight="1">
      <c r="A14" s="9"/>
      <c r="B14" s="72">
        <f t="shared" si="0"/>
        <v>8</v>
      </c>
      <c r="C14" s="73"/>
      <c r="D14" s="74"/>
      <c r="E14" s="75"/>
      <c r="F14" s="75"/>
      <c r="G14" s="75"/>
      <c r="H14" s="76"/>
      <c r="I14" s="87"/>
      <c r="J14" s="87"/>
      <c r="K14" s="87"/>
      <c r="L14" s="46"/>
      <c r="M14" s="47"/>
      <c r="N14" s="47"/>
      <c r="O14" s="47"/>
      <c r="P14" s="47"/>
      <c r="Q14" s="47"/>
      <c r="R14" s="47"/>
      <c r="S14" s="47"/>
      <c r="T14" s="48"/>
      <c r="U14" s="46"/>
      <c r="V14" s="47"/>
      <c r="W14" s="47"/>
      <c r="X14" s="47"/>
      <c r="Y14" s="47"/>
      <c r="Z14" s="47"/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/>
      <c r="AL14" s="47"/>
      <c r="AM14" s="47"/>
      <c r="AN14" s="47"/>
      <c r="AO14" s="47"/>
      <c r="AP14" s="47"/>
      <c r="AQ14" s="47"/>
      <c r="AR14" s="48"/>
      <c r="AS14" s="80"/>
      <c r="AT14" s="81"/>
      <c r="AU14" s="81"/>
      <c r="AV14" s="81"/>
      <c r="AW14" s="82"/>
      <c r="AX14" s="83"/>
      <c r="AY14" s="83"/>
      <c r="AZ14" s="83"/>
      <c r="BA14" s="83"/>
      <c r="BB14" s="83"/>
      <c r="BC14" s="83"/>
      <c r="BD14" s="84"/>
    </row>
    <row r="15" spans="1:57" ht="24.95" customHeight="1">
      <c r="A15" s="9"/>
      <c r="B15" s="85">
        <f t="shared" si="0"/>
        <v>9</v>
      </c>
      <c r="C15" s="86"/>
      <c r="D15" s="74"/>
      <c r="E15" s="75"/>
      <c r="F15" s="75"/>
      <c r="G15" s="75"/>
      <c r="H15" s="76"/>
      <c r="I15" s="87"/>
      <c r="J15" s="87"/>
      <c r="K15" s="87"/>
      <c r="L15" s="46"/>
      <c r="M15" s="47"/>
      <c r="N15" s="47"/>
      <c r="O15" s="47"/>
      <c r="P15" s="47"/>
      <c r="Q15" s="47"/>
      <c r="R15" s="47"/>
      <c r="S15" s="47"/>
      <c r="T15" s="48"/>
      <c r="U15" s="46"/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7"/>
      <c r="AN15" s="47"/>
      <c r="AO15" s="47"/>
      <c r="AP15" s="47"/>
      <c r="AQ15" s="47"/>
      <c r="AR15" s="48"/>
      <c r="AS15" s="80"/>
      <c r="AT15" s="81"/>
      <c r="AU15" s="81"/>
      <c r="AV15" s="81"/>
      <c r="AW15" s="82"/>
      <c r="AX15" s="83"/>
      <c r="AY15" s="83"/>
      <c r="AZ15" s="83"/>
      <c r="BA15" s="83"/>
      <c r="BB15" s="83"/>
      <c r="BC15" s="83"/>
      <c r="BD15" s="84"/>
    </row>
    <row r="16" spans="1:57" ht="24.95" customHeight="1">
      <c r="A16" s="9"/>
      <c r="B16" s="72">
        <f t="shared" si="0"/>
        <v>10</v>
      </c>
      <c r="C16" s="73"/>
      <c r="D16" s="74"/>
      <c r="E16" s="75"/>
      <c r="F16" s="75"/>
      <c r="G16" s="75"/>
      <c r="H16" s="76"/>
      <c r="I16" s="87"/>
      <c r="J16" s="87"/>
      <c r="K16" s="87"/>
      <c r="L16" s="46"/>
      <c r="M16" s="47"/>
      <c r="N16" s="47"/>
      <c r="O16" s="47"/>
      <c r="P16" s="47"/>
      <c r="Q16" s="47"/>
      <c r="R16" s="47"/>
      <c r="S16" s="47"/>
      <c r="T16" s="48"/>
      <c r="U16" s="46"/>
      <c r="V16" s="47"/>
      <c r="W16" s="47"/>
      <c r="X16" s="47"/>
      <c r="Y16" s="47"/>
      <c r="Z16" s="47"/>
      <c r="AA16" s="47"/>
      <c r="AB16" s="47"/>
      <c r="AC16" s="47"/>
      <c r="AD16" s="47"/>
      <c r="AE16" s="47"/>
      <c r="AF16" s="47"/>
      <c r="AG16" s="47"/>
      <c r="AH16" s="47"/>
      <c r="AI16" s="47"/>
      <c r="AJ16" s="47"/>
      <c r="AK16" s="47"/>
      <c r="AL16" s="47"/>
      <c r="AM16" s="47"/>
      <c r="AN16" s="47"/>
      <c r="AO16" s="47"/>
      <c r="AP16" s="47"/>
      <c r="AQ16" s="47"/>
      <c r="AR16" s="48"/>
      <c r="AS16" s="80"/>
      <c r="AT16" s="81"/>
      <c r="AU16" s="81"/>
      <c r="AV16" s="81"/>
      <c r="AW16" s="82"/>
      <c r="AX16" s="83"/>
      <c r="AY16" s="83"/>
      <c r="AZ16" s="83"/>
      <c r="BA16" s="83"/>
      <c r="BB16" s="83"/>
      <c r="BC16" s="83"/>
      <c r="BD16" s="84"/>
    </row>
    <row r="17" spans="1:56" ht="24.95" customHeight="1">
      <c r="A17" s="9"/>
      <c r="B17" s="85">
        <f t="shared" si="0"/>
        <v>11</v>
      </c>
      <c r="C17" s="86"/>
      <c r="D17" s="74"/>
      <c r="E17" s="75"/>
      <c r="F17" s="75"/>
      <c r="G17" s="75"/>
      <c r="H17" s="76"/>
      <c r="I17" s="87"/>
      <c r="J17" s="87"/>
      <c r="K17" s="87"/>
      <c r="L17" s="46"/>
      <c r="M17" s="47"/>
      <c r="N17" s="47"/>
      <c r="O17" s="47"/>
      <c r="P17" s="47"/>
      <c r="Q17" s="47"/>
      <c r="R17" s="47"/>
      <c r="S17" s="47"/>
      <c r="T17" s="48"/>
      <c r="U17" s="46"/>
      <c r="V17" s="47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47"/>
      <c r="AH17" s="47"/>
      <c r="AI17" s="47"/>
      <c r="AJ17" s="47"/>
      <c r="AK17" s="47"/>
      <c r="AL17" s="47"/>
      <c r="AM17" s="47"/>
      <c r="AN17" s="47"/>
      <c r="AO17" s="47"/>
      <c r="AP17" s="47"/>
      <c r="AQ17" s="47"/>
      <c r="AR17" s="48"/>
      <c r="AS17" s="80"/>
      <c r="AT17" s="81"/>
      <c r="AU17" s="81"/>
      <c r="AV17" s="81"/>
      <c r="AW17" s="82"/>
      <c r="AX17" s="83"/>
      <c r="AY17" s="83"/>
      <c r="AZ17" s="83"/>
      <c r="BA17" s="83"/>
      <c r="BB17" s="83"/>
      <c r="BC17" s="83"/>
      <c r="BD17" s="84"/>
    </row>
    <row r="18" spans="1:56" ht="24.95" customHeight="1">
      <c r="A18" s="9"/>
      <c r="B18" s="72">
        <f t="shared" si="0"/>
        <v>12</v>
      </c>
      <c r="C18" s="73"/>
      <c r="D18" s="74"/>
      <c r="E18" s="75"/>
      <c r="F18" s="75"/>
      <c r="G18" s="75"/>
      <c r="H18" s="76"/>
      <c r="I18" s="77"/>
      <c r="J18" s="78"/>
      <c r="K18" s="79"/>
      <c r="L18" s="46"/>
      <c r="M18" s="47"/>
      <c r="N18" s="47"/>
      <c r="O18" s="47"/>
      <c r="P18" s="47"/>
      <c r="Q18" s="47"/>
      <c r="R18" s="47"/>
      <c r="S18" s="47"/>
      <c r="T18" s="48"/>
      <c r="U18" s="46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7"/>
      <c r="AO18" s="47"/>
      <c r="AP18" s="47"/>
      <c r="AQ18" s="47"/>
      <c r="AR18" s="48"/>
      <c r="AS18" s="80"/>
      <c r="AT18" s="81"/>
      <c r="AU18" s="81"/>
      <c r="AV18" s="81"/>
      <c r="AW18" s="82"/>
      <c r="AX18" s="83"/>
      <c r="AY18" s="83"/>
      <c r="AZ18" s="83"/>
      <c r="BA18" s="83"/>
      <c r="BB18" s="83"/>
      <c r="BC18" s="83"/>
      <c r="BD18" s="84"/>
    </row>
    <row r="19" spans="1:56" ht="24.95" customHeight="1">
      <c r="A19" s="9"/>
      <c r="B19" s="85">
        <f t="shared" si="0"/>
        <v>13</v>
      </c>
      <c r="C19" s="86"/>
      <c r="D19" s="74"/>
      <c r="E19" s="75"/>
      <c r="F19" s="75"/>
      <c r="G19" s="75"/>
      <c r="H19" s="76"/>
      <c r="I19" s="77"/>
      <c r="J19" s="78"/>
      <c r="K19" s="79"/>
      <c r="L19" s="46"/>
      <c r="M19" s="47"/>
      <c r="N19" s="47"/>
      <c r="O19" s="47"/>
      <c r="P19" s="47"/>
      <c r="Q19" s="47"/>
      <c r="R19" s="47"/>
      <c r="S19" s="47"/>
      <c r="T19" s="48"/>
      <c r="U19" s="46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  <c r="AO19" s="47"/>
      <c r="AP19" s="47"/>
      <c r="AQ19" s="47"/>
      <c r="AR19" s="48"/>
      <c r="AS19" s="80"/>
      <c r="AT19" s="81"/>
      <c r="AU19" s="81"/>
      <c r="AV19" s="81"/>
      <c r="AW19" s="82"/>
      <c r="AX19" s="83"/>
      <c r="AY19" s="83"/>
      <c r="AZ19" s="83"/>
      <c r="BA19" s="83"/>
      <c r="BB19" s="83"/>
      <c r="BC19" s="83"/>
      <c r="BD19" s="84"/>
    </row>
    <row r="20" spans="1:56" ht="24.95" customHeight="1">
      <c r="A20" s="9"/>
      <c r="B20" s="72">
        <f t="shared" si="0"/>
        <v>14</v>
      </c>
      <c r="C20" s="73"/>
      <c r="D20" s="74"/>
      <c r="E20" s="75"/>
      <c r="F20" s="75"/>
      <c r="G20" s="75"/>
      <c r="H20" s="76"/>
      <c r="I20" s="77"/>
      <c r="J20" s="78"/>
      <c r="K20" s="79"/>
      <c r="L20" s="46"/>
      <c r="M20" s="47"/>
      <c r="N20" s="47"/>
      <c r="O20" s="47"/>
      <c r="P20" s="47"/>
      <c r="Q20" s="47"/>
      <c r="R20" s="47"/>
      <c r="S20" s="47"/>
      <c r="T20" s="48"/>
      <c r="U20" s="46"/>
      <c r="V20" s="47"/>
      <c r="W20" s="47"/>
      <c r="X20" s="47"/>
      <c r="Y20" s="47"/>
      <c r="Z20" s="47"/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  <c r="AL20" s="47"/>
      <c r="AM20" s="47"/>
      <c r="AN20" s="47"/>
      <c r="AO20" s="47"/>
      <c r="AP20" s="47"/>
      <c r="AQ20" s="47"/>
      <c r="AR20" s="48"/>
      <c r="AS20" s="80"/>
      <c r="AT20" s="81"/>
      <c r="AU20" s="81"/>
      <c r="AV20" s="81"/>
      <c r="AW20" s="82"/>
      <c r="AX20" s="83"/>
      <c r="AY20" s="83"/>
      <c r="AZ20" s="83"/>
      <c r="BA20" s="83"/>
      <c r="BB20" s="83"/>
      <c r="BC20" s="83"/>
      <c r="BD20" s="84"/>
    </row>
    <row r="21" spans="1:56" ht="24.95" customHeight="1">
      <c r="A21" s="9"/>
      <c r="B21" s="72">
        <f t="shared" si="0"/>
        <v>15</v>
      </c>
      <c r="C21" s="73"/>
      <c r="D21" s="74"/>
      <c r="E21" s="75"/>
      <c r="F21" s="75"/>
      <c r="G21" s="75"/>
      <c r="H21" s="76"/>
      <c r="I21" s="77"/>
      <c r="J21" s="78"/>
      <c r="K21" s="79"/>
      <c r="L21" s="46"/>
      <c r="M21" s="47"/>
      <c r="N21" s="47"/>
      <c r="O21" s="47"/>
      <c r="P21" s="47"/>
      <c r="Q21" s="47"/>
      <c r="R21" s="47"/>
      <c r="S21" s="47"/>
      <c r="T21" s="48"/>
      <c r="U21" s="46"/>
      <c r="V21" s="47"/>
      <c r="W21" s="47"/>
      <c r="X21" s="47"/>
      <c r="Y21" s="47"/>
      <c r="Z21" s="47"/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7"/>
      <c r="AL21" s="47"/>
      <c r="AM21" s="47"/>
      <c r="AN21" s="47"/>
      <c r="AO21" s="47"/>
      <c r="AP21" s="47"/>
      <c r="AQ21" s="47"/>
      <c r="AR21" s="48"/>
      <c r="AS21" s="80"/>
      <c r="AT21" s="81"/>
      <c r="AU21" s="81"/>
      <c r="AV21" s="81"/>
      <c r="AW21" s="82"/>
      <c r="AX21" s="55"/>
      <c r="AY21" s="56"/>
      <c r="AZ21" s="56"/>
      <c r="BA21" s="56"/>
      <c r="BB21" s="56"/>
      <c r="BC21" s="56"/>
      <c r="BD21" s="57"/>
    </row>
    <row r="22" spans="1:56" ht="24.95" customHeight="1">
      <c r="A22" s="9"/>
      <c r="B22" s="58">
        <f t="shared" si="0"/>
        <v>16</v>
      </c>
      <c r="C22" s="59"/>
      <c r="D22" s="60"/>
      <c r="E22" s="61"/>
      <c r="F22" s="61"/>
      <c r="G22" s="61"/>
      <c r="H22" s="62"/>
      <c r="I22" s="63"/>
      <c r="J22" s="64"/>
      <c r="K22" s="65"/>
      <c r="L22" s="49"/>
      <c r="M22" s="50"/>
      <c r="N22" s="50"/>
      <c r="O22" s="50"/>
      <c r="P22" s="50"/>
      <c r="Q22" s="50"/>
      <c r="R22" s="50"/>
      <c r="S22" s="50"/>
      <c r="T22" s="51"/>
      <c r="U22" s="52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4"/>
      <c r="AS22" s="66"/>
      <c r="AT22" s="67"/>
      <c r="AU22" s="67"/>
      <c r="AV22" s="67"/>
      <c r="AW22" s="68"/>
      <c r="AX22" s="69"/>
      <c r="AY22" s="70"/>
      <c r="AZ22" s="70"/>
      <c r="BA22" s="70"/>
      <c r="BB22" s="70"/>
      <c r="BC22" s="70"/>
      <c r="BD22" s="71"/>
    </row>
    <row r="23" spans="1:56">
      <c r="B23" s="9"/>
      <c r="C23" s="9"/>
      <c r="D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</row>
    <row r="24" spans="1:56">
      <c r="B24" s="9"/>
      <c r="C24" s="9"/>
      <c r="D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</row>
    <row r="25" spans="1:56">
      <c r="B25" s="9"/>
      <c r="C25" s="9"/>
      <c r="D25" s="9"/>
      <c r="I25" s="11"/>
      <c r="J25" s="11"/>
      <c r="K25" s="11"/>
      <c r="L25" s="11"/>
      <c r="M25" s="11"/>
      <c r="N25" s="11"/>
      <c r="O25" s="11"/>
      <c r="P25" s="11"/>
      <c r="Q25" s="11"/>
      <c r="AA25" s="10"/>
      <c r="AB25" s="9"/>
      <c r="AC25" s="9"/>
      <c r="AD25" s="9"/>
      <c r="AE25" s="9"/>
      <c r="AV25" s="9"/>
      <c r="AW25" s="9"/>
      <c r="AX25" s="9"/>
      <c r="AY25" s="9"/>
      <c r="AZ25" s="9"/>
      <c r="BA25" s="9"/>
      <c r="BB25" s="9"/>
      <c r="BC25" s="9"/>
      <c r="BD25" s="9"/>
    </row>
    <row r="26" spans="1:56">
      <c r="B26" s="9"/>
      <c r="C26" s="9"/>
      <c r="D26" s="9"/>
      <c r="I26" s="11"/>
      <c r="J26" s="11"/>
      <c r="K26" s="11"/>
      <c r="L26" s="11"/>
      <c r="M26" s="11"/>
      <c r="N26" s="11"/>
      <c r="O26" s="11"/>
      <c r="P26" s="11"/>
      <c r="Q26" s="11"/>
      <c r="AA26" s="10"/>
      <c r="AB26" s="9"/>
      <c r="AC26" s="9"/>
      <c r="AD26" s="9"/>
      <c r="AE26" s="9"/>
      <c r="AV26" s="9"/>
      <c r="AW26" s="9"/>
      <c r="AX26" s="9"/>
      <c r="AY26" s="9"/>
      <c r="AZ26" s="9"/>
      <c r="BA26" s="9"/>
      <c r="BB26" s="9"/>
      <c r="BC26" s="9"/>
      <c r="BD26" s="9"/>
    </row>
    <row r="27" spans="1:56">
      <c r="B27" s="9"/>
      <c r="C27" s="9"/>
      <c r="D27" s="9"/>
      <c r="I27" s="11"/>
      <c r="J27" s="11"/>
      <c r="K27" s="11"/>
      <c r="L27" s="11"/>
      <c r="M27" s="11"/>
      <c r="N27" s="11"/>
      <c r="O27" s="11"/>
      <c r="P27" s="11"/>
      <c r="Q27" s="11"/>
      <c r="AB27" s="9"/>
      <c r="AC27" s="9"/>
      <c r="AD27" s="12"/>
      <c r="AE27" s="9"/>
      <c r="AV27" s="9"/>
      <c r="AW27" s="9"/>
      <c r="AX27" s="9"/>
      <c r="AY27" s="9"/>
      <c r="AZ27" s="9"/>
      <c r="BA27" s="9"/>
      <c r="BB27" s="9"/>
      <c r="BC27" s="9"/>
      <c r="BD27" s="9"/>
    </row>
    <row r="28" spans="1:56">
      <c r="B28" s="9"/>
      <c r="C28" s="9"/>
      <c r="D28" s="9"/>
      <c r="I28" s="11"/>
      <c r="J28" s="11"/>
      <c r="K28" s="11"/>
      <c r="L28" s="11"/>
      <c r="M28" s="11"/>
      <c r="N28" s="11"/>
      <c r="O28" s="11"/>
      <c r="P28" s="11"/>
      <c r="Q28" s="11"/>
      <c r="AA28" s="10"/>
      <c r="AB28" s="9"/>
      <c r="AC28" s="9"/>
      <c r="AD28" s="9"/>
      <c r="AE28" s="9"/>
      <c r="AV28" s="9"/>
      <c r="AW28" s="9"/>
      <c r="AX28" s="9"/>
      <c r="AY28" s="9"/>
      <c r="AZ28" s="9"/>
      <c r="BA28" s="9"/>
      <c r="BB28" s="9"/>
      <c r="BC28" s="9"/>
      <c r="BD28" s="9"/>
    </row>
    <row r="29" spans="1:56">
      <c r="B29" s="9"/>
      <c r="C29" s="9"/>
      <c r="D29" s="9"/>
      <c r="I29" s="11"/>
      <c r="J29" s="11"/>
      <c r="K29" s="11"/>
      <c r="L29" s="11"/>
      <c r="M29" s="11"/>
      <c r="N29" s="11"/>
      <c r="O29" s="11"/>
      <c r="P29" s="11"/>
      <c r="Q29" s="11"/>
      <c r="AB29" s="9"/>
      <c r="AC29" s="9"/>
      <c r="AD29" s="9"/>
      <c r="AE29" s="9"/>
      <c r="AV29" s="9"/>
      <c r="AW29" s="9"/>
      <c r="AX29" s="9"/>
      <c r="AY29" s="9"/>
      <c r="AZ29" s="9"/>
      <c r="BA29" s="9"/>
      <c r="BB29" s="9"/>
      <c r="BC29" s="9"/>
      <c r="BD29" s="9"/>
    </row>
    <row r="30" spans="1:56">
      <c r="B30" s="9"/>
      <c r="C30" s="9"/>
      <c r="D30" s="9"/>
      <c r="I30" s="11"/>
      <c r="J30" s="11"/>
      <c r="K30" s="11"/>
      <c r="L30" s="11"/>
      <c r="M30" s="11"/>
      <c r="N30" s="11"/>
      <c r="O30" s="11"/>
      <c r="P30" s="11"/>
      <c r="Q30" s="11"/>
      <c r="S30" s="10"/>
      <c r="AA30" s="10"/>
      <c r="AB30" s="9"/>
      <c r="AD30" s="9"/>
      <c r="AE30" s="9"/>
      <c r="AV30" s="9"/>
      <c r="AW30" s="9"/>
      <c r="AX30" s="9"/>
      <c r="AY30" s="9"/>
      <c r="AZ30" s="9"/>
      <c r="BA30" s="9"/>
      <c r="BB30" s="9"/>
      <c r="BC30" s="9"/>
      <c r="BD30" s="9"/>
    </row>
    <row r="31" spans="1:56">
      <c r="B31" s="9"/>
      <c r="C31" s="9"/>
      <c r="D31" s="9"/>
      <c r="AB31" s="9"/>
      <c r="AC31" s="9"/>
      <c r="AD31" s="9"/>
      <c r="AE31" s="9"/>
      <c r="AV31" s="9"/>
      <c r="AW31" s="9"/>
      <c r="AX31" s="9"/>
      <c r="AY31" s="9"/>
      <c r="AZ31" s="9"/>
      <c r="BA31" s="9"/>
      <c r="BB31" s="9"/>
      <c r="BC31" s="9"/>
      <c r="BD31" s="9"/>
    </row>
    <row r="32" spans="1:56">
      <c r="B32" s="9"/>
      <c r="C32" s="9"/>
      <c r="D32" s="9"/>
      <c r="S32" s="10"/>
      <c r="AA32" s="10"/>
      <c r="AB32" s="9"/>
      <c r="AC32" s="9"/>
      <c r="AV32" s="9"/>
      <c r="AW32" s="9"/>
      <c r="AX32" s="9"/>
      <c r="AY32" s="9"/>
      <c r="BC32" s="9"/>
      <c r="BD32" s="9"/>
    </row>
    <row r="33" spans="2:56">
      <c r="B33" s="9"/>
      <c r="C33" s="9"/>
      <c r="D33" s="9"/>
      <c r="BA33" s="9"/>
      <c r="BB33" s="9"/>
      <c r="BC33" s="9"/>
      <c r="BD33" s="9"/>
    </row>
    <row r="34" spans="2:56"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</row>
  </sheetData>
  <mergeCells count="135">
    <mergeCell ref="AX3:AZ3"/>
    <mergeCell ref="BA3:BD3"/>
    <mergeCell ref="B4:N4"/>
    <mergeCell ref="O4:T4"/>
    <mergeCell ref="AO4:AP4"/>
    <mergeCell ref="AQ4:AS4"/>
    <mergeCell ref="AT4:AW4"/>
    <mergeCell ref="AX4:AZ4"/>
    <mergeCell ref="BA4:BD4"/>
    <mergeCell ref="O3:T3"/>
    <mergeCell ref="AB3:AN4"/>
    <mergeCell ref="AO3:AP3"/>
    <mergeCell ref="AQ3:AS3"/>
    <mergeCell ref="AT3:AW3"/>
    <mergeCell ref="U3:AA3"/>
    <mergeCell ref="U4:AA4"/>
    <mergeCell ref="AX6:BD6"/>
    <mergeCell ref="B7:C7"/>
    <mergeCell ref="D7:H7"/>
    <mergeCell ref="I7:K7"/>
    <mergeCell ref="AS7:AW7"/>
    <mergeCell ref="AX7:BD7"/>
    <mergeCell ref="B6:C6"/>
    <mergeCell ref="D6:H6"/>
    <mergeCell ref="I6:K6"/>
    <mergeCell ref="AS6:AW6"/>
    <mergeCell ref="L6:T6"/>
    <mergeCell ref="U6:AR6"/>
    <mergeCell ref="L7:T7"/>
    <mergeCell ref="U7:AR7"/>
    <mergeCell ref="AX8:BD8"/>
    <mergeCell ref="B9:C9"/>
    <mergeCell ref="D9:H9"/>
    <mergeCell ref="I9:K9"/>
    <mergeCell ref="AS9:AW9"/>
    <mergeCell ref="AX9:BD9"/>
    <mergeCell ref="B8:C8"/>
    <mergeCell ref="D8:H8"/>
    <mergeCell ref="I8:K8"/>
    <mergeCell ref="AS8:AW8"/>
    <mergeCell ref="L8:T8"/>
    <mergeCell ref="U8:AR8"/>
    <mergeCell ref="L9:T9"/>
    <mergeCell ref="U9:AR9"/>
    <mergeCell ref="AX10:BD10"/>
    <mergeCell ref="B11:C11"/>
    <mergeCell ref="D11:H11"/>
    <mergeCell ref="I11:K11"/>
    <mergeCell ref="AS11:AW11"/>
    <mergeCell ref="AX11:BD11"/>
    <mergeCell ref="B10:C10"/>
    <mergeCell ref="D10:H10"/>
    <mergeCell ref="I10:K10"/>
    <mergeCell ref="AS10:AW10"/>
    <mergeCell ref="L10:T10"/>
    <mergeCell ref="U10:AR10"/>
    <mergeCell ref="L11:T11"/>
    <mergeCell ref="U11:AR11"/>
    <mergeCell ref="AX12:BD12"/>
    <mergeCell ref="B13:C13"/>
    <mergeCell ref="D13:H13"/>
    <mergeCell ref="I13:K13"/>
    <mergeCell ref="AS13:AW13"/>
    <mergeCell ref="AX13:BD13"/>
    <mergeCell ref="B12:C12"/>
    <mergeCell ref="D12:H12"/>
    <mergeCell ref="I12:K12"/>
    <mergeCell ref="AS12:AW12"/>
    <mergeCell ref="L12:T12"/>
    <mergeCell ref="U12:AR12"/>
    <mergeCell ref="L13:T13"/>
    <mergeCell ref="U13:AR13"/>
    <mergeCell ref="AX14:BD14"/>
    <mergeCell ref="B15:C15"/>
    <mergeCell ref="D15:H15"/>
    <mergeCell ref="I15:K15"/>
    <mergeCell ref="AS15:AW15"/>
    <mergeCell ref="AX15:BD15"/>
    <mergeCell ref="B14:C14"/>
    <mergeCell ref="D14:H14"/>
    <mergeCell ref="I14:K14"/>
    <mergeCell ref="AS14:AW14"/>
    <mergeCell ref="L14:T14"/>
    <mergeCell ref="U14:AR14"/>
    <mergeCell ref="L15:T15"/>
    <mergeCell ref="U15:AR15"/>
    <mergeCell ref="AX16:BD16"/>
    <mergeCell ref="B17:C17"/>
    <mergeCell ref="D17:H17"/>
    <mergeCell ref="I17:K17"/>
    <mergeCell ref="AS17:AW17"/>
    <mergeCell ref="AX17:BD17"/>
    <mergeCell ref="B16:C16"/>
    <mergeCell ref="D16:H16"/>
    <mergeCell ref="I16:K16"/>
    <mergeCell ref="AS16:AW16"/>
    <mergeCell ref="L16:T16"/>
    <mergeCell ref="U16:AR16"/>
    <mergeCell ref="L17:T17"/>
    <mergeCell ref="U17:AR17"/>
    <mergeCell ref="AX18:BD18"/>
    <mergeCell ref="B19:C19"/>
    <mergeCell ref="D19:H19"/>
    <mergeCell ref="I19:K19"/>
    <mergeCell ref="AS19:AW19"/>
    <mergeCell ref="AX19:BD19"/>
    <mergeCell ref="B18:C18"/>
    <mergeCell ref="D18:H18"/>
    <mergeCell ref="I18:K18"/>
    <mergeCell ref="AS18:AW18"/>
    <mergeCell ref="L18:T18"/>
    <mergeCell ref="U18:AR18"/>
    <mergeCell ref="L19:T19"/>
    <mergeCell ref="U19:AR19"/>
    <mergeCell ref="L20:T20"/>
    <mergeCell ref="U20:AR20"/>
    <mergeCell ref="L21:T21"/>
    <mergeCell ref="U21:AR21"/>
    <mergeCell ref="L22:T22"/>
    <mergeCell ref="U22:AR22"/>
    <mergeCell ref="AX21:BD21"/>
    <mergeCell ref="B22:C22"/>
    <mergeCell ref="D22:H22"/>
    <mergeCell ref="I22:K22"/>
    <mergeCell ref="AS22:AW22"/>
    <mergeCell ref="AX22:BD22"/>
    <mergeCell ref="B21:C21"/>
    <mergeCell ref="D21:H21"/>
    <mergeCell ref="I21:K21"/>
    <mergeCell ref="AS21:AW21"/>
    <mergeCell ref="AX20:BD20"/>
    <mergeCell ref="B20:C20"/>
    <mergeCell ref="D20:H20"/>
    <mergeCell ref="I20:K20"/>
    <mergeCell ref="AS20:AW20"/>
  </mergeCells>
  <phoneticPr fontId="3"/>
  <pageMargins left="0.70866141732283472" right="0.70866141732283472" top="0.74803149606299213" bottom="0.74803149606299213" header="0.31496062992125984" footer="0.31496062992125984"/>
  <pageSetup paperSize="9" scale="93" fitToHeight="0" orientation="landscape" horizontalDpi="300" verticalDpi="300" r:id="rId1"/>
  <headerFooter>
    <oddHeader>&amp;L&amp;F</oddHeader>
    <oddFooter>&amp;C&amp;P&amp;RAll Rights Reserved, Copyright©  富士通株式会社 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3F9E7-AFEC-431A-A8AD-BE1DCFAEE939}">
  <sheetPr codeName="Sheet2">
    <pageSetUpPr autoPageBreaks="0" fitToPage="1"/>
  </sheetPr>
  <dimension ref="B1:CR87"/>
  <sheetViews>
    <sheetView showGridLines="0" topLeftCell="A27" zoomScale="120" zoomScaleNormal="120" zoomScaleSheetLayoutView="80" workbookViewId="0">
      <selection activeCell="A43" sqref="A43"/>
    </sheetView>
  </sheetViews>
  <sheetFormatPr defaultColWidth="1.75" defaultRowHeight="12.75" customHeight="1"/>
  <cols>
    <col min="1" max="1" width="1.375" style="26" customWidth="1"/>
    <col min="2" max="2" width="3.75" style="26" customWidth="1"/>
    <col min="3" max="3" width="18.875" style="26" customWidth="1"/>
    <col min="4" max="4" width="8.625" style="26" customWidth="1"/>
    <col min="5" max="5" width="24.25" style="26" customWidth="1"/>
    <col min="6" max="6" width="10.875" style="26" customWidth="1"/>
    <col min="7" max="7" width="3.375" style="26" bestFit="1" customWidth="1"/>
    <col min="8" max="8" width="3.375" style="26" customWidth="1"/>
    <col min="9" max="10" width="8.625" style="26" customWidth="1"/>
    <col min="11" max="11" width="3.375" style="26" customWidth="1"/>
    <col min="12" max="12" width="11.375" style="26" customWidth="1"/>
    <col min="13" max="13" width="3.375" style="26" customWidth="1"/>
    <col min="14" max="14" width="9.25" style="26" customWidth="1"/>
    <col min="15" max="15" width="11.625" style="26" customWidth="1"/>
    <col min="16" max="16" width="6.875" style="26" customWidth="1"/>
    <col min="17" max="17" width="6.125" style="26" customWidth="1"/>
    <col min="18" max="16384" width="1.75" style="26"/>
  </cols>
  <sheetData>
    <row r="1" spans="2:96" s="20" customFormat="1" ht="20.25" customHeight="1">
      <c r="B1" s="186" t="s">
        <v>29</v>
      </c>
      <c r="C1" s="187"/>
      <c r="D1" s="13"/>
      <c r="E1" s="14"/>
      <c r="F1" s="192"/>
      <c r="G1" s="192"/>
      <c r="H1" s="193"/>
      <c r="I1" s="193"/>
      <c r="J1" s="194"/>
      <c r="K1" s="195"/>
      <c r="L1" s="196"/>
      <c r="M1" s="197" t="s">
        <v>30</v>
      </c>
      <c r="N1" s="197"/>
      <c r="O1" s="15" t="s">
        <v>31</v>
      </c>
      <c r="P1" s="197" t="s">
        <v>32</v>
      </c>
      <c r="Q1" s="198"/>
      <c r="R1" s="16"/>
      <c r="S1" s="16"/>
      <c r="T1" s="17"/>
      <c r="U1" s="17"/>
      <c r="V1" s="17"/>
      <c r="W1" s="17"/>
      <c r="X1" s="17"/>
      <c r="Y1" s="17"/>
      <c r="Z1" s="17"/>
      <c r="AA1" s="17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204"/>
      <c r="AX1" s="204"/>
      <c r="AY1" s="204"/>
      <c r="AZ1" s="204"/>
      <c r="BA1" s="204"/>
      <c r="BB1" s="204"/>
      <c r="BC1" s="217"/>
      <c r="BD1" s="217"/>
      <c r="BE1" s="217"/>
      <c r="BF1" s="217"/>
      <c r="BG1" s="217"/>
      <c r="BH1" s="217"/>
      <c r="BI1" s="204"/>
      <c r="BJ1" s="204"/>
      <c r="BK1" s="204"/>
      <c r="BL1" s="204"/>
      <c r="BM1" s="204"/>
      <c r="BN1" s="204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</row>
    <row r="2" spans="2:96" s="20" customFormat="1" ht="20.25" customHeight="1">
      <c r="B2" s="188"/>
      <c r="C2" s="189"/>
      <c r="D2" s="21" t="s">
        <v>33</v>
      </c>
      <c r="E2" s="22" t="s">
        <v>34</v>
      </c>
      <c r="F2" s="205" t="s">
        <v>35</v>
      </c>
      <c r="G2" s="205"/>
      <c r="H2" s="206"/>
      <c r="I2" s="206"/>
      <c r="J2" s="207" t="s">
        <v>36</v>
      </c>
      <c r="K2" s="208"/>
      <c r="L2" s="209"/>
      <c r="M2" s="210">
        <f>改版履歴!AO4</f>
        <v>1.3</v>
      </c>
      <c r="N2" s="211"/>
      <c r="O2" s="212">
        <f>改版履歴!AT4</f>
        <v>45681</v>
      </c>
      <c r="P2" s="214" t="s">
        <v>12</v>
      </c>
      <c r="Q2" s="215"/>
      <c r="R2" s="16"/>
      <c r="S2" s="16"/>
      <c r="T2" s="17"/>
      <c r="U2" s="17"/>
      <c r="V2" s="17"/>
      <c r="W2" s="17"/>
      <c r="X2" s="17"/>
      <c r="Y2" s="17"/>
      <c r="Z2" s="17"/>
      <c r="AA2" s="17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204"/>
      <c r="AX2" s="204"/>
      <c r="AY2" s="204"/>
      <c r="AZ2" s="204"/>
      <c r="BA2" s="204"/>
      <c r="BB2" s="204"/>
      <c r="BC2" s="204"/>
      <c r="BD2" s="204"/>
      <c r="BE2" s="204"/>
      <c r="BF2" s="204"/>
      <c r="BG2" s="204"/>
      <c r="BH2" s="204"/>
      <c r="BI2" s="204"/>
      <c r="BJ2" s="204"/>
      <c r="BK2" s="204"/>
      <c r="BL2" s="204"/>
      <c r="BM2" s="204"/>
      <c r="BN2" s="204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</row>
    <row r="3" spans="2:96" s="20" customFormat="1" ht="20.25" customHeight="1">
      <c r="B3" s="190"/>
      <c r="C3" s="191"/>
      <c r="D3" s="23"/>
      <c r="E3" s="24" t="s">
        <v>37</v>
      </c>
      <c r="F3" s="199" t="s">
        <v>38</v>
      </c>
      <c r="G3" s="199"/>
      <c r="H3" s="200"/>
      <c r="I3" s="200"/>
      <c r="J3" s="201" t="s">
        <v>39</v>
      </c>
      <c r="K3" s="202"/>
      <c r="L3" s="203"/>
      <c r="M3" s="211"/>
      <c r="N3" s="211"/>
      <c r="O3" s="213"/>
      <c r="P3" s="216"/>
      <c r="Q3" s="215"/>
      <c r="R3" s="16"/>
      <c r="S3" s="16"/>
      <c r="T3" s="25"/>
      <c r="U3" s="25"/>
      <c r="V3" s="25"/>
      <c r="W3" s="25"/>
      <c r="X3" s="25"/>
      <c r="Y3" s="25"/>
      <c r="Z3" s="25"/>
      <c r="AA3" s="25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204"/>
      <c r="AX3" s="204"/>
      <c r="AY3" s="204"/>
      <c r="AZ3" s="204"/>
      <c r="BA3" s="204"/>
      <c r="BB3" s="204"/>
      <c r="BC3" s="204"/>
      <c r="BD3" s="204"/>
      <c r="BE3" s="204"/>
      <c r="BF3" s="204"/>
      <c r="BG3" s="204"/>
      <c r="BH3" s="204"/>
      <c r="BI3" s="204"/>
      <c r="BJ3" s="204"/>
      <c r="BK3" s="204"/>
      <c r="BL3" s="204"/>
      <c r="BM3" s="204"/>
      <c r="BN3" s="204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</row>
    <row r="4" spans="2:96" s="20" customFormat="1" ht="27.95" customHeight="1" thickBot="1">
      <c r="B4" s="166" t="s">
        <v>40</v>
      </c>
      <c r="C4" s="167"/>
      <c r="D4" s="168" t="s">
        <v>41</v>
      </c>
      <c r="E4" s="169"/>
      <c r="F4" s="170" t="s">
        <v>42</v>
      </c>
      <c r="G4" s="171"/>
      <c r="H4" s="172"/>
      <c r="I4" s="173"/>
      <c r="J4" s="174" t="s">
        <v>43</v>
      </c>
      <c r="K4" s="175"/>
      <c r="L4" s="175"/>
      <c r="M4" s="175"/>
      <c r="N4" s="176"/>
      <c r="O4" s="32" t="s">
        <v>44</v>
      </c>
      <c r="P4" s="177" t="s">
        <v>45</v>
      </c>
      <c r="Q4" s="218"/>
      <c r="R4" s="16"/>
      <c r="S4" s="16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</row>
    <row r="5" spans="2:96" s="20" customFormat="1" ht="20.25" customHeight="1"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</row>
    <row r="6" spans="2:96" ht="12.75" customHeight="1">
      <c r="B6" s="178" t="s">
        <v>46</v>
      </c>
      <c r="C6" s="180" t="s">
        <v>47</v>
      </c>
      <c r="D6" s="182" t="s">
        <v>48</v>
      </c>
      <c r="E6" s="183"/>
      <c r="F6" s="178" t="s">
        <v>49</v>
      </c>
      <c r="G6" s="178" t="s">
        <v>50</v>
      </c>
      <c r="H6" s="178" t="s">
        <v>51</v>
      </c>
      <c r="I6" s="158" t="s">
        <v>52</v>
      </c>
      <c r="J6" s="159"/>
      <c r="K6" s="160" t="s">
        <v>53</v>
      </c>
      <c r="L6" s="161"/>
      <c r="M6" s="161"/>
      <c r="N6" s="161"/>
      <c r="O6" s="161"/>
      <c r="P6" s="161"/>
      <c r="Q6" s="162"/>
    </row>
    <row r="7" spans="2:96" ht="12.75" customHeight="1">
      <c r="B7" s="179"/>
      <c r="C7" s="181"/>
      <c r="D7" s="184"/>
      <c r="E7" s="185"/>
      <c r="F7" s="179"/>
      <c r="G7" s="179"/>
      <c r="H7" s="179"/>
      <c r="I7" s="27" t="s">
        <v>54</v>
      </c>
      <c r="J7" s="27" t="s">
        <v>55</v>
      </c>
      <c r="K7" s="163"/>
      <c r="L7" s="164"/>
      <c r="M7" s="164"/>
      <c r="N7" s="164"/>
      <c r="O7" s="164"/>
      <c r="P7" s="164"/>
      <c r="Q7" s="165"/>
    </row>
    <row r="8" spans="2:96" ht="12.75" customHeight="1">
      <c r="B8" s="28">
        <v>1</v>
      </c>
      <c r="C8" s="29" t="s">
        <v>56</v>
      </c>
      <c r="D8" s="219" t="s">
        <v>57</v>
      </c>
      <c r="E8" s="220"/>
      <c r="F8" s="41" t="s">
        <v>58</v>
      </c>
      <c r="G8" s="33"/>
      <c r="H8" s="30" t="s">
        <v>59</v>
      </c>
      <c r="I8" s="28">
        <v>1</v>
      </c>
      <c r="J8" s="28"/>
      <c r="K8" s="141" t="s">
        <v>60</v>
      </c>
      <c r="L8" s="142"/>
      <c r="M8" s="142"/>
      <c r="N8" s="142"/>
      <c r="O8" s="142"/>
      <c r="P8" s="142"/>
      <c r="Q8" s="143"/>
    </row>
    <row r="9" spans="2:96" ht="12.75" customHeight="1">
      <c r="B9" s="28">
        <v>2</v>
      </c>
      <c r="C9" s="40" t="s">
        <v>61</v>
      </c>
      <c r="D9" s="221" t="s">
        <v>62</v>
      </c>
      <c r="E9" s="222"/>
      <c r="F9" s="41" t="s">
        <v>63</v>
      </c>
      <c r="G9" s="41">
        <v>1</v>
      </c>
      <c r="H9" s="30" t="s">
        <v>59</v>
      </c>
      <c r="I9" s="28"/>
      <c r="J9" s="28"/>
      <c r="K9" s="153" t="s">
        <v>64</v>
      </c>
      <c r="L9" s="151"/>
      <c r="M9" s="151"/>
      <c r="N9" s="151"/>
      <c r="O9" s="151"/>
      <c r="P9" s="151"/>
      <c r="Q9" s="152"/>
      <c r="R9" s="38" t="s">
        <v>65</v>
      </c>
    </row>
    <row r="10" spans="2:96" ht="12.75" customHeight="1">
      <c r="B10" s="28">
        <v>3</v>
      </c>
      <c r="C10" s="29" t="s">
        <v>66</v>
      </c>
      <c r="D10" s="219" t="s">
        <v>67</v>
      </c>
      <c r="E10" s="220"/>
      <c r="F10" s="41" t="s">
        <v>58</v>
      </c>
      <c r="G10" s="33"/>
      <c r="H10" s="30"/>
      <c r="I10" s="28">
        <v>8</v>
      </c>
      <c r="J10" s="28"/>
      <c r="K10" s="141" t="s">
        <v>68</v>
      </c>
      <c r="L10" s="142"/>
      <c r="M10" s="142"/>
      <c r="N10" s="142"/>
      <c r="O10" s="142"/>
      <c r="P10" s="142"/>
      <c r="Q10" s="143"/>
      <c r="R10" s="38" t="s">
        <v>65</v>
      </c>
    </row>
    <row r="11" spans="2:96" ht="12.75" customHeight="1">
      <c r="B11" s="28">
        <v>4</v>
      </c>
      <c r="C11" s="29" t="s">
        <v>69</v>
      </c>
      <c r="D11" s="219" t="s">
        <v>70</v>
      </c>
      <c r="E11" s="220"/>
      <c r="F11" s="41" t="s">
        <v>58</v>
      </c>
      <c r="G11" s="33"/>
      <c r="H11" s="30"/>
      <c r="I11" s="28">
        <v>8</v>
      </c>
      <c r="J11" s="28"/>
      <c r="K11" s="141" t="s">
        <v>71</v>
      </c>
      <c r="L11" s="142"/>
      <c r="M11" s="142"/>
      <c r="N11" s="142"/>
      <c r="O11" s="142"/>
      <c r="P11" s="142"/>
      <c r="Q11" s="143"/>
      <c r="R11" s="38" t="s">
        <v>65</v>
      </c>
    </row>
    <row r="12" spans="2:96" ht="12.75" customHeight="1">
      <c r="B12" s="28">
        <v>5</v>
      </c>
      <c r="C12" s="29" t="s">
        <v>72</v>
      </c>
      <c r="D12" s="219" t="s">
        <v>73</v>
      </c>
      <c r="E12" s="220"/>
      <c r="F12" s="41" t="s">
        <v>58</v>
      </c>
      <c r="G12" s="33"/>
      <c r="H12" s="30"/>
      <c r="I12" s="28" t="s">
        <v>74</v>
      </c>
      <c r="J12" s="28"/>
      <c r="K12" s="141" t="s">
        <v>75</v>
      </c>
      <c r="L12" s="142"/>
      <c r="M12" s="142"/>
      <c r="N12" s="142"/>
      <c r="O12" s="142"/>
      <c r="P12" s="142"/>
      <c r="Q12" s="143"/>
      <c r="R12" s="38" t="s">
        <v>65</v>
      </c>
    </row>
    <row r="13" spans="2:96" ht="62.25" customHeight="1">
      <c r="B13" s="28">
        <v>6</v>
      </c>
      <c r="C13" s="40" t="s">
        <v>76</v>
      </c>
      <c r="D13" s="219" t="s">
        <v>77</v>
      </c>
      <c r="E13" s="220"/>
      <c r="F13" s="41" t="s">
        <v>78</v>
      </c>
      <c r="G13" s="33"/>
      <c r="H13" s="30"/>
      <c r="I13" s="28"/>
      <c r="J13" s="28"/>
      <c r="K13" s="157" t="s">
        <v>79</v>
      </c>
      <c r="L13" s="142"/>
      <c r="M13" s="142"/>
      <c r="N13" s="142"/>
      <c r="O13" s="142"/>
      <c r="P13" s="142"/>
      <c r="Q13" s="143"/>
      <c r="R13" s="38" t="s">
        <v>65</v>
      </c>
    </row>
    <row r="14" spans="2:96" ht="12.75" customHeight="1">
      <c r="B14" s="28">
        <v>7</v>
      </c>
      <c r="C14" s="29" t="s">
        <v>80</v>
      </c>
      <c r="D14" s="219" t="s">
        <v>81</v>
      </c>
      <c r="E14" s="220"/>
      <c r="F14" s="41" t="s">
        <v>58</v>
      </c>
      <c r="G14" s="33"/>
      <c r="H14" s="30"/>
      <c r="I14" s="28">
        <v>7</v>
      </c>
      <c r="J14" s="28"/>
      <c r="K14" s="141" t="s">
        <v>82</v>
      </c>
      <c r="L14" s="142"/>
      <c r="M14" s="142"/>
      <c r="N14" s="142"/>
      <c r="O14" s="142"/>
      <c r="P14" s="142"/>
      <c r="Q14" s="143"/>
    </row>
    <row r="15" spans="2:96" ht="12.75" customHeight="1">
      <c r="B15" s="34">
        <v>8</v>
      </c>
      <c r="C15" s="35" t="s">
        <v>83</v>
      </c>
      <c r="D15" s="223" t="s">
        <v>84</v>
      </c>
      <c r="E15" s="224"/>
      <c r="F15" s="43" t="s">
        <v>85</v>
      </c>
      <c r="G15" s="36"/>
      <c r="H15" s="37"/>
      <c r="I15" s="34"/>
      <c r="J15" s="34"/>
      <c r="K15" s="154" t="s">
        <v>86</v>
      </c>
      <c r="L15" s="155"/>
      <c r="M15" s="155"/>
      <c r="N15" s="155"/>
      <c r="O15" s="155"/>
      <c r="P15" s="155"/>
      <c r="Q15" s="156"/>
      <c r="R15" s="38" t="s">
        <v>87</v>
      </c>
    </row>
    <row r="16" spans="2:96" ht="12.75" customHeight="1">
      <c r="B16" s="28">
        <v>9</v>
      </c>
      <c r="C16" s="29" t="s">
        <v>88</v>
      </c>
      <c r="D16" s="219" t="s">
        <v>89</v>
      </c>
      <c r="E16" s="220"/>
      <c r="F16" s="41" t="s">
        <v>85</v>
      </c>
      <c r="G16" s="33"/>
      <c r="H16" s="30"/>
      <c r="I16" s="28"/>
      <c r="J16" s="28"/>
      <c r="K16" s="141" t="s">
        <v>90</v>
      </c>
      <c r="L16" s="142"/>
      <c r="M16" s="142"/>
      <c r="N16" s="142"/>
      <c r="O16" s="142"/>
      <c r="P16" s="142"/>
      <c r="Q16" s="143"/>
      <c r="R16" s="38" t="s">
        <v>87</v>
      </c>
    </row>
    <row r="17" spans="2:18" ht="12.75" customHeight="1">
      <c r="B17" s="28">
        <v>10</v>
      </c>
      <c r="C17" s="29" t="s">
        <v>91</v>
      </c>
      <c r="D17" s="219" t="s">
        <v>92</v>
      </c>
      <c r="E17" s="220"/>
      <c r="F17" s="41" t="s">
        <v>85</v>
      </c>
      <c r="G17" s="33"/>
      <c r="H17" s="30"/>
      <c r="I17" s="28"/>
      <c r="J17" s="28"/>
      <c r="K17" s="141" t="s">
        <v>93</v>
      </c>
      <c r="L17" s="142"/>
      <c r="M17" s="142"/>
      <c r="N17" s="142"/>
      <c r="O17" s="142"/>
      <c r="P17" s="142"/>
      <c r="Q17" s="143"/>
      <c r="R17" s="38" t="s">
        <v>87</v>
      </c>
    </row>
    <row r="18" spans="2:18" ht="27" customHeight="1">
      <c r="B18" s="28">
        <v>11</v>
      </c>
      <c r="C18" s="29" t="s">
        <v>94</v>
      </c>
      <c r="D18" s="219" t="s">
        <v>95</v>
      </c>
      <c r="E18" s="220"/>
      <c r="F18" s="41" t="s">
        <v>96</v>
      </c>
      <c r="G18" s="33"/>
      <c r="H18" s="30"/>
      <c r="I18" s="28"/>
      <c r="J18" s="28"/>
      <c r="K18" s="157" t="s">
        <v>97</v>
      </c>
      <c r="L18" s="142"/>
      <c r="M18" s="142"/>
      <c r="N18" s="142"/>
      <c r="O18" s="142"/>
      <c r="P18" s="142"/>
      <c r="Q18" s="143"/>
      <c r="R18" s="38" t="s">
        <v>87</v>
      </c>
    </row>
    <row r="19" spans="2:18" ht="12.75" customHeight="1">
      <c r="B19" s="28">
        <v>12</v>
      </c>
      <c r="C19" s="29" t="s">
        <v>98</v>
      </c>
      <c r="D19" s="219" t="s">
        <v>99</v>
      </c>
      <c r="E19" s="220"/>
      <c r="F19" s="41" t="s">
        <v>100</v>
      </c>
      <c r="G19" s="33"/>
      <c r="H19" s="30"/>
      <c r="I19" s="28">
        <v>12</v>
      </c>
      <c r="J19" s="28"/>
      <c r="K19" s="141" t="s">
        <v>101</v>
      </c>
      <c r="L19" s="142"/>
      <c r="M19" s="142"/>
      <c r="N19" s="142"/>
      <c r="O19" s="142"/>
      <c r="P19" s="142"/>
      <c r="Q19" s="143"/>
    </row>
    <row r="20" spans="2:18" ht="12.75" customHeight="1">
      <c r="B20" s="28">
        <v>13</v>
      </c>
      <c r="C20" s="29" t="s">
        <v>102</v>
      </c>
      <c r="D20" s="219" t="s">
        <v>103</v>
      </c>
      <c r="E20" s="220"/>
      <c r="F20" s="41" t="s">
        <v>100</v>
      </c>
      <c r="G20" s="33"/>
      <c r="H20" s="30"/>
      <c r="I20" s="28">
        <v>12</v>
      </c>
      <c r="J20" s="28"/>
      <c r="K20" s="141" t="s">
        <v>104</v>
      </c>
      <c r="L20" s="142"/>
      <c r="M20" s="142"/>
      <c r="N20" s="142"/>
      <c r="O20" s="142"/>
      <c r="P20" s="142"/>
      <c r="Q20" s="143"/>
    </row>
    <row r="21" spans="2:18" ht="25.5" customHeight="1">
      <c r="B21" s="28">
        <v>14</v>
      </c>
      <c r="C21" s="29" t="s">
        <v>105</v>
      </c>
      <c r="D21" s="219" t="s">
        <v>106</v>
      </c>
      <c r="E21" s="220"/>
      <c r="F21" s="41" t="s">
        <v>100</v>
      </c>
      <c r="G21" s="33"/>
      <c r="H21" s="30"/>
      <c r="I21" s="28">
        <v>12</v>
      </c>
      <c r="J21" s="28"/>
      <c r="K21" s="157" t="s">
        <v>107</v>
      </c>
      <c r="L21" s="142"/>
      <c r="M21" s="142"/>
      <c r="N21" s="142"/>
      <c r="O21" s="142"/>
      <c r="P21" s="142"/>
      <c r="Q21" s="143"/>
    </row>
    <row r="22" spans="2:18" ht="12.75" customHeight="1">
      <c r="B22" s="34">
        <v>15</v>
      </c>
      <c r="C22" s="35" t="s">
        <v>108</v>
      </c>
      <c r="D22" s="223" t="s">
        <v>109</v>
      </c>
      <c r="E22" s="224"/>
      <c r="F22" s="43" t="s">
        <v>100</v>
      </c>
      <c r="G22" s="36"/>
      <c r="H22" s="37"/>
      <c r="I22" s="34">
        <v>12</v>
      </c>
      <c r="J22" s="34"/>
      <c r="K22" s="154" t="s">
        <v>110</v>
      </c>
      <c r="L22" s="155"/>
      <c r="M22" s="155"/>
      <c r="N22" s="155"/>
      <c r="O22" s="155"/>
      <c r="P22" s="155"/>
      <c r="Q22" s="156"/>
      <c r="R22" s="38" t="s">
        <v>87</v>
      </c>
    </row>
    <row r="23" spans="2:18" ht="12.75" customHeight="1">
      <c r="B23" s="34">
        <v>16</v>
      </c>
      <c r="C23" s="35" t="s">
        <v>111</v>
      </c>
      <c r="D23" s="223" t="s">
        <v>112</v>
      </c>
      <c r="E23" s="224"/>
      <c r="F23" s="43" t="s">
        <v>100</v>
      </c>
      <c r="G23" s="36"/>
      <c r="H23" s="37"/>
      <c r="I23" s="34">
        <v>12</v>
      </c>
      <c r="J23" s="34"/>
      <c r="K23" s="154" t="s">
        <v>113</v>
      </c>
      <c r="L23" s="155"/>
      <c r="M23" s="155"/>
      <c r="N23" s="155"/>
      <c r="O23" s="155"/>
      <c r="P23" s="155"/>
      <c r="Q23" s="156"/>
      <c r="R23" s="38" t="s">
        <v>87</v>
      </c>
    </row>
    <row r="24" spans="2:18" ht="12.75" customHeight="1">
      <c r="B24" s="34">
        <v>17</v>
      </c>
      <c r="C24" s="35" t="s">
        <v>114</v>
      </c>
      <c r="D24" s="223" t="s">
        <v>115</v>
      </c>
      <c r="E24" s="224"/>
      <c r="F24" s="43" t="s">
        <v>100</v>
      </c>
      <c r="G24" s="36"/>
      <c r="H24" s="37"/>
      <c r="I24" s="34">
        <v>12</v>
      </c>
      <c r="J24" s="34"/>
      <c r="K24" s="154" t="s">
        <v>116</v>
      </c>
      <c r="L24" s="155"/>
      <c r="M24" s="155"/>
      <c r="N24" s="155"/>
      <c r="O24" s="155"/>
      <c r="P24" s="155"/>
      <c r="Q24" s="156"/>
      <c r="R24" s="38" t="s">
        <v>87</v>
      </c>
    </row>
    <row r="25" spans="2:18" ht="12.75" customHeight="1">
      <c r="B25" s="34">
        <v>18</v>
      </c>
      <c r="C25" s="35" t="s">
        <v>117</v>
      </c>
      <c r="D25" s="223" t="s">
        <v>118</v>
      </c>
      <c r="E25" s="224"/>
      <c r="F25" s="43" t="s">
        <v>100</v>
      </c>
      <c r="G25" s="36"/>
      <c r="H25" s="37"/>
      <c r="I25" s="34">
        <v>12</v>
      </c>
      <c r="J25" s="34"/>
      <c r="K25" s="154" t="s">
        <v>119</v>
      </c>
      <c r="L25" s="155"/>
      <c r="M25" s="155"/>
      <c r="N25" s="155"/>
      <c r="O25" s="155"/>
      <c r="P25" s="155"/>
      <c r="Q25" s="156"/>
      <c r="R25" s="38" t="s">
        <v>87</v>
      </c>
    </row>
    <row r="26" spans="2:18" ht="12.75" customHeight="1">
      <c r="B26" s="34">
        <v>19</v>
      </c>
      <c r="C26" s="35" t="s">
        <v>120</v>
      </c>
      <c r="D26" s="223" t="s">
        <v>121</v>
      </c>
      <c r="E26" s="224"/>
      <c r="F26" s="43" t="s">
        <v>100</v>
      </c>
      <c r="G26" s="36"/>
      <c r="H26" s="37"/>
      <c r="I26" s="34">
        <v>12</v>
      </c>
      <c r="J26" s="34"/>
      <c r="K26" s="154" t="s">
        <v>122</v>
      </c>
      <c r="L26" s="155"/>
      <c r="M26" s="155"/>
      <c r="N26" s="155"/>
      <c r="O26" s="155"/>
      <c r="P26" s="155"/>
      <c r="Q26" s="156"/>
      <c r="R26" s="38" t="s">
        <v>87</v>
      </c>
    </row>
    <row r="27" spans="2:18" ht="12.75" customHeight="1">
      <c r="B27" s="34">
        <v>20</v>
      </c>
      <c r="C27" s="35" t="s">
        <v>123</v>
      </c>
      <c r="D27" s="223" t="s">
        <v>124</v>
      </c>
      <c r="E27" s="224"/>
      <c r="F27" s="43" t="s">
        <v>100</v>
      </c>
      <c r="G27" s="36"/>
      <c r="H27" s="37"/>
      <c r="I27" s="34">
        <v>12</v>
      </c>
      <c r="J27" s="34"/>
      <c r="K27" s="154" t="s">
        <v>125</v>
      </c>
      <c r="L27" s="155"/>
      <c r="M27" s="155"/>
      <c r="N27" s="155"/>
      <c r="O27" s="155"/>
      <c r="P27" s="155"/>
      <c r="Q27" s="156"/>
      <c r="R27" s="38" t="s">
        <v>87</v>
      </c>
    </row>
    <row r="28" spans="2:18" ht="12.75" customHeight="1">
      <c r="B28" s="34">
        <v>21</v>
      </c>
      <c r="C28" s="35" t="s">
        <v>126</v>
      </c>
      <c r="D28" s="223" t="s">
        <v>127</v>
      </c>
      <c r="E28" s="224"/>
      <c r="F28" s="43" t="s">
        <v>100</v>
      </c>
      <c r="G28" s="36"/>
      <c r="H28" s="37"/>
      <c r="I28" s="34" t="s">
        <v>128</v>
      </c>
      <c r="J28" s="34"/>
      <c r="K28" s="154" t="s">
        <v>129</v>
      </c>
      <c r="L28" s="155"/>
      <c r="M28" s="155"/>
      <c r="N28" s="155"/>
      <c r="O28" s="155"/>
      <c r="P28" s="155"/>
      <c r="Q28" s="156"/>
      <c r="R28" s="38" t="s">
        <v>87</v>
      </c>
    </row>
    <row r="29" spans="2:18" ht="12.75" customHeight="1">
      <c r="B29" s="28">
        <v>22</v>
      </c>
      <c r="C29" s="29" t="s">
        <v>130</v>
      </c>
      <c r="D29" s="219" t="s">
        <v>131</v>
      </c>
      <c r="E29" s="220"/>
      <c r="F29" s="41" t="s">
        <v>132</v>
      </c>
      <c r="G29" s="33"/>
      <c r="H29" s="30"/>
      <c r="I29" s="28"/>
      <c r="J29" s="28"/>
      <c r="K29" s="141" t="s">
        <v>133</v>
      </c>
      <c r="L29" s="142"/>
      <c r="M29" s="142"/>
      <c r="N29" s="142"/>
      <c r="O29" s="142"/>
      <c r="P29" s="142"/>
      <c r="Q29" s="143"/>
      <c r="R29" s="38" t="s">
        <v>87</v>
      </c>
    </row>
    <row r="30" spans="2:18" ht="12.75" customHeight="1">
      <c r="B30" s="28">
        <v>23</v>
      </c>
      <c r="C30" s="29" t="s">
        <v>134</v>
      </c>
      <c r="D30" s="219" t="s">
        <v>135</v>
      </c>
      <c r="E30" s="220"/>
      <c r="F30" s="41" t="s">
        <v>100</v>
      </c>
      <c r="G30" s="33"/>
      <c r="H30" s="30"/>
      <c r="I30" s="39">
        <v>4</v>
      </c>
      <c r="J30" s="28"/>
      <c r="K30" s="144" t="s">
        <v>136</v>
      </c>
      <c r="L30" s="145"/>
      <c r="M30" s="145"/>
      <c r="N30" s="145"/>
      <c r="O30" s="145"/>
      <c r="P30" s="145"/>
      <c r="Q30" s="146"/>
      <c r="R30" s="38" t="s">
        <v>87</v>
      </c>
    </row>
    <row r="31" spans="2:18" ht="12.75" customHeight="1">
      <c r="B31" s="28">
        <v>24</v>
      </c>
      <c r="C31" s="29" t="s">
        <v>137</v>
      </c>
      <c r="D31" s="219" t="s">
        <v>138</v>
      </c>
      <c r="E31" s="220"/>
      <c r="F31" s="41" t="s">
        <v>100</v>
      </c>
      <c r="G31" s="33"/>
      <c r="H31" s="30"/>
      <c r="I31" s="39">
        <v>4</v>
      </c>
      <c r="J31" s="28"/>
      <c r="K31" s="144" t="s">
        <v>136</v>
      </c>
      <c r="L31" s="145"/>
      <c r="M31" s="145"/>
      <c r="N31" s="145"/>
      <c r="O31" s="145"/>
      <c r="P31" s="145"/>
      <c r="Q31" s="146"/>
      <c r="R31" s="38" t="s">
        <v>87</v>
      </c>
    </row>
    <row r="32" spans="2:18" ht="12.75" customHeight="1">
      <c r="B32" s="28">
        <v>25</v>
      </c>
      <c r="C32" s="29" t="s">
        <v>139</v>
      </c>
      <c r="D32" s="219" t="s">
        <v>140</v>
      </c>
      <c r="E32" s="220"/>
      <c r="F32" s="41" t="s">
        <v>85</v>
      </c>
      <c r="G32" s="33"/>
      <c r="H32" s="30"/>
      <c r="I32" s="28"/>
      <c r="J32" s="28"/>
      <c r="K32" s="141" t="s">
        <v>141</v>
      </c>
      <c r="L32" s="142"/>
      <c r="M32" s="142"/>
      <c r="N32" s="142"/>
      <c r="O32" s="142"/>
      <c r="P32" s="142"/>
      <c r="Q32" s="143"/>
      <c r="R32" s="38" t="s">
        <v>87</v>
      </c>
    </row>
    <row r="33" spans="2:18" ht="12.75" customHeight="1">
      <c r="B33" s="28">
        <v>26</v>
      </c>
      <c r="C33" s="29" t="s">
        <v>142</v>
      </c>
      <c r="D33" s="219" t="s">
        <v>143</v>
      </c>
      <c r="E33" s="220"/>
      <c r="F33" s="41" t="s">
        <v>85</v>
      </c>
      <c r="G33" s="33"/>
      <c r="H33" s="30"/>
      <c r="I33" s="28"/>
      <c r="J33" s="28"/>
      <c r="K33" s="144" t="s">
        <v>144</v>
      </c>
      <c r="L33" s="145"/>
      <c r="M33" s="145"/>
      <c r="N33" s="145"/>
      <c r="O33" s="145"/>
      <c r="P33" s="145"/>
      <c r="Q33" s="146"/>
      <c r="R33" s="38" t="s">
        <v>87</v>
      </c>
    </row>
    <row r="34" spans="2:18" ht="12.75" customHeight="1">
      <c r="B34" s="28">
        <v>27</v>
      </c>
      <c r="C34" s="29" t="s">
        <v>145</v>
      </c>
      <c r="D34" s="219" t="s">
        <v>146</v>
      </c>
      <c r="E34" s="220"/>
      <c r="F34" s="41" t="s">
        <v>85</v>
      </c>
      <c r="G34" s="33"/>
      <c r="H34" s="30"/>
      <c r="I34" s="28"/>
      <c r="J34" s="28"/>
      <c r="K34" s="144" t="s">
        <v>144</v>
      </c>
      <c r="L34" s="145"/>
      <c r="M34" s="145"/>
      <c r="N34" s="145"/>
      <c r="O34" s="145"/>
      <c r="P34" s="145"/>
      <c r="Q34" s="146"/>
      <c r="R34" s="38" t="s">
        <v>87</v>
      </c>
    </row>
    <row r="35" spans="2:18" ht="12.75" customHeight="1">
      <c r="B35" s="28">
        <v>28</v>
      </c>
      <c r="C35" s="29" t="s">
        <v>147</v>
      </c>
      <c r="D35" s="219" t="s">
        <v>148</v>
      </c>
      <c r="E35" s="220"/>
      <c r="F35" s="41" t="s">
        <v>85</v>
      </c>
      <c r="G35" s="33"/>
      <c r="H35" s="30"/>
      <c r="I35" s="28"/>
      <c r="J35" s="28"/>
      <c r="K35" s="144" t="s">
        <v>144</v>
      </c>
      <c r="L35" s="145"/>
      <c r="M35" s="145"/>
      <c r="N35" s="145"/>
      <c r="O35" s="145"/>
      <c r="P35" s="145"/>
      <c r="Q35" s="146"/>
      <c r="R35" s="38" t="s">
        <v>87</v>
      </c>
    </row>
    <row r="36" spans="2:18" ht="12.75" customHeight="1">
      <c r="B36" s="28">
        <v>29</v>
      </c>
      <c r="C36" s="29" t="s">
        <v>149</v>
      </c>
      <c r="D36" s="219" t="s">
        <v>150</v>
      </c>
      <c r="E36" s="220"/>
      <c r="F36" s="41" t="s">
        <v>85</v>
      </c>
      <c r="G36" s="33"/>
      <c r="H36" s="30"/>
      <c r="I36" s="28"/>
      <c r="J36" s="28"/>
      <c r="K36" s="144" t="s">
        <v>144</v>
      </c>
      <c r="L36" s="145"/>
      <c r="M36" s="145"/>
      <c r="N36" s="145"/>
      <c r="O36" s="145"/>
      <c r="P36" s="145"/>
      <c r="Q36" s="146"/>
      <c r="R36" s="38" t="s">
        <v>87</v>
      </c>
    </row>
    <row r="37" spans="2:18" ht="12.75" customHeight="1">
      <c r="B37" s="28">
        <v>30</v>
      </c>
      <c r="C37" s="29" t="s">
        <v>151</v>
      </c>
      <c r="D37" s="219" t="s">
        <v>152</v>
      </c>
      <c r="E37" s="220"/>
      <c r="F37" s="41" t="s">
        <v>85</v>
      </c>
      <c r="G37" s="33"/>
      <c r="H37" s="30"/>
      <c r="I37" s="28"/>
      <c r="J37" s="28"/>
      <c r="K37" s="144" t="s">
        <v>144</v>
      </c>
      <c r="L37" s="145"/>
      <c r="M37" s="145"/>
      <c r="N37" s="145"/>
      <c r="O37" s="145"/>
      <c r="P37" s="145"/>
      <c r="Q37" s="146"/>
      <c r="R37" s="38" t="s">
        <v>87</v>
      </c>
    </row>
    <row r="38" spans="2:18" ht="12.75" customHeight="1">
      <c r="B38" s="28">
        <v>31</v>
      </c>
      <c r="C38" s="29" t="s">
        <v>153</v>
      </c>
      <c r="D38" s="219" t="s">
        <v>154</v>
      </c>
      <c r="E38" s="220"/>
      <c r="F38" s="41" t="s">
        <v>85</v>
      </c>
      <c r="G38" s="33"/>
      <c r="H38" s="30"/>
      <c r="I38" s="28"/>
      <c r="J38" s="28"/>
      <c r="K38" s="144" t="s">
        <v>144</v>
      </c>
      <c r="L38" s="145"/>
      <c r="M38" s="145"/>
      <c r="N38" s="145"/>
      <c r="O38" s="145"/>
      <c r="P38" s="145"/>
      <c r="Q38" s="146"/>
      <c r="R38" s="38" t="s">
        <v>87</v>
      </c>
    </row>
    <row r="39" spans="2:18" ht="12.75" customHeight="1">
      <c r="B39" s="28">
        <v>32</v>
      </c>
      <c r="C39" s="29" t="s">
        <v>155</v>
      </c>
      <c r="D39" s="219" t="s">
        <v>156</v>
      </c>
      <c r="E39" s="220"/>
      <c r="F39" s="41" t="s">
        <v>85</v>
      </c>
      <c r="G39" s="33"/>
      <c r="H39" s="30"/>
      <c r="I39" s="28"/>
      <c r="J39" s="28"/>
      <c r="K39" s="144" t="s">
        <v>144</v>
      </c>
      <c r="L39" s="145"/>
      <c r="M39" s="145"/>
      <c r="N39" s="145"/>
      <c r="O39" s="145"/>
      <c r="P39" s="145"/>
      <c r="Q39" s="146"/>
      <c r="R39" s="38" t="s">
        <v>87</v>
      </c>
    </row>
    <row r="40" spans="2:18" ht="12.75" customHeight="1">
      <c r="B40" s="28">
        <v>33</v>
      </c>
      <c r="C40" s="29" t="s">
        <v>157</v>
      </c>
      <c r="D40" s="219" t="s">
        <v>158</v>
      </c>
      <c r="E40" s="220"/>
      <c r="F40" s="33" t="s">
        <v>159</v>
      </c>
      <c r="G40" s="41">
        <v>2</v>
      </c>
      <c r="H40" s="30" t="s">
        <v>59</v>
      </c>
      <c r="I40" s="28"/>
      <c r="J40" s="28"/>
      <c r="K40" s="147" t="s">
        <v>160</v>
      </c>
      <c r="L40" s="148"/>
      <c r="M40" s="148"/>
      <c r="N40" s="148"/>
      <c r="O40" s="148"/>
      <c r="P40" s="148"/>
      <c r="Q40" s="149"/>
    </row>
    <row r="41" spans="2:18" ht="12.75" customHeight="1">
      <c r="B41" s="28">
        <v>34</v>
      </c>
      <c r="C41" s="29" t="s">
        <v>161</v>
      </c>
      <c r="D41" s="219" t="s">
        <v>162</v>
      </c>
      <c r="E41" s="220"/>
      <c r="F41" s="41" t="s">
        <v>85</v>
      </c>
      <c r="G41" s="33"/>
      <c r="H41" s="30"/>
      <c r="I41" s="28"/>
      <c r="J41" s="28"/>
      <c r="K41" s="147" t="s">
        <v>163</v>
      </c>
      <c r="L41" s="148"/>
      <c r="M41" s="148"/>
      <c r="N41" s="148"/>
      <c r="O41" s="148"/>
      <c r="P41" s="148"/>
      <c r="Q41" s="149"/>
      <c r="R41" s="38" t="s">
        <v>87</v>
      </c>
    </row>
    <row r="42" spans="2:18" ht="12.75" customHeight="1">
      <c r="B42" s="39">
        <v>35</v>
      </c>
      <c r="C42" s="40" t="s">
        <v>164</v>
      </c>
      <c r="D42" s="221" t="s">
        <v>165</v>
      </c>
      <c r="E42" s="222"/>
      <c r="F42" s="41" t="s">
        <v>166</v>
      </c>
      <c r="G42" s="41"/>
      <c r="H42" s="42"/>
      <c r="I42" s="39" t="s">
        <v>167</v>
      </c>
      <c r="J42" s="39"/>
      <c r="K42" s="153" t="s">
        <v>168</v>
      </c>
      <c r="L42" s="151"/>
      <c r="M42" s="151"/>
      <c r="N42" s="151"/>
      <c r="O42" s="151"/>
      <c r="P42" s="151"/>
      <c r="Q42" s="152"/>
      <c r="R42" s="38" t="s">
        <v>169</v>
      </c>
    </row>
    <row r="43" spans="2:18" ht="57.75" customHeight="1">
      <c r="B43" s="39">
        <v>36</v>
      </c>
      <c r="C43" s="40" t="s">
        <v>170</v>
      </c>
      <c r="D43" s="221" t="s">
        <v>171</v>
      </c>
      <c r="E43" s="222"/>
      <c r="F43" s="41" t="s">
        <v>166</v>
      </c>
      <c r="G43" s="41"/>
      <c r="H43" s="42"/>
      <c r="I43" s="39" t="s">
        <v>172</v>
      </c>
      <c r="J43" s="39"/>
      <c r="K43" s="150" t="s">
        <v>173</v>
      </c>
      <c r="L43" s="151"/>
      <c r="M43" s="151"/>
      <c r="N43" s="151"/>
      <c r="O43" s="151"/>
      <c r="P43" s="151"/>
      <c r="Q43" s="152"/>
      <c r="R43" s="38" t="s">
        <v>174</v>
      </c>
    </row>
    <row r="44" spans="2:18" ht="12.75" customHeight="1">
      <c r="B44" s="39">
        <v>37</v>
      </c>
      <c r="C44" s="29" t="s">
        <v>8</v>
      </c>
      <c r="D44" s="219" t="s">
        <v>175</v>
      </c>
      <c r="E44" s="220"/>
      <c r="F44" s="33" t="s">
        <v>100</v>
      </c>
      <c r="G44" s="33"/>
      <c r="H44" s="30"/>
      <c r="I44" s="28">
        <v>8</v>
      </c>
      <c r="J44" s="28"/>
      <c r="K44" s="147" t="s">
        <v>176</v>
      </c>
      <c r="L44" s="148"/>
      <c r="M44" s="148"/>
      <c r="N44" s="148"/>
      <c r="O44" s="148"/>
      <c r="P44" s="148"/>
      <c r="Q44" s="149"/>
      <c r="R44" s="38" t="s">
        <v>177</v>
      </c>
    </row>
    <row r="45" spans="2:18" ht="12.75" customHeight="1">
      <c r="B45" s="28"/>
      <c r="C45" s="29"/>
      <c r="D45" s="219"/>
      <c r="E45" s="220"/>
      <c r="F45" s="33"/>
      <c r="G45" s="33"/>
      <c r="H45" s="30"/>
      <c r="I45" s="28"/>
      <c r="J45" s="28"/>
      <c r="K45" s="141"/>
      <c r="L45" s="142"/>
      <c r="M45" s="142"/>
      <c r="N45" s="142"/>
      <c r="O45" s="142"/>
      <c r="P45" s="142"/>
      <c r="Q45" s="143"/>
    </row>
    <row r="46" spans="2:18" ht="12.75" customHeight="1">
      <c r="B46" s="28"/>
      <c r="C46" s="29"/>
      <c r="D46" s="219"/>
      <c r="E46" s="220"/>
      <c r="F46" s="33"/>
      <c r="G46" s="33"/>
      <c r="H46" s="30"/>
      <c r="I46" s="28"/>
      <c r="J46" s="28"/>
      <c r="K46" s="141"/>
      <c r="L46" s="142"/>
      <c r="M46" s="142"/>
      <c r="N46" s="142"/>
      <c r="O46" s="142"/>
      <c r="P46" s="142"/>
      <c r="Q46" s="143"/>
    </row>
    <row r="47" spans="2:18" ht="12.75" customHeight="1">
      <c r="B47" s="45" t="s">
        <v>178</v>
      </c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8" t="s">
        <v>169</v>
      </c>
    </row>
    <row r="48" spans="2:18" ht="12.75" customHeight="1">
      <c r="B48" s="45" t="s">
        <v>179</v>
      </c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8" t="s">
        <v>169</v>
      </c>
    </row>
    <row r="49" spans="2:17" ht="12.75" customHeight="1"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</row>
    <row r="50" spans="2:17" ht="12.75" customHeight="1"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</row>
    <row r="51" spans="2:17" ht="12.75" customHeight="1"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</row>
    <row r="52" spans="2:17" ht="12.75" customHeight="1"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</row>
    <row r="53" spans="2:17" ht="12.75" customHeight="1"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</row>
    <row r="54" spans="2:17" ht="12.75" customHeight="1"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</row>
    <row r="55" spans="2:17" ht="12.75" customHeight="1"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</row>
    <row r="56" spans="2:17" ht="12.75" customHeight="1"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</row>
    <row r="57" spans="2:17" ht="12.75" customHeight="1"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</row>
    <row r="58" spans="2:17" ht="12.75" customHeight="1"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</row>
    <row r="59" spans="2:17" ht="12.75" customHeight="1"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</row>
    <row r="60" spans="2:17" ht="12.75" customHeight="1"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</row>
    <row r="61" spans="2:17" ht="12.75" customHeight="1"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</row>
    <row r="62" spans="2:17" ht="12.75" customHeight="1"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</row>
    <row r="63" spans="2:17" ht="12.75" customHeight="1"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</row>
    <row r="64" spans="2:17" ht="12.75" customHeight="1"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</row>
    <row r="65" spans="2:17" ht="12.75" customHeight="1"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</row>
    <row r="66" spans="2:17" ht="12.75" customHeight="1"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</row>
    <row r="67" spans="2:17" ht="12.75" customHeight="1"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</row>
    <row r="68" spans="2:17" ht="12.75" customHeight="1"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</row>
    <row r="69" spans="2:17" ht="12.75" customHeight="1"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</row>
    <row r="70" spans="2:17" ht="12.75" customHeight="1"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</row>
    <row r="71" spans="2:17" ht="12.75" customHeight="1"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</row>
    <row r="72" spans="2:17" ht="12.75" customHeight="1"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</row>
    <row r="73" spans="2:17" ht="12.75" customHeight="1"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</row>
    <row r="74" spans="2:17" ht="12.75" customHeight="1"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</row>
    <row r="75" spans="2:17" ht="12.75" customHeight="1"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</row>
    <row r="76" spans="2:17" ht="12.75" customHeight="1"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</row>
    <row r="77" spans="2:17" ht="12.75" customHeight="1"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</row>
    <row r="78" spans="2:17" ht="12.75" customHeight="1"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</row>
    <row r="79" spans="2:17" ht="12.75" customHeight="1"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</row>
    <row r="80" spans="2:17" ht="12.75" customHeight="1"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</row>
    <row r="81" spans="2:17" ht="12.75" customHeight="1"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</row>
    <row r="82" spans="2:17" ht="12.75" customHeight="1"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</row>
    <row r="83" spans="2:17" ht="12.75" customHeight="1"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</row>
    <row r="84" spans="2:17" ht="12.75" customHeight="1"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</row>
    <row r="85" spans="2:17" ht="12.75" customHeight="1"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</row>
    <row r="86" spans="2:17" ht="12.75" customHeight="1"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</row>
    <row r="87" spans="2:17" ht="12.75" customHeight="1"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</row>
  </sheetData>
  <mergeCells count="109">
    <mergeCell ref="B1:C3"/>
    <mergeCell ref="F1:I1"/>
    <mergeCell ref="J1:L1"/>
    <mergeCell ref="M1:N1"/>
    <mergeCell ref="P1:Q1"/>
    <mergeCell ref="F3:I3"/>
    <mergeCell ref="J3:L3"/>
    <mergeCell ref="BI1:BN1"/>
    <mergeCell ref="F2:I2"/>
    <mergeCell ref="J2:L2"/>
    <mergeCell ref="M2:N3"/>
    <mergeCell ref="O2:O3"/>
    <mergeCell ref="P2:Q3"/>
    <mergeCell ref="AW2:BB3"/>
    <mergeCell ref="BC2:BH3"/>
    <mergeCell ref="BI2:BN3"/>
    <mergeCell ref="AW1:BB1"/>
    <mergeCell ref="BC1:BH1"/>
    <mergeCell ref="I6:J6"/>
    <mergeCell ref="K6:Q7"/>
    <mergeCell ref="D8:E8"/>
    <mergeCell ref="K8:Q8"/>
    <mergeCell ref="B4:C4"/>
    <mergeCell ref="D4:E4"/>
    <mergeCell ref="F4:I4"/>
    <mergeCell ref="J4:N4"/>
    <mergeCell ref="P4:Q4"/>
    <mergeCell ref="B6:B7"/>
    <mergeCell ref="C6:C7"/>
    <mergeCell ref="D6:E7"/>
    <mergeCell ref="F6:F7"/>
    <mergeCell ref="H6:H7"/>
    <mergeCell ref="G6:G7"/>
    <mergeCell ref="D12:E12"/>
    <mergeCell ref="K12:Q12"/>
    <mergeCell ref="D13:E13"/>
    <mergeCell ref="K13:Q13"/>
    <mergeCell ref="D14:E14"/>
    <mergeCell ref="K14:Q14"/>
    <mergeCell ref="D9:E9"/>
    <mergeCell ref="K9:Q9"/>
    <mergeCell ref="D10:E10"/>
    <mergeCell ref="K10:Q10"/>
    <mergeCell ref="D11:E11"/>
    <mergeCell ref="K11:Q11"/>
    <mergeCell ref="D17:E17"/>
    <mergeCell ref="K17:Q17"/>
    <mergeCell ref="D18:E18"/>
    <mergeCell ref="K18:Q18"/>
    <mergeCell ref="D19:E19"/>
    <mergeCell ref="K19:Q19"/>
    <mergeCell ref="D15:E15"/>
    <mergeCell ref="K15:Q15"/>
    <mergeCell ref="D16:E16"/>
    <mergeCell ref="K16:Q16"/>
    <mergeCell ref="D23:E23"/>
    <mergeCell ref="K23:Q23"/>
    <mergeCell ref="D24:E24"/>
    <mergeCell ref="K24:Q24"/>
    <mergeCell ref="D25:E25"/>
    <mergeCell ref="K25:Q25"/>
    <mergeCell ref="D20:E20"/>
    <mergeCell ref="K20:Q20"/>
    <mergeCell ref="D21:E21"/>
    <mergeCell ref="K21:Q21"/>
    <mergeCell ref="D22:E22"/>
    <mergeCell ref="K22:Q22"/>
    <mergeCell ref="D29:E29"/>
    <mergeCell ref="K29:Q29"/>
    <mergeCell ref="D26:E26"/>
    <mergeCell ref="K26:Q26"/>
    <mergeCell ref="D27:E27"/>
    <mergeCell ref="K27:Q27"/>
    <mergeCell ref="D28:E28"/>
    <mergeCell ref="K28:Q28"/>
    <mergeCell ref="D30:E30"/>
    <mergeCell ref="K30:Q30"/>
    <mergeCell ref="D37:E37"/>
    <mergeCell ref="K37:Q37"/>
    <mergeCell ref="D31:E31"/>
    <mergeCell ref="K31:Q31"/>
    <mergeCell ref="D32:E32"/>
    <mergeCell ref="K32:Q32"/>
    <mergeCell ref="D33:E33"/>
    <mergeCell ref="K33:Q33"/>
    <mergeCell ref="D34:E34"/>
    <mergeCell ref="K34:Q34"/>
    <mergeCell ref="D35:E35"/>
    <mergeCell ref="K35:Q35"/>
    <mergeCell ref="D36:E36"/>
    <mergeCell ref="K36:Q36"/>
    <mergeCell ref="D46:E46"/>
    <mergeCell ref="K46:Q46"/>
    <mergeCell ref="D38:E38"/>
    <mergeCell ref="K38:Q38"/>
    <mergeCell ref="D39:E39"/>
    <mergeCell ref="K39:Q39"/>
    <mergeCell ref="D45:E45"/>
    <mergeCell ref="K45:Q45"/>
    <mergeCell ref="D40:E40"/>
    <mergeCell ref="K40:Q40"/>
    <mergeCell ref="D44:E44"/>
    <mergeCell ref="K44:Q44"/>
    <mergeCell ref="D41:E41"/>
    <mergeCell ref="K41:Q41"/>
    <mergeCell ref="D43:E43"/>
    <mergeCell ref="K43:Q43"/>
    <mergeCell ref="D42:E42"/>
    <mergeCell ref="K42:Q42"/>
  </mergeCells>
  <phoneticPr fontId="3"/>
  <dataValidations count="2">
    <dataValidation type="list" allowBlank="1" showInputMessage="1" showErrorMessage="1" sqref="P4:Q4" xr:uid="{3794F707-B2FC-4472-8264-154111A33128}">
      <formula1>"TXT,CSV,TSV"</formula1>
    </dataValidation>
    <dataValidation type="list" allowBlank="1" showInputMessage="1" showErrorMessage="1" sqref="H8:H46" xr:uid="{E84C2399-DC96-49B1-B79F-F138BC390F31}">
      <formula1>"○,－"</formula1>
    </dataValidation>
  </dataValidations>
  <printOptions horizontalCentered="1"/>
  <pageMargins left="0.39370078740157483" right="0.39370078740157483" top="0.59055118110236227" bottom="0.47244094488188981" header="0.47244094488188981" footer="0.31496062992125984"/>
  <pageSetup paperSize="9" scale="88" fitToHeight="0" pageOrder="overThenDown" orientation="landscape" r:id="rId1"/>
  <headerFooter alignWithMargins="0">
    <oddFooter>&amp;L&amp;9DocID:SS17&amp;C&amp;9- &amp;N -&amp;R&amp;9All Rights Reserved,Copyright (株)富士通システムソリューションズ  2016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D64216A-9B83-475C-9800-7D77BF5E8180}"/>
</file>

<file path=customXml/itemProps2.xml><?xml version="1.0" encoding="utf-8"?>
<ds:datastoreItem xmlns:ds="http://schemas.openxmlformats.org/officeDocument/2006/customXml" ds:itemID="{000755CE-1968-46E4-9A33-93C6AE90FAE6}"/>
</file>

<file path=customXml/itemProps3.xml><?xml version="1.0" encoding="utf-8"?>
<ds:datastoreItem xmlns:ds="http://schemas.openxmlformats.org/officeDocument/2006/customXml" ds:itemID="{F7DDB144-EFD9-48D3-BF35-E953FE39C66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Kobayashi, Reiko/小林 令子</dc:creator>
  <cp:keywords/>
  <dc:description/>
  <cp:lastModifiedBy>NGA Nguyen Thi 1 (VTI.D10)</cp:lastModifiedBy>
  <cp:revision/>
  <dcterms:created xsi:type="dcterms:W3CDTF">2024-03-28T08:59:33Z</dcterms:created>
  <dcterms:modified xsi:type="dcterms:W3CDTF">2025-03-19T08:15:49Z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295cc1-d279-42ac-ab4d-3b0f4fece050_Enabled">
    <vt:lpwstr>true</vt:lpwstr>
  </property>
  <property fmtid="{D5CDD505-2E9C-101B-9397-08002B2CF9AE}" pid="3" name="MSIP_Label_a7295cc1-d279-42ac-ab4d-3b0f4fece050_SetDate">
    <vt:lpwstr>2024-03-28T08:59:52Z</vt:lpwstr>
  </property>
  <property fmtid="{D5CDD505-2E9C-101B-9397-08002B2CF9AE}" pid="4" name="MSIP_Label_a7295cc1-d279-42ac-ab4d-3b0f4fece050_Method">
    <vt:lpwstr>Standard</vt:lpwstr>
  </property>
  <property fmtid="{D5CDD505-2E9C-101B-9397-08002B2CF9AE}" pid="5" name="MSIP_Label_a7295cc1-d279-42ac-ab4d-3b0f4fece050_Name">
    <vt:lpwstr>FUJITSU-RESTRICTED​</vt:lpwstr>
  </property>
  <property fmtid="{D5CDD505-2E9C-101B-9397-08002B2CF9AE}" pid="6" name="MSIP_Label_a7295cc1-d279-42ac-ab4d-3b0f4fece050_SiteId">
    <vt:lpwstr>a19f121d-81e1-4858-a9d8-736e267fd4c7</vt:lpwstr>
  </property>
  <property fmtid="{D5CDD505-2E9C-101B-9397-08002B2CF9AE}" pid="7" name="MSIP_Label_a7295cc1-d279-42ac-ab4d-3b0f4fece050_ActionId">
    <vt:lpwstr>79784093-77b4-401f-8ac2-43b6de89ddf0</vt:lpwstr>
  </property>
  <property fmtid="{D5CDD505-2E9C-101B-9397-08002B2CF9AE}" pid="8" name="MSIP_Label_a7295cc1-d279-42ac-ab4d-3b0f4fece050_ContentBits">
    <vt:lpwstr>0</vt:lpwstr>
  </property>
  <property fmtid="{D5CDD505-2E9C-101B-9397-08002B2CF9AE}" pid="9" name="ContentTypeId">
    <vt:lpwstr>0x0101008AB003DB5A4D644C9FB3BD19B5C7E000</vt:lpwstr>
  </property>
  <property fmtid="{D5CDD505-2E9C-101B-9397-08002B2CF9AE}" pid="10" name="MediaServiceImageTags">
    <vt:lpwstr/>
  </property>
</Properties>
</file>